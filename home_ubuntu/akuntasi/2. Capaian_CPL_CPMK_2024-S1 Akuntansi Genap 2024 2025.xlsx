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My Job\UNISBANK\S1 Akuntansi\OBE\ANALISIS KETERCAPAIAN CPMK CPL\2. GENAP 2024_2025\"/>
    </mc:Choice>
  </mc:AlternateContent>
  <xr:revisionPtr revIDLastSave="0" documentId="13_ncr:1_{B69F1C87-AB31-414B-A1B4-CDE517410EAD}" xr6:coauthVersionLast="47" xr6:coauthVersionMax="47" xr10:uidLastSave="{00000000-0000-0000-0000-000000000000}"/>
  <workbookProtection workbookAlgorithmName="SHA-512" workbookHashValue="KFt0jSvDWKVt7WrqcCeIQSCXzQnjoQG5C4rU/Z3+klddqEDu7FVAgoGUqrWvqnJPVkw8MAW2/bnIeKZrTBL9oA==" workbookSaltValue="VIOCH0NPGG0tsfMtB9kCZQ==" workbookSpinCount="100000" lockStructure="1"/>
  <bookViews>
    <workbookView xWindow="-110" yWindow="-110" windowWidth="19420" windowHeight="10300" firstSheet="7" activeTab="12" xr2:uid="{36399BCF-75EB-4921-A323-7A0FE138B426}"/>
  </bookViews>
  <sheets>
    <sheet name="Mhsw2024" sheetId="1" r:id="rId1"/>
    <sheet name="ListMKSmt-1" sheetId="2" r:id="rId2"/>
    <sheet name="MK1-TM" sheetId="3" r:id="rId3"/>
    <sheet name="MK2-TO" sheetId="4" r:id="rId4"/>
    <sheet name="MK3-PSTI" sheetId="5" r:id="rId5"/>
    <sheet name="MK4-L&amp;A" sheetId="6" r:id="rId6"/>
    <sheet name="MK5-BP" sheetId="7" r:id="rId7"/>
    <sheet name="MK7-MBD" sheetId="8" r:id="rId8"/>
    <sheet name="MK8_BID" sheetId="9" r:id="rId9"/>
    <sheet name="MK16-AGM" sheetId="10" r:id="rId10"/>
    <sheet name="MK59-KWN" sheetId="11" r:id="rId11"/>
    <sheet name="Penguk.CPMK-Smt1" sheetId="12" r:id="rId12"/>
    <sheet name="Penguk.CPL-Smt1" sheetId="13" r:id="rId13"/>
  </sheets>
  <externalReferences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</externalReferences>
  <definedNames>
    <definedName name="_xlnm.Print_Area" localSheetId="4">'MK3-PSTI'!$A$1:$I$67</definedName>
    <definedName name="_xlnm.Print_Area" localSheetId="11">'Penguk.CPMK-Smt1'!$A$1:$FP$120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58" i="13" l="1"/>
  <c r="K58" i="13"/>
  <c r="L58" i="13"/>
  <c r="M58" i="13"/>
  <c r="N58" i="13"/>
  <c r="O58" i="13"/>
  <c r="P58" i="13"/>
  <c r="Q58" i="13"/>
  <c r="V58" i="13"/>
  <c r="W58" i="13"/>
  <c r="X58" i="13"/>
  <c r="Y58" i="13"/>
  <c r="Z58" i="13"/>
  <c r="AA58" i="13"/>
  <c r="AB58" i="13"/>
  <c r="AC58" i="13"/>
  <c r="O58" i="12"/>
  <c r="AL59" i="13"/>
  <c r="AT59" i="13"/>
  <c r="H75" i="13"/>
  <c r="H76" i="13"/>
  <c r="H77" i="13"/>
  <c r="G75" i="13"/>
  <c r="G76" i="13"/>
  <c r="AN59" i="13"/>
  <c r="AZ34" i="13"/>
  <c r="AZ35" i="13"/>
  <c r="AZ36" i="13"/>
  <c r="AY34" i="13"/>
  <c r="AY35" i="13"/>
  <c r="AY36" i="13"/>
  <c r="AX34" i="13"/>
  <c r="AX35" i="13"/>
  <c r="AX36" i="13"/>
  <c r="AW34" i="13"/>
  <c r="AW35" i="13"/>
  <c r="AL34" i="13"/>
  <c r="AL35" i="13"/>
  <c r="AL36" i="13"/>
  <c r="AK34" i="13"/>
  <c r="AK35" i="13"/>
  <c r="AK36" i="13"/>
  <c r="AF34" i="13"/>
  <c r="AF35" i="13"/>
  <c r="AF36" i="13"/>
  <c r="AE34" i="13"/>
  <c r="AE35" i="13"/>
  <c r="AC34" i="13"/>
  <c r="AC35" i="13"/>
  <c r="AB34" i="13"/>
  <c r="AB35" i="13"/>
  <c r="Z34" i="13"/>
  <c r="Z35" i="13"/>
  <c r="Z36" i="13"/>
  <c r="Y34" i="13"/>
  <c r="Y35" i="13"/>
  <c r="Y36" i="13"/>
  <c r="W34" i="13"/>
  <c r="W35" i="13"/>
  <c r="W36" i="13"/>
  <c r="V34" i="13"/>
  <c r="V35" i="13"/>
  <c r="V36" i="13"/>
  <c r="P34" i="13"/>
  <c r="P35" i="13"/>
  <c r="P36" i="13"/>
  <c r="O34" i="13"/>
  <c r="O35" i="13"/>
  <c r="N34" i="13"/>
  <c r="N35" i="13"/>
  <c r="N36" i="13"/>
  <c r="L34" i="13"/>
  <c r="L35" i="13"/>
  <c r="K34" i="13"/>
  <c r="K35" i="13"/>
  <c r="K36" i="13"/>
  <c r="J34" i="13"/>
  <c r="J35" i="13"/>
  <c r="O12" i="13" l="1"/>
  <c r="O13" i="13"/>
  <c r="O14" i="13"/>
  <c r="O15" i="13"/>
  <c r="O16" i="13"/>
  <c r="O17" i="13"/>
  <c r="O18" i="13"/>
  <c r="O19" i="13"/>
  <c r="O20" i="13"/>
  <c r="O21" i="13"/>
  <c r="O22" i="13"/>
  <c r="O23" i="13"/>
  <c r="O24" i="13"/>
  <c r="O25" i="13"/>
  <c r="O26" i="13"/>
  <c r="O27" i="13"/>
  <c r="O28" i="13"/>
  <c r="O29" i="13"/>
  <c r="O30" i="13"/>
  <c r="O31" i="13"/>
  <c r="O32" i="13"/>
  <c r="O33" i="13"/>
  <c r="O36" i="13"/>
  <c r="O37" i="13"/>
  <c r="O38" i="13"/>
  <c r="O39" i="13"/>
  <c r="O40" i="13"/>
  <c r="O41" i="13"/>
  <c r="O42" i="13"/>
  <c r="O43" i="13"/>
  <c r="O44" i="13"/>
  <c r="O11" i="13"/>
  <c r="O9" i="13"/>
  <c r="P9" i="13"/>
  <c r="O8" i="13"/>
  <c r="P8" i="13"/>
  <c r="O7" i="13"/>
  <c r="P7" i="13"/>
  <c r="J5" i="13"/>
  <c r="J4" i="13"/>
  <c r="D6" i="13"/>
  <c r="D4" i="13"/>
  <c r="D5" i="13"/>
  <c r="AC11" i="12"/>
  <c r="G76" i="12"/>
  <c r="H76" i="12" s="1"/>
  <c r="G75" i="12"/>
  <c r="H75" i="12" s="1"/>
  <c r="F76" i="12"/>
  <c r="G64" i="12"/>
  <c r="H72" i="12"/>
  <c r="H73" i="12"/>
  <c r="H74" i="12"/>
  <c r="H77" i="12"/>
  <c r="F75" i="12"/>
  <c r="E76" i="12"/>
  <c r="E75" i="12"/>
  <c r="CG58" i="12"/>
  <c r="CG59" i="12" s="1"/>
  <c r="CH61" i="12"/>
  <c r="CH58" i="12"/>
  <c r="CF61" i="12"/>
  <c r="CF58" i="12"/>
  <c r="CE58" i="12"/>
  <c r="CE59" i="12" s="1"/>
  <c r="CG12" i="12"/>
  <c r="CG13" i="12"/>
  <c r="CG14" i="12"/>
  <c r="CG15" i="12"/>
  <c r="CH15" i="12" s="1"/>
  <c r="CG16" i="12"/>
  <c r="CG17" i="12"/>
  <c r="CG18" i="12"/>
  <c r="CG19" i="12"/>
  <c r="CH19" i="12" s="1"/>
  <c r="CG20" i="12"/>
  <c r="CG21" i="12"/>
  <c r="CG22" i="12"/>
  <c r="CG23" i="12"/>
  <c r="CH23" i="12" s="1"/>
  <c r="CG24" i="12"/>
  <c r="CG25" i="12"/>
  <c r="CG26" i="12"/>
  <c r="CG27" i="12"/>
  <c r="CH27" i="12" s="1"/>
  <c r="CG28" i="12"/>
  <c r="CG29" i="12"/>
  <c r="CG30" i="12"/>
  <c r="CG31" i="12"/>
  <c r="CH31" i="12" s="1"/>
  <c r="CG32" i="12"/>
  <c r="CG33" i="12"/>
  <c r="CG34" i="12"/>
  <c r="CG35" i="12"/>
  <c r="CH35" i="12" s="1"/>
  <c r="CG36" i="12"/>
  <c r="CG37" i="12"/>
  <c r="CG38" i="12"/>
  <c r="CG39" i="12"/>
  <c r="CH39" i="12" s="1"/>
  <c r="CG40" i="12"/>
  <c r="CG41" i="12"/>
  <c r="CG42" i="12"/>
  <c r="CG43" i="12"/>
  <c r="CH43" i="12" s="1"/>
  <c r="CG44" i="12"/>
  <c r="CG11" i="12"/>
  <c r="CH11" i="12" s="1"/>
  <c r="CE12" i="12"/>
  <c r="CE13" i="12"/>
  <c r="CE14" i="12"/>
  <c r="CE15" i="12"/>
  <c r="CF15" i="12" s="1"/>
  <c r="CE16" i="12"/>
  <c r="CE17" i="12"/>
  <c r="CE18" i="12"/>
  <c r="CE19" i="12"/>
  <c r="CF19" i="12" s="1"/>
  <c r="CE20" i="12"/>
  <c r="CE21" i="12"/>
  <c r="CE22" i="12"/>
  <c r="CE23" i="12"/>
  <c r="CF23" i="12" s="1"/>
  <c r="CE24" i="12"/>
  <c r="CE25" i="12"/>
  <c r="CE26" i="12"/>
  <c r="CE27" i="12"/>
  <c r="CF27" i="12" s="1"/>
  <c r="CE28" i="12"/>
  <c r="CE29" i="12"/>
  <c r="CE30" i="12"/>
  <c r="CE31" i="12"/>
  <c r="CF31" i="12" s="1"/>
  <c r="CE32" i="12"/>
  <c r="CE33" i="12"/>
  <c r="CE34" i="12"/>
  <c r="CE35" i="12"/>
  <c r="CF35" i="12" s="1"/>
  <c r="CE36" i="12"/>
  <c r="CE37" i="12"/>
  <c r="CE38" i="12"/>
  <c r="CF38" i="12" s="1"/>
  <c r="CE39" i="12"/>
  <c r="CE40" i="12"/>
  <c r="CE41" i="12"/>
  <c r="CE42" i="12"/>
  <c r="CE43" i="12"/>
  <c r="CE44" i="12"/>
  <c r="CE11" i="12"/>
  <c r="CF11" i="12" s="1"/>
  <c r="EI31" i="12"/>
  <c r="L66" i="12"/>
  <c r="L67" i="12"/>
  <c r="L68" i="12"/>
  <c r="L69" i="12"/>
  <c r="L70" i="12"/>
  <c r="L71" i="12"/>
  <c r="L72" i="12"/>
  <c r="L73" i="12"/>
  <c r="L74" i="12"/>
  <c r="L77" i="12"/>
  <c r="L78" i="12"/>
  <c r="L79" i="12"/>
  <c r="L80" i="12"/>
  <c r="L82" i="12"/>
  <c r="L83" i="12"/>
  <c r="L84" i="12"/>
  <c r="L85" i="12"/>
  <c r="L86" i="12"/>
  <c r="L87" i="12"/>
  <c r="L88" i="12"/>
  <c r="L89" i="12"/>
  <c r="L90" i="12"/>
  <c r="L91" i="12"/>
  <c r="L92" i="12"/>
  <c r="L93" i="12"/>
  <c r="L94" i="12"/>
  <c r="L95" i="12"/>
  <c r="L96" i="12"/>
  <c r="L97" i="12"/>
  <c r="L98" i="12"/>
  <c r="L99" i="12"/>
  <c r="L100" i="12"/>
  <c r="L101" i="12"/>
  <c r="L102" i="12"/>
  <c r="L103" i="12"/>
  <c r="L104" i="12"/>
  <c r="L105" i="12"/>
  <c r="L106" i="12"/>
  <c r="L107" i="12"/>
  <c r="L108" i="12"/>
  <c r="L109" i="12"/>
  <c r="L110" i="12"/>
  <c r="L111" i="12"/>
  <c r="L112" i="12"/>
  <c r="L113" i="12"/>
  <c r="L114" i="12"/>
  <c r="L115" i="12"/>
  <c r="L116" i="12"/>
  <c r="L117" i="12"/>
  <c r="L118" i="12"/>
  <c r="L119" i="12"/>
  <c r="L65" i="12"/>
  <c r="K66" i="12"/>
  <c r="K67" i="12"/>
  <c r="K68" i="12"/>
  <c r="K69" i="12"/>
  <c r="K70" i="12"/>
  <c r="K71" i="12"/>
  <c r="K72" i="12"/>
  <c r="K73" i="12"/>
  <c r="K74" i="12"/>
  <c r="K76" i="12"/>
  <c r="L76" i="12" s="1"/>
  <c r="K77" i="12"/>
  <c r="K78" i="12"/>
  <c r="K79" i="12"/>
  <c r="K80" i="12"/>
  <c r="K82" i="12"/>
  <c r="K83" i="12"/>
  <c r="K84" i="12"/>
  <c r="K85" i="12"/>
  <c r="K86" i="12"/>
  <c r="K87" i="12"/>
  <c r="K88" i="12"/>
  <c r="K89" i="12"/>
  <c r="K90" i="12"/>
  <c r="K91" i="12"/>
  <c r="K92" i="12"/>
  <c r="K93" i="12"/>
  <c r="K94" i="12"/>
  <c r="K95" i="12"/>
  <c r="K96" i="12"/>
  <c r="K97" i="12"/>
  <c r="K98" i="12"/>
  <c r="K99" i="12"/>
  <c r="K100" i="12"/>
  <c r="K101" i="12"/>
  <c r="K102" i="12"/>
  <c r="K103" i="12"/>
  <c r="K104" i="12"/>
  <c r="K105" i="12"/>
  <c r="K106" i="12"/>
  <c r="K107" i="12"/>
  <c r="K108" i="12"/>
  <c r="K109" i="12"/>
  <c r="K110" i="12"/>
  <c r="K111" i="12"/>
  <c r="K65" i="12"/>
  <c r="I64" i="12"/>
  <c r="H78" i="12"/>
  <c r="H79" i="12"/>
  <c r="H80" i="12"/>
  <c r="H81" i="12"/>
  <c r="H82" i="12"/>
  <c r="H83" i="12"/>
  <c r="H84" i="12"/>
  <c r="H85" i="12"/>
  <c r="H86" i="12"/>
  <c r="H87" i="12"/>
  <c r="H88" i="12"/>
  <c r="H89" i="12"/>
  <c r="H90" i="12"/>
  <c r="H91" i="12"/>
  <c r="H92" i="12"/>
  <c r="H93" i="12"/>
  <c r="H94" i="12"/>
  <c r="H95" i="12"/>
  <c r="H96" i="12"/>
  <c r="H97" i="12"/>
  <c r="H98" i="12"/>
  <c r="H99" i="12"/>
  <c r="H100" i="12"/>
  <c r="H101" i="12"/>
  <c r="H102" i="12"/>
  <c r="H103" i="12"/>
  <c r="H104" i="12"/>
  <c r="H105" i="12"/>
  <c r="H106" i="12"/>
  <c r="H107" i="12"/>
  <c r="H108" i="12"/>
  <c r="H110" i="12"/>
  <c r="H111" i="12"/>
  <c r="H112" i="12"/>
  <c r="H113" i="12"/>
  <c r="H114" i="12"/>
  <c r="H115" i="12"/>
  <c r="H116" i="12"/>
  <c r="H117" i="12"/>
  <c r="H118" i="12"/>
  <c r="H119" i="12"/>
  <c r="G111" i="12"/>
  <c r="G106" i="12"/>
  <c r="H66" i="12"/>
  <c r="H65" i="12"/>
  <c r="G65" i="12"/>
  <c r="F111" i="12"/>
  <c r="F106" i="12"/>
  <c r="F64" i="12"/>
  <c r="E111" i="12"/>
  <c r="E109" i="12"/>
  <c r="E106" i="12"/>
  <c r="EE48" i="12"/>
  <c r="EE49" i="12"/>
  <c r="EE50" i="12"/>
  <c r="EE51" i="12"/>
  <c r="EE52" i="12"/>
  <c r="EE53" i="12"/>
  <c r="EE54" i="12"/>
  <c r="EE55" i="12"/>
  <c r="EE56" i="12"/>
  <c r="EE57" i="12"/>
  <c r="EE58" i="12"/>
  <c r="CH12" i="12"/>
  <c r="CH13" i="12"/>
  <c r="CH14" i="12"/>
  <c r="CH16" i="12"/>
  <c r="CH17" i="12"/>
  <c r="CH18" i="12"/>
  <c r="CH20" i="12"/>
  <c r="CH21" i="12"/>
  <c r="CH22" i="12"/>
  <c r="CH24" i="12"/>
  <c r="CH25" i="12"/>
  <c r="CH26" i="12"/>
  <c r="CH28" i="12"/>
  <c r="CH29" i="12"/>
  <c r="CH30" i="12"/>
  <c r="CH32" i="12"/>
  <c r="CH33" i="12"/>
  <c r="CH34" i="12"/>
  <c r="CH36" i="12"/>
  <c r="CH37" i="12"/>
  <c r="CH38" i="12"/>
  <c r="CH40" i="12"/>
  <c r="CH41" i="12"/>
  <c r="CH42" i="12"/>
  <c r="CH44" i="12"/>
  <c r="CH45" i="12"/>
  <c r="CH46" i="12"/>
  <c r="CF37" i="12"/>
  <c r="CF12" i="12"/>
  <c r="CF13" i="12"/>
  <c r="CF14" i="12"/>
  <c r="CF16" i="12"/>
  <c r="CF17" i="12"/>
  <c r="CF18" i="12"/>
  <c r="CF20" i="12"/>
  <c r="CF21" i="12"/>
  <c r="CF22" i="12"/>
  <c r="CF24" i="12"/>
  <c r="CF25" i="12"/>
  <c r="CF26" i="12"/>
  <c r="CF28" i="12"/>
  <c r="CF29" i="12"/>
  <c r="CF30" i="12"/>
  <c r="CF32" i="12"/>
  <c r="CF33" i="12"/>
  <c r="CF34" i="12"/>
  <c r="CF36" i="12"/>
  <c r="V4" i="12"/>
  <c r="AB34" i="12" l="1"/>
  <c r="AB35" i="12"/>
  <c r="AB36" i="12"/>
  <c r="AB37" i="12"/>
  <c r="AB38" i="12"/>
  <c r="AB39" i="12"/>
  <c r="AB40" i="12"/>
  <c r="AB41" i="12"/>
  <c r="AB42" i="12"/>
  <c r="AB43" i="12"/>
  <c r="AB44" i="12"/>
  <c r="AB45" i="12"/>
  <c r="AB46" i="12"/>
  <c r="Z12" i="12"/>
  <c r="Z13" i="12"/>
  <c r="Z14" i="12"/>
  <c r="Z15" i="12"/>
  <c r="Z16" i="12"/>
  <c r="Z17" i="12"/>
  <c r="Z18" i="12"/>
  <c r="Z19" i="12"/>
  <c r="Z20" i="12"/>
  <c r="Z21" i="12"/>
  <c r="Z22" i="12"/>
  <c r="Z23" i="12"/>
  <c r="Z24" i="12"/>
  <c r="Z25" i="12"/>
  <c r="Z26" i="12"/>
  <c r="Z27" i="12"/>
  <c r="Z28" i="12"/>
  <c r="Z29" i="12"/>
  <c r="Z30" i="12"/>
  <c r="Z31" i="12"/>
  <c r="Z32" i="12"/>
  <c r="Z33" i="12"/>
  <c r="Z34" i="12"/>
  <c r="Z35" i="12"/>
  <c r="Z36" i="12"/>
  <c r="Z37" i="12"/>
  <c r="Z38" i="12"/>
  <c r="Z39" i="12"/>
  <c r="Z40" i="12"/>
  <c r="Z41" i="12"/>
  <c r="Z42" i="12"/>
  <c r="Z43" i="12"/>
  <c r="Z44" i="12"/>
  <c r="Z45" i="12"/>
  <c r="BK45" i="12" s="1"/>
  <c r="Z46" i="12"/>
  <c r="Y12" i="12"/>
  <c r="Y13" i="12"/>
  <c r="Y14" i="12"/>
  <c r="Y15" i="12"/>
  <c r="Y16" i="12"/>
  <c r="Y17" i="12"/>
  <c r="Y18" i="12"/>
  <c r="Y19" i="12"/>
  <c r="Y20" i="12"/>
  <c r="Y21" i="12"/>
  <c r="Y22" i="12"/>
  <c r="Y23" i="12"/>
  <c r="Y24" i="12"/>
  <c r="Y25" i="12"/>
  <c r="Y26" i="12"/>
  <c r="Y27" i="12"/>
  <c r="Y28" i="12"/>
  <c r="Y29" i="12"/>
  <c r="Y30" i="12"/>
  <c r="Y31" i="12"/>
  <c r="Y32" i="12"/>
  <c r="Y33" i="12"/>
  <c r="Y34" i="12"/>
  <c r="Y35" i="12"/>
  <c r="Y36" i="12"/>
  <c r="Y37" i="12"/>
  <c r="Y38" i="12"/>
  <c r="Y39" i="12"/>
  <c r="Y40" i="12"/>
  <c r="Y41" i="12"/>
  <c r="Y42" i="12"/>
  <c r="Y43" i="12"/>
  <c r="Y44" i="12"/>
  <c r="Y45" i="12"/>
  <c r="BI45" i="12" s="1"/>
  <c r="Y46" i="12"/>
  <c r="BI46" i="12" s="1"/>
  <c r="F19" i="7"/>
  <c r="W12" i="12"/>
  <c r="W13" i="12"/>
  <c r="W14" i="12"/>
  <c r="W15" i="12"/>
  <c r="W16" i="12"/>
  <c r="W17" i="12"/>
  <c r="W18" i="12"/>
  <c r="W19" i="12"/>
  <c r="W20" i="12"/>
  <c r="W21" i="12"/>
  <c r="W22" i="12"/>
  <c r="W23" i="12"/>
  <c r="W24" i="12"/>
  <c r="W25" i="12"/>
  <c r="W26" i="12"/>
  <c r="W27" i="12"/>
  <c r="W28" i="12"/>
  <c r="W29" i="12"/>
  <c r="W30" i="12"/>
  <c r="W31" i="12"/>
  <c r="W32" i="12"/>
  <c r="W33" i="12"/>
  <c r="W34" i="12"/>
  <c r="W35" i="12"/>
  <c r="W36" i="12"/>
  <c r="W37" i="12"/>
  <c r="W38" i="12"/>
  <c r="W39" i="12"/>
  <c r="W40" i="12"/>
  <c r="W41" i="12"/>
  <c r="W42" i="12"/>
  <c r="W43" i="12"/>
  <c r="W44" i="12"/>
  <c r="W45" i="12"/>
  <c r="W46" i="12"/>
  <c r="W11" i="12"/>
  <c r="V12" i="12"/>
  <c r="V13" i="12"/>
  <c r="V14" i="12"/>
  <c r="V15" i="12"/>
  <c r="V16" i="12"/>
  <c r="V17" i="12"/>
  <c r="V18" i="12"/>
  <c r="V19" i="12"/>
  <c r="V20" i="12"/>
  <c r="V21" i="12"/>
  <c r="V22" i="12"/>
  <c r="V23" i="12"/>
  <c r="V24" i="12"/>
  <c r="V25" i="12"/>
  <c r="V26" i="12"/>
  <c r="V27" i="12"/>
  <c r="V28" i="12"/>
  <c r="V29" i="12"/>
  <c r="V30" i="12"/>
  <c r="V31" i="12"/>
  <c r="V32" i="12"/>
  <c r="V33" i="12"/>
  <c r="V34" i="12"/>
  <c r="V35" i="12"/>
  <c r="V36" i="12"/>
  <c r="V37" i="12"/>
  <c r="V38" i="12"/>
  <c r="V39" i="12"/>
  <c r="V40" i="12"/>
  <c r="V41" i="12"/>
  <c r="V42" i="12"/>
  <c r="V43" i="12"/>
  <c r="V44" i="12"/>
  <c r="V45" i="12"/>
  <c r="V46" i="12"/>
  <c r="V11" i="12"/>
  <c r="T12" i="12"/>
  <c r="T13" i="12"/>
  <c r="T14" i="12"/>
  <c r="T15" i="12"/>
  <c r="T16" i="12"/>
  <c r="T17" i="12"/>
  <c r="T18" i="12"/>
  <c r="T19" i="12"/>
  <c r="T20" i="12"/>
  <c r="T21" i="12"/>
  <c r="T22" i="12"/>
  <c r="T23" i="12"/>
  <c r="T24" i="12"/>
  <c r="T25" i="12"/>
  <c r="T26" i="12"/>
  <c r="T27" i="12"/>
  <c r="T28" i="12"/>
  <c r="T29" i="12"/>
  <c r="T30" i="12"/>
  <c r="T31" i="12"/>
  <c r="T32" i="12"/>
  <c r="T33" i="12"/>
  <c r="T34" i="12"/>
  <c r="T34" i="13" s="1"/>
  <c r="T35" i="12"/>
  <c r="T35" i="13" s="1"/>
  <c r="T36" i="12"/>
  <c r="T36" i="13" s="1"/>
  <c r="T37" i="12"/>
  <c r="T38" i="12"/>
  <c r="T39" i="12"/>
  <c r="T40" i="12"/>
  <c r="T41" i="12"/>
  <c r="T42" i="12"/>
  <c r="T43" i="12"/>
  <c r="T44" i="12"/>
  <c r="T45" i="12"/>
  <c r="T46" i="12"/>
  <c r="T11" i="12"/>
  <c r="R45" i="12"/>
  <c r="R46" i="12"/>
  <c r="S12" i="12"/>
  <c r="S12" i="13" s="1"/>
  <c r="S13" i="12"/>
  <c r="S13" i="13" s="1"/>
  <c r="S14" i="12"/>
  <c r="S14" i="13" s="1"/>
  <c r="S15" i="12"/>
  <c r="S15" i="13" s="1"/>
  <c r="S16" i="12"/>
  <c r="S16" i="13" s="1"/>
  <c r="S17" i="12"/>
  <c r="S17" i="13" s="1"/>
  <c r="S18" i="12"/>
  <c r="S18" i="13" s="1"/>
  <c r="S19" i="12"/>
  <c r="S19" i="13" s="1"/>
  <c r="S20" i="12"/>
  <c r="S20" i="13" s="1"/>
  <c r="S21" i="12"/>
  <c r="S21" i="13" s="1"/>
  <c r="S22" i="12"/>
  <c r="S22" i="13" s="1"/>
  <c r="S23" i="12"/>
  <c r="S23" i="13" s="1"/>
  <c r="S24" i="12"/>
  <c r="S24" i="13" s="1"/>
  <c r="S25" i="12"/>
  <c r="S25" i="13" s="1"/>
  <c r="S26" i="12"/>
  <c r="S26" i="13" s="1"/>
  <c r="S27" i="12"/>
  <c r="S27" i="13" s="1"/>
  <c r="S28" i="12"/>
  <c r="S28" i="13" s="1"/>
  <c r="S29" i="12"/>
  <c r="S29" i="13" s="1"/>
  <c r="S30" i="12"/>
  <c r="S30" i="13" s="1"/>
  <c r="S31" i="12"/>
  <c r="S31" i="13" s="1"/>
  <c r="S32" i="12"/>
  <c r="S32" i="13" s="1"/>
  <c r="S33" i="12"/>
  <c r="S33" i="13" s="1"/>
  <c r="S34" i="12"/>
  <c r="S34" i="13" s="1"/>
  <c r="S35" i="12"/>
  <c r="S36" i="12"/>
  <c r="S37" i="12"/>
  <c r="S39" i="13" s="1"/>
  <c r="S38" i="12"/>
  <c r="S40" i="13" s="1"/>
  <c r="S39" i="12"/>
  <c r="S41" i="13" s="1"/>
  <c r="S40" i="12"/>
  <c r="S42" i="13" s="1"/>
  <c r="S41" i="12"/>
  <c r="S43" i="13" s="1"/>
  <c r="S42" i="12"/>
  <c r="S44" i="13" s="1"/>
  <c r="S43" i="12"/>
  <c r="S44" i="12"/>
  <c r="S45" i="12"/>
  <c r="S46" i="12"/>
  <c r="S11" i="12"/>
  <c r="R12" i="12"/>
  <c r="R13" i="12"/>
  <c r="R14" i="12"/>
  <c r="R15" i="12"/>
  <c r="R16" i="12"/>
  <c r="R17" i="12"/>
  <c r="R18" i="12"/>
  <c r="R19" i="12"/>
  <c r="R20" i="12"/>
  <c r="R21" i="12"/>
  <c r="R22" i="12"/>
  <c r="R23" i="12"/>
  <c r="R24" i="12"/>
  <c r="R25" i="12"/>
  <c r="R26" i="12"/>
  <c r="R27" i="12"/>
  <c r="R28" i="12"/>
  <c r="R29" i="12"/>
  <c r="R30" i="12"/>
  <c r="R31" i="12"/>
  <c r="R32" i="12"/>
  <c r="R33" i="12"/>
  <c r="R34" i="12"/>
  <c r="R34" i="13" s="1"/>
  <c r="R35" i="12"/>
  <c r="R35" i="13" s="1"/>
  <c r="R36" i="12"/>
  <c r="R37" i="12"/>
  <c r="R38" i="12"/>
  <c r="R39" i="12"/>
  <c r="R40" i="12"/>
  <c r="R41" i="12"/>
  <c r="R42" i="12"/>
  <c r="R43" i="12"/>
  <c r="R44" i="12"/>
  <c r="R9" i="12"/>
  <c r="U45" i="12" s="1"/>
  <c r="S9" i="12"/>
  <c r="S9" i="13" s="1"/>
  <c r="T9" i="12"/>
  <c r="T9" i="13" s="1"/>
  <c r="R7" i="12"/>
  <c r="R4" i="12"/>
  <c r="N4" i="12"/>
  <c r="J4" i="12"/>
  <c r="D4" i="12"/>
  <c r="S8" i="12"/>
  <c r="S8" i="13" s="1"/>
  <c r="T8" i="12"/>
  <c r="T8" i="13" s="1"/>
  <c r="R8" i="12"/>
  <c r="S7" i="12"/>
  <c r="S7" i="13" s="1"/>
  <c r="T7" i="12"/>
  <c r="T7" i="13" s="1"/>
  <c r="P12" i="12"/>
  <c r="P13" i="12"/>
  <c r="P14" i="12"/>
  <c r="P15" i="12"/>
  <c r="P16" i="12"/>
  <c r="P17" i="12"/>
  <c r="P18" i="12"/>
  <c r="P19" i="12"/>
  <c r="P20" i="12"/>
  <c r="P21" i="12"/>
  <c r="P22" i="12"/>
  <c r="P23" i="12"/>
  <c r="P24" i="12"/>
  <c r="P25" i="12"/>
  <c r="P26" i="12"/>
  <c r="P27" i="12"/>
  <c r="P28" i="12"/>
  <c r="P29" i="12"/>
  <c r="P30" i="12"/>
  <c r="P31" i="12"/>
  <c r="P32" i="12"/>
  <c r="P33" i="12"/>
  <c r="P34" i="12"/>
  <c r="P35" i="12"/>
  <c r="P36" i="12"/>
  <c r="P37" i="12"/>
  <c r="P38" i="12"/>
  <c r="P39" i="12"/>
  <c r="P40" i="12"/>
  <c r="P41" i="12"/>
  <c r="P42" i="12"/>
  <c r="P43" i="12"/>
  <c r="P44" i="12"/>
  <c r="P45" i="12"/>
  <c r="P46" i="12"/>
  <c r="P11" i="12"/>
  <c r="O12" i="12"/>
  <c r="O13" i="12"/>
  <c r="O14" i="12"/>
  <c r="O15" i="12"/>
  <c r="O16" i="12"/>
  <c r="O17" i="12"/>
  <c r="O18" i="12"/>
  <c r="O19" i="12"/>
  <c r="O20" i="12"/>
  <c r="O21" i="12"/>
  <c r="O22" i="12"/>
  <c r="O23" i="12"/>
  <c r="O24" i="12"/>
  <c r="O25" i="12"/>
  <c r="O26" i="12"/>
  <c r="O27" i="12"/>
  <c r="O28" i="12"/>
  <c r="O29" i="12"/>
  <c r="O30" i="12"/>
  <c r="O31" i="12"/>
  <c r="O32" i="12"/>
  <c r="O33" i="12"/>
  <c r="O34" i="12"/>
  <c r="O35" i="12"/>
  <c r="O36" i="12"/>
  <c r="O37" i="12"/>
  <c r="O38" i="12"/>
  <c r="O39" i="12"/>
  <c r="O40" i="12"/>
  <c r="O41" i="12"/>
  <c r="O42" i="12"/>
  <c r="O43" i="12"/>
  <c r="O44" i="12"/>
  <c r="O45" i="12"/>
  <c r="O46" i="12"/>
  <c r="O11" i="12"/>
  <c r="N12" i="12"/>
  <c r="N13" i="12"/>
  <c r="N14" i="12"/>
  <c r="N15" i="12"/>
  <c r="N16" i="12"/>
  <c r="N17" i="12"/>
  <c r="N18" i="12"/>
  <c r="N19" i="12"/>
  <c r="N20" i="12"/>
  <c r="N21" i="12"/>
  <c r="N22" i="12"/>
  <c r="N23" i="12"/>
  <c r="N24" i="12"/>
  <c r="N25" i="12"/>
  <c r="N26" i="12"/>
  <c r="N27" i="12"/>
  <c r="N28" i="12"/>
  <c r="N29" i="12"/>
  <c r="N30" i="12"/>
  <c r="N31" i="12"/>
  <c r="N32" i="12"/>
  <c r="N33" i="12"/>
  <c r="N34" i="12"/>
  <c r="N35" i="12"/>
  <c r="N36" i="12"/>
  <c r="N37" i="12"/>
  <c r="N38" i="12"/>
  <c r="N39" i="12"/>
  <c r="N40" i="12"/>
  <c r="N41" i="12"/>
  <c r="N42" i="12"/>
  <c r="N43" i="12"/>
  <c r="N44" i="12"/>
  <c r="N45" i="12"/>
  <c r="N46" i="12"/>
  <c r="N11" i="12"/>
  <c r="O9" i="12"/>
  <c r="P9" i="12"/>
  <c r="N9" i="12"/>
  <c r="O8" i="12"/>
  <c r="P8" i="12"/>
  <c r="N8" i="12"/>
  <c r="O7" i="12"/>
  <c r="P7" i="12"/>
  <c r="N7" i="12"/>
  <c r="L12" i="12"/>
  <c r="L13" i="12"/>
  <c r="L14" i="12"/>
  <c r="L15" i="12"/>
  <c r="L16" i="12"/>
  <c r="L17" i="12"/>
  <c r="L18" i="12"/>
  <c r="L19" i="12"/>
  <c r="L20" i="12"/>
  <c r="L21" i="12"/>
  <c r="L22" i="12"/>
  <c r="L23" i="12"/>
  <c r="L24" i="12"/>
  <c r="L25" i="12"/>
  <c r="L26" i="12"/>
  <c r="L27" i="12"/>
  <c r="L28" i="12"/>
  <c r="L29" i="12"/>
  <c r="L30" i="12"/>
  <c r="L31" i="12"/>
  <c r="L32" i="12"/>
  <c r="L33" i="12"/>
  <c r="L34" i="12"/>
  <c r="L35" i="12"/>
  <c r="L36" i="12"/>
  <c r="L37" i="12"/>
  <c r="L38" i="12"/>
  <c r="L39" i="12"/>
  <c r="L40" i="12"/>
  <c r="L41" i="12"/>
  <c r="L42" i="12"/>
  <c r="L43" i="12"/>
  <c r="L44" i="12"/>
  <c r="L45" i="12"/>
  <c r="L46" i="12"/>
  <c r="K46" i="12"/>
  <c r="K12" i="12"/>
  <c r="K13" i="12"/>
  <c r="K14" i="12"/>
  <c r="K15" i="12"/>
  <c r="K16" i="12"/>
  <c r="K17" i="12"/>
  <c r="K18" i="12"/>
  <c r="K19" i="12"/>
  <c r="K20" i="12"/>
  <c r="K21" i="12"/>
  <c r="K22" i="12"/>
  <c r="K23" i="12"/>
  <c r="K24" i="12"/>
  <c r="K25" i="12"/>
  <c r="K26" i="12"/>
  <c r="K27" i="12"/>
  <c r="K28" i="12"/>
  <c r="K29" i="12"/>
  <c r="K30" i="12"/>
  <c r="K31" i="12"/>
  <c r="K32" i="12"/>
  <c r="K33" i="12"/>
  <c r="K34" i="12"/>
  <c r="K35" i="12"/>
  <c r="K36" i="12"/>
  <c r="K37" i="12"/>
  <c r="K38" i="12"/>
  <c r="K39" i="12"/>
  <c r="K40" i="12"/>
  <c r="K41" i="12"/>
  <c r="K42" i="12"/>
  <c r="K43" i="12"/>
  <c r="K44" i="12"/>
  <c r="K45" i="12"/>
  <c r="J12" i="12"/>
  <c r="J13" i="12"/>
  <c r="J14" i="12"/>
  <c r="J15" i="12"/>
  <c r="J16" i="12"/>
  <c r="J17" i="12"/>
  <c r="J18" i="12"/>
  <c r="J19" i="12"/>
  <c r="J20" i="12"/>
  <c r="J21" i="12"/>
  <c r="J22" i="12"/>
  <c r="J23" i="12"/>
  <c r="J24" i="12"/>
  <c r="J25" i="12"/>
  <c r="J26" i="12"/>
  <c r="J27" i="12"/>
  <c r="J28" i="12"/>
  <c r="J29" i="12"/>
  <c r="J30" i="12"/>
  <c r="J31" i="12"/>
  <c r="J32" i="12"/>
  <c r="J33" i="12"/>
  <c r="J34" i="12"/>
  <c r="J35" i="12"/>
  <c r="J36" i="12"/>
  <c r="J37" i="12"/>
  <c r="J38" i="12"/>
  <c r="J39" i="12"/>
  <c r="J40" i="12"/>
  <c r="J41" i="12"/>
  <c r="J42" i="12"/>
  <c r="J43" i="12"/>
  <c r="J44" i="12"/>
  <c r="J45" i="12"/>
  <c r="J46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4" i="13" s="1"/>
  <c r="H35" i="12"/>
  <c r="H35" i="13" s="1"/>
  <c r="H36" i="12"/>
  <c r="H36" i="13" s="1"/>
  <c r="H37" i="12"/>
  <c r="H38" i="12"/>
  <c r="H39" i="12"/>
  <c r="H40" i="12"/>
  <c r="H41" i="12"/>
  <c r="H42" i="12"/>
  <c r="H43" i="12"/>
  <c r="H44" i="12"/>
  <c r="H45" i="12"/>
  <c r="H46" i="12"/>
  <c r="H11" i="12"/>
  <c r="G12" i="12"/>
  <c r="G12" i="13" s="1"/>
  <c r="G13" i="12"/>
  <c r="G13" i="13" s="1"/>
  <c r="G14" i="12"/>
  <c r="G14" i="13" s="1"/>
  <c r="G15" i="12"/>
  <c r="G15" i="13" s="1"/>
  <c r="G16" i="12"/>
  <c r="G16" i="13" s="1"/>
  <c r="G17" i="12"/>
  <c r="G17" i="13" s="1"/>
  <c r="G18" i="12"/>
  <c r="G18" i="13" s="1"/>
  <c r="G19" i="12"/>
  <c r="G19" i="13" s="1"/>
  <c r="G20" i="12"/>
  <c r="G20" i="13" s="1"/>
  <c r="G21" i="12"/>
  <c r="G21" i="13" s="1"/>
  <c r="G22" i="12"/>
  <c r="G22" i="13" s="1"/>
  <c r="G23" i="12"/>
  <c r="G23" i="13" s="1"/>
  <c r="G24" i="12"/>
  <c r="G24" i="13" s="1"/>
  <c r="G25" i="12"/>
  <c r="G25" i="13" s="1"/>
  <c r="G26" i="12"/>
  <c r="G26" i="13" s="1"/>
  <c r="G27" i="12"/>
  <c r="G27" i="13" s="1"/>
  <c r="G28" i="12"/>
  <c r="G28" i="13" s="1"/>
  <c r="G29" i="12"/>
  <c r="G29" i="13" s="1"/>
  <c r="G30" i="12"/>
  <c r="G30" i="13" s="1"/>
  <c r="G31" i="12"/>
  <c r="G31" i="13" s="1"/>
  <c r="G32" i="12"/>
  <c r="G32" i="13" s="1"/>
  <c r="G33" i="12"/>
  <c r="G33" i="13" s="1"/>
  <c r="G34" i="12"/>
  <c r="G35" i="12"/>
  <c r="G36" i="12"/>
  <c r="G38" i="13" s="1"/>
  <c r="G37" i="12"/>
  <c r="G39" i="13" s="1"/>
  <c r="G38" i="12"/>
  <c r="G40" i="13" s="1"/>
  <c r="G39" i="12"/>
  <c r="G41" i="13" s="1"/>
  <c r="G40" i="12"/>
  <c r="G42" i="13" s="1"/>
  <c r="G41" i="12"/>
  <c r="G43" i="13" s="1"/>
  <c r="G42" i="12"/>
  <c r="G44" i="13" s="1"/>
  <c r="G43" i="12"/>
  <c r="G44" i="12"/>
  <c r="G45" i="12"/>
  <c r="G46" i="12"/>
  <c r="G11" i="12"/>
  <c r="G11" i="13" s="1"/>
  <c r="F12" i="12"/>
  <c r="F12" i="13" s="1"/>
  <c r="F13" i="12"/>
  <c r="F13" i="13" s="1"/>
  <c r="F14" i="12"/>
  <c r="F14" i="13" s="1"/>
  <c r="F15" i="12"/>
  <c r="F15" i="13" s="1"/>
  <c r="F16" i="12"/>
  <c r="F16" i="13" s="1"/>
  <c r="F17" i="12"/>
  <c r="F17" i="13" s="1"/>
  <c r="F18" i="12"/>
  <c r="F18" i="13" s="1"/>
  <c r="F19" i="12"/>
  <c r="F19" i="13" s="1"/>
  <c r="F20" i="12"/>
  <c r="F20" i="13" s="1"/>
  <c r="F21" i="12"/>
  <c r="F21" i="13" s="1"/>
  <c r="F22" i="12"/>
  <c r="F22" i="13" s="1"/>
  <c r="F23" i="12"/>
  <c r="F23" i="13" s="1"/>
  <c r="F24" i="12"/>
  <c r="F24" i="13" s="1"/>
  <c r="F25" i="12"/>
  <c r="F25" i="13" s="1"/>
  <c r="F26" i="12"/>
  <c r="F26" i="13" s="1"/>
  <c r="F27" i="12"/>
  <c r="F27" i="13" s="1"/>
  <c r="F28" i="12"/>
  <c r="F28" i="13" s="1"/>
  <c r="F29" i="12"/>
  <c r="F29" i="13" s="1"/>
  <c r="F30" i="12"/>
  <c r="F30" i="13" s="1"/>
  <c r="F31" i="12"/>
  <c r="F31" i="13" s="1"/>
  <c r="F32" i="12"/>
  <c r="F32" i="13" s="1"/>
  <c r="F33" i="12"/>
  <c r="F33" i="13" s="1"/>
  <c r="F34" i="12"/>
  <c r="F35" i="12"/>
  <c r="F36" i="12"/>
  <c r="F38" i="13" s="1"/>
  <c r="F37" i="12"/>
  <c r="F39" i="13" s="1"/>
  <c r="F38" i="12"/>
  <c r="F40" i="13" s="1"/>
  <c r="F39" i="12"/>
  <c r="F41" i="13" s="1"/>
  <c r="F40" i="12"/>
  <c r="F42" i="13" s="1"/>
  <c r="F41" i="12"/>
  <c r="F43" i="13" s="1"/>
  <c r="F42" i="12"/>
  <c r="F44" i="13" s="1"/>
  <c r="F43" i="12"/>
  <c r="F44" i="12"/>
  <c r="F45" i="12"/>
  <c r="F46" i="12"/>
  <c r="F11" i="12"/>
  <c r="F11" i="13" s="1"/>
  <c r="E12" i="12"/>
  <c r="E12" i="13" s="1"/>
  <c r="E13" i="12"/>
  <c r="E13" i="13" s="1"/>
  <c r="E14" i="12"/>
  <c r="E14" i="13" s="1"/>
  <c r="E15" i="12"/>
  <c r="E15" i="13" s="1"/>
  <c r="E16" i="12"/>
  <c r="E16" i="13" s="1"/>
  <c r="E17" i="12"/>
  <c r="E17" i="13" s="1"/>
  <c r="E18" i="12"/>
  <c r="E18" i="13" s="1"/>
  <c r="E19" i="12"/>
  <c r="E19" i="13" s="1"/>
  <c r="E20" i="12"/>
  <c r="E20" i="13" s="1"/>
  <c r="E21" i="12"/>
  <c r="E21" i="13" s="1"/>
  <c r="E22" i="12"/>
  <c r="E22" i="13" s="1"/>
  <c r="E23" i="12"/>
  <c r="E23" i="13" s="1"/>
  <c r="E24" i="12"/>
  <c r="E24" i="13" s="1"/>
  <c r="E25" i="12"/>
  <c r="E25" i="13" s="1"/>
  <c r="E26" i="12"/>
  <c r="E26" i="13" s="1"/>
  <c r="E27" i="12"/>
  <c r="E27" i="13" s="1"/>
  <c r="E28" i="12"/>
  <c r="E28" i="13" s="1"/>
  <c r="E29" i="12"/>
  <c r="E29" i="13" s="1"/>
  <c r="E30" i="12"/>
  <c r="E30" i="13" s="1"/>
  <c r="E31" i="12"/>
  <c r="E31" i="13" s="1"/>
  <c r="E32" i="12"/>
  <c r="E32" i="13" s="1"/>
  <c r="E33" i="12"/>
  <c r="E33" i="13" s="1"/>
  <c r="E34" i="12"/>
  <c r="E35" i="12"/>
  <c r="E36" i="12"/>
  <c r="E38" i="13" s="1"/>
  <c r="E37" i="12"/>
  <c r="E39" i="13" s="1"/>
  <c r="E38" i="12"/>
  <c r="E40" i="13" s="1"/>
  <c r="E39" i="12"/>
  <c r="E41" i="13" s="1"/>
  <c r="E40" i="12"/>
  <c r="E42" i="13" s="1"/>
  <c r="E41" i="12"/>
  <c r="E43" i="13" s="1"/>
  <c r="E42" i="12"/>
  <c r="E44" i="13" s="1"/>
  <c r="E43" i="12"/>
  <c r="E44" i="12"/>
  <c r="E45" i="12"/>
  <c r="E46" i="12"/>
  <c r="E11" i="12"/>
  <c r="D12" i="12"/>
  <c r="D12" i="13" s="1"/>
  <c r="D13" i="12"/>
  <c r="D13" i="13" s="1"/>
  <c r="D14" i="12"/>
  <c r="D14" i="13" s="1"/>
  <c r="D15" i="12"/>
  <c r="D15" i="13" s="1"/>
  <c r="D16" i="12"/>
  <c r="D16" i="13" s="1"/>
  <c r="D17" i="12"/>
  <c r="D17" i="13" s="1"/>
  <c r="D18" i="12"/>
  <c r="D18" i="13" s="1"/>
  <c r="D19" i="12"/>
  <c r="D19" i="13" s="1"/>
  <c r="D20" i="12"/>
  <c r="D20" i="13" s="1"/>
  <c r="D21" i="12"/>
  <c r="D21" i="13" s="1"/>
  <c r="D22" i="12"/>
  <c r="D22" i="13" s="1"/>
  <c r="D23" i="12"/>
  <c r="D23" i="13" s="1"/>
  <c r="D24" i="12"/>
  <c r="D24" i="13" s="1"/>
  <c r="D25" i="12"/>
  <c r="D25" i="13" s="1"/>
  <c r="D26" i="12"/>
  <c r="D26" i="13" s="1"/>
  <c r="D27" i="12"/>
  <c r="D27" i="13" s="1"/>
  <c r="D28" i="12"/>
  <c r="D28" i="13" s="1"/>
  <c r="D29" i="12"/>
  <c r="D29" i="13" s="1"/>
  <c r="D30" i="12"/>
  <c r="D30" i="13" s="1"/>
  <c r="D31" i="12"/>
  <c r="D31" i="13" s="1"/>
  <c r="D32" i="12"/>
  <c r="D32" i="13" s="1"/>
  <c r="D33" i="12"/>
  <c r="D33" i="13" s="1"/>
  <c r="D34" i="12"/>
  <c r="D35" i="12"/>
  <c r="D36" i="12"/>
  <c r="D38" i="13" s="1"/>
  <c r="D37" i="12"/>
  <c r="D39" i="13" s="1"/>
  <c r="D38" i="12"/>
  <c r="D40" i="13" s="1"/>
  <c r="D39" i="12"/>
  <c r="D41" i="13" s="1"/>
  <c r="D40" i="12"/>
  <c r="D42" i="13" s="1"/>
  <c r="D41" i="12"/>
  <c r="D43" i="13" s="1"/>
  <c r="D42" i="12"/>
  <c r="D44" i="13" s="1"/>
  <c r="D43" i="12"/>
  <c r="D44" i="12"/>
  <c r="D45" i="12"/>
  <c r="D46" i="12"/>
  <c r="L11" i="12"/>
  <c r="K11" i="12"/>
  <c r="J11" i="12"/>
  <c r="K8" i="12"/>
  <c r="L8" i="12"/>
  <c r="J8" i="12"/>
  <c r="K7" i="12"/>
  <c r="L7" i="12"/>
  <c r="J7" i="12"/>
  <c r="K9" i="12"/>
  <c r="L9" i="12"/>
  <c r="J9" i="12"/>
  <c r="EC9" i="12" s="1"/>
  <c r="J6" i="12"/>
  <c r="J5" i="12"/>
  <c r="D11" i="12"/>
  <c r="E9" i="12"/>
  <c r="F9" i="12"/>
  <c r="G9" i="12"/>
  <c r="H9" i="12"/>
  <c r="D9" i="12"/>
  <c r="E8" i="12"/>
  <c r="E8" i="13" s="1"/>
  <c r="F8" i="12"/>
  <c r="F8" i="13" s="1"/>
  <c r="G8" i="12"/>
  <c r="G8" i="13" s="1"/>
  <c r="H8" i="12"/>
  <c r="H8" i="13" s="1"/>
  <c r="D8" i="12"/>
  <c r="E7" i="12"/>
  <c r="E7" i="13" s="1"/>
  <c r="F7" i="12"/>
  <c r="F7" i="13" s="1"/>
  <c r="G7" i="12"/>
  <c r="G7" i="13" s="1"/>
  <c r="H7" i="12"/>
  <c r="H7" i="13" s="1"/>
  <c r="D7" i="12"/>
  <c r="D6" i="12"/>
  <c r="D5" i="12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6" i="9"/>
  <c r="E37" i="9"/>
  <c r="E38" i="9"/>
  <c r="E39" i="9"/>
  <c r="E40" i="9"/>
  <c r="E41" i="9"/>
  <c r="E42" i="9"/>
  <c r="F42" i="9" s="1"/>
  <c r="E43" i="9"/>
  <c r="F43" i="9" s="1"/>
  <c r="E44" i="9"/>
  <c r="E45" i="9"/>
  <c r="E46" i="9"/>
  <c r="E47" i="9"/>
  <c r="E48" i="9"/>
  <c r="E49" i="9"/>
  <c r="E50" i="9"/>
  <c r="E51" i="9"/>
  <c r="E52" i="9"/>
  <c r="E19" i="9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G41" i="8" s="1"/>
  <c r="F42" i="8"/>
  <c r="F43" i="8"/>
  <c r="F44" i="8"/>
  <c r="G44" i="8" s="1"/>
  <c r="F45" i="8"/>
  <c r="G45" i="8" s="1"/>
  <c r="F46" i="8"/>
  <c r="F47" i="8"/>
  <c r="F48" i="8"/>
  <c r="G48" i="8" s="1"/>
  <c r="F49" i="8"/>
  <c r="G49" i="8" s="1"/>
  <c r="F50" i="8"/>
  <c r="F51" i="8"/>
  <c r="G42" i="8"/>
  <c r="G43" i="8"/>
  <c r="G46" i="8"/>
  <c r="G47" i="8"/>
  <c r="G50" i="8"/>
  <c r="G51" i="8"/>
  <c r="G42" i="7"/>
  <c r="G43" i="7"/>
  <c r="F42" i="7"/>
  <c r="F43" i="7"/>
  <c r="E61" i="6"/>
  <c r="S58" i="12" l="1"/>
  <c r="S11" i="13"/>
  <c r="S35" i="13"/>
  <c r="S37" i="13"/>
  <c r="S36" i="13"/>
  <c r="S38" i="13"/>
  <c r="BW9" i="12"/>
  <c r="E71" i="12" s="1"/>
  <c r="H9" i="13"/>
  <c r="BU9" i="12"/>
  <c r="E70" i="12" s="1"/>
  <c r="G9" i="13"/>
  <c r="BS9" i="12"/>
  <c r="E69" i="12" s="1"/>
  <c r="F9" i="13"/>
  <c r="D35" i="13"/>
  <c r="D37" i="13"/>
  <c r="E11" i="13"/>
  <c r="BQ11" i="12"/>
  <c r="E35" i="13"/>
  <c r="E37" i="13"/>
  <c r="F35" i="13"/>
  <c r="F37" i="13"/>
  <c r="G35" i="13"/>
  <c r="G37" i="13"/>
  <c r="BQ9" i="12"/>
  <c r="E68" i="12" s="1"/>
  <c r="E9" i="13"/>
  <c r="D34" i="13"/>
  <c r="D36" i="13"/>
  <c r="E34" i="13"/>
  <c r="E36" i="13"/>
  <c r="F34" i="13"/>
  <c r="F36" i="13"/>
  <c r="G34" i="13"/>
  <c r="G36" i="13"/>
  <c r="BS13" i="12"/>
  <c r="BW41" i="12"/>
  <c r="BW37" i="12"/>
  <c r="BX37" i="12" s="1"/>
  <c r="BW33" i="12"/>
  <c r="BX33" i="12" s="1"/>
  <c r="BW29" i="12"/>
  <c r="BW25" i="12"/>
  <c r="BW21" i="12"/>
  <c r="BX21" i="12" s="1"/>
  <c r="BW17" i="12"/>
  <c r="BX17" i="12" s="1"/>
  <c r="BW13" i="12"/>
  <c r="EC36" i="12"/>
  <c r="EC32" i="12"/>
  <c r="ED32" i="12" s="1"/>
  <c r="EC28" i="12"/>
  <c r="EC24" i="12"/>
  <c r="EC20" i="12"/>
  <c r="EC16" i="12"/>
  <c r="EC12" i="12"/>
  <c r="EI34" i="12"/>
  <c r="EI30" i="12"/>
  <c r="EI26" i="12"/>
  <c r="EI22" i="12"/>
  <c r="EI18" i="12"/>
  <c r="EI14" i="12"/>
  <c r="EM34" i="12"/>
  <c r="EM30" i="12"/>
  <c r="EM26" i="12"/>
  <c r="EM22" i="12"/>
  <c r="EM18" i="12"/>
  <c r="EM14" i="12"/>
  <c r="BS12" i="12"/>
  <c r="BW44" i="12"/>
  <c r="BW40" i="12"/>
  <c r="BX40" i="12" s="1"/>
  <c r="BW36" i="12"/>
  <c r="BX36" i="12" s="1"/>
  <c r="BW32" i="12"/>
  <c r="BW28" i="12"/>
  <c r="BW24" i="12"/>
  <c r="BX24" i="12" s="1"/>
  <c r="BW20" i="12"/>
  <c r="BX20" i="12" s="1"/>
  <c r="BW16" i="12"/>
  <c r="BW12" i="12"/>
  <c r="EC35" i="12"/>
  <c r="ED35" i="12" s="1"/>
  <c r="EC31" i="12"/>
  <c r="EC27" i="12"/>
  <c r="EC23" i="12"/>
  <c r="EC19" i="12"/>
  <c r="EC15" i="12"/>
  <c r="EI33" i="12"/>
  <c r="EI29" i="12"/>
  <c r="EI25" i="12"/>
  <c r="EI21" i="12"/>
  <c r="EI17" i="12"/>
  <c r="EI13" i="12"/>
  <c r="EM33" i="12"/>
  <c r="EM29" i="12"/>
  <c r="EM25" i="12"/>
  <c r="EM21" i="12"/>
  <c r="EM17" i="12"/>
  <c r="EM13" i="12"/>
  <c r="BU11" i="12"/>
  <c r="BW11" i="12"/>
  <c r="BW43" i="12"/>
  <c r="BX43" i="12" s="1"/>
  <c r="BW39" i="12"/>
  <c r="BW35" i="12"/>
  <c r="BW31" i="12"/>
  <c r="BX31" i="12" s="1"/>
  <c r="BW27" i="12"/>
  <c r="BX27" i="12" s="1"/>
  <c r="BW23" i="12"/>
  <c r="BW19" i="12"/>
  <c r="BW15" i="12"/>
  <c r="BX15" i="12" s="1"/>
  <c r="EC34" i="12"/>
  <c r="ED34" i="12" s="1"/>
  <c r="EC30" i="12"/>
  <c r="EC26" i="12"/>
  <c r="EC22" i="12"/>
  <c r="EC18" i="12"/>
  <c r="EC14" i="12"/>
  <c r="EI32" i="12"/>
  <c r="EI28" i="12"/>
  <c r="EI24" i="12"/>
  <c r="EI20" i="12"/>
  <c r="EI16" i="12"/>
  <c r="EI12" i="12"/>
  <c r="EM32" i="12"/>
  <c r="EM28" i="12"/>
  <c r="EM24" i="12"/>
  <c r="EM20" i="12"/>
  <c r="EM16" i="12"/>
  <c r="EM12" i="12"/>
  <c r="BW42" i="12"/>
  <c r="BW38" i="12"/>
  <c r="BX38" i="12" s="1"/>
  <c r="BW34" i="12"/>
  <c r="BX34" i="12" s="1"/>
  <c r="BW30" i="12"/>
  <c r="BW26" i="12"/>
  <c r="BW22" i="12"/>
  <c r="BX22" i="12" s="1"/>
  <c r="BW18" i="12"/>
  <c r="BX18" i="12" s="1"/>
  <c r="BW14" i="12"/>
  <c r="EC33" i="12"/>
  <c r="ED33" i="12" s="1"/>
  <c r="EC29" i="12"/>
  <c r="EC25" i="12"/>
  <c r="EC21" i="12"/>
  <c r="EC17" i="12"/>
  <c r="EC13" i="12"/>
  <c r="EI35" i="12"/>
  <c r="EI27" i="12"/>
  <c r="EI23" i="12"/>
  <c r="EI19" i="12"/>
  <c r="EI15" i="12"/>
  <c r="EM35" i="12"/>
  <c r="EM31" i="12"/>
  <c r="EM27" i="12"/>
  <c r="EM23" i="12"/>
  <c r="EM19" i="12"/>
  <c r="EM15" i="12"/>
  <c r="BK46" i="12"/>
  <c r="BO9" i="12"/>
  <c r="E67" i="12" s="1"/>
  <c r="BO42" i="12"/>
  <c r="BP42" i="12" s="1"/>
  <c r="BO38" i="12"/>
  <c r="BP38" i="12" s="1"/>
  <c r="BO34" i="12"/>
  <c r="BP34" i="12" s="1"/>
  <c r="BO30" i="12"/>
  <c r="BP30" i="12" s="1"/>
  <c r="BO26" i="12"/>
  <c r="BP26" i="12" s="1"/>
  <c r="BO22" i="12"/>
  <c r="BP22" i="12" s="1"/>
  <c r="BO18" i="12"/>
  <c r="BP18" i="12" s="1"/>
  <c r="BO14" i="12"/>
  <c r="BP14" i="12" s="1"/>
  <c r="BQ42" i="12"/>
  <c r="BR42" i="12" s="1"/>
  <c r="BQ38" i="12"/>
  <c r="BR38" i="12" s="1"/>
  <c r="BQ34" i="12"/>
  <c r="BR34" i="12" s="1"/>
  <c r="BQ30" i="12"/>
  <c r="BQ26" i="12"/>
  <c r="BR26" i="12" s="1"/>
  <c r="BQ22" i="12"/>
  <c r="BR22" i="12" s="1"/>
  <c r="BQ18" i="12"/>
  <c r="BR18" i="12" s="1"/>
  <c r="BQ14" i="12"/>
  <c r="BR14" i="12" s="1"/>
  <c r="BS42" i="12"/>
  <c r="BS38" i="12"/>
  <c r="BS34" i="12"/>
  <c r="BT34" i="12" s="1"/>
  <c r="BS30" i="12"/>
  <c r="BT30" i="12" s="1"/>
  <c r="BS26" i="12"/>
  <c r="BS22" i="12"/>
  <c r="BS18" i="12"/>
  <c r="BT18" i="12" s="1"/>
  <c r="BS14" i="12"/>
  <c r="BT14" i="12" s="1"/>
  <c r="BU42" i="12"/>
  <c r="BV42" i="12" s="1"/>
  <c r="BU38" i="12"/>
  <c r="BV38" i="12" s="1"/>
  <c r="BU34" i="12"/>
  <c r="BV34" i="12" s="1"/>
  <c r="BU30" i="12"/>
  <c r="BV30" i="12" s="1"/>
  <c r="BU26" i="12"/>
  <c r="BV26" i="12" s="1"/>
  <c r="BU22" i="12"/>
  <c r="BV22" i="12" s="1"/>
  <c r="BU18" i="12"/>
  <c r="BV18" i="12" s="1"/>
  <c r="BU14" i="12"/>
  <c r="BV14" i="12" s="1"/>
  <c r="BO11" i="12"/>
  <c r="BP11" i="12" s="1"/>
  <c r="BO41" i="12"/>
  <c r="BP41" i="12" s="1"/>
  <c r="BO37" i="12"/>
  <c r="BP37" i="12" s="1"/>
  <c r="BO33" i="12"/>
  <c r="BP33" i="12" s="1"/>
  <c r="BO29" i="12"/>
  <c r="BP29" i="12" s="1"/>
  <c r="BO25" i="12"/>
  <c r="BP25" i="12" s="1"/>
  <c r="BO21" i="12"/>
  <c r="BP21" i="12" s="1"/>
  <c r="BO17" i="12"/>
  <c r="BP17" i="12" s="1"/>
  <c r="BO13" i="12"/>
  <c r="BP13" i="12" s="1"/>
  <c r="BQ41" i="12"/>
  <c r="BR41" i="12" s="1"/>
  <c r="BQ37" i="12"/>
  <c r="BR37" i="12" s="1"/>
  <c r="BQ33" i="12"/>
  <c r="BR33" i="12" s="1"/>
  <c r="BQ29" i="12"/>
  <c r="BR29" i="12" s="1"/>
  <c r="BQ25" i="12"/>
  <c r="BR25" i="12" s="1"/>
  <c r="BQ21" i="12"/>
  <c r="BR21" i="12" s="1"/>
  <c r="BQ17" i="12"/>
  <c r="BR17" i="12" s="1"/>
  <c r="BQ13" i="12"/>
  <c r="BR13" i="12" s="1"/>
  <c r="BS41" i="12"/>
  <c r="BS37" i="12"/>
  <c r="BT37" i="12" s="1"/>
  <c r="BS33" i="12"/>
  <c r="BT33" i="12" s="1"/>
  <c r="BS29" i="12"/>
  <c r="BS25" i="12"/>
  <c r="BS21" i="12"/>
  <c r="BT21" i="12" s="1"/>
  <c r="BS17" i="12"/>
  <c r="BT17" i="12" s="1"/>
  <c r="BU41" i="12"/>
  <c r="BV41" i="12" s="1"/>
  <c r="BU37" i="12"/>
  <c r="BV37" i="12" s="1"/>
  <c r="BU33" i="12"/>
  <c r="BV33" i="12" s="1"/>
  <c r="BU29" i="12"/>
  <c r="BV29" i="12" s="1"/>
  <c r="BU25" i="12"/>
  <c r="BV25" i="12" s="1"/>
  <c r="BU21" i="12"/>
  <c r="BV21" i="12" s="1"/>
  <c r="BU17" i="12"/>
  <c r="BV17" i="12" s="1"/>
  <c r="BU13" i="12"/>
  <c r="BV13" i="12" s="1"/>
  <c r="BO44" i="12"/>
  <c r="BP44" i="12" s="1"/>
  <c r="BO40" i="12"/>
  <c r="BP40" i="12" s="1"/>
  <c r="BO36" i="12"/>
  <c r="BP36" i="12" s="1"/>
  <c r="BO32" i="12"/>
  <c r="BP32" i="12" s="1"/>
  <c r="BO28" i="12"/>
  <c r="BP28" i="12" s="1"/>
  <c r="BO24" i="12"/>
  <c r="BP24" i="12" s="1"/>
  <c r="BO20" i="12"/>
  <c r="BP20" i="12" s="1"/>
  <c r="BO16" i="12"/>
  <c r="BP16" i="12" s="1"/>
  <c r="BO12" i="12"/>
  <c r="BP12" i="12" s="1"/>
  <c r="BQ44" i="12"/>
  <c r="BR44" i="12" s="1"/>
  <c r="BQ40" i="12"/>
  <c r="BR40" i="12" s="1"/>
  <c r="BQ36" i="12"/>
  <c r="BR36" i="12" s="1"/>
  <c r="BQ32" i="12"/>
  <c r="BR32" i="12" s="1"/>
  <c r="BQ28" i="12"/>
  <c r="BR28" i="12" s="1"/>
  <c r="BQ24" i="12"/>
  <c r="BR24" i="12" s="1"/>
  <c r="BQ20" i="12"/>
  <c r="BR20" i="12" s="1"/>
  <c r="BQ16" i="12"/>
  <c r="BR16" i="12" s="1"/>
  <c r="BQ12" i="12"/>
  <c r="BR12" i="12" s="1"/>
  <c r="BS44" i="12"/>
  <c r="BT44" i="12" s="1"/>
  <c r="BS40" i="12"/>
  <c r="BS36" i="12"/>
  <c r="BS32" i="12"/>
  <c r="BT32" i="12" s="1"/>
  <c r="BS28" i="12"/>
  <c r="BT28" i="12" s="1"/>
  <c r="BS24" i="12"/>
  <c r="BS20" i="12"/>
  <c r="BS16" i="12"/>
  <c r="BT16" i="12" s="1"/>
  <c r="BT12" i="12"/>
  <c r="BU44" i="12"/>
  <c r="BV44" i="12" s="1"/>
  <c r="BU40" i="12"/>
  <c r="BV40" i="12" s="1"/>
  <c r="BU36" i="12"/>
  <c r="BV36" i="12" s="1"/>
  <c r="BU32" i="12"/>
  <c r="BV32" i="12" s="1"/>
  <c r="BU28" i="12"/>
  <c r="BV28" i="12" s="1"/>
  <c r="BU24" i="12"/>
  <c r="BV24" i="12" s="1"/>
  <c r="BU20" i="12"/>
  <c r="BV20" i="12" s="1"/>
  <c r="BU16" i="12"/>
  <c r="BV16" i="12" s="1"/>
  <c r="BU12" i="12"/>
  <c r="BV12" i="12" s="1"/>
  <c r="BO43" i="12"/>
  <c r="BP43" i="12" s="1"/>
  <c r="BO39" i="12"/>
  <c r="BP39" i="12" s="1"/>
  <c r="BO35" i="12"/>
  <c r="BP35" i="12" s="1"/>
  <c r="BO31" i="12"/>
  <c r="BP31" i="12" s="1"/>
  <c r="BO27" i="12"/>
  <c r="BP27" i="12" s="1"/>
  <c r="BO23" i="12"/>
  <c r="BP23" i="12" s="1"/>
  <c r="BO19" i="12"/>
  <c r="BP19" i="12" s="1"/>
  <c r="BO15" i="12"/>
  <c r="BP15" i="12" s="1"/>
  <c r="BQ43" i="12"/>
  <c r="BR43" i="12" s="1"/>
  <c r="BQ39" i="12"/>
  <c r="BR39" i="12" s="1"/>
  <c r="BQ35" i="12"/>
  <c r="BR35" i="12" s="1"/>
  <c r="BQ31" i="12"/>
  <c r="BR31" i="12" s="1"/>
  <c r="BQ27" i="12"/>
  <c r="BR27" i="12" s="1"/>
  <c r="BQ23" i="12"/>
  <c r="BR23" i="12" s="1"/>
  <c r="BQ19" i="12"/>
  <c r="BR19" i="12" s="1"/>
  <c r="BQ15" i="12"/>
  <c r="BR15" i="12" s="1"/>
  <c r="BS43" i="12"/>
  <c r="BS39" i="12"/>
  <c r="BT39" i="12" s="1"/>
  <c r="BS35" i="12"/>
  <c r="BT35" i="12" s="1"/>
  <c r="BS31" i="12"/>
  <c r="BS27" i="12"/>
  <c r="BS23" i="12"/>
  <c r="BT23" i="12" s="1"/>
  <c r="BS19" i="12"/>
  <c r="BT19" i="12" s="1"/>
  <c r="BS15" i="12"/>
  <c r="BU43" i="12"/>
  <c r="BV43" i="12" s="1"/>
  <c r="BU39" i="12"/>
  <c r="BV39" i="12" s="1"/>
  <c r="BU35" i="12"/>
  <c r="BV35" i="12" s="1"/>
  <c r="BU31" i="12"/>
  <c r="BV31" i="12" s="1"/>
  <c r="BU27" i="12"/>
  <c r="BV27" i="12" s="1"/>
  <c r="BU23" i="12"/>
  <c r="BV23" i="12" s="1"/>
  <c r="BU19" i="12"/>
  <c r="BV19" i="12" s="1"/>
  <c r="BU15" i="12"/>
  <c r="BV15" i="12" s="1"/>
  <c r="U44" i="12"/>
  <c r="U40" i="12"/>
  <c r="U36" i="12"/>
  <c r="U32" i="12"/>
  <c r="U28" i="12"/>
  <c r="U24" i="12"/>
  <c r="U20" i="12"/>
  <c r="U16" i="12"/>
  <c r="U12" i="12"/>
  <c r="Q45" i="12"/>
  <c r="Q41" i="12"/>
  <c r="U43" i="12"/>
  <c r="U39" i="12"/>
  <c r="U35" i="12"/>
  <c r="U31" i="12"/>
  <c r="U27" i="12"/>
  <c r="U23" i="12"/>
  <c r="U19" i="12"/>
  <c r="U15" i="12"/>
  <c r="U46" i="12"/>
  <c r="U41" i="12"/>
  <c r="U37" i="12"/>
  <c r="U33" i="12"/>
  <c r="U29" i="12"/>
  <c r="U25" i="12"/>
  <c r="U21" i="12"/>
  <c r="U17" i="12"/>
  <c r="U13" i="12"/>
  <c r="U42" i="12"/>
  <c r="U38" i="12"/>
  <c r="U34" i="12"/>
  <c r="U30" i="12"/>
  <c r="U26" i="12"/>
  <c r="U22" i="12"/>
  <c r="U18" i="12"/>
  <c r="U14" i="12"/>
  <c r="Q33" i="12"/>
  <c r="Q25" i="12"/>
  <c r="Q17" i="12"/>
  <c r="Q44" i="12"/>
  <c r="Q40" i="12"/>
  <c r="Q36" i="12"/>
  <c r="Q32" i="12"/>
  <c r="Q28" i="12"/>
  <c r="Q24" i="12"/>
  <c r="Q20" i="12"/>
  <c r="Q16" i="12"/>
  <c r="Q12" i="12"/>
  <c r="Q11" i="12"/>
  <c r="Q43" i="12"/>
  <c r="Q39" i="12"/>
  <c r="Q35" i="12"/>
  <c r="Q31" i="12"/>
  <c r="Q27" i="12"/>
  <c r="Q23" i="12"/>
  <c r="Q19" i="12"/>
  <c r="Q15" i="12"/>
  <c r="Q37" i="12"/>
  <c r="Q29" i="12"/>
  <c r="Q21" i="12"/>
  <c r="Q13" i="12"/>
  <c r="Q46" i="12"/>
  <c r="Q42" i="12"/>
  <c r="Q38" i="12"/>
  <c r="Q34" i="12"/>
  <c r="Q30" i="12"/>
  <c r="Q26" i="12"/>
  <c r="Q22" i="12"/>
  <c r="Q18" i="12"/>
  <c r="Q14" i="12"/>
  <c r="M39" i="12"/>
  <c r="M31" i="12"/>
  <c r="M23" i="12"/>
  <c r="M19" i="12"/>
  <c r="I35" i="12"/>
  <c r="M43" i="12"/>
  <c r="M35" i="12"/>
  <c r="M27" i="12"/>
  <c r="M15" i="12"/>
  <c r="M12" i="12"/>
  <c r="I34" i="12"/>
  <c r="M45" i="12"/>
  <c r="M41" i="12"/>
  <c r="M37" i="12"/>
  <c r="M33" i="12"/>
  <c r="M29" i="12"/>
  <c r="M25" i="12"/>
  <c r="M21" i="12"/>
  <c r="M17" i="12"/>
  <c r="M13" i="12"/>
  <c r="M46" i="12"/>
  <c r="M42" i="12"/>
  <c r="M38" i="12"/>
  <c r="M34" i="12"/>
  <c r="M30" i="12"/>
  <c r="M26" i="12"/>
  <c r="M22" i="12"/>
  <c r="M18" i="12"/>
  <c r="M14" i="12"/>
  <c r="M44" i="12"/>
  <c r="M40" i="12"/>
  <c r="M36" i="12"/>
  <c r="M32" i="12"/>
  <c r="M28" i="12"/>
  <c r="M24" i="12"/>
  <c r="M20" i="12"/>
  <c r="M16" i="12"/>
  <c r="I44" i="12"/>
  <c r="I18" i="12"/>
  <c r="E58" i="12"/>
  <c r="I40" i="12"/>
  <c r="I30" i="12"/>
  <c r="I22" i="12"/>
  <c r="H58" i="12"/>
  <c r="I46" i="12"/>
  <c r="I42" i="12"/>
  <c r="I38" i="12"/>
  <c r="I32" i="12"/>
  <c r="I28" i="12"/>
  <c r="I24" i="12"/>
  <c r="I20" i="12"/>
  <c r="I16" i="12"/>
  <c r="I12" i="12"/>
  <c r="I36" i="12"/>
  <c r="I26" i="12"/>
  <c r="I14" i="12"/>
  <c r="I11" i="12"/>
  <c r="G58" i="12"/>
  <c r="I45" i="12"/>
  <c r="I43" i="12"/>
  <c r="I41" i="12"/>
  <c r="I39" i="12"/>
  <c r="I37" i="12"/>
  <c r="I33" i="12"/>
  <c r="I31" i="12"/>
  <c r="I29" i="12"/>
  <c r="I27" i="12"/>
  <c r="I25" i="12"/>
  <c r="I23" i="12"/>
  <c r="I21" i="12"/>
  <c r="I19" i="12"/>
  <c r="I17" i="12"/>
  <c r="I15" i="12"/>
  <c r="I13" i="12"/>
  <c r="M11" i="12"/>
  <c r="F58" i="12"/>
  <c r="H42" i="6"/>
  <c r="H43" i="6"/>
  <c r="F60" i="6"/>
  <c r="E60" i="6"/>
  <c r="D60" i="6"/>
  <c r="E59" i="6"/>
  <c r="F59" i="6"/>
  <c r="D59" i="6"/>
  <c r="E58" i="6"/>
  <c r="F58" i="6"/>
  <c r="D58" i="6"/>
  <c r="E57" i="6"/>
  <c r="F57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19" i="6"/>
  <c r="E56" i="6"/>
  <c r="E60" i="5"/>
  <c r="F60" i="5"/>
  <c r="D60" i="5"/>
  <c r="E59" i="5"/>
  <c r="F59" i="5"/>
  <c r="D59" i="5"/>
  <c r="E58" i="5"/>
  <c r="F58" i="5"/>
  <c r="D58" i="5"/>
  <c r="E57" i="5"/>
  <c r="E56" i="5"/>
  <c r="D56" i="5"/>
  <c r="E57" i="4"/>
  <c r="F57" i="4"/>
  <c r="D57" i="4"/>
  <c r="E56" i="3"/>
  <c r="F56" i="3"/>
  <c r="G56" i="3"/>
  <c r="H56" i="3"/>
  <c r="D56" i="3"/>
  <c r="H42" i="5"/>
  <c r="H43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19" i="5"/>
  <c r="D61" i="4"/>
  <c r="E61" i="4"/>
  <c r="E59" i="4"/>
  <c r="D59" i="4"/>
  <c r="F59" i="4"/>
  <c r="D58" i="3"/>
  <c r="D58" i="4"/>
  <c r="H42" i="4"/>
  <c r="H43" i="4"/>
  <c r="H44" i="4"/>
  <c r="H45" i="4"/>
  <c r="H46" i="4"/>
  <c r="H47" i="4"/>
  <c r="H48" i="4"/>
  <c r="H49" i="4"/>
  <c r="H50" i="4"/>
  <c r="H51" i="4"/>
  <c r="H52" i="4"/>
  <c r="G19" i="4"/>
  <c r="H19" i="4" s="1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E61" i="3"/>
  <c r="F61" i="3"/>
  <c r="G61" i="3"/>
  <c r="H61" i="3"/>
  <c r="E60" i="3"/>
  <c r="F60" i="3"/>
  <c r="G60" i="3"/>
  <c r="H60" i="3"/>
  <c r="D60" i="3"/>
  <c r="I59" i="3"/>
  <c r="I58" i="3"/>
  <c r="G59" i="3"/>
  <c r="H59" i="3"/>
  <c r="F59" i="3"/>
  <c r="E59" i="3"/>
  <c r="H58" i="3"/>
  <c r="G58" i="3"/>
  <c r="F58" i="3"/>
  <c r="E58" i="3"/>
  <c r="BT27" i="12" l="1"/>
  <c r="BT43" i="12"/>
  <c r="BT20" i="12"/>
  <c r="BT36" i="12"/>
  <c r="BT25" i="12"/>
  <c r="BT41" i="12"/>
  <c r="BT22" i="12"/>
  <c r="BT38" i="12"/>
  <c r="BX26" i="12"/>
  <c r="BX42" i="12"/>
  <c r="BX19" i="12"/>
  <c r="BX35" i="12"/>
  <c r="BX12" i="12"/>
  <c r="BX28" i="12"/>
  <c r="BX44" i="12"/>
  <c r="BX25" i="12"/>
  <c r="BX41" i="12"/>
  <c r="S58" i="13"/>
  <c r="BT15" i="12"/>
  <c r="BT31" i="12"/>
  <c r="BT24" i="12"/>
  <c r="BT40" i="12"/>
  <c r="BT13" i="12"/>
  <c r="BT29" i="12"/>
  <c r="BT26" i="12"/>
  <c r="BT42" i="12"/>
  <c r="BX14" i="12"/>
  <c r="BX30" i="12"/>
  <c r="BX23" i="12"/>
  <c r="BX39" i="12"/>
  <c r="BX16" i="12"/>
  <c r="BX32" i="12"/>
  <c r="BX13" i="12"/>
  <c r="BX29" i="12"/>
  <c r="F58" i="13"/>
  <c r="G58" i="13"/>
  <c r="E58" i="13"/>
  <c r="BR30" i="12"/>
  <c r="CF59" i="12"/>
  <c r="CF60" i="12" s="1"/>
  <c r="CH59" i="12"/>
  <c r="CH60" i="12" s="1"/>
  <c r="BV59" i="12"/>
  <c r="BR59" i="12"/>
  <c r="BX59" i="12"/>
  <c r="BV11" i="12"/>
  <c r="BU58" i="12"/>
  <c r="BR11" i="12"/>
  <c r="BQ58" i="12"/>
  <c r="BX11" i="12"/>
  <c r="BW58" i="12"/>
  <c r="D61" i="3"/>
  <c r="D59" i="3"/>
  <c r="BW59" i="12" l="1"/>
  <c r="F71" i="12"/>
  <c r="BU59" i="12"/>
  <c r="F70" i="12"/>
  <c r="BQ59" i="12"/>
  <c r="K64" i="12" s="1"/>
  <c r="L64" i="12" s="1"/>
  <c r="F68" i="12"/>
  <c r="BV58" i="12"/>
  <c r="G70" i="12" s="1"/>
  <c r="H70" i="12" s="1"/>
  <c r="BV61" i="12"/>
  <c r="BV60" i="12" s="1"/>
  <c r="BX61" i="12"/>
  <c r="BX60" i="12" s="1"/>
  <c r="BX58" i="12"/>
  <c r="G71" i="12" s="1"/>
  <c r="H71" i="12" s="1"/>
  <c r="BR58" i="12"/>
  <c r="G68" i="12" s="1"/>
  <c r="H68" i="12" s="1"/>
  <c r="BR61" i="12"/>
  <c r="BR60" i="12" s="1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19" i="3"/>
  <c r="D57" i="3"/>
  <c r="E57" i="3" l="1"/>
  <c r="F57" i="3"/>
  <c r="G57" i="3"/>
  <c r="H57" i="3"/>
  <c r="E15" i="3"/>
  <c r="A10" i="2"/>
  <c r="AN61" i="13" l="1"/>
  <c r="AN58" i="13"/>
  <c r="AM58" i="13"/>
  <c r="AB6" i="13"/>
  <c r="AB5" i="13"/>
  <c r="Y6" i="13"/>
  <c r="Y5" i="13"/>
  <c r="V6" i="13"/>
  <c r="V5" i="13"/>
  <c r="R8" i="13"/>
  <c r="R9" i="13"/>
  <c r="R7" i="13"/>
  <c r="R6" i="13"/>
  <c r="R5" i="13"/>
  <c r="N8" i="13"/>
  <c r="N9" i="13"/>
  <c r="N7" i="13"/>
  <c r="N6" i="13"/>
  <c r="N5" i="13"/>
  <c r="K12" i="13"/>
  <c r="K13" i="13"/>
  <c r="K14" i="13"/>
  <c r="K15" i="13"/>
  <c r="K16" i="13"/>
  <c r="K17" i="13"/>
  <c r="K18" i="13"/>
  <c r="K19" i="13"/>
  <c r="K11" i="13"/>
  <c r="J8" i="13"/>
  <c r="K8" i="13"/>
  <c r="L8" i="13"/>
  <c r="J9" i="13"/>
  <c r="K9" i="13"/>
  <c r="L9" i="13"/>
  <c r="AY8" i="13" s="1"/>
  <c r="K7" i="13"/>
  <c r="L7" i="13"/>
  <c r="J7" i="13"/>
  <c r="J6" i="13"/>
  <c r="D8" i="13"/>
  <c r="D9" i="13"/>
  <c r="D7" i="13"/>
  <c r="I73" i="12"/>
  <c r="J73" i="12"/>
  <c r="I72" i="12"/>
  <c r="J72" i="12"/>
  <c r="I74" i="12"/>
  <c r="J74" i="12"/>
  <c r="K75" i="12"/>
  <c r="L75" i="12" s="1"/>
  <c r="I82" i="12"/>
  <c r="J82" i="12"/>
  <c r="J89" i="12"/>
  <c r="J90" i="12"/>
  <c r="J91" i="12"/>
  <c r="J92" i="12"/>
  <c r="J93" i="12"/>
  <c r="J94" i="12"/>
  <c r="J98" i="12"/>
  <c r="J99" i="12"/>
  <c r="EI11" i="12"/>
  <c r="CU61" i="12"/>
  <c r="CV61" i="12"/>
  <c r="CW61" i="12"/>
  <c r="CX61" i="12"/>
  <c r="CY61" i="12"/>
  <c r="CZ61" i="12"/>
  <c r="DA61" i="12"/>
  <c r="DB61" i="12"/>
  <c r="DC61" i="12"/>
  <c r="DD61" i="12"/>
  <c r="DE61" i="12"/>
  <c r="DF61" i="12"/>
  <c r="DG61" i="12"/>
  <c r="DH61" i="12"/>
  <c r="DI61" i="12"/>
  <c r="DJ61" i="12"/>
  <c r="DK61" i="12"/>
  <c r="DL61" i="12"/>
  <c r="DM61" i="12"/>
  <c r="DN61" i="12"/>
  <c r="DO61" i="12"/>
  <c r="DP61" i="12"/>
  <c r="DQ61" i="12"/>
  <c r="DR61" i="12"/>
  <c r="DU61" i="12"/>
  <c r="DV61" i="12"/>
  <c r="DW61" i="12"/>
  <c r="DX61" i="12"/>
  <c r="FC61" i="12"/>
  <c r="FD61" i="12"/>
  <c r="AG35" i="13" l="1"/>
  <c r="AG34" i="13"/>
  <c r="U35" i="13"/>
  <c r="U34" i="13"/>
  <c r="AW8" i="13"/>
  <c r="M35" i="13"/>
  <c r="M34" i="13"/>
  <c r="I35" i="13"/>
  <c r="I34" i="13"/>
  <c r="Q34" i="13"/>
  <c r="Q35" i="13"/>
  <c r="Q36" i="13"/>
  <c r="AG8" i="13"/>
  <c r="D65" i="13" s="1"/>
  <c r="AS55" i="13"/>
  <c r="AS53" i="13"/>
  <c r="AH35" i="13" l="1"/>
  <c r="AH34" i="13"/>
  <c r="FA53" i="12"/>
  <c r="FB53" i="12" s="1"/>
  <c r="FA55" i="12"/>
  <c r="FB55" i="12" s="1"/>
  <c r="FA60" i="12"/>
  <c r="EY53" i="12"/>
  <c r="EZ53" i="12" s="1"/>
  <c r="EY55" i="12"/>
  <c r="EZ55" i="12" s="1"/>
  <c r="EY60" i="12"/>
  <c r="EU47" i="12"/>
  <c r="EV47" i="12" s="1"/>
  <c r="EU53" i="12"/>
  <c r="EV53" i="12" s="1"/>
  <c r="EU55" i="12"/>
  <c r="EV55" i="12" s="1"/>
  <c r="EU60" i="12"/>
  <c r="ES47" i="12"/>
  <c r="ET47" i="12" s="1"/>
  <c r="ES53" i="12"/>
  <c r="ET53" i="12" s="1"/>
  <c r="ES55" i="12"/>
  <c r="ET55" i="12" s="1"/>
  <c r="ES60" i="12"/>
  <c r="EM9" i="12"/>
  <c r="EP12" i="12"/>
  <c r="EP13" i="12"/>
  <c r="EP14" i="12"/>
  <c r="EP15" i="12"/>
  <c r="EP16" i="12"/>
  <c r="EP17" i="12"/>
  <c r="EP18" i="12"/>
  <c r="EP19" i="12"/>
  <c r="EP20" i="12"/>
  <c r="EP21" i="12"/>
  <c r="EP22" i="12"/>
  <c r="EP23" i="12"/>
  <c r="EP24" i="12"/>
  <c r="EP25" i="12"/>
  <c r="EP26" i="12"/>
  <c r="EP27" i="12"/>
  <c r="EP28" i="12"/>
  <c r="EP29" i="12"/>
  <c r="EP30" i="12"/>
  <c r="EP31" i="12"/>
  <c r="EP32" i="12"/>
  <c r="EP33" i="12"/>
  <c r="EP36" i="12"/>
  <c r="EP37" i="12"/>
  <c r="EP38" i="12"/>
  <c r="EP39" i="12"/>
  <c r="EP40" i="12"/>
  <c r="EP41" i="12"/>
  <c r="EP42" i="12"/>
  <c r="EP43" i="12"/>
  <c r="EP44" i="12"/>
  <c r="EP45" i="12"/>
  <c r="EP46" i="12"/>
  <c r="EP47" i="12"/>
  <c r="EP48" i="12"/>
  <c r="EP49" i="12"/>
  <c r="EP50" i="12"/>
  <c r="EP51" i="12"/>
  <c r="EP52" i="12"/>
  <c r="EP53" i="12"/>
  <c r="EP54" i="12"/>
  <c r="EP55" i="12"/>
  <c r="EP56" i="12"/>
  <c r="EP57" i="12"/>
  <c r="EP58" i="12"/>
  <c r="EP59" i="12"/>
  <c r="EP60" i="12"/>
  <c r="EM57" i="12"/>
  <c r="EI57" i="12"/>
  <c r="EI60" i="12"/>
  <c r="EG57" i="12"/>
  <c r="EH57" i="12" s="1"/>
  <c r="EG60" i="12"/>
  <c r="EF48" i="12"/>
  <c r="EF49" i="12"/>
  <c r="EF50" i="12"/>
  <c r="EF51" i="12"/>
  <c r="EF52" i="12"/>
  <c r="EF53" i="12"/>
  <c r="EF54" i="12"/>
  <c r="EF55" i="12"/>
  <c r="EF56" i="12"/>
  <c r="EF57" i="12"/>
  <c r="EE60" i="12"/>
  <c r="K24" i="13"/>
  <c r="EE62" i="12"/>
  <c r="EE63" i="12"/>
  <c r="EC53" i="12"/>
  <c r="EC55" i="12"/>
  <c r="EC60" i="12"/>
  <c r="EN35" i="12" l="1"/>
  <c r="EN13" i="12"/>
  <c r="EN23" i="12"/>
  <c r="EN33" i="12"/>
  <c r="EN22" i="12"/>
  <c r="EN31" i="12"/>
  <c r="EN25" i="12"/>
  <c r="EN30" i="12"/>
  <c r="EN17" i="12"/>
  <c r="EN21" i="12"/>
  <c r="EN24" i="12"/>
  <c r="EN29" i="12"/>
  <c r="EN12" i="12"/>
  <c r="EN18" i="12"/>
  <c r="EN16" i="12"/>
  <c r="EN20" i="12"/>
  <c r="EN26" i="12"/>
  <c r="EN19" i="12"/>
  <c r="EN27" i="12"/>
  <c r="EN15" i="12"/>
  <c r="EN14" i="12"/>
  <c r="EN28" i="12"/>
  <c r="EN34" i="12"/>
  <c r="EN32" i="12"/>
  <c r="EF14" i="12"/>
  <c r="EN57" i="12"/>
  <c r="EI9" i="12"/>
  <c r="DY47" i="12"/>
  <c r="DY53" i="12"/>
  <c r="DY55" i="12"/>
  <c r="DY60" i="12"/>
  <c r="DS47" i="12"/>
  <c r="DT47" i="12" s="1"/>
  <c r="DS53" i="12"/>
  <c r="DT53" i="12" s="1"/>
  <c r="DS55" i="12"/>
  <c r="DT55" i="12" s="1"/>
  <c r="DS60" i="12"/>
  <c r="CS47" i="12"/>
  <c r="CT47" i="12" s="1"/>
  <c r="CS53" i="12"/>
  <c r="CT53" i="12" s="1"/>
  <c r="CS55" i="12"/>
  <c r="CT55" i="12" s="1"/>
  <c r="CS60" i="12"/>
  <c r="CQ9" i="12"/>
  <c r="CQ47" i="12"/>
  <c r="CR47" i="12" s="1"/>
  <c r="CQ53" i="12"/>
  <c r="CR53" i="12" s="1"/>
  <c r="CQ55" i="12"/>
  <c r="CR55" i="12" s="1"/>
  <c r="BS47" i="12"/>
  <c r="BT47" i="12" s="1"/>
  <c r="BS53" i="12"/>
  <c r="BT53" i="12" s="1"/>
  <c r="BS55" i="12"/>
  <c r="BT55" i="12" s="1"/>
  <c r="EJ35" i="12" l="1"/>
  <c r="EJ34" i="12"/>
  <c r="EJ11" i="12"/>
  <c r="EJ24" i="12"/>
  <c r="EJ19" i="12"/>
  <c r="EJ15" i="12"/>
  <c r="EJ18" i="12"/>
  <c r="EJ13" i="12"/>
  <c r="EJ16" i="12"/>
  <c r="EJ14" i="12"/>
  <c r="EJ12" i="12"/>
  <c r="EJ17" i="12"/>
  <c r="EH14" i="12"/>
  <c r="EH11" i="12"/>
  <c r="BK47" i="12"/>
  <c r="BK53" i="12"/>
  <c r="BK55" i="12"/>
  <c r="BK60" i="12"/>
  <c r="BK61" i="12"/>
  <c r="BI47" i="12"/>
  <c r="BI53" i="12"/>
  <c r="BI55" i="12"/>
  <c r="BI60" i="12"/>
  <c r="BI61" i="12"/>
  <c r="AB8" i="12" l="1"/>
  <c r="AB8" i="13" s="1"/>
  <c r="AB9" i="12"/>
  <c r="AB7" i="12"/>
  <c r="AB7" i="13" s="1"/>
  <c r="Y8" i="12"/>
  <c r="Y8" i="13" s="1"/>
  <c r="Z8" i="12"/>
  <c r="Z8" i="13" s="1"/>
  <c r="Y9" i="12"/>
  <c r="Z9" i="12"/>
  <c r="Z7" i="12"/>
  <c r="Z7" i="13" s="1"/>
  <c r="Y7" i="12"/>
  <c r="Y7" i="13" s="1"/>
  <c r="V9" i="12"/>
  <c r="CE9" i="12" s="1"/>
  <c r="W9" i="12"/>
  <c r="CG9" i="12" s="1"/>
  <c r="V8" i="12"/>
  <c r="V8" i="13" s="1"/>
  <c r="W8" i="12"/>
  <c r="W8" i="13" s="1"/>
  <c r="W7" i="12"/>
  <c r="W7" i="13" s="1"/>
  <c r="V7" i="12"/>
  <c r="V7" i="13" s="1"/>
  <c r="AB6" i="12"/>
  <c r="AB5" i="12"/>
  <c r="AB12" i="12"/>
  <c r="AB13" i="12"/>
  <c r="AC13" i="12" s="1"/>
  <c r="AB14" i="12"/>
  <c r="AC14" i="12" s="1"/>
  <c r="AB15" i="12"/>
  <c r="AB16" i="12"/>
  <c r="AB17" i="12"/>
  <c r="AC17" i="12" s="1"/>
  <c r="AB18" i="12"/>
  <c r="AC18" i="12" s="1"/>
  <c r="AB19" i="12"/>
  <c r="AB20" i="12"/>
  <c r="AB21" i="12"/>
  <c r="AC21" i="12" s="1"/>
  <c r="AB22" i="12"/>
  <c r="AC22" i="12" s="1"/>
  <c r="AB23" i="12"/>
  <c r="AB24" i="12"/>
  <c r="AB25" i="12"/>
  <c r="AC25" i="12" s="1"/>
  <c r="AB26" i="12"/>
  <c r="AC26" i="12" s="1"/>
  <c r="AB27" i="12"/>
  <c r="AB28" i="12"/>
  <c r="AB29" i="12"/>
  <c r="AC29" i="12" s="1"/>
  <c r="AB30" i="12"/>
  <c r="AC30" i="12" s="1"/>
  <c r="AB31" i="12"/>
  <c r="AB32" i="12"/>
  <c r="AB33" i="12"/>
  <c r="AC33" i="12" s="1"/>
  <c r="Z12" i="13"/>
  <c r="Z13" i="13"/>
  <c r="Z14" i="13"/>
  <c r="Z15" i="13"/>
  <c r="Z16" i="13"/>
  <c r="Z17" i="13"/>
  <c r="Z18" i="13"/>
  <c r="Z19" i="13"/>
  <c r="Z20" i="13"/>
  <c r="Z21" i="13"/>
  <c r="Z22" i="13"/>
  <c r="Z23" i="13"/>
  <c r="Z24" i="13"/>
  <c r="Z25" i="13"/>
  <c r="Z26" i="13"/>
  <c r="Z27" i="13"/>
  <c r="Z28" i="13"/>
  <c r="Z29" i="13"/>
  <c r="Z30" i="13"/>
  <c r="Z31" i="13"/>
  <c r="Z32" i="13"/>
  <c r="Z33" i="13"/>
  <c r="Y13" i="13"/>
  <c r="Y14" i="13"/>
  <c r="Y17" i="13"/>
  <c r="Y18" i="13"/>
  <c r="Y21" i="13"/>
  <c r="Y22" i="13"/>
  <c r="Y25" i="13"/>
  <c r="Y26" i="13"/>
  <c r="Y29" i="13"/>
  <c r="Y30" i="13"/>
  <c r="Y33" i="13"/>
  <c r="Y6" i="12"/>
  <c r="Y5" i="12"/>
  <c r="V5" i="12"/>
  <c r="V6" i="12"/>
  <c r="R11" i="12"/>
  <c r="BS11" i="12" s="1"/>
  <c r="R6" i="12"/>
  <c r="R5" i="12"/>
  <c r="N5" i="12"/>
  <c r="N6" i="12"/>
  <c r="L13" i="13"/>
  <c r="AY13" i="13" s="1"/>
  <c r="L14" i="13"/>
  <c r="AY14" i="13" s="1"/>
  <c r="L21" i="13"/>
  <c r="AY21" i="13" s="1"/>
  <c r="L22" i="13"/>
  <c r="AY22" i="13" s="1"/>
  <c r="L23" i="13"/>
  <c r="AY23" i="13" s="1"/>
  <c r="L24" i="13"/>
  <c r="AY24" i="13" s="1"/>
  <c r="L25" i="13"/>
  <c r="AY25" i="13" s="1"/>
  <c r="L26" i="13"/>
  <c r="AY26" i="13" s="1"/>
  <c r="L27" i="13"/>
  <c r="AY27" i="13" s="1"/>
  <c r="L28" i="13"/>
  <c r="AY28" i="13" s="1"/>
  <c r="L29" i="13"/>
  <c r="AY29" i="13" s="1"/>
  <c r="L30" i="13"/>
  <c r="AY30" i="13" s="1"/>
  <c r="L31" i="13"/>
  <c r="AY31" i="13" s="1"/>
  <c r="L32" i="13"/>
  <c r="AY32" i="13" s="1"/>
  <c r="L33" i="13"/>
  <c r="AY33" i="13" s="1"/>
  <c r="L36" i="13"/>
  <c r="L37" i="13"/>
  <c r="AY37" i="13" s="1"/>
  <c r="L38" i="13"/>
  <c r="AY38" i="13" s="1"/>
  <c r="L39" i="13"/>
  <c r="AY39" i="13" s="1"/>
  <c r="L40" i="13"/>
  <c r="AY40" i="13" s="1"/>
  <c r="L41" i="13"/>
  <c r="AY41" i="13" s="1"/>
  <c r="L42" i="13"/>
  <c r="AY42" i="13" s="1"/>
  <c r="L44" i="13"/>
  <c r="AY44" i="13" s="1"/>
  <c r="K20" i="13"/>
  <c r="K21" i="13"/>
  <c r="K22" i="13"/>
  <c r="K23" i="13"/>
  <c r="K25" i="13"/>
  <c r="K26" i="13"/>
  <c r="K27" i="13"/>
  <c r="K28" i="13"/>
  <c r="K29" i="13"/>
  <c r="K30" i="13"/>
  <c r="K31" i="13"/>
  <c r="K32" i="13"/>
  <c r="K33" i="13"/>
  <c r="K37" i="13"/>
  <c r="L11" i="13"/>
  <c r="AY11" i="13" s="1"/>
  <c r="AZ11" i="13" s="1"/>
  <c r="H12" i="13"/>
  <c r="F20" i="7"/>
  <c r="G27" i="8"/>
  <c r="G28" i="8"/>
  <c r="G29" i="8"/>
  <c r="G30" i="8"/>
  <c r="G31" i="8"/>
  <c r="G32" i="8"/>
  <c r="G33" i="8"/>
  <c r="G34" i="8"/>
  <c r="G35" i="8"/>
  <c r="G36" i="8"/>
  <c r="G37" i="8"/>
  <c r="G38" i="8"/>
  <c r="G39" i="8"/>
  <c r="G40" i="8"/>
  <c r="E68" i="4"/>
  <c r="F68" i="4"/>
  <c r="D68" i="4"/>
  <c r="E67" i="4"/>
  <c r="F67" i="4"/>
  <c r="D67" i="4"/>
  <c r="E66" i="4"/>
  <c r="F66" i="4"/>
  <c r="D66" i="4"/>
  <c r="F61" i="4"/>
  <c r="E58" i="4"/>
  <c r="F58" i="4"/>
  <c r="F60" i="4" s="1"/>
  <c r="F62" i="4" s="1"/>
  <c r="D60" i="4"/>
  <c r="I12" i="13" l="1"/>
  <c r="BI43" i="12"/>
  <c r="BI27" i="12"/>
  <c r="BI42" i="12"/>
  <c r="BI26" i="12"/>
  <c r="BI41" i="12"/>
  <c r="BI25" i="12"/>
  <c r="BI44" i="12"/>
  <c r="BI28" i="12"/>
  <c r="BI12" i="12"/>
  <c r="BI39" i="12"/>
  <c r="BI23" i="12"/>
  <c r="BI38" i="12"/>
  <c r="BI22" i="12"/>
  <c r="BI37" i="12"/>
  <c r="BI21" i="12"/>
  <c r="BI40" i="12"/>
  <c r="BI24" i="12"/>
  <c r="BI35" i="12"/>
  <c r="BI19" i="12"/>
  <c r="BI34" i="12"/>
  <c r="BI18" i="12"/>
  <c r="BI33" i="12"/>
  <c r="BI17" i="12"/>
  <c r="BI36" i="12"/>
  <c r="BI20" i="12"/>
  <c r="BI31" i="12"/>
  <c r="BI15" i="12"/>
  <c r="BI30" i="12"/>
  <c r="BI14" i="12"/>
  <c r="BI29" i="12"/>
  <c r="BI13" i="12"/>
  <c r="BI32" i="12"/>
  <c r="BI16" i="12"/>
  <c r="U11" i="12"/>
  <c r="BT11" i="12"/>
  <c r="Z9" i="13"/>
  <c r="BK9" i="12"/>
  <c r="E65" i="12" s="1"/>
  <c r="BK31" i="12"/>
  <c r="BK15" i="12"/>
  <c r="BK34" i="12"/>
  <c r="BL34" i="12" s="1"/>
  <c r="BK18" i="12"/>
  <c r="BK33" i="12"/>
  <c r="BK17" i="12"/>
  <c r="BK32" i="12"/>
  <c r="BK16" i="12"/>
  <c r="BK43" i="12"/>
  <c r="BK27" i="12"/>
  <c r="BK30" i="12"/>
  <c r="BK14" i="12"/>
  <c r="BK29" i="12"/>
  <c r="BK13" i="12"/>
  <c r="BK44" i="12"/>
  <c r="BK28" i="12"/>
  <c r="BK12" i="12"/>
  <c r="BK39" i="12"/>
  <c r="BK23" i="12"/>
  <c r="BK42" i="12"/>
  <c r="BK26" i="12"/>
  <c r="BK41" i="12"/>
  <c r="BK25" i="12"/>
  <c r="BK40" i="12"/>
  <c r="BK24" i="12"/>
  <c r="BK35" i="12"/>
  <c r="BL35" i="12" s="1"/>
  <c r="BK19" i="12"/>
  <c r="BK38" i="12"/>
  <c r="BK22" i="12"/>
  <c r="BK37" i="12"/>
  <c r="BK21" i="12"/>
  <c r="BK36" i="12"/>
  <c r="BL36" i="12" s="1"/>
  <c r="BK20" i="12"/>
  <c r="AC32" i="12"/>
  <c r="AC28" i="12"/>
  <c r="AC24" i="12"/>
  <c r="AC20" i="12"/>
  <c r="AC16" i="12"/>
  <c r="AC12" i="12"/>
  <c r="AC38" i="12"/>
  <c r="AC42" i="12"/>
  <c r="AC34" i="12"/>
  <c r="AC46" i="12"/>
  <c r="AC37" i="12"/>
  <c r="AC36" i="12"/>
  <c r="AC45" i="12"/>
  <c r="AC40" i="12"/>
  <c r="AC41" i="12"/>
  <c r="AC43" i="12"/>
  <c r="AC44" i="12"/>
  <c r="AC39" i="12"/>
  <c r="AC35" i="12"/>
  <c r="AC31" i="12"/>
  <c r="AC27" i="12"/>
  <c r="AC23" i="12"/>
  <c r="AC19" i="12"/>
  <c r="AC15" i="12"/>
  <c r="AA23" i="12"/>
  <c r="AA27" i="12"/>
  <c r="AA39" i="12"/>
  <c r="X14" i="12"/>
  <c r="X18" i="12"/>
  <c r="X26" i="12"/>
  <c r="X34" i="12"/>
  <c r="X38" i="12"/>
  <c r="AA19" i="12"/>
  <c r="AA35" i="12"/>
  <c r="X46" i="12"/>
  <c r="AA15" i="12"/>
  <c r="AA31" i="12"/>
  <c r="AA43" i="12"/>
  <c r="X22" i="12"/>
  <c r="X30" i="12"/>
  <c r="X42" i="12"/>
  <c r="X44" i="12"/>
  <c r="X28" i="12"/>
  <c r="X12" i="12"/>
  <c r="AA32" i="12"/>
  <c r="AA16" i="12"/>
  <c r="X39" i="12"/>
  <c r="X23" i="12"/>
  <c r="AA42" i="12"/>
  <c r="AA26" i="12"/>
  <c r="X45" i="12"/>
  <c r="X29" i="12"/>
  <c r="X13" i="12"/>
  <c r="AA33" i="12"/>
  <c r="AA17" i="12"/>
  <c r="X40" i="12"/>
  <c r="X24" i="12"/>
  <c r="AA44" i="12"/>
  <c r="AA28" i="12"/>
  <c r="AA12" i="12"/>
  <c r="X35" i="12"/>
  <c r="X19" i="12"/>
  <c r="AA38" i="12"/>
  <c r="AA22" i="12"/>
  <c r="X41" i="12"/>
  <c r="X25" i="12"/>
  <c r="AA45" i="12"/>
  <c r="AA29" i="12"/>
  <c r="AA13" i="12"/>
  <c r="X36" i="12"/>
  <c r="X20" i="12"/>
  <c r="AA40" i="12"/>
  <c r="AA24" i="12"/>
  <c r="X11" i="12"/>
  <c r="X31" i="12"/>
  <c r="X15" i="12"/>
  <c r="AA34" i="12"/>
  <c r="AA18" i="12"/>
  <c r="X37" i="12"/>
  <c r="X21" i="12"/>
  <c r="AA41" i="12"/>
  <c r="AA25" i="12"/>
  <c r="X32" i="12"/>
  <c r="X16" i="12"/>
  <c r="AA36" i="12"/>
  <c r="AA20" i="12"/>
  <c r="X43" i="12"/>
  <c r="X27" i="12"/>
  <c r="AA46" i="12"/>
  <c r="AA30" i="12"/>
  <c r="AA14" i="12"/>
  <c r="X33" i="12"/>
  <c r="X17" i="12"/>
  <c r="AA37" i="12"/>
  <c r="AA21" i="12"/>
  <c r="FA9" i="12"/>
  <c r="AB31" i="13"/>
  <c r="AB19" i="13"/>
  <c r="AB36" i="13"/>
  <c r="AB30" i="13"/>
  <c r="AB26" i="13"/>
  <c r="AB22" i="13"/>
  <c r="AB18" i="13"/>
  <c r="AB14" i="13"/>
  <c r="AB23" i="13"/>
  <c r="AB33" i="13"/>
  <c r="AB29" i="13"/>
  <c r="AB25" i="13"/>
  <c r="AB21" i="13"/>
  <c r="AB17" i="13"/>
  <c r="AB13" i="13"/>
  <c r="AB37" i="13"/>
  <c r="AB27" i="13"/>
  <c r="AB15" i="13"/>
  <c r="AB32" i="13"/>
  <c r="AB28" i="13"/>
  <c r="AB24" i="13"/>
  <c r="AB20" i="13"/>
  <c r="AB16" i="13"/>
  <c r="AB12" i="13"/>
  <c r="AB9" i="13"/>
  <c r="Y28" i="13"/>
  <c r="Y20" i="13"/>
  <c r="Y12" i="13"/>
  <c r="Y31" i="13"/>
  <c r="Y27" i="13"/>
  <c r="Y23" i="13"/>
  <c r="Y19" i="13"/>
  <c r="Y15" i="13"/>
  <c r="BI9" i="12"/>
  <c r="E64" i="12" s="1"/>
  <c r="Y9" i="13"/>
  <c r="Y32" i="13"/>
  <c r="Y24" i="13"/>
  <c r="Y16" i="13"/>
  <c r="V37" i="13"/>
  <c r="V27" i="13"/>
  <c r="V19" i="13"/>
  <c r="W22" i="13"/>
  <c r="V44" i="13"/>
  <c r="V26" i="13"/>
  <c r="V18" i="13"/>
  <c r="W29" i="13"/>
  <c r="W21" i="13"/>
  <c r="W17" i="13"/>
  <c r="V43" i="13"/>
  <c r="V39" i="13"/>
  <c r="V33" i="13"/>
  <c r="V29" i="13"/>
  <c r="V25" i="13"/>
  <c r="V21" i="13"/>
  <c r="V17" i="13"/>
  <c r="V13" i="13"/>
  <c r="W32" i="13"/>
  <c r="W28" i="13"/>
  <c r="W24" i="13"/>
  <c r="W20" i="13"/>
  <c r="W16" i="13"/>
  <c r="W12" i="13"/>
  <c r="ES9" i="12"/>
  <c r="V9" i="13"/>
  <c r="V41" i="13"/>
  <c r="ET31" i="12"/>
  <c r="V31" i="13"/>
  <c r="V23" i="13"/>
  <c r="ET15" i="12"/>
  <c r="V15" i="13"/>
  <c r="W30" i="13"/>
  <c r="W26" i="13"/>
  <c r="W18" i="13"/>
  <c r="V40" i="13"/>
  <c r="V30" i="13"/>
  <c r="V22" i="13"/>
  <c r="AK22" i="13" s="1"/>
  <c r="V14" i="13"/>
  <c r="W33" i="13"/>
  <c r="W25" i="13"/>
  <c r="W13" i="13"/>
  <c r="EU9" i="12"/>
  <c r="W9" i="13"/>
  <c r="ET46" i="12"/>
  <c r="V42" i="13"/>
  <c r="ET38" i="12"/>
  <c r="V38" i="13"/>
  <c r="V32" i="13"/>
  <c r="ET28" i="12"/>
  <c r="V28" i="13"/>
  <c r="AK28" i="13" s="1"/>
  <c r="V24" i="13"/>
  <c r="ET20" i="12"/>
  <c r="V20" i="13"/>
  <c r="AK20" i="13" s="1"/>
  <c r="V16" i="13"/>
  <c r="AK16" i="13" s="1"/>
  <c r="ET12" i="12"/>
  <c r="V12" i="13"/>
  <c r="AK12" i="13" s="1"/>
  <c r="W31" i="13"/>
  <c r="W27" i="13"/>
  <c r="W23" i="13"/>
  <c r="W19" i="13"/>
  <c r="W15" i="13"/>
  <c r="W14" i="13"/>
  <c r="CQ45" i="12"/>
  <c r="CR45" i="12" s="1"/>
  <c r="R45" i="13"/>
  <c r="CR41" i="12"/>
  <c r="R41" i="13"/>
  <c r="CR37" i="12"/>
  <c r="R37" i="13"/>
  <c r="CR31" i="12"/>
  <c r="R31" i="13"/>
  <c r="CR27" i="12"/>
  <c r="R27" i="13"/>
  <c r="CR23" i="12"/>
  <c r="R23" i="13"/>
  <c r="CR19" i="12"/>
  <c r="R19" i="13"/>
  <c r="CR15" i="12"/>
  <c r="R15" i="13"/>
  <c r="CT46" i="12"/>
  <c r="CT42" i="12"/>
  <c r="T42" i="13"/>
  <c r="CT38" i="12"/>
  <c r="T38" i="13"/>
  <c r="CT32" i="12"/>
  <c r="T32" i="13"/>
  <c r="CT28" i="12"/>
  <c r="T28" i="13"/>
  <c r="CT24" i="12"/>
  <c r="T24" i="13"/>
  <c r="CT20" i="12"/>
  <c r="T20" i="13"/>
  <c r="CT16" i="12"/>
  <c r="T16" i="13"/>
  <c r="CT12" i="12"/>
  <c r="T12" i="13"/>
  <c r="CR44" i="12"/>
  <c r="R44" i="13"/>
  <c r="CR40" i="12"/>
  <c r="R40" i="13"/>
  <c r="CR36" i="12"/>
  <c r="R36" i="13"/>
  <c r="CR30" i="12"/>
  <c r="R30" i="13"/>
  <c r="CR26" i="12"/>
  <c r="R26" i="13"/>
  <c r="U26" i="13" s="1"/>
  <c r="CR22" i="12"/>
  <c r="R22" i="13"/>
  <c r="CR18" i="12"/>
  <c r="R18" i="13"/>
  <c r="U18" i="13" s="1"/>
  <c r="CR14" i="12"/>
  <c r="R14" i="13"/>
  <c r="CT45" i="12"/>
  <c r="CT41" i="12"/>
  <c r="T41" i="13"/>
  <c r="CT37" i="12"/>
  <c r="T37" i="13"/>
  <c r="CT31" i="12"/>
  <c r="T31" i="13"/>
  <c r="CT27" i="12"/>
  <c r="T27" i="13"/>
  <c r="CT23" i="12"/>
  <c r="T23" i="13"/>
  <c r="CT19" i="12"/>
  <c r="T19" i="13"/>
  <c r="CT15" i="12"/>
  <c r="T15" i="13"/>
  <c r="CT11" i="12"/>
  <c r="T11" i="13"/>
  <c r="CR11" i="12"/>
  <c r="R11" i="13"/>
  <c r="CR43" i="12"/>
  <c r="R43" i="13"/>
  <c r="CR39" i="12"/>
  <c r="R39" i="13"/>
  <c r="CR33" i="12"/>
  <c r="R33" i="13"/>
  <c r="CR29" i="12"/>
  <c r="R29" i="13"/>
  <c r="CR25" i="12"/>
  <c r="R25" i="13"/>
  <c r="CR21" i="12"/>
  <c r="R21" i="13"/>
  <c r="CR17" i="12"/>
  <c r="R17" i="13"/>
  <c r="CR13" i="12"/>
  <c r="R13" i="13"/>
  <c r="CT44" i="12"/>
  <c r="T44" i="13"/>
  <c r="CT40" i="12"/>
  <c r="T40" i="13"/>
  <c r="CT36" i="12"/>
  <c r="CT30" i="12"/>
  <c r="T30" i="13"/>
  <c r="CT26" i="12"/>
  <c r="T26" i="13"/>
  <c r="CT22" i="12"/>
  <c r="T22" i="13"/>
  <c r="CT18" i="12"/>
  <c r="T18" i="13"/>
  <c r="CT14" i="12"/>
  <c r="T14" i="13"/>
  <c r="CQ46" i="12"/>
  <c r="CR46" i="12" s="1"/>
  <c r="R46" i="13"/>
  <c r="CR42" i="12"/>
  <c r="R42" i="13"/>
  <c r="U42" i="13" s="1"/>
  <c r="CR38" i="12"/>
  <c r="R38" i="13"/>
  <c r="U38" i="13" s="1"/>
  <c r="CR32" i="12"/>
  <c r="R32" i="13"/>
  <c r="U32" i="13" s="1"/>
  <c r="CR28" i="12"/>
  <c r="R28" i="13"/>
  <c r="U28" i="13" s="1"/>
  <c r="CR24" i="12"/>
  <c r="R24" i="13"/>
  <c r="CR20" i="12"/>
  <c r="R20" i="13"/>
  <c r="U20" i="13" s="1"/>
  <c r="CR16" i="12"/>
  <c r="R16" i="13"/>
  <c r="U16" i="13" s="1"/>
  <c r="CR12" i="12"/>
  <c r="R12" i="13"/>
  <c r="U12" i="13" s="1"/>
  <c r="CT43" i="12"/>
  <c r="T43" i="13"/>
  <c r="CT39" i="12"/>
  <c r="T39" i="13"/>
  <c r="CT33" i="12"/>
  <c r="T33" i="13"/>
  <c r="CT29" i="12"/>
  <c r="T29" i="13"/>
  <c r="CT25" i="12"/>
  <c r="T25" i="13"/>
  <c r="CT21" i="12"/>
  <c r="T21" i="13"/>
  <c r="CT17" i="12"/>
  <c r="T17" i="13"/>
  <c r="CT13" i="12"/>
  <c r="T13" i="13"/>
  <c r="DT44" i="12"/>
  <c r="N44" i="13"/>
  <c r="DT36" i="12"/>
  <c r="DT22" i="12"/>
  <c r="N22" i="13"/>
  <c r="AV45" i="13"/>
  <c r="P31" i="13"/>
  <c r="AV31" i="13" s="1"/>
  <c r="P23" i="13"/>
  <c r="AV23" i="13" s="1"/>
  <c r="P11" i="13"/>
  <c r="DT43" i="12"/>
  <c r="N43" i="13"/>
  <c r="DT39" i="12"/>
  <c r="N39" i="13"/>
  <c r="DT33" i="12"/>
  <c r="N33" i="13"/>
  <c r="DT29" i="12"/>
  <c r="N29" i="13"/>
  <c r="DT25" i="12"/>
  <c r="N25" i="13"/>
  <c r="DT21" i="12"/>
  <c r="N21" i="13"/>
  <c r="DT17" i="12"/>
  <c r="N17" i="13"/>
  <c r="DT13" i="12"/>
  <c r="N13" i="13"/>
  <c r="P44" i="13"/>
  <c r="AV44" i="13" s="1"/>
  <c r="P40" i="13"/>
  <c r="AV40" i="13" s="1"/>
  <c r="AV36" i="13"/>
  <c r="P30" i="13"/>
  <c r="AV30" i="13" s="1"/>
  <c r="P26" i="13"/>
  <c r="AV26" i="13" s="1"/>
  <c r="P22" i="13"/>
  <c r="AV22" i="13" s="1"/>
  <c r="P18" i="13"/>
  <c r="AV18" i="13" s="1"/>
  <c r="P14" i="13"/>
  <c r="AV14" i="13" s="1"/>
  <c r="DT40" i="12"/>
  <c r="N40" i="13"/>
  <c r="Q40" i="13" s="1"/>
  <c r="DT26" i="12"/>
  <c r="N26" i="13"/>
  <c r="Q26" i="13" s="1"/>
  <c r="DT14" i="12"/>
  <c r="N14" i="13"/>
  <c r="P37" i="13"/>
  <c r="AV37" i="13" s="1"/>
  <c r="P19" i="13"/>
  <c r="AV19" i="13" s="1"/>
  <c r="DT46" i="12"/>
  <c r="DT42" i="12"/>
  <c r="N42" i="13"/>
  <c r="DT38" i="12"/>
  <c r="N38" i="13"/>
  <c r="DT32" i="12"/>
  <c r="N32" i="13"/>
  <c r="DT28" i="12"/>
  <c r="N28" i="13"/>
  <c r="DT24" i="12"/>
  <c r="N24" i="13"/>
  <c r="DT20" i="12"/>
  <c r="N20" i="13"/>
  <c r="DT16" i="12"/>
  <c r="N16" i="13"/>
  <c r="DT12" i="12"/>
  <c r="N12" i="13"/>
  <c r="P43" i="13"/>
  <c r="AV43" i="13" s="1"/>
  <c r="P39" i="13"/>
  <c r="AV39" i="13" s="1"/>
  <c r="P33" i="13"/>
  <c r="AV33" i="13" s="1"/>
  <c r="P29" i="13"/>
  <c r="AV29" i="13" s="1"/>
  <c r="P25" i="13"/>
  <c r="AV25" i="13" s="1"/>
  <c r="P21" i="13"/>
  <c r="AV21" i="13" s="1"/>
  <c r="P17" i="13"/>
  <c r="AV17" i="13" s="1"/>
  <c r="P13" i="13"/>
  <c r="AV13" i="13" s="1"/>
  <c r="DT11" i="12"/>
  <c r="N11" i="13"/>
  <c r="Q11" i="13" s="1"/>
  <c r="DT30" i="12"/>
  <c r="N30" i="13"/>
  <c r="DT18" i="12"/>
  <c r="N18" i="13"/>
  <c r="Q18" i="13" s="1"/>
  <c r="P41" i="13"/>
  <c r="AV41" i="13" s="1"/>
  <c r="P27" i="13"/>
  <c r="AV27" i="13" s="1"/>
  <c r="P15" i="13"/>
  <c r="AV15" i="13" s="1"/>
  <c r="DT45" i="12"/>
  <c r="DT41" i="12"/>
  <c r="N41" i="13"/>
  <c r="DT37" i="12"/>
  <c r="N37" i="13"/>
  <c r="Q37" i="13" s="1"/>
  <c r="DT31" i="12"/>
  <c r="N31" i="13"/>
  <c r="DT27" i="12"/>
  <c r="N27" i="13"/>
  <c r="Q27" i="13" s="1"/>
  <c r="DT23" i="12"/>
  <c r="N23" i="13"/>
  <c r="DT19" i="12"/>
  <c r="N19" i="13"/>
  <c r="Q19" i="13" s="1"/>
  <c r="DT15" i="12"/>
  <c r="N15" i="13"/>
  <c r="AV46" i="13"/>
  <c r="P42" i="13"/>
  <c r="AV42" i="13" s="1"/>
  <c r="P38" i="13"/>
  <c r="AV38" i="13" s="1"/>
  <c r="P32" i="13"/>
  <c r="AV32" i="13" s="1"/>
  <c r="P28" i="13"/>
  <c r="AV28" i="13" s="1"/>
  <c r="P24" i="13"/>
  <c r="AV24" i="13" s="1"/>
  <c r="P20" i="13"/>
  <c r="AV20" i="13" s="1"/>
  <c r="P16" i="13"/>
  <c r="AV16" i="13" s="1"/>
  <c r="P12" i="13"/>
  <c r="AV12" i="13" s="1"/>
  <c r="EC38" i="12"/>
  <c r="J38" i="13"/>
  <c r="J16" i="13"/>
  <c r="AW16" i="13" s="1"/>
  <c r="EF29" i="12"/>
  <c r="EF12" i="12"/>
  <c r="EI53" i="12"/>
  <c r="K43" i="13"/>
  <c r="EI49" i="12"/>
  <c r="K39" i="13"/>
  <c r="EM53" i="12"/>
  <c r="L43" i="13"/>
  <c r="AY43" i="13" s="1"/>
  <c r="EC11" i="12"/>
  <c r="ED11" i="12" s="1"/>
  <c r="J11" i="13"/>
  <c r="EC41" i="12"/>
  <c r="J41" i="13"/>
  <c r="EC37" i="12"/>
  <c r="J37" i="13"/>
  <c r="ED31" i="12"/>
  <c r="J31" i="13"/>
  <c r="ED27" i="12"/>
  <c r="J27" i="13"/>
  <c r="ED23" i="12"/>
  <c r="J23" i="13"/>
  <c r="J19" i="13"/>
  <c r="AW19" i="13" s="1"/>
  <c r="J15" i="13"/>
  <c r="AW15" i="13" s="1"/>
  <c r="EF42" i="12"/>
  <c r="EF38" i="12"/>
  <c r="EF32" i="12"/>
  <c r="EF28" i="12"/>
  <c r="EF24" i="12"/>
  <c r="EF20" i="12"/>
  <c r="EF16" i="12"/>
  <c r="EG56" i="12"/>
  <c r="EH56" i="12" s="1"/>
  <c r="EG52" i="12"/>
  <c r="EH52" i="12" s="1"/>
  <c r="EG48" i="12"/>
  <c r="EN48" i="12" s="1"/>
  <c r="EI56" i="12"/>
  <c r="EI52" i="12"/>
  <c r="K42" i="13"/>
  <c r="EI48" i="12"/>
  <c r="K38" i="13"/>
  <c r="L20" i="13"/>
  <c r="AY20" i="13" s="1"/>
  <c r="L16" i="13"/>
  <c r="AY16" i="13" s="1"/>
  <c r="L12" i="13"/>
  <c r="AY12" i="13" s="1"/>
  <c r="J32" i="13"/>
  <c r="ED24" i="12"/>
  <c r="J24" i="13"/>
  <c r="J12" i="13"/>
  <c r="EF39" i="12"/>
  <c r="EF21" i="12"/>
  <c r="EG53" i="12"/>
  <c r="EN53" i="12" s="1"/>
  <c r="L17" i="13"/>
  <c r="AY17" i="13" s="1"/>
  <c r="EF11" i="12"/>
  <c r="EC44" i="12"/>
  <c r="J44" i="13"/>
  <c r="EC40" i="12"/>
  <c r="J40" i="13"/>
  <c r="ED36" i="12"/>
  <c r="J36" i="13"/>
  <c r="ED30" i="12"/>
  <c r="J30" i="13"/>
  <c r="ED26" i="12"/>
  <c r="J26" i="13"/>
  <c r="ED22" i="12"/>
  <c r="J22" i="13"/>
  <c r="J18" i="13"/>
  <c r="AW18" i="13" s="1"/>
  <c r="J14" i="13"/>
  <c r="EF41" i="12"/>
  <c r="EF37" i="12"/>
  <c r="EF31" i="12"/>
  <c r="EF27" i="12"/>
  <c r="EF23" i="12"/>
  <c r="EF19" i="12"/>
  <c r="EF15" i="12"/>
  <c r="EG55" i="12"/>
  <c r="EH55" i="12" s="1"/>
  <c r="EG51" i="12"/>
  <c r="EH51" i="12" s="1"/>
  <c r="EI55" i="12"/>
  <c r="EI51" i="12"/>
  <c r="K41" i="13"/>
  <c r="EM55" i="12"/>
  <c r="L19" i="13"/>
  <c r="AY19" i="13" s="1"/>
  <c r="L15" i="13"/>
  <c r="AY15" i="13" s="1"/>
  <c r="EC42" i="12"/>
  <c r="J42" i="13"/>
  <c r="ED28" i="12"/>
  <c r="J28" i="13"/>
  <c r="ED20" i="12"/>
  <c r="J20" i="13"/>
  <c r="AW20" i="13" s="1"/>
  <c r="EF43" i="12"/>
  <c r="EF33" i="12"/>
  <c r="EF25" i="12"/>
  <c r="EF17" i="12"/>
  <c r="EG49" i="12"/>
  <c r="EH49" i="12" s="1"/>
  <c r="EC43" i="12"/>
  <c r="J43" i="13"/>
  <c r="AW43" i="13" s="1"/>
  <c r="EC39" i="12"/>
  <c r="J39" i="13"/>
  <c r="J33" i="13"/>
  <c r="ED29" i="12"/>
  <c r="J29" i="13"/>
  <c r="ED25" i="12"/>
  <c r="J25" i="13"/>
  <c r="ED21" i="12"/>
  <c r="J21" i="13"/>
  <c r="J17" i="13"/>
  <c r="AW17" i="13" s="1"/>
  <c r="J13" i="13"/>
  <c r="EF44" i="12"/>
  <c r="EF40" i="12"/>
  <c r="EF36" i="12"/>
  <c r="EF30" i="12"/>
  <c r="EF26" i="12"/>
  <c r="EF22" i="12"/>
  <c r="EF18" i="12"/>
  <c r="EF13" i="12"/>
  <c r="EG54" i="12"/>
  <c r="EH54" i="12" s="1"/>
  <c r="EG50" i="12"/>
  <c r="EH50" i="12" s="1"/>
  <c r="EH42" i="12"/>
  <c r="EI54" i="12"/>
  <c r="K44" i="13"/>
  <c r="EI50" i="12"/>
  <c r="K40" i="13"/>
  <c r="L18" i="13"/>
  <c r="AY18" i="13" s="1"/>
  <c r="H42" i="13"/>
  <c r="H38" i="13"/>
  <c r="H32" i="13"/>
  <c r="H28" i="13"/>
  <c r="H24" i="13"/>
  <c r="H20" i="13"/>
  <c r="H16" i="13"/>
  <c r="D11" i="13"/>
  <c r="H41" i="13"/>
  <c r="H37" i="13"/>
  <c r="H31" i="13"/>
  <c r="H27" i="13"/>
  <c r="H23" i="13"/>
  <c r="H19" i="13"/>
  <c r="H15" i="13"/>
  <c r="H11" i="13"/>
  <c r="H58" i="13" s="1"/>
  <c r="H44" i="13"/>
  <c r="H40" i="13"/>
  <c r="H30" i="13"/>
  <c r="H26" i="13"/>
  <c r="H22" i="13"/>
  <c r="H18" i="13"/>
  <c r="H14" i="13"/>
  <c r="H43" i="13"/>
  <c r="H39" i="13"/>
  <c r="H33" i="13"/>
  <c r="H29" i="13"/>
  <c r="H25" i="13"/>
  <c r="H21" i="13"/>
  <c r="H17" i="13"/>
  <c r="H13" i="13"/>
  <c r="EH38" i="12"/>
  <c r="EI44" i="12"/>
  <c r="EJ44" i="12" s="1"/>
  <c r="EJ28" i="12"/>
  <c r="EI40" i="12"/>
  <c r="EJ40" i="12" s="1"/>
  <c r="EJ33" i="12"/>
  <c r="EJ23" i="12"/>
  <c r="EI43" i="12"/>
  <c r="EJ43" i="12" s="1"/>
  <c r="EI39" i="12"/>
  <c r="EJ39" i="12" s="1"/>
  <c r="EJ27" i="12"/>
  <c r="EJ22" i="12"/>
  <c r="EJ32" i="12"/>
  <c r="EM11" i="12"/>
  <c r="EN11" i="12" s="1"/>
  <c r="EI36" i="12"/>
  <c r="EJ36" i="12" s="1"/>
  <c r="EI42" i="12"/>
  <c r="EJ42" i="12" s="1"/>
  <c r="EJ26" i="12"/>
  <c r="EI38" i="12"/>
  <c r="EJ38" i="12" s="1"/>
  <c r="EJ21" i="12"/>
  <c r="EJ31" i="12"/>
  <c r="EM42" i="12"/>
  <c r="EN42" i="12" s="1"/>
  <c r="EM38" i="12"/>
  <c r="EN38" i="12" s="1"/>
  <c r="EJ29" i="12"/>
  <c r="EI41" i="12"/>
  <c r="EJ41" i="12" s="1"/>
  <c r="EJ25" i="12"/>
  <c r="EI37" i="12"/>
  <c r="EJ37" i="12" s="1"/>
  <c r="EJ30" i="12"/>
  <c r="EM41" i="12"/>
  <c r="EN41" i="12" s="1"/>
  <c r="EM37" i="12"/>
  <c r="EN37" i="12" s="1"/>
  <c r="EM44" i="12"/>
  <c r="EN44" i="12" s="1"/>
  <c r="EM40" i="12"/>
  <c r="EN40" i="12" s="1"/>
  <c r="EM36" i="12"/>
  <c r="EN36" i="12" s="1"/>
  <c r="EM43" i="12"/>
  <c r="EN43" i="12" s="1"/>
  <c r="EM39" i="12"/>
  <c r="EN39" i="12" s="1"/>
  <c r="BN31" i="12"/>
  <c r="BN27" i="12"/>
  <c r="BN23" i="12"/>
  <c r="BN30" i="12"/>
  <c r="BN26" i="12"/>
  <c r="BN22" i="12"/>
  <c r="BN32" i="12"/>
  <c r="BN28" i="12"/>
  <c r="BN24" i="12"/>
  <c r="BN20" i="12"/>
  <c r="K58" i="12"/>
  <c r="E60" i="4"/>
  <c r="F64" i="4"/>
  <c r="G26" i="10"/>
  <c r="G27" i="10"/>
  <c r="G28" i="10"/>
  <c r="G29" i="10"/>
  <c r="G30" i="10"/>
  <c r="G31" i="10"/>
  <c r="G32" i="10"/>
  <c r="G33" i="10"/>
  <c r="G34" i="10"/>
  <c r="G35" i="10"/>
  <c r="G36" i="10"/>
  <c r="G37" i="10"/>
  <c r="G38" i="10"/>
  <c r="G39" i="10"/>
  <c r="G40" i="10"/>
  <c r="F20" i="10"/>
  <c r="F21" i="10"/>
  <c r="F22" i="10"/>
  <c r="F23" i="10"/>
  <c r="F24" i="10"/>
  <c r="F25" i="10"/>
  <c r="F26" i="10"/>
  <c r="F27" i="10"/>
  <c r="F28" i="10"/>
  <c r="F29" i="10"/>
  <c r="F30" i="10"/>
  <c r="F31" i="10"/>
  <c r="F32" i="10"/>
  <c r="F33" i="10"/>
  <c r="F34" i="10"/>
  <c r="F35" i="10"/>
  <c r="F36" i="10"/>
  <c r="F37" i="10"/>
  <c r="F38" i="10"/>
  <c r="F39" i="10"/>
  <c r="F40" i="10"/>
  <c r="F41" i="10"/>
  <c r="F42" i="10"/>
  <c r="F43" i="10"/>
  <c r="F44" i="10"/>
  <c r="F45" i="10"/>
  <c r="F46" i="10"/>
  <c r="F47" i="10"/>
  <c r="F48" i="10"/>
  <c r="F49" i="10"/>
  <c r="F50" i="10"/>
  <c r="F51" i="10"/>
  <c r="F52" i="10"/>
  <c r="F19" i="10"/>
  <c r="F12" i="10"/>
  <c r="F19" i="9"/>
  <c r="F26" i="9"/>
  <c r="F27" i="9"/>
  <c r="F28" i="9"/>
  <c r="F29" i="9"/>
  <c r="F30" i="9"/>
  <c r="F31" i="9"/>
  <c r="F32" i="9"/>
  <c r="F33" i="9"/>
  <c r="F34" i="9"/>
  <c r="F35" i="9"/>
  <c r="F36" i="9"/>
  <c r="F37" i="9"/>
  <c r="F48" i="9"/>
  <c r="F49" i="9"/>
  <c r="F50" i="9"/>
  <c r="F21" i="9"/>
  <c r="D12" i="8"/>
  <c r="D13" i="8"/>
  <c r="D55" i="8"/>
  <c r="D56" i="8"/>
  <c r="D57" i="8" s="1"/>
  <c r="D58" i="8" s="1"/>
  <c r="D59" i="8"/>
  <c r="D64" i="8"/>
  <c r="D65" i="8"/>
  <c r="D66" i="8"/>
  <c r="F25" i="7"/>
  <c r="F26" i="7"/>
  <c r="G26" i="7" s="1"/>
  <c r="F27" i="7"/>
  <c r="G27" i="7" s="1"/>
  <c r="F28" i="7"/>
  <c r="G28" i="7" s="1"/>
  <c r="F29" i="7"/>
  <c r="G29" i="7" s="1"/>
  <c r="F30" i="7"/>
  <c r="G30" i="7" s="1"/>
  <c r="F31" i="7"/>
  <c r="G31" i="7" s="1"/>
  <c r="F32" i="7"/>
  <c r="G32" i="7" s="1"/>
  <c r="F33" i="7"/>
  <c r="G33" i="7" s="1"/>
  <c r="F34" i="7"/>
  <c r="G34" i="7" s="1"/>
  <c r="F35" i="7"/>
  <c r="G35" i="7" s="1"/>
  <c r="F36" i="7"/>
  <c r="G36" i="7" s="1"/>
  <c r="F37" i="7"/>
  <c r="G37" i="7" s="1"/>
  <c r="F38" i="7"/>
  <c r="G38" i="7" s="1"/>
  <c r="F39" i="7"/>
  <c r="G39" i="7" s="1"/>
  <c r="F40" i="7"/>
  <c r="G40" i="7" s="1"/>
  <c r="F41" i="7"/>
  <c r="G41" i="7" s="1"/>
  <c r="F44" i="7"/>
  <c r="G44" i="7" s="1"/>
  <c r="F45" i="7"/>
  <c r="G45" i="7" s="1"/>
  <c r="F46" i="7"/>
  <c r="G46" i="7" s="1"/>
  <c r="F47" i="7"/>
  <c r="G47" i="7" s="1"/>
  <c r="F48" i="7"/>
  <c r="G48" i="7" s="1"/>
  <c r="F49" i="7"/>
  <c r="G49" i="7" s="1"/>
  <c r="F50" i="7"/>
  <c r="G50" i="7" s="1"/>
  <c r="F51" i="7"/>
  <c r="G51" i="7" s="1"/>
  <c r="F52" i="7"/>
  <c r="G52" i="7" s="1"/>
  <c r="H34" i="6"/>
  <c r="H35" i="6"/>
  <c r="H36" i="6"/>
  <c r="H37" i="6"/>
  <c r="H38" i="6"/>
  <c r="H39" i="6"/>
  <c r="H40" i="6"/>
  <c r="H41" i="6"/>
  <c r="H44" i="6"/>
  <c r="H45" i="6"/>
  <c r="H46" i="6"/>
  <c r="H47" i="6"/>
  <c r="H48" i="6"/>
  <c r="H49" i="6"/>
  <c r="H50" i="6"/>
  <c r="H51" i="6"/>
  <c r="H52" i="6"/>
  <c r="F67" i="5"/>
  <c r="D67" i="5"/>
  <c r="F66" i="5"/>
  <c r="D66" i="5"/>
  <c r="F65" i="5"/>
  <c r="D65" i="5"/>
  <c r="F57" i="5"/>
  <c r="D57" i="5"/>
  <c r="G56" i="5"/>
  <c r="F56" i="5"/>
  <c r="D67" i="3"/>
  <c r="H67" i="3"/>
  <c r="H66" i="3"/>
  <c r="H65" i="3"/>
  <c r="D65" i="3"/>
  <c r="H38" i="5"/>
  <c r="H39" i="5"/>
  <c r="H40" i="5"/>
  <c r="H41" i="5"/>
  <c r="H44" i="5"/>
  <c r="H45" i="5"/>
  <c r="H46" i="5"/>
  <c r="H47" i="5"/>
  <c r="H48" i="5"/>
  <c r="H49" i="5"/>
  <c r="H50" i="5"/>
  <c r="H51" i="5"/>
  <c r="H52" i="5"/>
  <c r="H39" i="4"/>
  <c r="H40" i="4"/>
  <c r="H41" i="4"/>
  <c r="H38" i="4"/>
  <c r="U24" i="13" l="1"/>
  <c r="U36" i="13"/>
  <c r="AG36" i="13"/>
  <c r="AH36" i="13" s="1"/>
  <c r="T58" i="13"/>
  <c r="U11" i="13"/>
  <c r="R58" i="13"/>
  <c r="AG12" i="13"/>
  <c r="Q44" i="13"/>
  <c r="AL20" i="13"/>
  <c r="AK23" i="13"/>
  <c r="AK8" i="13"/>
  <c r="D67" i="13" s="1"/>
  <c r="X36" i="13"/>
  <c r="X35" i="13"/>
  <c r="X34" i="13"/>
  <c r="AL28" i="13"/>
  <c r="AW38" i="13"/>
  <c r="AX38" i="13" s="1"/>
  <c r="Q13" i="13"/>
  <c r="AE8" i="13"/>
  <c r="D64" i="13" s="1"/>
  <c r="AA36" i="13"/>
  <c r="AA35" i="13"/>
  <c r="AA34" i="13"/>
  <c r="Q16" i="13"/>
  <c r="Q32" i="13"/>
  <c r="AE16" i="13"/>
  <c r="AE27" i="13"/>
  <c r="AC20" i="13"/>
  <c r="AC15" i="13"/>
  <c r="I13" i="13"/>
  <c r="AG13" i="13"/>
  <c r="AH13" i="13" s="1"/>
  <c r="I14" i="13"/>
  <c r="AG14" i="13"/>
  <c r="I30" i="13"/>
  <c r="AG30" i="13"/>
  <c r="AH30" i="13" s="1"/>
  <c r="I27" i="13"/>
  <c r="AG27" i="13"/>
  <c r="AH27" i="13" s="1"/>
  <c r="M13" i="13"/>
  <c r="AW13" i="13"/>
  <c r="I21" i="13"/>
  <c r="AG21" i="13"/>
  <c r="AH21" i="13" s="1"/>
  <c r="I39" i="13"/>
  <c r="AG39" i="13"/>
  <c r="AH39" i="13" s="1"/>
  <c r="I22" i="13"/>
  <c r="AG22" i="13"/>
  <c r="AH22" i="13" s="1"/>
  <c r="I40" i="13"/>
  <c r="AG40" i="13"/>
  <c r="AH40" i="13" s="1"/>
  <c r="I19" i="13"/>
  <c r="AG19" i="13"/>
  <c r="AH19" i="13" s="1"/>
  <c r="I37" i="13"/>
  <c r="AG37" i="13"/>
  <c r="AH37" i="13" s="1"/>
  <c r="I20" i="13"/>
  <c r="AG20" i="13"/>
  <c r="AH20" i="13" s="1"/>
  <c r="I38" i="13"/>
  <c r="AG38" i="13"/>
  <c r="AH38" i="13" s="1"/>
  <c r="M21" i="13"/>
  <c r="AW21" i="13"/>
  <c r="AX21" i="13" s="1"/>
  <c r="M29" i="13"/>
  <c r="AW29" i="13"/>
  <c r="AW42" i="13"/>
  <c r="M12" i="13"/>
  <c r="AW12" i="13"/>
  <c r="M23" i="13"/>
  <c r="AW23" i="13"/>
  <c r="M31" i="13"/>
  <c r="AW31" i="13"/>
  <c r="AW41" i="13"/>
  <c r="Q30" i="13"/>
  <c r="U14" i="13"/>
  <c r="U22" i="13"/>
  <c r="U30" i="13"/>
  <c r="U40" i="13"/>
  <c r="AK24" i="13"/>
  <c r="AL24" i="13" s="1"/>
  <c r="AK15" i="13"/>
  <c r="AK21" i="13"/>
  <c r="AK27" i="13"/>
  <c r="AE32" i="13"/>
  <c r="AE19" i="13"/>
  <c r="AE12" i="13"/>
  <c r="AE33" i="13"/>
  <c r="AE36" i="13"/>
  <c r="AE29" i="13"/>
  <c r="AF29" i="13" s="1"/>
  <c r="I25" i="13"/>
  <c r="AG25" i="13"/>
  <c r="I43" i="13"/>
  <c r="AG43" i="13"/>
  <c r="I26" i="13"/>
  <c r="AG26" i="13"/>
  <c r="I44" i="13"/>
  <c r="AG44" i="13"/>
  <c r="AH44" i="13" s="1"/>
  <c r="I23" i="13"/>
  <c r="AG23" i="13"/>
  <c r="AH23" i="13" s="1"/>
  <c r="I41" i="13"/>
  <c r="AG41" i="13"/>
  <c r="AH41" i="13" s="1"/>
  <c r="I24" i="13"/>
  <c r="AG24" i="13"/>
  <c r="AH24" i="13" s="1"/>
  <c r="I42" i="13"/>
  <c r="AG42" i="13"/>
  <c r="AH42" i="13" s="1"/>
  <c r="M14" i="13"/>
  <c r="AW14" i="13"/>
  <c r="M26" i="13"/>
  <c r="AW26" i="13"/>
  <c r="AX26" i="13" s="1"/>
  <c r="M36" i="13"/>
  <c r="AW36" i="13"/>
  <c r="AW44" i="13"/>
  <c r="AX44" i="13" s="1"/>
  <c r="M24" i="13"/>
  <c r="AW24" i="13"/>
  <c r="U13" i="13"/>
  <c r="U21" i="13"/>
  <c r="U29" i="13"/>
  <c r="U39" i="13"/>
  <c r="U15" i="13"/>
  <c r="U23" i="13"/>
  <c r="U31" i="13"/>
  <c r="U41" i="13"/>
  <c r="AK14" i="13"/>
  <c r="AK25" i="13"/>
  <c r="AL25" i="13" s="1"/>
  <c r="AK18" i="13"/>
  <c r="AL18" i="13" s="1"/>
  <c r="AE23" i="13"/>
  <c r="AE20" i="13"/>
  <c r="AE22" i="13"/>
  <c r="AE30" i="13"/>
  <c r="I29" i="13"/>
  <c r="AG29" i="13"/>
  <c r="M25" i="13"/>
  <c r="AW25" i="13"/>
  <c r="AX25" i="13" s="1"/>
  <c r="M33" i="13"/>
  <c r="AW33" i="13"/>
  <c r="M28" i="13"/>
  <c r="AW28" i="13"/>
  <c r="AX28" i="13" s="1"/>
  <c r="M27" i="13"/>
  <c r="AW27" i="13"/>
  <c r="M37" i="13"/>
  <c r="AW37" i="13"/>
  <c r="M11" i="13"/>
  <c r="AW11" i="13"/>
  <c r="AX11" i="13" s="1"/>
  <c r="U44" i="13"/>
  <c r="AK13" i="13"/>
  <c r="AK29" i="13"/>
  <c r="AK26" i="13"/>
  <c r="AE28" i="13"/>
  <c r="AF28" i="13" s="1"/>
  <c r="AC17" i="13"/>
  <c r="AC33" i="13"/>
  <c r="AC22" i="13"/>
  <c r="AC19" i="13"/>
  <c r="AE17" i="13"/>
  <c r="AE18" i="13"/>
  <c r="AE13" i="13"/>
  <c r="AG11" i="13"/>
  <c r="I28" i="13"/>
  <c r="AG28" i="13"/>
  <c r="AH28" i="13" s="1"/>
  <c r="I17" i="13"/>
  <c r="AG17" i="13"/>
  <c r="AH17" i="13" s="1"/>
  <c r="I33" i="13"/>
  <c r="AG33" i="13"/>
  <c r="AH33" i="13" s="1"/>
  <c r="I18" i="13"/>
  <c r="AG18" i="13"/>
  <c r="AH18" i="13" s="1"/>
  <c r="I36" i="13"/>
  <c r="I15" i="13"/>
  <c r="AG15" i="13"/>
  <c r="AH15" i="13" s="1"/>
  <c r="I31" i="13"/>
  <c r="AG31" i="13"/>
  <c r="I16" i="13"/>
  <c r="AG16" i="13"/>
  <c r="AH16" i="13" s="1"/>
  <c r="I32" i="13"/>
  <c r="AG32" i="13"/>
  <c r="AW39" i="13"/>
  <c r="M22" i="13"/>
  <c r="AW22" i="13"/>
  <c r="AX22" i="13" s="1"/>
  <c r="M30" i="13"/>
  <c r="AW30" i="13"/>
  <c r="AW40" i="13"/>
  <c r="M32" i="13"/>
  <c r="AW32" i="13"/>
  <c r="Q14" i="13"/>
  <c r="Q17" i="13"/>
  <c r="Q33" i="13"/>
  <c r="U17" i="13"/>
  <c r="U25" i="13"/>
  <c r="U33" i="13"/>
  <c r="U43" i="13"/>
  <c r="U19" i="13"/>
  <c r="U27" i="13"/>
  <c r="U37" i="13"/>
  <c r="AK32" i="13"/>
  <c r="AK30" i="13"/>
  <c r="AK31" i="13"/>
  <c r="AK17" i="13"/>
  <c r="AL17" i="13" s="1"/>
  <c r="AK33" i="13"/>
  <c r="AK19" i="13"/>
  <c r="AE24" i="13"/>
  <c r="AF24" i="13" s="1"/>
  <c r="AE15" i="13"/>
  <c r="AE31" i="13"/>
  <c r="AE25" i="13"/>
  <c r="AE26" i="13"/>
  <c r="AE21" i="13"/>
  <c r="AE14" i="13"/>
  <c r="Q24" i="13"/>
  <c r="Q42" i="13"/>
  <c r="M39" i="13"/>
  <c r="Q43" i="13"/>
  <c r="Q25" i="13"/>
  <c r="M20" i="13"/>
  <c r="M42" i="13"/>
  <c r="M41" i="13"/>
  <c r="M16" i="13"/>
  <c r="Q15" i="13"/>
  <c r="Q23" i="13"/>
  <c r="Q31" i="13"/>
  <c r="Q41" i="13"/>
  <c r="Q12" i="13"/>
  <c r="Q20" i="13"/>
  <c r="Q28" i="13"/>
  <c r="Q38" i="13"/>
  <c r="M38" i="13"/>
  <c r="Q21" i="13"/>
  <c r="Q29" i="13"/>
  <c r="Q39" i="13"/>
  <c r="Q22" i="13"/>
  <c r="M43" i="13"/>
  <c r="M44" i="13"/>
  <c r="I11" i="13"/>
  <c r="M18" i="13"/>
  <c r="M15" i="13"/>
  <c r="M17" i="13"/>
  <c r="M40" i="13"/>
  <c r="M19" i="13"/>
  <c r="AC24" i="13"/>
  <c r="AC27" i="13"/>
  <c r="AC21" i="13"/>
  <c r="AC23" i="13"/>
  <c r="AC26" i="13"/>
  <c r="AC31" i="13"/>
  <c r="AC12" i="13"/>
  <c r="AC28" i="13"/>
  <c r="AC37" i="13"/>
  <c r="AC25" i="13"/>
  <c r="AC14" i="13"/>
  <c r="AC30" i="13"/>
  <c r="AC16" i="13"/>
  <c r="AC32" i="13"/>
  <c r="AC13" i="13"/>
  <c r="AC29" i="13"/>
  <c r="AC18" i="13"/>
  <c r="AC36" i="13"/>
  <c r="BJ25" i="12"/>
  <c r="AA30" i="13"/>
  <c r="BJ34" i="12"/>
  <c r="BJ33" i="12"/>
  <c r="BJ35" i="12"/>
  <c r="EH53" i="12"/>
  <c r="EN55" i="12"/>
  <c r="BJ21" i="12"/>
  <c r="EV15" i="12"/>
  <c r="EV23" i="12"/>
  <c r="EV31" i="12"/>
  <c r="BJ26" i="12"/>
  <c r="EH48" i="12"/>
  <c r="EV18" i="12"/>
  <c r="EV17" i="12"/>
  <c r="EV29" i="12"/>
  <c r="BA14" i="13"/>
  <c r="BA22" i="13"/>
  <c r="BA30" i="13"/>
  <c r="BA16" i="13"/>
  <c r="BA32" i="13"/>
  <c r="BA25" i="13"/>
  <c r="BA15" i="13"/>
  <c r="BA23" i="13"/>
  <c r="BA31" i="13"/>
  <c r="BA20" i="13"/>
  <c r="BA21" i="13"/>
  <c r="BB21" i="13" s="1"/>
  <c r="EN56" i="12"/>
  <c r="X22" i="13"/>
  <c r="AA13" i="13"/>
  <c r="EV14" i="12"/>
  <c r="EV19" i="12"/>
  <c r="EV27" i="12"/>
  <c r="EV13" i="12"/>
  <c r="EV33" i="12"/>
  <c r="EV26" i="12"/>
  <c r="EV16" i="12"/>
  <c r="EV24" i="12"/>
  <c r="EV32" i="12"/>
  <c r="EV22" i="12"/>
  <c r="BA18" i="13"/>
  <c r="BA26" i="13"/>
  <c r="BA36" i="13"/>
  <c r="BA24" i="13"/>
  <c r="BB24" i="13" s="1"/>
  <c r="BA17" i="13"/>
  <c r="BA33" i="13"/>
  <c r="BA19" i="13"/>
  <c r="BA27" i="13"/>
  <c r="BA37" i="13"/>
  <c r="BA12" i="13"/>
  <c r="BA28" i="13"/>
  <c r="BA13" i="13"/>
  <c r="BA29" i="13"/>
  <c r="EV30" i="12"/>
  <c r="X29" i="13"/>
  <c r="F20" i="9"/>
  <c r="AA21" i="13"/>
  <c r="AA18" i="13"/>
  <c r="AA29" i="13"/>
  <c r="AA26" i="13"/>
  <c r="X16" i="13"/>
  <c r="X24" i="13"/>
  <c r="X32" i="13"/>
  <c r="X21" i="13"/>
  <c r="X19" i="13"/>
  <c r="U46" i="13"/>
  <c r="CQ58" i="12"/>
  <c r="CQ59" i="12" s="1"/>
  <c r="CS58" i="12"/>
  <c r="CR61" i="12"/>
  <c r="CS61" i="12"/>
  <c r="DY58" i="12"/>
  <c r="DY61" i="12"/>
  <c r="DS61" i="12"/>
  <c r="DS58" i="12"/>
  <c r="DS59" i="12" s="1"/>
  <c r="E62" i="4"/>
  <c r="EC58" i="12"/>
  <c r="EN52" i="12"/>
  <c r="EN50" i="12"/>
  <c r="BO58" i="12"/>
  <c r="F67" i="12" s="1"/>
  <c r="BL24" i="12"/>
  <c r="BL32" i="12"/>
  <c r="BL27" i="12"/>
  <c r="BN25" i="12"/>
  <c r="BN33" i="12"/>
  <c r="BL25" i="12"/>
  <c r="BL33" i="12"/>
  <c r="BL22" i="12"/>
  <c r="BL30" i="12"/>
  <c r="BL20" i="12"/>
  <c r="BL28" i="12"/>
  <c r="BL37" i="12"/>
  <c r="BN21" i="12"/>
  <c r="BN29" i="12"/>
  <c r="BL21" i="12"/>
  <c r="BL29" i="12"/>
  <c r="BL23" i="12"/>
  <c r="BL26" i="12"/>
  <c r="BL31" i="12"/>
  <c r="AA16" i="13"/>
  <c r="AA32" i="13"/>
  <c r="AA15" i="13"/>
  <c r="AA23" i="13"/>
  <c r="AA31" i="13"/>
  <c r="AA20" i="13"/>
  <c r="BJ30" i="12"/>
  <c r="BJ32" i="12"/>
  <c r="AA22" i="13"/>
  <c r="AF18" i="13"/>
  <c r="BJ23" i="12"/>
  <c r="BJ31" i="12"/>
  <c r="BJ20" i="12"/>
  <c r="BJ36" i="12"/>
  <c r="AA17" i="13"/>
  <c r="AA25" i="13"/>
  <c r="AA33" i="13"/>
  <c r="AA24" i="13"/>
  <c r="AA14" i="13"/>
  <c r="AA19" i="13"/>
  <c r="AF27" i="13"/>
  <c r="AA27" i="13"/>
  <c r="AA12" i="13"/>
  <c r="AA28" i="13"/>
  <c r="BJ29" i="12"/>
  <c r="BJ22" i="12"/>
  <c r="BJ24" i="12"/>
  <c r="BJ27" i="12"/>
  <c r="BJ28" i="12"/>
  <c r="ET17" i="12"/>
  <c r="ET43" i="12"/>
  <c r="ET44" i="12"/>
  <c r="ET16" i="12"/>
  <c r="ET24" i="12"/>
  <c r="ET32" i="12"/>
  <c r="ET42" i="12"/>
  <c r="X14" i="13"/>
  <c r="X30" i="13"/>
  <c r="ET23" i="12"/>
  <c r="ET41" i="12"/>
  <c r="EV12" i="12"/>
  <c r="EV20" i="12"/>
  <c r="EV28" i="12"/>
  <c r="ET13" i="12"/>
  <c r="ET21" i="12"/>
  <c r="ET29" i="12"/>
  <c r="ET39" i="12"/>
  <c r="EV21" i="12"/>
  <c r="ET18" i="12"/>
  <c r="ET36" i="12"/>
  <c r="X27" i="13"/>
  <c r="ET25" i="12"/>
  <c r="ET33" i="12"/>
  <c r="ET26" i="12"/>
  <c r="ET22" i="12"/>
  <c r="ET40" i="12"/>
  <c r="X23" i="13"/>
  <c r="X13" i="13"/>
  <c r="X18" i="13"/>
  <c r="ET19" i="12"/>
  <c r="ET37" i="12"/>
  <c r="X12" i="13"/>
  <c r="X20" i="13"/>
  <c r="X28" i="13"/>
  <c r="EV25" i="12"/>
  <c r="ET14" i="12"/>
  <c r="ET30" i="12"/>
  <c r="X15" i="13"/>
  <c r="X31" i="13"/>
  <c r="X17" i="13"/>
  <c r="X25" i="13"/>
  <c r="X33" i="13"/>
  <c r="X26" i="13"/>
  <c r="EV36" i="12"/>
  <c r="ET27" i="12"/>
  <c r="ET45" i="12"/>
  <c r="CS59" i="12"/>
  <c r="U45" i="13"/>
  <c r="CQ61" i="12"/>
  <c r="AT19" i="13"/>
  <c r="AT27" i="13"/>
  <c r="AT37" i="13"/>
  <c r="AT45" i="13"/>
  <c r="AT18" i="13"/>
  <c r="AT11" i="13"/>
  <c r="AT16" i="13"/>
  <c r="AT24" i="13"/>
  <c r="AT32" i="13"/>
  <c r="AT42" i="13"/>
  <c r="AT14" i="13"/>
  <c r="AT17" i="13"/>
  <c r="AT25" i="13"/>
  <c r="AT33" i="13"/>
  <c r="AT36" i="13"/>
  <c r="G66" i="5"/>
  <c r="G65" i="5"/>
  <c r="AT40" i="13"/>
  <c r="AT43" i="13"/>
  <c r="G67" i="5"/>
  <c r="AT15" i="13"/>
  <c r="AT23" i="13"/>
  <c r="AT31" i="13"/>
  <c r="AT41" i="13"/>
  <c r="AT30" i="13"/>
  <c r="AT12" i="13"/>
  <c r="AT20" i="13"/>
  <c r="AT28" i="13"/>
  <c r="AT38" i="13"/>
  <c r="AT46" i="13"/>
  <c r="AT26" i="13"/>
  <c r="AT13" i="13"/>
  <c r="AT21" i="13"/>
  <c r="AT29" i="13"/>
  <c r="AT39" i="13"/>
  <c r="AT22" i="13"/>
  <c r="AT44" i="13"/>
  <c r="G68" i="4"/>
  <c r="G66" i="4"/>
  <c r="G67" i="4"/>
  <c r="EN49" i="12"/>
  <c r="EN51" i="12"/>
  <c r="EE61" i="12"/>
  <c r="EC61" i="12"/>
  <c r="AX13" i="13"/>
  <c r="AX29" i="13"/>
  <c r="AX39" i="13"/>
  <c r="AX20" i="13"/>
  <c r="AX42" i="13"/>
  <c r="AX18" i="13"/>
  <c r="AX12" i="13"/>
  <c r="AX32" i="13"/>
  <c r="AX19" i="13"/>
  <c r="AX27" i="13"/>
  <c r="AX37" i="13"/>
  <c r="AW45" i="13"/>
  <c r="AX45" i="13" s="1"/>
  <c r="EN54" i="12"/>
  <c r="AX17" i="13"/>
  <c r="AX33" i="13"/>
  <c r="AX43" i="13"/>
  <c r="AX14" i="13"/>
  <c r="AX30" i="13"/>
  <c r="AX40" i="13"/>
  <c r="AX24" i="13"/>
  <c r="AW46" i="13"/>
  <c r="AX46" i="13" s="1"/>
  <c r="AX15" i="13"/>
  <c r="AX23" i="13"/>
  <c r="AX31" i="13"/>
  <c r="AX41" i="13"/>
  <c r="AX16" i="13"/>
  <c r="AH32" i="13"/>
  <c r="AH29" i="13"/>
  <c r="AH26" i="13"/>
  <c r="AH31" i="13"/>
  <c r="AH12" i="13"/>
  <c r="AH25" i="13"/>
  <c r="AH43" i="13"/>
  <c r="AH14" i="13"/>
  <c r="EH28" i="12"/>
  <c r="EH25" i="12"/>
  <c r="EH39" i="12"/>
  <c r="EH16" i="12"/>
  <c r="EH24" i="12"/>
  <c r="EH27" i="12"/>
  <c r="EJ20" i="12"/>
  <c r="EI58" i="12"/>
  <c r="EI61" i="12"/>
  <c r="EH41" i="12"/>
  <c r="CR59" i="12"/>
  <c r="CR58" i="12"/>
  <c r="EF61" i="12"/>
  <c r="EF59" i="12"/>
  <c r="EH18" i="12"/>
  <c r="EH29" i="12"/>
  <c r="EH43" i="12"/>
  <c r="EH26" i="12"/>
  <c r="EH36" i="12"/>
  <c r="EH12" i="12"/>
  <c r="EG58" i="12"/>
  <c r="EG61" i="12"/>
  <c r="EH21" i="12"/>
  <c r="DT59" i="12"/>
  <c r="DT61" i="12"/>
  <c r="EM58" i="12"/>
  <c r="EM61" i="12"/>
  <c r="BS58" i="12"/>
  <c r="F69" i="12" s="1"/>
  <c r="EH23" i="12"/>
  <c r="EH19" i="12"/>
  <c r="EH20" i="12"/>
  <c r="EH40" i="12"/>
  <c r="EH22" i="12"/>
  <c r="EH31" i="12"/>
  <c r="EH32" i="12"/>
  <c r="EH13" i="12"/>
  <c r="EH15" i="12"/>
  <c r="EH33" i="12"/>
  <c r="EH30" i="12"/>
  <c r="EH44" i="12"/>
  <c r="EH17" i="12"/>
  <c r="EH37" i="12"/>
  <c r="CT61" i="12"/>
  <c r="CT59" i="12"/>
  <c r="CT58" i="12"/>
  <c r="G58" i="4"/>
  <c r="G59" i="4" s="1"/>
  <c r="G60" i="4" s="1"/>
  <c r="G61" i="4"/>
  <c r="D62" i="4"/>
  <c r="D64" i="4" s="1"/>
  <c r="D60" i="8"/>
  <c r="D62" i="8" s="1"/>
  <c r="G57" i="5"/>
  <c r="G58" i="5" s="1"/>
  <c r="G59" i="5" s="1"/>
  <c r="G60" i="5"/>
  <c r="D61" i="5"/>
  <c r="D63" i="5" s="1"/>
  <c r="K76" i="13"/>
  <c r="U58" i="13" l="1"/>
  <c r="I58" i="13"/>
  <c r="AL19" i="13"/>
  <c r="AL26" i="13"/>
  <c r="AL27" i="13"/>
  <c r="AL23" i="13"/>
  <c r="AL30" i="13"/>
  <c r="AL29" i="13"/>
  <c r="AL21" i="13"/>
  <c r="AL22" i="13"/>
  <c r="AL16" i="13"/>
  <c r="AG58" i="13"/>
  <c r="AZ23" i="13"/>
  <c r="AF33" i="13"/>
  <c r="EI59" i="12"/>
  <c r="F109" i="12"/>
  <c r="BB27" i="13"/>
  <c r="BB26" i="13"/>
  <c r="BB30" i="13"/>
  <c r="BB19" i="13"/>
  <c r="BB18" i="13"/>
  <c r="BB23" i="13"/>
  <c r="BB25" i="13"/>
  <c r="BB22" i="13"/>
  <c r="BB29" i="13"/>
  <c r="BB28" i="13"/>
  <c r="BB17" i="13"/>
  <c r="BB20" i="13"/>
  <c r="BB16" i="13"/>
  <c r="AF12" i="13"/>
  <c r="AZ29" i="13"/>
  <c r="EC59" i="12"/>
  <c r="AF26" i="13"/>
  <c r="AF31" i="13"/>
  <c r="AF16" i="13"/>
  <c r="AF25" i="13"/>
  <c r="AF19" i="13"/>
  <c r="AF22" i="13"/>
  <c r="AF30" i="13"/>
  <c r="AF21" i="13"/>
  <c r="AF20" i="13"/>
  <c r="AF23" i="13"/>
  <c r="AF32" i="13"/>
  <c r="AF17" i="13"/>
  <c r="AF13" i="13"/>
  <c r="AF15" i="13"/>
  <c r="AF14" i="13"/>
  <c r="AZ18" i="13"/>
  <c r="AZ28" i="13"/>
  <c r="AZ14" i="13"/>
  <c r="AZ16" i="13"/>
  <c r="AZ19" i="13"/>
  <c r="AZ21" i="13"/>
  <c r="AZ20" i="13"/>
  <c r="AZ25" i="13"/>
  <c r="AZ27" i="13"/>
  <c r="AZ30" i="13"/>
  <c r="AZ24" i="13"/>
  <c r="AZ22" i="13"/>
  <c r="AZ17" i="13"/>
  <c r="AZ33" i="13"/>
  <c r="AZ31" i="13"/>
  <c r="AZ12" i="13"/>
  <c r="AZ32" i="13"/>
  <c r="AZ15" i="13"/>
  <c r="AZ13" i="13"/>
  <c r="AZ26" i="13"/>
  <c r="CT60" i="12"/>
  <c r="CR60" i="12"/>
  <c r="DT60" i="12"/>
  <c r="AT61" i="13"/>
  <c r="AT58" i="13"/>
  <c r="EE59" i="12"/>
  <c r="AX61" i="13"/>
  <c r="EF58" i="12"/>
  <c r="EG59" i="12"/>
  <c r="EF60" i="12"/>
  <c r="FA59" i="12"/>
  <c r="EY59" i="12"/>
  <c r="ES59" i="12"/>
  <c r="EM59" i="12"/>
  <c r="EU59" i="12"/>
  <c r="BS59" i="12"/>
  <c r="EH58" i="12"/>
  <c r="EH61" i="12"/>
  <c r="EH59" i="12"/>
  <c r="EN58" i="12"/>
  <c r="EN61" i="12"/>
  <c r="EN59" i="12"/>
  <c r="EJ61" i="12"/>
  <c r="EJ58" i="12"/>
  <c r="G109" i="12" s="1"/>
  <c r="H109" i="12" s="1"/>
  <c r="EJ59" i="12"/>
  <c r="G61" i="5"/>
  <c r="G63" i="5" s="1"/>
  <c r="F61" i="5"/>
  <c r="F63" i="5" s="1"/>
  <c r="FN46" i="12"/>
  <c r="FL46" i="12"/>
  <c r="FH46" i="12"/>
  <c r="FF46" i="12"/>
  <c r="FF17" i="12"/>
  <c r="EX46" i="12"/>
  <c r="EX17" i="12"/>
  <c r="CF46" i="12"/>
  <c r="H69" i="13"/>
  <c r="I69" i="13"/>
  <c r="H70" i="13"/>
  <c r="I70" i="13"/>
  <c r="D74" i="13"/>
  <c r="D71" i="13"/>
  <c r="D70" i="13"/>
  <c r="D69" i="13"/>
  <c r="AJ46" i="13"/>
  <c r="AH11" i="13"/>
  <c r="J110" i="12"/>
  <c r="AR58" i="13"/>
  <c r="AQ58" i="13"/>
  <c r="E70" i="13" s="1"/>
  <c r="F70" i="13" s="1"/>
  <c r="G70" i="13" s="1"/>
  <c r="AP58" i="13"/>
  <c r="AO58" i="13"/>
  <c r="E69" i="13" s="1"/>
  <c r="F69" i="13" s="1"/>
  <c r="G69" i="13" s="1"/>
  <c r="AB48" i="13"/>
  <c r="Z48" i="13"/>
  <c r="Y48" i="13"/>
  <c r="W48" i="13"/>
  <c r="V48" i="13"/>
  <c r="T48" i="13"/>
  <c r="R48" i="13"/>
  <c r="P48" i="13"/>
  <c r="N48" i="13"/>
  <c r="L48" i="13"/>
  <c r="J48" i="13"/>
  <c r="H48" i="13"/>
  <c r="D48" i="13"/>
  <c r="BN46" i="13"/>
  <c r="BO46" i="13"/>
  <c r="CI45" i="13"/>
  <c r="BN45" i="13"/>
  <c r="BO45" i="13"/>
  <c r="CI44" i="13"/>
  <c r="BO44" i="13"/>
  <c r="CI43" i="13"/>
  <c r="BN43" i="13"/>
  <c r="BO43" i="13"/>
  <c r="CI42" i="13"/>
  <c r="BN42" i="13"/>
  <c r="BO42" i="13"/>
  <c r="CI41" i="13"/>
  <c r="BN41" i="13"/>
  <c r="BO41" i="13"/>
  <c r="CI40" i="13"/>
  <c r="BN40" i="13"/>
  <c r="CC40" i="13"/>
  <c r="BP40" i="13"/>
  <c r="CI39" i="13"/>
  <c r="BN39" i="13"/>
  <c r="CC39" i="13"/>
  <c r="BP39" i="13"/>
  <c r="CI38" i="13"/>
  <c r="BN38" i="13"/>
  <c r="CC38" i="13"/>
  <c r="BP38" i="13"/>
  <c r="CI37" i="13"/>
  <c r="BN37" i="13"/>
  <c r="CC37" i="13"/>
  <c r="BO36" i="13"/>
  <c r="BP36" i="13"/>
  <c r="CI33" i="13"/>
  <c r="BI33" i="13"/>
  <c r="BN33" i="13"/>
  <c r="CC33" i="13"/>
  <c r="BO33" i="13"/>
  <c r="BN32" i="13"/>
  <c r="BO32" i="13"/>
  <c r="CI31" i="13"/>
  <c r="CN31" i="13"/>
  <c r="BN31" i="13"/>
  <c r="CC31" i="13"/>
  <c r="BO31" i="13"/>
  <c r="BP31" i="13"/>
  <c r="CI15" i="13"/>
  <c r="CN15" i="13"/>
  <c r="BN15" i="13"/>
  <c r="CC15" i="13"/>
  <c r="BO15" i="13"/>
  <c r="CI14" i="13"/>
  <c r="CN14" i="13"/>
  <c r="BN14" i="13"/>
  <c r="BO14" i="13"/>
  <c r="BP14" i="13"/>
  <c r="CI13" i="13"/>
  <c r="CN13" i="13"/>
  <c r="BI13" i="13"/>
  <c r="BN13" i="13"/>
  <c r="CC13" i="13"/>
  <c r="BO13" i="13"/>
  <c r="BP13" i="13"/>
  <c r="CI12" i="13"/>
  <c r="CN12" i="13"/>
  <c r="BN12" i="13"/>
  <c r="CC12" i="13"/>
  <c r="BO12" i="13"/>
  <c r="CN9" i="13"/>
  <c r="CM9" i="13"/>
  <c r="CK9" i="13"/>
  <c r="CJ9" i="13"/>
  <c r="CI9" i="13"/>
  <c r="CE9" i="13"/>
  <c r="CD9" i="13"/>
  <c r="CC9" i="13"/>
  <c r="BP9" i="13"/>
  <c r="BO9" i="13"/>
  <c r="BN9" i="13"/>
  <c r="BI9" i="13"/>
  <c r="BH9" i="13"/>
  <c r="BG9" i="13"/>
  <c r="BF9" i="13"/>
  <c r="BE9" i="13"/>
  <c r="C9" i="13"/>
  <c r="D75" i="13"/>
  <c r="D73" i="13"/>
  <c r="D72" i="13"/>
  <c r="D66" i="13"/>
  <c r="EW44" i="12"/>
  <c r="EW42" i="12"/>
  <c r="EW40" i="12"/>
  <c r="EW39" i="12"/>
  <c r="EW38" i="12"/>
  <c r="EW19" i="12"/>
  <c r="EW18" i="12"/>
  <c r="EW14" i="12"/>
  <c r="EW13" i="12"/>
  <c r="EW12" i="12"/>
  <c r="EW11" i="12"/>
  <c r="CN44" i="13"/>
  <c r="CN43" i="13"/>
  <c r="CN42" i="13"/>
  <c r="CN41" i="13"/>
  <c r="FM37" i="12"/>
  <c r="FM19" i="12"/>
  <c r="FM18" i="12"/>
  <c r="FM17" i="12"/>
  <c r="FM14" i="12"/>
  <c r="FM13" i="12"/>
  <c r="FM12" i="12"/>
  <c r="AB11" i="12"/>
  <c r="Z46" i="13"/>
  <c r="Z45" i="13"/>
  <c r="BI45" i="13" s="1"/>
  <c r="Z44" i="13"/>
  <c r="BI44" i="13" s="1"/>
  <c r="Z43" i="13"/>
  <c r="BI43" i="13" s="1"/>
  <c r="Z42" i="13"/>
  <c r="BI42" i="13" s="1"/>
  <c r="Z41" i="13"/>
  <c r="BI41" i="13" s="1"/>
  <c r="Z40" i="13"/>
  <c r="Z39" i="13"/>
  <c r="Z38" i="13"/>
  <c r="Z37" i="13"/>
  <c r="BI37" i="13" s="1"/>
  <c r="AG37" i="12"/>
  <c r="AG16" i="12"/>
  <c r="AG12" i="12"/>
  <c r="Z11" i="12"/>
  <c r="Y11" i="12"/>
  <c r="BI11" i="12" s="1"/>
  <c r="W37" i="13"/>
  <c r="AK37" i="13" s="1"/>
  <c r="AK12" i="12"/>
  <c r="AK13" i="12"/>
  <c r="AK14" i="12"/>
  <c r="AK37" i="12"/>
  <c r="AK40" i="12"/>
  <c r="AK46" i="12"/>
  <c r="AK11" i="12"/>
  <c r="AZ58" i="12"/>
  <c r="AY58" i="12"/>
  <c r="AT58" i="12"/>
  <c r="AS58" i="12"/>
  <c r="AR58" i="12"/>
  <c r="AQ58" i="12"/>
  <c r="AP58" i="12"/>
  <c r="AO58" i="12"/>
  <c r="AN58" i="12"/>
  <c r="AM58" i="12"/>
  <c r="FA48" i="12"/>
  <c r="FB48" i="12" s="1"/>
  <c r="EY48" i="12"/>
  <c r="EZ48" i="12" s="1"/>
  <c r="AB48" i="12"/>
  <c r="BK48" i="12" s="1"/>
  <c r="Z48" i="12"/>
  <c r="Y48" i="12"/>
  <c r="BI48" i="12" s="1"/>
  <c r="W48" i="12"/>
  <c r="EU48" i="12" s="1"/>
  <c r="EV48" i="12" s="1"/>
  <c r="V48" i="12"/>
  <c r="ES48" i="12" s="1"/>
  <c r="ET48" i="12" s="1"/>
  <c r="T48" i="12"/>
  <c r="CS48" i="12" s="1"/>
  <c r="CT48" i="12" s="1"/>
  <c r="R48" i="12"/>
  <c r="CQ48" i="12" s="1"/>
  <c r="CR48" i="12" s="1"/>
  <c r="P48" i="12"/>
  <c r="DY48" i="12" s="1"/>
  <c r="N48" i="12"/>
  <c r="DS48" i="12" s="1"/>
  <c r="DT48" i="12" s="1"/>
  <c r="L48" i="12"/>
  <c r="J48" i="12"/>
  <c r="EC48" i="12" s="1"/>
  <c r="H48" i="12"/>
  <c r="BS48" i="12" s="1"/>
  <c r="BT48" i="12" s="1"/>
  <c r="D48" i="12"/>
  <c r="FM9" i="12"/>
  <c r="FK9" i="12"/>
  <c r="FG9" i="12"/>
  <c r="DY9" i="12"/>
  <c r="C9" i="12"/>
  <c r="BE8" i="12"/>
  <c r="BC8" i="12"/>
  <c r="BA8" i="12"/>
  <c r="AW8" i="12"/>
  <c r="AU8" i="12"/>
  <c r="AK8" i="12"/>
  <c r="AI8" i="12"/>
  <c r="AG8" i="12"/>
  <c r="F50" i="11"/>
  <c r="E50" i="11"/>
  <c r="D50" i="11"/>
  <c r="F49" i="11"/>
  <c r="E49" i="11"/>
  <c r="D49" i="11"/>
  <c r="F48" i="11"/>
  <c r="E48" i="11"/>
  <c r="D48" i="11"/>
  <c r="F43" i="11"/>
  <c r="E43" i="11"/>
  <c r="D43" i="11"/>
  <c r="F40" i="11"/>
  <c r="E40" i="11"/>
  <c r="D40" i="11"/>
  <c r="F39" i="11"/>
  <c r="E39" i="11"/>
  <c r="D39" i="11"/>
  <c r="G37" i="11"/>
  <c r="H37" i="11" s="1"/>
  <c r="G36" i="11"/>
  <c r="H36" i="11" s="1"/>
  <c r="G35" i="11"/>
  <c r="H35" i="11" s="1"/>
  <c r="G34" i="11"/>
  <c r="H34" i="11" s="1"/>
  <c r="G33" i="11"/>
  <c r="H33" i="11" s="1"/>
  <c r="G32" i="11"/>
  <c r="H32" i="11" s="1"/>
  <c r="G31" i="11"/>
  <c r="H31" i="11" s="1"/>
  <c r="G30" i="11"/>
  <c r="H30" i="11" s="1"/>
  <c r="G29" i="11"/>
  <c r="H29" i="11" s="1"/>
  <c r="G28" i="11"/>
  <c r="H28" i="11" s="1"/>
  <c r="G27" i="11"/>
  <c r="H27" i="11" s="1"/>
  <c r="G26" i="11"/>
  <c r="H26" i="11" s="1"/>
  <c r="G25" i="11"/>
  <c r="H25" i="11" s="1"/>
  <c r="G24" i="11"/>
  <c r="H24" i="11" s="1"/>
  <c r="G23" i="11"/>
  <c r="H23" i="11" s="1"/>
  <c r="G22" i="11"/>
  <c r="H22" i="11" s="1"/>
  <c r="G21" i="11"/>
  <c r="H21" i="11" s="1"/>
  <c r="G20" i="11"/>
  <c r="G50" i="11" s="1"/>
  <c r="D14" i="11"/>
  <c r="D13" i="11"/>
  <c r="G12" i="11"/>
  <c r="G39" i="11" s="1"/>
  <c r="Z11" i="13" l="1"/>
  <c r="BK11" i="12"/>
  <c r="AS48" i="13"/>
  <c r="EH60" i="12"/>
  <c r="CM42" i="13"/>
  <c r="CM11" i="13"/>
  <c r="CM43" i="13"/>
  <c r="CM40" i="13"/>
  <c r="CM45" i="13"/>
  <c r="BF11" i="13"/>
  <c r="BL11" i="12"/>
  <c r="AB11" i="13"/>
  <c r="AC11" i="13" s="1"/>
  <c r="CN45" i="13"/>
  <c r="BL38" i="12"/>
  <c r="AB38" i="13"/>
  <c r="AC38" i="13" s="1"/>
  <c r="BL40" i="12"/>
  <c r="AB40" i="13"/>
  <c r="AC40" i="13" s="1"/>
  <c r="BL42" i="12"/>
  <c r="AB42" i="13"/>
  <c r="AC42" i="13" s="1"/>
  <c r="AB44" i="13"/>
  <c r="AC44" i="13" s="1"/>
  <c r="BL46" i="12"/>
  <c r="AB46" i="13"/>
  <c r="AC46" i="13" s="1"/>
  <c r="BL39" i="12"/>
  <c r="AB39" i="13"/>
  <c r="AC39" i="13" s="1"/>
  <c r="BL41" i="12"/>
  <c r="AB41" i="13"/>
  <c r="AC41" i="13" s="1"/>
  <c r="BL43" i="12"/>
  <c r="AB43" i="13"/>
  <c r="AC43" i="13" s="1"/>
  <c r="BL45" i="12"/>
  <c r="AB45" i="13"/>
  <c r="AC45" i="13" s="1"/>
  <c r="BJ46" i="12"/>
  <c r="Y46" i="13"/>
  <c r="BG46" i="13" s="1"/>
  <c r="Y42" i="13"/>
  <c r="BJ37" i="12"/>
  <c r="Y37" i="13"/>
  <c r="AE37" i="13" s="1"/>
  <c r="BJ39" i="12"/>
  <c r="Y39" i="13"/>
  <c r="BJ41" i="12"/>
  <c r="Y41" i="13"/>
  <c r="Y43" i="13"/>
  <c r="BJ45" i="12"/>
  <c r="Y45" i="13"/>
  <c r="BG45" i="13" s="1"/>
  <c r="BJ38" i="12"/>
  <c r="Y38" i="13"/>
  <c r="BJ40" i="12"/>
  <c r="Y40" i="13"/>
  <c r="Y44" i="13"/>
  <c r="BJ11" i="12"/>
  <c r="Y11" i="13"/>
  <c r="BG11" i="13" s="1"/>
  <c r="EV40" i="12"/>
  <c r="W40" i="13"/>
  <c r="AZ37" i="13"/>
  <c r="X37" i="13"/>
  <c r="EV45" i="12"/>
  <c r="CD45" i="13"/>
  <c r="EV38" i="12"/>
  <c r="W38" i="13"/>
  <c r="AK38" i="13" s="1"/>
  <c r="EV42" i="12"/>
  <c r="W42" i="13"/>
  <c r="EV46" i="12"/>
  <c r="EV11" i="12"/>
  <c r="W11" i="13"/>
  <c r="CD11" i="13" s="1"/>
  <c r="EV44" i="12"/>
  <c r="W44" i="13"/>
  <c r="AK44" i="13" s="1"/>
  <c r="EV41" i="12"/>
  <c r="W41" i="13"/>
  <c r="ES58" i="12"/>
  <c r="V11" i="13"/>
  <c r="EV39" i="12"/>
  <c r="W39" i="13"/>
  <c r="EV43" i="12"/>
  <c r="W43" i="13"/>
  <c r="AK43" i="13" s="1"/>
  <c r="AL43" i="13" s="1"/>
  <c r="J70" i="13"/>
  <c r="K70" i="13" s="1"/>
  <c r="CD32" i="13"/>
  <c r="DY59" i="12"/>
  <c r="EN60" i="12"/>
  <c r="EX11" i="12"/>
  <c r="EJ60" i="12"/>
  <c r="EV37" i="12"/>
  <c r="EM48" i="12"/>
  <c r="DZ46" i="12"/>
  <c r="DZ11" i="12"/>
  <c r="DZ23" i="12"/>
  <c r="DZ22" i="12"/>
  <c r="DZ21" i="12"/>
  <c r="DZ20" i="12"/>
  <c r="DZ37" i="12"/>
  <c r="DZ36" i="12"/>
  <c r="DZ33" i="12"/>
  <c r="DZ32" i="12"/>
  <c r="DZ31" i="12"/>
  <c r="DZ30" i="12"/>
  <c r="DZ29" i="12"/>
  <c r="DZ28" i="12"/>
  <c r="DZ27" i="12"/>
  <c r="DZ26" i="12"/>
  <c r="DZ25" i="12"/>
  <c r="DZ24" i="12"/>
  <c r="FM38" i="12"/>
  <c r="FN38" i="12" s="1"/>
  <c r="FM42" i="12"/>
  <c r="FN42" i="12" s="1"/>
  <c r="FM44" i="12"/>
  <c r="FN44" i="12" s="1"/>
  <c r="FM11" i="12"/>
  <c r="FN11" i="12" s="1"/>
  <c r="BN11" i="12"/>
  <c r="FM39" i="12"/>
  <c r="FN39" i="12" s="1"/>
  <c r="FM41" i="12"/>
  <c r="FN41" i="12" s="1"/>
  <c r="FM43" i="12"/>
  <c r="FN43" i="12" s="1"/>
  <c r="AA11" i="12"/>
  <c r="CB11" i="12"/>
  <c r="FN17" i="12"/>
  <c r="CB17" i="12"/>
  <c r="CB46" i="12"/>
  <c r="BB32" i="13"/>
  <c r="CJ41" i="13"/>
  <c r="CJ42" i="13"/>
  <c r="BH46" i="13"/>
  <c r="CB14" i="12"/>
  <c r="CB38" i="12"/>
  <c r="CB44" i="12"/>
  <c r="AL31" i="13"/>
  <c r="FN19" i="12"/>
  <c r="EX40" i="12"/>
  <c r="FN37" i="12"/>
  <c r="EX19" i="12"/>
  <c r="EX44" i="12"/>
  <c r="CF45" i="12"/>
  <c r="CB18" i="12"/>
  <c r="DZ12" i="12"/>
  <c r="DZ16" i="12"/>
  <c r="DZ39" i="12"/>
  <c r="DZ42" i="12"/>
  <c r="FN12" i="12"/>
  <c r="CF44" i="12"/>
  <c r="DZ38" i="12"/>
  <c r="DZ14" i="12"/>
  <c r="DZ18" i="12"/>
  <c r="DZ41" i="12"/>
  <c r="CF41" i="12"/>
  <c r="CF43" i="12"/>
  <c r="EX12" i="12"/>
  <c r="CB12" i="12"/>
  <c r="CB16" i="12"/>
  <c r="CB41" i="12"/>
  <c r="FN14" i="12"/>
  <c r="FN18" i="12"/>
  <c r="EX14" i="12"/>
  <c r="EX18" i="12"/>
  <c r="EX39" i="12"/>
  <c r="DZ19" i="12"/>
  <c r="DZ40" i="12"/>
  <c r="FN13" i="12"/>
  <c r="EX13" i="12"/>
  <c r="EX38" i="12"/>
  <c r="EX42" i="12"/>
  <c r="AG19" i="12"/>
  <c r="AH19" i="12" s="1"/>
  <c r="FE13" i="12"/>
  <c r="FF13" i="12" s="1"/>
  <c r="ED16" i="12"/>
  <c r="FE38" i="12"/>
  <c r="FF38" i="12" s="1"/>
  <c r="FE42" i="12"/>
  <c r="FF42" i="12" s="1"/>
  <c r="AW45" i="12"/>
  <c r="AX45" i="12" s="1"/>
  <c r="BA46" i="12"/>
  <c r="BB46" i="12" s="1"/>
  <c r="FK14" i="12"/>
  <c r="FL14" i="12" s="1"/>
  <c r="FK18" i="12"/>
  <c r="FL18" i="12" s="1"/>
  <c r="FK43" i="12"/>
  <c r="FL43" i="12" s="1"/>
  <c r="FG39" i="12"/>
  <c r="FH39" i="12" s="1"/>
  <c r="AG42" i="12"/>
  <c r="AH42" i="12" s="1"/>
  <c r="AW38" i="12"/>
  <c r="AX38" i="12" s="1"/>
  <c r="AU13" i="12"/>
  <c r="AV13" i="12" s="1"/>
  <c r="AK43" i="12"/>
  <c r="AL43" i="12" s="1"/>
  <c r="AU12" i="12"/>
  <c r="AV12" i="12" s="1"/>
  <c r="AU14" i="12"/>
  <c r="AV14" i="12" s="1"/>
  <c r="AU37" i="12"/>
  <c r="AV37" i="12" s="1"/>
  <c r="BE39" i="12"/>
  <c r="BF39" i="12" s="1"/>
  <c r="FK19" i="12"/>
  <c r="FL19" i="12" s="1"/>
  <c r="FK13" i="12"/>
  <c r="FL13" i="12" s="1"/>
  <c r="FK39" i="12"/>
  <c r="FL39" i="12" s="1"/>
  <c r="BA42" i="12"/>
  <c r="BB42" i="12" s="1"/>
  <c r="Z56" i="12"/>
  <c r="FE11" i="12"/>
  <c r="BE42" i="12"/>
  <c r="BF42" i="12" s="1"/>
  <c r="BE46" i="12"/>
  <c r="BF46" i="12" s="1"/>
  <c r="AE16" i="12"/>
  <c r="AF16" i="12" s="1"/>
  <c r="BC18" i="12"/>
  <c r="BD18" i="12" s="1"/>
  <c r="BC17" i="12"/>
  <c r="BD17" i="12" s="1"/>
  <c r="AU16" i="12"/>
  <c r="AV16" i="12" s="1"/>
  <c r="AU18" i="12"/>
  <c r="AV18" i="12" s="1"/>
  <c r="AU43" i="12"/>
  <c r="AV43" i="12" s="1"/>
  <c r="AU45" i="12"/>
  <c r="AV45" i="12" s="1"/>
  <c r="W58" i="12"/>
  <c r="FE12" i="12"/>
  <c r="FF12" i="12" s="1"/>
  <c r="FE16" i="12"/>
  <c r="FF16" i="12" s="1"/>
  <c r="FE37" i="12"/>
  <c r="FF37" i="12" s="1"/>
  <c r="FE41" i="12"/>
  <c r="FF41" i="12" s="1"/>
  <c r="FE45" i="12"/>
  <c r="FF45" i="12" s="1"/>
  <c r="AK41" i="12"/>
  <c r="AL41" i="12" s="1"/>
  <c r="ED12" i="12"/>
  <c r="BE14" i="12"/>
  <c r="BF14" i="12" s="1"/>
  <c r="AW16" i="12"/>
  <c r="AX16" i="12" s="1"/>
  <c r="BA17" i="12"/>
  <c r="BB17" i="12" s="1"/>
  <c r="BE18" i="12"/>
  <c r="BF18" i="12" s="1"/>
  <c r="AW37" i="12"/>
  <c r="AX37" i="12" s="1"/>
  <c r="BE43" i="12"/>
  <c r="BF43" i="12" s="1"/>
  <c r="FK11" i="12"/>
  <c r="FL11" i="12" s="1"/>
  <c r="BA18" i="12"/>
  <c r="BB18" i="12" s="1"/>
  <c r="AW46" i="12"/>
  <c r="AX46" i="12" s="1"/>
  <c r="J69" i="13"/>
  <c r="K69" i="13" s="1"/>
  <c r="BC8" i="13"/>
  <c r="BH12" i="13"/>
  <c r="CM36" i="13"/>
  <c r="CM41" i="13"/>
  <c r="BF41" i="13"/>
  <c r="CM31" i="13"/>
  <c r="CE36" i="13"/>
  <c r="BI38" i="13"/>
  <c r="CJ39" i="13"/>
  <c r="BI12" i="13"/>
  <c r="CK31" i="13"/>
  <c r="CM13" i="13"/>
  <c r="BI15" i="13"/>
  <c r="BI31" i="13"/>
  <c r="CD33" i="13"/>
  <c r="BE11" i="13"/>
  <c r="CJ12" i="13"/>
  <c r="CK13" i="13"/>
  <c r="CJ14" i="13"/>
  <c r="CD15" i="13"/>
  <c r="CD31" i="13"/>
  <c r="CM32" i="13"/>
  <c r="BP32" i="13"/>
  <c r="CK33" i="13"/>
  <c r="CJ33" i="13"/>
  <c r="CM33" i="13"/>
  <c r="CJ43" i="13"/>
  <c r="CM44" i="13"/>
  <c r="CJ45" i="13"/>
  <c r="CD13" i="13"/>
  <c r="CE32" i="13"/>
  <c r="BE37" i="13"/>
  <c r="CE12" i="13"/>
  <c r="BG31" i="13"/>
  <c r="CK36" i="13"/>
  <c r="AL38" i="13"/>
  <c r="CK42" i="13"/>
  <c r="BE36" i="13"/>
  <c r="BH15" i="13"/>
  <c r="CK32" i="13"/>
  <c r="CJ38" i="13"/>
  <c r="AL46" i="13"/>
  <c r="AL32" i="13"/>
  <c r="BI11" i="13"/>
  <c r="CE13" i="13"/>
  <c r="AL14" i="13"/>
  <c r="BP15" i="13"/>
  <c r="AL15" i="13"/>
  <c r="CI36" i="13"/>
  <c r="BF38" i="13"/>
  <c r="CK39" i="13"/>
  <c r="BH31" i="13"/>
  <c r="BB31" i="13"/>
  <c r="CJ31" i="13"/>
  <c r="BF33" i="13"/>
  <c r="CN33" i="13"/>
  <c r="CN36" i="13"/>
  <c r="BP37" i="13"/>
  <c r="AL37" i="13"/>
  <c r="T51" i="13"/>
  <c r="BF32" i="13"/>
  <c r="BN36" i="13"/>
  <c r="CE37" i="13"/>
  <c r="CK44" i="13"/>
  <c r="BN44" i="13"/>
  <c r="CC11" i="13"/>
  <c r="BP12" i="13"/>
  <c r="AL12" i="13"/>
  <c r="BH13" i="13"/>
  <c r="BG13" i="13"/>
  <c r="BB13" i="13"/>
  <c r="CJ13" i="13"/>
  <c r="CK14" i="13"/>
  <c r="CC14" i="13"/>
  <c r="BF14" i="13"/>
  <c r="BI14" i="13"/>
  <c r="CE15" i="13"/>
  <c r="CE31" i="13"/>
  <c r="CJ36" i="13"/>
  <c r="CK38" i="13"/>
  <c r="BI39" i="13"/>
  <c r="AJ11" i="13"/>
  <c r="BO11" i="13"/>
  <c r="CK12" i="13"/>
  <c r="BG12" i="13"/>
  <c r="BB12" i="13"/>
  <c r="CM12" i="13"/>
  <c r="BF13" i="13"/>
  <c r="AL13" i="13"/>
  <c r="CD14" i="13"/>
  <c r="CE14" i="13"/>
  <c r="CK15" i="13"/>
  <c r="BG15" i="13"/>
  <c r="BB15" i="13"/>
  <c r="CM15" i="13"/>
  <c r="BF31" i="13"/>
  <c r="BG33" i="13"/>
  <c r="AJ36" i="13"/>
  <c r="BB37" i="13"/>
  <c r="CM37" i="13"/>
  <c r="CK41" i="13"/>
  <c r="BF12" i="13"/>
  <c r="BH14" i="13"/>
  <c r="BG14" i="13"/>
  <c r="BB14" i="13"/>
  <c r="CM14" i="13"/>
  <c r="BF15" i="13"/>
  <c r="CJ15" i="13"/>
  <c r="BG32" i="13"/>
  <c r="BH32" i="13"/>
  <c r="AL33" i="13"/>
  <c r="BG36" i="13"/>
  <c r="CJ37" i="13"/>
  <c r="CJ44" i="13"/>
  <c r="CK43" i="13"/>
  <c r="CK45" i="13"/>
  <c r="BC11" i="12"/>
  <c r="BD11" i="12" s="1"/>
  <c r="CF39" i="12"/>
  <c r="AK39" i="12"/>
  <c r="AL39" i="12" s="1"/>
  <c r="AG43" i="12"/>
  <c r="AH43" i="12" s="1"/>
  <c r="FK17" i="12"/>
  <c r="FL17" i="12" s="1"/>
  <c r="BE17" i="12"/>
  <c r="BF17" i="12" s="1"/>
  <c r="AE12" i="12"/>
  <c r="AF12" i="12" s="1"/>
  <c r="AK18" i="12"/>
  <c r="AL18" i="12" s="1"/>
  <c r="CB37" i="12"/>
  <c r="BJ12" i="12"/>
  <c r="BL12" i="12"/>
  <c r="BA13" i="12"/>
  <c r="BB13" i="12" s="1"/>
  <c r="BA38" i="12"/>
  <c r="BB38" i="12" s="1"/>
  <c r="ED41" i="12"/>
  <c r="AW41" i="12"/>
  <c r="AX41" i="12" s="1"/>
  <c r="AW12" i="12"/>
  <c r="AX12" i="12" s="1"/>
  <c r="ED37" i="12"/>
  <c r="AE42" i="12"/>
  <c r="AF42" i="12" s="1"/>
  <c r="FK42" i="12"/>
  <c r="FL42" i="12" s="1"/>
  <c r="FG43" i="12"/>
  <c r="FH43" i="12" s="1"/>
  <c r="BC39" i="12"/>
  <c r="BD39" i="12" s="1"/>
  <c r="FG18" i="12"/>
  <c r="FH18" i="12" s="1"/>
  <c r="FG14" i="12"/>
  <c r="FH14" i="12" s="1"/>
  <c r="AK45" i="12"/>
  <c r="AL45" i="12" s="1"/>
  <c r="BC46" i="12"/>
  <c r="BD46" i="12" s="1"/>
  <c r="FG17" i="12"/>
  <c r="FH17" i="12" s="1"/>
  <c r="N49" i="12"/>
  <c r="AL46" i="12"/>
  <c r="FG45" i="12"/>
  <c r="FH45" i="12" s="1"/>
  <c r="AU17" i="12"/>
  <c r="AV17" i="12" s="1"/>
  <c r="AU42" i="12"/>
  <c r="AV42" i="12" s="1"/>
  <c r="AW13" i="12"/>
  <c r="AX13" i="12" s="1"/>
  <c r="ED38" i="12"/>
  <c r="FE39" i="12"/>
  <c r="FF39" i="12" s="1"/>
  <c r="FE43" i="12"/>
  <c r="FF43" i="12" s="1"/>
  <c r="BN17" i="12"/>
  <c r="FK16" i="12"/>
  <c r="FL16" i="12" s="1"/>
  <c r="R49" i="12"/>
  <c r="AI18" i="12"/>
  <c r="AJ18" i="12" s="1"/>
  <c r="CB13" i="12"/>
  <c r="AI42" i="12"/>
  <c r="AJ42" i="12" s="1"/>
  <c r="AG14" i="12"/>
  <c r="AH14" i="12" s="1"/>
  <c r="AG39" i="12"/>
  <c r="AH39" i="12" s="1"/>
  <c r="BA37" i="12"/>
  <c r="BB37" i="12" s="1"/>
  <c r="EW37" i="12"/>
  <c r="EX37" i="12" s="1"/>
  <c r="FK38" i="12"/>
  <c r="FL38" i="12" s="1"/>
  <c r="BE38" i="12"/>
  <c r="BF38" i="12" s="1"/>
  <c r="EW41" i="12"/>
  <c r="EX41" i="12" s="1"/>
  <c r="BA41" i="12"/>
  <c r="BB41" i="12" s="1"/>
  <c r="EW45" i="12"/>
  <c r="EX45" i="12" s="1"/>
  <c r="BA45" i="12"/>
  <c r="BB45" i="12" s="1"/>
  <c r="FG38" i="12"/>
  <c r="FH38" i="12" s="1"/>
  <c r="BC38" i="12"/>
  <c r="BD38" i="12" s="1"/>
  <c r="AK42" i="12"/>
  <c r="AL42" i="12" s="1"/>
  <c r="CF42" i="12"/>
  <c r="AK38" i="12"/>
  <c r="AL38" i="12" s="1"/>
  <c r="AK17" i="12"/>
  <c r="AL17" i="12" s="1"/>
  <c r="AI38" i="12"/>
  <c r="AJ38" i="12" s="1"/>
  <c r="CB40" i="12"/>
  <c r="BA12" i="12"/>
  <c r="BB12" i="12" s="1"/>
  <c r="EW16" i="12"/>
  <c r="EX16" i="12" s="1"/>
  <c r="BE13" i="12"/>
  <c r="BF13" i="12" s="1"/>
  <c r="AE17" i="12"/>
  <c r="AF17" i="12" s="1"/>
  <c r="Z58" i="12"/>
  <c r="AE11" i="12"/>
  <c r="AF11" i="12" s="1"/>
  <c r="D51" i="12"/>
  <c r="AE46" i="12"/>
  <c r="AF46" i="12" s="1"/>
  <c r="FG42" i="12"/>
  <c r="FH42" i="12" s="1"/>
  <c r="BC42" i="12"/>
  <c r="BD42" i="12" s="1"/>
  <c r="FG13" i="12"/>
  <c r="FH13" i="12" s="1"/>
  <c r="BC13" i="12"/>
  <c r="BD13" i="12" s="1"/>
  <c r="AE41" i="12"/>
  <c r="AF41" i="12" s="1"/>
  <c r="AE37" i="12"/>
  <c r="AF37" i="12" s="1"/>
  <c r="J49" i="12"/>
  <c r="L57" i="12"/>
  <c r="AE13" i="12"/>
  <c r="AF13" i="12" s="1"/>
  <c r="BN13" i="12"/>
  <c r="BA16" i="12"/>
  <c r="BB16" i="12" s="1"/>
  <c r="AI17" i="12"/>
  <c r="AJ17" i="12" s="1"/>
  <c r="AG18" i="12"/>
  <c r="AH18" i="12" s="1"/>
  <c r="AE38" i="12"/>
  <c r="AF38" i="12" s="1"/>
  <c r="CB42" i="12"/>
  <c r="AE14" i="12"/>
  <c r="AF14" i="12" s="1"/>
  <c r="BC37" i="12"/>
  <c r="BD37" i="12" s="1"/>
  <c r="FG11" i="12"/>
  <c r="FH11" i="12" s="1"/>
  <c r="AL37" i="12"/>
  <c r="AL12" i="12"/>
  <c r="BN19" i="12"/>
  <c r="BL17" i="12"/>
  <c r="P49" i="12"/>
  <c r="P57" i="12"/>
  <c r="DY57" i="12" s="1"/>
  <c r="AG38" i="12"/>
  <c r="AH38" i="12" s="1"/>
  <c r="BE16" i="12"/>
  <c r="BF16" i="12" s="1"/>
  <c r="FK37" i="12"/>
  <c r="FL37" i="12" s="1"/>
  <c r="FK41" i="12"/>
  <c r="FL41" i="12" s="1"/>
  <c r="FK45" i="12"/>
  <c r="FL45" i="12" s="1"/>
  <c r="BA14" i="12"/>
  <c r="BB14" i="12" s="1"/>
  <c r="AW17" i="12"/>
  <c r="AX17" i="12" s="1"/>
  <c r="FE18" i="12"/>
  <c r="FF18" i="12" s="1"/>
  <c r="BE19" i="12"/>
  <c r="BF19" i="12" s="1"/>
  <c r="BA39" i="12"/>
  <c r="BB39" i="12" s="1"/>
  <c r="ED42" i="12"/>
  <c r="BA43" i="12"/>
  <c r="BB43" i="12" s="1"/>
  <c r="AG13" i="12"/>
  <c r="AH13" i="12" s="1"/>
  <c r="BC14" i="12"/>
  <c r="BD14" i="12" s="1"/>
  <c r="ED17" i="12"/>
  <c r="AL40" i="12"/>
  <c r="BJ42" i="12"/>
  <c r="BC43" i="12"/>
  <c r="BD43" i="12" s="1"/>
  <c r="DZ43" i="12"/>
  <c r="AE45" i="12"/>
  <c r="AF45" i="12" s="1"/>
  <c r="DZ45" i="12"/>
  <c r="H56" i="12"/>
  <c r="BS56" i="12" s="1"/>
  <c r="BT56" i="12" s="1"/>
  <c r="V49" i="12"/>
  <c r="CB43" i="12"/>
  <c r="AI45" i="12"/>
  <c r="AJ45" i="12" s="1"/>
  <c r="AG41" i="12"/>
  <c r="AH41" i="12" s="1"/>
  <c r="AL11" i="12"/>
  <c r="AI13" i="12"/>
  <c r="AJ13" i="12" s="1"/>
  <c r="AK16" i="12"/>
  <c r="AL16" i="12" s="1"/>
  <c r="FG16" i="12"/>
  <c r="FH16" i="12" s="1"/>
  <c r="AK19" i="12"/>
  <c r="AL19" i="12" s="1"/>
  <c r="AU39" i="12"/>
  <c r="AV39" i="12" s="1"/>
  <c r="AG45" i="12"/>
  <c r="AH45" i="12" s="1"/>
  <c r="AG46" i="12"/>
  <c r="AH46" i="12" s="1"/>
  <c r="N51" i="12"/>
  <c r="DS51" i="12" s="1"/>
  <c r="DT51" i="12" s="1"/>
  <c r="Y58" i="12"/>
  <c r="BI58" i="12" s="1"/>
  <c r="BC16" i="12"/>
  <c r="BD16" i="12" s="1"/>
  <c r="BN18" i="12"/>
  <c r="FG41" i="12"/>
  <c r="FH41" i="12" s="1"/>
  <c r="BC45" i="12"/>
  <c r="BD45" i="12" s="1"/>
  <c r="N57" i="13"/>
  <c r="N56" i="13"/>
  <c r="N51" i="13"/>
  <c r="N49" i="13"/>
  <c r="R57" i="13"/>
  <c r="R56" i="13"/>
  <c r="R51" i="13"/>
  <c r="R49" i="13"/>
  <c r="CK11" i="13"/>
  <c r="CD12" i="13"/>
  <c r="BE32" i="13"/>
  <c r="BI32" i="13"/>
  <c r="CC32" i="13"/>
  <c r="AJ33" i="13"/>
  <c r="BB33" i="13"/>
  <c r="CE33" i="13"/>
  <c r="BH36" i="13"/>
  <c r="BB36" i="13"/>
  <c r="CC36" i="13"/>
  <c r="CD37" i="13"/>
  <c r="BH39" i="13"/>
  <c r="BO39" i="13"/>
  <c r="AJ39" i="13"/>
  <c r="CM39" i="13"/>
  <c r="BF42" i="13"/>
  <c r="CJ11" i="13"/>
  <c r="BE14" i="13"/>
  <c r="BE31" i="13"/>
  <c r="BP43" i="13"/>
  <c r="CO9" i="13"/>
  <c r="J57" i="13"/>
  <c r="J56" i="13"/>
  <c r="J49" i="13"/>
  <c r="J51" i="13"/>
  <c r="P57" i="13"/>
  <c r="P56" i="13"/>
  <c r="P51" i="13"/>
  <c r="P49" i="13"/>
  <c r="T57" i="13"/>
  <c r="T56" i="13"/>
  <c r="T49" i="13"/>
  <c r="Z56" i="13"/>
  <c r="Z51" i="13"/>
  <c r="Z57" i="13"/>
  <c r="Z49" i="13"/>
  <c r="AJ12" i="13"/>
  <c r="AJ13" i="13"/>
  <c r="AJ14" i="13"/>
  <c r="AJ15" i="13"/>
  <c r="AJ31" i="13"/>
  <c r="CN32" i="13"/>
  <c r="BH33" i="13"/>
  <c r="BP33" i="13"/>
  <c r="BF36" i="13"/>
  <c r="BH37" i="13"/>
  <c r="BO37" i="13"/>
  <c r="AJ37" i="13"/>
  <c r="BF39" i="13"/>
  <c r="CN39" i="13"/>
  <c r="BE39" i="13"/>
  <c r="BF40" i="13"/>
  <c r="BH44" i="13"/>
  <c r="CC44" i="13"/>
  <c r="H56" i="13"/>
  <c r="H51" i="13"/>
  <c r="H57" i="13"/>
  <c r="H49" i="13"/>
  <c r="BE12" i="13"/>
  <c r="BE13" i="13"/>
  <c r="BE15" i="13"/>
  <c r="CN38" i="13"/>
  <c r="BE38" i="13"/>
  <c r="D58" i="13"/>
  <c r="D56" i="13"/>
  <c r="D51" i="13"/>
  <c r="D57" i="13"/>
  <c r="D49" i="13"/>
  <c r="L56" i="13"/>
  <c r="L51" i="13"/>
  <c r="L57" i="13"/>
  <c r="L49" i="13"/>
  <c r="BH11" i="13"/>
  <c r="BP11" i="13"/>
  <c r="CI11" i="13"/>
  <c r="CN11" i="13"/>
  <c r="AJ32" i="13"/>
  <c r="BE33" i="13"/>
  <c r="CD36" i="13"/>
  <c r="BI36" i="13"/>
  <c r="CK37" i="13"/>
  <c r="BF37" i="13"/>
  <c r="CN37" i="13"/>
  <c r="BH38" i="13"/>
  <c r="BO38" i="13"/>
  <c r="AJ38" i="13"/>
  <c r="BO40" i="13"/>
  <c r="AJ40" i="13"/>
  <c r="BF44" i="13"/>
  <c r="CC41" i="13"/>
  <c r="AL44" i="13"/>
  <c r="BP44" i="13"/>
  <c r="BH45" i="13"/>
  <c r="CC45" i="13"/>
  <c r="BF45" i="13"/>
  <c r="BH40" i="13"/>
  <c r="BP41" i="13"/>
  <c r="BH42" i="13"/>
  <c r="CC42" i="13"/>
  <c r="AL45" i="13"/>
  <c r="BP45" i="13"/>
  <c r="BF46" i="13"/>
  <c r="BI46" i="13"/>
  <c r="BE46" i="13"/>
  <c r="BI40" i="13"/>
  <c r="BE40" i="13"/>
  <c r="CJ40" i="13"/>
  <c r="CK40" i="13"/>
  <c r="BP42" i="13"/>
  <c r="BH43" i="13"/>
  <c r="CC43" i="13"/>
  <c r="BF43" i="13"/>
  <c r="AJ41" i="13"/>
  <c r="AJ42" i="13"/>
  <c r="AJ43" i="13"/>
  <c r="AJ44" i="13"/>
  <c r="AJ45" i="13"/>
  <c r="BH41" i="13"/>
  <c r="BE41" i="13"/>
  <c r="BE42" i="13"/>
  <c r="BE43" i="13"/>
  <c r="BE44" i="13"/>
  <c r="BE45" i="13"/>
  <c r="AW42" i="12"/>
  <c r="AX42" i="12" s="1"/>
  <c r="ED13" i="12"/>
  <c r="FK12" i="12"/>
  <c r="FL12" i="12" s="1"/>
  <c r="FE14" i="12"/>
  <c r="FF14" i="12" s="1"/>
  <c r="EY51" i="12"/>
  <c r="EZ51" i="12" s="1"/>
  <c r="EY57" i="12"/>
  <c r="EZ57" i="12" s="1"/>
  <c r="AW43" i="12"/>
  <c r="AX43" i="12" s="1"/>
  <c r="ED18" i="12"/>
  <c r="BE12" i="12"/>
  <c r="BF12" i="12" s="1"/>
  <c r="AW18" i="12"/>
  <c r="AX18" i="12" s="1"/>
  <c r="AW39" i="12"/>
  <c r="AX39" i="12" s="1"/>
  <c r="ED43" i="12"/>
  <c r="BE45" i="12"/>
  <c r="BF45" i="12" s="1"/>
  <c r="FM45" i="12"/>
  <c r="FN45" i="12" s="1"/>
  <c r="FM16" i="12"/>
  <c r="FN16" i="12" s="1"/>
  <c r="BE37" i="12"/>
  <c r="BF37" i="12" s="1"/>
  <c r="ED39" i="12"/>
  <c r="BE41" i="12"/>
  <c r="BF41" i="12" s="1"/>
  <c r="FE19" i="12"/>
  <c r="FF19" i="12" s="1"/>
  <c r="AB57" i="12"/>
  <c r="BK57" i="12" s="1"/>
  <c r="BC12" i="12"/>
  <c r="BD12" i="12" s="1"/>
  <c r="FG37" i="12"/>
  <c r="FH37" i="12" s="1"/>
  <c r="AE39" i="12"/>
  <c r="AF39" i="12" s="1"/>
  <c r="BC41" i="12"/>
  <c r="BD41" i="12" s="1"/>
  <c r="Y49" i="12"/>
  <c r="FG12" i="12"/>
  <c r="FH12" i="12" s="1"/>
  <c r="BN14" i="12"/>
  <c r="AE43" i="12"/>
  <c r="AF43" i="12" s="1"/>
  <c r="Z51" i="12"/>
  <c r="AG15" i="12"/>
  <c r="AH15" i="12" s="1"/>
  <c r="AE18" i="12"/>
  <c r="AF18" i="12" s="1"/>
  <c r="Y57" i="12"/>
  <c r="BI57" i="12" s="1"/>
  <c r="CB39" i="12"/>
  <c r="V57" i="12"/>
  <c r="ES57" i="12" s="1"/>
  <c r="ET57" i="12" s="1"/>
  <c r="AI37" i="12"/>
  <c r="AJ37" i="12" s="1"/>
  <c r="V58" i="12"/>
  <c r="AI43" i="12"/>
  <c r="AJ43" i="12" s="1"/>
  <c r="AI16" i="12"/>
  <c r="AJ16" i="12" s="1"/>
  <c r="AI39" i="12"/>
  <c r="AJ39" i="12" s="1"/>
  <c r="CB45" i="12"/>
  <c r="AU41" i="12"/>
  <c r="AV41" i="12" s="1"/>
  <c r="T57" i="12"/>
  <c r="CS57" i="12" s="1"/>
  <c r="CT57" i="12" s="1"/>
  <c r="R56" i="12"/>
  <c r="CQ56" i="12" s="1"/>
  <c r="CR56" i="12" s="1"/>
  <c r="AI19" i="12"/>
  <c r="AJ19" i="12" s="1"/>
  <c r="DZ17" i="12"/>
  <c r="AU38" i="12"/>
  <c r="AV38" i="12" s="1"/>
  <c r="T51" i="12"/>
  <c r="CS51" i="12" s="1"/>
  <c r="CT51" i="12" s="1"/>
  <c r="DZ13" i="12"/>
  <c r="T49" i="12"/>
  <c r="T56" i="12"/>
  <c r="CS56" i="12" s="1"/>
  <c r="CT56" i="12" s="1"/>
  <c r="T58" i="12"/>
  <c r="AI12" i="12"/>
  <c r="AJ12" i="12" s="1"/>
  <c r="R58" i="12"/>
  <c r="AI41" i="12"/>
  <c r="AJ41" i="12" s="1"/>
  <c r="FK44" i="12"/>
  <c r="FL44" i="12" s="1"/>
  <c r="BE40" i="12"/>
  <c r="BF40" i="12" s="1"/>
  <c r="FE44" i="12"/>
  <c r="FF44" i="12" s="1"/>
  <c r="FE40" i="12"/>
  <c r="FF40" i="12" s="1"/>
  <c r="AW14" i="12"/>
  <c r="AX14" i="12" s="1"/>
  <c r="ED14" i="12"/>
  <c r="FA57" i="12"/>
  <c r="FB57" i="12" s="1"/>
  <c r="FA51" i="12"/>
  <c r="FB51" i="12" s="1"/>
  <c r="FA56" i="12"/>
  <c r="FB56" i="12" s="1"/>
  <c r="FK15" i="12"/>
  <c r="FL15" i="12" s="1"/>
  <c r="FK40" i="12"/>
  <c r="FL40" i="12" s="1"/>
  <c r="EW15" i="12"/>
  <c r="EX15" i="12" s="1"/>
  <c r="EW43" i="12"/>
  <c r="EX43" i="12" s="1"/>
  <c r="BA40" i="12"/>
  <c r="BB40" i="12" s="1"/>
  <c r="BA19" i="12"/>
  <c r="BB19" i="12" s="1"/>
  <c r="AW19" i="12"/>
  <c r="AX19" i="12" s="1"/>
  <c r="EY56" i="12"/>
  <c r="EZ56" i="12" s="1"/>
  <c r="ED44" i="12"/>
  <c r="ED40" i="12"/>
  <c r="ED19" i="12"/>
  <c r="FM40" i="12"/>
  <c r="FN40" i="12" s="1"/>
  <c r="BE15" i="12"/>
  <c r="BF15" i="12" s="1"/>
  <c r="BE44" i="12"/>
  <c r="BF44" i="12" s="1"/>
  <c r="FM15" i="12"/>
  <c r="FN15" i="12" s="1"/>
  <c r="BA44" i="12"/>
  <c r="BB44" i="12" s="1"/>
  <c r="BA15" i="12"/>
  <c r="BB15" i="12" s="1"/>
  <c r="FE15" i="12"/>
  <c r="FF15" i="12" s="1"/>
  <c r="AW40" i="12"/>
  <c r="AX40" i="12" s="1"/>
  <c r="AW44" i="12"/>
  <c r="AX44" i="12" s="1"/>
  <c r="AB49" i="12"/>
  <c r="AB51" i="12"/>
  <c r="BK51" i="12" s="1"/>
  <c r="AW15" i="12"/>
  <c r="AX15" i="12" s="1"/>
  <c r="AB58" i="12"/>
  <c r="BK58" i="12" s="1"/>
  <c r="F65" i="12" s="1"/>
  <c r="ED15" i="12"/>
  <c r="AB56" i="12"/>
  <c r="BK56" i="12" s="1"/>
  <c r="Z49" i="12"/>
  <c r="Z50" i="12" s="1"/>
  <c r="Z57" i="12"/>
  <c r="AG44" i="12"/>
  <c r="AH44" i="12" s="1"/>
  <c r="AG40" i="12"/>
  <c r="AH40" i="12" s="1"/>
  <c r="BL19" i="12"/>
  <c r="BL15" i="12"/>
  <c r="Y51" i="12"/>
  <c r="BI51" i="12" s="1"/>
  <c r="Y56" i="12"/>
  <c r="BI56" i="12" s="1"/>
  <c r="W49" i="12"/>
  <c r="W51" i="12"/>
  <c r="EU51" i="12" s="1"/>
  <c r="EV51" i="12" s="1"/>
  <c r="W57" i="12"/>
  <c r="EU57" i="12" s="1"/>
  <c r="EV57" i="12" s="1"/>
  <c r="W56" i="12"/>
  <c r="EU56" i="12" s="1"/>
  <c r="EV56" i="12" s="1"/>
  <c r="AU44" i="12"/>
  <c r="AV44" i="12" s="1"/>
  <c r="AU40" i="12"/>
  <c r="AV40" i="12" s="1"/>
  <c r="AU19" i="12"/>
  <c r="AV19" i="12" s="1"/>
  <c r="CB15" i="12"/>
  <c r="V51" i="12"/>
  <c r="ES51" i="12" s="1"/>
  <c r="ET51" i="12" s="1"/>
  <c r="CB19" i="12"/>
  <c r="AI44" i="12"/>
  <c r="AJ44" i="12" s="1"/>
  <c r="V56" i="12"/>
  <c r="ES56" i="12" s="1"/>
  <c r="ET56" i="12" s="1"/>
  <c r="DZ15" i="12"/>
  <c r="AU15" i="12"/>
  <c r="AV15" i="12" s="1"/>
  <c r="DZ44" i="12"/>
  <c r="AI40" i="12"/>
  <c r="AJ40" i="12" s="1"/>
  <c r="R51" i="12"/>
  <c r="CQ51" i="12" s="1"/>
  <c r="CR51" i="12" s="1"/>
  <c r="R57" i="12"/>
  <c r="CQ57" i="12" s="1"/>
  <c r="CR57" i="12" s="1"/>
  <c r="AI15" i="12"/>
  <c r="AI14" i="12"/>
  <c r="AJ14" i="12" s="1"/>
  <c r="P51" i="12"/>
  <c r="DY51" i="12" s="1"/>
  <c r="P56" i="12"/>
  <c r="DY56" i="12" s="1"/>
  <c r="P58" i="12"/>
  <c r="FG44" i="12"/>
  <c r="FH44" i="12" s="1"/>
  <c r="BC40" i="12"/>
  <c r="BD40" i="12" s="1"/>
  <c r="AK15" i="12"/>
  <c r="AL15" i="12" s="1"/>
  <c r="CF40" i="12"/>
  <c r="AK44" i="12"/>
  <c r="AL44" i="12" s="1"/>
  <c r="N56" i="12"/>
  <c r="DS56" i="12" s="1"/>
  <c r="DT56" i="12" s="1"/>
  <c r="N57" i="12"/>
  <c r="DS57" i="12" s="1"/>
  <c r="DT57" i="12" s="1"/>
  <c r="BJ15" i="12"/>
  <c r="N58" i="12"/>
  <c r="AE44" i="12"/>
  <c r="AF44" i="12" s="1"/>
  <c r="FG40" i="12"/>
  <c r="FH40" i="12" s="1"/>
  <c r="L58" i="12"/>
  <c r="L49" i="12"/>
  <c r="L56" i="12"/>
  <c r="EM56" i="12" s="1"/>
  <c r="BC44" i="12"/>
  <c r="BD44" i="12" s="1"/>
  <c r="FG19" i="12"/>
  <c r="FH19" i="12" s="1"/>
  <c r="L51" i="12"/>
  <c r="J57" i="12"/>
  <c r="EC57" i="12" s="1"/>
  <c r="J51" i="12"/>
  <c r="EC51" i="12" s="1"/>
  <c r="J56" i="12"/>
  <c r="EC56" i="12" s="1"/>
  <c r="J58" i="12"/>
  <c r="AE40" i="12"/>
  <c r="AF40" i="12" s="1"/>
  <c r="AE19" i="12"/>
  <c r="AF19" i="12" s="1"/>
  <c r="BC15" i="12"/>
  <c r="BD15" i="12" s="1"/>
  <c r="FG15" i="12"/>
  <c r="FH15" i="12" s="1"/>
  <c r="H51" i="12"/>
  <c r="BS51" i="12" s="1"/>
  <c r="BT51" i="12" s="1"/>
  <c r="H57" i="12"/>
  <c r="BS57" i="12" s="1"/>
  <c r="BT57" i="12" s="1"/>
  <c r="BC19" i="12"/>
  <c r="H49" i="12"/>
  <c r="D56" i="12"/>
  <c r="D57" i="12"/>
  <c r="D58" i="12"/>
  <c r="AE15" i="12"/>
  <c r="AF15" i="12" s="1"/>
  <c r="D49" i="12"/>
  <c r="D50" i="12" s="1"/>
  <c r="AH12" i="12"/>
  <c r="AH37" i="12"/>
  <c r="FO9" i="12"/>
  <c r="BL44" i="12"/>
  <c r="BL18" i="12"/>
  <c r="BL13" i="12"/>
  <c r="BL16" i="12"/>
  <c r="BN12" i="12"/>
  <c r="BJ19" i="12"/>
  <c r="BJ17" i="12"/>
  <c r="BJ14" i="12"/>
  <c r="BJ44" i="12"/>
  <c r="BJ43" i="12"/>
  <c r="BJ18" i="12"/>
  <c r="BJ13" i="12"/>
  <c r="BM46" i="12"/>
  <c r="BN46" i="12" s="1"/>
  <c r="BN16" i="12"/>
  <c r="BN15" i="12"/>
  <c r="AL13" i="12"/>
  <c r="AL14" i="12"/>
  <c r="BL14" i="12"/>
  <c r="AH16" i="12"/>
  <c r="BJ16" i="12"/>
  <c r="F44" i="11"/>
  <c r="D41" i="11"/>
  <c r="D42" i="11" s="1"/>
  <c r="H20" i="11"/>
  <c r="F41" i="11"/>
  <c r="F42" i="11" s="1"/>
  <c r="E41" i="11"/>
  <c r="E42" i="11" s="1"/>
  <c r="G40" i="11"/>
  <c r="G44" i="11" s="1"/>
  <c r="G41" i="11"/>
  <c r="G42" i="11" s="1"/>
  <c r="G43" i="11"/>
  <c r="G48" i="11"/>
  <c r="G49" i="11"/>
  <c r="BN11" i="13" l="1"/>
  <c r="AK11" i="13"/>
  <c r="BG38" i="13"/>
  <c r="AE38" i="13"/>
  <c r="AF38" i="13" s="1"/>
  <c r="BG43" i="13"/>
  <c r="AE43" i="13"/>
  <c r="CD42" i="13"/>
  <c r="AK42" i="13"/>
  <c r="CD40" i="13"/>
  <c r="AK40" i="13"/>
  <c r="AL40" i="13" s="1"/>
  <c r="AA44" i="13"/>
  <c r="AE44" i="13"/>
  <c r="AF44" i="13" s="1"/>
  <c r="BG41" i="13"/>
  <c r="AE41" i="13"/>
  <c r="CD39" i="13"/>
  <c r="AK39" i="13"/>
  <c r="AL39" i="13" s="1"/>
  <c r="CD41" i="13"/>
  <c r="AK41" i="13"/>
  <c r="AL41" i="13" s="1"/>
  <c r="BG40" i="13"/>
  <c r="AE40" i="13"/>
  <c r="AF40" i="13" s="1"/>
  <c r="AE11" i="13"/>
  <c r="BG39" i="13"/>
  <c r="AE39" i="13"/>
  <c r="AE42" i="13"/>
  <c r="AF42" i="13" s="1"/>
  <c r="CE39" i="13"/>
  <c r="CE45" i="13"/>
  <c r="CN40" i="13"/>
  <c r="CE42" i="13"/>
  <c r="AB51" i="13"/>
  <c r="EY61" i="12"/>
  <c r="BG44" i="13"/>
  <c r="CE44" i="13"/>
  <c r="CE40" i="13"/>
  <c r="FA61" i="12"/>
  <c r="EZ58" i="12"/>
  <c r="Y56" i="13"/>
  <c r="EY58" i="12"/>
  <c r="FA58" i="12"/>
  <c r="CE43" i="13"/>
  <c r="AB56" i="13"/>
  <c r="CE38" i="13"/>
  <c r="CE11" i="13"/>
  <c r="CM38" i="13"/>
  <c r="CM58" i="13" s="1"/>
  <c r="CM59" i="13" s="1"/>
  <c r="AB49" i="13"/>
  <c r="AB50" i="13" s="1"/>
  <c r="W56" i="13"/>
  <c r="BA44" i="13"/>
  <c r="BB44" i="13" s="1"/>
  <c r="BA38" i="13"/>
  <c r="BB38" i="13" s="1"/>
  <c r="BA45" i="13"/>
  <c r="BB45" i="13" s="1"/>
  <c r="BA42" i="13"/>
  <c r="BB42" i="13" s="1"/>
  <c r="BA46" i="13"/>
  <c r="BB46" i="13" s="1"/>
  <c r="BA43" i="13"/>
  <c r="BB43" i="13" s="1"/>
  <c r="BA40" i="13"/>
  <c r="BB40" i="13" s="1"/>
  <c r="BA11" i="13"/>
  <c r="BB11" i="13" s="1"/>
  <c r="BA39" i="13"/>
  <c r="BB39" i="13" s="1"/>
  <c r="BA41" i="13"/>
  <c r="BB41" i="13" s="1"/>
  <c r="CE41" i="13"/>
  <c r="CO41" i="13" s="1"/>
  <c r="CP41" i="13" s="1"/>
  <c r="V51" i="13"/>
  <c r="AB57" i="13"/>
  <c r="ET11" i="12"/>
  <c r="ET59" i="12" s="1"/>
  <c r="Y57" i="13"/>
  <c r="Y51" i="13"/>
  <c r="AC56" i="13"/>
  <c r="AA42" i="13"/>
  <c r="AA11" i="13"/>
  <c r="AF11" i="13"/>
  <c r="AA40" i="13"/>
  <c r="AE45" i="13"/>
  <c r="AF45" i="13" s="1"/>
  <c r="AA45" i="13"/>
  <c r="AA41" i="13"/>
  <c r="AF41" i="13"/>
  <c r="AA37" i="13"/>
  <c r="AF37" i="13"/>
  <c r="AE46" i="13"/>
  <c r="AF46" i="13" s="1"/>
  <c r="AA46" i="13"/>
  <c r="BG42" i="13"/>
  <c r="BG37" i="13"/>
  <c r="CO37" i="13" s="1"/>
  <c r="CP37" i="13" s="1"/>
  <c r="Y49" i="13"/>
  <c r="Y50" i="13" s="1"/>
  <c r="Y52" i="13" s="1"/>
  <c r="AA38" i="13"/>
  <c r="AF43" i="13"/>
  <c r="AA43" i="13"/>
  <c r="AF39" i="13"/>
  <c r="AA39" i="13"/>
  <c r="V56" i="13"/>
  <c r="CD38" i="13"/>
  <c r="AZ43" i="13"/>
  <c r="X43" i="13"/>
  <c r="X11" i="13"/>
  <c r="X44" i="13"/>
  <c r="AZ44" i="13"/>
  <c r="AZ38" i="13"/>
  <c r="X38" i="13"/>
  <c r="CD43" i="13"/>
  <c r="CD44" i="13"/>
  <c r="W49" i="13"/>
  <c r="W50" i="13" s="1"/>
  <c r="W57" i="13"/>
  <c r="V49" i="13"/>
  <c r="V50" i="13" s="1"/>
  <c r="ES61" i="12"/>
  <c r="X39" i="13"/>
  <c r="AZ39" i="13"/>
  <c r="AZ41" i="13"/>
  <c r="X41" i="13"/>
  <c r="X42" i="13"/>
  <c r="AZ42" i="13"/>
  <c r="X40" i="13"/>
  <c r="AZ40" i="13"/>
  <c r="V57" i="13"/>
  <c r="W51" i="13"/>
  <c r="AS56" i="13"/>
  <c r="AS58" i="13"/>
  <c r="AS49" i="13"/>
  <c r="AS57" i="13"/>
  <c r="AS51" i="13"/>
  <c r="EU61" i="12"/>
  <c r="EU58" i="12"/>
  <c r="W50" i="12"/>
  <c r="EU50" i="12" s="1"/>
  <c r="EV50" i="12" s="1"/>
  <c r="EU49" i="12"/>
  <c r="EV49" i="12" s="1"/>
  <c r="BK59" i="12"/>
  <c r="EX61" i="12"/>
  <c r="EY50" i="12"/>
  <c r="EZ50" i="12" s="1"/>
  <c r="EY49" i="12"/>
  <c r="EZ49" i="12" s="1"/>
  <c r="V50" i="12"/>
  <c r="ES50" i="12" s="1"/>
  <c r="ET50" i="12" s="1"/>
  <c r="ES49" i="12"/>
  <c r="ET49" i="12" s="1"/>
  <c r="FA50" i="12"/>
  <c r="FB50" i="12" s="1"/>
  <c r="FA49" i="12"/>
  <c r="FB49" i="12" s="1"/>
  <c r="FB58" i="12"/>
  <c r="FB59" i="12"/>
  <c r="FB61" i="12"/>
  <c r="EV58" i="12"/>
  <c r="EV61" i="12"/>
  <c r="EV59" i="12"/>
  <c r="FF11" i="12"/>
  <c r="FF61" i="12" s="1"/>
  <c r="FE61" i="12"/>
  <c r="BI59" i="12"/>
  <c r="ED61" i="12"/>
  <c r="BJ59" i="12"/>
  <c r="DZ61" i="12"/>
  <c r="EW61" i="12"/>
  <c r="L50" i="12"/>
  <c r="L52" i="12" s="1"/>
  <c r="EM49" i="12"/>
  <c r="EM51" i="12"/>
  <c r="J50" i="12"/>
  <c r="EC50" i="12" s="1"/>
  <c r="EC49" i="12"/>
  <c r="BL59" i="12"/>
  <c r="BN59" i="12"/>
  <c r="FH59" i="12"/>
  <c r="FL59" i="12"/>
  <c r="BP59" i="12"/>
  <c r="H64" i="12" s="1"/>
  <c r="P50" i="12"/>
  <c r="DY50" i="12" s="1"/>
  <c r="DY49" i="12"/>
  <c r="N50" i="12"/>
  <c r="DS50" i="12" s="1"/>
  <c r="DT50" i="12" s="1"/>
  <c r="DS49" i="12"/>
  <c r="DT49" i="12" s="1"/>
  <c r="DT58" i="12"/>
  <c r="K119" i="12"/>
  <c r="FN59" i="12"/>
  <c r="ED59" i="12"/>
  <c r="DZ59" i="12"/>
  <c r="R50" i="12"/>
  <c r="CQ50" i="12" s="1"/>
  <c r="CR50" i="12" s="1"/>
  <c r="CQ49" i="12"/>
  <c r="CR49" i="12" s="1"/>
  <c r="T50" i="12"/>
  <c r="CS50" i="12" s="1"/>
  <c r="CT50" i="12" s="1"/>
  <c r="CS49" i="12"/>
  <c r="CT49" i="12" s="1"/>
  <c r="H50" i="12"/>
  <c r="BS50" i="12" s="1"/>
  <c r="BT50" i="12" s="1"/>
  <c r="BS49" i="12"/>
  <c r="BT49" i="12" s="1"/>
  <c r="AB50" i="12"/>
  <c r="BK50" i="12" s="1"/>
  <c r="BK49" i="12"/>
  <c r="Y50" i="12"/>
  <c r="BI50" i="12" s="1"/>
  <c r="BI49" i="12"/>
  <c r="AJ59" i="13"/>
  <c r="FN61" i="12"/>
  <c r="BN58" i="12"/>
  <c r="BL61" i="12"/>
  <c r="BN61" i="12"/>
  <c r="FN58" i="12"/>
  <c r="BJ58" i="12"/>
  <c r="BJ61" i="12"/>
  <c r="FH61" i="12"/>
  <c r="FH58" i="12"/>
  <c r="ED58" i="12"/>
  <c r="BL58" i="12"/>
  <c r="FL58" i="12"/>
  <c r="FL61" i="12"/>
  <c r="BP61" i="12"/>
  <c r="BP58" i="12"/>
  <c r="G67" i="12" s="1"/>
  <c r="H67" i="12" s="1"/>
  <c r="DZ58" i="12"/>
  <c r="M51" i="12"/>
  <c r="I58" i="12"/>
  <c r="FM58" i="12"/>
  <c r="FM59" i="12" s="1"/>
  <c r="CI58" i="13"/>
  <c r="CI59" i="13" s="1"/>
  <c r="M56" i="13"/>
  <c r="CO14" i="13"/>
  <c r="CP14" i="13" s="1"/>
  <c r="I57" i="13"/>
  <c r="CO33" i="13"/>
  <c r="CP33" i="13" s="1"/>
  <c r="Q56" i="13"/>
  <c r="I49" i="13"/>
  <c r="I50" i="13" s="1"/>
  <c r="CC58" i="13"/>
  <c r="CC59" i="13" s="1"/>
  <c r="BI58" i="13"/>
  <c r="BI59" i="13" s="1"/>
  <c r="AH58" i="13"/>
  <c r="AW57" i="13"/>
  <c r="BF58" i="13"/>
  <c r="BF59" i="13" s="1"/>
  <c r="BN58" i="13"/>
  <c r="BN59" i="13" s="1"/>
  <c r="Q51" i="13"/>
  <c r="CO11" i="13"/>
  <c r="CP11" i="13" s="1"/>
  <c r="CO15" i="13"/>
  <c r="CP15" i="13" s="1"/>
  <c r="Q57" i="13"/>
  <c r="AX58" i="13"/>
  <c r="CK58" i="13"/>
  <c r="CK59" i="13" s="1"/>
  <c r="BO58" i="13"/>
  <c r="BO59" i="13" s="1"/>
  <c r="AL42" i="13"/>
  <c r="CO13" i="13"/>
  <c r="CP13" i="13" s="1"/>
  <c r="M51" i="13"/>
  <c r="CO31" i="13"/>
  <c r="CP31" i="13" s="1"/>
  <c r="AJ58" i="13"/>
  <c r="AJ61" i="13"/>
  <c r="M49" i="12"/>
  <c r="M50" i="12" s="1"/>
  <c r="Q51" i="12"/>
  <c r="X49" i="12"/>
  <c r="X50" i="12" s="1"/>
  <c r="FK58" i="12"/>
  <c r="FK59" i="12" s="1"/>
  <c r="M58" i="12"/>
  <c r="Q56" i="12"/>
  <c r="I49" i="12"/>
  <c r="I50" i="12" s="1"/>
  <c r="X58" i="12"/>
  <c r="AG56" i="12"/>
  <c r="FG58" i="12"/>
  <c r="FG59" i="12" s="1"/>
  <c r="BE57" i="12"/>
  <c r="AK57" i="12"/>
  <c r="M56" i="12"/>
  <c r="I51" i="12"/>
  <c r="AK56" i="12"/>
  <c r="I57" i="12"/>
  <c r="AA56" i="12"/>
  <c r="M57" i="12"/>
  <c r="AC58" i="12"/>
  <c r="D50" i="13"/>
  <c r="P50" i="13"/>
  <c r="BP58" i="13"/>
  <c r="BP59" i="13" s="1"/>
  <c r="CO12" i="13"/>
  <c r="CP12" i="13" s="1"/>
  <c r="Q49" i="13"/>
  <c r="CO39" i="13"/>
  <c r="CP39" i="13" s="1"/>
  <c r="AG57" i="13"/>
  <c r="M49" i="13"/>
  <c r="CO32" i="13"/>
  <c r="CP32" i="13" s="1"/>
  <c r="I51" i="13"/>
  <c r="U56" i="13"/>
  <c r="U51" i="13"/>
  <c r="U57" i="13"/>
  <c r="U49" i="13"/>
  <c r="T50" i="13"/>
  <c r="T52" i="13" s="1"/>
  <c r="E65" i="13"/>
  <c r="F65" i="13" s="1"/>
  <c r="G65" i="13" s="1"/>
  <c r="CO45" i="13"/>
  <c r="CP45" i="13" s="1"/>
  <c r="BH58" i="13"/>
  <c r="BH59" i="13" s="1"/>
  <c r="AW56" i="13"/>
  <c r="H50" i="13"/>
  <c r="E66" i="13"/>
  <c r="F66" i="13" s="1"/>
  <c r="G66" i="13" s="1"/>
  <c r="J50" i="13"/>
  <c r="J52" i="13" s="1"/>
  <c r="CJ58" i="13"/>
  <c r="CJ59" i="13" s="1"/>
  <c r="M57" i="13"/>
  <c r="R50" i="13"/>
  <c r="CO36" i="13"/>
  <c r="CP36" i="13" s="1"/>
  <c r="I56" i="13"/>
  <c r="CN58" i="13"/>
  <c r="CN59" i="13" s="1"/>
  <c r="L50" i="13"/>
  <c r="AW58" i="13"/>
  <c r="E73" i="13" s="1"/>
  <c r="F73" i="13" s="1"/>
  <c r="G73" i="13" s="1"/>
  <c r="BE58" i="13"/>
  <c r="BE59" i="13" s="1"/>
  <c r="Z50" i="13"/>
  <c r="Z52" i="13" s="1"/>
  <c r="AG56" i="13"/>
  <c r="N50" i="13"/>
  <c r="BE56" i="12"/>
  <c r="AA57" i="12"/>
  <c r="Z52" i="12"/>
  <c r="Z54" i="12" s="1"/>
  <c r="X56" i="12"/>
  <c r="AI56" i="12"/>
  <c r="U49" i="12"/>
  <c r="U50" i="12" s="1"/>
  <c r="BE58" i="12"/>
  <c r="BA58" i="12"/>
  <c r="BA57" i="12"/>
  <c r="AW58" i="12"/>
  <c r="AW56" i="12"/>
  <c r="BA56" i="12"/>
  <c r="AW57" i="12"/>
  <c r="AC56" i="12"/>
  <c r="AC49" i="12"/>
  <c r="AC50" i="12" s="1"/>
  <c r="AC51" i="12"/>
  <c r="AC57" i="12"/>
  <c r="AA58" i="12"/>
  <c r="AA51" i="12"/>
  <c r="AG58" i="12"/>
  <c r="AA49" i="12"/>
  <c r="AA50" i="12" s="1"/>
  <c r="AG57" i="12"/>
  <c r="AE58" i="12"/>
  <c r="BM58" i="12"/>
  <c r="X51" i="12"/>
  <c r="AU57" i="12"/>
  <c r="AU56" i="12"/>
  <c r="AU58" i="12"/>
  <c r="AI58" i="12"/>
  <c r="X57" i="12"/>
  <c r="U51" i="12"/>
  <c r="AV58" i="12"/>
  <c r="U56" i="12"/>
  <c r="AJ15" i="12"/>
  <c r="AJ56" i="12" s="1"/>
  <c r="AI57" i="12"/>
  <c r="U57" i="12"/>
  <c r="U58" i="12"/>
  <c r="BC58" i="12"/>
  <c r="AK58" i="12"/>
  <c r="Q57" i="12"/>
  <c r="Q58" i="12"/>
  <c r="Q49" i="12"/>
  <c r="Q50" i="12" s="1"/>
  <c r="AL56" i="12"/>
  <c r="BD19" i="12"/>
  <c r="BD56" i="12" s="1"/>
  <c r="BC57" i="12"/>
  <c r="BC56" i="12"/>
  <c r="I56" i="12"/>
  <c r="AE57" i="12"/>
  <c r="AE56" i="12"/>
  <c r="AL58" i="12"/>
  <c r="BF56" i="12"/>
  <c r="BF58" i="12"/>
  <c r="BF57" i="12"/>
  <c r="AV57" i="12"/>
  <c r="AL57" i="12"/>
  <c r="BB56" i="12"/>
  <c r="BB58" i="12"/>
  <c r="BB57" i="12"/>
  <c r="AV56" i="12"/>
  <c r="D52" i="12"/>
  <c r="D54" i="12" s="1"/>
  <c r="AF56" i="12"/>
  <c r="AF57" i="12"/>
  <c r="AF58" i="12"/>
  <c r="AX57" i="12"/>
  <c r="AX58" i="12"/>
  <c r="AX56" i="12"/>
  <c r="AH57" i="12"/>
  <c r="AH58" i="12"/>
  <c r="AH56" i="12"/>
  <c r="F46" i="11"/>
  <c r="D44" i="11"/>
  <c r="D46" i="11" s="1"/>
  <c r="E46" i="11"/>
  <c r="G46" i="11"/>
  <c r="E44" i="11"/>
  <c r="CO42" i="13" l="1"/>
  <c r="CP42" i="13" s="1"/>
  <c r="AK58" i="13"/>
  <c r="E67" i="13" s="1"/>
  <c r="F67" i="13" s="1"/>
  <c r="G67" i="13" s="1"/>
  <c r="AL11" i="13"/>
  <c r="CO40" i="13"/>
  <c r="CP40" i="13" s="1"/>
  <c r="CO44" i="13"/>
  <c r="CP44" i="13" s="1"/>
  <c r="CO43" i="13"/>
  <c r="CP43" i="13" s="1"/>
  <c r="EZ61" i="12"/>
  <c r="CE58" i="13"/>
  <c r="CE59" i="13" s="1"/>
  <c r="R52" i="12"/>
  <c r="R54" i="12" s="1"/>
  <c r="CQ54" i="12" s="1"/>
  <c r="CR54" i="12" s="1"/>
  <c r="ET61" i="12"/>
  <c r="ET60" i="12" s="1"/>
  <c r="EZ59" i="12"/>
  <c r="ET58" i="12"/>
  <c r="X56" i="13"/>
  <c r="BB61" i="13"/>
  <c r="BA58" i="13"/>
  <c r="E75" i="13" s="1"/>
  <c r="F75" i="13" s="1"/>
  <c r="BA56" i="13"/>
  <c r="BB56" i="13"/>
  <c r="AC51" i="13"/>
  <c r="AC57" i="13"/>
  <c r="BB57" i="13"/>
  <c r="BB59" i="13"/>
  <c r="BB58" i="13"/>
  <c r="AC49" i="13"/>
  <c r="AC50" i="13" s="1"/>
  <c r="BA57" i="13"/>
  <c r="BG58" i="13"/>
  <c r="BG59" i="13" s="1"/>
  <c r="AA56" i="13"/>
  <c r="AE56" i="13"/>
  <c r="AF59" i="13"/>
  <c r="I64" i="13" s="1"/>
  <c r="AF58" i="13"/>
  <c r="AA51" i="13"/>
  <c r="AE58" i="13"/>
  <c r="E64" i="13" s="1"/>
  <c r="F64" i="13" s="1"/>
  <c r="G64" i="13" s="1"/>
  <c r="AA57" i="13"/>
  <c r="AA49" i="13"/>
  <c r="AA50" i="13" s="1"/>
  <c r="AE57" i="13"/>
  <c r="CD58" i="13"/>
  <c r="CD59" i="13" s="1"/>
  <c r="V52" i="13"/>
  <c r="V54" i="13" s="1"/>
  <c r="CO38" i="13"/>
  <c r="CP38" i="13" s="1"/>
  <c r="W52" i="13"/>
  <c r="W54" i="13" s="1"/>
  <c r="X51" i="13"/>
  <c r="V52" i="12"/>
  <c r="V54" i="12" s="1"/>
  <c r="ES54" i="12" s="1"/>
  <c r="ET54" i="12" s="1"/>
  <c r="N52" i="12"/>
  <c r="DS52" i="12" s="1"/>
  <c r="DT52" i="12" s="1"/>
  <c r="J52" i="12"/>
  <c r="EC52" i="12" s="1"/>
  <c r="AF61" i="13"/>
  <c r="H64" i="13" s="1"/>
  <c r="X49" i="13"/>
  <c r="X50" i="13" s="1"/>
  <c r="X57" i="13"/>
  <c r="AY58" i="13"/>
  <c r="E74" i="13" s="1"/>
  <c r="F74" i="13" s="1"/>
  <c r="G74" i="13" s="1"/>
  <c r="W52" i="12"/>
  <c r="EU52" i="12" s="1"/>
  <c r="EV52" i="12" s="1"/>
  <c r="T52" i="12"/>
  <c r="T54" i="12" s="1"/>
  <c r="CS54" i="12" s="1"/>
  <c r="CT54" i="12" s="1"/>
  <c r="N52" i="13"/>
  <c r="N54" i="13" s="1"/>
  <c r="AS50" i="13"/>
  <c r="AZ59" i="13"/>
  <c r="EV60" i="12"/>
  <c r="FB60" i="12"/>
  <c r="BM59" i="12"/>
  <c r="EY54" i="12"/>
  <c r="EZ54" i="12" s="1"/>
  <c r="EY52" i="12"/>
  <c r="EZ52" i="12" s="1"/>
  <c r="P52" i="12"/>
  <c r="DY52" i="12" s="1"/>
  <c r="FA54" i="12"/>
  <c r="FB54" i="12" s="1"/>
  <c r="FA52" i="12"/>
  <c r="FB52" i="12" s="1"/>
  <c r="BP60" i="12"/>
  <c r="L54" i="12"/>
  <c r="EM54" i="12" s="1"/>
  <c r="EM52" i="12"/>
  <c r="AB52" i="12"/>
  <c r="AB54" i="12" s="1"/>
  <c r="BK54" i="12" s="1"/>
  <c r="EM50" i="12"/>
  <c r="BO59" i="12"/>
  <c r="H52" i="12"/>
  <c r="BS52" i="12" s="1"/>
  <c r="BT52" i="12" s="1"/>
  <c r="Y52" i="12"/>
  <c r="Y54" i="12" s="1"/>
  <c r="BI54" i="12" s="1"/>
  <c r="AX59" i="13"/>
  <c r="I73" i="13" s="1"/>
  <c r="AH56" i="13"/>
  <c r="AH59" i="13"/>
  <c r="I65" i="13" s="1"/>
  <c r="DZ60" i="12"/>
  <c r="FN60" i="12"/>
  <c r="BN60" i="12"/>
  <c r="BJ60" i="12"/>
  <c r="ED60" i="12"/>
  <c r="BL60" i="12"/>
  <c r="FL60" i="12"/>
  <c r="FH60" i="12"/>
  <c r="X52" i="12"/>
  <c r="X54" i="12" s="1"/>
  <c r="BD58" i="12"/>
  <c r="AJ60" i="13"/>
  <c r="AX57" i="13"/>
  <c r="AL56" i="13"/>
  <c r="H73" i="13"/>
  <c r="AX56" i="13"/>
  <c r="AL58" i="13"/>
  <c r="AL61" i="13"/>
  <c r="AL57" i="13"/>
  <c r="AH61" i="13"/>
  <c r="H65" i="13" s="1"/>
  <c r="AH57" i="13"/>
  <c r="Q52" i="12"/>
  <c r="Q54" i="12" s="1"/>
  <c r="J119" i="12"/>
  <c r="BD57" i="12"/>
  <c r="I52" i="12"/>
  <c r="I54" i="12" s="1"/>
  <c r="AC52" i="12"/>
  <c r="AC54" i="12" s="1"/>
  <c r="M50" i="13"/>
  <c r="AF56" i="13"/>
  <c r="AF57" i="13"/>
  <c r="AB52" i="13"/>
  <c r="AB54" i="13" s="1"/>
  <c r="Z54" i="13"/>
  <c r="L52" i="13"/>
  <c r="L54" i="13" s="1"/>
  <c r="H52" i="13"/>
  <c r="H54" i="13" s="1"/>
  <c r="U50" i="13"/>
  <c r="Q50" i="13"/>
  <c r="T54" i="13"/>
  <c r="R52" i="13"/>
  <c r="R54" i="13" s="1"/>
  <c r="J54" i="13"/>
  <c r="AJ56" i="13"/>
  <c r="AJ57" i="13"/>
  <c r="I52" i="13"/>
  <c r="I54" i="13" s="1"/>
  <c r="Y54" i="13"/>
  <c r="P52" i="13"/>
  <c r="P54" i="13" s="1"/>
  <c r="D52" i="13"/>
  <c r="D54" i="13" s="1"/>
  <c r="AA52" i="12"/>
  <c r="AA54" i="12" s="1"/>
  <c r="AJ58" i="12"/>
  <c r="AJ57" i="12"/>
  <c r="U52" i="12"/>
  <c r="U54" i="12" s="1"/>
  <c r="M52" i="12"/>
  <c r="M54" i="12" s="1"/>
  <c r="E65" i="10"/>
  <c r="D65" i="10"/>
  <c r="E64" i="10"/>
  <c r="D64" i="10"/>
  <c r="E63" i="10"/>
  <c r="D63" i="10"/>
  <c r="E58" i="10"/>
  <c r="D58" i="10"/>
  <c r="E55" i="10"/>
  <c r="D55" i="10"/>
  <c r="E54" i="10"/>
  <c r="D54" i="10"/>
  <c r="G52" i="10"/>
  <c r="G51" i="10"/>
  <c r="G50" i="10"/>
  <c r="G49" i="10"/>
  <c r="G48" i="10"/>
  <c r="G47" i="10"/>
  <c r="G46" i="10"/>
  <c r="G45" i="10"/>
  <c r="G44" i="10"/>
  <c r="G43" i="10"/>
  <c r="G42" i="10"/>
  <c r="G41" i="10"/>
  <c r="G25" i="10"/>
  <c r="G24" i="10"/>
  <c r="G23" i="10"/>
  <c r="G22" i="10"/>
  <c r="G21" i="10"/>
  <c r="G19" i="10"/>
  <c r="D14" i="10"/>
  <c r="D13" i="10"/>
  <c r="F54" i="10"/>
  <c r="AC52" i="13" l="1"/>
  <c r="BB60" i="13"/>
  <c r="J75" i="13"/>
  <c r="K75" i="13" s="1"/>
  <c r="EZ60" i="12"/>
  <c r="CQ52" i="12"/>
  <c r="CR52" i="12" s="1"/>
  <c r="W54" i="12"/>
  <c r="EU54" i="12" s="1"/>
  <c r="EV54" i="12" s="1"/>
  <c r="ES52" i="12"/>
  <c r="ET52" i="12" s="1"/>
  <c r="AA52" i="13"/>
  <c r="AA54" i="13" s="1"/>
  <c r="J54" i="12"/>
  <c r="EC54" i="12" s="1"/>
  <c r="J64" i="13"/>
  <c r="K64" i="13" s="1"/>
  <c r="AF60" i="13"/>
  <c r="CO58" i="13"/>
  <c r="CO59" i="13" s="1"/>
  <c r="X52" i="13"/>
  <c r="X54" i="13" s="1"/>
  <c r="CS52" i="12"/>
  <c r="CT52" i="12" s="1"/>
  <c r="N54" i="12"/>
  <c r="DS54" i="12" s="1"/>
  <c r="DT54" i="12" s="1"/>
  <c r="P54" i="12"/>
  <c r="DY54" i="12" s="1"/>
  <c r="AZ58" i="13"/>
  <c r="AZ61" i="13"/>
  <c r="H74" i="13" s="1"/>
  <c r="AS54" i="13"/>
  <c r="AS52" i="13"/>
  <c r="I74" i="13"/>
  <c r="AN60" i="13"/>
  <c r="AT60" i="13"/>
  <c r="J71" i="13"/>
  <c r="K71" i="13" s="1"/>
  <c r="BK52" i="12"/>
  <c r="H54" i="12"/>
  <c r="BS54" i="12" s="1"/>
  <c r="BT54" i="12" s="1"/>
  <c r="BI52" i="12"/>
  <c r="F65" i="10"/>
  <c r="J73" i="13"/>
  <c r="K73" i="13" s="1"/>
  <c r="J67" i="13"/>
  <c r="K67" i="13" s="1"/>
  <c r="J121" i="12"/>
  <c r="J65" i="13"/>
  <c r="K65" i="13" s="1"/>
  <c r="I121" i="12"/>
  <c r="AX60" i="13"/>
  <c r="AH60" i="13"/>
  <c r="J68" i="13"/>
  <c r="K68" i="13" s="1"/>
  <c r="J66" i="13"/>
  <c r="K66" i="13" s="1"/>
  <c r="AL60" i="13"/>
  <c r="M52" i="13"/>
  <c r="M54" i="13" s="1"/>
  <c r="AC54" i="13"/>
  <c r="Q52" i="13"/>
  <c r="Q54" i="13" s="1"/>
  <c r="U52" i="13"/>
  <c r="U54" i="13" s="1"/>
  <c r="G20" i="10"/>
  <c r="D56" i="10"/>
  <c r="D57" i="10" s="1"/>
  <c r="E56" i="10"/>
  <c r="E57" i="10" s="1"/>
  <c r="F55" i="10"/>
  <c r="F56" i="10"/>
  <c r="F57" i="10" s="1"/>
  <c r="F58" i="10"/>
  <c r="F63" i="10"/>
  <c r="F64" i="10"/>
  <c r="J74" i="13" l="1"/>
  <c r="K74" i="13" s="1"/>
  <c r="AZ60" i="13"/>
  <c r="E59" i="10"/>
  <c r="E61" i="10" s="1"/>
  <c r="F59" i="10"/>
  <c r="F61" i="10" s="1"/>
  <c r="D59" i="10"/>
  <c r="D61" i="10" s="1"/>
  <c r="D67" i="9" l="1"/>
  <c r="D66" i="9"/>
  <c r="D65" i="9"/>
  <c r="D60" i="9"/>
  <c r="D57" i="9"/>
  <c r="E56" i="9"/>
  <c r="D56" i="9"/>
  <c r="F52" i="9"/>
  <c r="F51" i="9"/>
  <c r="F47" i="9"/>
  <c r="F46" i="9"/>
  <c r="F45" i="9"/>
  <c r="F44" i="9"/>
  <c r="F41" i="9"/>
  <c r="F40" i="9"/>
  <c r="F39" i="9"/>
  <c r="F38" i="9"/>
  <c r="F25" i="9"/>
  <c r="F24" i="9"/>
  <c r="F23" i="9"/>
  <c r="F22" i="9"/>
  <c r="D14" i="9"/>
  <c r="D13" i="9"/>
  <c r="E67" i="9" l="1"/>
  <c r="D58" i="9"/>
  <c r="D59" i="9" s="1"/>
  <c r="E57" i="9"/>
  <c r="E58" i="9"/>
  <c r="E59" i="9" s="1"/>
  <c r="E60" i="9"/>
  <c r="E65" i="9"/>
  <c r="E66" i="9"/>
  <c r="E61" i="9" l="1"/>
  <c r="E63" i="9" s="1"/>
  <c r="D61" i="9"/>
  <c r="D63" i="9" s="1"/>
  <c r="E66" i="8" l="1"/>
  <c r="E65" i="8"/>
  <c r="E64" i="8"/>
  <c r="E59" i="8"/>
  <c r="E56" i="8"/>
  <c r="F55" i="8"/>
  <c r="E55" i="8"/>
  <c r="G26" i="8"/>
  <c r="G25" i="8"/>
  <c r="G24" i="8"/>
  <c r="G23" i="8"/>
  <c r="G22" i="8"/>
  <c r="G21" i="8"/>
  <c r="G20" i="8" l="1"/>
  <c r="G18" i="8"/>
  <c r="F66" i="8"/>
  <c r="G19" i="8"/>
  <c r="E57" i="8"/>
  <c r="E58" i="8" s="1"/>
  <c r="F56" i="8"/>
  <c r="F57" i="8"/>
  <c r="F58" i="8" s="1"/>
  <c r="F59" i="8"/>
  <c r="F64" i="8"/>
  <c r="F65" i="8"/>
  <c r="F60" i="8" l="1"/>
  <c r="F62" i="8" s="1"/>
  <c r="E60" i="8"/>
  <c r="E62" i="8" s="1"/>
  <c r="E67" i="7" l="1"/>
  <c r="D67" i="7"/>
  <c r="E66" i="7"/>
  <c r="D66" i="7"/>
  <c r="E65" i="7"/>
  <c r="D65" i="7"/>
  <c r="E60" i="7"/>
  <c r="D60" i="7"/>
  <c r="E57" i="7"/>
  <c r="E58" i="7" s="1"/>
  <c r="E59" i="7" s="1"/>
  <c r="D57" i="7"/>
  <c r="D58" i="7" s="1"/>
  <c r="D59" i="7" s="1"/>
  <c r="F56" i="7"/>
  <c r="E56" i="7"/>
  <c r="D56" i="7"/>
  <c r="G25" i="7"/>
  <c r="F24" i="7"/>
  <c r="G24" i="7" s="1"/>
  <c r="F23" i="7"/>
  <c r="G23" i="7" s="1"/>
  <c r="F22" i="7"/>
  <c r="G22" i="7" s="1"/>
  <c r="F21" i="7"/>
  <c r="D14" i="7"/>
  <c r="D13" i="7"/>
  <c r="G21" i="7" l="1"/>
  <c r="G19" i="7"/>
  <c r="F67" i="7"/>
  <c r="E61" i="7"/>
  <c r="E63" i="7" s="1"/>
  <c r="D61" i="7"/>
  <c r="D63" i="7" s="1"/>
  <c r="F66" i="7"/>
  <c r="F58" i="7"/>
  <c r="F59" i="7" s="1"/>
  <c r="F60" i="7"/>
  <c r="G20" i="7"/>
  <c r="F65" i="7"/>
  <c r="F57" i="7"/>
  <c r="F61" i="7" l="1"/>
  <c r="F63" i="7" s="1"/>
  <c r="F67" i="6" l="1"/>
  <c r="D67" i="6"/>
  <c r="F66" i="6"/>
  <c r="D66" i="6"/>
  <c r="F65" i="6"/>
  <c r="D65" i="6"/>
  <c r="D57" i="6"/>
  <c r="G56" i="6"/>
  <c r="F56" i="6"/>
  <c r="D56" i="6"/>
  <c r="H33" i="6"/>
  <c r="H32" i="6"/>
  <c r="H31" i="6"/>
  <c r="H30" i="6"/>
  <c r="H29" i="6"/>
  <c r="H28" i="6"/>
  <c r="H27" i="6"/>
  <c r="H26" i="6"/>
  <c r="H25" i="6"/>
  <c r="H24" i="6"/>
  <c r="H23" i="6"/>
  <c r="H22" i="6"/>
  <c r="D14" i="6"/>
  <c r="D13" i="6"/>
  <c r="H19" i="6" l="1"/>
  <c r="H21" i="6"/>
  <c r="G67" i="6"/>
  <c r="D61" i="6"/>
  <c r="D63" i="6" s="1"/>
  <c r="G60" i="6"/>
  <c r="G66" i="6"/>
  <c r="H20" i="6"/>
  <c r="G65" i="6"/>
  <c r="G58" i="6"/>
  <c r="G59" i="6" s="1"/>
  <c r="G57" i="6"/>
  <c r="G61" i="6" l="1"/>
  <c r="G63" i="6" s="1"/>
  <c r="F61" i="6"/>
  <c r="F63" i="6" s="1"/>
  <c r="H37" i="5" l="1"/>
  <c r="H36" i="5"/>
  <c r="H35" i="5"/>
  <c r="H34" i="5"/>
  <c r="H33" i="5"/>
  <c r="H32" i="5"/>
  <c r="H31" i="5"/>
  <c r="H30" i="5"/>
  <c r="H29" i="5"/>
  <c r="H28" i="5"/>
  <c r="H27" i="5"/>
  <c r="H26" i="5"/>
  <c r="H25" i="5"/>
  <c r="H24" i="5"/>
  <c r="H23" i="5"/>
  <c r="H22" i="5"/>
  <c r="H21" i="5"/>
  <c r="H20" i="5"/>
  <c r="D14" i="5"/>
  <c r="D13" i="5"/>
  <c r="H19" i="5" l="1"/>
  <c r="H37" i="4" l="1"/>
  <c r="H36" i="4"/>
  <c r="H35" i="4"/>
  <c r="H34" i="4"/>
  <c r="H33" i="4"/>
  <c r="H32" i="4"/>
  <c r="H31" i="4"/>
  <c r="H30" i="4"/>
  <c r="H29" i="4"/>
  <c r="H28" i="4"/>
  <c r="H27" i="4"/>
  <c r="H26" i="4"/>
  <c r="H25" i="4"/>
  <c r="H24" i="4"/>
  <c r="H23" i="4"/>
  <c r="H22" i="4"/>
  <c r="H21" i="4"/>
  <c r="D14" i="4"/>
  <c r="D13" i="4"/>
  <c r="H20" i="4" l="1"/>
  <c r="D66" i="3" l="1"/>
  <c r="I56" i="3"/>
  <c r="I67" i="3" l="1"/>
  <c r="I65" i="3"/>
  <c r="I66" i="3"/>
  <c r="I57" i="3"/>
  <c r="J19" i="3"/>
  <c r="I60" i="3"/>
  <c r="H63" i="3"/>
  <c r="D63" i="3"/>
  <c r="I61" i="3" l="1"/>
  <c r="I63" i="3" s="1"/>
  <c r="E64" i="4" l="1"/>
  <c r="G62" i="4"/>
  <c r="G64" i="4" s="1"/>
  <c r="FO19" i="12" l="1"/>
  <c r="FP19" i="12" s="1"/>
  <c r="FO12" i="12"/>
  <c r="FO13" i="12"/>
  <c r="FP13" i="12" s="1"/>
  <c r="FO14" i="12"/>
  <c r="FP14" i="12" s="1"/>
  <c r="FO15" i="12"/>
  <c r="FP15" i="12" s="1"/>
  <c r="FO41" i="12"/>
  <c r="FP41" i="12" s="1"/>
  <c r="FO17" i="12"/>
  <c r="FP17" i="12" s="1"/>
  <c r="FO18" i="12"/>
  <c r="FP18" i="12" s="1"/>
  <c r="FO45" i="12"/>
  <c r="FP45" i="12" s="1"/>
  <c r="FO42" i="12"/>
  <c r="FP42" i="12" s="1"/>
  <c r="FO43" i="12"/>
  <c r="FP43" i="12" s="1"/>
  <c r="FO44" i="12"/>
  <c r="FP44" i="12" s="1"/>
  <c r="FO37" i="12"/>
  <c r="FP37" i="12" s="1"/>
  <c r="FO16" i="12"/>
  <c r="FP16" i="12" s="1"/>
  <c r="FO38" i="12"/>
  <c r="FP38" i="12" s="1"/>
  <c r="FO39" i="12"/>
  <c r="FP39" i="12" s="1"/>
  <c r="FO40" i="12"/>
  <c r="FP40" i="12" s="1"/>
  <c r="FP12" i="12" l="1"/>
  <c r="FO11" i="12"/>
  <c r="FP11" i="12" s="1"/>
  <c r="BT59" i="12"/>
  <c r="BT58" i="12"/>
  <c r="G69" i="12" s="1"/>
  <c r="H69" i="12" s="1"/>
  <c r="H121" i="12" s="1"/>
  <c r="BT61" i="12"/>
  <c r="FO58" i="12" l="1"/>
  <c r="FO59" i="12" s="1"/>
  <c r="BT60" i="12"/>
  <c r="AU58" i="13" l="1"/>
  <c r="AU56" i="13"/>
  <c r="AU57" i="13"/>
  <c r="AV59" i="13"/>
  <c r="AV11" i="13"/>
  <c r="AV58" i="13" s="1"/>
  <c r="E77" i="13" l="1"/>
  <c r="AV56" i="13"/>
  <c r="AV57" i="13"/>
  <c r="AV61" i="13"/>
  <c r="J72" i="13" s="1"/>
  <c r="J77" i="13" l="1"/>
  <c r="K77" i="13" s="1"/>
  <c r="K72" i="13"/>
  <c r="AV60" i="13"/>
  <c r="F77" i="13"/>
  <c r="G77" i="13" s="1"/>
</calcChain>
</file>

<file path=xl/sharedStrings.xml><?xml version="1.0" encoding="utf-8"?>
<sst xmlns="http://schemas.openxmlformats.org/spreadsheetml/2006/main" count="1709" uniqueCount="361">
  <si>
    <t>No</t>
  </si>
  <si>
    <t>NIM</t>
  </si>
  <si>
    <t>Nama Mahasiswa</t>
  </si>
  <si>
    <t>24.01.55.0002</t>
  </si>
  <si>
    <t>NADIA SALSABILLA PUTRI</t>
  </si>
  <si>
    <t>24.01.55.0003</t>
  </si>
  <si>
    <t>LISA RAHMAWATI</t>
  </si>
  <si>
    <t>24.01.55.0004</t>
  </si>
  <si>
    <t>NAZWA FITRI AULIA</t>
  </si>
  <si>
    <t>24.01.55.0005</t>
  </si>
  <si>
    <t>RAFFAEL ANGGARA ARYA DEWA</t>
  </si>
  <si>
    <t>24.01.55.0006</t>
  </si>
  <si>
    <t>YUMROTUL MUKAROMAH</t>
  </si>
  <si>
    <t>24.01.55.0007</t>
  </si>
  <si>
    <t>USWATUN AULIA PANGESTIKA</t>
  </si>
  <si>
    <t>24.01.55.0008</t>
  </si>
  <si>
    <t>VINCENT LISTANEOF SANTOSO</t>
  </si>
  <si>
    <t>24.01.55.0009</t>
  </si>
  <si>
    <t>RETNO AJENG PUSPITASARI</t>
  </si>
  <si>
    <t>24.01.55.0010</t>
  </si>
  <si>
    <t>IQBAL FAHAR</t>
  </si>
  <si>
    <t>24.01.55.0011</t>
  </si>
  <si>
    <t>SHABRINA AULIA PUTRI</t>
  </si>
  <si>
    <t>24.01.55.0012</t>
  </si>
  <si>
    <t>ADELA PUTRI AJI</t>
  </si>
  <si>
    <t>24.01.55.0013</t>
  </si>
  <si>
    <t>AMELIA RISKI KURNIAWATI</t>
  </si>
  <si>
    <t>24.01.55.0014</t>
  </si>
  <si>
    <t>DAFFA IQBAL MAULANA</t>
  </si>
  <si>
    <t>24.01.55.0015</t>
  </si>
  <si>
    <t>KAISYA AUDIA VIERA</t>
  </si>
  <si>
    <t>24.01.55.0016</t>
  </si>
  <si>
    <t>LAILLA FATIMAH AZZAHRA</t>
  </si>
  <si>
    <t>24.01.55.3001</t>
  </si>
  <si>
    <t>REZA TANJUNG SETIAWAN</t>
  </si>
  <si>
    <t>24.01.55.3002</t>
  </si>
  <si>
    <t>MUHAMAD SATRIA AMBORO WIJAYA</t>
  </si>
  <si>
    <t>24.01.55.3003</t>
  </si>
  <si>
    <t>ANANTA SOFIANNUR</t>
  </si>
  <si>
    <t>24.01.55.3004</t>
  </si>
  <si>
    <t>RISTRAWAN WIRAWINELDA</t>
  </si>
  <si>
    <t>Kode Matakuliah</t>
  </si>
  <si>
    <t>Nama Matakuliah</t>
  </si>
  <si>
    <t>Kategori</t>
  </si>
  <si>
    <t>SKS</t>
  </si>
  <si>
    <t>ID</t>
  </si>
  <si>
    <t>Smtr</t>
  </si>
  <si>
    <t>MK1</t>
  </si>
  <si>
    <t>P.20.01.55.1.01</t>
  </si>
  <si>
    <t>TEORI MANAJEMEN</t>
  </si>
  <si>
    <t>Wajib</t>
  </si>
  <si>
    <t>V</t>
  </si>
  <si>
    <t>MK2</t>
  </si>
  <si>
    <t>P.20.01.55.1.02</t>
  </si>
  <si>
    <t>TEORI ORGANISASI</t>
  </si>
  <si>
    <t>MK3</t>
  </si>
  <si>
    <t>P.20.01.55.1.03</t>
  </si>
  <si>
    <t>KONSEP SISTEM DAN TEKNOLOGI INFORMASI</t>
  </si>
  <si>
    <t>MK4</t>
  </si>
  <si>
    <t>P.20.01.55.1.04</t>
  </si>
  <si>
    <t>LOGIKA DAN ALGORITMA</t>
  </si>
  <si>
    <t>MK5</t>
  </si>
  <si>
    <t>P.20.01.55.1.05</t>
  </si>
  <si>
    <t>BAHASA PEMROGRAMAN</t>
  </si>
  <si>
    <t>MK6</t>
  </si>
  <si>
    <t>P.20.01.55.1.06</t>
  </si>
  <si>
    <t>LOGIKA MATEMATIKA</t>
  </si>
  <si>
    <t>MK7</t>
  </si>
  <si>
    <t>MANAJEMEN BASIS DATA</t>
  </si>
  <si>
    <t>P.20.01.55.1.07</t>
  </si>
  <si>
    <t>MK8</t>
  </si>
  <si>
    <t>BAHASA INGGRIS DASAR</t>
  </si>
  <si>
    <t>U.20.01.55.1.01</t>
  </si>
  <si>
    <t>MK59</t>
  </si>
  <si>
    <t>MK9</t>
  </si>
  <si>
    <t>P.20.01.55.2.08</t>
  </si>
  <si>
    <t>ANALISA SISTEM INFORMASI</t>
  </si>
  <si>
    <t>Total</t>
  </si>
  <si>
    <t>FORM MONITORING DAN EVALUASI</t>
  </si>
  <si>
    <t>KETERCAPAIAN CAPAIAN PEMBELAJARAN MATAKULIAH(CPMK) PADA SATU ANGKATAN</t>
  </si>
  <si>
    <t>Tahun Akademik</t>
  </si>
  <si>
    <t>: 2024/2025</t>
  </si>
  <si>
    <t>Program Studi</t>
  </si>
  <si>
    <t>: Sistem Informasi</t>
  </si>
  <si>
    <t>Fakultas</t>
  </si>
  <si>
    <t>: Teknologi Informasi dan Industri</t>
  </si>
  <si>
    <t>SKS Matakuliah</t>
  </si>
  <si>
    <t>: 2</t>
  </si>
  <si>
    <t>Semester/ Kelas</t>
  </si>
  <si>
    <t>: I / A1+DLC</t>
  </si>
  <si>
    <t>Dosen Pengampu</t>
  </si>
  <si>
    <t>Nilai Akhir MK</t>
  </si>
  <si>
    <t>Nilai Huruf</t>
  </si>
  <si>
    <t>CPL01</t>
  </si>
  <si>
    <t>CPL13</t>
  </si>
  <si>
    <t>CPMK014</t>
  </si>
  <si>
    <t>CPMK131</t>
  </si>
  <si>
    <t>&lt;=65</t>
  </si>
  <si>
    <t>&lt;85</t>
  </si>
  <si>
    <t>&gt;=85</t>
  </si>
  <si>
    <t>Jumlah mhsw yg lulus CPMK</t>
  </si>
  <si>
    <t>Minimal</t>
  </si>
  <si>
    <t>Maksimal</t>
  </si>
  <si>
    <t>Rata-Rata</t>
  </si>
  <si>
    <t>CPMK012</t>
  </si>
  <si>
    <t>Tidak KRS/Tidak Aktif</t>
  </si>
  <si>
    <t>CPL04</t>
  </si>
  <si>
    <t>CPL03</t>
  </si>
  <si>
    <t>CPMK011</t>
  </si>
  <si>
    <t>CPMK041</t>
  </si>
  <si>
    <t>CPMK031</t>
  </si>
  <si>
    <t>: 3</t>
  </si>
  <si>
    <t>: 2.</t>
  </si>
  <si>
    <t>CPL09</t>
  </si>
  <si>
    <t>CPMK033</t>
  </si>
  <si>
    <t>CPMK092</t>
  </si>
  <si>
    <t>CPMK032</t>
  </si>
  <si>
    <t>CPL02</t>
  </si>
  <si>
    <t>CPMK013</t>
  </si>
  <si>
    <t>CPMK021</t>
  </si>
  <si>
    <t>CPL10</t>
  </si>
  <si>
    <t>CPL12</t>
  </si>
  <si>
    <t>CPL14</t>
  </si>
  <si>
    <t>CPMK101</t>
  </si>
  <si>
    <t>CPMK121</t>
  </si>
  <si>
    <t>CPMK141</t>
  </si>
  <si>
    <t>: U.24.01.55.1.03</t>
  </si>
  <si>
    <t>: KEWARGANEGARAAN</t>
  </si>
  <si>
    <t>: 1.YU.2.03.07.063 - R. SOELISTIJADI, S.SOS, M.Kom.</t>
  </si>
  <si>
    <t>CPMK122</t>
  </si>
  <si>
    <t>Nilai Akhir Matakuliah</t>
  </si>
  <si>
    <t>Nilai</t>
  </si>
  <si>
    <t>D,G,J,T</t>
  </si>
  <si>
    <t>U</t>
  </si>
  <si>
    <t>N,Q</t>
  </si>
  <si>
    <t>K</t>
  </si>
  <si>
    <t>O,R</t>
  </si>
  <si>
    <t>X,AB,AF</t>
  </si>
  <si>
    <t>Y,AC,AG</t>
  </si>
  <si>
    <t>E,H, L,V</t>
  </si>
  <si>
    <t>Z,AD,AH</t>
  </si>
  <si>
    <t>E,H,L,V</t>
  </si>
  <si>
    <t>Capaian (%)</t>
  </si>
  <si>
    <t>CPL05</t>
  </si>
  <si>
    <t>CPL06</t>
  </si>
  <si>
    <t>CPL07</t>
  </si>
  <si>
    <t>CPL08</t>
  </si>
  <si>
    <t>CPL11</t>
  </si>
  <si>
    <t>CPMK091</t>
  </si>
  <si>
    <t>CPMK142</t>
  </si>
  <si>
    <t>SMT-I</t>
  </si>
  <si>
    <t>CPMK022</t>
  </si>
  <si>
    <t>CPMK023</t>
  </si>
  <si>
    <t>CPMK024</t>
  </si>
  <si>
    <t>CPMK042</t>
  </si>
  <si>
    <t>CPMK051</t>
  </si>
  <si>
    <t>CPMK052</t>
  </si>
  <si>
    <t>CPMK061</t>
  </si>
  <si>
    <t>CPMK062</t>
  </si>
  <si>
    <t>CPMK063</t>
  </si>
  <si>
    <t>CPMK064</t>
  </si>
  <si>
    <t>CPMK071</t>
  </si>
  <si>
    <t>CPMK072</t>
  </si>
  <si>
    <t>CPMK073</t>
  </si>
  <si>
    <t>CPMK081</t>
  </si>
  <si>
    <t>CPMK082</t>
  </si>
  <si>
    <t>CPMK102</t>
  </si>
  <si>
    <t>CPMK111</t>
  </si>
  <si>
    <t>CPMK112</t>
  </si>
  <si>
    <t>CPMK132</t>
  </si>
  <si>
    <t>&lt;65</t>
  </si>
  <si>
    <t>Rata-Rata CPMK</t>
  </si>
  <si>
    <t>CPL</t>
  </si>
  <si>
    <t>Total Capaian</t>
  </si>
  <si>
    <t>Rata-rata</t>
  </si>
  <si>
    <t>%</t>
  </si>
  <si>
    <t>Status</t>
  </si>
  <si>
    <t>Catatan :</t>
  </si>
  <si>
    <t>Pengukuran CPL di tingkat mata kuliah pada satu angkatan (2024)</t>
  </si>
  <si>
    <t>CPMK</t>
  </si>
  <si>
    <t>Rata-Rata CPMK Per-MK</t>
  </si>
  <si>
    <t>Peserta</t>
  </si>
  <si>
    <t>Lulus</t>
  </si>
  <si>
    <t>Pengukuran CPMK di tingkat mata kuliah pada satu angkatan (2024)</t>
  </si>
  <si>
    <t>Tidak KRS/ Tidak Aktif</t>
  </si>
  <si>
    <t>CPL tercapai jika nilai capaian CPL&gt;=70 %</t>
  </si>
  <si>
    <r>
      <rPr>
        <sz val="11"/>
        <color theme="0"/>
        <rFont val="Aptos Narrow"/>
        <family val="2"/>
        <scheme val="minor"/>
      </rPr>
      <t xml:space="preserve">Rerata </t>
    </r>
    <r>
      <rPr>
        <b/>
        <sz val="11"/>
        <color theme="0"/>
        <rFont val="Aptos Narrow"/>
        <family val="2"/>
        <scheme val="minor"/>
      </rPr>
      <t>Capaian</t>
    </r>
  </si>
  <si>
    <t>24.05.52.0002</t>
  </si>
  <si>
    <t>SNEHA JAYA BAIDURI</t>
  </si>
  <si>
    <t>24.05.52.0003</t>
  </si>
  <si>
    <t>ALFARIESSA GIFTHA ANDREA PITALOKA</t>
  </si>
  <si>
    <t>24.05.52.0004</t>
  </si>
  <si>
    <t>MAHARANI PUTRI RUSTIANTI</t>
  </si>
  <si>
    <t>24.05.52.0005</t>
  </si>
  <si>
    <t>FLORA SUCI FERONIKA</t>
  </si>
  <si>
    <t>24.05.52.0006</t>
  </si>
  <si>
    <t>AATHIRA AUFA AZ-ZAHRA</t>
  </si>
  <si>
    <t>24.05.52.0007</t>
  </si>
  <si>
    <t>SHEILA MONA PUTRI IKSANTI</t>
  </si>
  <si>
    <t>24.05.52.0008</t>
  </si>
  <si>
    <t>RAIHAN RIFA MAHARADITYA</t>
  </si>
  <si>
    <t>24.05.52.0009</t>
  </si>
  <si>
    <t>MARLINA DWI SAPUTRI</t>
  </si>
  <si>
    <t>24.05.52.0011</t>
  </si>
  <si>
    <t>JONATHAN REXY FERDINAN</t>
  </si>
  <si>
    <t>24.05.52.0012</t>
  </si>
  <si>
    <t>GITA TEONANDA ARELLIA</t>
  </si>
  <si>
    <t>24.05.52.0014</t>
  </si>
  <si>
    <t>ARELIA SALSABILA SAFITRI</t>
  </si>
  <si>
    <t>24.05.52.0015</t>
  </si>
  <si>
    <t>JULLER IBEL LAURENTIUS TURNIP</t>
  </si>
  <si>
    <t>24.05.52.0016</t>
  </si>
  <si>
    <t>GADING BINTANG WICAKSONO</t>
  </si>
  <si>
    <t>24.05.52.0017</t>
  </si>
  <si>
    <t>VINA OKITA</t>
  </si>
  <si>
    <t>24.05.52.0018</t>
  </si>
  <si>
    <t>VIMAS CHARIZA ANGGRAINY</t>
  </si>
  <si>
    <t>24.05.52.0019</t>
  </si>
  <si>
    <t>KADIZHA OKTI FAUSTA</t>
  </si>
  <si>
    <t>24.05.52.0020</t>
  </si>
  <si>
    <t>FIRMAN AKBAR SAMUDRA</t>
  </si>
  <si>
    <t>24.05.52.0021</t>
  </si>
  <si>
    <t>JESSICA OKTAVIANA BASTAMAN</t>
  </si>
  <si>
    <t>24.05.52.0022</t>
  </si>
  <si>
    <t>AHMAD NABIL FEBRI SAPUTRA</t>
  </si>
  <si>
    <t>24.05.52.0023</t>
  </si>
  <si>
    <t>NABILA SASKIA PUTRI</t>
  </si>
  <si>
    <t>24.05.52.0024</t>
  </si>
  <si>
    <t>SAFRILLA LAURINTA</t>
  </si>
  <si>
    <t>24.05.52.0026</t>
  </si>
  <si>
    <t>ALIFVINDA MUTIARA BALQIS</t>
  </si>
  <si>
    <t>24.05.52.3001</t>
  </si>
  <si>
    <t>ROFIQ MUHANDANU FAISAL KHULUD F</t>
  </si>
  <si>
    <t>24.05.52.3002</t>
  </si>
  <si>
    <t>AJENG SUKMA ANDRIYANI</t>
  </si>
  <si>
    <t>24.05.52.3003</t>
  </si>
  <si>
    <t>MARETA SARI PURBANINGRUM</t>
  </si>
  <si>
    <t>24.05.52.3004</t>
  </si>
  <si>
    <t>ARFIANI ARIFAH</t>
  </si>
  <si>
    <t>24.05.52.3005</t>
  </si>
  <si>
    <t>AULIA SAHWA KAILA</t>
  </si>
  <si>
    <t>24.05.52.3006</t>
  </si>
  <si>
    <t>FELICITAS DIVA RAHAYUNINGSIH N</t>
  </si>
  <si>
    <t>24.05.52.3008</t>
  </si>
  <si>
    <t>GRACIELLA NATHANIA KUSUMADEWI</t>
  </si>
  <si>
    <t>24.05.52.3009</t>
  </si>
  <si>
    <t>DEBY KARUNIA ANGGRAENI</t>
  </si>
  <si>
    <t>24.05.52.3010</t>
  </si>
  <si>
    <t>PUTRY MEINERS ELISABET FAHIK</t>
  </si>
  <si>
    <t>24.05.52.3011</t>
  </si>
  <si>
    <t>AMINATUL AROFAH</t>
  </si>
  <si>
    <t>24.05.52.3012</t>
  </si>
  <si>
    <t>RORO AYU SUKMAWATI</t>
  </si>
  <si>
    <t>: Akuntansi</t>
  </si>
  <si>
    <t>: Ekonomika dan Bisnis</t>
  </si>
  <si>
    <t>24.05.52.0013</t>
  </si>
  <si>
    <t>MUHAMMAD MAFTUF</t>
  </si>
  <si>
    <t>ROFIQ MUHANDANU FAISAL K</t>
  </si>
  <si>
    <t>CPMK103</t>
  </si>
  <si>
    <t>CPMK104</t>
  </si>
  <si>
    <t xml:space="preserve">: 1.	</t>
  </si>
  <si>
    <t>CPMK114</t>
  </si>
  <si>
    <t>CPMK115</t>
  </si>
  <si>
    <t>: English for Business</t>
  </si>
  <si>
    <t>: UU.24.05.52.1.03</t>
  </si>
  <si>
    <t>CPL1</t>
  </si>
  <si>
    <t>CPMK12</t>
  </si>
  <si>
    <t>CPMK123</t>
  </si>
  <si>
    <t>: 1. L.0308 SARAH SUMPONOGATI, S.S, M.Li.</t>
  </si>
  <si>
    <t>CPMK11</t>
  </si>
  <si>
    <t>CPMK043</t>
  </si>
  <si>
    <t>CPMK044</t>
  </si>
  <si>
    <t>CPMK045</t>
  </si>
  <si>
    <t>CPMK046</t>
  </si>
  <si>
    <t>CPMK047</t>
  </si>
  <si>
    <t>CPMK053</t>
  </si>
  <si>
    <t>CPMK054</t>
  </si>
  <si>
    <t>CPMK055</t>
  </si>
  <si>
    <t>CPMK056</t>
  </si>
  <si>
    <t>CPMK057</t>
  </si>
  <si>
    <t>CPMK058</t>
  </si>
  <si>
    <t>CPMK074</t>
  </si>
  <si>
    <t>CPMK075</t>
  </si>
  <si>
    <t>CPMK076</t>
  </si>
  <si>
    <t>CPMK083</t>
  </si>
  <si>
    <t>CPMK093</t>
  </si>
  <si>
    <t>CPMK105</t>
  </si>
  <si>
    <t>CPMK113</t>
  </si>
  <si>
    <t>CPMK124</t>
  </si>
  <si>
    <t>CPMK125</t>
  </si>
  <si>
    <t>V,W,Y,Z</t>
  </si>
  <si>
    <t>24.05.72.0004</t>
  </si>
  <si>
    <t>TAN, JANINA SHINE DESTINY</t>
  </si>
  <si>
    <t>24.05.72.0003</t>
  </si>
  <si>
    <t>AULIA CHICHI ANGGRAENI</t>
  </si>
  <si>
    <t>P.24.05.52.2.06</t>
  </si>
  <si>
    <t>Akuntansi Pengantar 2</t>
  </si>
  <si>
    <t>P.24.05.52.2.07</t>
  </si>
  <si>
    <t>Perpajakan 2</t>
  </si>
  <si>
    <t>P.24.05.52.2.08</t>
  </si>
  <si>
    <t>Akuntansi Sektor Publik</t>
  </si>
  <si>
    <t>P.24.05.52.2.09</t>
  </si>
  <si>
    <t>Akuntansi Perbankan</t>
  </si>
  <si>
    <t>P.24.05.52.2.10</t>
  </si>
  <si>
    <t>Akuntansi Biaya</t>
  </si>
  <si>
    <t>U.24.05.52.2.04</t>
  </si>
  <si>
    <t>Pancasila</t>
  </si>
  <si>
    <t>U.24.05.52.2.05</t>
  </si>
  <si>
    <t>Bahasa Indonesia</t>
  </si>
  <si>
    <t>MK10</t>
  </si>
  <si>
    <t>MK11</t>
  </si>
  <si>
    <t>MK12</t>
  </si>
  <si>
    <t>MK13</t>
  </si>
  <si>
    <t>MK14</t>
  </si>
  <si>
    <t>MK15</t>
  </si>
  <si>
    <t>: P.24.05.52.2.06</t>
  </si>
  <si>
    <t>: Akuntansi Pengantar 2</t>
  </si>
  <si>
    <t>P.24.05.52.1.06</t>
  </si>
  <si>
    <t>: Perpajakan 2</t>
  </si>
  <si>
    <t>: P.24.01.52.2.07</t>
  </si>
  <si>
    <t>: P.24.05.52.2.08</t>
  </si>
  <si>
    <t>: P.24.05.52.2.09</t>
  </si>
  <si>
    <t>: P.24.05.52.2.10</t>
  </si>
  <si>
    <t>CPMK025</t>
  </si>
  <si>
    <t>Nilai Akhir</t>
  </si>
  <si>
    <t>: 1. Y.2.00.04.114 CAHYANI NUSWANDARI, SE., M.Si., Ak CA</t>
  </si>
  <si>
    <t>: 2.Y.2.92.07.083 Dr. CEACILIA SRIMINDARTI, S.Pd, M.Si</t>
  </si>
  <si>
    <t>: 1. YU.2.16.05.101 SARTIKA WULANDARI, S.Pd., M.Si</t>
  </si>
  <si>
    <t>: Akuntansi Sektor Publik</t>
  </si>
  <si>
    <t>: 2.Y.2.93.01.090 - JAENI, S.E., M.Si., Ak., CA</t>
  </si>
  <si>
    <t>: 1.YU.2.16.05.101 SARTIKA WULANDARI, S.Pd., M.Si</t>
  </si>
  <si>
    <t>: 2.Y.2.87.01.040 - MARYONO, S.E., A.KP, M.M., Ak. CA</t>
  </si>
  <si>
    <t>CPMK21</t>
  </si>
  <si>
    <t>CPMK24</t>
  </si>
  <si>
    <t>CPMK25</t>
  </si>
  <si>
    <t>: Akuntansi Perbankan</t>
  </si>
  <si>
    <t>CPMK23</t>
  </si>
  <si>
    <t>: 1. Y.2.87.01.040 - MARYONO, S.E., A.KP, M.M., Ak. CA</t>
  </si>
  <si>
    <t>: 2. YU.2.03.04.059 RR. TJAHJANING POERWATI, SE., M.Si, Ak, CA</t>
  </si>
  <si>
    <t>: Akuntansi Biaya</t>
  </si>
  <si>
    <t>: 2. YU.2.01.10.038 	IDA NURHAYATI	, SE., M.Si</t>
  </si>
  <si>
    <t>: 1. Y.2.92.07.083 Dr. CEACILIA SRIMINDARTI, S.Pd, M.Si</t>
  </si>
  <si>
    <t>: U.24.05.52.2.04</t>
  </si>
  <si>
    <t>: Pancasila</t>
  </si>
  <si>
    <t>: 1. YU.2.03.07.063 R. SOELISTIJADI, S.SOS, M.Kom.</t>
  </si>
  <si>
    <t>: U.24.05.52.2.05</t>
  </si>
  <si>
    <t>: Bahasa Indonesia</t>
  </si>
  <si>
    <t>SMT-II</t>
  </si>
  <si>
    <t>Y,Z,AB</t>
  </si>
  <si>
    <t>D,N,E,F,R,G,O,S,H,P,T</t>
  </si>
  <si>
    <t>CPMK41</t>
  </si>
  <si>
    <t>CPMK42</t>
  </si>
  <si>
    <t xml:space="preserve">J,K </t>
  </si>
  <si>
    <t>L</t>
  </si>
  <si>
    <t>D,E,F,G,H,N,O,P,R,S,T</t>
  </si>
  <si>
    <t>V,W</t>
  </si>
  <si>
    <t>J,K</t>
  </si>
  <si>
    <t>ALFARIESSA GIFTHA ANDREA P</t>
  </si>
  <si>
    <t>[Mata Kuliah Semester 2]</t>
  </si>
  <si>
    <t>Capaian CPMK Semester 2</t>
  </si>
  <si>
    <t>Capaian CPL Semester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</si>
</sst>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8"/>
      <color theme="1"/>
      <name val="Arial"/>
      <family val="2"/>
    </font>
    <font>
      <sz val="11"/>
      <color theme="1"/>
      <name val="Calibri"/>
      <family val="2"/>
    </font>
    <font>
      <b/>
      <sz val="8"/>
      <color theme="1"/>
      <name val="Times New Roman"/>
      <family val="1"/>
    </font>
    <font>
      <b/>
      <sz val="10"/>
      <color theme="1"/>
      <name val="Arial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b/>
      <sz val="14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6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1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sz val="10"/>
      <color theme="1"/>
      <name val="Arial"/>
      <family val="2"/>
    </font>
    <font>
      <sz val="8"/>
      <name val="Aptos Narrow"/>
      <family val="2"/>
      <scheme val="minor"/>
    </font>
    <font>
      <sz val="11"/>
      <color theme="1"/>
      <name val="Aptos Narrow"/>
      <scheme val="minor"/>
    </font>
    <font>
      <sz val="9"/>
      <color rgb="FF1F1F1F"/>
      <name val="Times New Roman"/>
      <family val="1"/>
    </font>
    <font>
      <sz val="9"/>
      <color theme="1"/>
      <name val="Aptos Narrow"/>
      <family val="2"/>
      <scheme val="minor"/>
    </font>
    <font>
      <b/>
      <sz val="9"/>
      <color theme="0"/>
      <name val="Aptos Narrow"/>
      <family val="2"/>
      <scheme val="minor"/>
    </font>
    <font>
      <sz val="10"/>
      <color theme="1"/>
      <name val="Calibri"/>
      <family val="2"/>
    </font>
    <font>
      <sz val="10"/>
      <color theme="0"/>
      <name val="Aptos Narrow"/>
      <family val="2"/>
      <scheme val="minor"/>
    </font>
    <font>
      <sz val="10"/>
      <name val="Aptos Narrow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84E291"/>
        <bgColor indexed="64"/>
      </patternFill>
    </fill>
    <fill>
      <patternFill patternType="solid">
        <fgColor rgb="FFB3E5A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59999389629810485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73">
    <xf numFmtId="0" fontId="0" fillId="0" borderId="0" xfId="0"/>
    <xf numFmtId="0" fontId="2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/>
    <xf numFmtId="0" fontId="4" fillId="0" borderId="3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wrapText="1"/>
    </xf>
    <xf numFmtId="0" fontId="4" fillId="0" borderId="5" xfId="0" applyFont="1" applyBorder="1" applyAlignment="1">
      <alignment wrapText="1"/>
    </xf>
    <xf numFmtId="0" fontId="4" fillId="0" borderId="4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0" fontId="3" fillId="0" borderId="6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3" xfId="0" applyFont="1" applyBorder="1" applyAlignment="1">
      <alignment vertical="center" wrapText="1"/>
    </xf>
    <xf numFmtId="0" fontId="4" fillId="0" borderId="3" xfId="0" applyFont="1" applyBorder="1" applyAlignment="1">
      <alignment wrapText="1"/>
    </xf>
    <xf numFmtId="0" fontId="0" fillId="0" borderId="4" xfId="0" applyBorder="1" applyAlignment="1">
      <alignment horizontal="right" wrapText="1"/>
    </xf>
    <xf numFmtId="0" fontId="0" fillId="0" borderId="4" xfId="0" applyBorder="1" applyAlignment="1">
      <alignment horizontal="center" wrapText="1"/>
    </xf>
    <xf numFmtId="0" fontId="6" fillId="3" borderId="3" xfId="0" applyFont="1" applyFill="1" applyBorder="1" applyAlignment="1">
      <alignment vertical="center"/>
    </xf>
    <xf numFmtId="0" fontId="6" fillId="3" borderId="3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0" fontId="4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vertical="center"/>
    </xf>
    <xf numFmtId="0" fontId="4" fillId="0" borderId="3" xfId="0" applyFont="1" applyBorder="1"/>
    <xf numFmtId="0" fontId="4" fillId="0" borderId="4" xfId="0" applyFont="1" applyBorder="1"/>
    <xf numFmtId="0" fontId="10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6" borderId="1" xfId="0" applyFill="1" applyBorder="1" applyAlignment="1">
      <alignment horizontal="center"/>
    </xf>
    <xf numFmtId="2" fontId="0" fillId="6" borderId="1" xfId="0" applyNumberFormat="1" applyFill="1" applyBorder="1" applyAlignment="1">
      <alignment horizontal="center"/>
    </xf>
    <xf numFmtId="0" fontId="0" fillId="7" borderId="16" xfId="0" applyFill="1" applyBorder="1" applyAlignment="1">
      <alignment wrapText="1"/>
    </xf>
    <xf numFmtId="0" fontId="0" fillId="7" borderId="6" xfId="0" applyFill="1" applyBorder="1" applyAlignment="1">
      <alignment horizontal="center" wrapText="1"/>
    </xf>
    <xf numFmtId="0" fontId="0" fillId="4" borderId="16" xfId="0" applyFill="1" applyBorder="1" applyAlignment="1">
      <alignment wrapText="1"/>
    </xf>
    <xf numFmtId="0" fontId="0" fillId="4" borderId="6" xfId="0" applyFill="1" applyBorder="1" applyAlignment="1">
      <alignment horizontal="center" wrapText="1"/>
    </xf>
    <xf numFmtId="0" fontId="0" fillId="8" borderId="2" xfId="0" applyFill="1" applyBorder="1" applyAlignment="1">
      <alignment wrapText="1"/>
    </xf>
    <xf numFmtId="0" fontId="0" fillId="9" borderId="3" xfId="0" applyFill="1" applyBorder="1" applyAlignment="1">
      <alignment horizontal="center" wrapText="1"/>
    </xf>
    <xf numFmtId="1" fontId="0" fillId="9" borderId="3" xfId="0" applyNumberFormat="1" applyFill="1" applyBorder="1" applyAlignment="1">
      <alignment horizontal="center" wrapText="1"/>
    </xf>
    <xf numFmtId="0" fontId="0" fillId="10" borderId="2" xfId="0" applyFill="1" applyBorder="1" applyAlignment="1">
      <alignment wrapText="1"/>
    </xf>
    <xf numFmtId="0" fontId="0" fillId="10" borderId="3" xfId="0" applyFill="1" applyBorder="1" applyAlignment="1">
      <alignment horizontal="center" wrapText="1"/>
    </xf>
    <xf numFmtId="0" fontId="0" fillId="0" borderId="2" xfId="0" applyBorder="1" applyAlignment="1">
      <alignment wrapText="1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wrapText="1"/>
    </xf>
    <xf numFmtId="0" fontId="11" fillId="0" borderId="4" xfId="0" applyFont="1" applyBorder="1" applyAlignment="1">
      <alignment wrapText="1"/>
    </xf>
    <xf numFmtId="9" fontId="0" fillId="0" borderId="4" xfId="0" applyNumberFormat="1" applyBorder="1" applyAlignment="1">
      <alignment horizontal="center" vertical="center" wrapText="1"/>
    </xf>
    <xf numFmtId="2" fontId="0" fillId="0" borderId="4" xfId="0" applyNumberFormat="1" applyBorder="1" applyAlignment="1">
      <alignment horizontal="center" wrapText="1"/>
    </xf>
    <xf numFmtId="0" fontId="11" fillId="0" borderId="1" xfId="0" applyFont="1" applyBorder="1" applyAlignment="1">
      <alignment wrapText="1"/>
    </xf>
    <xf numFmtId="2" fontId="0" fillId="0" borderId="1" xfId="0" applyNumberFormat="1" applyBorder="1" applyAlignment="1">
      <alignment horizontal="center" wrapText="1"/>
    </xf>
    <xf numFmtId="0" fontId="12" fillId="0" borderId="0" xfId="0" applyFont="1"/>
    <xf numFmtId="0" fontId="13" fillId="0" borderId="0" xfId="0" applyFont="1"/>
    <xf numFmtId="0" fontId="14" fillId="0" borderId="1" xfId="0" applyFont="1" applyBorder="1" applyAlignment="1">
      <alignment horizontal="center" vertical="center"/>
    </xf>
    <xf numFmtId="0" fontId="0" fillId="13" borderId="1" xfId="0" applyFill="1" applyBorder="1" applyAlignment="1">
      <alignment horizontal="center"/>
    </xf>
    <xf numFmtId="0" fontId="0" fillId="14" borderId="1" xfId="0" applyFill="1" applyBorder="1" applyAlignment="1">
      <alignment horizontal="center"/>
    </xf>
    <xf numFmtId="0" fontId="0" fillId="15" borderId="1" xfId="0" applyFill="1" applyBorder="1" applyAlignment="1">
      <alignment horizontal="center"/>
    </xf>
    <xf numFmtId="0" fontId="0" fillId="16" borderId="1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0" xfId="0" applyAlignment="1">
      <alignment horizontal="right"/>
    </xf>
    <xf numFmtId="0" fontId="0" fillId="0" borderId="15" xfId="0" applyBorder="1" applyAlignment="1">
      <alignment horizontal="center" vertical="center"/>
    </xf>
    <xf numFmtId="2" fontId="0" fillId="11" borderId="1" xfId="0" applyNumberFormat="1" applyFill="1" applyBorder="1" applyAlignment="1">
      <alignment horizontal="center"/>
    </xf>
    <xf numFmtId="2" fontId="0" fillId="13" borderId="1" xfId="0" applyNumberFormat="1" applyFill="1" applyBorder="1" applyAlignment="1">
      <alignment horizontal="center"/>
    </xf>
    <xf numFmtId="2" fontId="0" fillId="14" borderId="1" xfId="0" applyNumberFormat="1" applyFill="1" applyBorder="1" applyAlignment="1">
      <alignment horizontal="center"/>
    </xf>
    <xf numFmtId="2" fontId="0" fillId="15" borderId="1" xfId="0" applyNumberFormat="1" applyFill="1" applyBorder="1" applyAlignment="1">
      <alignment horizontal="center"/>
    </xf>
    <xf numFmtId="2" fontId="0" fillId="16" borderId="1" xfId="0" applyNumberFormat="1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" xfId="1" applyNumberFormat="1" applyFont="1" applyBorder="1" applyAlignment="1">
      <alignment horizontal="center"/>
    </xf>
    <xf numFmtId="2" fontId="0" fillId="0" borderId="1" xfId="0" applyNumberFormat="1" applyBorder="1"/>
    <xf numFmtId="2" fontId="0" fillId="0" borderId="0" xfId="0" applyNumberFormat="1"/>
    <xf numFmtId="2" fontId="0" fillId="0" borderId="4" xfId="0" applyNumberFormat="1" applyBorder="1" applyAlignment="1">
      <alignment horizontal="right" wrapText="1"/>
    </xf>
    <xf numFmtId="2" fontId="0" fillId="0" borderId="4" xfId="1" applyNumberFormat="1" applyFont="1" applyBorder="1" applyAlignment="1">
      <alignment horizontal="right" wrapText="1"/>
    </xf>
    <xf numFmtId="0" fontId="11" fillId="0" borderId="22" xfId="0" applyFont="1" applyBorder="1" applyAlignment="1">
      <alignment wrapText="1"/>
    </xf>
    <xf numFmtId="0" fontId="0" fillId="0" borderId="22" xfId="0" applyBorder="1" applyAlignment="1">
      <alignment horizontal="right" wrapText="1"/>
    </xf>
    <xf numFmtId="9" fontId="0" fillId="0" borderId="1" xfId="1" applyFont="1" applyBorder="1"/>
    <xf numFmtId="0" fontId="2" fillId="2" borderId="1" xfId="0" applyFont="1" applyFill="1" applyBorder="1" applyAlignment="1">
      <alignment horizontal="center" vertical="center"/>
    </xf>
    <xf numFmtId="9" fontId="0" fillId="0" borderId="1" xfId="1" applyFont="1" applyBorder="1" applyAlignment="1">
      <alignment horizontal="center"/>
    </xf>
    <xf numFmtId="9" fontId="0" fillId="0" borderId="1" xfId="1" applyFont="1" applyBorder="1" applyAlignment="1">
      <alignment horizontal="center" vertical="center"/>
    </xf>
    <xf numFmtId="2" fontId="0" fillId="12" borderId="1" xfId="0" applyNumberFormat="1" applyFill="1" applyBorder="1" applyAlignment="1">
      <alignment horizontal="center"/>
    </xf>
    <xf numFmtId="0" fontId="0" fillId="2" borderId="1" xfId="0" applyFill="1" applyBorder="1"/>
    <xf numFmtId="2" fontId="0" fillId="0" borderId="0" xfId="0" applyNumberFormat="1" applyAlignment="1">
      <alignment horizontal="center"/>
    </xf>
    <xf numFmtId="9" fontId="0" fillId="0" borderId="0" xfId="1" applyFont="1" applyAlignment="1">
      <alignment horizontal="center"/>
    </xf>
    <xf numFmtId="2" fontId="0" fillId="0" borderId="1" xfId="0" applyNumberFormat="1" applyBorder="1" applyAlignment="1">
      <alignment horizontal="center" vertical="center"/>
    </xf>
    <xf numFmtId="2" fontId="0" fillId="0" borderId="1" xfId="0" quotePrefix="1" applyNumberFormat="1" applyBorder="1" applyAlignment="1">
      <alignment horizontal="center"/>
    </xf>
    <xf numFmtId="9" fontId="0" fillId="0" borderId="4" xfId="1" applyFont="1" applyBorder="1" applyAlignment="1">
      <alignment horizontal="center" vertical="center" wrapText="1"/>
    </xf>
    <xf numFmtId="0" fontId="0" fillId="0" borderId="1" xfId="1" applyNumberFormat="1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5" fillId="0" borderId="0" xfId="0" applyFont="1"/>
    <xf numFmtId="2" fontId="15" fillId="0" borderId="0" xfId="0" applyNumberFormat="1" applyFont="1"/>
    <xf numFmtId="9" fontId="0" fillId="0" borderId="0" xfId="1" applyFont="1"/>
    <xf numFmtId="9" fontId="0" fillId="0" borderId="1" xfId="1" applyFont="1" applyFill="1" applyBorder="1" applyAlignment="1">
      <alignment horizontal="center"/>
    </xf>
    <xf numFmtId="0" fontId="0" fillId="0" borderId="1" xfId="1" applyNumberFormat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6" fillId="0" borderId="25" xfId="0" applyFont="1" applyBorder="1" applyAlignment="1">
      <alignment vertical="center" wrapText="1"/>
    </xf>
    <xf numFmtId="0" fontId="16" fillId="0" borderId="26" xfId="0" applyFont="1" applyBorder="1" applyAlignment="1">
      <alignment vertical="center" wrapText="1"/>
    </xf>
    <xf numFmtId="0" fontId="16" fillId="0" borderId="27" xfId="0" applyFont="1" applyBorder="1" applyAlignment="1">
      <alignment vertical="center" wrapText="1"/>
    </xf>
    <xf numFmtId="0" fontId="16" fillId="0" borderId="27" xfId="0" applyFont="1" applyBorder="1" applyAlignment="1">
      <alignment horizontal="center" vertical="center" wrapText="1"/>
    </xf>
    <xf numFmtId="0" fontId="17" fillId="0" borderId="27" xfId="0" applyFont="1" applyBorder="1" applyAlignment="1">
      <alignment vertical="center" wrapText="1"/>
    </xf>
    <xf numFmtId="0" fontId="0" fillId="0" borderId="0" xfId="0" applyBorder="1" applyAlignment="1">
      <alignment horizontal="center"/>
    </xf>
    <xf numFmtId="0" fontId="18" fillId="0" borderId="0" xfId="0" applyFont="1"/>
    <xf numFmtId="0" fontId="18" fillId="0" borderId="0" xfId="0" applyFont="1" applyAlignment="1">
      <alignment horizontal="left"/>
    </xf>
    <xf numFmtId="0" fontId="18" fillId="6" borderId="1" xfId="0" applyFont="1" applyFill="1" applyBorder="1" applyAlignment="1">
      <alignment horizontal="center"/>
    </xf>
    <xf numFmtId="0" fontId="19" fillId="2" borderId="1" xfId="0" applyFont="1" applyFill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" xfId="0" applyFont="1" applyBorder="1"/>
    <xf numFmtId="2" fontId="18" fillId="6" borderId="1" xfId="0" applyNumberFormat="1" applyFont="1" applyFill="1" applyBorder="1" applyAlignment="1">
      <alignment horizontal="center"/>
    </xf>
    <xf numFmtId="0" fontId="18" fillId="0" borderId="0" xfId="0" applyFont="1" applyFill="1" applyBorder="1" applyAlignment="1">
      <alignment horizontal="center"/>
    </xf>
    <xf numFmtId="0" fontId="18" fillId="0" borderId="0" xfId="0" applyFont="1" applyBorder="1"/>
    <xf numFmtId="2" fontId="18" fillId="0" borderId="0" xfId="0" applyNumberFormat="1" applyFont="1" applyFill="1" applyBorder="1" applyAlignment="1">
      <alignment horizontal="center"/>
    </xf>
    <xf numFmtId="0" fontId="18" fillId="0" borderId="0" xfId="0" applyFont="1" applyAlignment="1">
      <alignment horizontal="center"/>
    </xf>
    <xf numFmtId="0" fontId="18" fillId="7" borderId="16" xfId="0" applyFont="1" applyFill="1" applyBorder="1" applyAlignment="1">
      <alignment wrapText="1"/>
    </xf>
    <xf numFmtId="0" fontId="18" fillId="7" borderId="6" xfId="0" applyFont="1" applyFill="1" applyBorder="1" applyAlignment="1">
      <alignment horizontal="center" wrapText="1"/>
    </xf>
    <xf numFmtId="0" fontId="18" fillId="4" borderId="16" xfId="0" applyFont="1" applyFill="1" applyBorder="1" applyAlignment="1">
      <alignment wrapText="1"/>
    </xf>
    <xf numFmtId="0" fontId="18" fillId="8" borderId="2" xfId="0" applyFont="1" applyFill="1" applyBorder="1" applyAlignment="1">
      <alignment wrapText="1"/>
    </xf>
    <xf numFmtId="0" fontId="18" fillId="9" borderId="3" xfId="0" applyFont="1" applyFill="1" applyBorder="1" applyAlignment="1">
      <alignment horizontal="center" wrapText="1"/>
    </xf>
    <xf numFmtId="1" fontId="18" fillId="9" borderId="3" xfId="0" applyNumberFormat="1" applyFont="1" applyFill="1" applyBorder="1" applyAlignment="1">
      <alignment horizontal="center" wrapText="1"/>
    </xf>
    <xf numFmtId="0" fontId="18" fillId="10" borderId="2" xfId="0" applyFont="1" applyFill="1" applyBorder="1" applyAlignment="1">
      <alignment wrapText="1"/>
    </xf>
    <xf numFmtId="0" fontId="18" fillId="10" borderId="3" xfId="0" applyFont="1" applyFill="1" applyBorder="1" applyAlignment="1">
      <alignment horizontal="center" wrapText="1"/>
    </xf>
    <xf numFmtId="0" fontId="18" fillId="0" borderId="2" xfId="0" applyFont="1" applyBorder="1" applyAlignment="1">
      <alignment wrapText="1"/>
    </xf>
    <xf numFmtId="0" fontId="18" fillId="0" borderId="3" xfId="0" applyFont="1" applyBorder="1" applyAlignment="1">
      <alignment horizontal="center" wrapText="1"/>
    </xf>
    <xf numFmtId="0" fontId="18" fillId="0" borderId="4" xfId="0" applyFont="1" applyBorder="1" applyAlignment="1">
      <alignment wrapText="1"/>
    </xf>
    <xf numFmtId="0" fontId="20" fillId="0" borderId="4" xfId="0" applyFont="1" applyBorder="1" applyAlignment="1">
      <alignment wrapText="1"/>
    </xf>
    <xf numFmtId="9" fontId="18" fillId="0" borderId="4" xfId="0" applyNumberFormat="1" applyFont="1" applyBorder="1" applyAlignment="1">
      <alignment horizontal="center" vertical="center" wrapText="1"/>
    </xf>
    <xf numFmtId="0" fontId="18" fillId="0" borderId="4" xfId="0" applyFont="1" applyBorder="1" applyAlignment="1">
      <alignment horizontal="center" wrapText="1"/>
    </xf>
    <xf numFmtId="2" fontId="18" fillId="0" borderId="4" xfId="0" applyNumberFormat="1" applyFont="1" applyBorder="1" applyAlignment="1">
      <alignment horizontal="center" wrapText="1"/>
    </xf>
    <xf numFmtId="0" fontId="0" fillId="6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2" fontId="18" fillId="4" borderId="6" xfId="0" applyNumberFormat="1" applyFont="1" applyFill="1" applyBorder="1" applyAlignment="1">
      <alignment horizontal="center" wrapText="1"/>
    </xf>
    <xf numFmtId="0" fontId="0" fillId="0" borderId="0" xfId="0" applyFill="1" applyBorder="1" applyAlignment="1">
      <alignment horizontal="left"/>
    </xf>
    <xf numFmtId="2" fontId="0" fillId="0" borderId="0" xfId="0" applyNumberFormat="1" applyFill="1" applyBorder="1" applyAlignment="1">
      <alignment horizontal="center"/>
    </xf>
    <xf numFmtId="0" fontId="18" fillId="6" borderId="1" xfId="0" applyFont="1" applyFill="1" applyBorder="1" applyAlignment="1">
      <alignment horizontal="left"/>
    </xf>
    <xf numFmtId="0" fontId="18" fillId="2" borderId="0" xfId="0" applyFont="1" applyFill="1"/>
    <xf numFmtId="0" fontId="18" fillId="0" borderId="0" xfId="0" applyFont="1" applyFill="1"/>
    <xf numFmtId="0" fontId="0" fillId="6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0" xfId="0" applyFill="1"/>
    <xf numFmtId="0" fontId="0" fillId="2" borderId="0" xfId="0" applyFill="1" applyAlignment="1">
      <alignment wrapText="1"/>
    </xf>
    <xf numFmtId="0" fontId="0" fillId="2" borderId="0" xfId="0" applyFill="1" applyAlignment="1">
      <alignment horizontal="left"/>
    </xf>
    <xf numFmtId="0" fontId="0" fillId="2" borderId="0" xfId="0" applyFill="1" applyAlignment="1">
      <alignment horizontal="center"/>
    </xf>
    <xf numFmtId="0" fontId="0" fillId="2" borderId="1" xfId="0" applyFill="1" applyBorder="1" applyAlignment="1">
      <alignment horizontal="left"/>
    </xf>
    <xf numFmtId="2" fontId="0" fillId="2" borderId="1" xfId="0" applyNumberFormat="1" applyFill="1" applyBorder="1" applyAlignment="1">
      <alignment horizontal="center"/>
    </xf>
    <xf numFmtId="0" fontId="0" fillId="2" borderId="0" xfId="0" applyFill="1" applyAlignment="1">
      <alignment horizontal="center" wrapText="1"/>
    </xf>
    <xf numFmtId="0" fontId="0" fillId="2" borderId="16" xfId="0" applyFill="1" applyBorder="1" applyAlignment="1">
      <alignment wrapText="1"/>
    </xf>
    <xf numFmtId="0" fontId="0" fillId="2" borderId="6" xfId="0" applyFill="1" applyBorder="1" applyAlignment="1">
      <alignment horizontal="center" wrapText="1"/>
    </xf>
    <xf numFmtId="0" fontId="0" fillId="2" borderId="2" xfId="0" applyFill="1" applyBorder="1" applyAlignment="1">
      <alignment wrapText="1"/>
    </xf>
    <xf numFmtId="0" fontId="0" fillId="2" borderId="3" xfId="0" applyFill="1" applyBorder="1" applyAlignment="1">
      <alignment horizontal="center" wrapText="1"/>
    </xf>
    <xf numFmtId="1" fontId="0" fillId="2" borderId="3" xfId="0" applyNumberFormat="1" applyFill="1" applyBorder="1" applyAlignment="1">
      <alignment horizontal="center" wrapText="1"/>
    </xf>
    <xf numFmtId="0" fontId="0" fillId="2" borderId="4" xfId="0" applyFill="1" applyBorder="1" applyAlignment="1">
      <alignment wrapText="1"/>
    </xf>
    <xf numFmtId="0" fontId="11" fillId="2" borderId="4" xfId="0" applyFont="1" applyFill="1" applyBorder="1" applyAlignment="1">
      <alignment wrapText="1"/>
    </xf>
    <xf numFmtId="9" fontId="0" fillId="2" borderId="4" xfId="0" applyNumberFormat="1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wrapText="1"/>
    </xf>
    <xf numFmtId="2" fontId="0" fillId="2" borderId="4" xfId="0" applyNumberFormat="1" applyFill="1" applyBorder="1" applyAlignment="1">
      <alignment horizontal="center" wrapText="1"/>
    </xf>
    <xf numFmtId="0" fontId="18" fillId="0" borderId="0" xfId="0" applyNumberFormat="1" applyFont="1"/>
    <xf numFmtId="0" fontId="18" fillId="4" borderId="16" xfId="0" applyNumberFormat="1" applyFont="1" applyFill="1" applyBorder="1" applyAlignment="1">
      <alignment wrapText="1"/>
    </xf>
    <xf numFmtId="0" fontId="18" fillId="4" borderId="6" xfId="0" applyNumberFormat="1" applyFont="1" applyFill="1" applyBorder="1" applyAlignment="1">
      <alignment horizontal="center" wrapText="1"/>
    </xf>
    <xf numFmtId="0" fontId="18" fillId="11" borderId="1" xfId="0" applyFont="1" applyFill="1" applyBorder="1" applyAlignment="1">
      <alignment horizontal="center"/>
    </xf>
    <xf numFmtId="0" fontId="18" fillId="12" borderId="1" xfId="0" applyFont="1" applyFill="1" applyBorder="1" applyAlignment="1">
      <alignment horizontal="left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9" fontId="0" fillId="0" borderId="13" xfId="1" applyFont="1" applyBorder="1" applyAlignment="1">
      <alignment horizontal="center" vertical="center"/>
    </xf>
    <xf numFmtId="9" fontId="0" fillId="0" borderId="15" xfId="1" applyFont="1" applyBorder="1" applyAlignment="1">
      <alignment horizontal="center" vertical="center"/>
    </xf>
    <xf numFmtId="9" fontId="0" fillId="2" borderId="1" xfId="1" applyFont="1" applyFill="1" applyBorder="1"/>
    <xf numFmtId="9" fontId="0" fillId="0" borderId="0" xfId="1" applyFont="1" applyBorder="1" applyAlignment="1">
      <alignment horizontal="center" vertical="center" wrapText="1"/>
    </xf>
    <xf numFmtId="9" fontId="0" fillId="0" borderId="0" xfId="1" applyFont="1" applyBorder="1" applyAlignment="1">
      <alignment horizontal="center" vertical="center"/>
    </xf>
    <xf numFmtId="0" fontId="15" fillId="2" borderId="0" xfId="0" applyFont="1" applyFill="1"/>
    <xf numFmtId="2" fontId="0" fillId="2" borderId="1" xfId="0" applyNumberFormat="1" applyFill="1" applyBorder="1"/>
    <xf numFmtId="9" fontId="0" fillId="2" borderId="1" xfId="1" applyFont="1" applyFill="1" applyBorder="1" applyAlignment="1">
      <alignment horizontal="center"/>
    </xf>
    <xf numFmtId="9" fontId="0" fillId="2" borderId="4" xfId="1" applyFont="1" applyFill="1" applyBorder="1" applyAlignment="1">
      <alignment horizontal="center" vertical="center" wrapText="1"/>
    </xf>
    <xf numFmtId="2" fontId="15" fillId="2" borderId="0" xfId="0" applyNumberFormat="1" applyFont="1" applyFill="1"/>
    <xf numFmtId="2" fontId="0" fillId="2" borderId="1" xfId="0" applyNumberFormat="1" applyFill="1" applyBorder="1" applyAlignment="1">
      <alignment horizontal="center" wrapText="1"/>
    </xf>
    <xf numFmtId="9" fontId="0" fillId="2" borderId="1" xfId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1" applyNumberFormat="1" applyFont="1"/>
    <xf numFmtId="0" fontId="0" fillId="0" borderId="13" xfId="1" applyNumberFormat="1" applyFont="1" applyBorder="1" applyAlignment="1">
      <alignment horizontal="center" vertical="center"/>
    </xf>
    <xf numFmtId="0" fontId="0" fillId="0" borderId="15" xfId="1" applyNumberFormat="1" applyFont="1" applyBorder="1" applyAlignment="1">
      <alignment horizontal="center" vertical="center"/>
    </xf>
    <xf numFmtId="0" fontId="0" fillId="2" borderId="1" xfId="1" applyNumberFormat="1" applyFont="1" applyFill="1" applyBorder="1"/>
    <xf numFmtId="2" fontId="22" fillId="0" borderId="1" xfId="1" applyNumberFormat="1" applyFont="1" applyBorder="1" applyAlignment="1">
      <alignment horizontal="center"/>
    </xf>
    <xf numFmtId="2" fontId="0" fillId="0" borderId="1" xfId="1" applyNumberFormat="1" applyFont="1" applyBorder="1"/>
    <xf numFmtId="2" fontId="0" fillId="0" borderId="13" xfId="0" applyNumberFormat="1" applyBorder="1" applyAlignment="1">
      <alignment horizontal="center" vertical="center"/>
    </xf>
    <xf numFmtId="2" fontId="0" fillId="0" borderId="15" xfId="0" applyNumberFormat="1" applyBorder="1" applyAlignment="1">
      <alignment horizontal="center" vertical="center"/>
    </xf>
    <xf numFmtId="9" fontId="22" fillId="0" borderId="1" xfId="1" applyFont="1" applyBorder="1" applyAlignment="1">
      <alignment horizontal="center"/>
    </xf>
    <xf numFmtId="0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NumberFormat="1" applyBorder="1" applyAlignment="1">
      <alignment horizontal="center"/>
    </xf>
    <xf numFmtId="0" fontId="18" fillId="6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23" fillId="0" borderId="2" xfId="0" applyFont="1" applyBorder="1" applyAlignment="1">
      <alignment vertical="center" wrapText="1"/>
    </xf>
    <xf numFmtId="0" fontId="23" fillId="0" borderId="26" xfId="0" applyFont="1" applyBorder="1" applyAlignment="1">
      <alignment vertical="center" wrapText="1"/>
    </xf>
    <xf numFmtId="0" fontId="16" fillId="0" borderId="3" xfId="0" applyFont="1" applyBorder="1" applyAlignment="1">
      <alignment horizontal="center" vertical="center" wrapText="1"/>
    </xf>
    <xf numFmtId="0" fontId="16" fillId="0" borderId="28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4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13" borderId="1" xfId="0" applyFill="1" applyBorder="1" applyAlignment="1">
      <alignment horizontal="center"/>
    </xf>
    <xf numFmtId="0" fontId="0" fillId="16" borderId="1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4" fillId="0" borderId="0" xfId="0" applyFont="1"/>
    <xf numFmtId="0" fontId="24" fillId="0" borderId="0" xfId="0" applyFont="1" applyAlignment="1">
      <alignment horizontal="center"/>
    </xf>
    <xf numFmtId="0" fontId="24" fillId="6" borderId="1" xfId="0" applyFont="1" applyFill="1" applyBorder="1" applyAlignment="1">
      <alignment horizontal="center"/>
    </xf>
    <xf numFmtId="0" fontId="25" fillId="2" borderId="1" xfId="0" applyFont="1" applyFill="1" applyBorder="1" applyAlignment="1">
      <alignment horizontal="center"/>
    </xf>
    <xf numFmtId="2" fontId="24" fillId="6" borderId="1" xfId="0" applyNumberFormat="1" applyFont="1" applyFill="1" applyBorder="1" applyAlignment="1">
      <alignment horizontal="center"/>
    </xf>
    <xf numFmtId="0" fontId="24" fillId="0" borderId="0" xfId="0" applyFont="1" applyFill="1" applyBorder="1" applyAlignment="1">
      <alignment horizontal="center"/>
    </xf>
    <xf numFmtId="0" fontId="24" fillId="7" borderId="6" xfId="0" applyFont="1" applyFill="1" applyBorder="1" applyAlignment="1">
      <alignment horizontal="center" wrapText="1"/>
    </xf>
    <xf numFmtId="0" fontId="24" fillId="9" borderId="3" xfId="0" applyFont="1" applyFill="1" applyBorder="1" applyAlignment="1">
      <alignment horizontal="center" wrapText="1"/>
    </xf>
    <xf numFmtId="0" fontId="24" fillId="10" borderId="3" xfId="0" applyFont="1" applyFill="1" applyBorder="1" applyAlignment="1">
      <alignment horizontal="center" wrapText="1"/>
    </xf>
    <xf numFmtId="0" fontId="24" fillId="0" borderId="3" xfId="0" applyFont="1" applyBorder="1" applyAlignment="1">
      <alignment horizontal="center" wrapText="1"/>
    </xf>
    <xf numFmtId="9" fontId="24" fillId="0" borderId="4" xfId="0" applyNumberFormat="1" applyFont="1" applyBorder="1" applyAlignment="1">
      <alignment horizontal="center" vertical="center" wrapText="1"/>
    </xf>
    <xf numFmtId="0" fontId="24" fillId="0" borderId="4" xfId="0" applyFont="1" applyBorder="1" applyAlignment="1">
      <alignment horizontal="center" wrapText="1"/>
    </xf>
    <xf numFmtId="2" fontId="24" fillId="0" borderId="4" xfId="0" applyNumberFormat="1" applyFont="1" applyBorder="1" applyAlignment="1">
      <alignment horizontal="center" wrapText="1"/>
    </xf>
    <xf numFmtId="0" fontId="24" fillId="4" borderId="6" xfId="0" applyNumberFormat="1" applyFont="1" applyFill="1" applyBorder="1" applyAlignment="1">
      <alignment horizontal="center" wrapText="1"/>
    </xf>
    <xf numFmtId="0" fontId="0" fillId="4" borderId="6" xfId="0" applyNumberFormat="1" applyFill="1" applyBorder="1" applyAlignment="1">
      <alignment horizontal="center" wrapText="1"/>
    </xf>
    <xf numFmtId="0" fontId="26" fillId="0" borderId="0" xfId="0" applyFont="1" applyAlignment="1">
      <alignment vertical="center"/>
    </xf>
    <xf numFmtId="0" fontId="18" fillId="2" borderId="1" xfId="0" applyFont="1" applyFill="1" applyBorder="1" applyAlignment="1">
      <alignment horizontal="center"/>
    </xf>
    <xf numFmtId="0" fontId="18" fillId="2" borderId="1" xfId="0" applyFont="1" applyFill="1" applyBorder="1"/>
    <xf numFmtId="0" fontId="18" fillId="2" borderId="14" xfId="0" applyFont="1" applyFill="1" applyBorder="1" applyAlignment="1">
      <alignment horizontal="center"/>
    </xf>
    <xf numFmtId="0" fontId="0" fillId="2" borderId="22" xfId="0" applyFill="1" applyBorder="1" applyAlignment="1">
      <alignment wrapText="1"/>
    </xf>
    <xf numFmtId="0" fontId="11" fillId="2" borderId="1" xfId="0" applyFont="1" applyFill="1" applyBorder="1" applyAlignment="1">
      <alignment wrapText="1"/>
    </xf>
    <xf numFmtId="9" fontId="0" fillId="2" borderId="1" xfId="0" applyNumberForma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0" fontId="0" fillId="0" borderId="1" xfId="0" quotePrefix="1" applyNumberFormat="1" applyBorder="1" applyAlignment="1">
      <alignment horizontal="center"/>
    </xf>
    <xf numFmtId="1" fontId="0" fillId="0" borderId="1" xfId="1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8" fillId="6" borderId="1" xfId="0" applyFont="1" applyFill="1" applyBorder="1" applyAlignment="1">
      <alignment horizontal="center"/>
    </xf>
    <xf numFmtId="0" fontId="9" fillId="5" borderId="7" xfId="0" applyFont="1" applyFill="1" applyBorder="1" applyAlignment="1">
      <alignment horizontal="right" vertical="center"/>
    </xf>
    <xf numFmtId="0" fontId="9" fillId="5" borderId="8" xfId="0" applyFont="1" applyFill="1" applyBorder="1" applyAlignment="1">
      <alignment horizontal="right" vertical="center"/>
    </xf>
    <xf numFmtId="0" fontId="9" fillId="5" borderId="9" xfId="0" applyFont="1" applyFill="1" applyBorder="1" applyAlignment="1">
      <alignment horizontal="right" vertical="center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24" fillId="6" borderId="11" xfId="0" applyFont="1" applyFill="1" applyBorder="1" applyAlignment="1">
      <alignment horizontal="center"/>
    </xf>
    <xf numFmtId="0" fontId="24" fillId="6" borderId="12" xfId="0" applyFont="1" applyFill="1" applyBorder="1" applyAlignment="1">
      <alignment horizontal="center"/>
    </xf>
    <xf numFmtId="0" fontId="18" fillId="6" borderId="13" xfId="0" applyFont="1" applyFill="1" applyBorder="1" applyAlignment="1">
      <alignment horizontal="center" vertical="center" wrapText="1"/>
    </xf>
    <xf numFmtId="0" fontId="18" fillId="6" borderId="14" xfId="0" applyFont="1" applyFill="1" applyBorder="1" applyAlignment="1">
      <alignment horizontal="center" vertical="center" wrapText="1"/>
    </xf>
    <xf numFmtId="0" fontId="18" fillId="6" borderId="15" xfId="0" applyFont="1" applyFill="1" applyBorder="1" applyAlignment="1">
      <alignment horizontal="center" vertical="center" wrapText="1"/>
    </xf>
    <xf numFmtId="0" fontId="18" fillId="6" borderId="1" xfId="0" applyFont="1" applyFill="1" applyBorder="1" applyAlignment="1">
      <alignment horizontal="center"/>
    </xf>
    <xf numFmtId="0" fontId="0" fillId="6" borderId="17" xfId="0" applyFill="1" applyBorder="1" applyAlignment="1">
      <alignment horizontal="center"/>
    </xf>
    <xf numFmtId="0" fontId="0" fillId="6" borderId="18" xfId="0" applyFill="1" applyBorder="1" applyAlignment="1">
      <alignment horizontal="center"/>
    </xf>
    <xf numFmtId="0" fontId="0" fillId="6" borderId="13" xfId="0" applyFill="1" applyBorder="1" applyAlignment="1">
      <alignment horizontal="center" vertical="center" wrapText="1"/>
    </xf>
    <xf numFmtId="0" fontId="0" fillId="6" borderId="14" xfId="0" applyFill="1" applyBorder="1" applyAlignment="1">
      <alignment horizontal="center" vertical="center" wrapText="1"/>
    </xf>
    <xf numFmtId="0" fontId="0" fillId="6" borderId="15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/>
    </xf>
    <xf numFmtId="0" fontId="0" fillId="6" borderId="20" xfId="0" applyFill="1" applyBorder="1" applyAlignment="1">
      <alignment horizontal="center"/>
    </xf>
    <xf numFmtId="0" fontId="0" fillId="6" borderId="0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18" fillId="6" borderId="1" xfId="0" applyFont="1" applyFill="1" applyBorder="1" applyAlignment="1">
      <alignment horizontal="center" vertical="center" wrapText="1"/>
    </xf>
    <xf numFmtId="0" fontId="18" fillId="6" borderId="17" xfId="0" applyFont="1" applyFill="1" applyBorder="1" applyAlignment="1">
      <alignment horizontal="center"/>
    </xf>
    <xf numFmtId="0" fontId="18" fillId="6" borderId="18" xfId="0" applyFont="1" applyFill="1" applyBorder="1" applyAlignment="1">
      <alignment horizontal="center"/>
    </xf>
    <xf numFmtId="0" fontId="18" fillId="6" borderId="20" xfId="0" applyFont="1" applyFill="1" applyBorder="1" applyAlignment="1">
      <alignment horizontal="center"/>
    </xf>
    <xf numFmtId="0" fontId="18" fillId="6" borderId="0" xfId="0" applyFont="1" applyFill="1" applyAlignment="1">
      <alignment horizontal="center"/>
    </xf>
    <xf numFmtId="0" fontId="0" fillId="6" borderId="11" xfId="0" applyFill="1" applyBorder="1" applyAlignment="1">
      <alignment horizontal="center"/>
    </xf>
    <xf numFmtId="0" fontId="0" fillId="6" borderId="21" xfId="0" applyFill="1" applyBorder="1" applyAlignment="1">
      <alignment horizontal="center"/>
    </xf>
    <xf numFmtId="0" fontId="0" fillId="6" borderId="1" xfId="0" applyFill="1" applyBorder="1" applyAlignment="1">
      <alignment horizontal="center" vertical="center" wrapText="1"/>
    </xf>
    <xf numFmtId="0" fontId="10" fillId="2" borderId="0" xfId="0" applyFont="1" applyFill="1" applyAlignment="1">
      <alignment horizontal="center"/>
    </xf>
    <xf numFmtId="0" fontId="10" fillId="2" borderId="10" xfId="0" applyFont="1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13" xfId="0" applyFill="1" applyBorder="1" applyAlignment="1">
      <alignment horizontal="center" vertical="center" wrapText="1"/>
    </xf>
    <xf numFmtId="0" fontId="0" fillId="2" borderId="14" xfId="0" applyFill="1" applyBorder="1" applyAlignment="1">
      <alignment horizontal="center" vertical="center" wrapText="1"/>
    </xf>
    <xf numFmtId="0" fontId="0" fillId="2" borderId="15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15" xfId="0" applyBorder="1" applyAlignment="1">
      <alignment horizontal="center" vertical="top" wrapText="1"/>
    </xf>
    <xf numFmtId="9" fontId="0" fillId="0" borderId="13" xfId="1" applyFont="1" applyBorder="1" applyAlignment="1">
      <alignment horizontal="center" vertical="center"/>
    </xf>
    <xf numFmtId="9" fontId="0" fillId="0" borderId="15" xfId="1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18" fillId="11" borderId="11" xfId="0" applyFont="1" applyFill="1" applyBorder="1" applyAlignment="1">
      <alignment horizontal="center"/>
    </xf>
    <xf numFmtId="0" fontId="18" fillId="11" borderId="12" xfId="0" applyFont="1" applyFill="1" applyBorder="1" applyAlignment="1">
      <alignment horizontal="center"/>
    </xf>
    <xf numFmtId="0" fontId="18" fillId="11" borderId="21" xfId="0" applyFont="1" applyFill="1" applyBorder="1" applyAlignment="1">
      <alignment horizontal="center"/>
    </xf>
    <xf numFmtId="0" fontId="18" fillId="12" borderId="11" xfId="0" applyFont="1" applyFill="1" applyBorder="1" applyAlignment="1">
      <alignment horizontal="center"/>
    </xf>
    <xf numFmtId="0" fontId="18" fillId="12" borderId="12" xfId="0" applyFont="1" applyFill="1" applyBorder="1" applyAlignment="1">
      <alignment horizontal="center"/>
    </xf>
    <xf numFmtId="0" fontId="18" fillId="12" borderId="21" xfId="0" applyFont="1" applyFill="1" applyBorder="1" applyAlignment="1">
      <alignment horizontal="center"/>
    </xf>
    <xf numFmtId="0" fontId="0" fillId="13" borderId="1" xfId="0" applyFill="1" applyBorder="1" applyAlignment="1">
      <alignment horizontal="center"/>
    </xf>
    <xf numFmtId="0" fontId="0" fillId="14" borderId="11" xfId="0" applyFill="1" applyBorder="1" applyAlignment="1">
      <alignment horizontal="center"/>
    </xf>
    <xf numFmtId="0" fontId="0" fillId="14" borderId="12" xfId="0" applyFill="1" applyBorder="1" applyAlignment="1">
      <alignment horizontal="center"/>
    </xf>
    <xf numFmtId="0" fontId="0" fillId="14" borderId="21" xfId="0" applyFill="1" applyBorder="1" applyAlignment="1">
      <alignment horizontal="center"/>
    </xf>
    <xf numFmtId="0" fontId="0" fillId="15" borderId="11" xfId="0" applyFill="1" applyBorder="1" applyAlignment="1">
      <alignment horizontal="center"/>
    </xf>
    <xf numFmtId="0" fontId="0" fillId="15" borderId="21" xfId="0" applyFill="1" applyBorder="1" applyAlignment="1">
      <alignment horizontal="center"/>
    </xf>
    <xf numFmtId="0" fontId="0" fillId="16" borderId="13" xfId="0" applyFill="1" applyBorder="1" applyAlignment="1">
      <alignment horizontal="center" vertical="center" wrapText="1"/>
    </xf>
    <xf numFmtId="0" fontId="0" fillId="16" borderId="14" xfId="0" applyFill="1" applyBorder="1" applyAlignment="1">
      <alignment horizontal="center" vertical="center" wrapText="1"/>
    </xf>
    <xf numFmtId="0" fontId="0" fillId="16" borderId="15" xfId="0" applyFill="1" applyBorder="1" applyAlignment="1">
      <alignment horizontal="center" vertical="center" wrapText="1"/>
    </xf>
    <xf numFmtId="0" fontId="0" fillId="14" borderId="13" xfId="0" applyFill="1" applyBorder="1" applyAlignment="1">
      <alignment horizontal="center" vertical="center" wrapText="1"/>
    </xf>
    <xf numFmtId="0" fontId="0" fillId="14" borderId="14" xfId="0" applyFill="1" applyBorder="1" applyAlignment="1">
      <alignment horizontal="center" vertical="center" wrapText="1"/>
    </xf>
    <xf numFmtId="0" fontId="0" fillId="14" borderId="15" xfId="0" applyFill="1" applyBorder="1" applyAlignment="1">
      <alignment horizontal="center" vertical="center" wrapText="1"/>
    </xf>
    <xf numFmtId="0" fontId="0" fillId="15" borderId="13" xfId="0" applyFill="1" applyBorder="1" applyAlignment="1">
      <alignment horizontal="center" vertical="center" wrapText="1"/>
    </xf>
    <xf numFmtId="0" fontId="0" fillId="15" borderId="14" xfId="0" applyFill="1" applyBorder="1" applyAlignment="1">
      <alignment horizontal="center" vertical="center" wrapText="1"/>
    </xf>
    <xf numFmtId="0" fontId="0" fillId="15" borderId="15" xfId="0" applyFill="1" applyBorder="1" applyAlignment="1">
      <alignment horizontal="center" vertical="center" wrapText="1"/>
    </xf>
    <xf numFmtId="0" fontId="0" fillId="11" borderId="13" xfId="0" applyFill="1" applyBorder="1" applyAlignment="1">
      <alignment horizontal="center" vertical="center" wrapText="1"/>
    </xf>
    <xf numFmtId="0" fontId="0" fillId="11" borderId="14" xfId="0" applyFill="1" applyBorder="1" applyAlignment="1">
      <alignment horizontal="center" vertical="center" wrapText="1"/>
    </xf>
    <xf numFmtId="0" fontId="0" fillId="11" borderId="15" xfId="0" applyFill="1" applyBorder="1" applyAlignment="1">
      <alignment horizontal="center" vertical="center" wrapText="1"/>
    </xf>
    <xf numFmtId="0" fontId="0" fillId="12" borderId="13" xfId="0" applyFill="1" applyBorder="1" applyAlignment="1">
      <alignment horizontal="center" vertical="center" wrapText="1"/>
    </xf>
    <xf numFmtId="0" fontId="0" fillId="12" borderId="14" xfId="0" applyFill="1" applyBorder="1" applyAlignment="1">
      <alignment horizontal="center" vertical="center" wrapText="1"/>
    </xf>
    <xf numFmtId="0" fontId="0" fillId="12" borderId="15" xfId="0" applyFill="1" applyBorder="1" applyAlignment="1">
      <alignment horizontal="center" vertical="center" wrapText="1"/>
    </xf>
    <xf numFmtId="0" fontId="0" fillId="13" borderId="17" xfId="0" applyFill="1" applyBorder="1" applyAlignment="1">
      <alignment horizontal="center"/>
    </xf>
    <xf numFmtId="0" fontId="0" fillId="13" borderId="18" xfId="0" applyFill="1" applyBorder="1" applyAlignment="1">
      <alignment horizontal="center"/>
    </xf>
    <xf numFmtId="0" fontId="0" fillId="13" borderId="13" xfId="0" applyFill="1" applyBorder="1" applyAlignment="1">
      <alignment horizontal="center" vertical="center" wrapText="1"/>
    </xf>
    <xf numFmtId="0" fontId="0" fillId="13" borderId="14" xfId="0" applyFill="1" applyBorder="1" applyAlignment="1">
      <alignment horizontal="center" vertical="center" wrapText="1"/>
    </xf>
    <xf numFmtId="0" fontId="0" fillId="13" borderId="15" xfId="0" applyFill="1" applyBorder="1" applyAlignment="1">
      <alignment horizontal="center" vertical="center" wrapText="1"/>
    </xf>
    <xf numFmtId="0" fontId="0" fillId="13" borderId="20" xfId="0" applyFill="1" applyBorder="1" applyAlignment="1">
      <alignment horizontal="center"/>
    </xf>
    <xf numFmtId="0" fontId="0" fillId="13" borderId="0" xfId="0" applyFill="1" applyBorder="1" applyAlignment="1">
      <alignment horizontal="center"/>
    </xf>
    <xf numFmtId="0" fontId="0" fillId="13" borderId="0" xfId="0" applyFill="1" applyAlignment="1">
      <alignment horizontal="center"/>
    </xf>
    <xf numFmtId="0" fontId="18" fillId="11" borderId="13" xfId="0" applyFont="1" applyFill="1" applyBorder="1" applyAlignment="1">
      <alignment horizontal="center" vertical="center" wrapText="1"/>
    </xf>
    <xf numFmtId="0" fontId="18" fillId="12" borderId="13" xfId="0" applyFont="1" applyFill="1" applyBorder="1" applyAlignment="1">
      <alignment horizontal="center" vertical="center" wrapText="1"/>
    </xf>
    <xf numFmtId="0" fontId="18" fillId="13" borderId="11" xfId="0" applyFont="1" applyFill="1" applyBorder="1" applyAlignment="1">
      <alignment horizontal="center"/>
    </xf>
    <xf numFmtId="0" fontId="18" fillId="13" borderId="12" xfId="0" applyFont="1" applyFill="1" applyBorder="1" applyAlignment="1">
      <alignment horizontal="center"/>
    </xf>
    <xf numFmtId="0" fontId="18" fillId="13" borderId="13" xfId="0" applyFont="1" applyFill="1" applyBorder="1" applyAlignment="1">
      <alignment horizontal="center" vertical="center" wrapText="1"/>
    </xf>
    <xf numFmtId="0" fontId="18" fillId="14" borderId="11" xfId="0" applyFont="1" applyFill="1" applyBorder="1" applyAlignment="1">
      <alignment horizontal="center"/>
    </xf>
    <xf numFmtId="0" fontId="18" fillId="14" borderId="12" xfId="0" applyFont="1" applyFill="1" applyBorder="1" applyAlignment="1">
      <alignment horizontal="center"/>
    </xf>
    <xf numFmtId="0" fontId="18" fillId="14" borderId="21" xfId="0" applyFont="1" applyFill="1" applyBorder="1" applyAlignment="1">
      <alignment horizontal="center"/>
    </xf>
    <xf numFmtId="0" fontId="18" fillId="14" borderId="13" xfId="0" applyFont="1" applyFill="1" applyBorder="1" applyAlignment="1">
      <alignment horizontal="center" vertical="center" wrapText="1"/>
    </xf>
    <xf numFmtId="0" fontId="18" fillId="15" borderId="11" xfId="0" applyFont="1" applyFill="1" applyBorder="1" applyAlignment="1">
      <alignment horizontal="center"/>
    </xf>
    <xf numFmtId="0" fontId="18" fillId="15" borderId="21" xfId="0" applyFont="1" applyFill="1" applyBorder="1" applyAlignment="1">
      <alignment horizontal="center"/>
    </xf>
    <xf numFmtId="0" fontId="18" fillId="15" borderId="13" xfId="0" applyFont="1" applyFill="1" applyBorder="1" applyAlignment="1">
      <alignment horizontal="center" vertical="center" wrapText="1"/>
    </xf>
    <xf numFmtId="0" fontId="18" fillId="6" borderId="11" xfId="0" applyFont="1" applyFill="1" applyBorder="1" applyAlignment="1">
      <alignment horizontal="center"/>
    </xf>
    <xf numFmtId="0" fontId="18" fillId="6" borderId="12" xfId="0" applyFont="1" applyFill="1" applyBorder="1" applyAlignment="1">
      <alignment horizontal="center"/>
    </xf>
    <xf numFmtId="0" fontId="18" fillId="16" borderId="11" xfId="0" applyFont="1" applyFill="1" applyBorder="1" applyAlignment="1">
      <alignment horizontal="center"/>
    </xf>
    <xf numFmtId="0" fontId="18" fillId="16" borderId="13" xfId="0" applyFont="1" applyFill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/>
    </xf>
    <xf numFmtId="0" fontId="18" fillId="0" borderId="19" xfId="0" applyFont="1" applyBorder="1" applyAlignment="1">
      <alignment horizontal="center" vertical="center"/>
    </xf>
    <xf numFmtId="0" fontId="27" fillId="0" borderId="0" xfId="0" applyFont="1"/>
    <xf numFmtId="0" fontId="18" fillId="11" borderId="14" xfId="0" applyFont="1" applyFill="1" applyBorder="1" applyAlignment="1">
      <alignment horizontal="center" vertical="center" wrapText="1"/>
    </xf>
    <xf numFmtId="0" fontId="18" fillId="12" borderId="14" xfId="0" applyFont="1" applyFill="1" applyBorder="1" applyAlignment="1">
      <alignment horizontal="center" vertical="center" wrapText="1"/>
    </xf>
    <xf numFmtId="0" fontId="18" fillId="13" borderId="14" xfId="0" applyFont="1" applyFill="1" applyBorder="1" applyAlignment="1">
      <alignment horizontal="center" vertical="center" wrapText="1"/>
    </xf>
    <xf numFmtId="0" fontId="18" fillId="14" borderId="14" xfId="0" applyFont="1" applyFill="1" applyBorder="1" applyAlignment="1">
      <alignment horizontal="center" vertical="center" wrapText="1"/>
    </xf>
    <xf numFmtId="0" fontId="18" fillId="15" borderId="14" xfId="0" applyFont="1" applyFill="1" applyBorder="1" applyAlignment="1">
      <alignment horizontal="center" vertical="center" wrapText="1"/>
    </xf>
    <xf numFmtId="0" fontId="18" fillId="16" borderId="14" xfId="0" applyFont="1" applyFill="1" applyBorder="1" applyAlignment="1">
      <alignment horizontal="center" vertical="center" wrapText="1"/>
    </xf>
    <xf numFmtId="0" fontId="18" fillId="0" borderId="23" xfId="0" applyFont="1" applyBorder="1" applyAlignment="1">
      <alignment horizontal="center" vertical="center"/>
    </xf>
    <xf numFmtId="0" fontId="18" fillId="0" borderId="24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/>
    </xf>
    <xf numFmtId="0" fontId="18" fillId="12" borderId="1" xfId="0" applyFont="1" applyFill="1" applyBorder="1" applyAlignment="1">
      <alignment horizontal="center"/>
    </xf>
    <xf numFmtId="0" fontId="18" fillId="13" borderId="1" xfId="0" applyFont="1" applyFill="1" applyBorder="1" applyAlignment="1">
      <alignment horizontal="center"/>
    </xf>
    <xf numFmtId="0" fontId="18" fillId="14" borderId="1" xfId="0" applyFont="1" applyFill="1" applyBorder="1" applyAlignment="1">
      <alignment horizontal="center"/>
    </xf>
    <xf numFmtId="0" fontId="18" fillId="15" borderId="1" xfId="0" applyFont="1" applyFill="1" applyBorder="1" applyAlignment="1">
      <alignment horizontal="center"/>
    </xf>
    <xf numFmtId="0" fontId="18" fillId="16" borderId="1" xfId="0" applyFont="1" applyFill="1" applyBorder="1" applyAlignment="1">
      <alignment horizontal="center"/>
    </xf>
    <xf numFmtId="0" fontId="18" fillId="0" borderId="1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vertical="top" wrapText="1"/>
    </xf>
    <xf numFmtId="0" fontId="18" fillId="0" borderId="13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top" wrapText="1"/>
    </xf>
    <xf numFmtId="0" fontId="18" fillId="0" borderId="0" xfId="0" applyFont="1" applyAlignment="1">
      <alignment horizontal="right"/>
    </xf>
    <xf numFmtId="0" fontId="18" fillId="11" borderId="15" xfId="0" applyFont="1" applyFill="1" applyBorder="1" applyAlignment="1">
      <alignment horizontal="center" vertical="center" wrapText="1"/>
    </xf>
    <xf numFmtId="0" fontId="18" fillId="12" borderId="15" xfId="0" applyFont="1" applyFill="1" applyBorder="1" applyAlignment="1">
      <alignment horizontal="center" vertical="center" wrapText="1"/>
    </xf>
    <xf numFmtId="0" fontId="18" fillId="13" borderId="15" xfId="0" applyFont="1" applyFill="1" applyBorder="1" applyAlignment="1">
      <alignment horizontal="center" vertical="center" wrapText="1"/>
    </xf>
    <xf numFmtId="0" fontId="18" fillId="14" borderId="15" xfId="0" applyFont="1" applyFill="1" applyBorder="1" applyAlignment="1">
      <alignment horizontal="center" vertical="center" wrapText="1"/>
    </xf>
    <xf numFmtId="0" fontId="18" fillId="15" borderId="15" xfId="0" applyFont="1" applyFill="1" applyBorder="1" applyAlignment="1">
      <alignment horizontal="center" vertical="center" wrapText="1"/>
    </xf>
    <xf numFmtId="0" fontId="18" fillId="16" borderId="15" xfId="0" applyFont="1" applyFill="1" applyBorder="1" applyAlignment="1">
      <alignment horizontal="center" vertical="center" wrapText="1"/>
    </xf>
    <xf numFmtId="0" fontId="18" fillId="0" borderId="15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top" wrapText="1"/>
    </xf>
    <xf numFmtId="0" fontId="24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5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8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4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3.xml"/><Relationship Id="rId20" Type="http://schemas.openxmlformats.org/officeDocument/2006/relationships/externalLink" Target="externalLinks/externalLink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23" Type="http://schemas.openxmlformats.org/officeDocument/2006/relationships/externalLink" Target="externalLinks/externalLink10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Relationship Id="rId22" Type="http://schemas.openxmlformats.org/officeDocument/2006/relationships/externalLink" Target="externalLinks/externalLink9.xml"/><Relationship Id="rId27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Capaian</a:t>
            </a:r>
            <a:r>
              <a:rPr lang="en-ID" baseline="0"/>
              <a:t> Rata-rata CPL - [Semester I]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'[10]Penguk.MK-CPL-I'!$C$44:$C$57</c:f>
              <c:strCache>
                <c:ptCount val="14"/>
                <c:pt idx="0">
                  <c:v>CPL01</c:v>
                </c:pt>
                <c:pt idx="1">
                  <c:v>CPL02</c:v>
                </c:pt>
                <c:pt idx="2">
                  <c:v>CPL03</c:v>
                </c:pt>
                <c:pt idx="3">
                  <c:v>CPL04</c:v>
                </c:pt>
                <c:pt idx="4">
                  <c:v>CPL05</c:v>
                </c:pt>
                <c:pt idx="5">
                  <c:v>CPL06</c:v>
                </c:pt>
                <c:pt idx="6">
                  <c:v>CPL07</c:v>
                </c:pt>
                <c:pt idx="7">
                  <c:v>CPL08</c:v>
                </c:pt>
                <c:pt idx="8">
                  <c:v>CPL09</c:v>
                </c:pt>
                <c:pt idx="9">
                  <c:v>CPL10</c:v>
                </c:pt>
                <c:pt idx="10">
                  <c:v>CPL11</c:v>
                </c:pt>
                <c:pt idx="11">
                  <c:v>CPL12</c:v>
                </c:pt>
                <c:pt idx="12">
                  <c:v>CPL13</c:v>
                </c:pt>
                <c:pt idx="13">
                  <c:v>CPL14</c:v>
                </c:pt>
              </c:strCache>
            </c:strRef>
          </c:cat>
          <c:val>
            <c:numRef>
              <c:f>'[10]Penguk.MK-CPL-I'!$F$44:$F$57</c:f>
              <c:numCache>
                <c:formatCode>General</c:formatCode>
                <c:ptCount val="14"/>
                <c:pt idx="0">
                  <c:v>0.8274545219638243</c:v>
                </c:pt>
                <c:pt idx="1">
                  <c:v>0.77250000000000019</c:v>
                </c:pt>
                <c:pt idx="2">
                  <c:v>0.7645264705882352</c:v>
                </c:pt>
                <c:pt idx="3">
                  <c:v>0.79136842105263161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0.75394705882352941</c:v>
                </c:pt>
                <c:pt idx="9">
                  <c:v>0.80412777777777755</c:v>
                </c:pt>
                <c:pt idx="10">
                  <c:v>0</c:v>
                </c:pt>
                <c:pt idx="11">
                  <c:v>0.73652777777777778</c:v>
                </c:pt>
                <c:pt idx="12">
                  <c:v>0.87748405797101459</c:v>
                </c:pt>
                <c:pt idx="13">
                  <c:v>0.71722222222222209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D0-4FDE-869D-00AEF36EFD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4752095"/>
        <c:axId val="754734815"/>
      </c:radarChart>
      <c:catAx>
        <c:axId val="754752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4734815"/>
        <c:crosses val="autoZero"/>
        <c:auto val="1"/>
        <c:lblAlgn val="ctr"/>
        <c:lblOffset val="100"/>
        <c:noMultiLvlLbl val="0"/>
      </c:catAx>
      <c:valAx>
        <c:axId val="754734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47520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Tingkat Rata-rata Capaian CPMK</a:t>
            </a:r>
            <a:r>
              <a:rPr lang="en-ID" baseline="0"/>
              <a:t> Matakuliah Semester I Angkatan 2024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'Penguk.CPMK-Smt1'!$D$64:$D$119</c:f>
              <c:strCache>
                <c:ptCount val="56"/>
                <c:pt idx="0">
                  <c:v>CPMK011</c:v>
                </c:pt>
                <c:pt idx="1">
                  <c:v>CPMK012</c:v>
                </c:pt>
                <c:pt idx="2">
                  <c:v>CPMK013</c:v>
                </c:pt>
                <c:pt idx="3">
                  <c:v>CPMK021</c:v>
                </c:pt>
                <c:pt idx="4">
                  <c:v>CPMK022</c:v>
                </c:pt>
                <c:pt idx="5">
                  <c:v>CPMK023</c:v>
                </c:pt>
                <c:pt idx="6">
                  <c:v>CPMK024</c:v>
                </c:pt>
                <c:pt idx="7">
                  <c:v>CPMK025</c:v>
                </c:pt>
                <c:pt idx="8">
                  <c:v>CPMK031</c:v>
                </c:pt>
                <c:pt idx="9">
                  <c:v>CPMK032</c:v>
                </c:pt>
                <c:pt idx="10">
                  <c:v>CPMK033</c:v>
                </c:pt>
                <c:pt idx="11">
                  <c:v>CPMK041</c:v>
                </c:pt>
                <c:pt idx="12">
                  <c:v>CPMK042</c:v>
                </c:pt>
                <c:pt idx="13">
                  <c:v>CPMK043</c:v>
                </c:pt>
                <c:pt idx="14">
                  <c:v>CPMK044</c:v>
                </c:pt>
                <c:pt idx="15">
                  <c:v>CPMK045</c:v>
                </c:pt>
                <c:pt idx="16">
                  <c:v>CPMK046</c:v>
                </c:pt>
                <c:pt idx="17">
                  <c:v>CPMK047</c:v>
                </c:pt>
                <c:pt idx="18">
                  <c:v>CPMK051</c:v>
                </c:pt>
                <c:pt idx="19">
                  <c:v>CPMK052</c:v>
                </c:pt>
                <c:pt idx="20">
                  <c:v>CPMK053</c:v>
                </c:pt>
                <c:pt idx="21">
                  <c:v>CPMK054</c:v>
                </c:pt>
                <c:pt idx="22">
                  <c:v>CPMK055</c:v>
                </c:pt>
                <c:pt idx="23">
                  <c:v>CPMK056</c:v>
                </c:pt>
                <c:pt idx="24">
                  <c:v>CPMK057</c:v>
                </c:pt>
                <c:pt idx="25">
                  <c:v>CPMK058</c:v>
                </c:pt>
                <c:pt idx="26">
                  <c:v>CPMK061</c:v>
                </c:pt>
                <c:pt idx="27">
                  <c:v>CPMK062</c:v>
                </c:pt>
                <c:pt idx="28">
                  <c:v>CPMK063</c:v>
                </c:pt>
                <c:pt idx="29">
                  <c:v>CPMK064</c:v>
                </c:pt>
                <c:pt idx="30">
                  <c:v>CPMK071</c:v>
                </c:pt>
                <c:pt idx="31">
                  <c:v>CPMK072</c:v>
                </c:pt>
                <c:pt idx="32">
                  <c:v>CPMK073</c:v>
                </c:pt>
                <c:pt idx="33">
                  <c:v>CPMK074</c:v>
                </c:pt>
                <c:pt idx="34">
                  <c:v>CPMK075</c:v>
                </c:pt>
                <c:pt idx="35">
                  <c:v>CPMK076</c:v>
                </c:pt>
                <c:pt idx="36">
                  <c:v>CPMK081</c:v>
                </c:pt>
                <c:pt idx="37">
                  <c:v>CPMK082</c:v>
                </c:pt>
                <c:pt idx="38">
                  <c:v>CPMK083</c:v>
                </c:pt>
                <c:pt idx="39">
                  <c:v>CPMK091</c:v>
                </c:pt>
                <c:pt idx="40">
                  <c:v>CPMK092</c:v>
                </c:pt>
                <c:pt idx="41">
                  <c:v>CPMK093</c:v>
                </c:pt>
                <c:pt idx="42">
                  <c:v>CPMK101</c:v>
                </c:pt>
                <c:pt idx="43">
                  <c:v>CPMK102</c:v>
                </c:pt>
                <c:pt idx="44">
                  <c:v>CPMK103</c:v>
                </c:pt>
                <c:pt idx="45">
                  <c:v>CPMK104</c:v>
                </c:pt>
                <c:pt idx="46">
                  <c:v>CPMK105</c:v>
                </c:pt>
                <c:pt idx="47">
                  <c:v>CPMK111</c:v>
                </c:pt>
                <c:pt idx="48">
                  <c:v>CPMK112</c:v>
                </c:pt>
                <c:pt idx="49">
                  <c:v>CPMK113</c:v>
                </c:pt>
                <c:pt idx="50">
                  <c:v>CPMK114</c:v>
                </c:pt>
                <c:pt idx="51">
                  <c:v>CPMK115</c:v>
                </c:pt>
                <c:pt idx="52">
                  <c:v>CPMK121</c:v>
                </c:pt>
                <c:pt idx="53">
                  <c:v>CPMK122</c:v>
                </c:pt>
                <c:pt idx="54">
                  <c:v>CPMK123</c:v>
                </c:pt>
                <c:pt idx="55">
                  <c:v>CPMK124</c:v>
                </c:pt>
              </c:strCache>
            </c:strRef>
          </c:cat>
          <c:val>
            <c:numRef>
              <c:f>'Penguk.CPMK-Smt1'!$G$64:$G$119</c:f>
              <c:numCache>
                <c:formatCode>0%</c:formatCode>
                <c:ptCount val="56"/>
                <c:pt idx="0">
                  <c:v>0.80689062500000008</c:v>
                </c:pt>
                <c:pt idx="1">
                  <c:v>0.81898437500000021</c:v>
                </c:pt>
                <c:pt idx="3">
                  <c:v>0.76335843653250768</c:v>
                </c:pt>
                <c:pt idx="4">
                  <c:v>0.72758823529411765</c:v>
                </c:pt>
                <c:pt idx="5">
                  <c:v>0.77825810616929714</c:v>
                </c:pt>
                <c:pt idx="6">
                  <c:v>0.75871984486102129</c:v>
                </c:pt>
                <c:pt idx="7">
                  <c:v>0.73545145863223327</c:v>
                </c:pt>
                <c:pt idx="11">
                  <c:v>0.75985294117647073</c:v>
                </c:pt>
                <c:pt idx="12">
                  <c:v>0.71244117647058847</c:v>
                </c:pt>
                <c:pt idx="42" formatCode="0.00">
                  <c:v>0.78508529411764671</c:v>
                </c:pt>
                <c:pt idx="45" formatCode="0.00">
                  <c:v>0.76944117647058796</c:v>
                </c:pt>
                <c:pt idx="47" formatCode="0.00">
                  <c:v>0.73606470588235262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13-409E-A902-F64CA88D0B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3116447"/>
        <c:axId val="2133114527"/>
      </c:radarChart>
      <c:catAx>
        <c:axId val="2133116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3114527"/>
        <c:crosses val="autoZero"/>
        <c:auto val="1"/>
        <c:lblAlgn val="ctr"/>
        <c:lblOffset val="100"/>
        <c:noMultiLvlLbl val="0"/>
      </c:catAx>
      <c:valAx>
        <c:axId val="2133114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31164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Persentase</a:t>
            </a:r>
            <a:r>
              <a:rPr lang="en-ID" baseline="0"/>
              <a:t> Tingkat Ketercapaian CPMK Program Studi Semester I Angkatan 2024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'Penguk.CPMK-Smt1'!$D$64:$D$119</c:f>
              <c:strCache>
                <c:ptCount val="56"/>
                <c:pt idx="0">
                  <c:v>CPMK011</c:v>
                </c:pt>
                <c:pt idx="1">
                  <c:v>CPMK012</c:v>
                </c:pt>
                <c:pt idx="2">
                  <c:v>CPMK013</c:v>
                </c:pt>
                <c:pt idx="3">
                  <c:v>CPMK021</c:v>
                </c:pt>
                <c:pt idx="4">
                  <c:v>CPMK022</c:v>
                </c:pt>
                <c:pt idx="5">
                  <c:v>CPMK023</c:v>
                </c:pt>
                <c:pt idx="6">
                  <c:v>CPMK024</c:v>
                </c:pt>
                <c:pt idx="7">
                  <c:v>CPMK025</c:v>
                </c:pt>
                <c:pt idx="8">
                  <c:v>CPMK031</c:v>
                </c:pt>
                <c:pt idx="9">
                  <c:v>CPMK032</c:v>
                </c:pt>
                <c:pt idx="10">
                  <c:v>CPMK033</c:v>
                </c:pt>
                <c:pt idx="11">
                  <c:v>CPMK041</c:v>
                </c:pt>
                <c:pt idx="12">
                  <c:v>CPMK042</c:v>
                </c:pt>
                <c:pt idx="13">
                  <c:v>CPMK043</c:v>
                </c:pt>
                <c:pt idx="14">
                  <c:v>CPMK044</c:v>
                </c:pt>
                <c:pt idx="15">
                  <c:v>CPMK045</c:v>
                </c:pt>
                <c:pt idx="16">
                  <c:v>CPMK046</c:v>
                </c:pt>
                <c:pt idx="17">
                  <c:v>CPMK047</c:v>
                </c:pt>
                <c:pt idx="18">
                  <c:v>CPMK051</c:v>
                </c:pt>
                <c:pt idx="19">
                  <c:v>CPMK052</c:v>
                </c:pt>
                <c:pt idx="20">
                  <c:v>CPMK053</c:v>
                </c:pt>
                <c:pt idx="21">
                  <c:v>CPMK054</c:v>
                </c:pt>
                <c:pt idx="22">
                  <c:v>CPMK055</c:v>
                </c:pt>
                <c:pt idx="23">
                  <c:v>CPMK056</c:v>
                </c:pt>
                <c:pt idx="24">
                  <c:v>CPMK057</c:v>
                </c:pt>
                <c:pt idx="25">
                  <c:v>CPMK058</c:v>
                </c:pt>
                <c:pt idx="26">
                  <c:v>CPMK061</c:v>
                </c:pt>
                <c:pt idx="27">
                  <c:v>CPMK062</c:v>
                </c:pt>
                <c:pt idx="28">
                  <c:v>CPMK063</c:v>
                </c:pt>
                <c:pt idx="29">
                  <c:v>CPMK064</c:v>
                </c:pt>
                <c:pt idx="30">
                  <c:v>CPMK071</c:v>
                </c:pt>
                <c:pt idx="31">
                  <c:v>CPMK072</c:v>
                </c:pt>
                <c:pt idx="32">
                  <c:v>CPMK073</c:v>
                </c:pt>
                <c:pt idx="33">
                  <c:v>CPMK074</c:v>
                </c:pt>
                <c:pt idx="34">
                  <c:v>CPMK075</c:v>
                </c:pt>
                <c:pt idx="35">
                  <c:v>CPMK076</c:v>
                </c:pt>
                <c:pt idx="36">
                  <c:v>CPMK081</c:v>
                </c:pt>
                <c:pt idx="37">
                  <c:v>CPMK082</c:v>
                </c:pt>
                <c:pt idx="38">
                  <c:v>CPMK083</c:v>
                </c:pt>
                <c:pt idx="39">
                  <c:v>CPMK091</c:v>
                </c:pt>
                <c:pt idx="40">
                  <c:v>CPMK092</c:v>
                </c:pt>
                <c:pt idx="41">
                  <c:v>CPMK093</c:v>
                </c:pt>
                <c:pt idx="42">
                  <c:v>CPMK101</c:v>
                </c:pt>
                <c:pt idx="43">
                  <c:v>CPMK102</c:v>
                </c:pt>
                <c:pt idx="44">
                  <c:v>CPMK103</c:v>
                </c:pt>
                <c:pt idx="45">
                  <c:v>CPMK104</c:v>
                </c:pt>
                <c:pt idx="46">
                  <c:v>CPMK105</c:v>
                </c:pt>
                <c:pt idx="47">
                  <c:v>CPMK111</c:v>
                </c:pt>
                <c:pt idx="48">
                  <c:v>CPMK112</c:v>
                </c:pt>
                <c:pt idx="49">
                  <c:v>CPMK113</c:v>
                </c:pt>
                <c:pt idx="50">
                  <c:v>CPMK114</c:v>
                </c:pt>
                <c:pt idx="51">
                  <c:v>CPMK115</c:v>
                </c:pt>
                <c:pt idx="52">
                  <c:v>CPMK121</c:v>
                </c:pt>
                <c:pt idx="53">
                  <c:v>CPMK122</c:v>
                </c:pt>
                <c:pt idx="54">
                  <c:v>CPMK123</c:v>
                </c:pt>
                <c:pt idx="55">
                  <c:v>CPMK124</c:v>
                </c:pt>
              </c:strCache>
            </c:strRef>
          </c:cat>
          <c:val>
            <c:numRef>
              <c:f>'Penguk.CPMK-Smt1'!$K$64:$K$119</c:f>
              <c:numCache>
                <c:formatCode>0%</c:formatCode>
                <c:ptCount val="56"/>
                <c:pt idx="0">
                  <c:v>0.94117647058823528</c:v>
                </c:pt>
                <c:pt idx="1">
                  <c:v>0.94117647058823528</c:v>
                </c:pt>
                <c:pt idx="2">
                  <c:v>0</c:v>
                </c:pt>
                <c:pt idx="3">
                  <c:v>0.79411764705882348</c:v>
                </c:pt>
                <c:pt idx="4">
                  <c:v>0.79411764705882348</c:v>
                </c:pt>
                <c:pt idx="5">
                  <c:v>0.79411764705882348</c:v>
                </c:pt>
                <c:pt idx="6">
                  <c:v>0.88235294117647056</c:v>
                </c:pt>
                <c:pt idx="7">
                  <c:v>0.79411764705882348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0.79411764705882348</c:v>
                </c:pt>
                <c:pt idx="12">
                  <c:v>0.79411764705882348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0.97058823529411764</c:v>
                </c:pt>
                <c:pt idx="43">
                  <c:v>0</c:v>
                </c:pt>
                <c:pt idx="44">
                  <c:v>0</c:v>
                </c:pt>
                <c:pt idx="45">
                  <c:v>0.91176470588235292</c:v>
                </c:pt>
                <c:pt idx="46">
                  <c:v>0</c:v>
                </c:pt>
                <c:pt idx="47">
                  <c:v>0.88235294117647056</c:v>
                </c:pt>
                <c:pt idx="55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EF-4FDE-9940-705CA82166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3107807"/>
        <c:axId val="2133113567"/>
      </c:radarChart>
      <c:catAx>
        <c:axId val="2133107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3113567"/>
        <c:crosses val="autoZero"/>
        <c:auto val="1"/>
        <c:lblAlgn val="ctr"/>
        <c:lblOffset val="100"/>
        <c:noMultiLvlLbl val="0"/>
      </c:catAx>
      <c:valAx>
        <c:axId val="2133113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31078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Tingkat Rata-rata Capaian CPMK Matakuliah Semester I Angkatan 2024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1"/>
        <c:ser>
          <c:idx val="0"/>
          <c:order val="0"/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1-136C-403E-83FA-5CF81D40A128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3-136C-403E-83FA-5CF81D40A128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5-136C-403E-83FA-5CF81D40A128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7-136C-403E-83FA-5CF81D40A128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9-136C-403E-83FA-5CF81D40A128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B-136C-403E-83FA-5CF81D40A128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D-136C-403E-83FA-5CF81D40A128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F-136C-403E-83FA-5CF81D40A128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1-136C-403E-83FA-5CF81D40A128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3-136C-403E-83FA-5CF81D40A128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5-136C-403E-83FA-5CF81D40A128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7-136C-403E-83FA-5CF81D40A128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9-136C-403E-83FA-5CF81D40A128}"/>
              </c:ext>
            </c:extLst>
          </c:dPt>
          <c:dPt>
            <c:idx val="13"/>
            <c:invertIfNegative val="0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B-136C-403E-83FA-5CF81D40A128}"/>
              </c:ext>
            </c:extLst>
          </c:dPt>
          <c:dPt>
            <c:idx val="14"/>
            <c:invertIfNegative val="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D-136C-403E-83FA-5CF81D40A128}"/>
              </c:ext>
            </c:extLst>
          </c:dPt>
          <c:dPt>
            <c:idx val="15"/>
            <c:invertIfNegative val="0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F-136C-403E-83FA-5CF81D40A128}"/>
              </c:ext>
            </c:extLst>
          </c:dPt>
          <c:dPt>
            <c:idx val="16"/>
            <c:invertIfNegative val="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21-136C-403E-83FA-5CF81D40A128}"/>
              </c:ext>
            </c:extLst>
          </c:dPt>
          <c:dPt>
            <c:idx val="17"/>
            <c:invertIfNegative val="0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23-136C-403E-83FA-5CF81D40A128}"/>
              </c:ext>
            </c:extLst>
          </c:dPt>
          <c:dPt>
            <c:idx val="18"/>
            <c:invertIfNegative val="0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25-136C-403E-83FA-5CF81D40A128}"/>
              </c:ext>
            </c:extLst>
          </c:dPt>
          <c:dPt>
            <c:idx val="19"/>
            <c:invertIfNegative val="0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27-136C-403E-83FA-5CF81D40A128}"/>
              </c:ext>
            </c:extLst>
          </c:dPt>
          <c:dPt>
            <c:idx val="20"/>
            <c:invertIfNegative val="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29-136C-403E-83FA-5CF81D40A128}"/>
              </c:ext>
            </c:extLst>
          </c:dPt>
          <c:dPt>
            <c:idx val="21"/>
            <c:invertIfNegative val="0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2B-136C-403E-83FA-5CF81D40A128}"/>
              </c:ext>
            </c:extLst>
          </c:dPt>
          <c:dPt>
            <c:idx val="22"/>
            <c:invertIfNegative val="0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2D-136C-403E-83FA-5CF81D40A128}"/>
              </c:ext>
            </c:extLst>
          </c:dPt>
          <c:dPt>
            <c:idx val="23"/>
            <c:invertIfNegative val="0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2F-136C-403E-83FA-5CF81D40A128}"/>
              </c:ext>
            </c:extLst>
          </c:dPt>
          <c:dPt>
            <c:idx val="24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31-136C-403E-83FA-5CF81D40A128}"/>
              </c:ext>
            </c:extLst>
          </c:dPt>
          <c:dPt>
            <c:idx val="25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33-136C-403E-83FA-5CF81D40A128}"/>
              </c:ext>
            </c:extLst>
          </c:dPt>
          <c:dPt>
            <c:idx val="26"/>
            <c:invertIfNegative val="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35-136C-403E-83FA-5CF81D40A128}"/>
              </c:ext>
            </c:extLst>
          </c:dPt>
          <c:dPt>
            <c:idx val="27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37-136C-403E-83FA-5CF81D40A128}"/>
              </c:ext>
            </c:extLst>
          </c:dPt>
          <c:dPt>
            <c:idx val="28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39-136C-403E-83FA-5CF81D40A128}"/>
              </c:ext>
            </c:extLst>
          </c:dPt>
          <c:dPt>
            <c:idx val="29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3B-136C-403E-83FA-5CF81D40A128}"/>
              </c:ext>
            </c:extLst>
          </c:dPt>
          <c:dPt>
            <c:idx val="30"/>
            <c:invertIfNegative val="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3D-136C-403E-83FA-5CF81D40A128}"/>
              </c:ext>
            </c:extLst>
          </c:dPt>
          <c:dPt>
            <c:idx val="31"/>
            <c:invertIfNegative val="0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3F-136C-403E-83FA-5CF81D40A128}"/>
              </c:ext>
            </c:extLst>
          </c:dPt>
          <c:dPt>
            <c:idx val="32"/>
            <c:invertIfNegative val="0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41-136C-403E-83FA-5CF81D40A128}"/>
              </c:ext>
            </c:extLst>
          </c:dPt>
          <c:dPt>
            <c:idx val="33"/>
            <c:invertIfNegative val="0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43-136C-403E-83FA-5CF81D40A128}"/>
              </c:ext>
            </c:extLst>
          </c:dPt>
          <c:dPt>
            <c:idx val="34"/>
            <c:invertIfNegative val="0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45-136C-403E-83FA-5CF81D40A128}"/>
              </c:ext>
            </c:extLst>
          </c:dPt>
          <c:dPt>
            <c:idx val="35"/>
            <c:invertIfNegative val="0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47-136C-403E-83FA-5CF81D40A128}"/>
              </c:ext>
            </c:extLst>
          </c:dPt>
          <c:dPt>
            <c:idx val="36"/>
            <c:invertIfNegative val="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49-279B-4C60-861B-4D62F01EEC89}"/>
              </c:ext>
            </c:extLst>
          </c:dPt>
          <c:dPt>
            <c:idx val="37"/>
            <c:invertIfNegative val="0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4B-279B-4C60-861B-4D62F01EEC89}"/>
              </c:ext>
            </c:extLst>
          </c:dPt>
          <c:dPt>
            <c:idx val="38"/>
            <c:invertIfNegative val="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4D-279B-4C60-861B-4D62F01EEC89}"/>
              </c:ext>
            </c:extLst>
          </c:dPt>
          <c:dPt>
            <c:idx val="39"/>
            <c:invertIfNegative val="0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4F-279B-4C60-861B-4D62F01EEC89}"/>
              </c:ext>
            </c:extLst>
          </c:dPt>
          <c:dPt>
            <c:idx val="40"/>
            <c:invertIfNegative val="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51-279B-4C60-861B-4D62F01EEC89}"/>
              </c:ext>
            </c:extLst>
          </c:dPt>
          <c:dPt>
            <c:idx val="41"/>
            <c:invertIfNegative val="0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53-279B-4C60-861B-4D62F01EEC89}"/>
              </c:ext>
            </c:extLst>
          </c:dPt>
          <c:dPt>
            <c:idx val="42"/>
            <c:invertIfNegative val="0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55-279B-4C60-861B-4D62F01EEC89}"/>
              </c:ext>
            </c:extLst>
          </c:dPt>
          <c:dPt>
            <c:idx val="43"/>
            <c:invertIfNegative val="0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57-279B-4C60-861B-4D62F01EEC89}"/>
              </c:ext>
            </c:extLst>
          </c:dPt>
          <c:dPt>
            <c:idx val="44"/>
            <c:invertIfNegative val="0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59-279B-4C60-861B-4D62F01EEC89}"/>
              </c:ext>
            </c:extLst>
          </c:dPt>
          <c:dPt>
            <c:idx val="45"/>
            <c:invertIfNegative val="0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5B-279B-4C60-861B-4D62F01EEC89}"/>
              </c:ext>
            </c:extLst>
          </c:dPt>
          <c:dPt>
            <c:idx val="46"/>
            <c:invertIfNegative val="0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5D-279B-4C60-861B-4D62F01EEC89}"/>
              </c:ext>
            </c:extLst>
          </c:dPt>
          <c:dPt>
            <c:idx val="47"/>
            <c:invertIfNegative val="0"/>
            <c:bubble3D val="0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5F-279B-4C60-861B-4D62F01EEC89}"/>
              </c:ext>
            </c:extLst>
          </c:dPt>
          <c:dPt>
            <c:idx val="48"/>
            <c:invertIfNegative val="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61-279B-4C60-861B-4D62F01EEC89}"/>
              </c:ext>
            </c:extLst>
          </c:dPt>
          <c:dPt>
            <c:idx val="49"/>
            <c:invertIfNegative val="0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63-279B-4C60-861B-4D62F01EEC89}"/>
              </c:ext>
            </c:extLst>
          </c:dPt>
          <c:dPt>
            <c:idx val="50"/>
            <c:invertIfNegative val="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65-279B-4C60-861B-4D62F01EEC89}"/>
              </c:ext>
            </c:extLst>
          </c:dPt>
          <c:dPt>
            <c:idx val="51"/>
            <c:invertIfNegative val="0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67-279B-4C60-861B-4D62F01EEC89}"/>
              </c:ext>
            </c:extLst>
          </c:dPt>
          <c:dPt>
            <c:idx val="52"/>
            <c:invertIfNegative val="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69-279B-4C60-861B-4D62F01EEC89}"/>
              </c:ext>
            </c:extLst>
          </c:dPt>
          <c:dPt>
            <c:idx val="53"/>
            <c:invertIfNegative val="0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6B-279B-4C60-861B-4D62F01EEC89}"/>
              </c:ext>
            </c:extLst>
          </c:dPt>
          <c:dPt>
            <c:idx val="54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6D-279B-4C60-861B-4D62F01EEC89}"/>
              </c:ext>
            </c:extLst>
          </c:dPt>
          <c:dPt>
            <c:idx val="55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6F-E25E-44F6-A8F3-2332300169B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'Penguk.CPMK-Smt1'!$D$64:$D$119</c:f>
              <c:strCache>
                <c:ptCount val="56"/>
                <c:pt idx="0">
                  <c:v>CPMK011</c:v>
                </c:pt>
                <c:pt idx="1">
                  <c:v>CPMK012</c:v>
                </c:pt>
                <c:pt idx="2">
                  <c:v>CPMK013</c:v>
                </c:pt>
                <c:pt idx="3">
                  <c:v>CPMK021</c:v>
                </c:pt>
                <c:pt idx="4">
                  <c:v>CPMK022</c:v>
                </c:pt>
                <c:pt idx="5">
                  <c:v>CPMK023</c:v>
                </c:pt>
                <c:pt idx="6">
                  <c:v>CPMK024</c:v>
                </c:pt>
                <c:pt idx="7">
                  <c:v>CPMK025</c:v>
                </c:pt>
                <c:pt idx="8">
                  <c:v>CPMK031</c:v>
                </c:pt>
                <c:pt idx="9">
                  <c:v>CPMK032</c:v>
                </c:pt>
                <c:pt idx="10">
                  <c:v>CPMK033</c:v>
                </c:pt>
                <c:pt idx="11">
                  <c:v>CPMK041</c:v>
                </c:pt>
                <c:pt idx="12">
                  <c:v>CPMK042</c:v>
                </c:pt>
                <c:pt idx="13">
                  <c:v>CPMK043</c:v>
                </c:pt>
                <c:pt idx="14">
                  <c:v>CPMK044</c:v>
                </c:pt>
                <c:pt idx="15">
                  <c:v>CPMK045</c:v>
                </c:pt>
                <c:pt idx="16">
                  <c:v>CPMK046</c:v>
                </c:pt>
                <c:pt idx="17">
                  <c:v>CPMK047</c:v>
                </c:pt>
                <c:pt idx="18">
                  <c:v>CPMK051</c:v>
                </c:pt>
                <c:pt idx="19">
                  <c:v>CPMK052</c:v>
                </c:pt>
                <c:pt idx="20">
                  <c:v>CPMK053</c:v>
                </c:pt>
                <c:pt idx="21">
                  <c:v>CPMK054</c:v>
                </c:pt>
                <c:pt idx="22">
                  <c:v>CPMK055</c:v>
                </c:pt>
                <c:pt idx="23">
                  <c:v>CPMK056</c:v>
                </c:pt>
                <c:pt idx="24">
                  <c:v>CPMK057</c:v>
                </c:pt>
                <c:pt idx="25">
                  <c:v>CPMK058</c:v>
                </c:pt>
                <c:pt idx="26">
                  <c:v>CPMK061</c:v>
                </c:pt>
                <c:pt idx="27">
                  <c:v>CPMK062</c:v>
                </c:pt>
                <c:pt idx="28">
                  <c:v>CPMK063</c:v>
                </c:pt>
                <c:pt idx="29">
                  <c:v>CPMK064</c:v>
                </c:pt>
                <c:pt idx="30">
                  <c:v>CPMK071</c:v>
                </c:pt>
                <c:pt idx="31">
                  <c:v>CPMK072</c:v>
                </c:pt>
                <c:pt idx="32">
                  <c:v>CPMK073</c:v>
                </c:pt>
                <c:pt idx="33">
                  <c:v>CPMK074</c:v>
                </c:pt>
                <c:pt idx="34">
                  <c:v>CPMK075</c:v>
                </c:pt>
                <c:pt idx="35">
                  <c:v>CPMK076</c:v>
                </c:pt>
                <c:pt idx="36">
                  <c:v>CPMK081</c:v>
                </c:pt>
                <c:pt idx="37">
                  <c:v>CPMK082</c:v>
                </c:pt>
                <c:pt idx="38">
                  <c:v>CPMK083</c:v>
                </c:pt>
                <c:pt idx="39">
                  <c:v>CPMK091</c:v>
                </c:pt>
                <c:pt idx="40">
                  <c:v>CPMK092</c:v>
                </c:pt>
                <c:pt idx="41">
                  <c:v>CPMK093</c:v>
                </c:pt>
                <c:pt idx="42">
                  <c:v>CPMK101</c:v>
                </c:pt>
                <c:pt idx="43">
                  <c:v>CPMK102</c:v>
                </c:pt>
                <c:pt idx="44">
                  <c:v>CPMK103</c:v>
                </c:pt>
                <c:pt idx="45">
                  <c:v>CPMK104</c:v>
                </c:pt>
                <c:pt idx="46">
                  <c:v>CPMK105</c:v>
                </c:pt>
                <c:pt idx="47">
                  <c:v>CPMK111</c:v>
                </c:pt>
                <c:pt idx="48">
                  <c:v>CPMK112</c:v>
                </c:pt>
                <c:pt idx="49">
                  <c:v>CPMK113</c:v>
                </c:pt>
                <c:pt idx="50">
                  <c:v>CPMK114</c:v>
                </c:pt>
                <c:pt idx="51">
                  <c:v>CPMK115</c:v>
                </c:pt>
                <c:pt idx="52">
                  <c:v>CPMK121</c:v>
                </c:pt>
                <c:pt idx="53">
                  <c:v>CPMK122</c:v>
                </c:pt>
                <c:pt idx="54">
                  <c:v>CPMK123</c:v>
                </c:pt>
                <c:pt idx="55">
                  <c:v>CPMK124</c:v>
                </c:pt>
              </c:strCache>
            </c:strRef>
          </c:cat>
          <c:val>
            <c:numRef>
              <c:f>'Penguk.CPMK-Smt1'!$J$64:$J$119</c:f>
              <c:numCache>
                <c:formatCode>0</c:formatCode>
                <c:ptCount val="56"/>
                <c:pt idx="0">
                  <c:v>32</c:v>
                </c:pt>
                <c:pt idx="1">
                  <c:v>32</c:v>
                </c:pt>
                <c:pt idx="3">
                  <c:v>27</c:v>
                </c:pt>
                <c:pt idx="4">
                  <c:v>27</c:v>
                </c:pt>
                <c:pt idx="5">
                  <c:v>27</c:v>
                </c:pt>
                <c:pt idx="6">
                  <c:v>30</c:v>
                </c:pt>
                <c:pt idx="7">
                  <c:v>27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27</c:v>
                </c:pt>
                <c:pt idx="12">
                  <c:v>27</c:v>
                </c:pt>
                <c:pt idx="18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4">
                  <c:v>0</c:v>
                </c:pt>
                <c:pt idx="35">
                  <c:v>0</c:v>
                </c:pt>
                <c:pt idx="42">
                  <c:v>33</c:v>
                </c:pt>
                <c:pt idx="45">
                  <c:v>31</c:v>
                </c:pt>
                <c:pt idx="46">
                  <c:v>0</c:v>
                </c:pt>
                <c:pt idx="47">
                  <c:v>30</c:v>
                </c:pt>
                <c:pt idx="5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B6-4BA1-AD11-2690C35EDD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360817520"/>
        <c:axId val="1360815600"/>
        <c:axId val="0"/>
      </c:bar3DChart>
      <c:catAx>
        <c:axId val="1360817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0815600"/>
        <c:crosses val="autoZero"/>
        <c:auto val="1"/>
        <c:lblAlgn val="ctr"/>
        <c:lblOffset val="100"/>
        <c:noMultiLvlLbl val="0"/>
      </c:catAx>
      <c:valAx>
        <c:axId val="1360815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0817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Persentase Tingkat Ketercapaian CPMK Program Studi Semester I Angkatan 2024</a:t>
            </a:r>
          </a:p>
        </c:rich>
      </c:tx>
      <c:layout>
        <c:manualLayout>
          <c:xMode val="edge"/>
          <c:yMode val="edge"/>
          <c:x val="0.14965730855000708"/>
          <c:y val="2.969651564000901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1"/>
        <c:ser>
          <c:idx val="0"/>
          <c:order val="0"/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1-4A29-4937-B236-6AD32ADD95EA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3-7597-42F2-A6FE-36518A5022CA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5-7597-42F2-A6FE-36518A5022CA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7-7597-42F2-A6FE-36518A5022CA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9-7597-42F2-A6FE-36518A5022CA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B-7597-42F2-A6FE-36518A5022CA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D-7597-42F2-A6FE-36518A5022CA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F-7597-42F2-A6FE-36518A5022CA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1-7597-42F2-A6FE-36518A5022CA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3-7597-42F2-A6FE-36518A5022CA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5-7597-42F2-A6FE-36518A5022CA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7-7597-42F2-A6FE-36518A5022CA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9-7597-42F2-A6FE-36518A5022CA}"/>
              </c:ext>
            </c:extLst>
          </c:dPt>
          <c:dPt>
            <c:idx val="13"/>
            <c:invertIfNegative val="0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B-7597-42F2-A6FE-36518A5022CA}"/>
              </c:ext>
            </c:extLst>
          </c:dPt>
          <c:dPt>
            <c:idx val="14"/>
            <c:invertIfNegative val="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D-7597-42F2-A6FE-36518A5022CA}"/>
              </c:ext>
            </c:extLst>
          </c:dPt>
          <c:dPt>
            <c:idx val="15"/>
            <c:invertIfNegative val="0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F-7597-42F2-A6FE-36518A5022CA}"/>
              </c:ext>
            </c:extLst>
          </c:dPt>
          <c:dPt>
            <c:idx val="16"/>
            <c:invertIfNegative val="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21-7597-42F2-A6FE-36518A5022CA}"/>
              </c:ext>
            </c:extLst>
          </c:dPt>
          <c:dPt>
            <c:idx val="17"/>
            <c:invertIfNegative val="0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23-7597-42F2-A6FE-36518A5022CA}"/>
              </c:ext>
            </c:extLst>
          </c:dPt>
          <c:dPt>
            <c:idx val="18"/>
            <c:invertIfNegative val="0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25-7597-42F2-A6FE-36518A5022CA}"/>
              </c:ext>
            </c:extLst>
          </c:dPt>
          <c:dPt>
            <c:idx val="19"/>
            <c:invertIfNegative val="0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27-7597-42F2-A6FE-36518A5022CA}"/>
              </c:ext>
            </c:extLst>
          </c:dPt>
          <c:dPt>
            <c:idx val="20"/>
            <c:invertIfNegative val="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29-7597-42F2-A6FE-36518A5022CA}"/>
              </c:ext>
            </c:extLst>
          </c:dPt>
          <c:dPt>
            <c:idx val="21"/>
            <c:invertIfNegative val="0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2B-7597-42F2-A6FE-36518A5022CA}"/>
              </c:ext>
            </c:extLst>
          </c:dPt>
          <c:dPt>
            <c:idx val="22"/>
            <c:invertIfNegative val="0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2D-7597-42F2-A6FE-36518A5022CA}"/>
              </c:ext>
            </c:extLst>
          </c:dPt>
          <c:dPt>
            <c:idx val="23"/>
            <c:invertIfNegative val="0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2F-7597-42F2-A6FE-36518A5022CA}"/>
              </c:ext>
            </c:extLst>
          </c:dPt>
          <c:dPt>
            <c:idx val="24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31-7597-42F2-A6FE-36518A5022CA}"/>
              </c:ext>
            </c:extLst>
          </c:dPt>
          <c:dPt>
            <c:idx val="25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33-7597-42F2-A6FE-36518A5022CA}"/>
              </c:ext>
            </c:extLst>
          </c:dPt>
          <c:dPt>
            <c:idx val="26"/>
            <c:invertIfNegative val="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35-7597-42F2-A6FE-36518A5022CA}"/>
              </c:ext>
            </c:extLst>
          </c:dPt>
          <c:dPt>
            <c:idx val="27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37-7597-42F2-A6FE-36518A5022CA}"/>
              </c:ext>
            </c:extLst>
          </c:dPt>
          <c:dPt>
            <c:idx val="28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39-7597-42F2-A6FE-36518A5022CA}"/>
              </c:ext>
            </c:extLst>
          </c:dPt>
          <c:dPt>
            <c:idx val="29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3B-7597-42F2-A6FE-36518A5022CA}"/>
              </c:ext>
            </c:extLst>
          </c:dPt>
          <c:dPt>
            <c:idx val="30"/>
            <c:invertIfNegative val="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3D-7597-42F2-A6FE-36518A5022CA}"/>
              </c:ext>
            </c:extLst>
          </c:dPt>
          <c:dPt>
            <c:idx val="31"/>
            <c:invertIfNegative val="0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3F-7597-42F2-A6FE-36518A5022CA}"/>
              </c:ext>
            </c:extLst>
          </c:dPt>
          <c:dPt>
            <c:idx val="32"/>
            <c:invertIfNegative val="0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41-7597-42F2-A6FE-36518A5022CA}"/>
              </c:ext>
            </c:extLst>
          </c:dPt>
          <c:dPt>
            <c:idx val="33"/>
            <c:invertIfNegative val="0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43-7597-42F2-A6FE-36518A5022CA}"/>
              </c:ext>
            </c:extLst>
          </c:dPt>
          <c:dPt>
            <c:idx val="34"/>
            <c:invertIfNegative val="0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45-7597-42F2-A6FE-36518A5022CA}"/>
              </c:ext>
            </c:extLst>
          </c:dPt>
          <c:dPt>
            <c:idx val="35"/>
            <c:invertIfNegative val="0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47-7597-42F2-A6FE-36518A5022CA}"/>
              </c:ext>
            </c:extLst>
          </c:dPt>
          <c:dPt>
            <c:idx val="36"/>
            <c:invertIfNegative val="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49-7597-42F2-A6FE-36518A5022CA}"/>
              </c:ext>
            </c:extLst>
          </c:dPt>
          <c:dPt>
            <c:idx val="37"/>
            <c:invertIfNegative val="0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4B-7597-42F2-A6FE-36518A5022CA}"/>
              </c:ext>
            </c:extLst>
          </c:dPt>
          <c:dPt>
            <c:idx val="38"/>
            <c:invertIfNegative val="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4D-7597-42F2-A6FE-36518A5022CA}"/>
              </c:ext>
            </c:extLst>
          </c:dPt>
          <c:dPt>
            <c:idx val="39"/>
            <c:invertIfNegative val="0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4F-7597-42F2-A6FE-36518A5022CA}"/>
              </c:ext>
            </c:extLst>
          </c:dPt>
          <c:dPt>
            <c:idx val="40"/>
            <c:invertIfNegative val="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51-7597-42F2-A6FE-36518A5022CA}"/>
              </c:ext>
            </c:extLst>
          </c:dPt>
          <c:dPt>
            <c:idx val="41"/>
            <c:invertIfNegative val="0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53-7597-42F2-A6FE-36518A5022CA}"/>
              </c:ext>
            </c:extLst>
          </c:dPt>
          <c:dPt>
            <c:idx val="42"/>
            <c:invertIfNegative val="0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55-7597-42F2-A6FE-36518A5022CA}"/>
              </c:ext>
            </c:extLst>
          </c:dPt>
          <c:dPt>
            <c:idx val="43"/>
            <c:invertIfNegative val="0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57-7597-42F2-A6FE-36518A5022CA}"/>
              </c:ext>
            </c:extLst>
          </c:dPt>
          <c:dPt>
            <c:idx val="44"/>
            <c:invertIfNegative val="0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59-7597-42F2-A6FE-36518A5022CA}"/>
              </c:ext>
            </c:extLst>
          </c:dPt>
          <c:dPt>
            <c:idx val="45"/>
            <c:invertIfNegative val="0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5B-7597-42F2-A6FE-36518A5022CA}"/>
              </c:ext>
            </c:extLst>
          </c:dPt>
          <c:dPt>
            <c:idx val="46"/>
            <c:invertIfNegative val="0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5D-7597-42F2-A6FE-36518A5022CA}"/>
              </c:ext>
            </c:extLst>
          </c:dPt>
          <c:dPt>
            <c:idx val="47"/>
            <c:invertIfNegative val="0"/>
            <c:bubble3D val="0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5F-7597-42F2-A6FE-36518A5022CA}"/>
              </c:ext>
            </c:extLst>
          </c:dPt>
          <c:dPt>
            <c:idx val="48"/>
            <c:invertIfNegative val="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61-7597-42F2-A6FE-36518A5022CA}"/>
              </c:ext>
            </c:extLst>
          </c:dPt>
          <c:dPt>
            <c:idx val="49"/>
            <c:invertIfNegative val="0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63-7597-42F2-A6FE-36518A5022CA}"/>
              </c:ext>
            </c:extLst>
          </c:dPt>
          <c:dPt>
            <c:idx val="50"/>
            <c:invertIfNegative val="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65-7597-42F2-A6FE-36518A5022CA}"/>
              </c:ext>
            </c:extLst>
          </c:dPt>
          <c:dPt>
            <c:idx val="51"/>
            <c:invertIfNegative val="0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67-7597-42F2-A6FE-36518A5022CA}"/>
              </c:ext>
            </c:extLst>
          </c:dPt>
          <c:dPt>
            <c:idx val="52"/>
            <c:invertIfNegative val="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69-7597-42F2-A6FE-36518A5022CA}"/>
              </c:ext>
            </c:extLst>
          </c:dPt>
          <c:dPt>
            <c:idx val="53"/>
            <c:invertIfNegative val="0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6B-7597-42F2-A6FE-36518A5022CA}"/>
              </c:ext>
            </c:extLst>
          </c:dPt>
          <c:dPt>
            <c:idx val="54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6D-7597-42F2-A6FE-36518A5022CA}"/>
              </c:ext>
            </c:extLst>
          </c:dPt>
          <c:dPt>
            <c:idx val="55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6F-7597-42F2-A6FE-36518A5022CA}"/>
              </c:ext>
            </c:extLst>
          </c:dPt>
          <c:dPt>
            <c:idx val="56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71-7597-42F2-A6FE-36518A5022CA}"/>
              </c:ext>
            </c:extLst>
          </c:dPt>
          <c:dPt>
            <c:idx val="57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73-7597-42F2-A6FE-36518A5022CA}"/>
              </c:ext>
            </c:extLst>
          </c:dPt>
          <c:cat>
            <c:strRef>
              <c:f>'Penguk.CPMK-Smt1'!$D$64:$D$121</c:f>
              <c:strCache>
                <c:ptCount val="56"/>
                <c:pt idx="0">
                  <c:v>CPMK011</c:v>
                </c:pt>
                <c:pt idx="1">
                  <c:v>CPMK012</c:v>
                </c:pt>
                <c:pt idx="2">
                  <c:v>CPMK013</c:v>
                </c:pt>
                <c:pt idx="3">
                  <c:v>CPMK021</c:v>
                </c:pt>
                <c:pt idx="4">
                  <c:v>CPMK022</c:v>
                </c:pt>
                <c:pt idx="5">
                  <c:v>CPMK023</c:v>
                </c:pt>
                <c:pt idx="6">
                  <c:v>CPMK024</c:v>
                </c:pt>
                <c:pt idx="7">
                  <c:v>CPMK025</c:v>
                </c:pt>
                <c:pt idx="8">
                  <c:v>CPMK031</c:v>
                </c:pt>
                <c:pt idx="9">
                  <c:v>CPMK032</c:v>
                </c:pt>
                <c:pt idx="10">
                  <c:v>CPMK033</c:v>
                </c:pt>
                <c:pt idx="11">
                  <c:v>CPMK041</c:v>
                </c:pt>
                <c:pt idx="12">
                  <c:v>CPMK042</c:v>
                </c:pt>
                <c:pt idx="13">
                  <c:v>CPMK043</c:v>
                </c:pt>
                <c:pt idx="14">
                  <c:v>CPMK044</c:v>
                </c:pt>
                <c:pt idx="15">
                  <c:v>CPMK045</c:v>
                </c:pt>
                <c:pt idx="16">
                  <c:v>CPMK046</c:v>
                </c:pt>
                <c:pt idx="17">
                  <c:v>CPMK047</c:v>
                </c:pt>
                <c:pt idx="18">
                  <c:v>CPMK051</c:v>
                </c:pt>
                <c:pt idx="19">
                  <c:v>CPMK052</c:v>
                </c:pt>
                <c:pt idx="20">
                  <c:v>CPMK053</c:v>
                </c:pt>
                <c:pt idx="21">
                  <c:v>CPMK054</c:v>
                </c:pt>
                <c:pt idx="22">
                  <c:v>CPMK055</c:v>
                </c:pt>
                <c:pt idx="23">
                  <c:v>CPMK056</c:v>
                </c:pt>
                <c:pt idx="24">
                  <c:v>CPMK057</c:v>
                </c:pt>
                <c:pt idx="25">
                  <c:v>CPMK058</c:v>
                </c:pt>
                <c:pt idx="26">
                  <c:v>CPMK061</c:v>
                </c:pt>
                <c:pt idx="27">
                  <c:v>CPMK062</c:v>
                </c:pt>
                <c:pt idx="28">
                  <c:v>CPMK063</c:v>
                </c:pt>
                <c:pt idx="29">
                  <c:v>CPMK064</c:v>
                </c:pt>
                <c:pt idx="30">
                  <c:v>CPMK071</c:v>
                </c:pt>
                <c:pt idx="31">
                  <c:v>CPMK072</c:v>
                </c:pt>
                <c:pt idx="32">
                  <c:v>CPMK073</c:v>
                </c:pt>
                <c:pt idx="33">
                  <c:v>CPMK074</c:v>
                </c:pt>
                <c:pt idx="34">
                  <c:v>CPMK075</c:v>
                </c:pt>
                <c:pt idx="35">
                  <c:v>CPMK076</c:v>
                </c:pt>
                <c:pt idx="36">
                  <c:v>CPMK081</c:v>
                </c:pt>
                <c:pt idx="37">
                  <c:v>CPMK082</c:v>
                </c:pt>
                <c:pt idx="38">
                  <c:v>CPMK083</c:v>
                </c:pt>
                <c:pt idx="39">
                  <c:v>CPMK091</c:v>
                </c:pt>
                <c:pt idx="40">
                  <c:v>CPMK092</c:v>
                </c:pt>
                <c:pt idx="41">
                  <c:v>CPMK093</c:v>
                </c:pt>
                <c:pt idx="42">
                  <c:v>CPMK101</c:v>
                </c:pt>
                <c:pt idx="43">
                  <c:v>CPMK102</c:v>
                </c:pt>
                <c:pt idx="44">
                  <c:v>CPMK103</c:v>
                </c:pt>
                <c:pt idx="45">
                  <c:v>CPMK104</c:v>
                </c:pt>
                <c:pt idx="46">
                  <c:v>CPMK105</c:v>
                </c:pt>
                <c:pt idx="47">
                  <c:v>CPMK111</c:v>
                </c:pt>
                <c:pt idx="48">
                  <c:v>CPMK112</c:v>
                </c:pt>
                <c:pt idx="49">
                  <c:v>CPMK113</c:v>
                </c:pt>
                <c:pt idx="50">
                  <c:v>CPMK114</c:v>
                </c:pt>
                <c:pt idx="51">
                  <c:v>CPMK115</c:v>
                </c:pt>
                <c:pt idx="52">
                  <c:v>CPMK121</c:v>
                </c:pt>
                <c:pt idx="53">
                  <c:v>CPMK122</c:v>
                </c:pt>
                <c:pt idx="54">
                  <c:v>CPMK123</c:v>
                </c:pt>
                <c:pt idx="55">
                  <c:v>CPMK124</c:v>
                </c:pt>
              </c:strCache>
            </c:strRef>
          </c:cat>
          <c:val>
            <c:numRef>
              <c:f>'Penguk.CPMK-Smt1'!$K$64:$K$121</c:f>
              <c:numCache>
                <c:formatCode>0%</c:formatCode>
                <c:ptCount val="58"/>
                <c:pt idx="0">
                  <c:v>0.94117647058823528</c:v>
                </c:pt>
                <c:pt idx="1">
                  <c:v>0.94117647058823528</c:v>
                </c:pt>
                <c:pt idx="2">
                  <c:v>0</c:v>
                </c:pt>
                <c:pt idx="3">
                  <c:v>0.79411764705882348</c:v>
                </c:pt>
                <c:pt idx="4">
                  <c:v>0.79411764705882348</c:v>
                </c:pt>
                <c:pt idx="5">
                  <c:v>0.79411764705882348</c:v>
                </c:pt>
                <c:pt idx="6">
                  <c:v>0.88235294117647056</c:v>
                </c:pt>
                <c:pt idx="7">
                  <c:v>0.79411764705882348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0.79411764705882348</c:v>
                </c:pt>
                <c:pt idx="12">
                  <c:v>0.79411764705882348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0.97058823529411764</c:v>
                </c:pt>
                <c:pt idx="43">
                  <c:v>0</c:v>
                </c:pt>
                <c:pt idx="44">
                  <c:v>0</c:v>
                </c:pt>
                <c:pt idx="45">
                  <c:v>0.91176470588235292</c:v>
                </c:pt>
                <c:pt idx="46">
                  <c:v>0</c:v>
                </c:pt>
                <c:pt idx="47">
                  <c:v>0.88235294117647056</c:v>
                </c:pt>
                <c:pt idx="55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6B-4773-9DAD-8FB54DBA38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550784096"/>
        <c:axId val="1550780736"/>
        <c:axId val="0"/>
      </c:bar3DChart>
      <c:catAx>
        <c:axId val="1550784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0780736"/>
        <c:crosses val="autoZero"/>
        <c:auto val="1"/>
        <c:lblAlgn val="ctr"/>
        <c:lblOffset val="100"/>
        <c:noMultiLvlLbl val="0"/>
      </c:catAx>
      <c:valAx>
        <c:axId val="1550780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07840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Rata-rata Capaian CPMK Semester</a:t>
            </a:r>
            <a:r>
              <a:rPr lang="en-ID" baseline="0"/>
              <a:t> I Angkatan 2024</a:t>
            </a:r>
          </a:p>
          <a:p>
            <a:pPr>
              <a:defRPr/>
            </a:pP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1"/>
        <c:ser>
          <c:idx val="0"/>
          <c:order val="0"/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1-902A-4434-B85A-B4ACA248D95E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3-902A-4434-B85A-B4ACA248D95E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5-902A-4434-B85A-B4ACA248D95E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7-902A-4434-B85A-B4ACA248D95E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9-902A-4434-B85A-B4ACA248D95E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B-902A-4434-B85A-B4ACA248D95E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D-902A-4434-B85A-B4ACA248D95E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F-902A-4434-B85A-B4ACA248D95E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1-902A-4434-B85A-B4ACA248D95E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3-902A-4434-B85A-B4ACA248D95E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5-902A-4434-B85A-B4ACA248D95E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7-902A-4434-B85A-B4ACA248D95E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9-902A-4434-B85A-B4ACA248D95E}"/>
              </c:ext>
            </c:extLst>
          </c:dPt>
          <c:dPt>
            <c:idx val="13"/>
            <c:invertIfNegative val="0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B-902A-4434-B85A-B4ACA248D95E}"/>
              </c:ext>
            </c:extLst>
          </c:dPt>
          <c:dPt>
            <c:idx val="14"/>
            <c:invertIfNegative val="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D-902A-4434-B85A-B4ACA248D95E}"/>
              </c:ext>
            </c:extLst>
          </c:dPt>
          <c:dPt>
            <c:idx val="15"/>
            <c:invertIfNegative val="0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F-902A-4434-B85A-B4ACA248D95E}"/>
              </c:ext>
            </c:extLst>
          </c:dPt>
          <c:dPt>
            <c:idx val="16"/>
            <c:invertIfNegative val="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21-902A-4434-B85A-B4ACA248D95E}"/>
              </c:ext>
            </c:extLst>
          </c:dPt>
          <c:dPt>
            <c:idx val="17"/>
            <c:invertIfNegative val="0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23-902A-4434-B85A-B4ACA248D95E}"/>
              </c:ext>
            </c:extLst>
          </c:dPt>
          <c:dPt>
            <c:idx val="18"/>
            <c:invertIfNegative val="0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25-902A-4434-B85A-B4ACA248D95E}"/>
              </c:ext>
            </c:extLst>
          </c:dPt>
          <c:dPt>
            <c:idx val="19"/>
            <c:invertIfNegative val="0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27-902A-4434-B85A-B4ACA248D95E}"/>
              </c:ext>
            </c:extLst>
          </c:dPt>
          <c:dPt>
            <c:idx val="20"/>
            <c:invertIfNegative val="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29-902A-4434-B85A-B4ACA248D95E}"/>
              </c:ext>
            </c:extLst>
          </c:dPt>
          <c:dPt>
            <c:idx val="21"/>
            <c:invertIfNegative val="0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2B-902A-4434-B85A-B4ACA248D95E}"/>
              </c:ext>
            </c:extLst>
          </c:dPt>
          <c:dPt>
            <c:idx val="22"/>
            <c:invertIfNegative val="0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2D-902A-4434-B85A-B4ACA248D95E}"/>
              </c:ext>
            </c:extLst>
          </c:dPt>
          <c:dPt>
            <c:idx val="23"/>
            <c:invertIfNegative val="0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2F-902A-4434-B85A-B4ACA248D95E}"/>
              </c:ext>
            </c:extLst>
          </c:dPt>
          <c:dPt>
            <c:idx val="24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31-902A-4434-B85A-B4ACA248D95E}"/>
              </c:ext>
            </c:extLst>
          </c:dPt>
          <c:dPt>
            <c:idx val="25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33-902A-4434-B85A-B4ACA248D95E}"/>
              </c:ext>
            </c:extLst>
          </c:dPt>
          <c:dPt>
            <c:idx val="26"/>
            <c:invertIfNegative val="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35-902A-4434-B85A-B4ACA248D95E}"/>
              </c:ext>
            </c:extLst>
          </c:dPt>
          <c:dPt>
            <c:idx val="27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37-902A-4434-B85A-B4ACA248D95E}"/>
              </c:ext>
            </c:extLst>
          </c:dPt>
          <c:dPt>
            <c:idx val="28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39-902A-4434-B85A-B4ACA248D95E}"/>
              </c:ext>
            </c:extLst>
          </c:dPt>
          <c:dPt>
            <c:idx val="29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3B-902A-4434-B85A-B4ACA248D95E}"/>
              </c:ext>
            </c:extLst>
          </c:dPt>
          <c:dPt>
            <c:idx val="30"/>
            <c:invertIfNegative val="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3D-902A-4434-B85A-B4ACA248D95E}"/>
              </c:ext>
            </c:extLst>
          </c:dPt>
          <c:dPt>
            <c:idx val="31"/>
            <c:invertIfNegative val="0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3F-902A-4434-B85A-B4ACA248D95E}"/>
              </c:ext>
            </c:extLst>
          </c:dPt>
          <c:dPt>
            <c:idx val="32"/>
            <c:invertIfNegative val="0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41-902A-4434-B85A-B4ACA248D95E}"/>
              </c:ext>
            </c:extLst>
          </c:dPt>
          <c:dPt>
            <c:idx val="33"/>
            <c:invertIfNegative val="0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43-902A-4434-B85A-B4ACA248D95E}"/>
              </c:ext>
            </c:extLst>
          </c:dPt>
          <c:dPt>
            <c:idx val="34"/>
            <c:invertIfNegative val="0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45-902A-4434-B85A-B4ACA248D95E}"/>
              </c:ext>
            </c:extLst>
          </c:dPt>
          <c:dPt>
            <c:idx val="35"/>
            <c:invertIfNegative val="0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47-902A-4434-B85A-B4ACA248D95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'[10]Penguk.MK-CPL-I'!$BP$8:$CY$8</c:f>
              <c:strCache>
                <c:ptCount val="36"/>
                <c:pt idx="0">
                  <c:v>CPMK011</c:v>
                </c:pt>
                <c:pt idx="1">
                  <c:v>CPMK012</c:v>
                </c:pt>
                <c:pt idx="2">
                  <c:v>CPMK013</c:v>
                </c:pt>
                <c:pt idx="3">
                  <c:v>CPMK014</c:v>
                </c:pt>
                <c:pt idx="4">
                  <c:v>CPMK021</c:v>
                </c:pt>
                <c:pt idx="5">
                  <c:v>CPMK022</c:v>
                </c:pt>
                <c:pt idx="6">
                  <c:v>CPMK023</c:v>
                </c:pt>
                <c:pt idx="7">
                  <c:v>CPMK024</c:v>
                </c:pt>
                <c:pt idx="8">
                  <c:v>CPMK031</c:v>
                </c:pt>
                <c:pt idx="9">
                  <c:v>CPMK032</c:v>
                </c:pt>
                <c:pt idx="10">
                  <c:v>CPMK033</c:v>
                </c:pt>
                <c:pt idx="11">
                  <c:v>CPMK041</c:v>
                </c:pt>
                <c:pt idx="12">
                  <c:v>CPMK042</c:v>
                </c:pt>
                <c:pt idx="13">
                  <c:v>CPMK051</c:v>
                </c:pt>
                <c:pt idx="14">
                  <c:v>CPMK052</c:v>
                </c:pt>
                <c:pt idx="15">
                  <c:v>CPMK061</c:v>
                </c:pt>
                <c:pt idx="16">
                  <c:v>CPMK062</c:v>
                </c:pt>
                <c:pt idx="17">
                  <c:v>CPMK063</c:v>
                </c:pt>
                <c:pt idx="18">
                  <c:v>CPMK064</c:v>
                </c:pt>
                <c:pt idx="19">
                  <c:v>CPMK071</c:v>
                </c:pt>
                <c:pt idx="20">
                  <c:v>CPMK072</c:v>
                </c:pt>
                <c:pt idx="21">
                  <c:v>CPMK073</c:v>
                </c:pt>
                <c:pt idx="22">
                  <c:v>CPMK081</c:v>
                </c:pt>
                <c:pt idx="23">
                  <c:v>CPMK082</c:v>
                </c:pt>
                <c:pt idx="24">
                  <c:v>CPMK091</c:v>
                </c:pt>
                <c:pt idx="25">
                  <c:v>CPMK092</c:v>
                </c:pt>
                <c:pt idx="26">
                  <c:v>CPMK101</c:v>
                </c:pt>
                <c:pt idx="27">
                  <c:v>CPMK102</c:v>
                </c:pt>
                <c:pt idx="28">
                  <c:v>CPMK111</c:v>
                </c:pt>
                <c:pt idx="29">
                  <c:v>CPMK112</c:v>
                </c:pt>
                <c:pt idx="30">
                  <c:v>CPMK121</c:v>
                </c:pt>
                <c:pt idx="31">
                  <c:v>CPMK122</c:v>
                </c:pt>
                <c:pt idx="32">
                  <c:v>CPMK131</c:v>
                </c:pt>
                <c:pt idx="33">
                  <c:v>CPMK132</c:v>
                </c:pt>
                <c:pt idx="34">
                  <c:v>CPMK141</c:v>
                </c:pt>
                <c:pt idx="35">
                  <c:v>CPMK142</c:v>
                </c:pt>
              </c:strCache>
            </c:strRef>
          </c:cat>
          <c:val>
            <c:numRef>
              <c:f>'[10]Penguk.MK-CPL-I'!$BP$42:$CY$42</c:f>
              <c:numCache>
                <c:formatCode>General</c:formatCode>
                <c:ptCount val="36"/>
                <c:pt idx="0">
                  <c:v>0.79069444444444437</c:v>
                </c:pt>
                <c:pt idx="1">
                  <c:v>0.8412777777777779</c:v>
                </c:pt>
                <c:pt idx="2">
                  <c:v>0.80412777777777777</c:v>
                </c:pt>
                <c:pt idx="3">
                  <c:v>0.87131111111111104</c:v>
                </c:pt>
                <c:pt idx="4">
                  <c:v>0.73652777777777789</c:v>
                </c:pt>
                <c:pt idx="9">
                  <c:v>0.74609375</c:v>
                </c:pt>
                <c:pt idx="10">
                  <c:v>0.7853</c:v>
                </c:pt>
                <c:pt idx="11">
                  <c:v>0.79738888888888881</c:v>
                </c:pt>
                <c:pt idx="24">
                  <c:v>0.74599411764705903</c:v>
                </c:pt>
                <c:pt idx="25">
                  <c:v>0.80529375000000003</c:v>
                </c:pt>
                <c:pt idx="26">
                  <c:v>0.80584117647058806</c:v>
                </c:pt>
                <c:pt idx="30">
                  <c:v>0.7767187499999999</c:v>
                </c:pt>
                <c:pt idx="31">
                  <c:v>0.77671875000000001</c:v>
                </c:pt>
                <c:pt idx="32">
                  <c:v>0.89290244565217392</c:v>
                </c:pt>
                <c:pt idx="34">
                  <c:v>0.760625</c:v>
                </c:pt>
                <c:pt idx="35">
                  <c:v>0.76062500000000011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8-902A-4434-B85A-B4ACA248D9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558791712"/>
        <c:axId val="1558792192"/>
        <c:axId val="0"/>
      </c:bar3DChart>
      <c:catAx>
        <c:axId val="1558791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8792192"/>
        <c:crosses val="autoZero"/>
        <c:auto val="1"/>
        <c:lblAlgn val="ctr"/>
        <c:lblOffset val="100"/>
        <c:noMultiLvlLbl val="0"/>
      </c:catAx>
      <c:valAx>
        <c:axId val="1558792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87917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Persentase Tingkat Ketercapaian CPL Program Studi Semester I Angkatan 2024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1"/>
        <c:ser>
          <c:idx val="0"/>
          <c:order val="0"/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1-D2A9-414F-9F14-B1F1266FB355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3-D2A9-414F-9F14-B1F1266FB355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5-D2A9-414F-9F14-B1F1266FB355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7-D2A9-414F-9F14-B1F1266FB355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9-D2A9-414F-9F14-B1F1266FB355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B-D2A9-414F-9F14-B1F1266FB355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D-D2A9-414F-9F14-B1F1266FB355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F-D2A9-414F-9F14-B1F1266FB355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1-D2A9-414F-9F14-B1F1266FB355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3-D2A9-414F-9F14-B1F1266FB355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5-D2A9-414F-9F14-B1F1266FB355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7-D2A9-414F-9F14-B1F1266FB35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'Penguk.CPL-Smt1'!$C$64:$C$75</c:f>
              <c:strCache>
                <c:ptCount val="12"/>
                <c:pt idx="0">
                  <c:v>CPL01</c:v>
                </c:pt>
                <c:pt idx="1">
                  <c:v>CPL02</c:v>
                </c:pt>
                <c:pt idx="2">
                  <c:v>CPL03</c:v>
                </c:pt>
                <c:pt idx="3">
                  <c:v>CPL04</c:v>
                </c:pt>
                <c:pt idx="4">
                  <c:v>CPL05</c:v>
                </c:pt>
                <c:pt idx="5">
                  <c:v>CPL06</c:v>
                </c:pt>
                <c:pt idx="6">
                  <c:v>CPL07</c:v>
                </c:pt>
                <c:pt idx="7">
                  <c:v>CPL08</c:v>
                </c:pt>
                <c:pt idx="8">
                  <c:v>CPL09</c:v>
                </c:pt>
                <c:pt idx="9">
                  <c:v>CPL10</c:v>
                </c:pt>
                <c:pt idx="10">
                  <c:v>CPL11</c:v>
                </c:pt>
                <c:pt idx="11">
                  <c:v>CPL12</c:v>
                </c:pt>
              </c:strCache>
            </c:strRef>
          </c:cat>
          <c:val>
            <c:numRef>
              <c:f>'Penguk.CPL-Smt1'!$J$64:$J$75</c:f>
              <c:numCache>
                <c:formatCode>0%</c:formatCode>
                <c:ptCount val="12"/>
                <c:pt idx="0">
                  <c:v>0.91176470588235292</c:v>
                </c:pt>
                <c:pt idx="1">
                  <c:v>0.79411764705882348</c:v>
                </c:pt>
                <c:pt idx="2">
                  <c:v>0</c:v>
                </c:pt>
                <c:pt idx="3">
                  <c:v>0.91176470588235292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0.76470588235294112</c:v>
                </c:pt>
                <c:pt idx="10">
                  <c:v>0.79411764705882348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FE-4AA2-ADC1-E73524D2AB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627383184"/>
        <c:axId val="1627383664"/>
        <c:axId val="0"/>
      </c:bar3DChart>
      <c:catAx>
        <c:axId val="1627383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7383664"/>
        <c:crosses val="autoZero"/>
        <c:auto val="1"/>
        <c:lblAlgn val="ctr"/>
        <c:lblOffset val="100"/>
        <c:noMultiLvlLbl val="0"/>
      </c:catAx>
      <c:valAx>
        <c:axId val="162738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73831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Persentase Tingkat Ketercapaian CPL Program Studi Semester I Angkatan 2024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'Penguk.CPL-Smt1'!$C$64:$C$75</c:f>
              <c:strCache>
                <c:ptCount val="12"/>
                <c:pt idx="0">
                  <c:v>CPL01</c:v>
                </c:pt>
                <c:pt idx="1">
                  <c:v>CPL02</c:v>
                </c:pt>
                <c:pt idx="2">
                  <c:v>CPL03</c:v>
                </c:pt>
                <c:pt idx="3">
                  <c:v>CPL04</c:v>
                </c:pt>
                <c:pt idx="4">
                  <c:v>CPL05</c:v>
                </c:pt>
                <c:pt idx="5">
                  <c:v>CPL06</c:v>
                </c:pt>
                <c:pt idx="6">
                  <c:v>CPL07</c:v>
                </c:pt>
                <c:pt idx="7">
                  <c:v>CPL08</c:v>
                </c:pt>
                <c:pt idx="8">
                  <c:v>CPL09</c:v>
                </c:pt>
                <c:pt idx="9">
                  <c:v>CPL10</c:v>
                </c:pt>
                <c:pt idx="10">
                  <c:v>CPL11</c:v>
                </c:pt>
                <c:pt idx="11">
                  <c:v>CPL12</c:v>
                </c:pt>
              </c:strCache>
            </c:strRef>
          </c:cat>
          <c:val>
            <c:numRef>
              <c:f>'Penguk.CPL-Smt1'!$J$64:$J$75</c:f>
              <c:numCache>
                <c:formatCode>0%</c:formatCode>
                <c:ptCount val="12"/>
                <c:pt idx="0">
                  <c:v>0.91176470588235292</c:v>
                </c:pt>
                <c:pt idx="1">
                  <c:v>0.79411764705882348</c:v>
                </c:pt>
                <c:pt idx="2">
                  <c:v>0</c:v>
                </c:pt>
                <c:pt idx="3">
                  <c:v>0.91176470588235292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0.76470588235294112</c:v>
                </c:pt>
                <c:pt idx="10">
                  <c:v>0.79411764705882348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97-48CB-8DE0-49E47E3654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7379344"/>
        <c:axId val="1627384144"/>
      </c:radarChart>
      <c:catAx>
        <c:axId val="1627379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7384144"/>
        <c:crosses val="autoZero"/>
        <c:auto val="1"/>
        <c:lblAlgn val="ctr"/>
        <c:lblOffset val="100"/>
        <c:noMultiLvlLbl val="0"/>
      </c:catAx>
      <c:valAx>
        <c:axId val="1627384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73793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Tingkat Rata-rata</a:t>
            </a:r>
            <a:r>
              <a:rPr lang="en-ID" baseline="0"/>
              <a:t> Ketercapaian CPL Program Studi Semester I Angkatan 2024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'Penguk.CPL-Smt1'!$C$64:$C$75</c:f>
              <c:strCache>
                <c:ptCount val="12"/>
                <c:pt idx="0">
                  <c:v>CPL01</c:v>
                </c:pt>
                <c:pt idx="1">
                  <c:v>CPL02</c:v>
                </c:pt>
                <c:pt idx="2">
                  <c:v>CPL03</c:v>
                </c:pt>
                <c:pt idx="3">
                  <c:v>CPL04</c:v>
                </c:pt>
                <c:pt idx="4">
                  <c:v>CPL05</c:v>
                </c:pt>
                <c:pt idx="5">
                  <c:v>CPL06</c:v>
                </c:pt>
                <c:pt idx="6">
                  <c:v>CPL07</c:v>
                </c:pt>
                <c:pt idx="7">
                  <c:v>CPL08</c:v>
                </c:pt>
                <c:pt idx="8">
                  <c:v>CPL09</c:v>
                </c:pt>
                <c:pt idx="9">
                  <c:v>CPL10</c:v>
                </c:pt>
                <c:pt idx="10">
                  <c:v>CPL11</c:v>
                </c:pt>
                <c:pt idx="11">
                  <c:v>CPL12</c:v>
                </c:pt>
              </c:strCache>
            </c:strRef>
          </c:cat>
          <c:val>
            <c:numRef>
              <c:f>'Penguk.CPL-Smt1'!$F$64:$F$75</c:f>
              <c:numCache>
                <c:formatCode>0%</c:formatCode>
                <c:ptCount val="12"/>
                <c:pt idx="0">
                  <c:v>0.81694117647058784</c:v>
                </c:pt>
                <c:pt idx="1">
                  <c:v>0.74594884220354796</c:v>
                </c:pt>
                <c:pt idx="2">
                  <c:v>0</c:v>
                </c:pt>
                <c:pt idx="3">
                  <c:v>0.7361470588235296</c:v>
                </c:pt>
                <c:pt idx="5">
                  <c:v>0</c:v>
                </c:pt>
                <c:pt idx="6">
                  <c:v>0</c:v>
                </c:pt>
                <c:pt idx="9">
                  <c:v>0.77354455159112856</c:v>
                </c:pt>
                <c:pt idx="10">
                  <c:v>0.73606470588235307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B8-4A2E-A6A3-62308BCE67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7381744"/>
        <c:axId val="1627382704"/>
      </c:radarChart>
      <c:catAx>
        <c:axId val="1627381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7382704"/>
        <c:crosses val="autoZero"/>
        <c:auto val="1"/>
        <c:lblAlgn val="ctr"/>
        <c:lblOffset val="100"/>
        <c:noMultiLvlLbl val="0"/>
      </c:catAx>
      <c:valAx>
        <c:axId val="162738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7381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Tingkat Rata-Rata Ketercapaian CPL Program Studi Semester I Angkatan 2024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1"/>
        <c:ser>
          <c:idx val="0"/>
          <c:order val="0"/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1-5D91-4F72-9AB2-04C8D748BCE9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3-5D91-4F72-9AB2-04C8D748BCE9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5-5D91-4F72-9AB2-04C8D748BCE9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7-5D91-4F72-9AB2-04C8D748BCE9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9-5D91-4F72-9AB2-04C8D748BCE9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B-5D91-4F72-9AB2-04C8D748BCE9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D-5D91-4F72-9AB2-04C8D748BCE9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F-5D91-4F72-9AB2-04C8D748BCE9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1-5D91-4F72-9AB2-04C8D748BCE9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3-5D91-4F72-9AB2-04C8D748BCE9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5-5D91-4F72-9AB2-04C8D748BCE9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7-5D91-4F72-9AB2-04C8D748BCE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'Penguk.CPL-Smt1'!$C$64:$C$75</c:f>
              <c:strCache>
                <c:ptCount val="12"/>
                <c:pt idx="0">
                  <c:v>CPL01</c:v>
                </c:pt>
                <c:pt idx="1">
                  <c:v>CPL02</c:v>
                </c:pt>
                <c:pt idx="2">
                  <c:v>CPL03</c:v>
                </c:pt>
                <c:pt idx="3">
                  <c:v>CPL04</c:v>
                </c:pt>
                <c:pt idx="4">
                  <c:v>CPL05</c:v>
                </c:pt>
                <c:pt idx="5">
                  <c:v>CPL06</c:v>
                </c:pt>
                <c:pt idx="6">
                  <c:v>CPL07</c:v>
                </c:pt>
                <c:pt idx="7">
                  <c:v>CPL08</c:v>
                </c:pt>
                <c:pt idx="8">
                  <c:v>CPL09</c:v>
                </c:pt>
                <c:pt idx="9">
                  <c:v>CPL10</c:v>
                </c:pt>
                <c:pt idx="10">
                  <c:v>CPL11</c:v>
                </c:pt>
                <c:pt idx="11">
                  <c:v>CPL12</c:v>
                </c:pt>
              </c:strCache>
            </c:strRef>
          </c:cat>
          <c:val>
            <c:numRef>
              <c:f>'Penguk.CPL-Smt1'!$F$64:$F$75</c:f>
              <c:numCache>
                <c:formatCode>0%</c:formatCode>
                <c:ptCount val="12"/>
                <c:pt idx="0">
                  <c:v>0.81694117647058784</c:v>
                </c:pt>
                <c:pt idx="1">
                  <c:v>0.74594884220354796</c:v>
                </c:pt>
                <c:pt idx="2">
                  <c:v>0</c:v>
                </c:pt>
                <c:pt idx="3">
                  <c:v>0.7361470588235296</c:v>
                </c:pt>
                <c:pt idx="5">
                  <c:v>0</c:v>
                </c:pt>
                <c:pt idx="6">
                  <c:v>0</c:v>
                </c:pt>
                <c:pt idx="9">
                  <c:v>0.77354455159112856</c:v>
                </c:pt>
                <c:pt idx="10">
                  <c:v>0.73606470588235307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09-41BE-B8D9-FB57B18BDE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425712816"/>
        <c:axId val="1425718576"/>
        <c:axId val="0"/>
      </c:bar3DChart>
      <c:catAx>
        <c:axId val="1425712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5718576"/>
        <c:crosses val="autoZero"/>
        <c:auto val="1"/>
        <c:lblAlgn val="ctr"/>
        <c:lblOffset val="100"/>
        <c:noMultiLvlLbl val="0"/>
      </c:catAx>
      <c:valAx>
        <c:axId val="1425718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57128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28575</xdr:colOff>
      <xdr:row>58</xdr:row>
      <xdr:rowOff>171450</xdr:rowOff>
    </xdr:from>
    <xdr:to>
      <xdr:col>17</xdr:col>
      <xdr:colOff>187325</xdr:colOff>
      <xdr:row>59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1AC5D9D-70B4-41EA-8F20-C7A00820C4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77438</xdr:colOff>
      <xdr:row>62</xdr:row>
      <xdr:rowOff>5009</xdr:rowOff>
    </xdr:from>
    <xdr:to>
      <xdr:col>23</xdr:col>
      <xdr:colOff>425450</xdr:colOff>
      <xdr:row>93</xdr:row>
      <xdr:rowOff>63500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1261436-E13B-9ED0-D030-CEF2C61F82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85127</xdr:colOff>
      <xdr:row>95</xdr:row>
      <xdr:rowOff>102611</xdr:rowOff>
    </xdr:from>
    <xdr:to>
      <xdr:col>23</xdr:col>
      <xdr:colOff>389927</xdr:colOff>
      <xdr:row>119</xdr:row>
      <xdr:rowOff>92029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FFF0999-9E56-5709-43CF-8DDDBD95F8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23</xdr:col>
      <xdr:colOff>783167</xdr:colOff>
      <xdr:row>61</xdr:row>
      <xdr:rowOff>173307</xdr:rowOff>
    </xdr:from>
    <xdr:to>
      <xdr:col>28</xdr:col>
      <xdr:colOff>751418</xdr:colOff>
      <xdr:row>93</xdr:row>
      <xdr:rowOff>63500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A0648D2-48F6-6C7B-862C-F20808ABA6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23</xdr:col>
      <xdr:colOff>811239</xdr:colOff>
      <xdr:row>95</xdr:row>
      <xdr:rowOff>79108</xdr:rowOff>
    </xdr:from>
    <xdr:to>
      <xdr:col>28</xdr:col>
      <xdr:colOff>822856</xdr:colOff>
      <xdr:row>119</xdr:row>
      <xdr:rowOff>69454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7AE7CE2-B653-E2FD-AE62-542338C4CC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59</xdr:col>
      <xdr:colOff>599279</xdr:colOff>
      <xdr:row>60</xdr:row>
      <xdr:rowOff>21431</xdr:rowOff>
    </xdr:from>
    <xdr:to>
      <xdr:col>76</xdr:col>
      <xdr:colOff>174625</xdr:colOff>
      <xdr:row>75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DD324E4-F6F8-4416-8345-56C6AD1383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868890</xdr:colOff>
      <xdr:row>61</xdr:row>
      <xdr:rowOff>156634</xdr:rowOff>
    </xdr:from>
    <xdr:to>
      <xdr:col>28</xdr:col>
      <xdr:colOff>514350</xdr:colOff>
      <xdr:row>79</xdr:row>
      <xdr:rowOff>99484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153FA87-2255-C0C0-637C-D7CC8FC7CF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98425</xdr:colOff>
      <xdr:row>61</xdr:row>
      <xdr:rowOff>141817</xdr:rowOff>
    </xdr:from>
    <xdr:to>
      <xdr:col>23</xdr:col>
      <xdr:colOff>781049</xdr:colOff>
      <xdr:row>79</xdr:row>
      <xdr:rowOff>122767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D62EF6D-69CE-CE0B-6D08-FA298E875F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45508</xdr:colOff>
      <xdr:row>80</xdr:row>
      <xdr:rowOff>67733</xdr:rowOff>
    </xdr:from>
    <xdr:to>
      <xdr:col>23</xdr:col>
      <xdr:colOff>819149</xdr:colOff>
      <xdr:row>97</xdr:row>
      <xdr:rowOff>40217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095E042-B38D-F34C-28D1-7ABE23085D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23</xdr:col>
      <xdr:colOff>877358</xdr:colOff>
      <xdr:row>80</xdr:row>
      <xdr:rowOff>40216</xdr:rowOff>
    </xdr:from>
    <xdr:to>
      <xdr:col>28</xdr:col>
      <xdr:colOff>539750</xdr:colOff>
      <xdr:row>97</xdr:row>
      <xdr:rowOff>27516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6A95414-A51B-7F9C-BEE5-9F2230458C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2.DPKPD/MonevOBE/Sendiri/Portofolio-OBE/ProdiSI_Semester-1/Monev-CPMK/Form_Monev_Ketercapaian_CPMK(Teori%20Manajemen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2.DPKPD/MonevOBE/Sendiri/Portofolio-OBE/ProdiSI_Semester-1/Monev-CPMK/Form_Monev_Ketercapaian_CPMK(Teori%20Organisasi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2.DPKPD/MonevOBE/Sendiri/Portofolio-OBE/ProdiSI_Semester-1/Monev-CPMK/Form_Monev_Ketercapaian_CPMK(PSTI)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2.DPKPD/MonevOBE/Sendiri/Portofolio-OBE/ProdiSI_Semester-1/Monev-CPMK/Form_Monev_Ketercapaian_CPMK(LOGIKA%20DAN%20ALGORITMA)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2.DPKPD/MonevOBE/Sendiri/Portofolio-OBE/ProdiSI_Semester-1/Monev-CPMK/Form_Monev_Ketercapaian_CPMK(BAHASA%20PEMROGRAMAN)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2.DPKPD/MonevOBE/Sendiri/Portofolio-OBE/ProdiSI_Semester-1/Monev-CPMK/Form_Monev_Ketercapaian_CPMK(MANAJEMEN%20BASIS%20DATA)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2.DPKPD/MonevOBE/Sendiri/Portofolio-OBE/ProdiSI_Semester-1/Monev-CPMK/Form_Monev_Ketercapaian_CPMK(BAHASA%20INGGRIS%20DASAR)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2.DPKPD/MonevOBE/Sendiri/Portofolio-OBE/ProdiSI_Semester-1/Monev-CPMK/Form_Monev_Ketercapaian_CPMK(AGAMA)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2.DPKPD/MonevOBE/Sendiri/Portofolio-OBE/ProdiSI_Semester-1/Monev-CPMK/Form_Monev_Ketercapaian_CPMK(KEWARGANEGARAAN)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2.DPKPD/MonevOBE/Sendiri/Portofolio-OBE/Capaian_CPL/Pengukuran_Ketercapaian_CPL_Seluruh_Matakuliah_Dalam_Satu_Semester(Template&amp;Contoh%20SI%20Semester%20I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al1"/>
      <sheetName val="Sheet1"/>
    </sheetNames>
    <sheetDataSet>
      <sheetData sheetId="0"/>
      <sheetData sheetId="1">
        <row r="1">
          <cell r="AA1">
            <v>0</v>
          </cell>
          <cell r="AB1" t="str">
            <v>E</v>
          </cell>
        </row>
        <row r="2">
          <cell r="AA2">
            <v>45.4</v>
          </cell>
          <cell r="AB2" t="str">
            <v>D</v>
          </cell>
        </row>
        <row r="3">
          <cell r="AA3">
            <v>50.4</v>
          </cell>
          <cell r="AB3" t="str">
            <v>C-</v>
          </cell>
        </row>
        <row r="4">
          <cell r="AA4">
            <v>55.4</v>
          </cell>
          <cell r="AB4" t="str">
            <v>C</v>
          </cell>
        </row>
        <row r="5">
          <cell r="AA5">
            <v>60.4</v>
          </cell>
          <cell r="AB5" t="str">
            <v>C+</v>
          </cell>
        </row>
        <row r="6">
          <cell r="AA6">
            <v>65.400000000000006</v>
          </cell>
          <cell r="AB6" t="str">
            <v>B-</v>
          </cell>
        </row>
        <row r="7">
          <cell r="AA7">
            <v>70.400000000000006</v>
          </cell>
          <cell r="AB7" t="str">
            <v>B</v>
          </cell>
        </row>
        <row r="8">
          <cell r="AA8">
            <v>75.400000000000006</v>
          </cell>
          <cell r="AB8" t="str">
            <v>B+</v>
          </cell>
        </row>
        <row r="9">
          <cell r="AA9">
            <v>84.4</v>
          </cell>
          <cell r="AB9" t="str">
            <v>A-</v>
          </cell>
        </row>
        <row r="10">
          <cell r="AA10">
            <v>90.4</v>
          </cell>
          <cell r="AB10" t="str">
            <v>A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al1"/>
      <sheetName val="Sheet1"/>
    </sheetNames>
    <sheetDataSet>
      <sheetData sheetId="0"/>
      <sheetData sheetId="1">
        <row r="1">
          <cell r="AA1">
            <v>0</v>
          </cell>
          <cell r="AB1" t="str">
            <v>E</v>
          </cell>
        </row>
        <row r="2">
          <cell r="AA2">
            <v>45.4</v>
          </cell>
          <cell r="AB2" t="str">
            <v>D</v>
          </cell>
        </row>
        <row r="3">
          <cell r="AA3">
            <v>50.4</v>
          </cell>
          <cell r="AB3" t="str">
            <v>C-</v>
          </cell>
        </row>
        <row r="4">
          <cell r="AA4">
            <v>55.4</v>
          </cell>
          <cell r="AB4" t="str">
            <v>C</v>
          </cell>
        </row>
        <row r="5">
          <cell r="AA5">
            <v>60.4</v>
          </cell>
          <cell r="AB5" t="str">
            <v>C+</v>
          </cell>
        </row>
        <row r="6">
          <cell r="AA6">
            <v>65.400000000000006</v>
          </cell>
          <cell r="AB6" t="str">
            <v>B-</v>
          </cell>
        </row>
        <row r="7">
          <cell r="AA7">
            <v>70.400000000000006</v>
          </cell>
          <cell r="AB7" t="str">
            <v>B</v>
          </cell>
        </row>
        <row r="8">
          <cell r="AA8">
            <v>75.400000000000006</v>
          </cell>
          <cell r="AB8" t="str">
            <v>B+</v>
          </cell>
        </row>
        <row r="9">
          <cell r="AA9">
            <v>84.4</v>
          </cell>
          <cell r="AB9" t="str">
            <v>A-</v>
          </cell>
        </row>
        <row r="10">
          <cell r="AA10">
            <v>90.4</v>
          </cell>
          <cell r="AB10" t="str">
            <v>A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al1"/>
      <sheetName val="Sheet1"/>
    </sheetNames>
    <sheetDataSet>
      <sheetData sheetId="0"/>
      <sheetData sheetId="1">
        <row r="1">
          <cell r="AA1">
            <v>0</v>
          </cell>
          <cell r="AB1" t="str">
            <v>E</v>
          </cell>
        </row>
        <row r="2">
          <cell r="AA2">
            <v>45.4</v>
          </cell>
          <cell r="AB2" t="str">
            <v>D</v>
          </cell>
        </row>
        <row r="3">
          <cell r="AA3">
            <v>50.4</v>
          </cell>
          <cell r="AB3" t="str">
            <v>C-</v>
          </cell>
        </row>
        <row r="4">
          <cell r="AA4">
            <v>55.4</v>
          </cell>
          <cell r="AB4" t="str">
            <v>C</v>
          </cell>
        </row>
        <row r="5">
          <cell r="AA5">
            <v>60.4</v>
          </cell>
          <cell r="AB5" t="str">
            <v>C+</v>
          </cell>
        </row>
        <row r="6">
          <cell r="AA6">
            <v>65.400000000000006</v>
          </cell>
          <cell r="AB6" t="str">
            <v>B-</v>
          </cell>
        </row>
        <row r="7">
          <cell r="AA7">
            <v>70.400000000000006</v>
          </cell>
          <cell r="AB7" t="str">
            <v>B</v>
          </cell>
        </row>
        <row r="8">
          <cell r="AA8">
            <v>75.400000000000006</v>
          </cell>
          <cell r="AB8" t="str">
            <v>B+</v>
          </cell>
        </row>
        <row r="9">
          <cell r="AA9">
            <v>84.4</v>
          </cell>
          <cell r="AB9" t="str">
            <v>A-</v>
          </cell>
        </row>
        <row r="10">
          <cell r="AA10">
            <v>90.4</v>
          </cell>
          <cell r="AB10" t="str">
            <v>A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al1"/>
      <sheetName val="Sheet1"/>
    </sheetNames>
    <sheetDataSet>
      <sheetData sheetId="0"/>
      <sheetData sheetId="1">
        <row r="1">
          <cell r="AA1">
            <v>0</v>
          </cell>
          <cell r="AB1" t="str">
            <v>E</v>
          </cell>
        </row>
        <row r="2">
          <cell r="AA2">
            <v>45.4</v>
          </cell>
          <cell r="AB2" t="str">
            <v>D</v>
          </cell>
        </row>
        <row r="3">
          <cell r="AA3">
            <v>50.4</v>
          </cell>
          <cell r="AB3" t="str">
            <v>C-</v>
          </cell>
        </row>
        <row r="4">
          <cell r="AA4">
            <v>55.4</v>
          </cell>
          <cell r="AB4" t="str">
            <v>C</v>
          </cell>
        </row>
        <row r="5">
          <cell r="AA5">
            <v>60.4</v>
          </cell>
          <cell r="AB5" t="str">
            <v>C+</v>
          </cell>
        </row>
        <row r="6">
          <cell r="AA6">
            <v>65.400000000000006</v>
          </cell>
          <cell r="AB6" t="str">
            <v>B-</v>
          </cell>
        </row>
        <row r="7">
          <cell r="AA7">
            <v>70.400000000000006</v>
          </cell>
          <cell r="AB7" t="str">
            <v>B</v>
          </cell>
        </row>
        <row r="8">
          <cell r="AA8">
            <v>75.400000000000006</v>
          </cell>
          <cell r="AB8" t="str">
            <v>B+</v>
          </cell>
        </row>
        <row r="9">
          <cell r="AA9">
            <v>84.4</v>
          </cell>
          <cell r="AB9" t="str">
            <v>A-</v>
          </cell>
        </row>
        <row r="10">
          <cell r="AA10">
            <v>90.4</v>
          </cell>
          <cell r="AB10" t="str">
            <v>A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al1"/>
      <sheetName val="Sheet1"/>
    </sheetNames>
    <sheetDataSet>
      <sheetData sheetId="0"/>
      <sheetData sheetId="1">
        <row r="1">
          <cell r="AA1">
            <v>0</v>
          </cell>
          <cell r="AB1" t="str">
            <v>E</v>
          </cell>
        </row>
        <row r="2">
          <cell r="AA2">
            <v>45.4</v>
          </cell>
          <cell r="AB2" t="str">
            <v>D</v>
          </cell>
        </row>
        <row r="3">
          <cell r="AA3">
            <v>50.4</v>
          </cell>
          <cell r="AB3" t="str">
            <v>C-</v>
          </cell>
        </row>
        <row r="4">
          <cell r="AA4">
            <v>55.4</v>
          </cell>
          <cell r="AB4" t="str">
            <v>C</v>
          </cell>
        </row>
        <row r="5">
          <cell r="AA5">
            <v>60.4</v>
          </cell>
          <cell r="AB5" t="str">
            <v>C+</v>
          </cell>
        </row>
        <row r="6">
          <cell r="AA6">
            <v>65.400000000000006</v>
          </cell>
          <cell r="AB6" t="str">
            <v>B-</v>
          </cell>
        </row>
        <row r="7">
          <cell r="AA7">
            <v>70.400000000000006</v>
          </cell>
          <cell r="AB7" t="str">
            <v>B</v>
          </cell>
        </row>
        <row r="8">
          <cell r="AA8">
            <v>75.400000000000006</v>
          </cell>
          <cell r="AB8" t="str">
            <v>B+</v>
          </cell>
        </row>
        <row r="9">
          <cell r="AA9">
            <v>84.4</v>
          </cell>
          <cell r="AB9" t="str">
            <v>A-</v>
          </cell>
        </row>
        <row r="10">
          <cell r="AA10">
            <v>90.4</v>
          </cell>
          <cell r="AB10" t="str">
            <v>A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al1"/>
      <sheetName val="Sheet1"/>
    </sheetNames>
    <sheetDataSet>
      <sheetData sheetId="0"/>
      <sheetData sheetId="1">
        <row r="1">
          <cell r="AA1">
            <v>0</v>
          </cell>
          <cell r="AB1" t="str">
            <v>E</v>
          </cell>
        </row>
        <row r="2">
          <cell r="AA2">
            <v>45.4</v>
          </cell>
          <cell r="AB2" t="str">
            <v>D</v>
          </cell>
        </row>
        <row r="3">
          <cell r="AA3">
            <v>50.4</v>
          </cell>
          <cell r="AB3" t="str">
            <v>C-</v>
          </cell>
        </row>
        <row r="4">
          <cell r="AA4">
            <v>55.4</v>
          </cell>
          <cell r="AB4" t="str">
            <v>C</v>
          </cell>
        </row>
        <row r="5">
          <cell r="AA5">
            <v>60.4</v>
          </cell>
          <cell r="AB5" t="str">
            <v>C+</v>
          </cell>
        </row>
        <row r="6">
          <cell r="AA6">
            <v>65.400000000000006</v>
          </cell>
          <cell r="AB6" t="str">
            <v>B-</v>
          </cell>
        </row>
        <row r="7">
          <cell r="AA7">
            <v>70.400000000000006</v>
          </cell>
          <cell r="AB7" t="str">
            <v>B</v>
          </cell>
        </row>
        <row r="8">
          <cell r="AA8">
            <v>75.400000000000006</v>
          </cell>
          <cell r="AB8" t="str">
            <v>B+</v>
          </cell>
        </row>
        <row r="9">
          <cell r="AA9">
            <v>84.4</v>
          </cell>
          <cell r="AB9" t="str">
            <v>A-</v>
          </cell>
        </row>
        <row r="10">
          <cell r="AA10">
            <v>90.4</v>
          </cell>
          <cell r="AB10" t="str">
            <v>A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al1"/>
      <sheetName val="Sheet1"/>
    </sheetNames>
    <sheetDataSet>
      <sheetData sheetId="0"/>
      <sheetData sheetId="1">
        <row r="1">
          <cell r="AA1">
            <v>0</v>
          </cell>
          <cell r="AB1" t="str">
            <v>E</v>
          </cell>
        </row>
        <row r="2">
          <cell r="AA2">
            <v>45.4</v>
          </cell>
          <cell r="AB2" t="str">
            <v>D</v>
          </cell>
        </row>
        <row r="3">
          <cell r="AA3">
            <v>50.4</v>
          </cell>
          <cell r="AB3" t="str">
            <v>C-</v>
          </cell>
        </row>
        <row r="4">
          <cell r="AA4">
            <v>55.4</v>
          </cell>
          <cell r="AB4" t="str">
            <v>C</v>
          </cell>
        </row>
        <row r="5">
          <cell r="AA5">
            <v>60.4</v>
          </cell>
          <cell r="AB5" t="str">
            <v>C+</v>
          </cell>
        </row>
        <row r="6">
          <cell r="AA6">
            <v>65.400000000000006</v>
          </cell>
          <cell r="AB6" t="str">
            <v>B-</v>
          </cell>
        </row>
        <row r="7">
          <cell r="AA7">
            <v>70.400000000000006</v>
          </cell>
          <cell r="AB7" t="str">
            <v>B</v>
          </cell>
        </row>
        <row r="8">
          <cell r="AA8">
            <v>75.400000000000006</v>
          </cell>
          <cell r="AB8" t="str">
            <v>B+</v>
          </cell>
        </row>
        <row r="9">
          <cell r="AA9">
            <v>84.4</v>
          </cell>
          <cell r="AB9" t="str">
            <v>A-</v>
          </cell>
        </row>
        <row r="10">
          <cell r="AA10">
            <v>90.4</v>
          </cell>
          <cell r="AB10" t="str">
            <v>A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al1"/>
      <sheetName val="Sheet1"/>
    </sheetNames>
    <sheetDataSet>
      <sheetData sheetId="0"/>
      <sheetData sheetId="1">
        <row r="1">
          <cell r="AA1">
            <v>0</v>
          </cell>
          <cell r="AB1" t="str">
            <v>E</v>
          </cell>
        </row>
        <row r="2">
          <cell r="AA2">
            <v>45.4</v>
          </cell>
          <cell r="AB2" t="str">
            <v>D</v>
          </cell>
        </row>
        <row r="3">
          <cell r="AA3">
            <v>50.4</v>
          </cell>
          <cell r="AB3" t="str">
            <v>C-</v>
          </cell>
        </row>
        <row r="4">
          <cell r="AA4">
            <v>55.4</v>
          </cell>
          <cell r="AB4" t="str">
            <v>C</v>
          </cell>
        </row>
        <row r="5">
          <cell r="AA5">
            <v>60.4</v>
          </cell>
          <cell r="AB5" t="str">
            <v>C+</v>
          </cell>
        </row>
        <row r="6">
          <cell r="AA6">
            <v>65.400000000000006</v>
          </cell>
          <cell r="AB6" t="str">
            <v>B-</v>
          </cell>
        </row>
        <row r="7">
          <cell r="AA7">
            <v>70.400000000000006</v>
          </cell>
          <cell r="AB7" t="str">
            <v>B</v>
          </cell>
        </row>
        <row r="8">
          <cell r="AA8">
            <v>75.400000000000006</v>
          </cell>
          <cell r="AB8" t="str">
            <v>B+</v>
          </cell>
        </row>
        <row r="9">
          <cell r="AA9">
            <v>84.4</v>
          </cell>
          <cell r="AB9" t="str">
            <v>A-</v>
          </cell>
        </row>
        <row r="10">
          <cell r="AA10">
            <v>90.4</v>
          </cell>
          <cell r="AB10" t="str">
            <v>A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al1"/>
      <sheetName val="Sheet1"/>
    </sheetNames>
    <sheetDataSet>
      <sheetData sheetId="0"/>
      <sheetData sheetId="1">
        <row r="1">
          <cell r="AA1">
            <v>0</v>
          </cell>
          <cell r="AB1" t="str">
            <v>E</v>
          </cell>
        </row>
        <row r="2">
          <cell r="AA2">
            <v>45.4</v>
          </cell>
          <cell r="AB2" t="str">
            <v>D</v>
          </cell>
        </row>
        <row r="3">
          <cell r="AA3">
            <v>50.4</v>
          </cell>
          <cell r="AB3" t="str">
            <v>C-</v>
          </cell>
        </row>
        <row r="4">
          <cell r="AA4">
            <v>55.4</v>
          </cell>
          <cell r="AB4" t="str">
            <v>C</v>
          </cell>
        </row>
        <row r="5">
          <cell r="AA5">
            <v>60.4</v>
          </cell>
          <cell r="AB5" t="str">
            <v>C+</v>
          </cell>
        </row>
        <row r="6">
          <cell r="AA6">
            <v>65.400000000000006</v>
          </cell>
          <cell r="AB6" t="str">
            <v>B-</v>
          </cell>
        </row>
        <row r="7">
          <cell r="AA7">
            <v>70.400000000000006</v>
          </cell>
          <cell r="AB7" t="str">
            <v>B</v>
          </cell>
        </row>
        <row r="8">
          <cell r="AA8">
            <v>75.400000000000006</v>
          </cell>
          <cell r="AB8" t="str">
            <v>B+</v>
          </cell>
        </row>
        <row r="9">
          <cell r="AA9">
            <v>84.4</v>
          </cell>
          <cell r="AB9" t="str">
            <v>A-</v>
          </cell>
        </row>
        <row r="10">
          <cell r="AA10">
            <v>90.4</v>
          </cell>
          <cell r="AB10" t="str">
            <v>A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ngkatan2024"/>
      <sheetName val="Penguk.MK-CPL-I"/>
      <sheetName val="Sheet2"/>
      <sheetName val="Pengukuran.MK-CPL-II"/>
      <sheetName val="Pengukuran.MK-CPL-I+II"/>
      <sheetName val="Sheet1"/>
    </sheetNames>
    <sheetDataSet>
      <sheetData sheetId="0"/>
      <sheetData sheetId="1">
        <row r="8">
          <cell r="BP8" t="str">
            <v>CPMK011</v>
          </cell>
          <cell r="BQ8" t="str">
            <v>CPMK012</v>
          </cell>
          <cell r="BR8" t="str">
            <v>CPMK013</v>
          </cell>
          <cell r="BS8" t="str">
            <v>CPMK014</v>
          </cell>
          <cell r="BT8" t="str">
            <v>CPMK021</v>
          </cell>
          <cell r="BU8" t="str">
            <v>CPMK022</v>
          </cell>
          <cell r="BV8" t="str">
            <v>CPMK023</v>
          </cell>
          <cell r="BW8" t="str">
            <v>CPMK024</v>
          </cell>
          <cell r="BX8" t="str">
            <v>CPMK031</v>
          </cell>
          <cell r="BY8" t="str">
            <v>CPMK032</v>
          </cell>
          <cell r="BZ8" t="str">
            <v>CPMK033</v>
          </cell>
          <cell r="CA8" t="str">
            <v>CPMK041</v>
          </cell>
          <cell r="CB8" t="str">
            <v>CPMK042</v>
          </cell>
          <cell r="CC8" t="str">
            <v>CPMK051</v>
          </cell>
          <cell r="CD8" t="str">
            <v>CPMK052</v>
          </cell>
          <cell r="CE8" t="str">
            <v>CPMK061</v>
          </cell>
          <cell r="CF8" t="str">
            <v>CPMK062</v>
          </cell>
          <cell r="CG8" t="str">
            <v>CPMK063</v>
          </cell>
          <cell r="CH8" t="str">
            <v>CPMK064</v>
          </cell>
          <cell r="CI8" t="str">
            <v>CPMK071</v>
          </cell>
          <cell r="CJ8" t="str">
            <v>CPMK072</v>
          </cell>
          <cell r="CK8" t="str">
            <v>CPMK073</v>
          </cell>
          <cell r="CL8" t="str">
            <v>CPMK081</v>
          </cell>
          <cell r="CM8" t="str">
            <v>CPMK082</v>
          </cell>
          <cell r="CN8" t="str">
            <v>CPMK091</v>
          </cell>
          <cell r="CO8" t="str">
            <v>CPMK092</v>
          </cell>
          <cell r="CP8" t="str">
            <v>CPMK101</v>
          </cell>
          <cell r="CQ8" t="str">
            <v>CPMK102</v>
          </cell>
          <cell r="CR8" t="str">
            <v>CPMK111</v>
          </cell>
          <cell r="CS8" t="str">
            <v>CPMK112</v>
          </cell>
          <cell r="CT8" t="str">
            <v>CPMK121</v>
          </cell>
          <cell r="CU8" t="str">
            <v>CPMK122</v>
          </cell>
          <cell r="CV8" t="str">
            <v>CPMK131</v>
          </cell>
          <cell r="CW8" t="str">
            <v>CPMK132</v>
          </cell>
          <cell r="CX8" t="str">
            <v>CPMK141</v>
          </cell>
          <cell r="CY8" t="str">
            <v>CPMK142</v>
          </cell>
        </row>
        <row r="42">
          <cell r="BP42">
            <v>0.79069444444444437</v>
          </cell>
          <cell r="BQ42">
            <v>0.8412777777777779</v>
          </cell>
          <cell r="BR42">
            <v>0.80412777777777777</v>
          </cell>
          <cell r="BS42">
            <v>0.87131111111111104</v>
          </cell>
          <cell r="BT42">
            <v>0.73652777777777789</v>
          </cell>
          <cell r="BU42"/>
          <cell r="BV42"/>
          <cell r="BW42"/>
          <cell r="BX42"/>
          <cell r="BY42">
            <v>0.74609375</v>
          </cell>
          <cell r="BZ42">
            <v>0.7853</v>
          </cell>
          <cell r="CA42">
            <v>0.79738888888888881</v>
          </cell>
          <cell r="CB42"/>
          <cell r="CC42"/>
          <cell r="CD42"/>
          <cell r="CE42"/>
          <cell r="CF42"/>
          <cell r="CG42"/>
          <cell r="CH42"/>
          <cell r="CI42"/>
          <cell r="CJ42"/>
          <cell r="CK42"/>
          <cell r="CL42"/>
          <cell r="CM42"/>
          <cell r="CN42">
            <v>0.74599411764705903</v>
          </cell>
          <cell r="CO42">
            <v>0.80529375000000003</v>
          </cell>
          <cell r="CP42">
            <v>0.80584117647058806</v>
          </cell>
          <cell r="CQ42"/>
          <cell r="CR42"/>
          <cell r="CS42"/>
          <cell r="CT42">
            <v>0.7767187499999999</v>
          </cell>
          <cell r="CU42">
            <v>0.77671875000000001</v>
          </cell>
          <cell r="CV42">
            <v>0.89290244565217392</v>
          </cell>
          <cell r="CW42"/>
          <cell r="CX42">
            <v>0.760625</v>
          </cell>
          <cell r="CY42">
            <v>0.76062500000000011</v>
          </cell>
        </row>
        <row r="44">
          <cell r="C44" t="str">
            <v>CPL01</v>
          </cell>
          <cell r="F44">
            <v>0.8274545219638243</v>
          </cell>
        </row>
        <row r="45">
          <cell r="C45" t="str">
            <v>CPL02</v>
          </cell>
          <cell r="F45">
            <v>0.77250000000000019</v>
          </cell>
        </row>
        <row r="46">
          <cell r="C46" t="str">
            <v>CPL03</v>
          </cell>
          <cell r="F46">
            <v>0.7645264705882352</v>
          </cell>
        </row>
        <row r="47">
          <cell r="C47" t="str">
            <v>CPL04</v>
          </cell>
          <cell r="F47">
            <v>0.79136842105263161</v>
          </cell>
        </row>
        <row r="48">
          <cell r="C48" t="str">
            <v>CPL05</v>
          </cell>
          <cell r="F48">
            <v>0</v>
          </cell>
        </row>
        <row r="49">
          <cell r="C49" t="str">
            <v>CPL06</v>
          </cell>
          <cell r="F49">
            <v>0</v>
          </cell>
        </row>
        <row r="50">
          <cell r="C50" t="str">
            <v>CPL07</v>
          </cell>
          <cell r="F50">
            <v>0</v>
          </cell>
        </row>
        <row r="51">
          <cell r="C51" t="str">
            <v>CPL08</v>
          </cell>
          <cell r="F51">
            <v>0</v>
          </cell>
        </row>
        <row r="52">
          <cell r="C52" t="str">
            <v>CPL09</v>
          </cell>
          <cell r="F52">
            <v>0.75394705882352941</v>
          </cell>
        </row>
        <row r="53">
          <cell r="C53" t="str">
            <v>CPL10</v>
          </cell>
          <cell r="F53">
            <v>0.80412777777777755</v>
          </cell>
        </row>
        <row r="54">
          <cell r="C54" t="str">
            <v>CPL11</v>
          </cell>
          <cell r="F54">
            <v>0</v>
          </cell>
        </row>
        <row r="55">
          <cell r="C55" t="str">
            <v>CPL12</v>
          </cell>
          <cell r="F55">
            <v>0.73652777777777778</v>
          </cell>
        </row>
        <row r="56">
          <cell r="C56" t="str">
            <v>CPL13</v>
          </cell>
          <cell r="F56">
            <v>0.87748405797101459</v>
          </cell>
        </row>
        <row r="57">
          <cell r="C57" t="str">
            <v>CPL14</v>
          </cell>
          <cell r="F57">
            <v>0.71722222222222209</v>
          </cell>
        </row>
      </sheetData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D198A-8F73-4456-92CB-F1D59CC534B4}">
  <dimension ref="A1:C37"/>
  <sheetViews>
    <sheetView topLeftCell="A16" workbookViewId="0">
      <selection activeCell="B25" sqref="B25:C26"/>
    </sheetView>
  </sheetViews>
  <sheetFormatPr defaultRowHeight="14"/>
  <cols>
    <col min="1" max="1" width="3.08203125" bestFit="1" customWidth="1"/>
    <col min="2" max="2" width="12.4140625" bestFit="1" customWidth="1"/>
    <col min="3" max="3" width="37.8320312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97">
        <v>1</v>
      </c>
      <c r="B2" s="4" t="s">
        <v>187</v>
      </c>
      <c r="C2" s="4" t="s">
        <v>188</v>
      </c>
    </row>
    <row r="3" spans="1:3">
      <c r="A3" s="97">
        <v>2</v>
      </c>
      <c r="B3" s="4" t="s">
        <v>189</v>
      </c>
      <c r="C3" s="4" t="s">
        <v>190</v>
      </c>
    </row>
    <row r="4" spans="1:3">
      <c r="A4" s="97">
        <v>3</v>
      </c>
      <c r="B4" s="4" t="s">
        <v>191</v>
      </c>
      <c r="C4" s="4" t="s">
        <v>192</v>
      </c>
    </row>
    <row r="5" spans="1:3">
      <c r="A5" s="97">
        <v>4</v>
      </c>
      <c r="B5" s="4" t="s">
        <v>193</v>
      </c>
      <c r="C5" s="4" t="s">
        <v>194</v>
      </c>
    </row>
    <row r="6" spans="1:3">
      <c r="A6" s="97">
        <v>5</v>
      </c>
      <c r="B6" s="4" t="s">
        <v>195</v>
      </c>
      <c r="C6" s="4" t="s">
        <v>196</v>
      </c>
    </row>
    <row r="7" spans="1:3">
      <c r="A7" s="97">
        <v>6</v>
      </c>
      <c r="B7" s="4" t="s">
        <v>197</v>
      </c>
      <c r="C7" s="4" t="s">
        <v>198</v>
      </c>
    </row>
    <row r="8" spans="1:3">
      <c r="A8" s="97">
        <v>7</v>
      </c>
      <c r="B8" s="4" t="s">
        <v>199</v>
      </c>
      <c r="C8" s="4" t="s">
        <v>200</v>
      </c>
    </row>
    <row r="9" spans="1:3">
      <c r="A9" s="97">
        <v>8</v>
      </c>
      <c r="B9" s="4" t="s">
        <v>201</v>
      </c>
      <c r="C9" s="4" t="s">
        <v>202</v>
      </c>
    </row>
    <row r="10" spans="1:3">
      <c r="A10" s="97">
        <v>9</v>
      </c>
      <c r="B10" s="4" t="s">
        <v>203</v>
      </c>
      <c r="C10" s="4" t="s">
        <v>204</v>
      </c>
    </row>
    <row r="11" spans="1:3">
      <c r="A11" s="97">
        <v>10</v>
      </c>
      <c r="B11" s="4" t="s">
        <v>205</v>
      </c>
      <c r="C11" s="4" t="s">
        <v>206</v>
      </c>
    </row>
    <row r="12" spans="1:3">
      <c r="A12" s="97">
        <v>11</v>
      </c>
      <c r="B12" s="4" t="s">
        <v>255</v>
      </c>
      <c r="C12" s="4" t="s">
        <v>256</v>
      </c>
    </row>
    <row r="13" spans="1:3">
      <c r="A13" s="97">
        <v>12</v>
      </c>
      <c r="B13" s="4" t="s">
        <v>207</v>
      </c>
      <c r="C13" s="4" t="s">
        <v>208</v>
      </c>
    </row>
    <row r="14" spans="1:3">
      <c r="A14" s="97">
        <v>13</v>
      </c>
      <c r="B14" s="4" t="s">
        <v>209</v>
      </c>
      <c r="C14" s="4" t="s">
        <v>210</v>
      </c>
    </row>
    <row r="15" spans="1:3">
      <c r="A15" s="97">
        <v>14</v>
      </c>
      <c r="B15" s="4" t="s">
        <v>211</v>
      </c>
      <c r="C15" s="4" t="s">
        <v>212</v>
      </c>
    </row>
    <row r="16" spans="1:3">
      <c r="A16" s="97">
        <v>15</v>
      </c>
      <c r="B16" s="4" t="s">
        <v>213</v>
      </c>
      <c r="C16" s="4" t="s">
        <v>214</v>
      </c>
    </row>
    <row r="17" spans="1:3">
      <c r="A17" s="97">
        <v>16</v>
      </c>
      <c r="B17" s="4" t="s">
        <v>215</v>
      </c>
      <c r="C17" s="4" t="s">
        <v>216</v>
      </c>
    </row>
    <row r="18" spans="1:3">
      <c r="A18" s="97">
        <v>17</v>
      </c>
      <c r="B18" s="4" t="s">
        <v>217</v>
      </c>
      <c r="C18" s="4" t="s">
        <v>218</v>
      </c>
    </row>
    <row r="19" spans="1:3">
      <c r="A19" s="97">
        <v>18</v>
      </c>
      <c r="B19" s="4" t="s">
        <v>219</v>
      </c>
      <c r="C19" s="4" t="s">
        <v>220</v>
      </c>
    </row>
    <row r="20" spans="1:3">
      <c r="A20" s="97">
        <v>19</v>
      </c>
      <c r="B20" s="4" t="s">
        <v>221</v>
      </c>
      <c r="C20" s="4" t="s">
        <v>222</v>
      </c>
    </row>
    <row r="21" spans="1:3">
      <c r="A21" s="97">
        <v>20</v>
      </c>
      <c r="B21" s="4" t="s">
        <v>223</v>
      </c>
      <c r="C21" s="4" t="s">
        <v>224</v>
      </c>
    </row>
    <row r="22" spans="1:3">
      <c r="A22" s="97">
        <v>21</v>
      </c>
      <c r="B22" s="4" t="s">
        <v>225</v>
      </c>
      <c r="C22" s="4" t="s">
        <v>226</v>
      </c>
    </row>
    <row r="23" spans="1:3">
      <c r="A23" s="97">
        <v>22</v>
      </c>
      <c r="B23" s="4" t="s">
        <v>227</v>
      </c>
      <c r="C23" s="4" t="s">
        <v>228</v>
      </c>
    </row>
    <row r="24" spans="1:3">
      <c r="A24" s="97">
        <v>23</v>
      </c>
      <c r="B24" s="4" t="s">
        <v>229</v>
      </c>
      <c r="C24" s="4" t="s">
        <v>230</v>
      </c>
    </row>
    <row r="25" spans="1:3">
      <c r="A25" s="189">
        <v>24</v>
      </c>
      <c r="B25" s="4" t="s">
        <v>291</v>
      </c>
      <c r="C25" s="4" t="s">
        <v>292</v>
      </c>
    </row>
    <row r="26" spans="1:3">
      <c r="A26" s="189">
        <v>25</v>
      </c>
      <c r="B26" s="4" t="s">
        <v>293</v>
      </c>
      <c r="C26" s="4" t="s">
        <v>294</v>
      </c>
    </row>
    <row r="27" spans="1:3">
      <c r="A27" s="189">
        <v>26</v>
      </c>
      <c r="B27" s="4" t="s">
        <v>231</v>
      </c>
      <c r="C27" s="4" t="s">
        <v>232</v>
      </c>
    </row>
    <row r="28" spans="1:3">
      <c r="A28" s="189">
        <v>27</v>
      </c>
      <c r="B28" s="4" t="s">
        <v>233</v>
      </c>
      <c r="C28" s="4" t="s">
        <v>234</v>
      </c>
    </row>
    <row r="29" spans="1:3">
      <c r="A29" s="189">
        <v>28</v>
      </c>
      <c r="B29" s="4" t="s">
        <v>235</v>
      </c>
      <c r="C29" s="4" t="s">
        <v>236</v>
      </c>
    </row>
    <row r="30" spans="1:3">
      <c r="A30" s="189">
        <v>29</v>
      </c>
      <c r="B30" s="4" t="s">
        <v>237</v>
      </c>
      <c r="C30" s="4" t="s">
        <v>238</v>
      </c>
    </row>
    <row r="31" spans="1:3">
      <c r="A31" s="189">
        <v>30</v>
      </c>
      <c r="B31" s="4" t="s">
        <v>239</v>
      </c>
      <c r="C31" s="4" t="s">
        <v>240</v>
      </c>
    </row>
    <row r="32" spans="1:3">
      <c r="A32" s="189">
        <v>31</v>
      </c>
      <c r="B32" s="4" t="s">
        <v>241</v>
      </c>
      <c r="C32" s="4" t="s">
        <v>242</v>
      </c>
    </row>
    <row r="33" spans="1:3">
      <c r="A33" s="189">
        <v>32</v>
      </c>
      <c r="B33" s="4" t="s">
        <v>243</v>
      </c>
      <c r="C33" s="4" t="s">
        <v>244</v>
      </c>
    </row>
    <row r="34" spans="1:3">
      <c r="A34" s="189">
        <v>33</v>
      </c>
      <c r="B34" s="4" t="s">
        <v>245</v>
      </c>
      <c r="C34" s="4" t="s">
        <v>246</v>
      </c>
    </row>
    <row r="35" spans="1:3">
      <c r="A35" s="189">
        <v>34</v>
      </c>
      <c r="B35" s="4" t="s">
        <v>247</v>
      </c>
      <c r="C35" s="4" t="s">
        <v>248</v>
      </c>
    </row>
    <row r="36" spans="1:3">
      <c r="A36" s="189">
        <v>35</v>
      </c>
      <c r="B36" s="4" t="s">
        <v>249</v>
      </c>
      <c r="C36" s="4" t="s">
        <v>250</v>
      </c>
    </row>
    <row r="37" spans="1:3">
      <c r="A37" s="189">
        <v>36</v>
      </c>
      <c r="B37" s="4" t="s">
        <v>251</v>
      </c>
      <c r="C37" s="4" t="s">
        <v>252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98024-372E-473F-9241-86A76A638724}">
  <dimension ref="A1:AV938"/>
  <sheetViews>
    <sheetView workbookViewId="0">
      <selection activeCell="D8" sqref="D8"/>
    </sheetView>
  </sheetViews>
  <sheetFormatPr defaultRowHeight="14" customHeight="1"/>
  <cols>
    <col min="1" max="1" width="3.1640625" bestFit="1" customWidth="1"/>
    <col min="2" max="2" width="5.5" bestFit="1" customWidth="1"/>
    <col min="3" max="3" width="4.9140625" bestFit="1" customWidth="1"/>
    <col min="4" max="4" width="15.1640625" bestFit="1" customWidth="1"/>
    <col min="5" max="5" width="43.9140625" bestFit="1" customWidth="1"/>
    <col min="6" max="6" width="8.08203125" bestFit="1" customWidth="1"/>
    <col min="7" max="7" width="4.4140625" bestFit="1" customWidth="1"/>
    <col min="8" max="15" width="1.75" bestFit="1" customWidth="1"/>
  </cols>
  <sheetData>
    <row r="1" spans="1:48" ht="14" customHeight="1" thickBot="1">
      <c r="A1" s="22" t="s">
        <v>0</v>
      </c>
      <c r="B1" s="23" t="s">
        <v>45</v>
      </c>
      <c r="C1" s="22" t="s">
        <v>46</v>
      </c>
      <c r="D1" s="22" t="s">
        <v>41</v>
      </c>
      <c r="E1" s="23" t="s">
        <v>42</v>
      </c>
      <c r="F1" s="23" t="s">
        <v>43</v>
      </c>
      <c r="G1" s="23" t="s">
        <v>44</v>
      </c>
      <c r="H1" s="24">
        <v>1</v>
      </c>
      <c r="I1" s="24">
        <v>2</v>
      </c>
      <c r="J1" s="24">
        <v>3</v>
      </c>
      <c r="K1" s="24">
        <v>4</v>
      </c>
      <c r="L1" s="24">
        <v>5</v>
      </c>
      <c r="M1" s="24">
        <v>6</v>
      </c>
      <c r="N1" s="24">
        <v>7</v>
      </c>
      <c r="O1" s="24">
        <v>8</v>
      </c>
      <c r="P1" s="25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0"/>
      <c r="AF1" s="12" t="s">
        <v>0</v>
      </c>
      <c r="AG1" s="13"/>
      <c r="AH1" s="12" t="s">
        <v>41</v>
      </c>
      <c r="AI1" s="14" t="s">
        <v>42</v>
      </c>
      <c r="AJ1" s="12" t="s">
        <v>43</v>
      </c>
      <c r="AK1" s="14" t="s">
        <v>44</v>
      </c>
      <c r="AL1" s="15">
        <v>1</v>
      </c>
      <c r="AM1" s="15">
        <v>2</v>
      </c>
      <c r="AN1" s="15">
        <v>3</v>
      </c>
      <c r="AO1" s="15">
        <v>4</v>
      </c>
      <c r="AP1" s="15">
        <v>5</v>
      </c>
      <c r="AQ1" s="15">
        <v>6</v>
      </c>
      <c r="AR1" s="15">
        <v>7</v>
      </c>
      <c r="AS1" s="15">
        <v>8</v>
      </c>
      <c r="AT1" s="9"/>
      <c r="AU1" s="9"/>
      <c r="AV1" s="9"/>
    </row>
    <row r="2" spans="1:48" ht="14" customHeight="1" thickBot="1">
      <c r="A2" s="26">
        <v>1</v>
      </c>
      <c r="B2" s="26" t="s">
        <v>74</v>
      </c>
      <c r="C2" s="26">
        <v>2</v>
      </c>
      <c r="D2" s="193" t="s">
        <v>295</v>
      </c>
      <c r="E2" s="98" t="s">
        <v>296</v>
      </c>
      <c r="F2" s="27" t="s">
        <v>50</v>
      </c>
      <c r="G2" s="195">
        <v>3</v>
      </c>
      <c r="H2" s="28" t="s">
        <v>51</v>
      </c>
      <c r="I2" s="29"/>
      <c r="J2" s="29"/>
      <c r="K2" s="29"/>
      <c r="L2" s="29"/>
      <c r="M2" s="29"/>
      <c r="N2" s="29"/>
      <c r="O2" s="29"/>
      <c r="P2" s="25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0"/>
      <c r="AF2" s="16">
        <v>1</v>
      </c>
      <c r="AG2" s="16" t="s">
        <v>47</v>
      </c>
      <c r="AH2" s="17" t="s">
        <v>48</v>
      </c>
      <c r="AI2" s="18" t="s">
        <v>49</v>
      </c>
      <c r="AJ2" s="6" t="s">
        <v>50</v>
      </c>
      <c r="AK2" s="7">
        <v>2</v>
      </c>
      <c r="AL2" s="8" t="s">
        <v>51</v>
      </c>
      <c r="AM2" s="5"/>
      <c r="AN2" s="5"/>
      <c r="AO2" s="5"/>
      <c r="AP2" s="5"/>
      <c r="AQ2" s="5"/>
      <c r="AR2" s="5"/>
      <c r="AS2" s="5"/>
      <c r="AT2" s="9"/>
      <c r="AU2" s="9"/>
      <c r="AV2" s="9"/>
    </row>
    <row r="3" spans="1:48" ht="14" customHeight="1" thickBot="1">
      <c r="A3" s="26">
        <v>2</v>
      </c>
      <c r="B3" s="26" t="s">
        <v>309</v>
      </c>
      <c r="C3" s="26">
        <v>2</v>
      </c>
      <c r="D3" s="194" t="s">
        <v>297</v>
      </c>
      <c r="E3" s="100" t="s">
        <v>298</v>
      </c>
      <c r="F3" s="27" t="s">
        <v>50</v>
      </c>
      <c r="G3" s="196">
        <v>3</v>
      </c>
      <c r="H3" s="28" t="s">
        <v>51</v>
      </c>
      <c r="I3" s="29"/>
      <c r="J3" s="29"/>
      <c r="K3" s="29"/>
      <c r="L3" s="29"/>
      <c r="M3" s="29"/>
      <c r="N3" s="29"/>
      <c r="O3" s="29"/>
      <c r="P3" s="25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0"/>
      <c r="AF3" s="16">
        <v>2</v>
      </c>
      <c r="AG3" s="16" t="s">
        <v>52</v>
      </c>
      <c r="AH3" s="17" t="s">
        <v>53</v>
      </c>
      <c r="AI3" s="18" t="s">
        <v>54</v>
      </c>
      <c r="AJ3" s="6" t="s">
        <v>50</v>
      </c>
      <c r="AK3" s="7">
        <v>2</v>
      </c>
      <c r="AL3" s="8" t="s">
        <v>51</v>
      </c>
      <c r="AM3" s="5"/>
      <c r="AN3" s="5"/>
      <c r="AO3" s="5"/>
      <c r="AP3" s="5"/>
      <c r="AQ3" s="5"/>
      <c r="AR3" s="5"/>
      <c r="AS3" s="5"/>
      <c r="AT3" s="9"/>
      <c r="AU3" s="9"/>
      <c r="AV3" s="9"/>
    </row>
    <row r="4" spans="1:48" ht="14" customHeight="1" thickBot="1">
      <c r="A4" s="26">
        <v>3</v>
      </c>
      <c r="B4" s="26" t="s">
        <v>310</v>
      </c>
      <c r="C4" s="26">
        <v>2</v>
      </c>
      <c r="D4" s="194" t="s">
        <v>299</v>
      </c>
      <c r="E4" s="100" t="s">
        <v>300</v>
      </c>
      <c r="F4" s="27" t="s">
        <v>50</v>
      </c>
      <c r="G4" s="196">
        <v>3</v>
      </c>
      <c r="H4" s="28" t="s">
        <v>51</v>
      </c>
      <c r="I4" s="29"/>
      <c r="J4" s="29"/>
      <c r="K4" s="29"/>
      <c r="L4" s="29"/>
      <c r="M4" s="29"/>
      <c r="N4" s="29"/>
      <c r="O4" s="29"/>
      <c r="P4" s="25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0"/>
      <c r="AF4" s="16">
        <v>3</v>
      </c>
      <c r="AG4" s="16" t="s">
        <v>55</v>
      </c>
      <c r="AH4" s="17" t="s">
        <v>56</v>
      </c>
      <c r="AI4" s="18" t="s">
        <v>57</v>
      </c>
      <c r="AJ4" s="6" t="s">
        <v>50</v>
      </c>
      <c r="AK4" s="7">
        <v>2</v>
      </c>
      <c r="AL4" s="8" t="s">
        <v>51</v>
      </c>
      <c r="AM4" s="5"/>
      <c r="AN4" s="5"/>
      <c r="AO4" s="5"/>
      <c r="AP4" s="5"/>
      <c r="AQ4" s="5"/>
      <c r="AR4" s="5"/>
      <c r="AS4" s="5"/>
      <c r="AT4" s="9"/>
      <c r="AU4" s="9"/>
      <c r="AV4" s="9"/>
    </row>
    <row r="5" spans="1:48" ht="14" customHeight="1" thickBot="1">
      <c r="A5" s="26">
        <v>4</v>
      </c>
      <c r="B5" s="26" t="s">
        <v>311</v>
      </c>
      <c r="C5" s="26">
        <v>2</v>
      </c>
      <c r="D5" s="194" t="s">
        <v>301</v>
      </c>
      <c r="E5" s="100" t="s">
        <v>302</v>
      </c>
      <c r="F5" s="27" t="s">
        <v>50</v>
      </c>
      <c r="G5" s="196">
        <v>3</v>
      </c>
      <c r="H5" s="28" t="s">
        <v>51</v>
      </c>
      <c r="I5" s="29"/>
      <c r="J5" s="29"/>
      <c r="K5" s="29"/>
      <c r="L5" s="29"/>
      <c r="M5" s="29"/>
      <c r="N5" s="29"/>
      <c r="O5" s="29"/>
      <c r="P5" s="25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0"/>
      <c r="AF5" s="16">
        <v>4</v>
      </c>
      <c r="AG5" s="16" t="s">
        <v>58</v>
      </c>
      <c r="AH5" s="17" t="s">
        <v>59</v>
      </c>
      <c r="AI5" s="18" t="s">
        <v>60</v>
      </c>
      <c r="AJ5" s="6" t="s">
        <v>50</v>
      </c>
      <c r="AK5" s="7">
        <v>3</v>
      </c>
      <c r="AL5" s="8" t="s">
        <v>51</v>
      </c>
      <c r="AM5" s="5"/>
      <c r="AN5" s="5"/>
      <c r="AO5" s="5"/>
      <c r="AP5" s="5"/>
      <c r="AQ5" s="5"/>
      <c r="AR5" s="5"/>
      <c r="AS5" s="5"/>
      <c r="AT5" s="9"/>
      <c r="AU5" s="9"/>
      <c r="AV5" s="9"/>
    </row>
    <row r="6" spans="1:48" ht="14" customHeight="1" thickBot="1">
      <c r="A6" s="26">
        <v>5</v>
      </c>
      <c r="B6" s="26" t="s">
        <v>312</v>
      </c>
      <c r="C6" s="26">
        <v>2</v>
      </c>
      <c r="D6" s="194" t="s">
        <v>303</v>
      </c>
      <c r="E6" s="100" t="s">
        <v>304</v>
      </c>
      <c r="F6" s="27" t="s">
        <v>50</v>
      </c>
      <c r="G6" s="196">
        <v>3</v>
      </c>
      <c r="H6" s="28" t="s">
        <v>51</v>
      </c>
      <c r="I6" s="29"/>
      <c r="J6" s="29"/>
      <c r="K6" s="29"/>
      <c r="L6" s="29"/>
      <c r="M6" s="29"/>
      <c r="N6" s="29"/>
      <c r="O6" s="29"/>
      <c r="P6" s="25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0"/>
      <c r="AF6" s="16">
        <v>5</v>
      </c>
      <c r="AG6" s="16" t="s">
        <v>61</v>
      </c>
      <c r="AH6" s="17" t="s">
        <v>62</v>
      </c>
      <c r="AI6" s="18" t="s">
        <v>63</v>
      </c>
      <c r="AJ6" s="6" t="s">
        <v>50</v>
      </c>
      <c r="AK6" s="7">
        <v>2</v>
      </c>
      <c r="AL6" s="8" t="s">
        <v>51</v>
      </c>
      <c r="AM6" s="5"/>
      <c r="AN6" s="5"/>
      <c r="AO6" s="5"/>
      <c r="AP6" s="5"/>
      <c r="AQ6" s="5"/>
      <c r="AR6" s="5"/>
      <c r="AS6" s="5"/>
      <c r="AT6" s="9"/>
      <c r="AU6" s="9"/>
      <c r="AV6" s="9"/>
    </row>
    <row r="7" spans="1:48" ht="14" customHeight="1" thickBot="1">
      <c r="A7" s="26">
        <v>6</v>
      </c>
      <c r="B7" s="26" t="s">
        <v>313</v>
      </c>
      <c r="C7" s="26">
        <v>2</v>
      </c>
      <c r="D7" s="99" t="s">
        <v>305</v>
      </c>
      <c r="E7" s="100" t="s">
        <v>306</v>
      </c>
      <c r="F7" s="27" t="s">
        <v>50</v>
      </c>
      <c r="G7" s="196">
        <v>2</v>
      </c>
      <c r="H7" s="28" t="s">
        <v>51</v>
      </c>
      <c r="I7" s="29"/>
      <c r="J7" s="29"/>
      <c r="K7" s="29"/>
      <c r="L7" s="29"/>
      <c r="M7" s="29"/>
      <c r="N7" s="29"/>
      <c r="O7" s="29"/>
      <c r="P7" s="25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0"/>
      <c r="AF7" s="16">
        <v>6</v>
      </c>
      <c r="AG7" s="16" t="s">
        <v>64</v>
      </c>
      <c r="AH7" s="17" t="s">
        <v>65</v>
      </c>
      <c r="AI7" s="18" t="s">
        <v>66</v>
      </c>
      <c r="AJ7" s="6" t="s">
        <v>50</v>
      </c>
      <c r="AK7" s="7">
        <v>3</v>
      </c>
      <c r="AL7" s="8" t="s">
        <v>51</v>
      </c>
      <c r="AM7" s="5"/>
      <c r="AN7" s="19"/>
      <c r="AO7" s="5"/>
      <c r="AP7" s="5"/>
      <c r="AQ7" s="5"/>
      <c r="AR7" s="5"/>
      <c r="AS7" s="5"/>
      <c r="AT7" s="9"/>
      <c r="AU7" s="9"/>
      <c r="AV7" s="9"/>
    </row>
    <row r="8" spans="1:48" ht="14" customHeight="1" thickBot="1">
      <c r="A8" s="26">
        <v>7</v>
      </c>
      <c r="B8" s="26" t="s">
        <v>314</v>
      </c>
      <c r="C8" s="26">
        <v>2</v>
      </c>
      <c r="D8" s="99" t="s">
        <v>307</v>
      </c>
      <c r="E8" s="100" t="s">
        <v>308</v>
      </c>
      <c r="F8" s="27" t="s">
        <v>50</v>
      </c>
      <c r="G8" s="196">
        <v>2</v>
      </c>
      <c r="H8" s="28" t="s">
        <v>51</v>
      </c>
      <c r="I8" s="29"/>
      <c r="J8" s="29"/>
      <c r="K8" s="29"/>
      <c r="L8" s="29"/>
      <c r="M8" s="29"/>
      <c r="N8" s="29"/>
      <c r="O8" s="29"/>
      <c r="P8" s="25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0"/>
      <c r="AF8" s="16">
        <v>7</v>
      </c>
      <c r="AG8" s="16" t="s">
        <v>67</v>
      </c>
      <c r="AH8" s="17" t="s">
        <v>69</v>
      </c>
      <c r="AI8" s="18" t="s">
        <v>68</v>
      </c>
      <c r="AJ8" s="6" t="s">
        <v>50</v>
      </c>
      <c r="AK8" s="7">
        <v>3</v>
      </c>
      <c r="AL8" s="8" t="s">
        <v>51</v>
      </c>
      <c r="AM8" s="5"/>
      <c r="AN8" s="5"/>
      <c r="AO8" s="5"/>
      <c r="AP8" s="5"/>
      <c r="AQ8" s="5"/>
      <c r="AR8" s="5"/>
      <c r="AS8" s="5"/>
      <c r="AT8" s="9"/>
      <c r="AU8" s="9"/>
      <c r="AV8" s="9"/>
    </row>
    <row r="9" spans="1:48" ht="14" customHeight="1" thickBot="1">
      <c r="A9" s="26"/>
      <c r="B9" s="26"/>
      <c r="C9" s="26"/>
      <c r="D9" s="99"/>
      <c r="E9" s="102"/>
      <c r="F9" s="27"/>
      <c r="G9" s="101"/>
      <c r="H9" s="28"/>
      <c r="I9" s="30"/>
      <c r="J9" s="29"/>
      <c r="K9" s="29"/>
      <c r="L9" s="29"/>
      <c r="M9" s="29"/>
      <c r="N9" s="29"/>
      <c r="O9" s="29"/>
      <c r="P9" s="25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0"/>
      <c r="AF9" s="16">
        <v>8</v>
      </c>
      <c r="AG9" s="16" t="s">
        <v>70</v>
      </c>
      <c r="AH9" s="17" t="s">
        <v>72</v>
      </c>
      <c r="AI9" s="18" t="s">
        <v>71</v>
      </c>
      <c r="AJ9" s="6" t="s">
        <v>50</v>
      </c>
      <c r="AK9" s="7">
        <v>2</v>
      </c>
      <c r="AL9" s="8" t="s">
        <v>51</v>
      </c>
      <c r="AM9" s="5"/>
      <c r="AN9" s="5"/>
      <c r="AO9" s="5"/>
      <c r="AP9" s="5"/>
      <c r="AQ9" s="5"/>
      <c r="AR9" s="5"/>
      <c r="AS9" s="5"/>
      <c r="AT9" s="9"/>
      <c r="AU9" s="9"/>
      <c r="AV9" s="9"/>
    </row>
    <row r="10" spans="1:48" ht="14" customHeight="1" thickBot="1">
      <c r="A10" s="233">
        <f>SUM(G2:G8)</f>
        <v>19</v>
      </c>
      <c r="B10" s="234"/>
      <c r="C10" s="234"/>
      <c r="D10" s="234"/>
      <c r="E10" s="235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5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0"/>
      <c r="AF10" s="16">
        <v>9</v>
      </c>
      <c r="AG10" s="16" t="s">
        <v>74</v>
      </c>
      <c r="AH10" s="17" t="s">
        <v>75</v>
      </c>
      <c r="AI10" s="18" t="s">
        <v>76</v>
      </c>
      <c r="AJ10" s="6" t="s">
        <v>50</v>
      </c>
      <c r="AK10" s="7">
        <v>3</v>
      </c>
      <c r="AL10" s="5"/>
      <c r="AM10" s="8" t="s">
        <v>51</v>
      </c>
      <c r="AN10" s="5"/>
      <c r="AO10" s="5"/>
      <c r="AP10" s="5"/>
      <c r="AQ10" s="5"/>
      <c r="AR10" s="5"/>
      <c r="AS10" s="5"/>
      <c r="AT10" s="9"/>
      <c r="AU10" s="9"/>
      <c r="AV10" s="9"/>
    </row>
    <row r="11" spans="1:48" ht="14" customHeight="1" thickBot="1">
      <c r="A11" s="31"/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</row>
    <row r="12" spans="1:48" ht="14" customHeight="1" thickBot="1">
      <c r="A12" s="31"/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</row>
    <row r="13" spans="1:48" ht="14" customHeight="1" thickBot="1">
      <c r="A13" s="31"/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</row>
    <row r="14" spans="1:48" ht="14" customHeight="1" thickBot="1">
      <c r="A14" s="31"/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</row>
    <row r="15" spans="1:48" ht="14" customHeight="1" thickBot="1">
      <c r="A15" s="31"/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</row>
    <row r="16" spans="1:48" ht="14" customHeight="1" thickBot="1">
      <c r="A16" s="31"/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</row>
    <row r="17" spans="1:48" ht="14" customHeight="1" thickBot="1">
      <c r="A17" s="31"/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</row>
    <row r="18" spans="1:48" ht="14" customHeight="1" thickBot="1">
      <c r="A18" s="31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</row>
    <row r="19" spans="1:48" ht="14" customHeight="1" thickBot="1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</row>
    <row r="20" spans="1:48" ht="14" customHeight="1" thickBot="1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</row>
    <row r="21" spans="1:48" ht="14" customHeight="1" thickBot="1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</row>
    <row r="22" spans="1:48" ht="14" customHeight="1" thickBot="1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</row>
    <row r="23" spans="1:48" ht="14" customHeight="1" thickBot="1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</row>
    <row r="24" spans="1:48" ht="14" customHeight="1" thickBot="1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</row>
    <row r="25" spans="1:48" ht="14" customHeight="1" thickBot="1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</row>
    <row r="26" spans="1:48" ht="14" customHeight="1" thickBot="1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</row>
    <row r="27" spans="1:48" ht="14" customHeight="1" thickBot="1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</row>
    <row r="28" spans="1:48" ht="14" customHeight="1" thickBot="1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</row>
    <row r="29" spans="1:48" ht="14" customHeight="1" thickBot="1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</row>
    <row r="30" spans="1:48" ht="14" customHeight="1" thickBot="1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</row>
    <row r="31" spans="1:48" ht="14" customHeight="1" thickBot="1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</row>
    <row r="32" spans="1:48" ht="14" customHeight="1" thickBot="1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</row>
    <row r="33" spans="1:48" ht="14" customHeight="1" thickBot="1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</row>
    <row r="34" spans="1:48" ht="14" customHeight="1" thickBot="1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</row>
    <row r="35" spans="1:48" ht="14" customHeight="1" thickBot="1">
      <c r="A35" s="31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</row>
    <row r="36" spans="1:48" ht="14" customHeight="1" thickBot="1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</row>
    <row r="37" spans="1:48" ht="14" customHeight="1" thickBot="1">
      <c r="A37" s="31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</row>
    <row r="38" spans="1:48" ht="14" customHeight="1" thickBot="1">
      <c r="A38" s="31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</row>
    <row r="39" spans="1:48" ht="14" customHeight="1" thickBot="1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</row>
    <row r="40" spans="1:48" ht="14" customHeight="1" thickBot="1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</row>
    <row r="41" spans="1:48" ht="14" customHeight="1" thickBot="1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</row>
    <row r="42" spans="1:48" ht="14" customHeight="1" thickBot="1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</row>
    <row r="43" spans="1:48" ht="14" customHeight="1" thickBot="1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</row>
    <row r="44" spans="1:48" ht="14" customHeight="1" thickBot="1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</row>
    <row r="45" spans="1:48" ht="14" customHeight="1" thickBot="1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</row>
    <row r="46" spans="1:48" ht="14" customHeight="1" thickBot="1">
      <c r="A46" s="31"/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</row>
    <row r="47" spans="1:48" ht="14" customHeight="1" thickBot="1">
      <c r="A47" s="31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</row>
    <row r="48" spans="1:48" ht="14" customHeight="1" thickBot="1">
      <c r="A48" s="31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</row>
    <row r="49" spans="1:48" ht="14" customHeight="1" thickBot="1">
      <c r="A49" s="31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</row>
    <row r="50" spans="1:48" ht="14" customHeight="1" thickBot="1">
      <c r="A50" s="31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</row>
    <row r="51" spans="1:48" ht="14" customHeight="1" thickBot="1">
      <c r="A51" s="31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</row>
    <row r="52" spans="1:48" ht="14" customHeight="1" thickBot="1">
      <c r="A52" s="31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</row>
    <row r="53" spans="1:48" ht="14" customHeight="1" thickBot="1">
      <c r="A53" s="31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</row>
    <row r="54" spans="1:48" ht="14" customHeight="1" thickBot="1">
      <c r="A54" s="31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</row>
    <row r="55" spans="1:48" ht="14" customHeight="1" thickBot="1">
      <c r="A55" s="31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</row>
    <row r="56" spans="1:48" ht="14" customHeight="1" thickBot="1">
      <c r="A56" s="31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</row>
    <row r="57" spans="1:48" ht="14" customHeight="1" thickBot="1">
      <c r="A57" s="31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</row>
    <row r="58" spans="1:48" ht="14" customHeight="1" thickBot="1">
      <c r="A58" s="31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</row>
    <row r="59" spans="1:48" ht="14" customHeight="1" thickBot="1">
      <c r="A59" s="31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</row>
    <row r="60" spans="1:48" ht="14" customHeight="1" thickBot="1">
      <c r="A60" s="31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</row>
    <row r="61" spans="1:48" ht="14" customHeight="1" thickBot="1">
      <c r="A61" s="31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</row>
    <row r="62" spans="1:48" ht="14" customHeight="1" thickBot="1">
      <c r="A62" s="31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</row>
    <row r="63" spans="1:48" ht="14" customHeight="1" thickBot="1">
      <c r="A63" s="31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</row>
    <row r="64" spans="1:48" ht="14" customHeight="1" thickBot="1">
      <c r="A64" s="31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</row>
    <row r="65" spans="1:48" ht="14" customHeight="1" thickBot="1">
      <c r="A65" s="31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</row>
    <row r="66" spans="1:48" ht="14" customHeight="1" thickBot="1">
      <c r="A66" s="31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</row>
    <row r="67" spans="1:48" ht="14" customHeight="1" thickBot="1">
      <c r="A67" s="31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</row>
    <row r="68" spans="1:48" ht="14" customHeight="1" thickBot="1">
      <c r="A68" s="31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</row>
    <row r="69" spans="1:48" ht="14" customHeight="1" thickBot="1">
      <c r="A69" s="31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</row>
    <row r="70" spans="1:48" ht="14" customHeight="1" thickBot="1">
      <c r="A70" s="31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</row>
    <row r="71" spans="1:48" ht="14" customHeight="1" thickBot="1">
      <c r="A71" s="31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</row>
    <row r="72" spans="1:48" ht="14" customHeight="1" thickBot="1">
      <c r="A72" s="31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</row>
    <row r="73" spans="1:48" ht="14" customHeight="1" thickBot="1">
      <c r="A73" s="31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</row>
    <row r="74" spans="1:48" ht="14" customHeight="1" thickBot="1">
      <c r="A74" s="31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</row>
    <row r="75" spans="1:48" ht="14" customHeight="1" thickBot="1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</row>
    <row r="76" spans="1:48" ht="14" customHeight="1" thickBot="1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</row>
    <row r="77" spans="1:48" ht="14" customHeight="1" thickBot="1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</row>
    <row r="78" spans="1:48" ht="14" customHeight="1" thickBot="1">
      <c r="A78" s="31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</row>
    <row r="79" spans="1:48" ht="14" customHeight="1" thickBot="1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</row>
    <row r="80" spans="1:48" ht="14" customHeight="1" thickBot="1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</row>
    <row r="81" spans="1:48" ht="14" customHeight="1" thickBot="1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</row>
    <row r="82" spans="1:48" ht="14" customHeight="1" thickBot="1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</row>
    <row r="83" spans="1:48" ht="14" customHeight="1" thickBot="1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</row>
    <row r="84" spans="1:48" ht="14" customHeight="1" thickBot="1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</row>
    <row r="85" spans="1:48" ht="14" customHeight="1" thickBot="1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</row>
    <row r="86" spans="1:48" ht="14" customHeight="1" thickBot="1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</row>
    <row r="87" spans="1:48" ht="14" customHeight="1" thickBot="1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</row>
    <row r="88" spans="1:48" ht="14" customHeight="1" thickBot="1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</row>
    <row r="89" spans="1:48" ht="14" customHeight="1" thickBot="1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</row>
    <row r="90" spans="1:48" ht="14" customHeight="1" thickBot="1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</row>
    <row r="91" spans="1:48" ht="14" customHeight="1" thickBot="1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</row>
    <row r="92" spans="1:48" ht="14" customHeight="1" thickBot="1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</row>
    <row r="93" spans="1:48" ht="14" customHeight="1" thickBot="1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</row>
    <row r="94" spans="1:48" ht="14" customHeight="1" thickBot="1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</row>
    <row r="95" spans="1:48" ht="14" customHeight="1" thickBot="1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</row>
    <row r="96" spans="1:48" ht="14" customHeight="1" thickBot="1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</row>
    <row r="97" spans="1:48" ht="14" customHeight="1" thickBot="1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</row>
    <row r="98" spans="1:48" ht="14" customHeight="1" thickBot="1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</row>
    <row r="99" spans="1:48" ht="14" customHeight="1" thickBot="1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</row>
    <row r="100" spans="1:48" ht="14" customHeight="1" thickBot="1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</row>
    <row r="101" spans="1:48" ht="14" customHeight="1" thickBot="1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</row>
    <row r="102" spans="1:48" ht="14" customHeight="1" thickBot="1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</row>
    <row r="103" spans="1:48" ht="14" customHeight="1" thickBot="1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</row>
    <row r="104" spans="1:48" ht="14" customHeight="1" thickBot="1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</row>
    <row r="105" spans="1:48" ht="14" customHeight="1" thickBot="1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</row>
    <row r="106" spans="1:48" ht="14" customHeight="1" thickBot="1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</row>
    <row r="107" spans="1:48" ht="14" customHeight="1" thickBot="1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</row>
    <row r="108" spans="1:48" ht="14" customHeight="1" thickBot="1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</row>
    <row r="109" spans="1:48" ht="14" customHeight="1" thickBot="1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</row>
    <row r="110" spans="1:48" ht="14" customHeight="1" thickBot="1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</row>
    <row r="111" spans="1:48" ht="14" customHeight="1" thickBot="1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</row>
    <row r="112" spans="1:48" ht="14" customHeight="1" thickBot="1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</row>
    <row r="113" spans="1:48" ht="14" customHeight="1" thickBot="1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</row>
    <row r="114" spans="1:48" ht="14" customHeight="1" thickBot="1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</row>
    <row r="115" spans="1:48" ht="14" customHeight="1" thickBot="1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</row>
    <row r="116" spans="1:48" ht="14" customHeight="1" thickBot="1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</row>
    <row r="117" spans="1:48" ht="14" customHeight="1" thickBot="1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</row>
    <row r="118" spans="1:48" ht="14" customHeight="1" thickBot="1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</row>
    <row r="119" spans="1:48" ht="14" customHeight="1" thickBot="1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</row>
    <row r="120" spans="1:48" ht="14" customHeight="1" thickBot="1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</row>
    <row r="121" spans="1:48" ht="14" customHeight="1" thickBot="1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</row>
    <row r="122" spans="1:48" ht="14" customHeight="1" thickBot="1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</row>
    <row r="123" spans="1:48" ht="14" customHeight="1" thickBot="1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</row>
    <row r="124" spans="1:48" ht="14" customHeight="1" thickBot="1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</row>
    <row r="125" spans="1:48" ht="14" customHeight="1" thickBot="1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</row>
    <row r="126" spans="1:48" ht="14" customHeight="1" thickBot="1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</row>
    <row r="127" spans="1:48" ht="14" customHeight="1" thickBot="1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</row>
    <row r="128" spans="1:48" ht="14" customHeight="1" thickBot="1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</row>
    <row r="129" spans="1:48" ht="14" customHeight="1" thickBot="1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</row>
    <row r="130" spans="1:48" ht="14" customHeight="1" thickBot="1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</row>
    <row r="131" spans="1:48" ht="14" customHeight="1" thickBot="1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</row>
    <row r="132" spans="1:48" ht="14" customHeight="1" thickBot="1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</row>
    <row r="133" spans="1:48" ht="14" customHeight="1" thickBot="1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</row>
    <row r="134" spans="1:48" ht="14" customHeight="1" thickBot="1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</row>
    <row r="135" spans="1:48" ht="14" customHeight="1" thickBot="1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</row>
    <row r="136" spans="1:48" ht="14" customHeight="1" thickBot="1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</row>
    <row r="137" spans="1:48" ht="14" customHeight="1" thickBot="1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</row>
    <row r="138" spans="1:48" ht="14" customHeight="1" thickBot="1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</row>
    <row r="139" spans="1:48" ht="14" customHeight="1" thickBot="1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</row>
    <row r="140" spans="1:48" ht="14" customHeight="1" thickBot="1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</row>
    <row r="141" spans="1:48" ht="14" customHeight="1" thickBot="1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</row>
    <row r="142" spans="1:48" ht="14" customHeight="1" thickBot="1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</row>
    <row r="143" spans="1:48" ht="14" customHeight="1" thickBot="1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</row>
    <row r="144" spans="1:48" ht="14" customHeight="1" thickBot="1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</row>
    <row r="145" spans="1:48" ht="14" customHeight="1" thickBot="1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</row>
    <row r="146" spans="1:48" ht="14" customHeight="1" thickBot="1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</row>
    <row r="147" spans="1:48" ht="14" customHeight="1" thickBot="1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</row>
    <row r="148" spans="1:48" ht="14" customHeight="1" thickBot="1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</row>
    <row r="149" spans="1:48" ht="14" customHeight="1" thickBot="1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</row>
    <row r="150" spans="1:48" ht="14" customHeight="1" thickBot="1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</row>
    <row r="151" spans="1:48" ht="14" customHeight="1" thickBot="1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</row>
    <row r="152" spans="1:48" ht="14" customHeight="1" thickBot="1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</row>
    <row r="153" spans="1:48" ht="14" customHeight="1" thickBot="1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</row>
    <row r="154" spans="1:48" ht="14" customHeight="1" thickBot="1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</row>
    <row r="155" spans="1:48" ht="14" customHeight="1" thickBot="1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</row>
    <row r="156" spans="1:48" ht="14" customHeight="1" thickBot="1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</row>
    <row r="157" spans="1:48" ht="14" customHeight="1" thickBot="1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</row>
    <row r="158" spans="1:48" ht="14" customHeight="1" thickBot="1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</row>
    <row r="159" spans="1:48" ht="14" customHeight="1" thickBot="1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</row>
    <row r="160" spans="1:48" ht="14" customHeight="1" thickBot="1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</row>
    <row r="161" spans="1:48" ht="14" customHeight="1" thickBot="1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</row>
    <row r="162" spans="1:48" ht="14" customHeight="1" thickBot="1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</row>
    <row r="163" spans="1:48" ht="14" customHeight="1" thickBot="1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</row>
    <row r="164" spans="1:48" ht="14" customHeight="1" thickBot="1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</row>
    <row r="165" spans="1:48" ht="14" customHeight="1" thickBot="1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</row>
    <row r="166" spans="1:48" ht="14" customHeight="1" thickBot="1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</row>
    <row r="167" spans="1:48" ht="14" customHeight="1" thickBot="1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</row>
    <row r="168" spans="1:48" ht="14" customHeight="1" thickBot="1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</row>
    <row r="169" spans="1:48" ht="14" customHeight="1" thickBot="1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</row>
    <row r="170" spans="1:48" ht="14" customHeight="1" thickBot="1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</row>
    <row r="171" spans="1:48" ht="14" customHeight="1" thickBot="1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</row>
    <row r="172" spans="1:48" ht="14" customHeight="1" thickBot="1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</row>
    <row r="173" spans="1:48" ht="14" customHeight="1" thickBot="1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</row>
    <row r="174" spans="1:48" ht="14" customHeight="1" thickBot="1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</row>
    <row r="175" spans="1:48" ht="14" customHeight="1" thickBot="1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9"/>
    </row>
    <row r="176" spans="1:48" ht="14" customHeight="1" thickBot="1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</row>
    <row r="177" spans="1:48" ht="14" customHeight="1" thickBot="1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</row>
    <row r="178" spans="1:48" ht="14" customHeight="1" thickBot="1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</row>
    <row r="179" spans="1:48" ht="14" customHeight="1" thickBot="1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</row>
    <row r="180" spans="1:48" ht="14" customHeight="1" thickBot="1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9"/>
      <c r="AU180" s="9"/>
      <c r="AV180" s="9"/>
    </row>
    <row r="181" spans="1:48" ht="14" customHeight="1" thickBot="1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9"/>
      <c r="AV181" s="9"/>
    </row>
    <row r="182" spans="1:48" ht="14" customHeight="1" thickBot="1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</row>
    <row r="183" spans="1:48" ht="14" customHeight="1" thickBot="1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</row>
    <row r="184" spans="1:48" ht="14" customHeight="1" thickBot="1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9"/>
      <c r="AV184" s="9"/>
    </row>
    <row r="185" spans="1:48" ht="14" customHeight="1" thickBot="1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</row>
    <row r="186" spans="1:48" ht="14" customHeight="1" thickBot="1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</row>
    <row r="187" spans="1:48" ht="14" customHeight="1" thickBot="1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</row>
    <row r="188" spans="1:48" ht="14" customHeight="1" thickBot="1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  <c r="AU188" s="9"/>
      <c r="AV188" s="9"/>
    </row>
    <row r="189" spans="1:48" ht="14" customHeight="1" thickBot="1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</row>
    <row r="190" spans="1:48" ht="14" customHeight="1" thickBot="1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/>
      <c r="AU190" s="9"/>
      <c r="AV190" s="9"/>
    </row>
    <row r="191" spans="1:48" ht="14" customHeight="1" thickBot="1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</row>
    <row r="192" spans="1:48" ht="14" customHeight="1" thickBot="1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</row>
    <row r="193" spans="1:48" ht="14" customHeight="1" thickBot="1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</row>
    <row r="194" spans="1:48" ht="14" customHeight="1" thickBot="1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</row>
    <row r="195" spans="1:48" ht="14" customHeight="1" thickBot="1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9"/>
      <c r="AV195" s="9"/>
    </row>
    <row r="196" spans="1:48" ht="14" customHeight="1" thickBot="1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</row>
    <row r="197" spans="1:48" ht="14" customHeight="1" thickBot="1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</row>
    <row r="198" spans="1:48" ht="14" customHeight="1" thickBot="1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9"/>
      <c r="AV198" s="9"/>
    </row>
    <row r="199" spans="1:48" ht="14" customHeight="1" thickBot="1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</row>
    <row r="200" spans="1:48" ht="14" customHeight="1" thickBot="1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</row>
    <row r="201" spans="1:48" ht="14" customHeight="1" thickBot="1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9"/>
      <c r="AT201" s="9"/>
      <c r="AU201" s="9"/>
      <c r="AV201" s="9"/>
    </row>
    <row r="202" spans="1:48" ht="14" customHeight="1" thickBot="1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</row>
    <row r="203" spans="1:48" ht="14" customHeight="1" thickBot="1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</row>
    <row r="204" spans="1:48" ht="14" customHeight="1" thickBot="1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9"/>
      <c r="AT204" s="9"/>
      <c r="AU204" s="9"/>
      <c r="AV204" s="9"/>
    </row>
    <row r="205" spans="1:48" ht="14" customHeight="1" thickBot="1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9"/>
      <c r="AT205" s="9"/>
      <c r="AU205" s="9"/>
      <c r="AV205" s="9"/>
    </row>
    <row r="206" spans="1:48" ht="14" customHeight="1" thickBot="1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9"/>
      <c r="AT206" s="9"/>
      <c r="AU206" s="9"/>
      <c r="AV206" s="9"/>
    </row>
    <row r="207" spans="1:48" ht="14" customHeight="1" thickBot="1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9"/>
      <c r="AT207" s="9"/>
      <c r="AU207" s="9"/>
      <c r="AV207" s="9"/>
    </row>
    <row r="208" spans="1:48" ht="14" customHeight="1" thickBot="1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</row>
    <row r="209" spans="1:48" ht="14" customHeight="1" thickBot="1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</row>
    <row r="210" spans="1:48" ht="14" customHeight="1" thickBot="1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9"/>
      <c r="AT210" s="9"/>
      <c r="AU210" s="9"/>
      <c r="AV210" s="9"/>
    </row>
    <row r="211" spans="1:48" ht="14" customHeight="1" thickBot="1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9"/>
      <c r="AT211" s="9"/>
      <c r="AU211" s="9"/>
      <c r="AV211" s="9"/>
    </row>
    <row r="212" spans="1:48" ht="14" customHeight="1" thickBot="1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9"/>
      <c r="AT212" s="9"/>
      <c r="AU212" s="9"/>
      <c r="AV212" s="9"/>
    </row>
    <row r="213" spans="1:48" ht="14" customHeight="1" thickBot="1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9"/>
      <c r="AT213" s="9"/>
      <c r="AU213" s="9"/>
      <c r="AV213" s="9"/>
    </row>
    <row r="214" spans="1:48" ht="14" customHeight="1" thickBot="1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9"/>
      <c r="AT214" s="9"/>
      <c r="AU214" s="9"/>
      <c r="AV214" s="9"/>
    </row>
    <row r="215" spans="1:48" ht="14" customHeight="1" thickBot="1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9"/>
      <c r="AT215" s="9"/>
      <c r="AU215" s="9"/>
      <c r="AV215" s="9"/>
    </row>
    <row r="216" spans="1:48" ht="14" customHeight="1" thickBot="1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</row>
    <row r="217" spans="1:48" ht="14" customHeight="1" thickBot="1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</row>
    <row r="218" spans="1:48" ht="14" customHeight="1" thickBot="1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9"/>
      <c r="AT218" s="9"/>
      <c r="AU218" s="9"/>
      <c r="AV218" s="9"/>
    </row>
    <row r="219" spans="1:48" ht="14" customHeight="1" thickBot="1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</row>
    <row r="220" spans="1:48" ht="14" customHeight="1" thickBot="1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</row>
    <row r="221" spans="1:48" ht="14" customHeight="1" thickBot="1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9"/>
      <c r="AT221" s="9"/>
      <c r="AU221" s="9"/>
      <c r="AV221" s="9"/>
    </row>
    <row r="222" spans="1:48" ht="14" customHeight="1" thickBot="1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9"/>
      <c r="AT222" s="9"/>
      <c r="AU222" s="9"/>
      <c r="AV222" s="9"/>
    </row>
    <row r="223" spans="1:48" ht="14" customHeight="1" thickBot="1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9"/>
      <c r="AT223" s="9"/>
      <c r="AU223" s="9"/>
      <c r="AV223" s="9"/>
    </row>
    <row r="224" spans="1:48" ht="14" customHeight="1" thickBot="1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9"/>
      <c r="AT224" s="9"/>
      <c r="AU224" s="9"/>
      <c r="AV224" s="9"/>
    </row>
    <row r="225" spans="1:48" ht="14" customHeight="1" thickBot="1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</row>
    <row r="226" spans="1:48" ht="14" customHeight="1" thickBot="1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</row>
    <row r="227" spans="1:48" ht="14" customHeight="1" thickBot="1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9"/>
      <c r="AT227" s="9"/>
      <c r="AU227" s="9"/>
      <c r="AV227" s="9"/>
    </row>
    <row r="228" spans="1:48" ht="14" customHeight="1" thickBot="1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9"/>
      <c r="AT228" s="9"/>
      <c r="AU228" s="9"/>
      <c r="AV228" s="9"/>
    </row>
    <row r="229" spans="1:48" ht="14" customHeight="1" thickBot="1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9"/>
      <c r="AT229" s="9"/>
      <c r="AU229" s="9"/>
      <c r="AV229" s="9"/>
    </row>
    <row r="230" spans="1:48" ht="14" customHeight="1" thickBot="1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9"/>
      <c r="AT230" s="9"/>
      <c r="AU230" s="9"/>
      <c r="AV230" s="9"/>
    </row>
    <row r="231" spans="1:48" ht="14" customHeight="1" thickBot="1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9"/>
      <c r="AT231" s="9"/>
      <c r="AU231" s="9"/>
      <c r="AV231" s="9"/>
    </row>
    <row r="232" spans="1:48" ht="14" customHeight="1" thickBot="1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9"/>
      <c r="AT232" s="9"/>
      <c r="AU232" s="9"/>
      <c r="AV232" s="9"/>
    </row>
    <row r="233" spans="1:48" ht="14" customHeight="1" thickBot="1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9"/>
      <c r="AT233" s="9"/>
      <c r="AU233" s="9"/>
      <c r="AV233" s="9"/>
    </row>
    <row r="234" spans="1:48" ht="14" customHeight="1" thickBot="1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9"/>
      <c r="AT234" s="9"/>
      <c r="AU234" s="9"/>
      <c r="AV234" s="9"/>
    </row>
    <row r="235" spans="1:48" ht="14" customHeight="1" thickBot="1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9"/>
      <c r="AT235" s="9"/>
      <c r="AU235" s="9"/>
      <c r="AV235" s="9"/>
    </row>
    <row r="236" spans="1:48" ht="14" customHeight="1" thickBot="1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9"/>
      <c r="AT236" s="9"/>
      <c r="AU236" s="9"/>
      <c r="AV236" s="9"/>
    </row>
    <row r="237" spans="1:48" ht="14" customHeight="1" thickBot="1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</row>
    <row r="238" spans="1:48" ht="14" customHeight="1" thickBot="1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9"/>
      <c r="AT238" s="9"/>
      <c r="AU238" s="9"/>
      <c r="AV238" s="9"/>
    </row>
    <row r="239" spans="1:48" ht="14" customHeight="1" thickBot="1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9"/>
      <c r="AT239" s="9"/>
      <c r="AU239" s="9"/>
      <c r="AV239" s="9"/>
    </row>
    <row r="240" spans="1:48" ht="14" customHeight="1" thickBot="1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9"/>
      <c r="AT240" s="9"/>
      <c r="AU240" s="9"/>
      <c r="AV240" s="9"/>
    </row>
    <row r="241" spans="1:48" ht="14" customHeight="1" thickBot="1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9"/>
      <c r="AT241" s="9"/>
      <c r="AU241" s="9"/>
      <c r="AV241" s="9"/>
    </row>
    <row r="242" spans="1:48" ht="14" customHeight="1" thickBot="1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9"/>
      <c r="AT242" s="9"/>
      <c r="AU242" s="9"/>
      <c r="AV242" s="9"/>
    </row>
    <row r="243" spans="1:48" ht="14" customHeight="1" thickBot="1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9"/>
      <c r="AT243" s="9"/>
      <c r="AU243" s="9"/>
      <c r="AV243" s="9"/>
    </row>
    <row r="244" spans="1:48" ht="14" customHeight="1" thickBot="1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9"/>
      <c r="AT244" s="9"/>
      <c r="AU244" s="9"/>
      <c r="AV244" s="9"/>
    </row>
    <row r="245" spans="1:48" ht="14" customHeight="1" thickBot="1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9"/>
      <c r="AT245" s="9"/>
      <c r="AU245" s="9"/>
      <c r="AV245" s="9"/>
    </row>
    <row r="246" spans="1:48" ht="14" customHeight="1" thickBot="1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9"/>
      <c r="AT246" s="9"/>
      <c r="AU246" s="9"/>
      <c r="AV246" s="9"/>
    </row>
    <row r="247" spans="1:48" ht="14" customHeight="1" thickBot="1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9"/>
      <c r="AT247" s="9"/>
      <c r="AU247" s="9"/>
      <c r="AV247" s="9"/>
    </row>
    <row r="248" spans="1:48" ht="14" customHeight="1" thickBot="1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9"/>
      <c r="AT248" s="9"/>
      <c r="AU248" s="9"/>
      <c r="AV248" s="9"/>
    </row>
    <row r="249" spans="1:48" ht="14" customHeight="1" thickBot="1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9"/>
      <c r="AT249" s="9"/>
      <c r="AU249" s="9"/>
      <c r="AV249" s="9"/>
    </row>
    <row r="250" spans="1:48" ht="14" customHeight="1" thickBot="1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9"/>
      <c r="AT250" s="9"/>
      <c r="AU250" s="9"/>
      <c r="AV250" s="9"/>
    </row>
    <row r="251" spans="1:48" ht="14" customHeight="1" thickBot="1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9"/>
      <c r="AT251" s="9"/>
      <c r="AU251" s="9"/>
      <c r="AV251" s="9"/>
    </row>
    <row r="252" spans="1:48" ht="14" customHeight="1" thickBot="1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9"/>
      <c r="AT252" s="9"/>
      <c r="AU252" s="9"/>
      <c r="AV252" s="9"/>
    </row>
    <row r="253" spans="1:48" ht="14" customHeight="1" thickBot="1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9"/>
      <c r="AT253" s="9"/>
      <c r="AU253" s="9"/>
      <c r="AV253" s="9"/>
    </row>
    <row r="254" spans="1:48" ht="14" customHeight="1" thickBot="1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9"/>
      <c r="AT254" s="9"/>
      <c r="AU254" s="9"/>
      <c r="AV254" s="9"/>
    </row>
    <row r="255" spans="1:48" ht="14" customHeight="1" thickBot="1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9"/>
      <c r="AT255" s="9"/>
      <c r="AU255" s="9"/>
      <c r="AV255" s="9"/>
    </row>
    <row r="256" spans="1:48" ht="14" customHeight="1" thickBot="1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9"/>
      <c r="AT256" s="9"/>
      <c r="AU256" s="9"/>
      <c r="AV256" s="9"/>
    </row>
    <row r="257" spans="1:48" ht="14" customHeight="1" thickBot="1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9"/>
      <c r="AT257" s="9"/>
      <c r="AU257" s="9"/>
      <c r="AV257" s="9"/>
    </row>
    <row r="258" spans="1:48" ht="14" customHeight="1" thickBot="1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9"/>
      <c r="AT258" s="9"/>
      <c r="AU258" s="9"/>
      <c r="AV258" s="9"/>
    </row>
    <row r="259" spans="1:48" ht="14" customHeight="1" thickBot="1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9"/>
      <c r="AT259" s="9"/>
      <c r="AU259" s="9"/>
      <c r="AV259" s="9"/>
    </row>
    <row r="260" spans="1:48" ht="14" customHeight="1" thickBot="1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9"/>
      <c r="AT260" s="9"/>
      <c r="AU260" s="9"/>
      <c r="AV260" s="9"/>
    </row>
    <row r="261" spans="1:48" ht="14" customHeight="1" thickBot="1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9"/>
      <c r="AT261" s="9"/>
      <c r="AU261" s="9"/>
      <c r="AV261" s="9"/>
    </row>
    <row r="262" spans="1:48" ht="14" customHeight="1" thickBot="1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9"/>
      <c r="AT262" s="9"/>
      <c r="AU262" s="9"/>
      <c r="AV262" s="9"/>
    </row>
    <row r="263" spans="1:48" ht="14" customHeight="1" thickBot="1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9"/>
      <c r="AT263" s="9"/>
      <c r="AU263" s="9"/>
      <c r="AV263" s="9"/>
    </row>
    <row r="264" spans="1:48" ht="14" customHeight="1" thickBot="1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9"/>
      <c r="AT264" s="9"/>
      <c r="AU264" s="9"/>
      <c r="AV264" s="9"/>
    </row>
    <row r="265" spans="1:48" ht="14" customHeight="1" thickBot="1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9"/>
      <c r="AT265" s="9"/>
      <c r="AU265" s="9"/>
      <c r="AV265" s="9"/>
    </row>
    <row r="266" spans="1:48" ht="14" customHeight="1" thickBot="1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9"/>
      <c r="AT266" s="9"/>
      <c r="AU266" s="9"/>
      <c r="AV266" s="9"/>
    </row>
    <row r="267" spans="1:48" ht="14" customHeight="1" thickBot="1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9"/>
      <c r="AT267" s="9"/>
      <c r="AU267" s="9"/>
      <c r="AV267" s="9"/>
    </row>
    <row r="268" spans="1:48" ht="14" customHeight="1" thickBot="1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9"/>
      <c r="AT268" s="9"/>
      <c r="AU268" s="9"/>
      <c r="AV268" s="9"/>
    </row>
    <row r="269" spans="1:48" ht="14" customHeight="1" thickBot="1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9"/>
      <c r="AT269" s="9"/>
      <c r="AU269" s="9"/>
      <c r="AV269" s="9"/>
    </row>
    <row r="270" spans="1:48" ht="14" customHeight="1" thickBot="1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  <c r="AN270" s="9"/>
      <c r="AO270" s="9"/>
      <c r="AP270" s="9"/>
      <c r="AQ270" s="9"/>
      <c r="AR270" s="9"/>
      <c r="AS270" s="9"/>
      <c r="AT270" s="9"/>
      <c r="AU270" s="9"/>
      <c r="AV270" s="9"/>
    </row>
    <row r="271" spans="1:48" ht="14" customHeight="1" thickBot="1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  <c r="AN271" s="9"/>
      <c r="AO271" s="9"/>
      <c r="AP271" s="9"/>
      <c r="AQ271" s="9"/>
      <c r="AR271" s="9"/>
      <c r="AS271" s="9"/>
      <c r="AT271" s="9"/>
      <c r="AU271" s="9"/>
      <c r="AV271" s="9"/>
    </row>
    <row r="272" spans="1:48" ht="14" customHeight="1" thickBot="1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9"/>
      <c r="AO272" s="9"/>
      <c r="AP272" s="9"/>
      <c r="AQ272" s="9"/>
      <c r="AR272" s="9"/>
      <c r="AS272" s="9"/>
      <c r="AT272" s="9"/>
      <c r="AU272" s="9"/>
      <c r="AV272" s="9"/>
    </row>
    <row r="273" spans="1:48" ht="14" customHeight="1" thickBot="1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9"/>
      <c r="AO273" s="9"/>
      <c r="AP273" s="9"/>
      <c r="AQ273" s="9"/>
      <c r="AR273" s="9"/>
      <c r="AS273" s="9"/>
      <c r="AT273" s="9"/>
      <c r="AU273" s="9"/>
      <c r="AV273" s="9"/>
    </row>
    <row r="274" spans="1:48" ht="14" customHeight="1" thickBot="1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9"/>
      <c r="AP274" s="9"/>
      <c r="AQ274" s="9"/>
      <c r="AR274" s="9"/>
      <c r="AS274" s="9"/>
      <c r="AT274" s="9"/>
      <c r="AU274" s="9"/>
      <c r="AV274" s="9"/>
    </row>
    <row r="275" spans="1:48" ht="14" customHeight="1" thickBot="1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9"/>
      <c r="AN275" s="9"/>
      <c r="AO275" s="9"/>
      <c r="AP275" s="9"/>
      <c r="AQ275" s="9"/>
      <c r="AR275" s="9"/>
      <c r="AS275" s="9"/>
      <c r="AT275" s="9"/>
      <c r="AU275" s="9"/>
      <c r="AV275" s="9"/>
    </row>
    <row r="276" spans="1:48" ht="14" customHeight="1" thickBot="1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9"/>
      <c r="AN276" s="9"/>
      <c r="AO276" s="9"/>
      <c r="AP276" s="9"/>
      <c r="AQ276" s="9"/>
      <c r="AR276" s="9"/>
      <c r="AS276" s="9"/>
      <c r="AT276" s="9"/>
      <c r="AU276" s="9"/>
      <c r="AV276" s="9"/>
    </row>
    <row r="277" spans="1:48" ht="14" customHeight="1" thickBot="1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  <c r="AN277" s="9"/>
      <c r="AO277" s="9"/>
      <c r="AP277" s="9"/>
      <c r="AQ277" s="9"/>
      <c r="AR277" s="9"/>
      <c r="AS277" s="9"/>
      <c r="AT277" s="9"/>
      <c r="AU277" s="9"/>
      <c r="AV277" s="9"/>
    </row>
    <row r="278" spans="1:48" ht="14" customHeight="1" thickBot="1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9"/>
      <c r="AO278" s="9"/>
      <c r="AP278" s="9"/>
      <c r="AQ278" s="9"/>
      <c r="AR278" s="9"/>
      <c r="AS278" s="9"/>
      <c r="AT278" s="9"/>
      <c r="AU278" s="9"/>
      <c r="AV278" s="9"/>
    </row>
    <row r="279" spans="1:48" ht="14" customHeight="1" thickBot="1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  <c r="AN279" s="9"/>
      <c r="AO279" s="9"/>
      <c r="AP279" s="9"/>
      <c r="AQ279" s="9"/>
      <c r="AR279" s="9"/>
      <c r="AS279" s="9"/>
      <c r="AT279" s="9"/>
      <c r="AU279" s="9"/>
      <c r="AV279" s="9"/>
    </row>
    <row r="280" spans="1:48" ht="14" customHeight="1" thickBot="1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9"/>
      <c r="AP280" s="9"/>
      <c r="AQ280" s="9"/>
      <c r="AR280" s="9"/>
      <c r="AS280" s="9"/>
      <c r="AT280" s="9"/>
      <c r="AU280" s="9"/>
      <c r="AV280" s="9"/>
    </row>
    <row r="281" spans="1:48" ht="14" customHeight="1" thickBot="1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9"/>
      <c r="AN281" s="9"/>
      <c r="AO281" s="9"/>
      <c r="AP281" s="9"/>
      <c r="AQ281" s="9"/>
      <c r="AR281" s="9"/>
      <c r="AS281" s="9"/>
      <c r="AT281" s="9"/>
      <c r="AU281" s="9"/>
      <c r="AV281" s="9"/>
    </row>
    <row r="282" spans="1:48" ht="14" customHeight="1" thickBot="1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  <c r="AN282" s="9"/>
      <c r="AO282" s="9"/>
      <c r="AP282" s="9"/>
      <c r="AQ282" s="9"/>
      <c r="AR282" s="9"/>
      <c r="AS282" s="9"/>
      <c r="AT282" s="9"/>
      <c r="AU282" s="9"/>
      <c r="AV282" s="9"/>
    </row>
    <row r="283" spans="1:48" ht="14" customHeight="1" thickBot="1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  <c r="AN283" s="9"/>
      <c r="AO283" s="9"/>
      <c r="AP283" s="9"/>
      <c r="AQ283" s="9"/>
      <c r="AR283" s="9"/>
      <c r="AS283" s="9"/>
      <c r="AT283" s="9"/>
      <c r="AU283" s="9"/>
      <c r="AV283" s="9"/>
    </row>
    <row r="284" spans="1:48" ht="14" customHeight="1" thickBot="1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  <c r="AN284" s="9"/>
      <c r="AO284" s="9"/>
      <c r="AP284" s="9"/>
      <c r="AQ284" s="9"/>
      <c r="AR284" s="9"/>
      <c r="AS284" s="9"/>
      <c r="AT284" s="9"/>
      <c r="AU284" s="9"/>
      <c r="AV284" s="9"/>
    </row>
    <row r="285" spans="1:48" ht="14" customHeight="1" thickBot="1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  <c r="AN285" s="9"/>
      <c r="AO285" s="9"/>
      <c r="AP285" s="9"/>
      <c r="AQ285" s="9"/>
      <c r="AR285" s="9"/>
      <c r="AS285" s="9"/>
      <c r="AT285" s="9"/>
      <c r="AU285" s="9"/>
      <c r="AV285" s="9"/>
    </row>
    <row r="286" spans="1:48" ht="14" customHeight="1" thickBot="1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  <c r="AN286" s="9"/>
      <c r="AO286" s="9"/>
      <c r="AP286" s="9"/>
      <c r="AQ286" s="9"/>
      <c r="AR286" s="9"/>
      <c r="AS286" s="9"/>
      <c r="AT286" s="9"/>
      <c r="AU286" s="9"/>
      <c r="AV286" s="9"/>
    </row>
    <row r="287" spans="1:48" ht="14" customHeight="1" thickBot="1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  <c r="AN287" s="9"/>
      <c r="AO287" s="9"/>
      <c r="AP287" s="9"/>
      <c r="AQ287" s="9"/>
      <c r="AR287" s="9"/>
      <c r="AS287" s="9"/>
      <c r="AT287" s="9"/>
      <c r="AU287" s="9"/>
      <c r="AV287" s="9"/>
    </row>
    <row r="288" spans="1:48" ht="14" customHeight="1" thickBot="1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9"/>
      <c r="AN288" s="9"/>
      <c r="AO288" s="9"/>
      <c r="AP288" s="9"/>
      <c r="AQ288" s="9"/>
      <c r="AR288" s="9"/>
      <c r="AS288" s="9"/>
      <c r="AT288" s="9"/>
      <c r="AU288" s="9"/>
      <c r="AV288" s="9"/>
    </row>
    <row r="289" spans="1:48" ht="14" customHeight="1" thickBot="1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  <c r="AM289" s="9"/>
      <c r="AN289" s="9"/>
      <c r="AO289" s="9"/>
      <c r="AP289" s="9"/>
      <c r="AQ289" s="9"/>
      <c r="AR289" s="9"/>
      <c r="AS289" s="9"/>
      <c r="AT289" s="9"/>
      <c r="AU289" s="9"/>
      <c r="AV289" s="9"/>
    </row>
    <row r="290" spans="1:48" ht="14" customHeight="1" thickBot="1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  <c r="AN290" s="9"/>
      <c r="AO290" s="9"/>
      <c r="AP290" s="9"/>
      <c r="AQ290" s="9"/>
      <c r="AR290" s="9"/>
      <c r="AS290" s="9"/>
      <c r="AT290" s="9"/>
      <c r="AU290" s="9"/>
      <c r="AV290" s="9"/>
    </row>
    <row r="291" spans="1:48" ht="14" customHeight="1" thickBot="1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9"/>
      <c r="AN291" s="9"/>
      <c r="AO291" s="9"/>
      <c r="AP291" s="9"/>
      <c r="AQ291" s="9"/>
      <c r="AR291" s="9"/>
      <c r="AS291" s="9"/>
      <c r="AT291" s="9"/>
      <c r="AU291" s="9"/>
      <c r="AV291" s="9"/>
    </row>
    <row r="292" spans="1:48" ht="14" customHeight="1" thickBot="1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  <c r="AN292" s="9"/>
      <c r="AO292" s="9"/>
      <c r="AP292" s="9"/>
      <c r="AQ292" s="9"/>
      <c r="AR292" s="9"/>
      <c r="AS292" s="9"/>
      <c r="AT292" s="9"/>
      <c r="AU292" s="9"/>
      <c r="AV292" s="9"/>
    </row>
    <row r="293" spans="1:48" ht="14" customHeight="1" thickBot="1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  <c r="AN293" s="9"/>
      <c r="AO293" s="9"/>
      <c r="AP293" s="9"/>
      <c r="AQ293" s="9"/>
      <c r="AR293" s="9"/>
      <c r="AS293" s="9"/>
      <c r="AT293" s="9"/>
      <c r="AU293" s="9"/>
      <c r="AV293" s="9"/>
    </row>
    <row r="294" spans="1:48" ht="14" customHeight="1" thickBot="1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  <c r="AN294" s="9"/>
      <c r="AO294" s="9"/>
      <c r="AP294" s="9"/>
      <c r="AQ294" s="9"/>
      <c r="AR294" s="9"/>
      <c r="AS294" s="9"/>
      <c r="AT294" s="9"/>
      <c r="AU294" s="9"/>
      <c r="AV294" s="9"/>
    </row>
    <row r="295" spans="1:48" ht="14" customHeight="1" thickBot="1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/>
      <c r="AN295" s="9"/>
      <c r="AO295" s="9"/>
      <c r="AP295" s="9"/>
      <c r="AQ295" s="9"/>
      <c r="AR295" s="9"/>
      <c r="AS295" s="9"/>
      <c r="AT295" s="9"/>
      <c r="AU295" s="9"/>
      <c r="AV295" s="9"/>
    </row>
    <row r="296" spans="1:48" ht="14" customHeight="1" thickBot="1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9"/>
      <c r="AN296" s="9"/>
      <c r="AO296" s="9"/>
      <c r="AP296" s="9"/>
      <c r="AQ296" s="9"/>
      <c r="AR296" s="9"/>
      <c r="AS296" s="9"/>
      <c r="AT296" s="9"/>
      <c r="AU296" s="9"/>
      <c r="AV296" s="9"/>
    </row>
    <row r="297" spans="1:48" ht="14" customHeight="1" thickBot="1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/>
      <c r="AM297" s="9"/>
      <c r="AN297" s="9"/>
      <c r="AO297" s="9"/>
      <c r="AP297" s="9"/>
      <c r="AQ297" s="9"/>
      <c r="AR297" s="9"/>
      <c r="AS297" s="9"/>
      <c r="AT297" s="9"/>
      <c r="AU297" s="9"/>
      <c r="AV297" s="9"/>
    </row>
    <row r="298" spans="1:48" ht="14" customHeight="1" thickBot="1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M298" s="9"/>
      <c r="AN298" s="9"/>
      <c r="AO298" s="9"/>
      <c r="AP298" s="9"/>
      <c r="AQ298" s="9"/>
      <c r="AR298" s="9"/>
      <c r="AS298" s="9"/>
      <c r="AT298" s="9"/>
      <c r="AU298" s="9"/>
      <c r="AV298" s="9"/>
    </row>
    <row r="299" spans="1:48" ht="14" customHeight="1" thickBot="1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  <c r="AM299" s="9"/>
      <c r="AN299" s="9"/>
      <c r="AO299" s="9"/>
      <c r="AP299" s="9"/>
      <c r="AQ299" s="9"/>
      <c r="AR299" s="9"/>
      <c r="AS299" s="9"/>
      <c r="AT299" s="9"/>
      <c r="AU299" s="9"/>
      <c r="AV299" s="9"/>
    </row>
    <row r="300" spans="1:48" ht="14" customHeight="1" thickBot="1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9"/>
      <c r="AN300" s="9"/>
      <c r="AO300" s="9"/>
      <c r="AP300" s="9"/>
      <c r="AQ300" s="9"/>
      <c r="AR300" s="9"/>
      <c r="AS300" s="9"/>
      <c r="AT300" s="9"/>
      <c r="AU300" s="9"/>
      <c r="AV300" s="9"/>
    </row>
    <row r="301" spans="1:48" ht="14" customHeight="1" thickBot="1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9"/>
      <c r="AL301" s="9"/>
      <c r="AM301" s="9"/>
      <c r="AN301" s="9"/>
      <c r="AO301" s="9"/>
      <c r="AP301" s="9"/>
      <c r="AQ301" s="9"/>
      <c r="AR301" s="9"/>
      <c r="AS301" s="9"/>
      <c r="AT301" s="9"/>
      <c r="AU301" s="9"/>
      <c r="AV301" s="9"/>
    </row>
    <row r="302" spans="1:48" ht="14" customHeight="1" thickBot="1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9"/>
      <c r="AL302" s="9"/>
      <c r="AM302" s="9"/>
      <c r="AN302" s="9"/>
      <c r="AO302" s="9"/>
      <c r="AP302" s="9"/>
      <c r="AQ302" s="9"/>
      <c r="AR302" s="9"/>
      <c r="AS302" s="9"/>
      <c r="AT302" s="9"/>
      <c r="AU302" s="9"/>
      <c r="AV302" s="9"/>
    </row>
    <row r="303" spans="1:48" ht="14" customHeight="1" thickBot="1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9"/>
      <c r="AK303" s="9"/>
      <c r="AL303" s="9"/>
      <c r="AM303" s="9"/>
      <c r="AN303" s="9"/>
      <c r="AO303" s="9"/>
      <c r="AP303" s="9"/>
      <c r="AQ303" s="9"/>
      <c r="AR303" s="9"/>
      <c r="AS303" s="9"/>
      <c r="AT303" s="9"/>
      <c r="AU303" s="9"/>
      <c r="AV303" s="9"/>
    </row>
    <row r="304" spans="1:48" ht="14" customHeight="1" thickBot="1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  <c r="AJ304" s="9"/>
      <c r="AK304" s="9"/>
      <c r="AL304" s="9"/>
      <c r="AM304" s="9"/>
      <c r="AN304" s="9"/>
      <c r="AO304" s="9"/>
      <c r="AP304" s="9"/>
      <c r="AQ304" s="9"/>
      <c r="AR304" s="9"/>
      <c r="AS304" s="9"/>
      <c r="AT304" s="9"/>
      <c r="AU304" s="9"/>
      <c r="AV304" s="9"/>
    </row>
    <row r="305" spans="1:48" ht="14" customHeight="1" thickBot="1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  <c r="AJ305" s="9"/>
      <c r="AK305" s="9"/>
      <c r="AL305" s="9"/>
      <c r="AM305" s="9"/>
      <c r="AN305" s="9"/>
      <c r="AO305" s="9"/>
      <c r="AP305" s="9"/>
      <c r="AQ305" s="9"/>
      <c r="AR305" s="9"/>
      <c r="AS305" s="9"/>
      <c r="AT305" s="9"/>
      <c r="AU305" s="9"/>
      <c r="AV305" s="9"/>
    </row>
    <row r="306" spans="1:48" ht="14" customHeight="1" thickBot="1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9"/>
      <c r="AL306" s="9"/>
      <c r="AM306" s="9"/>
      <c r="AN306" s="9"/>
      <c r="AO306" s="9"/>
      <c r="AP306" s="9"/>
      <c r="AQ306" s="9"/>
      <c r="AR306" s="9"/>
      <c r="AS306" s="9"/>
      <c r="AT306" s="9"/>
      <c r="AU306" s="9"/>
      <c r="AV306" s="9"/>
    </row>
    <row r="307" spans="1:48" ht="14" customHeight="1" thickBot="1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9"/>
      <c r="AL307" s="9"/>
      <c r="AM307" s="9"/>
      <c r="AN307" s="9"/>
      <c r="AO307" s="9"/>
      <c r="AP307" s="9"/>
      <c r="AQ307" s="9"/>
      <c r="AR307" s="9"/>
      <c r="AS307" s="9"/>
      <c r="AT307" s="9"/>
      <c r="AU307" s="9"/>
      <c r="AV307" s="9"/>
    </row>
    <row r="308" spans="1:48" ht="14" customHeight="1" thickBot="1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9"/>
      <c r="AL308" s="9"/>
      <c r="AM308" s="9"/>
      <c r="AN308" s="9"/>
      <c r="AO308" s="9"/>
      <c r="AP308" s="9"/>
      <c r="AQ308" s="9"/>
      <c r="AR308" s="9"/>
      <c r="AS308" s="9"/>
      <c r="AT308" s="9"/>
      <c r="AU308" s="9"/>
      <c r="AV308" s="9"/>
    </row>
    <row r="309" spans="1:48" ht="14" customHeight="1" thickBot="1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9"/>
      <c r="AK309" s="9"/>
      <c r="AL309" s="9"/>
      <c r="AM309" s="9"/>
      <c r="AN309" s="9"/>
      <c r="AO309" s="9"/>
      <c r="AP309" s="9"/>
      <c r="AQ309" s="9"/>
      <c r="AR309" s="9"/>
      <c r="AS309" s="9"/>
      <c r="AT309" s="9"/>
      <c r="AU309" s="9"/>
      <c r="AV309" s="9"/>
    </row>
    <row r="310" spans="1:48" ht="14" customHeight="1" thickBot="1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  <c r="AJ310" s="9"/>
      <c r="AK310" s="9"/>
      <c r="AL310" s="9"/>
      <c r="AM310" s="9"/>
      <c r="AN310" s="9"/>
      <c r="AO310" s="9"/>
      <c r="AP310" s="9"/>
      <c r="AQ310" s="9"/>
      <c r="AR310" s="9"/>
      <c r="AS310" s="9"/>
      <c r="AT310" s="9"/>
      <c r="AU310" s="9"/>
      <c r="AV310" s="9"/>
    </row>
    <row r="311" spans="1:48" ht="14" customHeight="1" thickBot="1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  <c r="AJ311" s="9"/>
      <c r="AK311" s="9"/>
      <c r="AL311" s="9"/>
      <c r="AM311" s="9"/>
      <c r="AN311" s="9"/>
      <c r="AO311" s="9"/>
      <c r="AP311" s="9"/>
      <c r="AQ311" s="9"/>
      <c r="AR311" s="9"/>
      <c r="AS311" s="9"/>
      <c r="AT311" s="9"/>
      <c r="AU311" s="9"/>
      <c r="AV311" s="9"/>
    </row>
    <row r="312" spans="1:48" ht="14" customHeight="1" thickBot="1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9"/>
      <c r="AK312" s="9"/>
      <c r="AL312" s="9"/>
      <c r="AM312" s="9"/>
      <c r="AN312" s="9"/>
      <c r="AO312" s="9"/>
      <c r="AP312" s="9"/>
      <c r="AQ312" s="9"/>
      <c r="AR312" s="9"/>
      <c r="AS312" s="9"/>
      <c r="AT312" s="9"/>
      <c r="AU312" s="9"/>
      <c r="AV312" s="9"/>
    </row>
    <row r="313" spans="1:48" ht="14" customHeight="1" thickBot="1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9"/>
      <c r="AK313" s="9"/>
      <c r="AL313" s="9"/>
      <c r="AM313" s="9"/>
      <c r="AN313" s="9"/>
      <c r="AO313" s="9"/>
      <c r="AP313" s="9"/>
      <c r="AQ313" s="9"/>
      <c r="AR313" s="9"/>
      <c r="AS313" s="9"/>
      <c r="AT313" s="9"/>
      <c r="AU313" s="9"/>
      <c r="AV313" s="9"/>
    </row>
    <row r="314" spans="1:48" ht="14" customHeight="1" thickBot="1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9"/>
      <c r="AK314" s="9"/>
      <c r="AL314" s="9"/>
      <c r="AM314" s="9"/>
      <c r="AN314" s="9"/>
      <c r="AO314" s="9"/>
      <c r="AP314" s="9"/>
      <c r="AQ314" s="9"/>
      <c r="AR314" s="9"/>
      <c r="AS314" s="9"/>
      <c r="AT314" s="9"/>
      <c r="AU314" s="9"/>
      <c r="AV314" s="9"/>
    </row>
    <row r="315" spans="1:48" ht="14" customHeight="1" thickBot="1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9"/>
      <c r="AK315" s="9"/>
      <c r="AL315" s="9"/>
      <c r="AM315" s="9"/>
      <c r="AN315" s="9"/>
      <c r="AO315" s="9"/>
      <c r="AP315" s="9"/>
      <c r="AQ315" s="9"/>
      <c r="AR315" s="9"/>
      <c r="AS315" s="9"/>
      <c r="AT315" s="9"/>
      <c r="AU315" s="9"/>
      <c r="AV315" s="9"/>
    </row>
    <row r="316" spans="1:48" ht="14" customHeight="1" thickBot="1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9"/>
      <c r="AK316" s="9"/>
      <c r="AL316" s="9"/>
      <c r="AM316" s="9"/>
      <c r="AN316" s="9"/>
      <c r="AO316" s="9"/>
      <c r="AP316" s="9"/>
      <c r="AQ316" s="9"/>
      <c r="AR316" s="9"/>
      <c r="AS316" s="9"/>
      <c r="AT316" s="9"/>
      <c r="AU316" s="9"/>
      <c r="AV316" s="9"/>
    </row>
    <row r="317" spans="1:48" ht="14" customHeight="1" thickBot="1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  <c r="AJ317" s="9"/>
      <c r="AK317" s="9"/>
      <c r="AL317" s="9"/>
      <c r="AM317" s="9"/>
      <c r="AN317" s="9"/>
      <c r="AO317" s="9"/>
      <c r="AP317" s="9"/>
      <c r="AQ317" s="9"/>
      <c r="AR317" s="9"/>
      <c r="AS317" s="9"/>
      <c r="AT317" s="9"/>
      <c r="AU317" s="9"/>
      <c r="AV317" s="9"/>
    </row>
    <row r="318" spans="1:48" ht="14" customHeight="1" thickBot="1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  <c r="AJ318" s="9"/>
      <c r="AK318" s="9"/>
      <c r="AL318" s="9"/>
      <c r="AM318" s="9"/>
      <c r="AN318" s="9"/>
      <c r="AO318" s="9"/>
      <c r="AP318" s="9"/>
      <c r="AQ318" s="9"/>
      <c r="AR318" s="9"/>
      <c r="AS318" s="9"/>
      <c r="AT318" s="9"/>
      <c r="AU318" s="9"/>
      <c r="AV318" s="9"/>
    </row>
    <row r="319" spans="1:48" ht="14" customHeight="1" thickBot="1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  <c r="AJ319" s="9"/>
      <c r="AK319" s="9"/>
      <c r="AL319" s="9"/>
      <c r="AM319" s="9"/>
      <c r="AN319" s="9"/>
      <c r="AO319" s="9"/>
      <c r="AP319" s="9"/>
      <c r="AQ319" s="9"/>
      <c r="AR319" s="9"/>
      <c r="AS319" s="9"/>
      <c r="AT319" s="9"/>
      <c r="AU319" s="9"/>
      <c r="AV319" s="9"/>
    </row>
    <row r="320" spans="1:48" ht="14" customHeight="1" thickBot="1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  <c r="AJ320" s="9"/>
      <c r="AK320" s="9"/>
      <c r="AL320" s="9"/>
      <c r="AM320" s="9"/>
      <c r="AN320" s="9"/>
      <c r="AO320" s="9"/>
      <c r="AP320" s="9"/>
      <c r="AQ320" s="9"/>
      <c r="AR320" s="9"/>
      <c r="AS320" s="9"/>
      <c r="AT320" s="9"/>
      <c r="AU320" s="9"/>
      <c r="AV320" s="9"/>
    </row>
    <row r="321" spans="1:48" ht="14" customHeight="1" thickBot="1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9"/>
      <c r="AK321" s="9"/>
      <c r="AL321" s="9"/>
      <c r="AM321" s="9"/>
      <c r="AN321" s="9"/>
      <c r="AO321" s="9"/>
      <c r="AP321" s="9"/>
      <c r="AQ321" s="9"/>
      <c r="AR321" s="9"/>
      <c r="AS321" s="9"/>
      <c r="AT321" s="9"/>
      <c r="AU321" s="9"/>
      <c r="AV321" s="9"/>
    </row>
    <row r="322" spans="1:48" ht="14" customHeight="1" thickBot="1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  <c r="AJ322" s="9"/>
      <c r="AK322" s="9"/>
      <c r="AL322" s="9"/>
      <c r="AM322" s="9"/>
      <c r="AN322" s="9"/>
      <c r="AO322" s="9"/>
      <c r="AP322" s="9"/>
      <c r="AQ322" s="9"/>
      <c r="AR322" s="9"/>
      <c r="AS322" s="9"/>
      <c r="AT322" s="9"/>
      <c r="AU322" s="9"/>
      <c r="AV322" s="9"/>
    </row>
    <row r="323" spans="1:48" ht="14" customHeight="1" thickBot="1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  <c r="AJ323" s="9"/>
      <c r="AK323" s="9"/>
      <c r="AL323" s="9"/>
      <c r="AM323" s="9"/>
      <c r="AN323" s="9"/>
      <c r="AO323" s="9"/>
      <c r="AP323" s="9"/>
      <c r="AQ323" s="9"/>
      <c r="AR323" s="9"/>
      <c r="AS323" s="9"/>
      <c r="AT323" s="9"/>
      <c r="AU323" s="9"/>
      <c r="AV323" s="9"/>
    </row>
    <row r="324" spans="1:48" ht="14" customHeight="1" thickBot="1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9"/>
      <c r="AK324" s="9"/>
      <c r="AL324" s="9"/>
      <c r="AM324" s="9"/>
      <c r="AN324" s="9"/>
      <c r="AO324" s="9"/>
      <c r="AP324" s="9"/>
      <c r="AQ324" s="9"/>
      <c r="AR324" s="9"/>
      <c r="AS324" s="9"/>
      <c r="AT324" s="9"/>
      <c r="AU324" s="9"/>
      <c r="AV324" s="9"/>
    </row>
    <row r="325" spans="1:48" ht="14" customHeight="1" thickBot="1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9"/>
      <c r="AK325" s="9"/>
      <c r="AL325" s="9"/>
      <c r="AM325" s="9"/>
      <c r="AN325" s="9"/>
      <c r="AO325" s="9"/>
      <c r="AP325" s="9"/>
      <c r="AQ325" s="9"/>
      <c r="AR325" s="9"/>
      <c r="AS325" s="9"/>
      <c r="AT325" s="9"/>
      <c r="AU325" s="9"/>
      <c r="AV325" s="9"/>
    </row>
    <row r="326" spans="1:48" ht="14" customHeight="1" thickBot="1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9"/>
      <c r="AL326" s="9"/>
      <c r="AM326" s="9"/>
      <c r="AN326" s="9"/>
      <c r="AO326" s="9"/>
      <c r="AP326" s="9"/>
      <c r="AQ326" s="9"/>
      <c r="AR326" s="9"/>
      <c r="AS326" s="9"/>
      <c r="AT326" s="9"/>
      <c r="AU326" s="9"/>
      <c r="AV326" s="9"/>
    </row>
    <row r="327" spans="1:48" ht="14" customHeight="1" thickBot="1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  <c r="AJ327" s="9"/>
      <c r="AK327" s="9"/>
      <c r="AL327" s="9"/>
      <c r="AM327" s="9"/>
      <c r="AN327" s="9"/>
      <c r="AO327" s="9"/>
      <c r="AP327" s="9"/>
      <c r="AQ327" s="9"/>
      <c r="AR327" s="9"/>
      <c r="AS327" s="9"/>
      <c r="AT327" s="9"/>
      <c r="AU327" s="9"/>
      <c r="AV327" s="9"/>
    </row>
    <row r="328" spans="1:48" ht="14" customHeight="1" thickBot="1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9"/>
      <c r="AJ328" s="9"/>
      <c r="AK328" s="9"/>
      <c r="AL328" s="9"/>
      <c r="AM328" s="9"/>
      <c r="AN328" s="9"/>
      <c r="AO328" s="9"/>
      <c r="AP328" s="9"/>
      <c r="AQ328" s="9"/>
      <c r="AR328" s="9"/>
      <c r="AS328" s="9"/>
      <c r="AT328" s="9"/>
      <c r="AU328" s="9"/>
      <c r="AV328" s="9"/>
    </row>
    <row r="329" spans="1:48" ht="14" customHeight="1" thickBot="1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9"/>
      <c r="AJ329" s="9"/>
      <c r="AK329" s="9"/>
      <c r="AL329" s="9"/>
      <c r="AM329" s="9"/>
      <c r="AN329" s="9"/>
      <c r="AO329" s="9"/>
      <c r="AP329" s="9"/>
      <c r="AQ329" s="9"/>
      <c r="AR329" s="9"/>
      <c r="AS329" s="9"/>
      <c r="AT329" s="9"/>
      <c r="AU329" s="9"/>
      <c r="AV329" s="9"/>
    </row>
    <row r="330" spans="1:48" ht="14" customHeight="1" thickBot="1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9"/>
      <c r="AJ330" s="9"/>
      <c r="AK330" s="9"/>
      <c r="AL330" s="9"/>
      <c r="AM330" s="9"/>
      <c r="AN330" s="9"/>
      <c r="AO330" s="9"/>
      <c r="AP330" s="9"/>
      <c r="AQ330" s="9"/>
      <c r="AR330" s="9"/>
      <c r="AS330" s="9"/>
      <c r="AT330" s="9"/>
      <c r="AU330" s="9"/>
      <c r="AV330" s="9"/>
    </row>
    <row r="331" spans="1:48" ht="14" customHeight="1" thickBot="1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9"/>
      <c r="AK331" s="9"/>
      <c r="AL331" s="9"/>
      <c r="AM331" s="9"/>
      <c r="AN331" s="9"/>
      <c r="AO331" s="9"/>
      <c r="AP331" s="9"/>
      <c r="AQ331" s="9"/>
      <c r="AR331" s="9"/>
      <c r="AS331" s="9"/>
      <c r="AT331" s="9"/>
      <c r="AU331" s="9"/>
      <c r="AV331" s="9"/>
    </row>
    <row r="332" spans="1:48" ht="14" customHeight="1" thickBot="1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9"/>
      <c r="AL332" s="9"/>
      <c r="AM332" s="9"/>
      <c r="AN332" s="9"/>
      <c r="AO332" s="9"/>
      <c r="AP332" s="9"/>
      <c r="AQ332" s="9"/>
      <c r="AR332" s="9"/>
      <c r="AS332" s="9"/>
      <c r="AT332" s="9"/>
      <c r="AU332" s="9"/>
      <c r="AV332" s="9"/>
    </row>
    <row r="333" spans="1:48" ht="14" customHeight="1" thickBot="1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9"/>
      <c r="AK333" s="9"/>
      <c r="AL333" s="9"/>
      <c r="AM333" s="9"/>
      <c r="AN333" s="9"/>
      <c r="AO333" s="9"/>
      <c r="AP333" s="9"/>
      <c r="AQ333" s="9"/>
      <c r="AR333" s="9"/>
      <c r="AS333" s="9"/>
      <c r="AT333" s="9"/>
      <c r="AU333" s="9"/>
      <c r="AV333" s="9"/>
    </row>
    <row r="334" spans="1:48" ht="14" customHeight="1" thickBot="1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9"/>
      <c r="AJ334" s="9"/>
      <c r="AK334" s="9"/>
      <c r="AL334" s="9"/>
      <c r="AM334" s="9"/>
      <c r="AN334" s="9"/>
      <c r="AO334" s="9"/>
      <c r="AP334" s="9"/>
      <c r="AQ334" s="9"/>
      <c r="AR334" s="9"/>
      <c r="AS334" s="9"/>
      <c r="AT334" s="9"/>
      <c r="AU334" s="9"/>
      <c r="AV334" s="9"/>
    </row>
    <row r="335" spans="1:48" ht="14" customHeight="1" thickBot="1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  <c r="AJ335" s="9"/>
      <c r="AK335" s="9"/>
      <c r="AL335" s="9"/>
      <c r="AM335" s="9"/>
      <c r="AN335" s="9"/>
      <c r="AO335" s="9"/>
      <c r="AP335" s="9"/>
      <c r="AQ335" s="9"/>
      <c r="AR335" s="9"/>
      <c r="AS335" s="9"/>
      <c r="AT335" s="9"/>
      <c r="AU335" s="9"/>
      <c r="AV335" s="9"/>
    </row>
    <row r="336" spans="1:48" ht="14" customHeight="1" thickBot="1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9"/>
      <c r="AJ336" s="9"/>
      <c r="AK336" s="9"/>
      <c r="AL336" s="9"/>
      <c r="AM336" s="9"/>
      <c r="AN336" s="9"/>
      <c r="AO336" s="9"/>
      <c r="AP336" s="9"/>
      <c r="AQ336" s="9"/>
      <c r="AR336" s="9"/>
      <c r="AS336" s="9"/>
      <c r="AT336" s="9"/>
      <c r="AU336" s="9"/>
      <c r="AV336" s="9"/>
    </row>
    <row r="337" spans="1:48" ht="14" customHeight="1" thickBot="1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9"/>
      <c r="AK337" s="9"/>
      <c r="AL337" s="9"/>
      <c r="AM337" s="9"/>
      <c r="AN337" s="9"/>
      <c r="AO337" s="9"/>
      <c r="AP337" s="9"/>
      <c r="AQ337" s="9"/>
      <c r="AR337" s="9"/>
      <c r="AS337" s="9"/>
      <c r="AT337" s="9"/>
      <c r="AU337" s="9"/>
      <c r="AV337" s="9"/>
    </row>
    <row r="338" spans="1:48" ht="14" customHeight="1" thickBot="1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  <c r="AJ338" s="9"/>
      <c r="AK338" s="9"/>
      <c r="AL338" s="9"/>
      <c r="AM338" s="9"/>
      <c r="AN338" s="9"/>
      <c r="AO338" s="9"/>
      <c r="AP338" s="9"/>
      <c r="AQ338" s="9"/>
      <c r="AR338" s="9"/>
      <c r="AS338" s="9"/>
      <c r="AT338" s="9"/>
      <c r="AU338" s="9"/>
      <c r="AV338" s="9"/>
    </row>
    <row r="339" spans="1:48" ht="14" customHeight="1" thickBot="1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9"/>
      <c r="AJ339" s="9"/>
      <c r="AK339" s="9"/>
      <c r="AL339" s="9"/>
      <c r="AM339" s="9"/>
      <c r="AN339" s="9"/>
      <c r="AO339" s="9"/>
      <c r="AP339" s="9"/>
      <c r="AQ339" s="9"/>
      <c r="AR339" s="9"/>
      <c r="AS339" s="9"/>
      <c r="AT339" s="9"/>
      <c r="AU339" s="9"/>
      <c r="AV339" s="9"/>
    </row>
    <row r="340" spans="1:48" ht="14" customHeight="1" thickBot="1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  <c r="AJ340" s="9"/>
      <c r="AK340" s="9"/>
      <c r="AL340" s="9"/>
      <c r="AM340" s="9"/>
      <c r="AN340" s="9"/>
      <c r="AO340" s="9"/>
      <c r="AP340" s="9"/>
      <c r="AQ340" s="9"/>
      <c r="AR340" s="9"/>
      <c r="AS340" s="9"/>
      <c r="AT340" s="9"/>
      <c r="AU340" s="9"/>
      <c r="AV340" s="9"/>
    </row>
    <row r="341" spans="1:48" ht="14" customHeight="1" thickBot="1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  <c r="AJ341" s="9"/>
      <c r="AK341" s="9"/>
      <c r="AL341" s="9"/>
      <c r="AM341" s="9"/>
      <c r="AN341" s="9"/>
      <c r="AO341" s="9"/>
      <c r="AP341" s="9"/>
      <c r="AQ341" s="9"/>
      <c r="AR341" s="9"/>
      <c r="AS341" s="9"/>
      <c r="AT341" s="9"/>
      <c r="AU341" s="9"/>
      <c r="AV341" s="9"/>
    </row>
    <row r="342" spans="1:48" ht="14" customHeight="1" thickBot="1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9"/>
      <c r="AK342" s="9"/>
      <c r="AL342" s="9"/>
      <c r="AM342" s="9"/>
      <c r="AN342" s="9"/>
      <c r="AO342" s="9"/>
      <c r="AP342" s="9"/>
      <c r="AQ342" s="9"/>
      <c r="AR342" s="9"/>
      <c r="AS342" s="9"/>
      <c r="AT342" s="9"/>
      <c r="AU342" s="9"/>
      <c r="AV342" s="9"/>
    </row>
    <row r="343" spans="1:48" ht="14" customHeight="1" thickBot="1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  <c r="AJ343" s="9"/>
      <c r="AK343" s="9"/>
      <c r="AL343" s="9"/>
      <c r="AM343" s="9"/>
      <c r="AN343" s="9"/>
      <c r="AO343" s="9"/>
      <c r="AP343" s="9"/>
      <c r="AQ343" s="9"/>
      <c r="AR343" s="9"/>
      <c r="AS343" s="9"/>
      <c r="AT343" s="9"/>
      <c r="AU343" s="9"/>
      <c r="AV343" s="9"/>
    </row>
    <row r="344" spans="1:48" ht="14" customHeight="1" thickBot="1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  <c r="AJ344" s="9"/>
      <c r="AK344" s="9"/>
      <c r="AL344" s="9"/>
      <c r="AM344" s="9"/>
      <c r="AN344" s="9"/>
      <c r="AO344" s="9"/>
      <c r="AP344" s="9"/>
      <c r="AQ344" s="9"/>
      <c r="AR344" s="9"/>
      <c r="AS344" s="9"/>
      <c r="AT344" s="9"/>
      <c r="AU344" s="9"/>
      <c r="AV344" s="9"/>
    </row>
    <row r="345" spans="1:48" ht="14" customHeight="1" thickBot="1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  <c r="AJ345" s="9"/>
      <c r="AK345" s="9"/>
      <c r="AL345" s="9"/>
      <c r="AM345" s="9"/>
      <c r="AN345" s="9"/>
      <c r="AO345" s="9"/>
      <c r="AP345" s="9"/>
      <c r="AQ345" s="9"/>
      <c r="AR345" s="9"/>
      <c r="AS345" s="9"/>
      <c r="AT345" s="9"/>
      <c r="AU345" s="9"/>
      <c r="AV345" s="9"/>
    </row>
    <row r="346" spans="1:48" ht="14" customHeight="1" thickBot="1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9"/>
      <c r="AJ346" s="9"/>
      <c r="AK346" s="9"/>
      <c r="AL346" s="9"/>
      <c r="AM346" s="9"/>
      <c r="AN346" s="9"/>
      <c r="AO346" s="9"/>
      <c r="AP346" s="9"/>
      <c r="AQ346" s="9"/>
      <c r="AR346" s="9"/>
      <c r="AS346" s="9"/>
      <c r="AT346" s="9"/>
      <c r="AU346" s="9"/>
      <c r="AV346" s="9"/>
    </row>
    <row r="347" spans="1:48" ht="14" customHeight="1" thickBot="1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  <c r="AJ347" s="9"/>
      <c r="AK347" s="9"/>
      <c r="AL347" s="9"/>
      <c r="AM347" s="9"/>
      <c r="AN347" s="9"/>
      <c r="AO347" s="9"/>
      <c r="AP347" s="9"/>
      <c r="AQ347" s="9"/>
      <c r="AR347" s="9"/>
      <c r="AS347" s="9"/>
      <c r="AT347" s="9"/>
      <c r="AU347" s="9"/>
      <c r="AV347" s="9"/>
    </row>
    <row r="348" spans="1:48" ht="14" customHeight="1" thickBot="1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  <c r="AJ348" s="9"/>
      <c r="AK348" s="9"/>
      <c r="AL348" s="9"/>
      <c r="AM348" s="9"/>
      <c r="AN348" s="9"/>
      <c r="AO348" s="9"/>
      <c r="AP348" s="9"/>
      <c r="AQ348" s="9"/>
      <c r="AR348" s="9"/>
      <c r="AS348" s="9"/>
      <c r="AT348" s="9"/>
      <c r="AU348" s="9"/>
      <c r="AV348" s="9"/>
    </row>
    <row r="349" spans="1:48" ht="14" customHeight="1" thickBot="1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9"/>
      <c r="AK349" s="9"/>
      <c r="AL349" s="9"/>
      <c r="AM349" s="9"/>
      <c r="AN349" s="9"/>
      <c r="AO349" s="9"/>
      <c r="AP349" s="9"/>
      <c r="AQ349" s="9"/>
      <c r="AR349" s="9"/>
      <c r="AS349" s="9"/>
      <c r="AT349" s="9"/>
      <c r="AU349" s="9"/>
      <c r="AV349" s="9"/>
    </row>
    <row r="350" spans="1:48" ht="14" customHeight="1" thickBot="1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  <c r="AJ350" s="9"/>
      <c r="AK350" s="9"/>
      <c r="AL350" s="9"/>
      <c r="AM350" s="9"/>
      <c r="AN350" s="9"/>
      <c r="AO350" s="9"/>
      <c r="AP350" s="9"/>
      <c r="AQ350" s="9"/>
      <c r="AR350" s="9"/>
      <c r="AS350" s="9"/>
      <c r="AT350" s="9"/>
      <c r="AU350" s="9"/>
      <c r="AV350" s="9"/>
    </row>
    <row r="351" spans="1:48" ht="14" customHeight="1" thickBot="1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  <c r="AJ351" s="9"/>
      <c r="AK351" s="9"/>
      <c r="AL351" s="9"/>
      <c r="AM351" s="9"/>
      <c r="AN351" s="9"/>
      <c r="AO351" s="9"/>
      <c r="AP351" s="9"/>
      <c r="AQ351" s="9"/>
      <c r="AR351" s="9"/>
      <c r="AS351" s="9"/>
      <c r="AT351" s="9"/>
      <c r="AU351" s="9"/>
      <c r="AV351" s="9"/>
    </row>
    <row r="352" spans="1:48" ht="14" customHeight="1" thickBot="1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  <c r="AJ352" s="9"/>
      <c r="AK352" s="9"/>
      <c r="AL352" s="9"/>
      <c r="AM352" s="9"/>
      <c r="AN352" s="9"/>
      <c r="AO352" s="9"/>
      <c r="AP352" s="9"/>
      <c r="AQ352" s="9"/>
      <c r="AR352" s="9"/>
      <c r="AS352" s="9"/>
      <c r="AT352" s="9"/>
      <c r="AU352" s="9"/>
      <c r="AV352" s="9"/>
    </row>
    <row r="353" spans="1:48" ht="14" customHeight="1" thickBot="1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9"/>
      <c r="AJ353" s="9"/>
      <c r="AK353" s="9"/>
      <c r="AL353" s="9"/>
      <c r="AM353" s="9"/>
      <c r="AN353" s="9"/>
      <c r="AO353" s="9"/>
      <c r="AP353" s="9"/>
      <c r="AQ353" s="9"/>
      <c r="AR353" s="9"/>
      <c r="AS353" s="9"/>
      <c r="AT353" s="9"/>
      <c r="AU353" s="9"/>
      <c r="AV353" s="9"/>
    </row>
    <row r="354" spans="1:48" ht="14" customHeight="1" thickBot="1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9"/>
      <c r="AJ354" s="9"/>
      <c r="AK354" s="9"/>
      <c r="AL354" s="9"/>
      <c r="AM354" s="9"/>
      <c r="AN354" s="9"/>
      <c r="AO354" s="9"/>
      <c r="AP354" s="9"/>
      <c r="AQ354" s="9"/>
      <c r="AR354" s="9"/>
      <c r="AS354" s="9"/>
      <c r="AT354" s="9"/>
      <c r="AU354" s="9"/>
      <c r="AV354" s="9"/>
    </row>
    <row r="355" spans="1:48" ht="14" customHeight="1" thickBot="1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9"/>
      <c r="AJ355" s="9"/>
      <c r="AK355" s="9"/>
      <c r="AL355" s="9"/>
      <c r="AM355" s="9"/>
      <c r="AN355" s="9"/>
      <c r="AO355" s="9"/>
      <c r="AP355" s="9"/>
      <c r="AQ355" s="9"/>
      <c r="AR355" s="9"/>
      <c r="AS355" s="9"/>
      <c r="AT355" s="9"/>
      <c r="AU355" s="9"/>
      <c r="AV355" s="9"/>
    </row>
    <row r="356" spans="1:48" ht="14" customHeight="1" thickBot="1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  <c r="AJ356" s="9"/>
      <c r="AK356" s="9"/>
      <c r="AL356" s="9"/>
      <c r="AM356" s="9"/>
      <c r="AN356" s="9"/>
      <c r="AO356" s="9"/>
      <c r="AP356" s="9"/>
      <c r="AQ356" s="9"/>
      <c r="AR356" s="9"/>
      <c r="AS356" s="9"/>
      <c r="AT356" s="9"/>
      <c r="AU356" s="9"/>
      <c r="AV356" s="9"/>
    </row>
    <row r="357" spans="1:48" ht="14" customHeight="1" thickBot="1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9"/>
      <c r="AJ357" s="9"/>
      <c r="AK357" s="9"/>
      <c r="AL357" s="9"/>
      <c r="AM357" s="9"/>
      <c r="AN357" s="9"/>
      <c r="AO357" s="9"/>
      <c r="AP357" s="9"/>
      <c r="AQ357" s="9"/>
      <c r="AR357" s="9"/>
      <c r="AS357" s="9"/>
      <c r="AT357" s="9"/>
      <c r="AU357" s="9"/>
      <c r="AV357" s="9"/>
    </row>
    <row r="358" spans="1:48" ht="14" customHeight="1" thickBot="1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  <c r="AI358" s="9"/>
      <c r="AJ358" s="9"/>
      <c r="AK358" s="9"/>
      <c r="AL358" s="9"/>
      <c r="AM358" s="9"/>
      <c r="AN358" s="9"/>
      <c r="AO358" s="9"/>
      <c r="AP358" s="9"/>
      <c r="AQ358" s="9"/>
      <c r="AR358" s="9"/>
      <c r="AS358" s="9"/>
      <c r="AT358" s="9"/>
      <c r="AU358" s="9"/>
      <c r="AV358" s="9"/>
    </row>
    <row r="359" spans="1:48" ht="14" customHeight="1" thickBot="1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9"/>
      <c r="AJ359" s="9"/>
      <c r="AK359" s="9"/>
      <c r="AL359" s="9"/>
      <c r="AM359" s="9"/>
      <c r="AN359" s="9"/>
      <c r="AO359" s="9"/>
      <c r="AP359" s="9"/>
      <c r="AQ359" s="9"/>
      <c r="AR359" s="9"/>
      <c r="AS359" s="9"/>
      <c r="AT359" s="9"/>
      <c r="AU359" s="9"/>
      <c r="AV359" s="9"/>
    </row>
    <row r="360" spans="1:48" ht="14" customHeight="1" thickBot="1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  <c r="AJ360" s="9"/>
      <c r="AK360" s="9"/>
      <c r="AL360" s="9"/>
      <c r="AM360" s="9"/>
      <c r="AN360" s="9"/>
      <c r="AO360" s="9"/>
      <c r="AP360" s="9"/>
      <c r="AQ360" s="9"/>
      <c r="AR360" s="9"/>
      <c r="AS360" s="9"/>
      <c r="AT360" s="9"/>
      <c r="AU360" s="9"/>
      <c r="AV360" s="9"/>
    </row>
    <row r="361" spans="1:48" ht="14" customHeight="1" thickBot="1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  <c r="AJ361" s="9"/>
      <c r="AK361" s="9"/>
      <c r="AL361" s="9"/>
      <c r="AM361" s="9"/>
      <c r="AN361" s="9"/>
      <c r="AO361" s="9"/>
      <c r="AP361" s="9"/>
      <c r="AQ361" s="9"/>
      <c r="AR361" s="9"/>
      <c r="AS361" s="9"/>
      <c r="AT361" s="9"/>
      <c r="AU361" s="9"/>
      <c r="AV361" s="9"/>
    </row>
    <row r="362" spans="1:48" ht="14" customHeight="1" thickBot="1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9"/>
      <c r="AJ362" s="9"/>
      <c r="AK362" s="9"/>
      <c r="AL362" s="9"/>
      <c r="AM362" s="9"/>
      <c r="AN362" s="9"/>
      <c r="AO362" s="9"/>
      <c r="AP362" s="9"/>
      <c r="AQ362" s="9"/>
      <c r="AR362" s="9"/>
      <c r="AS362" s="9"/>
      <c r="AT362" s="9"/>
      <c r="AU362" s="9"/>
      <c r="AV362" s="9"/>
    </row>
    <row r="363" spans="1:48" ht="14" customHeight="1" thickBot="1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  <c r="AJ363" s="9"/>
      <c r="AK363" s="9"/>
      <c r="AL363" s="9"/>
      <c r="AM363" s="9"/>
      <c r="AN363" s="9"/>
      <c r="AO363" s="9"/>
      <c r="AP363" s="9"/>
      <c r="AQ363" s="9"/>
      <c r="AR363" s="9"/>
      <c r="AS363" s="9"/>
      <c r="AT363" s="9"/>
      <c r="AU363" s="9"/>
      <c r="AV363" s="9"/>
    </row>
    <row r="364" spans="1:48" ht="14" customHeight="1" thickBot="1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  <c r="AJ364" s="9"/>
      <c r="AK364" s="9"/>
      <c r="AL364" s="9"/>
      <c r="AM364" s="9"/>
      <c r="AN364" s="9"/>
      <c r="AO364" s="9"/>
      <c r="AP364" s="9"/>
      <c r="AQ364" s="9"/>
      <c r="AR364" s="9"/>
      <c r="AS364" s="9"/>
      <c r="AT364" s="9"/>
      <c r="AU364" s="9"/>
      <c r="AV364" s="9"/>
    </row>
    <row r="365" spans="1:48" ht="14" customHeight="1" thickBot="1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  <c r="AJ365" s="9"/>
      <c r="AK365" s="9"/>
      <c r="AL365" s="9"/>
      <c r="AM365" s="9"/>
      <c r="AN365" s="9"/>
      <c r="AO365" s="9"/>
      <c r="AP365" s="9"/>
      <c r="AQ365" s="9"/>
      <c r="AR365" s="9"/>
      <c r="AS365" s="9"/>
      <c r="AT365" s="9"/>
      <c r="AU365" s="9"/>
      <c r="AV365" s="9"/>
    </row>
    <row r="366" spans="1:48" ht="14" customHeight="1" thickBot="1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  <c r="AJ366" s="9"/>
      <c r="AK366" s="9"/>
      <c r="AL366" s="9"/>
      <c r="AM366" s="9"/>
      <c r="AN366" s="9"/>
      <c r="AO366" s="9"/>
      <c r="AP366" s="9"/>
      <c r="AQ366" s="9"/>
      <c r="AR366" s="9"/>
      <c r="AS366" s="9"/>
      <c r="AT366" s="9"/>
      <c r="AU366" s="9"/>
      <c r="AV366" s="9"/>
    </row>
    <row r="367" spans="1:48" ht="14" customHeight="1" thickBot="1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9"/>
      <c r="AJ367" s="9"/>
      <c r="AK367" s="9"/>
      <c r="AL367" s="9"/>
      <c r="AM367" s="9"/>
      <c r="AN367" s="9"/>
      <c r="AO367" s="9"/>
      <c r="AP367" s="9"/>
      <c r="AQ367" s="9"/>
      <c r="AR367" s="9"/>
      <c r="AS367" s="9"/>
      <c r="AT367" s="9"/>
      <c r="AU367" s="9"/>
      <c r="AV367" s="9"/>
    </row>
    <row r="368" spans="1:48" ht="14" customHeight="1" thickBot="1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9"/>
      <c r="AJ368" s="9"/>
      <c r="AK368" s="9"/>
      <c r="AL368" s="9"/>
      <c r="AM368" s="9"/>
      <c r="AN368" s="9"/>
      <c r="AO368" s="9"/>
      <c r="AP368" s="9"/>
      <c r="AQ368" s="9"/>
      <c r="AR368" s="9"/>
      <c r="AS368" s="9"/>
      <c r="AT368" s="9"/>
      <c r="AU368" s="9"/>
      <c r="AV368" s="9"/>
    </row>
    <row r="369" spans="1:48" ht="14" customHeight="1" thickBot="1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9"/>
      <c r="AJ369" s="9"/>
      <c r="AK369" s="9"/>
      <c r="AL369" s="9"/>
      <c r="AM369" s="9"/>
      <c r="AN369" s="9"/>
      <c r="AO369" s="9"/>
      <c r="AP369" s="9"/>
      <c r="AQ369" s="9"/>
      <c r="AR369" s="9"/>
      <c r="AS369" s="9"/>
      <c r="AT369" s="9"/>
      <c r="AU369" s="9"/>
      <c r="AV369" s="9"/>
    </row>
    <row r="370" spans="1:48" ht="14" customHeight="1" thickBot="1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9"/>
      <c r="AI370" s="9"/>
      <c r="AJ370" s="9"/>
      <c r="AK370" s="9"/>
      <c r="AL370" s="9"/>
      <c r="AM370" s="9"/>
      <c r="AN370" s="9"/>
      <c r="AO370" s="9"/>
      <c r="AP370" s="9"/>
      <c r="AQ370" s="9"/>
      <c r="AR370" s="9"/>
      <c r="AS370" s="9"/>
      <c r="AT370" s="9"/>
      <c r="AU370" s="9"/>
      <c r="AV370" s="9"/>
    </row>
    <row r="371" spans="1:48" ht="14" customHeight="1" thickBot="1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  <c r="AI371" s="9"/>
      <c r="AJ371" s="9"/>
      <c r="AK371" s="9"/>
      <c r="AL371" s="9"/>
      <c r="AM371" s="9"/>
      <c r="AN371" s="9"/>
      <c r="AO371" s="9"/>
      <c r="AP371" s="9"/>
      <c r="AQ371" s="9"/>
      <c r="AR371" s="9"/>
      <c r="AS371" s="9"/>
      <c r="AT371" s="9"/>
      <c r="AU371" s="9"/>
      <c r="AV371" s="9"/>
    </row>
    <row r="372" spans="1:48" ht="14" customHeight="1" thickBot="1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9"/>
      <c r="AI372" s="9"/>
      <c r="AJ372" s="9"/>
      <c r="AK372" s="9"/>
      <c r="AL372" s="9"/>
      <c r="AM372" s="9"/>
      <c r="AN372" s="9"/>
      <c r="AO372" s="9"/>
      <c r="AP372" s="9"/>
      <c r="AQ372" s="9"/>
      <c r="AR372" s="9"/>
      <c r="AS372" s="9"/>
      <c r="AT372" s="9"/>
      <c r="AU372" s="9"/>
      <c r="AV372" s="9"/>
    </row>
    <row r="373" spans="1:48" ht="14" customHeight="1" thickBot="1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9"/>
      <c r="AJ373" s="9"/>
      <c r="AK373" s="9"/>
      <c r="AL373" s="9"/>
      <c r="AM373" s="9"/>
      <c r="AN373" s="9"/>
      <c r="AO373" s="9"/>
      <c r="AP373" s="9"/>
      <c r="AQ373" s="9"/>
      <c r="AR373" s="9"/>
      <c r="AS373" s="9"/>
      <c r="AT373" s="9"/>
      <c r="AU373" s="9"/>
      <c r="AV373" s="9"/>
    </row>
    <row r="374" spans="1:48" ht="14" customHeight="1" thickBot="1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  <c r="AI374" s="9"/>
      <c r="AJ374" s="9"/>
      <c r="AK374" s="9"/>
      <c r="AL374" s="9"/>
      <c r="AM374" s="9"/>
      <c r="AN374" s="9"/>
      <c r="AO374" s="9"/>
      <c r="AP374" s="9"/>
      <c r="AQ374" s="9"/>
      <c r="AR374" s="9"/>
      <c r="AS374" s="9"/>
      <c r="AT374" s="9"/>
      <c r="AU374" s="9"/>
      <c r="AV374" s="9"/>
    </row>
    <row r="375" spans="1:48" ht="14" customHeight="1" thickBot="1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  <c r="AI375" s="9"/>
      <c r="AJ375" s="9"/>
      <c r="AK375" s="9"/>
      <c r="AL375" s="9"/>
      <c r="AM375" s="9"/>
      <c r="AN375" s="9"/>
      <c r="AO375" s="9"/>
      <c r="AP375" s="9"/>
      <c r="AQ375" s="9"/>
      <c r="AR375" s="9"/>
      <c r="AS375" s="9"/>
      <c r="AT375" s="9"/>
      <c r="AU375" s="9"/>
      <c r="AV375" s="9"/>
    </row>
    <row r="376" spans="1:48" ht="14" customHeight="1" thickBot="1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9"/>
      <c r="AJ376" s="9"/>
      <c r="AK376" s="9"/>
      <c r="AL376" s="9"/>
      <c r="AM376" s="9"/>
      <c r="AN376" s="9"/>
      <c r="AO376" s="9"/>
      <c r="AP376" s="9"/>
      <c r="AQ376" s="9"/>
      <c r="AR376" s="9"/>
      <c r="AS376" s="9"/>
      <c r="AT376" s="9"/>
      <c r="AU376" s="9"/>
      <c r="AV376" s="9"/>
    </row>
    <row r="377" spans="1:48" ht="14" customHeight="1" thickBot="1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  <c r="AJ377" s="9"/>
      <c r="AK377" s="9"/>
      <c r="AL377" s="9"/>
      <c r="AM377" s="9"/>
      <c r="AN377" s="9"/>
      <c r="AO377" s="9"/>
      <c r="AP377" s="9"/>
      <c r="AQ377" s="9"/>
      <c r="AR377" s="9"/>
      <c r="AS377" s="9"/>
      <c r="AT377" s="9"/>
      <c r="AU377" s="9"/>
      <c r="AV377" s="9"/>
    </row>
    <row r="378" spans="1:48" ht="14" customHeight="1" thickBot="1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9"/>
      <c r="AJ378" s="9"/>
      <c r="AK378" s="9"/>
      <c r="AL378" s="9"/>
      <c r="AM378" s="9"/>
      <c r="AN378" s="9"/>
      <c r="AO378" s="9"/>
      <c r="AP378" s="9"/>
      <c r="AQ378" s="9"/>
      <c r="AR378" s="9"/>
      <c r="AS378" s="9"/>
      <c r="AT378" s="9"/>
      <c r="AU378" s="9"/>
      <c r="AV378" s="9"/>
    </row>
    <row r="379" spans="1:48" ht="14" customHeight="1" thickBot="1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9"/>
      <c r="AJ379" s="9"/>
      <c r="AK379" s="9"/>
      <c r="AL379" s="9"/>
      <c r="AM379" s="9"/>
      <c r="AN379" s="9"/>
      <c r="AO379" s="9"/>
      <c r="AP379" s="9"/>
      <c r="AQ379" s="9"/>
      <c r="AR379" s="9"/>
      <c r="AS379" s="9"/>
      <c r="AT379" s="9"/>
      <c r="AU379" s="9"/>
      <c r="AV379" s="9"/>
    </row>
    <row r="380" spans="1:48" ht="14" customHeight="1" thickBot="1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  <c r="AI380" s="9"/>
      <c r="AJ380" s="9"/>
      <c r="AK380" s="9"/>
      <c r="AL380" s="9"/>
      <c r="AM380" s="9"/>
      <c r="AN380" s="9"/>
      <c r="AO380" s="9"/>
      <c r="AP380" s="9"/>
      <c r="AQ380" s="9"/>
      <c r="AR380" s="9"/>
      <c r="AS380" s="9"/>
      <c r="AT380" s="9"/>
      <c r="AU380" s="9"/>
      <c r="AV380" s="9"/>
    </row>
    <row r="381" spans="1:48" ht="14" customHeight="1" thickBot="1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9"/>
      <c r="AJ381" s="9"/>
      <c r="AK381" s="9"/>
      <c r="AL381" s="9"/>
      <c r="AM381" s="9"/>
      <c r="AN381" s="9"/>
      <c r="AO381" s="9"/>
      <c r="AP381" s="9"/>
      <c r="AQ381" s="9"/>
      <c r="AR381" s="9"/>
      <c r="AS381" s="9"/>
      <c r="AT381" s="9"/>
      <c r="AU381" s="9"/>
      <c r="AV381" s="9"/>
    </row>
    <row r="382" spans="1:48" ht="14" customHeight="1" thickBot="1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9"/>
      <c r="AK382" s="9"/>
      <c r="AL382" s="9"/>
      <c r="AM382" s="9"/>
      <c r="AN382" s="9"/>
      <c r="AO382" s="9"/>
      <c r="AP382" s="9"/>
      <c r="AQ382" s="9"/>
      <c r="AR382" s="9"/>
      <c r="AS382" s="9"/>
      <c r="AT382" s="9"/>
      <c r="AU382" s="9"/>
      <c r="AV382" s="9"/>
    </row>
    <row r="383" spans="1:48" ht="14" customHeight="1" thickBot="1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9"/>
      <c r="AK383" s="9"/>
      <c r="AL383" s="9"/>
      <c r="AM383" s="9"/>
      <c r="AN383" s="9"/>
      <c r="AO383" s="9"/>
      <c r="AP383" s="9"/>
      <c r="AQ383" s="9"/>
      <c r="AR383" s="9"/>
      <c r="AS383" s="9"/>
      <c r="AT383" s="9"/>
      <c r="AU383" s="9"/>
      <c r="AV383" s="9"/>
    </row>
    <row r="384" spans="1:48" ht="14" customHeight="1" thickBot="1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9"/>
      <c r="AK384" s="9"/>
      <c r="AL384" s="9"/>
      <c r="AM384" s="9"/>
      <c r="AN384" s="9"/>
      <c r="AO384" s="9"/>
      <c r="AP384" s="9"/>
      <c r="AQ384" s="9"/>
      <c r="AR384" s="9"/>
      <c r="AS384" s="9"/>
      <c r="AT384" s="9"/>
      <c r="AU384" s="9"/>
      <c r="AV384" s="9"/>
    </row>
    <row r="385" spans="1:48" ht="14" customHeight="1" thickBot="1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  <c r="AJ385" s="9"/>
      <c r="AK385" s="9"/>
      <c r="AL385" s="9"/>
      <c r="AM385" s="9"/>
      <c r="AN385" s="9"/>
      <c r="AO385" s="9"/>
      <c r="AP385" s="9"/>
      <c r="AQ385" s="9"/>
      <c r="AR385" s="9"/>
      <c r="AS385" s="9"/>
      <c r="AT385" s="9"/>
      <c r="AU385" s="9"/>
      <c r="AV385" s="9"/>
    </row>
    <row r="386" spans="1:48" ht="14" customHeight="1" thickBot="1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  <c r="AI386" s="9"/>
      <c r="AJ386" s="9"/>
      <c r="AK386" s="9"/>
      <c r="AL386" s="9"/>
      <c r="AM386" s="9"/>
      <c r="AN386" s="9"/>
      <c r="AO386" s="9"/>
      <c r="AP386" s="9"/>
      <c r="AQ386" s="9"/>
      <c r="AR386" s="9"/>
      <c r="AS386" s="9"/>
      <c r="AT386" s="9"/>
      <c r="AU386" s="9"/>
      <c r="AV386" s="9"/>
    </row>
    <row r="387" spans="1:48" ht="14" customHeight="1" thickBot="1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9"/>
      <c r="AJ387" s="9"/>
      <c r="AK387" s="9"/>
      <c r="AL387" s="9"/>
      <c r="AM387" s="9"/>
      <c r="AN387" s="9"/>
      <c r="AO387" s="9"/>
      <c r="AP387" s="9"/>
      <c r="AQ387" s="9"/>
      <c r="AR387" s="9"/>
      <c r="AS387" s="9"/>
      <c r="AT387" s="9"/>
      <c r="AU387" s="9"/>
      <c r="AV387" s="9"/>
    </row>
    <row r="388" spans="1:48" ht="14" customHeight="1" thickBot="1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9"/>
      <c r="AJ388" s="9"/>
      <c r="AK388" s="9"/>
      <c r="AL388" s="9"/>
      <c r="AM388" s="9"/>
      <c r="AN388" s="9"/>
      <c r="AO388" s="9"/>
      <c r="AP388" s="9"/>
      <c r="AQ388" s="9"/>
      <c r="AR388" s="9"/>
      <c r="AS388" s="9"/>
      <c r="AT388" s="9"/>
      <c r="AU388" s="9"/>
      <c r="AV388" s="9"/>
    </row>
    <row r="389" spans="1:48" ht="14" customHeight="1" thickBot="1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9"/>
      <c r="AJ389" s="9"/>
      <c r="AK389" s="9"/>
      <c r="AL389" s="9"/>
      <c r="AM389" s="9"/>
      <c r="AN389" s="9"/>
      <c r="AO389" s="9"/>
      <c r="AP389" s="9"/>
      <c r="AQ389" s="9"/>
      <c r="AR389" s="9"/>
      <c r="AS389" s="9"/>
      <c r="AT389" s="9"/>
      <c r="AU389" s="9"/>
      <c r="AV389" s="9"/>
    </row>
    <row r="390" spans="1:48" ht="14" customHeight="1" thickBot="1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9"/>
      <c r="AJ390" s="9"/>
      <c r="AK390" s="9"/>
      <c r="AL390" s="9"/>
      <c r="AM390" s="9"/>
      <c r="AN390" s="9"/>
      <c r="AO390" s="9"/>
      <c r="AP390" s="9"/>
      <c r="AQ390" s="9"/>
      <c r="AR390" s="9"/>
      <c r="AS390" s="9"/>
      <c r="AT390" s="9"/>
      <c r="AU390" s="9"/>
      <c r="AV390" s="9"/>
    </row>
    <row r="391" spans="1:48" ht="14" customHeight="1" thickBot="1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9"/>
      <c r="AJ391" s="9"/>
      <c r="AK391" s="9"/>
      <c r="AL391" s="9"/>
      <c r="AM391" s="9"/>
      <c r="AN391" s="9"/>
      <c r="AO391" s="9"/>
      <c r="AP391" s="9"/>
      <c r="AQ391" s="9"/>
      <c r="AR391" s="9"/>
      <c r="AS391" s="9"/>
      <c r="AT391" s="9"/>
      <c r="AU391" s="9"/>
      <c r="AV391" s="9"/>
    </row>
    <row r="392" spans="1:48" ht="14" customHeight="1" thickBot="1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9"/>
      <c r="AJ392" s="9"/>
      <c r="AK392" s="9"/>
      <c r="AL392" s="9"/>
      <c r="AM392" s="9"/>
      <c r="AN392" s="9"/>
      <c r="AO392" s="9"/>
      <c r="AP392" s="9"/>
      <c r="AQ392" s="9"/>
      <c r="AR392" s="9"/>
      <c r="AS392" s="9"/>
      <c r="AT392" s="9"/>
      <c r="AU392" s="9"/>
      <c r="AV392" s="9"/>
    </row>
    <row r="393" spans="1:48" ht="14" customHeight="1" thickBot="1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9"/>
      <c r="AJ393" s="9"/>
      <c r="AK393" s="9"/>
      <c r="AL393" s="9"/>
      <c r="AM393" s="9"/>
      <c r="AN393" s="9"/>
      <c r="AO393" s="9"/>
      <c r="AP393" s="9"/>
      <c r="AQ393" s="9"/>
      <c r="AR393" s="9"/>
      <c r="AS393" s="9"/>
      <c r="AT393" s="9"/>
      <c r="AU393" s="9"/>
      <c r="AV393" s="9"/>
    </row>
    <row r="394" spans="1:48" ht="14" customHeight="1" thickBot="1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  <c r="AI394" s="9"/>
      <c r="AJ394" s="9"/>
      <c r="AK394" s="9"/>
      <c r="AL394" s="9"/>
      <c r="AM394" s="9"/>
      <c r="AN394" s="9"/>
      <c r="AO394" s="9"/>
      <c r="AP394" s="9"/>
      <c r="AQ394" s="9"/>
      <c r="AR394" s="9"/>
      <c r="AS394" s="9"/>
      <c r="AT394" s="9"/>
      <c r="AU394" s="9"/>
      <c r="AV394" s="9"/>
    </row>
    <row r="395" spans="1:48" ht="14" customHeight="1" thickBot="1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9"/>
      <c r="AJ395" s="9"/>
      <c r="AK395" s="9"/>
      <c r="AL395" s="9"/>
      <c r="AM395" s="9"/>
      <c r="AN395" s="9"/>
      <c r="AO395" s="9"/>
      <c r="AP395" s="9"/>
      <c r="AQ395" s="9"/>
      <c r="AR395" s="9"/>
      <c r="AS395" s="9"/>
      <c r="AT395" s="9"/>
      <c r="AU395" s="9"/>
      <c r="AV395" s="9"/>
    </row>
    <row r="396" spans="1:48" ht="14" customHeight="1" thickBot="1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  <c r="AI396" s="9"/>
      <c r="AJ396" s="9"/>
      <c r="AK396" s="9"/>
      <c r="AL396" s="9"/>
      <c r="AM396" s="9"/>
      <c r="AN396" s="9"/>
      <c r="AO396" s="9"/>
      <c r="AP396" s="9"/>
      <c r="AQ396" s="9"/>
      <c r="AR396" s="9"/>
      <c r="AS396" s="9"/>
      <c r="AT396" s="9"/>
      <c r="AU396" s="9"/>
      <c r="AV396" s="9"/>
    </row>
    <row r="397" spans="1:48" ht="14" customHeight="1" thickBot="1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  <c r="AJ397" s="9"/>
      <c r="AK397" s="9"/>
      <c r="AL397" s="9"/>
      <c r="AM397" s="9"/>
      <c r="AN397" s="9"/>
      <c r="AO397" s="9"/>
      <c r="AP397" s="9"/>
      <c r="AQ397" s="9"/>
      <c r="AR397" s="9"/>
      <c r="AS397" s="9"/>
      <c r="AT397" s="9"/>
      <c r="AU397" s="9"/>
      <c r="AV397" s="9"/>
    </row>
    <row r="398" spans="1:48" ht="14" customHeight="1" thickBot="1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9"/>
      <c r="AJ398" s="9"/>
      <c r="AK398" s="9"/>
      <c r="AL398" s="9"/>
      <c r="AM398" s="9"/>
      <c r="AN398" s="9"/>
      <c r="AO398" s="9"/>
      <c r="AP398" s="9"/>
      <c r="AQ398" s="9"/>
      <c r="AR398" s="9"/>
      <c r="AS398" s="9"/>
      <c r="AT398" s="9"/>
      <c r="AU398" s="9"/>
      <c r="AV398" s="9"/>
    </row>
    <row r="399" spans="1:48" ht="14" customHeight="1" thickBot="1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  <c r="AJ399" s="9"/>
      <c r="AK399" s="9"/>
      <c r="AL399" s="9"/>
      <c r="AM399" s="9"/>
      <c r="AN399" s="9"/>
      <c r="AO399" s="9"/>
      <c r="AP399" s="9"/>
      <c r="AQ399" s="9"/>
      <c r="AR399" s="9"/>
      <c r="AS399" s="9"/>
      <c r="AT399" s="9"/>
      <c r="AU399" s="9"/>
      <c r="AV399" s="9"/>
    </row>
    <row r="400" spans="1:48" ht="14" customHeight="1" thickBot="1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  <c r="AI400" s="9"/>
      <c r="AJ400" s="9"/>
      <c r="AK400" s="9"/>
      <c r="AL400" s="9"/>
      <c r="AM400" s="9"/>
      <c r="AN400" s="9"/>
      <c r="AO400" s="9"/>
      <c r="AP400" s="9"/>
      <c r="AQ400" s="9"/>
      <c r="AR400" s="9"/>
      <c r="AS400" s="9"/>
      <c r="AT400" s="9"/>
      <c r="AU400" s="9"/>
      <c r="AV400" s="9"/>
    </row>
    <row r="401" spans="1:48" ht="14" customHeight="1" thickBot="1">
      <c r="A401" s="31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  <c r="AI401" s="9"/>
      <c r="AJ401" s="9"/>
      <c r="AK401" s="9"/>
      <c r="AL401" s="9"/>
      <c r="AM401" s="9"/>
      <c r="AN401" s="9"/>
      <c r="AO401" s="9"/>
      <c r="AP401" s="9"/>
      <c r="AQ401" s="9"/>
      <c r="AR401" s="9"/>
      <c r="AS401" s="9"/>
      <c r="AT401" s="9"/>
      <c r="AU401" s="9"/>
      <c r="AV401" s="9"/>
    </row>
    <row r="402" spans="1:48" ht="14" customHeight="1" thickBot="1">
      <c r="A402" s="31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9"/>
      <c r="AM402" s="9"/>
      <c r="AN402" s="9"/>
      <c r="AO402" s="9"/>
      <c r="AP402" s="9"/>
      <c r="AQ402" s="9"/>
      <c r="AR402" s="9"/>
      <c r="AS402" s="9"/>
      <c r="AT402" s="9"/>
      <c r="AU402" s="9"/>
      <c r="AV402" s="9"/>
    </row>
    <row r="403" spans="1:48" ht="14" customHeight="1" thickBot="1">
      <c r="A403" s="31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9"/>
      <c r="AM403" s="9"/>
      <c r="AN403" s="9"/>
      <c r="AO403" s="9"/>
      <c r="AP403" s="9"/>
      <c r="AQ403" s="9"/>
      <c r="AR403" s="9"/>
      <c r="AS403" s="9"/>
      <c r="AT403" s="9"/>
      <c r="AU403" s="9"/>
      <c r="AV403" s="9"/>
    </row>
    <row r="404" spans="1:48" ht="14" customHeight="1" thickBot="1">
      <c r="A404" s="31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  <c r="AI404" s="9"/>
      <c r="AJ404" s="9"/>
      <c r="AK404" s="9"/>
      <c r="AL404" s="9"/>
      <c r="AM404" s="9"/>
      <c r="AN404" s="9"/>
      <c r="AO404" s="9"/>
      <c r="AP404" s="9"/>
      <c r="AQ404" s="9"/>
      <c r="AR404" s="9"/>
      <c r="AS404" s="9"/>
      <c r="AT404" s="9"/>
      <c r="AU404" s="9"/>
      <c r="AV404" s="9"/>
    </row>
    <row r="405" spans="1:48" ht="14" customHeight="1" thickBot="1">
      <c r="A405" s="31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  <c r="AI405" s="9"/>
      <c r="AJ405" s="9"/>
      <c r="AK405" s="9"/>
      <c r="AL405" s="9"/>
      <c r="AM405" s="9"/>
      <c r="AN405" s="9"/>
      <c r="AO405" s="9"/>
      <c r="AP405" s="9"/>
      <c r="AQ405" s="9"/>
      <c r="AR405" s="9"/>
      <c r="AS405" s="9"/>
      <c r="AT405" s="9"/>
      <c r="AU405" s="9"/>
      <c r="AV405" s="9"/>
    </row>
    <row r="406" spans="1:48" ht="14" customHeight="1" thickBot="1">
      <c r="A406" s="31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  <c r="AI406" s="9"/>
      <c r="AJ406" s="9"/>
      <c r="AK406" s="9"/>
      <c r="AL406" s="9"/>
      <c r="AM406" s="9"/>
      <c r="AN406" s="9"/>
      <c r="AO406" s="9"/>
      <c r="AP406" s="9"/>
      <c r="AQ406" s="9"/>
      <c r="AR406" s="9"/>
      <c r="AS406" s="9"/>
      <c r="AT406" s="9"/>
      <c r="AU406" s="9"/>
      <c r="AV406" s="9"/>
    </row>
    <row r="407" spans="1:48" ht="14" customHeight="1" thickBot="1">
      <c r="A407" s="31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9"/>
      <c r="AJ407" s="9"/>
      <c r="AK407" s="9"/>
      <c r="AL407" s="9"/>
      <c r="AM407" s="9"/>
      <c r="AN407" s="9"/>
      <c r="AO407" s="9"/>
      <c r="AP407" s="9"/>
      <c r="AQ407" s="9"/>
      <c r="AR407" s="9"/>
      <c r="AS407" s="9"/>
      <c r="AT407" s="9"/>
      <c r="AU407" s="9"/>
      <c r="AV407" s="9"/>
    </row>
    <row r="408" spans="1:48" ht="14" customHeight="1" thickBot="1">
      <c r="A408" s="31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  <c r="AI408" s="9"/>
      <c r="AJ408" s="9"/>
      <c r="AK408" s="9"/>
      <c r="AL408" s="9"/>
      <c r="AM408" s="9"/>
      <c r="AN408" s="9"/>
      <c r="AO408" s="9"/>
      <c r="AP408" s="9"/>
      <c r="AQ408" s="9"/>
      <c r="AR408" s="9"/>
      <c r="AS408" s="9"/>
      <c r="AT408" s="9"/>
      <c r="AU408" s="9"/>
      <c r="AV408" s="9"/>
    </row>
    <row r="409" spans="1:48" ht="14" customHeight="1" thickBot="1">
      <c r="A409" s="31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9"/>
      <c r="AJ409" s="9"/>
      <c r="AK409" s="9"/>
      <c r="AL409" s="9"/>
      <c r="AM409" s="9"/>
      <c r="AN409" s="9"/>
      <c r="AO409" s="9"/>
      <c r="AP409" s="9"/>
      <c r="AQ409" s="9"/>
      <c r="AR409" s="9"/>
      <c r="AS409" s="9"/>
      <c r="AT409" s="9"/>
      <c r="AU409" s="9"/>
      <c r="AV409" s="9"/>
    </row>
    <row r="410" spans="1:48" ht="14" customHeight="1" thickBot="1">
      <c r="A410" s="31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9"/>
      <c r="AJ410" s="9"/>
      <c r="AK410" s="9"/>
      <c r="AL410" s="9"/>
      <c r="AM410" s="9"/>
      <c r="AN410" s="9"/>
      <c r="AO410" s="9"/>
      <c r="AP410" s="9"/>
      <c r="AQ410" s="9"/>
      <c r="AR410" s="9"/>
      <c r="AS410" s="9"/>
      <c r="AT410" s="9"/>
      <c r="AU410" s="9"/>
      <c r="AV410" s="9"/>
    </row>
    <row r="411" spans="1:48" ht="14" customHeight="1" thickBot="1">
      <c r="A411" s="31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  <c r="AI411" s="9"/>
      <c r="AJ411" s="9"/>
      <c r="AK411" s="9"/>
      <c r="AL411" s="9"/>
      <c r="AM411" s="9"/>
      <c r="AN411" s="9"/>
      <c r="AO411" s="9"/>
      <c r="AP411" s="9"/>
      <c r="AQ411" s="9"/>
      <c r="AR411" s="9"/>
      <c r="AS411" s="9"/>
      <c r="AT411" s="9"/>
      <c r="AU411" s="9"/>
      <c r="AV411" s="9"/>
    </row>
    <row r="412" spans="1:48" ht="14" customHeight="1" thickBot="1">
      <c r="A412" s="31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  <c r="AI412" s="9"/>
      <c r="AJ412" s="9"/>
      <c r="AK412" s="9"/>
      <c r="AL412" s="9"/>
      <c r="AM412" s="9"/>
      <c r="AN412" s="9"/>
      <c r="AO412" s="9"/>
      <c r="AP412" s="9"/>
      <c r="AQ412" s="9"/>
      <c r="AR412" s="9"/>
      <c r="AS412" s="9"/>
      <c r="AT412" s="9"/>
      <c r="AU412" s="9"/>
      <c r="AV412" s="9"/>
    </row>
    <row r="413" spans="1:48" ht="14" customHeight="1" thickBot="1">
      <c r="A413" s="31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9"/>
      <c r="AI413" s="9"/>
      <c r="AJ413" s="9"/>
      <c r="AK413" s="9"/>
      <c r="AL413" s="9"/>
      <c r="AM413" s="9"/>
      <c r="AN413" s="9"/>
      <c r="AO413" s="9"/>
      <c r="AP413" s="9"/>
      <c r="AQ413" s="9"/>
      <c r="AR413" s="9"/>
      <c r="AS413" s="9"/>
      <c r="AT413" s="9"/>
      <c r="AU413" s="9"/>
      <c r="AV413" s="9"/>
    </row>
    <row r="414" spans="1:48" ht="14" customHeight="1" thickBot="1">
      <c r="A414" s="31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/>
      <c r="AI414" s="9"/>
      <c r="AJ414" s="9"/>
      <c r="AK414" s="9"/>
      <c r="AL414" s="9"/>
      <c r="AM414" s="9"/>
      <c r="AN414" s="9"/>
      <c r="AO414" s="9"/>
      <c r="AP414" s="9"/>
      <c r="AQ414" s="9"/>
      <c r="AR414" s="9"/>
      <c r="AS414" s="9"/>
      <c r="AT414" s="9"/>
      <c r="AU414" s="9"/>
      <c r="AV414" s="9"/>
    </row>
    <row r="415" spans="1:48" ht="14" customHeight="1" thickBot="1">
      <c r="A415" s="31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  <c r="AH415" s="9"/>
      <c r="AI415" s="9"/>
      <c r="AJ415" s="9"/>
      <c r="AK415" s="9"/>
      <c r="AL415" s="9"/>
      <c r="AM415" s="9"/>
      <c r="AN415" s="9"/>
      <c r="AO415" s="9"/>
      <c r="AP415" s="9"/>
      <c r="AQ415" s="9"/>
      <c r="AR415" s="9"/>
      <c r="AS415" s="9"/>
      <c r="AT415" s="9"/>
      <c r="AU415" s="9"/>
      <c r="AV415" s="9"/>
    </row>
    <row r="416" spans="1:48" ht="14" customHeight="1" thickBot="1">
      <c r="A416" s="31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  <c r="AH416" s="9"/>
      <c r="AI416" s="9"/>
      <c r="AJ416" s="9"/>
      <c r="AK416" s="9"/>
      <c r="AL416" s="9"/>
      <c r="AM416" s="9"/>
      <c r="AN416" s="9"/>
      <c r="AO416" s="9"/>
      <c r="AP416" s="9"/>
      <c r="AQ416" s="9"/>
      <c r="AR416" s="9"/>
      <c r="AS416" s="9"/>
      <c r="AT416" s="9"/>
      <c r="AU416" s="9"/>
      <c r="AV416" s="9"/>
    </row>
    <row r="417" spans="1:48" ht="14" customHeight="1" thickBot="1">
      <c r="A417" s="31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  <c r="AH417" s="9"/>
      <c r="AI417" s="9"/>
      <c r="AJ417" s="9"/>
      <c r="AK417" s="9"/>
      <c r="AL417" s="9"/>
      <c r="AM417" s="9"/>
      <c r="AN417" s="9"/>
      <c r="AO417" s="9"/>
      <c r="AP417" s="9"/>
      <c r="AQ417" s="9"/>
      <c r="AR417" s="9"/>
      <c r="AS417" s="9"/>
      <c r="AT417" s="9"/>
      <c r="AU417" s="9"/>
      <c r="AV417" s="9"/>
    </row>
    <row r="418" spans="1:48" ht="14" customHeight="1" thickBot="1">
      <c r="A418" s="31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  <c r="AH418" s="9"/>
      <c r="AI418" s="9"/>
      <c r="AJ418" s="9"/>
      <c r="AK418" s="9"/>
      <c r="AL418" s="9"/>
      <c r="AM418" s="9"/>
      <c r="AN418" s="9"/>
      <c r="AO418" s="9"/>
      <c r="AP418" s="9"/>
      <c r="AQ418" s="9"/>
      <c r="AR418" s="9"/>
      <c r="AS418" s="9"/>
      <c r="AT418" s="9"/>
      <c r="AU418" s="9"/>
      <c r="AV418" s="9"/>
    </row>
    <row r="419" spans="1:48" ht="14" customHeight="1" thickBot="1">
      <c r="A419" s="31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  <c r="AH419" s="9"/>
      <c r="AI419" s="9"/>
      <c r="AJ419" s="9"/>
      <c r="AK419" s="9"/>
      <c r="AL419" s="9"/>
      <c r="AM419" s="9"/>
      <c r="AN419" s="9"/>
      <c r="AO419" s="9"/>
      <c r="AP419" s="9"/>
      <c r="AQ419" s="9"/>
      <c r="AR419" s="9"/>
      <c r="AS419" s="9"/>
      <c r="AT419" s="9"/>
      <c r="AU419" s="9"/>
      <c r="AV419" s="9"/>
    </row>
    <row r="420" spans="1:48" ht="14" customHeight="1" thickBot="1">
      <c r="A420" s="31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  <c r="AH420" s="9"/>
      <c r="AI420" s="9"/>
      <c r="AJ420" s="9"/>
      <c r="AK420" s="9"/>
      <c r="AL420" s="9"/>
      <c r="AM420" s="9"/>
      <c r="AN420" s="9"/>
      <c r="AO420" s="9"/>
      <c r="AP420" s="9"/>
      <c r="AQ420" s="9"/>
      <c r="AR420" s="9"/>
      <c r="AS420" s="9"/>
      <c r="AT420" s="9"/>
      <c r="AU420" s="9"/>
      <c r="AV420" s="9"/>
    </row>
    <row r="421" spans="1:48" ht="14" customHeight="1" thickBot="1">
      <c r="A421" s="31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  <c r="AH421" s="9"/>
      <c r="AI421" s="9"/>
      <c r="AJ421" s="9"/>
      <c r="AK421" s="9"/>
      <c r="AL421" s="9"/>
      <c r="AM421" s="9"/>
      <c r="AN421" s="9"/>
      <c r="AO421" s="9"/>
      <c r="AP421" s="9"/>
      <c r="AQ421" s="9"/>
      <c r="AR421" s="9"/>
      <c r="AS421" s="9"/>
      <c r="AT421" s="9"/>
      <c r="AU421" s="9"/>
      <c r="AV421" s="9"/>
    </row>
    <row r="422" spans="1:48" ht="14" customHeight="1" thickBot="1">
      <c r="A422" s="31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9"/>
      <c r="AH422" s="9"/>
      <c r="AI422" s="9"/>
      <c r="AJ422" s="9"/>
      <c r="AK422" s="9"/>
      <c r="AL422" s="9"/>
      <c r="AM422" s="9"/>
      <c r="AN422" s="9"/>
      <c r="AO422" s="9"/>
      <c r="AP422" s="9"/>
      <c r="AQ422" s="9"/>
      <c r="AR422" s="9"/>
      <c r="AS422" s="9"/>
      <c r="AT422" s="9"/>
      <c r="AU422" s="9"/>
      <c r="AV422" s="9"/>
    </row>
    <row r="423" spans="1:48" ht="14" customHeight="1" thickBot="1">
      <c r="A423" s="31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  <c r="AH423" s="9"/>
      <c r="AI423" s="9"/>
      <c r="AJ423" s="9"/>
      <c r="AK423" s="9"/>
      <c r="AL423" s="9"/>
      <c r="AM423" s="9"/>
      <c r="AN423" s="9"/>
      <c r="AO423" s="9"/>
      <c r="AP423" s="9"/>
      <c r="AQ423" s="9"/>
      <c r="AR423" s="9"/>
      <c r="AS423" s="9"/>
      <c r="AT423" s="9"/>
      <c r="AU423" s="9"/>
      <c r="AV423" s="9"/>
    </row>
    <row r="424" spans="1:48" ht="14" customHeight="1" thickBot="1">
      <c r="A424" s="31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9"/>
      <c r="AH424" s="9"/>
      <c r="AI424" s="9"/>
      <c r="AJ424" s="9"/>
      <c r="AK424" s="9"/>
      <c r="AL424" s="9"/>
      <c r="AM424" s="9"/>
      <c r="AN424" s="9"/>
      <c r="AO424" s="9"/>
      <c r="AP424" s="9"/>
      <c r="AQ424" s="9"/>
      <c r="AR424" s="9"/>
      <c r="AS424" s="9"/>
      <c r="AT424" s="9"/>
      <c r="AU424" s="9"/>
      <c r="AV424" s="9"/>
    </row>
    <row r="425" spans="1:48" ht="14" customHeight="1" thickBot="1">
      <c r="A425" s="31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  <c r="AH425" s="9"/>
      <c r="AI425" s="9"/>
      <c r="AJ425" s="9"/>
      <c r="AK425" s="9"/>
      <c r="AL425" s="9"/>
      <c r="AM425" s="9"/>
      <c r="AN425" s="9"/>
      <c r="AO425" s="9"/>
      <c r="AP425" s="9"/>
      <c r="AQ425" s="9"/>
      <c r="AR425" s="9"/>
      <c r="AS425" s="9"/>
      <c r="AT425" s="9"/>
      <c r="AU425" s="9"/>
      <c r="AV425" s="9"/>
    </row>
    <row r="426" spans="1:48" ht="14" customHeight="1" thickBot="1">
      <c r="A426" s="31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  <c r="AH426" s="9"/>
      <c r="AI426" s="9"/>
      <c r="AJ426" s="9"/>
      <c r="AK426" s="9"/>
      <c r="AL426" s="9"/>
      <c r="AM426" s="9"/>
      <c r="AN426" s="9"/>
      <c r="AO426" s="9"/>
      <c r="AP426" s="9"/>
      <c r="AQ426" s="9"/>
      <c r="AR426" s="9"/>
      <c r="AS426" s="9"/>
      <c r="AT426" s="9"/>
      <c r="AU426" s="9"/>
      <c r="AV426" s="9"/>
    </row>
    <row r="427" spans="1:48" ht="14" customHeight="1" thickBot="1">
      <c r="A427" s="31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  <c r="AH427" s="9"/>
      <c r="AI427" s="9"/>
      <c r="AJ427" s="9"/>
      <c r="AK427" s="9"/>
      <c r="AL427" s="9"/>
      <c r="AM427" s="9"/>
      <c r="AN427" s="9"/>
      <c r="AO427" s="9"/>
      <c r="AP427" s="9"/>
      <c r="AQ427" s="9"/>
      <c r="AR427" s="9"/>
      <c r="AS427" s="9"/>
      <c r="AT427" s="9"/>
      <c r="AU427" s="9"/>
      <c r="AV427" s="9"/>
    </row>
    <row r="428" spans="1:48" ht="14" customHeight="1" thickBot="1">
      <c r="A428" s="31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  <c r="AH428" s="9"/>
      <c r="AI428" s="9"/>
      <c r="AJ428" s="9"/>
      <c r="AK428" s="9"/>
      <c r="AL428" s="9"/>
      <c r="AM428" s="9"/>
      <c r="AN428" s="9"/>
      <c r="AO428" s="9"/>
      <c r="AP428" s="9"/>
      <c r="AQ428" s="9"/>
      <c r="AR428" s="9"/>
      <c r="AS428" s="9"/>
      <c r="AT428" s="9"/>
      <c r="AU428" s="9"/>
      <c r="AV428" s="9"/>
    </row>
    <row r="429" spans="1:48" ht="14" customHeight="1" thickBot="1">
      <c r="A429" s="31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  <c r="AH429" s="9"/>
      <c r="AI429" s="9"/>
      <c r="AJ429" s="9"/>
      <c r="AK429" s="9"/>
      <c r="AL429" s="9"/>
      <c r="AM429" s="9"/>
      <c r="AN429" s="9"/>
      <c r="AO429" s="9"/>
      <c r="AP429" s="9"/>
      <c r="AQ429" s="9"/>
      <c r="AR429" s="9"/>
      <c r="AS429" s="9"/>
      <c r="AT429" s="9"/>
      <c r="AU429" s="9"/>
      <c r="AV429" s="9"/>
    </row>
    <row r="430" spans="1:48" ht="14" customHeight="1" thickBot="1">
      <c r="A430" s="31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  <c r="AH430" s="9"/>
      <c r="AI430" s="9"/>
      <c r="AJ430" s="9"/>
      <c r="AK430" s="9"/>
      <c r="AL430" s="9"/>
      <c r="AM430" s="9"/>
      <c r="AN430" s="9"/>
      <c r="AO430" s="9"/>
      <c r="AP430" s="9"/>
      <c r="AQ430" s="9"/>
      <c r="AR430" s="9"/>
      <c r="AS430" s="9"/>
      <c r="AT430" s="9"/>
      <c r="AU430" s="9"/>
      <c r="AV430" s="9"/>
    </row>
    <row r="431" spans="1:48" ht="14" customHeight="1" thickBot="1">
      <c r="A431" s="31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  <c r="AH431" s="9"/>
      <c r="AI431" s="9"/>
      <c r="AJ431" s="9"/>
      <c r="AK431" s="9"/>
      <c r="AL431" s="9"/>
      <c r="AM431" s="9"/>
      <c r="AN431" s="9"/>
      <c r="AO431" s="9"/>
      <c r="AP431" s="9"/>
      <c r="AQ431" s="9"/>
      <c r="AR431" s="9"/>
      <c r="AS431" s="9"/>
      <c r="AT431" s="9"/>
      <c r="AU431" s="9"/>
      <c r="AV431" s="9"/>
    </row>
    <row r="432" spans="1:48" ht="14" customHeight="1" thickBot="1">
      <c r="A432" s="31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9"/>
      <c r="AH432" s="9"/>
      <c r="AI432" s="9"/>
      <c r="AJ432" s="9"/>
      <c r="AK432" s="9"/>
      <c r="AL432" s="9"/>
      <c r="AM432" s="9"/>
      <c r="AN432" s="9"/>
      <c r="AO432" s="9"/>
      <c r="AP432" s="9"/>
      <c r="AQ432" s="9"/>
      <c r="AR432" s="9"/>
      <c r="AS432" s="9"/>
      <c r="AT432" s="9"/>
      <c r="AU432" s="9"/>
      <c r="AV432" s="9"/>
    </row>
    <row r="433" spans="1:48" ht="14" customHeight="1" thickBot="1">
      <c r="A433" s="31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9"/>
      <c r="AH433" s="9"/>
      <c r="AI433" s="9"/>
      <c r="AJ433" s="9"/>
      <c r="AK433" s="9"/>
      <c r="AL433" s="9"/>
      <c r="AM433" s="9"/>
      <c r="AN433" s="9"/>
      <c r="AO433" s="9"/>
      <c r="AP433" s="9"/>
      <c r="AQ433" s="9"/>
      <c r="AR433" s="9"/>
      <c r="AS433" s="9"/>
      <c r="AT433" s="9"/>
      <c r="AU433" s="9"/>
      <c r="AV433" s="9"/>
    </row>
    <row r="434" spans="1:48" ht="14" customHeight="1" thickBot="1">
      <c r="A434" s="31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9"/>
      <c r="AH434" s="9"/>
      <c r="AI434" s="9"/>
      <c r="AJ434" s="9"/>
      <c r="AK434" s="9"/>
      <c r="AL434" s="9"/>
      <c r="AM434" s="9"/>
      <c r="AN434" s="9"/>
      <c r="AO434" s="9"/>
      <c r="AP434" s="9"/>
      <c r="AQ434" s="9"/>
      <c r="AR434" s="9"/>
      <c r="AS434" s="9"/>
      <c r="AT434" s="9"/>
      <c r="AU434" s="9"/>
      <c r="AV434" s="9"/>
    </row>
    <row r="435" spans="1:48" ht="14" customHeight="1" thickBot="1">
      <c r="A435" s="31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9"/>
      <c r="AH435" s="9"/>
      <c r="AI435" s="9"/>
      <c r="AJ435" s="9"/>
      <c r="AK435" s="9"/>
      <c r="AL435" s="9"/>
      <c r="AM435" s="9"/>
      <c r="AN435" s="9"/>
      <c r="AO435" s="9"/>
      <c r="AP435" s="9"/>
      <c r="AQ435" s="9"/>
      <c r="AR435" s="9"/>
      <c r="AS435" s="9"/>
      <c r="AT435" s="9"/>
      <c r="AU435" s="9"/>
      <c r="AV435" s="9"/>
    </row>
    <row r="436" spans="1:48" ht="14" customHeight="1" thickBot="1">
      <c r="A436" s="31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9"/>
      <c r="AH436" s="9"/>
      <c r="AI436" s="9"/>
      <c r="AJ436" s="9"/>
      <c r="AK436" s="9"/>
      <c r="AL436" s="9"/>
      <c r="AM436" s="9"/>
      <c r="AN436" s="9"/>
      <c r="AO436" s="9"/>
      <c r="AP436" s="9"/>
      <c r="AQ436" s="9"/>
      <c r="AR436" s="9"/>
      <c r="AS436" s="9"/>
      <c r="AT436" s="9"/>
      <c r="AU436" s="9"/>
      <c r="AV436" s="9"/>
    </row>
    <row r="437" spans="1:48" ht="14" customHeight="1" thickBot="1">
      <c r="A437" s="31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9"/>
      <c r="AH437" s="9"/>
      <c r="AI437" s="9"/>
      <c r="AJ437" s="9"/>
      <c r="AK437" s="9"/>
      <c r="AL437" s="9"/>
      <c r="AM437" s="9"/>
      <c r="AN437" s="9"/>
      <c r="AO437" s="9"/>
      <c r="AP437" s="9"/>
      <c r="AQ437" s="9"/>
      <c r="AR437" s="9"/>
      <c r="AS437" s="9"/>
      <c r="AT437" s="9"/>
      <c r="AU437" s="9"/>
      <c r="AV437" s="9"/>
    </row>
    <row r="438" spans="1:48" ht="14" customHeight="1" thickBot="1">
      <c r="A438" s="31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9"/>
      <c r="AH438" s="9"/>
      <c r="AI438" s="9"/>
      <c r="AJ438" s="9"/>
      <c r="AK438" s="9"/>
      <c r="AL438" s="9"/>
      <c r="AM438" s="9"/>
      <c r="AN438" s="9"/>
      <c r="AO438" s="9"/>
      <c r="AP438" s="9"/>
      <c r="AQ438" s="9"/>
      <c r="AR438" s="9"/>
      <c r="AS438" s="9"/>
      <c r="AT438" s="9"/>
      <c r="AU438" s="9"/>
      <c r="AV438" s="9"/>
    </row>
    <row r="439" spans="1:48" ht="14" customHeight="1" thickBot="1">
      <c r="A439" s="31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  <c r="AH439" s="9"/>
      <c r="AI439" s="9"/>
      <c r="AJ439" s="9"/>
      <c r="AK439" s="9"/>
      <c r="AL439" s="9"/>
      <c r="AM439" s="9"/>
      <c r="AN439" s="9"/>
      <c r="AO439" s="9"/>
      <c r="AP439" s="9"/>
      <c r="AQ439" s="9"/>
      <c r="AR439" s="9"/>
      <c r="AS439" s="9"/>
      <c r="AT439" s="9"/>
      <c r="AU439" s="9"/>
      <c r="AV439" s="9"/>
    </row>
    <row r="440" spans="1:48" ht="14" customHeight="1" thickBot="1">
      <c r="A440" s="31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  <c r="AH440" s="9"/>
      <c r="AI440" s="9"/>
      <c r="AJ440" s="9"/>
      <c r="AK440" s="9"/>
      <c r="AL440" s="9"/>
      <c r="AM440" s="9"/>
      <c r="AN440" s="9"/>
      <c r="AO440" s="9"/>
      <c r="AP440" s="9"/>
      <c r="AQ440" s="9"/>
      <c r="AR440" s="9"/>
      <c r="AS440" s="9"/>
      <c r="AT440" s="9"/>
      <c r="AU440" s="9"/>
      <c r="AV440" s="9"/>
    </row>
    <row r="441" spans="1:48" ht="14" customHeight="1" thickBot="1">
      <c r="A441" s="31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  <c r="AH441" s="9"/>
      <c r="AI441" s="9"/>
      <c r="AJ441" s="9"/>
      <c r="AK441" s="9"/>
      <c r="AL441" s="9"/>
      <c r="AM441" s="9"/>
      <c r="AN441" s="9"/>
      <c r="AO441" s="9"/>
      <c r="AP441" s="9"/>
      <c r="AQ441" s="9"/>
      <c r="AR441" s="9"/>
      <c r="AS441" s="9"/>
      <c r="AT441" s="9"/>
      <c r="AU441" s="9"/>
      <c r="AV441" s="9"/>
    </row>
    <row r="442" spans="1:48" ht="14" customHeight="1" thickBot="1">
      <c r="A442" s="31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  <c r="AH442" s="9"/>
      <c r="AI442" s="9"/>
      <c r="AJ442" s="9"/>
      <c r="AK442" s="9"/>
      <c r="AL442" s="9"/>
      <c r="AM442" s="9"/>
      <c r="AN442" s="9"/>
      <c r="AO442" s="9"/>
      <c r="AP442" s="9"/>
      <c r="AQ442" s="9"/>
      <c r="AR442" s="9"/>
      <c r="AS442" s="9"/>
      <c r="AT442" s="9"/>
      <c r="AU442" s="9"/>
      <c r="AV442" s="9"/>
    </row>
    <row r="443" spans="1:48" ht="14" customHeight="1" thickBot="1">
      <c r="A443" s="31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  <c r="AH443" s="9"/>
      <c r="AI443" s="9"/>
      <c r="AJ443" s="9"/>
      <c r="AK443" s="9"/>
      <c r="AL443" s="9"/>
      <c r="AM443" s="9"/>
      <c r="AN443" s="9"/>
      <c r="AO443" s="9"/>
      <c r="AP443" s="9"/>
      <c r="AQ443" s="9"/>
      <c r="AR443" s="9"/>
      <c r="AS443" s="9"/>
      <c r="AT443" s="9"/>
      <c r="AU443" s="9"/>
      <c r="AV443" s="9"/>
    </row>
    <row r="444" spans="1:48" ht="14" customHeight="1" thickBot="1">
      <c r="A444" s="31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  <c r="AH444" s="9"/>
      <c r="AI444" s="9"/>
      <c r="AJ444" s="9"/>
      <c r="AK444" s="9"/>
      <c r="AL444" s="9"/>
      <c r="AM444" s="9"/>
      <c r="AN444" s="9"/>
      <c r="AO444" s="9"/>
      <c r="AP444" s="9"/>
      <c r="AQ444" s="9"/>
      <c r="AR444" s="9"/>
      <c r="AS444" s="9"/>
      <c r="AT444" s="9"/>
      <c r="AU444" s="9"/>
      <c r="AV444" s="9"/>
    </row>
    <row r="445" spans="1:48" ht="14" customHeight="1" thickBot="1">
      <c r="A445" s="31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  <c r="AH445" s="9"/>
      <c r="AI445" s="9"/>
      <c r="AJ445" s="9"/>
      <c r="AK445" s="9"/>
      <c r="AL445" s="9"/>
      <c r="AM445" s="9"/>
      <c r="AN445" s="9"/>
      <c r="AO445" s="9"/>
      <c r="AP445" s="9"/>
      <c r="AQ445" s="9"/>
      <c r="AR445" s="9"/>
      <c r="AS445" s="9"/>
      <c r="AT445" s="9"/>
      <c r="AU445" s="9"/>
      <c r="AV445" s="9"/>
    </row>
    <row r="446" spans="1:48" ht="14" customHeight="1" thickBot="1">
      <c r="A446" s="31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  <c r="AH446" s="9"/>
      <c r="AI446" s="9"/>
      <c r="AJ446" s="9"/>
      <c r="AK446" s="9"/>
      <c r="AL446" s="9"/>
      <c r="AM446" s="9"/>
      <c r="AN446" s="9"/>
      <c r="AO446" s="9"/>
      <c r="AP446" s="9"/>
      <c r="AQ446" s="9"/>
      <c r="AR446" s="9"/>
      <c r="AS446" s="9"/>
      <c r="AT446" s="9"/>
      <c r="AU446" s="9"/>
      <c r="AV446" s="9"/>
    </row>
    <row r="447" spans="1:48" ht="14" customHeight="1" thickBot="1">
      <c r="A447" s="31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  <c r="AH447" s="9"/>
      <c r="AI447" s="9"/>
      <c r="AJ447" s="9"/>
      <c r="AK447" s="9"/>
      <c r="AL447" s="9"/>
      <c r="AM447" s="9"/>
      <c r="AN447" s="9"/>
      <c r="AO447" s="9"/>
      <c r="AP447" s="9"/>
      <c r="AQ447" s="9"/>
      <c r="AR447" s="9"/>
      <c r="AS447" s="9"/>
      <c r="AT447" s="9"/>
      <c r="AU447" s="9"/>
      <c r="AV447" s="9"/>
    </row>
    <row r="448" spans="1:48" ht="14" customHeight="1" thickBot="1">
      <c r="A448" s="31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  <c r="AH448" s="9"/>
      <c r="AI448" s="9"/>
      <c r="AJ448" s="9"/>
      <c r="AK448" s="9"/>
      <c r="AL448" s="9"/>
      <c r="AM448" s="9"/>
      <c r="AN448" s="9"/>
      <c r="AO448" s="9"/>
      <c r="AP448" s="9"/>
      <c r="AQ448" s="9"/>
      <c r="AR448" s="9"/>
      <c r="AS448" s="9"/>
      <c r="AT448" s="9"/>
      <c r="AU448" s="9"/>
      <c r="AV448" s="9"/>
    </row>
    <row r="449" spans="1:48" ht="14" customHeight="1" thickBot="1">
      <c r="A449" s="31"/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  <c r="AH449" s="9"/>
      <c r="AI449" s="9"/>
      <c r="AJ449" s="9"/>
      <c r="AK449" s="9"/>
      <c r="AL449" s="9"/>
      <c r="AM449" s="9"/>
      <c r="AN449" s="9"/>
      <c r="AO449" s="9"/>
      <c r="AP449" s="9"/>
      <c r="AQ449" s="9"/>
      <c r="AR449" s="9"/>
      <c r="AS449" s="9"/>
      <c r="AT449" s="9"/>
      <c r="AU449" s="9"/>
      <c r="AV449" s="9"/>
    </row>
    <row r="450" spans="1:48" ht="14" customHeight="1" thickBot="1">
      <c r="A450" s="31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  <c r="AH450" s="9"/>
      <c r="AI450" s="9"/>
      <c r="AJ450" s="9"/>
      <c r="AK450" s="9"/>
      <c r="AL450" s="9"/>
      <c r="AM450" s="9"/>
      <c r="AN450" s="9"/>
      <c r="AO450" s="9"/>
      <c r="AP450" s="9"/>
      <c r="AQ450" s="9"/>
      <c r="AR450" s="9"/>
      <c r="AS450" s="9"/>
      <c r="AT450" s="9"/>
      <c r="AU450" s="9"/>
      <c r="AV450" s="9"/>
    </row>
    <row r="451" spans="1:48" ht="14" customHeight="1" thickBot="1">
      <c r="A451" s="31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  <c r="AH451" s="9"/>
      <c r="AI451" s="9"/>
      <c r="AJ451" s="9"/>
      <c r="AK451" s="9"/>
      <c r="AL451" s="9"/>
      <c r="AM451" s="9"/>
      <c r="AN451" s="9"/>
      <c r="AO451" s="9"/>
      <c r="AP451" s="9"/>
      <c r="AQ451" s="9"/>
      <c r="AR451" s="9"/>
      <c r="AS451" s="9"/>
      <c r="AT451" s="9"/>
      <c r="AU451" s="9"/>
      <c r="AV451" s="9"/>
    </row>
    <row r="452" spans="1:48" ht="14" customHeight="1" thickBot="1">
      <c r="A452" s="31"/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  <c r="AH452" s="9"/>
      <c r="AI452" s="9"/>
      <c r="AJ452" s="9"/>
      <c r="AK452" s="9"/>
      <c r="AL452" s="9"/>
      <c r="AM452" s="9"/>
      <c r="AN452" s="9"/>
      <c r="AO452" s="9"/>
      <c r="AP452" s="9"/>
      <c r="AQ452" s="9"/>
      <c r="AR452" s="9"/>
      <c r="AS452" s="9"/>
      <c r="AT452" s="9"/>
      <c r="AU452" s="9"/>
      <c r="AV452" s="9"/>
    </row>
    <row r="453" spans="1:48" ht="14" customHeight="1" thickBot="1">
      <c r="A453" s="31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  <c r="AH453" s="9"/>
      <c r="AI453" s="9"/>
      <c r="AJ453" s="9"/>
      <c r="AK453" s="9"/>
      <c r="AL453" s="9"/>
      <c r="AM453" s="9"/>
      <c r="AN453" s="9"/>
      <c r="AO453" s="9"/>
      <c r="AP453" s="9"/>
      <c r="AQ453" s="9"/>
      <c r="AR453" s="9"/>
      <c r="AS453" s="9"/>
      <c r="AT453" s="9"/>
      <c r="AU453" s="9"/>
      <c r="AV453" s="9"/>
    </row>
    <row r="454" spans="1:48" ht="14" customHeight="1" thickBot="1">
      <c r="A454" s="31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9"/>
      <c r="AH454" s="9"/>
      <c r="AI454" s="9"/>
      <c r="AJ454" s="9"/>
      <c r="AK454" s="9"/>
      <c r="AL454" s="9"/>
      <c r="AM454" s="9"/>
      <c r="AN454" s="9"/>
      <c r="AO454" s="9"/>
      <c r="AP454" s="9"/>
      <c r="AQ454" s="9"/>
      <c r="AR454" s="9"/>
      <c r="AS454" s="9"/>
      <c r="AT454" s="9"/>
      <c r="AU454" s="9"/>
      <c r="AV454" s="9"/>
    </row>
    <row r="455" spans="1:48" ht="14" customHeight="1" thickBot="1">
      <c r="A455" s="31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  <c r="AH455" s="9"/>
      <c r="AI455" s="9"/>
      <c r="AJ455" s="9"/>
      <c r="AK455" s="9"/>
      <c r="AL455" s="9"/>
      <c r="AM455" s="9"/>
      <c r="AN455" s="9"/>
      <c r="AO455" s="9"/>
      <c r="AP455" s="9"/>
      <c r="AQ455" s="9"/>
      <c r="AR455" s="9"/>
      <c r="AS455" s="9"/>
      <c r="AT455" s="9"/>
      <c r="AU455" s="9"/>
      <c r="AV455" s="9"/>
    </row>
    <row r="456" spans="1:48" ht="14" customHeight="1" thickBot="1">
      <c r="A456" s="31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  <c r="AH456" s="9"/>
      <c r="AI456" s="9"/>
      <c r="AJ456" s="9"/>
      <c r="AK456" s="9"/>
      <c r="AL456" s="9"/>
      <c r="AM456" s="9"/>
      <c r="AN456" s="9"/>
      <c r="AO456" s="9"/>
      <c r="AP456" s="9"/>
      <c r="AQ456" s="9"/>
      <c r="AR456" s="9"/>
      <c r="AS456" s="9"/>
      <c r="AT456" s="9"/>
      <c r="AU456" s="9"/>
      <c r="AV456" s="9"/>
    </row>
    <row r="457" spans="1:48" ht="14" customHeight="1" thickBot="1">
      <c r="A457" s="31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  <c r="AH457" s="9"/>
      <c r="AI457" s="9"/>
      <c r="AJ457" s="9"/>
      <c r="AK457" s="9"/>
      <c r="AL457" s="9"/>
      <c r="AM457" s="9"/>
      <c r="AN457" s="9"/>
      <c r="AO457" s="9"/>
      <c r="AP457" s="9"/>
      <c r="AQ457" s="9"/>
      <c r="AR457" s="9"/>
      <c r="AS457" s="9"/>
      <c r="AT457" s="9"/>
      <c r="AU457" s="9"/>
      <c r="AV457" s="9"/>
    </row>
    <row r="458" spans="1:48" ht="14" customHeight="1" thickBot="1">
      <c r="A458" s="31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  <c r="AH458" s="9"/>
      <c r="AI458" s="9"/>
      <c r="AJ458" s="9"/>
      <c r="AK458" s="9"/>
      <c r="AL458" s="9"/>
      <c r="AM458" s="9"/>
      <c r="AN458" s="9"/>
      <c r="AO458" s="9"/>
      <c r="AP458" s="9"/>
      <c r="AQ458" s="9"/>
      <c r="AR458" s="9"/>
      <c r="AS458" s="9"/>
      <c r="AT458" s="9"/>
      <c r="AU458" s="9"/>
      <c r="AV458" s="9"/>
    </row>
    <row r="459" spans="1:48" ht="14" customHeight="1" thickBot="1">
      <c r="A459" s="31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9"/>
      <c r="AH459" s="9"/>
      <c r="AI459" s="9"/>
      <c r="AJ459" s="9"/>
      <c r="AK459" s="9"/>
      <c r="AL459" s="9"/>
      <c r="AM459" s="9"/>
      <c r="AN459" s="9"/>
      <c r="AO459" s="9"/>
      <c r="AP459" s="9"/>
      <c r="AQ459" s="9"/>
      <c r="AR459" s="9"/>
      <c r="AS459" s="9"/>
      <c r="AT459" s="9"/>
      <c r="AU459" s="9"/>
      <c r="AV459" s="9"/>
    </row>
    <row r="460" spans="1:48" ht="14" customHeight="1" thickBot="1">
      <c r="A460" s="31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  <c r="AH460" s="9"/>
      <c r="AI460" s="9"/>
      <c r="AJ460" s="9"/>
      <c r="AK460" s="9"/>
      <c r="AL460" s="9"/>
      <c r="AM460" s="9"/>
      <c r="AN460" s="9"/>
      <c r="AO460" s="9"/>
      <c r="AP460" s="9"/>
      <c r="AQ460" s="9"/>
      <c r="AR460" s="9"/>
      <c r="AS460" s="9"/>
      <c r="AT460" s="9"/>
      <c r="AU460" s="9"/>
      <c r="AV460" s="9"/>
    </row>
    <row r="461" spans="1:48" ht="14" customHeight="1" thickBot="1">
      <c r="A461" s="31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  <c r="AH461" s="9"/>
      <c r="AI461" s="9"/>
      <c r="AJ461" s="9"/>
      <c r="AK461" s="9"/>
      <c r="AL461" s="9"/>
      <c r="AM461" s="9"/>
      <c r="AN461" s="9"/>
      <c r="AO461" s="9"/>
      <c r="AP461" s="9"/>
      <c r="AQ461" s="9"/>
      <c r="AR461" s="9"/>
      <c r="AS461" s="9"/>
      <c r="AT461" s="9"/>
      <c r="AU461" s="9"/>
      <c r="AV461" s="9"/>
    </row>
    <row r="462" spans="1:48" ht="14" customHeight="1" thickBot="1">
      <c r="A462" s="31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  <c r="AH462" s="9"/>
      <c r="AI462" s="9"/>
      <c r="AJ462" s="9"/>
      <c r="AK462" s="9"/>
      <c r="AL462" s="9"/>
      <c r="AM462" s="9"/>
      <c r="AN462" s="9"/>
      <c r="AO462" s="9"/>
      <c r="AP462" s="9"/>
      <c r="AQ462" s="9"/>
      <c r="AR462" s="9"/>
      <c r="AS462" s="9"/>
      <c r="AT462" s="9"/>
      <c r="AU462" s="9"/>
      <c r="AV462" s="9"/>
    </row>
    <row r="463" spans="1:48" ht="14" customHeight="1" thickBot="1">
      <c r="A463" s="31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  <c r="AH463" s="9"/>
      <c r="AI463" s="9"/>
      <c r="AJ463" s="9"/>
      <c r="AK463" s="9"/>
      <c r="AL463" s="9"/>
      <c r="AM463" s="9"/>
      <c r="AN463" s="9"/>
      <c r="AO463" s="9"/>
      <c r="AP463" s="9"/>
      <c r="AQ463" s="9"/>
      <c r="AR463" s="9"/>
      <c r="AS463" s="9"/>
      <c r="AT463" s="9"/>
      <c r="AU463" s="9"/>
      <c r="AV463" s="9"/>
    </row>
    <row r="464" spans="1:48" ht="14" customHeight="1" thickBot="1">
      <c r="A464" s="31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  <c r="AH464" s="9"/>
      <c r="AI464" s="9"/>
      <c r="AJ464" s="9"/>
      <c r="AK464" s="9"/>
      <c r="AL464" s="9"/>
      <c r="AM464" s="9"/>
      <c r="AN464" s="9"/>
      <c r="AO464" s="9"/>
      <c r="AP464" s="9"/>
      <c r="AQ464" s="9"/>
      <c r="AR464" s="9"/>
      <c r="AS464" s="9"/>
      <c r="AT464" s="9"/>
      <c r="AU464" s="9"/>
      <c r="AV464" s="9"/>
    </row>
    <row r="465" spans="1:48" ht="14" customHeight="1" thickBot="1">
      <c r="A465" s="31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  <c r="AH465" s="9"/>
      <c r="AI465" s="9"/>
      <c r="AJ465" s="9"/>
      <c r="AK465" s="9"/>
      <c r="AL465" s="9"/>
      <c r="AM465" s="9"/>
      <c r="AN465" s="9"/>
      <c r="AO465" s="9"/>
      <c r="AP465" s="9"/>
      <c r="AQ465" s="9"/>
      <c r="AR465" s="9"/>
      <c r="AS465" s="9"/>
      <c r="AT465" s="9"/>
      <c r="AU465" s="9"/>
      <c r="AV465" s="9"/>
    </row>
    <row r="466" spans="1:48" ht="14" customHeight="1" thickBot="1">
      <c r="A466" s="31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9"/>
      <c r="AH466" s="9"/>
      <c r="AI466" s="9"/>
      <c r="AJ466" s="9"/>
      <c r="AK466" s="9"/>
      <c r="AL466" s="9"/>
      <c r="AM466" s="9"/>
      <c r="AN466" s="9"/>
      <c r="AO466" s="9"/>
      <c r="AP466" s="9"/>
      <c r="AQ466" s="9"/>
      <c r="AR466" s="9"/>
      <c r="AS466" s="9"/>
      <c r="AT466" s="9"/>
      <c r="AU466" s="9"/>
      <c r="AV466" s="9"/>
    </row>
    <row r="467" spans="1:48" ht="14" customHeight="1" thickBot="1">
      <c r="A467" s="31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  <c r="AH467" s="9"/>
      <c r="AI467" s="9"/>
      <c r="AJ467" s="9"/>
      <c r="AK467" s="9"/>
      <c r="AL467" s="9"/>
      <c r="AM467" s="9"/>
      <c r="AN467" s="9"/>
      <c r="AO467" s="9"/>
      <c r="AP467" s="9"/>
      <c r="AQ467" s="9"/>
      <c r="AR467" s="9"/>
      <c r="AS467" s="9"/>
      <c r="AT467" s="9"/>
      <c r="AU467" s="9"/>
      <c r="AV467" s="9"/>
    </row>
    <row r="468" spans="1:48" ht="14" customHeight="1" thickBot="1">
      <c r="A468" s="31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9"/>
      <c r="AH468" s="9"/>
      <c r="AI468" s="9"/>
      <c r="AJ468" s="9"/>
      <c r="AK468" s="9"/>
      <c r="AL468" s="9"/>
      <c r="AM468" s="9"/>
      <c r="AN468" s="9"/>
      <c r="AO468" s="9"/>
      <c r="AP468" s="9"/>
      <c r="AQ468" s="9"/>
      <c r="AR468" s="9"/>
      <c r="AS468" s="9"/>
      <c r="AT468" s="9"/>
      <c r="AU468" s="9"/>
      <c r="AV468" s="9"/>
    </row>
    <row r="469" spans="1:48" ht="14" customHeight="1" thickBot="1">
      <c r="A469" s="31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  <c r="AH469" s="9"/>
      <c r="AI469" s="9"/>
      <c r="AJ469" s="9"/>
      <c r="AK469" s="9"/>
      <c r="AL469" s="9"/>
      <c r="AM469" s="9"/>
      <c r="AN469" s="9"/>
      <c r="AO469" s="9"/>
      <c r="AP469" s="9"/>
      <c r="AQ469" s="9"/>
      <c r="AR469" s="9"/>
      <c r="AS469" s="9"/>
      <c r="AT469" s="9"/>
      <c r="AU469" s="9"/>
      <c r="AV469" s="9"/>
    </row>
    <row r="470" spans="1:48" ht="14" customHeight="1" thickBot="1">
      <c r="A470" s="31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9"/>
      <c r="AH470" s="9"/>
      <c r="AI470" s="9"/>
      <c r="AJ470" s="9"/>
      <c r="AK470" s="9"/>
      <c r="AL470" s="9"/>
      <c r="AM470" s="9"/>
      <c r="AN470" s="9"/>
      <c r="AO470" s="9"/>
      <c r="AP470" s="9"/>
      <c r="AQ470" s="9"/>
      <c r="AR470" s="9"/>
      <c r="AS470" s="9"/>
      <c r="AT470" s="9"/>
      <c r="AU470" s="9"/>
      <c r="AV470" s="9"/>
    </row>
    <row r="471" spans="1:48" ht="14" customHeight="1" thickBot="1">
      <c r="A471" s="31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  <c r="AH471" s="9"/>
      <c r="AI471" s="9"/>
      <c r="AJ471" s="9"/>
      <c r="AK471" s="9"/>
      <c r="AL471" s="9"/>
      <c r="AM471" s="9"/>
      <c r="AN471" s="9"/>
      <c r="AO471" s="9"/>
      <c r="AP471" s="9"/>
      <c r="AQ471" s="9"/>
      <c r="AR471" s="9"/>
      <c r="AS471" s="9"/>
      <c r="AT471" s="9"/>
      <c r="AU471" s="9"/>
      <c r="AV471" s="9"/>
    </row>
    <row r="472" spans="1:48" ht="14" customHeight="1" thickBot="1">
      <c r="A472" s="31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  <c r="AH472" s="9"/>
      <c r="AI472" s="9"/>
      <c r="AJ472" s="9"/>
      <c r="AK472" s="9"/>
      <c r="AL472" s="9"/>
      <c r="AM472" s="9"/>
      <c r="AN472" s="9"/>
      <c r="AO472" s="9"/>
      <c r="AP472" s="9"/>
      <c r="AQ472" s="9"/>
      <c r="AR472" s="9"/>
      <c r="AS472" s="9"/>
      <c r="AT472" s="9"/>
      <c r="AU472" s="9"/>
      <c r="AV472" s="9"/>
    </row>
    <row r="473" spans="1:48" ht="14" customHeight="1" thickBot="1">
      <c r="A473" s="31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9"/>
      <c r="AH473" s="9"/>
      <c r="AI473" s="9"/>
      <c r="AJ473" s="9"/>
      <c r="AK473" s="9"/>
      <c r="AL473" s="9"/>
      <c r="AM473" s="9"/>
      <c r="AN473" s="9"/>
      <c r="AO473" s="9"/>
      <c r="AP473" s="9"/>
      <c r="AQ473" s="9"/>
      <c r="AR473" s="9"/>
      <c r="AS473" s="9"/>
      <c r="AT473" s="9"/>
      <c r="AU473" s="9"/>
      <c r="AV473" s="9"/>
    </row>
    <row r="474" spans="1:48" ht="14" customHeight="1" thickBot="1">
      <c r="A474" s="31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  <c r="AH474" s="9"/>
      <c r="AI474" s="9"/>
      <c r="AJ474" s="9"/>
      <c r="AK474" s="9"/>
      <c r="AL474" s="9"/>
      <c r="AM474" s="9"/>
      <c r="AN474" s="9"/>
      <c r="AO474" s="9"/>
      <c r="AP474" s="9"/>
      <c r="AQ474" s="9"/>
      <c r="AR474" s="9"/>
      <c r="AS474" s="9"/>
      <c r="AT474" s="9"/>
      <c r="AU474" s="9"/>
      <c r="AV474" s="9"/>
    </row>
    <row r="475" spans="1:48" ht="14" customHeight="1" thickBot="1">
      <c r="A475" s="31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  <c r="AH475" s="9"/>
      <c r="AI475" s="9"/>
      <c r="AJ475" s="9"/>
      <c r="AK475" s="9"/>
      <c r="AL475" s="9"/>
      <c r="AM475" s="9"/>
      <c r="AN475" s="9"/>
      <c r="AO475" s="9"/>
      <c r="AP475" s="9"/>
      <c r="AQ475" s="9"/>
      <c r="AR475" s="9"/>
      <c r="AS475" s="9"/>
      <c r="AT475" s="9"/>
      <c r="AU475" s="9"/>
      <c r="AV475" s="9"/>
    </row>
    <row r="476" spans="1:48" ht="14" customHeight="1" thickBot="1">
      <c r="A476" s="31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  <c r="AH476" s="9"/>
      <c r="AI476" s="9"/>
      <c r="AJ476" s="9"/>
      <c r="AK476" s="9"/>
      <c r="AL476" s="9"/>
      <c r="AM476" s="9"/>
      <c r="AN476" s="9"/>
      <c r="AO476" s="9"/>
      <c r="AP476" s="9"/>
      <c r="AQ476" s="9"/>
      <c r="AR476" s="9"/>
      <c r="AS476" s="9"/>
      <c r="AT476" s="9"/>
      <c r="AU476" s="9"/>
      <c r="AV476" s="9"/>
    </row>
    <row r="477" spans="1:48" ht="14" customHeight="1" thickBot="1">
      <c r="A477" s="31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  <c r="AH477" s="9"/>
      <c r="AI477" s="9"/>
      <c r="AJ477" s="9"/>
      <c r="AK477" s="9"/>
      <c r="AL477" s="9"/>
      <c r="AM477" s="9"/>
      <c r="AN477" s="9"/>
      <c r="AO477" s="9"/>
      <c r="AP477" s="9"/>
      <c r="AQ477" s="9"/>
      <c r="AR477" s="9"/>
      <c r="AS477" s="9"/>
      <c r="AT477" s="9"/>
      <c r="AU477" s="9"/>
      <c r="AV477" s="9"/>
    </row>
    <row r="478" spans="1:48" ht="14" customHeight="1" thickBot="1">
      <c r="A478" s="31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  <c r="AH478" s="9"/>
      <c r="AI478" s="9"/>
      <c r="AJ478" s="9"/>
      <c r="AK478" s="9"/>
      <c r="AL478" s="9"/>
      <c r="AM478" s="9"/>
      <c r="AN478" s="9"/>
      <c r="AO478" s="9"/>
      <c r="AP478" s="9"/>
      <c r="AQ478" s="9"/>
      <c r="AR478" s="9"/>
      <c r="AS478" s="9"/>
      <c r="AT478" s="9"/>
      <c r="AU478" s="9"/>
      <c r="AV478" s="9"/>
    </row>
    <row r="479" spans="1:48" ht="14" customHeight="1" thickBot="1">
      <c r="A479" s="31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9"/>
      <c r="AH479" s="9"/>
      <c r="AI479" s="9"/>
      <c r="AJ479" s="9"/>
      <c r="AK479" s="9"/>
      <c r="AL479" s="9"/>
      <c r="AM479" s="9"/>
      <c r="AN479" s="9"/>
      <c r="AO479" s="9"/>
      <c r="AP479" s="9"/>
      <c r="AQ479" s="9"/>
      <c r="AR479" s="9"/>
      <c r="AS479" s="9"/>
      <c r="AT479" s="9"/>
      <c r="AU479" s="9"/>
      <c r="AV479" s="9"/>
    </row>
    <row r="480" spans="1:48" ht="14" customHeight="1" thickBot="1">
      <c r="A480" s="31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9"/>
      <c r="AH480" s="9"/>
      <c r="AI480" s="9"/>
      <c r="AJ480" s="9"/>
      <c r="AK480" s="9"/>
      <c r="AL480" s="9"/>
      <c r="AM480" s="9"/>
      <c r="AN480" s="9"/>
      <c r="AO480" s="9"/>
      <c r="AP480" s="9"/>
      <c r="AQ480" s="9"/>
      <c r="AR480" s="9"/>
      <c r="AS480" s="9"/>
      <c r="AT480" s="9"/>
      <c r="AU480" s="9"/>
      <c r="AV480" s="9"/>
    </row>
    <row r="481" spans="1:48" ht="14" customHeight="1" thickBot="1">
      <c r="A481" s="31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  <c r="AH481" s="9"/>
      <c r="AI481" s="9"/>
      <c r="AJ481" s="9"/>
      <c r="AK481" s="9"/>
      <c r="AL481" s="9"/>
      <c r="AM481" s="9"/>
      <c r="AN481" s="9"/>
      <c r="AO481" s="9"/>
      <c r="AP481" s="9"/>
      <c r="AQ481" s="9"/>
      <c r="AR481" s="9"/>
      <c r="AS481" s="9"/>
      <c r="AT481" s="9"/>
      <c r="AU481" s="9"/>
      <c r="AV481" s="9"/>
    </row>
    <row r="482" spans="1:48" ht="14" customHeight="1" thickBot="1">
      <c r="A482" s="31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  <c r="AH482" s="9"/>
      <c r="AI482" s="9"/>
      <c r="AJ482" s="9"/>
      <c r="AK482" s="9"/>
      <c r="AL482" s="9"/>
      <c r="AM482" s="9"/>
      <c r="AN482" s="9"/>
      <c r="AO482" s="9"/>
      <c r="AP482" s="9"/>
      <c r="AQ482" s="9"/>
      <c r="AR482" s="9"/>
      <c r="AS482" s="9"/>
      <c r="AT482" s="9"/>
      <c r="AU482" s="9"/>
      <c r="AV482" s="9"/>
    </row>
    <row r="483" spans="1:48" ht="14" customHeight="1" thickBot="1">
      <c r="A483" s="31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  <c r="AH483" s="9"/>
      <c r="AI483" s="9"/>
      <c r="AJ483" s="9"/>
      <c r="AK483" s="9"/>
      <c r="AL483" s="9"/>
      <c r="AM483" s="9"/>
      <c r="AN483" s="9"/>
      <c r="AO483" s="9"/>
      <c r="AP483" s="9"/>
      <c r="AQ483" s="9"/>
      <c r="AR483" s="9"/>
      <c r="AS483" s="9"/>
      <c r="AT483" s="9"/>
      <c r="AU483" s="9"/>
      <c r="AV483" s="9"/>
    </row>
    <row r="484" spans="1:48" ht="14" customHeight="1" thickBot="1">
      <c r="A484" s="31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  <c r="AH484" s="9"/>
      <c r="AI484" s="9"/>
      <c r="AJ484" s="9"/>
      <c r="AK484" s="9"/>
      <c r="AL484" s="9"/>
      <c r="AM484" s="9"/>
      <c r="AN484" s="9"/>
      <c r="AO484" s="9"/>
      <c r="AP484" s="9"/>
      <c r="AQ484" s="9"/>
      <c r="AR484" s="9"/>
      <c r="AS484" s="9"/>
      <c r="AT484" s="9"/>
      <c r="AU484" s="9"/>
      <c r="AV484" s="9"/>
    </row>
    <row r="485" spans="1:48" ht="14" customHeight="1" thickBot="1">
      <c r="A485" s="31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  <c r="AH485" s="9"/>
      <c r="AI485" s="9"/>
      <c r="AJ485" s="9"/>
      <c r="AK485" s="9"/>
      <c r="AL485" s="9"/>
      <c r="AM485" s="9"/>
      <c r="AN485" s="9"/>
      <c r="AO485" s="9"/>
      <c r="AP485" s="9"/>
      <c r="AQ485" s="9"/>
      <c r="AR485" s="9"/>
      <c r="AS485" s="9"/>
      <c r="AT485" s="9"/>
      <c r="AU485" s="9"/>
      <c r="AV485" s="9"/>
    </row>
    <row r="486" spans="1:48" ht="14" customHeight="1" thickBot="1">
      <c r="A486" s="31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  <c r="AH486" s="9"/>
      <c r="AI486" s="9"/>
      <c r="AJ486" s="9"/>
      <c r="AK486" s="9"/>
      <c r="AL486" s="9"/>
      <c r="AM486" s="9"/>
      <c r="AN486" s="9"/>
      <c r="AO486" s="9"/>
      <c r="AP486" s="9"/>
      <c r="AQ486" s="9"/>
      <c r="AR486" s="9"/>
      <c r="AS486" s="9"/>
      <c r="AT486" s="9"/>
      <c r="AU486" s="9"/>
      <c r="AV486" s="9"/>
    </row>
    <row r="487" spans="1:48" ht="14" customHeight="1" thickBot="1">
      <c r="A487" s="31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  <c r="AH487" s="9"/>
      <c r="AI487" s="9"/>
      <c r="AJ487" s="9"/>
      <c r="AK487" s="9"/>
      <c r="AL487" s="9"/>
      <c r="AM487" s="9"/>
      <c r="AN487" s="9"/>
      <c r="AO487" s="9"/>
      <c r="AP487" s="9"/>
      <c r="AQ487" s="9"/>
      <c r="AR487" s="9"/>
      <c r="AS487" s="9"/>
      <c r="AT487" s="9"/>
      <c r="AU487" s="9"/>
      <c r="AV487" s="9"/>
    </row>
    <row r="488" spans="1:48" ht="14" customHeight="1" thickBot="1">
      <c r="A488" s="31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  <c r="AH488" s="9"/>
      <c r="AI488" s="9"/>
      <c r="AJ488" s="9"/>
      <c r="AK488" s="9"/>
      <c r="AL488" s="9"/>
      <c r="AM488" s="9"/>
      <c r="AN488" s="9"/>
      <c r="AO488" s="9"/>
      <c r="AP488" s="9"/>
      <c r="AQ488" s="9"/>
      <c r="AR488" s="9"/>
      <c r="AS488" s="9"/>
      <c r="AT488" s="9"/>
      <c r="AU488" s="9"/>
      <c r="AV488" s="9"/>
    </row>
    <row r="489" spans="1:48" ht="14" customHeight="1" thickBot="1">
      <c r="A489" s="31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  <c r="AH489" s="9"/>
      <c r="AI489" s="9"/>
      <c r="AJ489" s="9"/>
      <c r="AK489" s="9"/>
      <c r="AL489" s="9"/>
      <c r="AM489" s="9"/>
      <c r="AN489" s="9"/>
      <c r="AO489" s="9"/>
      <c r="AP489" s="9"/>
      <c r="AQ489" s="9"/>
      <c r="AR489" s="9"/>
      <c r="AS489" s="9"/>
      <c r="AT489" s="9"/>
      <c r="AU489" s="9"/>
      <c r="AV489" s="9"/>
    </row>
    <row r="490" spans="1:48" ht="14" customHeight="1" thickBot="1">
      <c r="A490" s="31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  <c r="AH490" s="9"/>
      <c r="AI490" s="9"/>
      <c r="AJ490" s="9"/>
      <c r="AK490" s="9"/>
      <c r="AL490" s="9"/>
      <c r="AM490" s="9"/>
      <c r="AN490" s="9"/>
      <c r="AO490" s="9"/>
      <c r="AP490" s="9"/>
      <c r="AQ490" s="9"/>
      <c r="AR490" s="9"/>
      <c r="AS490" s="9"/>
      <c r="AT490" s="9"/>
      <c r="AU490" s="9"/>
      <c r="AV490" s="9"/>
    </row>
    <row r="491" spans="1:48" ht="14" customHeight="1" thickBot="1">
      <c r="A491" s="31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/>
      <c r="AH491" s="9"/>
      <c r="AI491" s="9"/>
      <c r="AJ491" s="9"/>
      <c r="AK491" s="9"/>
      <c r="AL491" s="9"/>
      <c r="AM491" s="9"/>
      <c r="AN491" s="9"/>
      <c r="AO491" s="9"/>
      <c r="AP491" s="9"/>
      <c r="AQ491" s="9"/>
      <c r="AR491" s="9"/>
      <c r="AS491" s="9"/>
      <c r="AT491" s="9"/>
      <c r="AU491" s="9"/>
      <c r="AV491" s="9"/>
    </row>
    <row r="492" spans="1:48" ht="14" customHeight="1" thickBot="1">
      <c r="A492" s="31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  <c r="AH492" s="9"/>
      <c r="AI492" s="9"/>
      <c r="AJ492" s="9"/>
      <c r="AK492" s="9"/>
      <c r="AL492" s="9"/>
      <c r="AM492" s="9"/>
      <c r="AN492" s="9"/>
      <c r="AO492" s="9"/>
      <c r="AP492" s="9"/>
      <c r="AQ492" s="9"/>
      <c r="AR492" s="9"/>
      <c r="AS492" s="9"/>
      <c r="AT492" s="9"/>
      <c r="AU492" s="9"/>
      <c r="AV492" s="9"/>
    </row>
    <row r="493" spans="1:48" ht="14" customHeight="1" thickBot="1">
      <c r="A493" s="31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  <c r="AH493" s="9"/>
      <c r="AI493" s="9"/>
      <c r="AJ493" s="9"/>
      <c r="AK493" s="9"/>
      <c r="AL493" s="9"/>
      <c r="AM493" s="9"/>
      <c r="AN493" s="9"/>
      <c r="AO493" s="9"/>
      <c r="AP493" s="9"/>
      <c r="AQ493" s="9"/>
      <c r="AR493" s="9"/>
      <c r="AS493" s="9"/>
      <c r="AT493" s="9"/>
      <c r="AU493" s="9"/>
      <c r="AV493" s="9"/>
    </row>
    <row r="494" spans="1:48" ht="14" customHeight="1" thickBot="1">
      <c r="A494" s="31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  <c r="AH494" s="9"/>
      <c r="AI494" s="9"/>
      <c r="AJ494" s="9"/>
      <c r="AK494" s="9"/>
      <c r="AL494" s="9"/>
      <c r="AM494" s="9"/>
      <c r="AN494" s="9"/>
      <c r="AO494" s="9"/>
      <c r="AP494" s="9"/>
      <c r="AQ494" s="9"/>
      <c r="AR494" s="9"/>
      <c r="AS494" s="9"/>
      <c r="AT494" s="9"/>
      <c r="AU494" s="9"/>
      <c r="AV494" s="9"/>
    </row>
    <row r="495" spans="1:48" ht="14" customHeight="1" thickBot="1">
      <c r="A495" s="31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9"/>
      <c r="AH495" s="9"/>
      <c r="AI495" s="9"/>
      <c r="AJ495" s="9"/>
      <c r="AK495" s="9"/>
      <c r="AL495" s="9"/>
      <c r="AM495" s="9"/>
      <c r="AN495" s="9"/>
      <c r="AO495" s="9"/>
      <c r="AP495" s="9"/>
      <c r="AQ495" s="9"/>
      <c r="AR495" s="9"/>
      <c r="AS495" s="9"/>
      <c r="AT495" s="9"/>
      <c r="AU495" s="9"/>
      <c r="AV495" s="9"/>
    </row>
    <row r="496" spans="1:48" ht="14" customHeight="1" thickBot="1">
      <c r="A496" s="31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9"/>
      <c r="AH496" s="9"/>
      <c r="AI496" s="9"/>
      <c r="AJ496" s="9"/>
      <c r="AK496" s="9"/>
      <c r="AL496" s="9"/>
      <c r="AM496" s="9"/>
      <c r="AN496" s="9"/>
      <c r="AO496" s="9"/>
      <c r="AP496" s="9"/>
      <c r="AQ496" s="9"/>
      <c r="AR496" s="9"/>
      <c r="AS496" s="9"/>
      <c r="AT496" s="9"/>
      <c r="AU496" s="9"/>
      <c r="AV496" s="9"/>
    </row>
    <row r="497" spans="1:48" ht="14" customHeight="1" thickBot="1">
      <c r="A497" s="31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9"/>
      <c r="AH497" s="9"/>
      <c r="AI497" s="9"/>
      <c r="AJ497" s="9"/>
      <c r="AK497" s="9"/>
      <c r="AL497" s="9"/>
      <c r="AM497" s="9"/>
      <c r="AN497" s="9"/>
      <c r="AO497" s="9"/>
      <c r="AP497" s="9"/>
      <c r="AQ497" s="9"/>
      <c r="AR497" s="9"/>
      <c r="AS497" s="9"/>
      <c r="AT497" s="9"/>
      <c r="AU497" s="9"/>
      <c r="AV497" s="9"/>
    </row>
    <row r="498" spans="1:48" ht="14" customHeight="1" thickBot="1">
      <c r="A498" s="31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9"/>
      <c r="AH498" s="9"/>
      <c r="AI498" s="9"/>
      <c r="AJ498" s="9"/>
      <c r="AK498" s="9"/>
      <c r="AL498" s="9"/>
      <c r="AM498" s="9"/>
      <c r="AN498" s="9"/>
      <c r="AO498" s="9"/>
      <c r="AP498" s="9"/>
      <c r="AQ498" s="9"/>
      <c r="AR498" s="9"/>
      <c r="AS498" s="9"/>
      <c r="AT498" s="9"/>
      <c r="AU498" s="9"/>
      <c r="AV498" s="9"/>
    </row>
    <row r="499" spans="1:48" ht="14" customHeight="1" thickBot="1">
      <c r="A499" s="31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  <c r="AG499" s="9"/>
      <c r="AH499" s="9"/>
      <c r="AI499" s="9"/>
      <c r="AJ499" s="9"/>
      <c r="AK499" s="9"/>
      <c r="AL499" s="9"/>
      <c r="AM499" s="9"/>
      <c r="AN499" s="9"/>
      <c r="AO499" s="9"/>
      <c r="AP499" s="9"/>
      <c r="AQ499" s="9"/>
      <c r="AR499" s="9"/>
      <c r="AS499" s="9"/>
      <c r="AT499" s="9"/>
      <c r="AU499" s="9"/>
      <c r="AV499" s="9"/>
    </row>
    <row r="500" spans="1:48" ht="14" customHeight="1" thickBot="1">
      <c r="A500" s="31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9"/>
      <c r="AG500" s="9"/>
      <c r="AH500" s="9"/>
      <c r="AI500" s="9"/>
      <c r="AJ500" s="9"/>
      <c r="AK500" s="9"/>
      <c r="AL500" s="9"/>
      <c r="AM500" s="9"/>
      <c r="AN500" s="9"/>
      <c r="AO500" s="9"/>
      <c r="AP500" s="9"/>
      <c r="AQ500" s="9"/>
      <c r="AR500" s="9"/>
      <c r="AS500" s="9"/>
      <c r="AT500" s="9"/>
      <c r="AU500" s="9"/>
      <c r="AV500" s="9"/>
    </row>
    <row r="501" spans="1:48" ht="14" customHeight="1" thickBot="1">
      <c r="A501" s="31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  <c r="AG501" s="9"/>
      <c r="AH501" s="9"/>
      <c r="AI501" s="9"/>
      <c r="AJ501" s="9"/>
      <c r="AK501" s="9"/>
      <c r="AL501" s="9"/>
      <c r="AM501" s="9"/>
      <c r="AN501" s="9"/>
      <c r="AO501" s="9"/>
      <c r="AP501" s="9"/>
      <c r="AQ501" s="9"/>
      <c r="AR501" s="9"/>
      <c r="AS501" s="9"/>
      <c r="AT501" s="9"/>
      <c r="AU501" s="9"/>
      <c r="AV501" s="9"/>
    </row>
    <row r="502" spans="1:48" ht="14" customHeight="1" thickBot="1">
      <c r="A502" s="31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9"/>
      <c r="AG502" s="9"/>
      <c r="AH502" s="9"/>
      <c r="AI502" s="9"/>
      <c r="AJ502" s="9"/>
      <c r="AK502" s="9"/>
      <c r="AL502" s="9"/>
      <c r="AM502" s="9"/>
      <c r="AN502" s="9"/>
      <c r="AO502" s="9"/>
      <c r="AP502" s="9"/>
      <c r="AQ502" s="9"/>
      <c r="AR502" s="9"/>
      <c r="AS502" s="9"/>
      <c r="AT502" s="9"/>
      <c r="AU502" s="9"/>
      <c r="AV502" s="9"/>
    </row>
    <row r="503" spans="1:48" ht="14" customHeight="1" thickBot="1">
      <c r="A503" s="31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  <c r="AG503" s="9"/>
      <c r="AH503" s="9"/>
      <c r="AI503" s="9"/>
      <c r="AJ503" s="9"/>
      <c r="AK503" s="9"/>
      <c r="AL503" s="9"/>
      <c r="AM503" s="9"/>
      <c r="AN503" s="9"/>
      <c r="AO503" s="9"/>
      <c r="AP503" s="9"/>
      <c r="AQ503" s="9"/>
      <c r="AR503" s="9"/>
      <c r="AS503" s="9"/>
      <c r="AT503" s="9"/>
      <c r="AU503" s="9"/>
      <c r="AV503" s="9"/>
    </row>
    <row r="504" spans="1:48" ht="14" customHeight="1" thickBot="1">
      <c r="A504" s="31"/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  <c r="AF504" s="9"/>
      <c r="AG504" s="9"/>
      <c r="AH504" s="9"/>
      <c r="AI504" s="9"/>
      <c r="AJ504" s="9"/>
      <c r="AK504" s="9"/>
      <c r="AL504" s="9"/>
      <c r="AM504" s="9"/>
      <c r="AN504" s="9"/>
      <c r="AO504" s="9"/>
      <c r="AP504" s="9"/>
      <c r="AQ504" s="9"/>
      <c r="AR504" s="9"/>
      <c r="AS504" s="9"/>
      <c r="AT504" s="9"/>
      <c r="AU504" s="9"/>
      <c r="AV504" s="9"/>
    </row>
    <row r="505" spans="1:48" ht="14" customHeight="1" thickBot="1">
      <c r="A505" s="31"/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9"/>
      <c r="AG505" s="9"/>
      <c r="AH505" s="9"/>
      <c r="AI505" s="9"/>
      <c r="AJ505" s="9"/>
      <c r="AK505" s="9"/>
      <c r="AL505" s="9"/>
      <c r="AM505" s="9"/>
      <c r="AN505" s="9"/>
      <c r="AO505" s="9"/>
      <c r="AP505" s="9"/>
      <c r="AQ505" s="9"/>
      <c r="AR505" s="9"/>
      <c r="AS505" s="9"/>
      <c r="AT505" s="9"/>
      <c r="AU505" s="9"/>
      <c r="AV505" s="9"/>
    </row>
    <row r="506" spans="1:48" ht="14" customHeight="1" thickBot="1">
      <c r="A506" s="31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  <c r="AF506" s="9"/>
      <c r="AG506" s="9"/>
      <c r="AH506" s="9"/>
      <c r="AI506" s="9"/>
      <c r="AJ506" s="9"/>
      <c r="AK506" s="9"/>
      <c r="AL506" s="9"/>
      <c r="AM506" s="9"/>
      <c r="AN506" s="9"/>
      <c r="AO506" s="9"/>
      <c r="AP506" s="9"/>
      <c r="AQ506" s="9"/>
      <c r="AR506" s="9"/>
      <c r="AS506" s="9"/>
      <c r="AT506" s="9"/>
      <c r="AU506" s="9"/>
      <c r="AV506" s="9"/>
    </row>
    <row r="507" spans="1:48" ht="14" customHeight="1" thickBot="1">
      <c r="A507" s="31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9"/>
      <c r="AG507" s="9"/>
      <c r="AH507" s="9"/>
      <c r="AI507" s="9"/>
      <c r="AJ507" s="9"/>
      <c r="AK507" s="9"/>
      <c r="AL507" s="9"/>
      <c r="AM507" s="9"/>
      <c r="AN507" s="9"/>
      <c r="AO507" s="9"/>
      <c r="AP507" s="9"/>
      <c r="AQ507" s="9"/>
      <c r="AR507" s="9"/>
      <c r="AS507" s="9"/>
      <c r="AT507" s="9"/>
      <c r="AU507" s="9"/>
      <c r="AV507" s="9"/>
    </row>
    <row r="508" spans="1:48" ht="14" customHeight="1" thickBot="1">
      <c r="A508" s="31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9"/>
      <c r="AG508" s="9"/>
      <c r="AH508" s="9"/>
      <c r="AI508" s="9"/>
      <c r="AJ508" s="9"/>
      <c r="AK508" s="9"/>
      <c r="AL508" s="9"/>
      <c r="AM508" s="9"/>
      <c r="AN508" s="9"/>
      <c r="AO508" s="9"/>
      <c r="AP508" s="9"/>
      <c r="AQ508" s="9"/>
      <c r="AR508" s="9"/>
      <c r="AS508" s="9"/>
      <c r="AT508" s="9"/>
      <c r="AU508" s="9"/>
      <c r="AV508" s="9"/>
    </row>
    <row r="509" spans="1:48" ht="14" customHeight="1" thickBot="1">
      <c r="A509" s="31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  <c r="AF509" s="9"/>
      <c r="AG509" s="9"/>
      <c r="AH509" s="9"/>
      <c r="AI509" s="9"/>
      <c r="AJ509" s="9"/>
      <c r="AK509" s="9"/>
      <c r="AL509" s="9"/>
      <c r="AM509" s="9"/>
      <c r="AN509" s="9"/>
      <c r="AO509" s="9"/>
      <c r="AP509" s="9"/>
      <c r="AQ509" s="9"/>
      <c r="AR509" s="9"/>
      <c r="AS509" s="9"/>
      <c r="AT509" s="9"/>
      <c r="AU509" s="9"/>
      <c r="AV509" s="9"/>
    </row>
    <row r="510" spans="1:48" ht="14" customHeight="1" thickBot="1">
      <c r="A510" s="31"/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  <c r="AF510" s="9"/>
      <c r="AG510" s="9"/>
      <c r="AH510" s="9"/>
      <c r="AI510" s="9"/>
      <c r="AJ510" s="9"/>
      <c r="AK510" s="9"/>
      <c r="AL510" s="9"/>
      <c r="AM510" s="9"/>
      <c r="AN510" s="9"/>
      <c r="AO510" s="9"/>
      <c r="AP510" s="9"/>
      <c r="AQ510" s="9"/>
      <c r="AR510" s="9"/>
      <c r="AS510" s="9"/>
      <c r="AT510" s="9"/>
      <c r="AU510" s="9"/>
      <c r="AV510" s="9"/>
    </row>
    <row r="511" spans="1:48" ht="14" customHeight="1" thickBot="1">
      <c r="A511" s="31"/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9"/>
      <c r="AG511" s="9"/>
      <c r="AH511" s="9"/>
      <c r="AI511" s="9"/>
      <c r="AJ511" s="9"/>
      <c r="AK511" s="9"/>
      <c r="AL511" s="9"/>
      <c r="AM511" s="9"/>
      <c r="AN511" s="9"/>
      <c r="AO511" s="9"/>
      <c r="AP511" s="9"/>
      <c r="AQ511" s="9"/>
      <c r="AR511" s="9"/>
      <c r="AS511" s="9"/>
      <c r="AT511" s="9"/>
      <c r="AU511" s="9"/>
      <c r="AV511" s="9"/>
    </row>
    <row r="512" spans="1:48" ht="14" customHeight="1" thickBot="1">
      <c r="A512" s="31"/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9"/>
      <c r="AG512" s="9"/>
      <c r="AH512" s="9"/>
      <c r="AI512" s="9"/>
      <c r="AJ512" s="9"/>
      <c r="AK512" s="9"/>
      <c r="AL512" s="9"/>
      <c r="AM512" s="9"/>
      <c r="AN512" s="9"/>
      <c r="AO512" s="9"/>
      <c r="AP512" s="9"/>
      <c r="AQ512" s="9"/>
      <c r="AR512" s="9"/>
      <c r="AS512" s="9"/>
      <c r="AT512" s="9"/>
      <c r="AU512" s="9"/>
      <c r="AV512" s="9"/>
    </row>
    <row r="513" spans="1:48" ht="14" customHeight="1" thickBot="1">
      <c r="A513" s="31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  <c r="AF513" s="9"/>
      <c r="AG513" s="9"/>
      <c r="AH513" s="9"/>
      <c r="AI513" s="9"/>
      <c r="AJ513" s="9"/>
      <c r="AK513" s="9"/>
      <c r="AL513" s="9"/>
      <c r="AM513" s="9"/>
      <c r="AN513" s="9"/>
      <c r="AO513" s="9"/>
      <c r="AP513" s="9"/>
      <c r="AQ513" s="9"/>
      <c r="AR513" s="9"/>
      <c r="AS513" s="9"/>
      <c r="AT513" s="9"/>
      <c r="AU513" s="9"/>
      <c r="AV513" s="9"/>
    </row>
    <row r="514" spans="1:48" ht="14" customHeight="1" thickBot="1">
      <c r="A514" s="31"/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  <c r="AF514" s="9"/>
      <c r="AG514" s="9"/>
      <c r="AH514" s="9"/>
      <c r="AI514" s="9"/>
      <c r="AJ514" s="9"/>
      <c r="AK514" s="9"/>
      <c r="AL514" s="9"/>
      <c r="AM514" s="9"/>
      <c r="AN514" s="9"/>
      <c r="AO514" s="9"/>
      <c r="AP514" s="9"/>
      <c r="AQ514" s="9"/>
      <c r="AR514" s="9"/>
      <c r="AS514" s="9"/>
      <c r="AT514" s="9"/>
      <c r="AU514" s="9"/>
      <c r="AV514" s="9"/>
    </row>
    <row r="515" spans="1:48" ht="14" customHeight="1" thickBot="1">
      <c r="A515" s="31"/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  <c r="AF515" s="9"/>
      <c r="AG515" s="9"/>
      <c r="AH515" s="9"/>
      <c r="AI515" s="9"/>
      <c r="AJ515" s="9"/>
      <c r="AK515" s="9"/>
      <c r="AL515" s="9"/>
      <c r="AM515" s="9"/>
      <c r="AN515" s="9"/>
      <c r="AO515" s="9"/>
      <c r="AP515" s="9"/>
      <c r="AQ515" s="9"/>
      <c r="AR515" s="9"/>
      <c r="AS515" s="9"/>
      <c r="AT515" s="9"/>
      <c r="AU515" s="9"/>
      <c r="AV515" s="9"/>
    </row>
    <row r="516" spans="1:48" ht="14" customHeight="1" thickBot="1">
      <c r="A516" s="31"/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  <c r="AF516" s="9"/>
      <c r="AG516" s="9"/>
      <c r="AH516" s="9"/>
      <c r="AI516" s="9"/>
      <c r="AJ516" s="9"/>
      <c r="AK516" s="9"/>
      <c r="AL516" s="9"/>
      <c r="AM516" s="9"/>
      <c r="AN516" s="9"/>
      <c r="AO516" s="9"/>
      <c r="AP516" s="9"/>
      <c r="AQ516" s="9"/>
      <c r="AR516" s="9"/>
      <c r="AS516" s="9"/>
      <c r="AT516" s="9"/>
      <c r="AU516" s="9"/>
      <c r="AV516" s="9"/>
    </row>
    <row r="517" spans="1:48" ht="14" customHeight="1" thickBot="1">
      <c r="A517" s="31"/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9"/>
      <c r="AG517" s="9"/>
      <c r="AH517" s="9"/>
      <c r="AI517" s="9"/>
      <c r="AJ517" s="9"/>
      <c r="AK517" s="9"/>
      <c r="AL517" s="9"/>
      <c r="AM517" s="9"/>
      <c r="AN517" s="9"/>
      <c r="AO517" s="9"/>
      <c r="AP517" s="9"/>
      <c r="AQ517" s="9"/>
      <c r="AR517" s="9"/>
      <c r="AS517" s="9"/>
      <c r="AT517" s="9"/>
      <c r="AU517" s="9"/>
      <c r="AV517" s="9"/>
    </row>
    <row r="518" spans="1:48" ht="14" customHeight="1" thickBot="1">
      <c r="A518" s="31"/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  <c r="AF518" s="9"/>
      <c r="AG518" s="9"/>
      <c r="AH518" s="9"/>
      <c r="AI518" s="9"/>
      <c r="AJ518" s="9"/>
      <c r="AK518" s="9"/>
      <c r="AL518" s="9"/>
      <c r="AM518" s="9"/>
      <c r="AN518" s="9"/>
      <c r="AO518" s="9"/>
      <c r="AP518" s="9"/>
      <c r="AQ518" s="9"/>
      <c r="AR518" s="9"/>
      <c r="AS518" s="9"/>
      <c r="AT518" s="9"/>
      <c r="AU518" s="9"/>
      <c r="AV518" s="9"/>
    </row>
    <row r="519" spans="1:48" ht="14" customHeight="1" thickBot="1">
      <c r="A519" s="31"/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  <c r="AF519" s="9"/>
      <c r="AG519" s="9"/>
      <c r="AH519" s="9"/>
      <c r="AI519" s="9"/>
      <c r="AJ519" s="9"/>
      <c r="AK519" s="9"/>
      <c r="AL519" s="9"/>
      <c r="AM519" s="9"/>
      <c r="AN519" s="9"/>
      <c r="AO519" s="9"/>
      <c r="AP519" s="9"/>
      <c r="AQ519" s="9"/>
      <c r="AR519" s="9"/>
      <c r="AS519" s="9"/>
      <c r="AT519" s="9"/>
      <c r="AU519" s="9"/>
      <c r="AV519" s="9"/>
    </row>
    <row r="520" spans="1:48" ht="14" customHeight="1" thickBot="1">
      <c r="A520" s="31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  <c r="AF520" s="9"/>
      <c r="AG520" s="9"/>
      <c r="AH520" s="9"/>
      <c r="AI520" s="9"/>
      <c r="AJ520" s="9"/>
      <c r="AK520" s="9"/>
      <c r="AL520" s="9"/>
      <c r="AM520" s="9"/>
      <c r="AN520" s="9"/>
      <c r="AO520" s="9"/>
      <c r="AP520" s="9"/>
      <c r="AQ520" s="9"/>
      <c r="AR520" s="9"/>
      <c r="AS520" s="9"/>
      <c r="AT520" s="9"/>
      <c r="AU520" s="9"/>
      <c r="AV520" s="9"/>
    </row>
    <row r="521" spans="1:48" ht="14" customHeight="1" thickBot="1">
      <c r="A521" s="31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9"/>
      <c r="AG521" s="9"/>
      <c r="AH521" s="9"/>
      <c r="AI521" s="9"/>
      <c r="AJ521" s="9"/>
      <c r="AK521" s="9"/>
      <c r="AL521" s="9"/>
      <c r="AM521" s="9"/>
      <c r="AN521" s="9"/>
      <c r="AO521" s="9"/>
      <c r="AP521" s="9"/>
      <c r="AQ521" s="9"/>
      <c r="AR521" s="9"/>
      <c r="AS521" s="9"/>
      <c r="AT521" s="9"/>
      <c r="AU521" s="9"/>
      <c r="AV521" s="9"/>
    </row>
    <row r="522" spans="1:48" ht="14" customHeight="1" thickBot="1">
      <c r="A522" s="31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  <c r="AF522" s="9"/>
      <c r="AG522" s="9"/>
      <c r="AH522" s="9"/>
      <c r="AI522" s="9"/>
      <c r="AJ522" s="9"/>
      <c r="AK522" s="9"/>
      <c r="AL522" s="9"/>
      <c r="AM522" s="9"/>
      <c r="AN522" s="9"/>
      <c r="AO522" s="9"/>
      <c r="AP522" s="9"/>
      <c r="AQ522" s="9"/>
      <c r="AR522" s="9"/>
      <c r="AS522" s="9"/>
      <c r="AT522" s="9"/>
      <c r="AU522" s="9"/>
      <c r="AV522" s="9"/>
    </row>
    <row r="523" spans="1:48" ht="14" customHeight="1" thickBot="1">
      <c r="A523" s="31"/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  <c r="AF523" s="9"/>
      <c r="AG523" s="9"/>
      <c r="AH523" s="9"/>
      <c r="AI523" s="9"/>
      <c r="AJ523" s="9"/>
      <c r="AK523" s="9"/>
      <c r="AL523" s="9"/>
      <c r="AM523" s="9"/>
      <c r="AN523" s="9"/>
      <c r="AO523" s="9"/>
      <c r="AP523" s="9"/>
      <c r="AQ523" s="9"/>
      <c r="AR523" s="9"/>
      <c r="AS523" s="9"/>
      <c r="AT523" s="9"/>
      <c r="AU523" s="9"/>
      <c r="AV523" s="9"/>
    </row>
    <row r="524" spans="1:48" ht="14" customHeight="1" thickBot="1">
      <c r="A524" s="31"/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9"/>
      <c r="AG524" s="9"/>
      <c r="AH524" s="9"/>
      <c r="AI524" s="9"/>
      <c r="AJ524" s="9"/>
      <c r="AK524" s="9"/>
      <c r="AL524" s="9"/>
      <c r="AM524" s="9"/>
      <c r="AN524" s="9"/>
      <c r="AO524" s="9"/>
      <c r="AP524" s="9"/>
      <c r="AQ524" s="9"/>
      <c r="AR524" s="9"/>
      <c r="AS524" s="9"/>
      <c r="AT524" s="9"/>
      <c r="AU524" s="9"/>
      <c r="AV524" s="9"/>
    </row>
    <row r="525" spans="1:48" ht="14" customHeight="1" thickBot="1">
      <c r="A525" s="31"/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  <c r="AF525" s="9"/>
      <c r="AG525" s="9"/>
      <c r="AH525" s="9"/>
      <c r="AI525" s="9"/>
      <c r="AJ525" s="9"/>
      <c r="AK525" s="9"/>
      <c r="AL525" s="9"/>
      <c r="AM525" s="9"/>
      <c r="AN525" s="9"/>
      <c r="AO525" s="9"/>
      <c r="AP525" s="9"/>
      <c r="AQ525" s="9"/>
      <c r="AR525" s="9"/>
      <c r="AS525" s="9"/>
      <c r="AT525" s="9"/>
      <c r="AU525" s="9"/>
      <c r="AV525" s="9"/>
    </row>
    <row r="526" spans="1:48" ht="14" customHeight="1" thickBot="1">
      <c r="A526" s="31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  <c r="AF526" s="9"/>
      <c r="AG526" s="9"/>
      <c r="AH526" s="9"/>
      <c r="AI526" s="9"/>
      <c r="AJ526" s="9"/>
      <c r="AK526" s="9"/>
      <c r="AL526" s="9"/>
      <c r="AM526" s="9"/>
      <c r="AN526" s="9"/>
      <c r="AO526" s="9"/>
      <c r="AP526" s="9"/>
      <c r="AQ526" s="9"/>
      <c r="AR526" s="9"/>
      <c r="AS526" s="9"/>
      <c r="AT526" s="9"/>
      <c r="AU526" s="9"/>
      <c r="AV526" s="9"/>
    </row>
    <row r="527" spans="1:48" ht="14" customHeight="1" thickBot="1">
      <c r="A527" s="31"/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  <c r="AF527" s="9"/>
      <c r="AG527" s="9"/>
      <c r="AH527" s="9"/>
      <c r="AI527" s="9"/>
      <c r="AJ527" s="9"/>
      <c r="AK527" s="9"/>
      <c r="AL527" s="9"/>
      <c r="AM527" s="9"/>
      <c r="AN527" s="9"/>
      <c r="AO527" s="9"/>
      <c r="AP527" s="9"/>
      <c r="AQ527" s="9"/>
      <c r="AR527" s="9"/>
      <c r="AS527" s="9"/>
      <c r="AT527" s="9"/>
      <c r="AU527" s="9"/>
      <c r="AV527" s="9"/>
    </row>
    <row r="528" spans="1:48" ht="14" customHeight="1" thickBot="1">
      <c r="A528" s="31"/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  <c r="AF528" s="9"/>
      <c r="AG528" s="9"/>
      <c r="AH528" s="9"/>
      <c r="AI528" s="9"/>
      <c r="AJ528" s="9"/>
      <c r="AK528" s="9"/>
      <c r="AL528" s="9"/>
      <c r="AM528" s="9"/>
      <c r="AN528" s="9"/>
      <c r="AO528" s="9"/>
      <c r="AP528" s="9"/>
      <c r="AQ528" s="9"/>
      <c r="AR528" s="9"/>
      <c r="AS528" s="9"/>
      <c r="AT528" s="9"/>
      <c r="AU528" s="9"/>
      <c r="AV528" s="9"/>
    </row>
    <row r="529" spans="1:48" ht="14" customHeight="1" thickBot="1">
      <c r="A529" s="31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  <c r="AF529" s="9"/>
      <c r="AG529" s="9"/>
      <c r="AH529" s="9"/>
      <c r="AI529" s="9"/>
      <c r="AJ529" s="9"/>
      <c r="AK529" s="9"/>
      <c r="AL529" s="9"/>
      <c r="AM529" s="9"/>
      <c r="AN529" s="9"/>
      <c r="AO529" s="9"/>
      <c r="AP529" s="9"/>
      <c r="AQ529" s="9"/>
      <c r="AR529" s="9"/>
      <c r="AS529" s="9"/>
      <c r="AT529" s="9"/>
      <c r="AU529" s="9"/>
      <c r="AV529" s="9"/>
    </row>
    <row r="530" spans="1:48" ht="14" customHeight="1" thickBot="1">
      <c r="A530" s="31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  <c r="AF530" s="9"/>
      <c r="AG530" s="9"/>
      <c r="AH530" s="9"/>
      <c r="AI530" s="9"/>
      <c r="AJ530" s="9"/>
      <c r="AK530" s="9"/>
      <c r="AL530" s="9"/>
      <c r="AM530" s="9"/>
      <c r="AN530" s="9"/>
      <c r="AO530" s="9"/>
      <c r="AP530" s="9"/>
      <c r="AQ530" s="9"/>
      <c r="AR530" s="9"/>
      <c r="AS530" s="9"/>
      <c r="AT530" s="9"/>
      <c r="AU530" s="9"/>
      <c r="AV530" s="9"/>
    </row>
    <row r="531" spans="1:48" ht="14" customHeight="1" thickBot="1">
      <c r="A531" s="31"/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  <c r="AF531" s="9"/>
      <c r="AG531" s="9"/>
      <c r="AH531" s="9"/>
      <c r="AI531" s="9"/>
      <c r="AJ531" s="9"/>
      <c r="AK531" s="9"/>
      <c r="AL531" s="9"/>
      <c r="AM531" s="9"/>
      <c r="AN531" s="9"/>
      <c r="AO531" s="9"/>
      <c r="AP531" s="9"/>
      <c r="AQ531" s="9"/>
      <c r="AR531" s="9"/>
      <c r="AS531" s="9"/>
      <c r="AT531" s="9"/>
      <c r="AU531" s="9"/>
      <c r="AV531" s="9"/>
    </row>
    <row r="532" spans="1:48" ht="14" customHeight="1" thickBot="1">
      <c r="A532" s="31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  <c r="AF532" s="9"/>
      <c r="AG532" s="9"/>
      <c r="AH532" s="9"/>
      <c r="AI532" s="9"/>
      <c r="AJ532" s="9"/>
      <c r="AK532" s="9"/>
      <c r="AL532" s="9"/>
      <c r="AM532" s="9"/>
      <c r="AN532" s="9"/>
      <c r="AO532" s="9"/>
      <c r="AP532" s="9"/>
      <c r="AQ532" s="9"/>
      <c r="AR532" s="9"/>
      <c r="AS532" s="9"/>
      <c r="AT532" s="9"/>
      <c r="AU532" s="9"/>
      <c r="AV532" s="9"/>
    </row>
    <row r="533" spans="1:48" ht="14" customHeight="1" thickBot="1">
      <c r="A533" s="31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  <c r="AF533" s="9"/>
      <c r="AG533" s="9"/>
      <c r="AH533" s="9"/>
      <c r="AI533" s="9"/>
      <c r="AJ533" s="9"/>
      <c r="AK533" s="9"/>
      <c r="AL533" s="9"/>
      <c r="AM533" s="9"/>
      <c r="AN533" s="9"/>
      <c r="AO533" s="9"/>
      <c r="AP533" s="9"/>
      <c r="AQ533" s="9"/>
      <c r="AR533" s="9"/>
      <c r="AS533" s="9"/>
      <c r="AT533" s="9"/>
      <c r="AU533" s="9"/>
      <c r="AV533" s="9"/>
    </row>
    <row r="534" spans="1:48" ht="14" customHeight="1" thickBot="1">
      <c r="A534" s="31"/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  <c r="AF534" s="9"/>
      <c r="AG534" s="9"/>
      <c r="AH534" s="9"/>
      <c r="AI534" s="9"/>
      <c r="AJ534" s="9"/>
      <c r="AK534" s="9"/>
      <c r="AL534" s="9"/>
      <c r="AM534" s="9"/>
      <c r="AN534" s="9"/>
      <c r="AO534" s="9"/>
      <c r="AP534" s="9"/>
      <c r="AQ534" s="9"/>
      <c r="AR534" s="9"/>
      <c r="AS534" s="9"/>
      <c r="AT534" s="9"/>
      <c r="AU534" s="9"/>
      <c r="AV534" s="9"/>
    </row>
    <row r="535" spans="1:48" ht="14" customHeight="1" thickBot="1">
      <c r="A535" s="31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  <c r="AF535" s="9"/>
      <c r="AG535" s="9"/>
      <c r="AH535" s="9"/>
      <c r="AI535" s="9"/>
      <c r="AJ535" s="9"/>
      <c r="AK535" s="9"/>
      <c r="AL535" s="9"/>
      <c r="AM535" s="9"/>
      <c r="AN535" s="9"/>
      <c r="AO535" s="9"/>
      <c r="AP535" s="9"/>
      <c r="AQ535" s="9"/>
      <c r="AR535" s="9"/>
      <c r="AS535" s="9"/>
      <c r="AT535" s="9"/>
      <c r="AU535" s="9"/>
      <c r="AV535" s="9"/>
    </row>
    <row r="536" spans="1:48" ht="14" customHeight="1" thickBot="1">
      <c r="A536" s="31"/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  <c r="AF536" s="9"/>
      <c r="AG536" s="9"/>
      <c r="AH536" s="9"/>
      <c r="AI536" s="9"/>
      <c r="AJ536" s="9"/>
      <c r="AK536" s="9"/>
      <c r="AL536" s="9"/>
      <c r="AM536" s="9"/>
      <c r="AN536" s="9"/>
      <c r="AO536" s="9"/>
      <c r="AP536" s="9"/>
      <c r="AQ536" s="9"/>
      <c r="AR536" s="9"/>
      <c r="AS536" s="9"/>
      <c r="AT536" s="9"/>
      <c r="AU536" s="9"/>
      <c r="AV536" s="9"/>
    </row>
    <row r="537" spans="1:48" ht="14" customHeight="1" thickBot="1">
      <c r="A537" s="31"/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  <c r="AF537" s="9"/>
      <c r="AG537" s="9"/>
      <c r="AH537" s="9"/>
      <c r="AI537" s="9"/>
      <c r="AJ537" s="9"/>
      <c r="AK537" s="9"/>
      <c r="AL537" s="9"/>
      <c r="AM537" s="9"/>
      <c r="AN537" s="9"/>
      <c r="AO537" s="9"/>
      <c r="AP537" s="9"/>
      <c r="AQ537" s="9"/>
      <c r="AR537" s="9"/>
      <c r="AS537" s="9"/>
      <c r="AT537" s="9"/>
      <c r="AU537" s="9"/>
      <c r="AV537" s="9"/>
    </row>
    <row r="538" spans="1:48" ht="14" customHeight="1" thickBot="1">
      <c r="A538" s="31"/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  <c r="AF538" s="9"/>
      <c r="AG538" s="9"/>
      <c r="AH538" s="9"/>
      <c r="AI538" s="9"/>
      <c r="AJ538" s="9"/>
      <c r="AK538" s="9"/>
      <c r="AL538" s="9"/>
      <c r="AM538" s="9"/>
      <c r="AN538" s="9"/>
      <c r="AO538" s="9"/>
      <c r="AP538" s="9"/>
      <c r="AQ538" s="9"/>
      <c r="AR538" s="9"/>
      <c r="AS538" s="9"/>
      <c r="AT538" s="9"/>
      <c r="AU538" s="9"/>
      <c r="AV538" s="9"/>
    </row>
    <row r="539" spans="1:48" ht="14" customHeight="1" thickBot="1">
      <c r="A539" s="31"/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  <c r="AF539" s="9"/>
      <c r="AG539" s="9"/>
      <c r="AH539" s="9"/>
      <c r="AI539" s="9"/>
      <c r="AJ539" s="9"/>
      <c r="AK539" s="9"/>
      <c r="AL539" s="9"/>
      <c r="AM539" s="9"/>
      <c r="AN539" s="9"/>
      <c r="AO539" s="9"/>
      <c r="AP539" s="9"/>
      <c r="AQ539" s="9"/>
      <c r="AR539" s="9"/>
      <c r="AS539" s="9"/>
      <c r="AT539" s="9"/>
      <c r="AU539" s="9"/>
      <c r="AV539" s="9"/>
    </row>
    <row r="540" spans="1:48" ht="14" customHeight="1" thickBot="1">
      <c r="A540" s="31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  <c r="AF540" s="9"/>
      <c r="AG540" s="9"/>
      <c r="AH540" s="9"/>
      <c r="AI540" s="9"/>
      <c r="AJ540" s="9"/>
      <c r="AK540" s="9"/>
      <c r="AL540" s="9"/>
      <c r="AM540" s="9"/>
      <c r="AN540" s="9"/>
      <c r="AO540" s="9"/>
      <c r="AP540" s="9"/>
      <c r="AQ540" s="9"/>
      <c r="AR540" s="9"/>
      <c r="AS540" s="9"/>
      <c r="AT540" s="9"/>
      <c r="AU540" s="9"/>
      <c r="AV540" s="9"/>
    </row>
    <row r="541" spans="1:48" ht="14" customHeight="1" thickBot="1">
      <c r="A541" s="31"/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  <c r="AF541" s="9"/>
      <c r="AG541" s="9"/>
      <c r="AH541" s="9"/>
      <c r="AI541" s="9"/>
      <c r="AJ541" s="9"/>
      <c r="AK541" s="9"/>
      <c r="AL541" s="9"/>
      <c r="AM541" s="9"/>
      <c r="AN541" s="9"/>
      <c r="AO541" s="9"/>
      <c r="AP541" s="9"/>
      <c r="AQ541" s="9"/>
      <c r="AR541" s="9"/>
      <c r="AS541" s="9"/>
      <c r="AT541" s="9"/>
      <c r="AU541" s="9"/>
      <c r="AV541" s="9"/>
    </row>
    <row r="542" spans="1:48" ht="14" customHeight="1" thickBot="1">
      <c r="A542" s="31"/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  <c r="AF542" s="9"/>
      <c r="AG542" s="9"/>
      <c r="AH542" s="9"/>
      <c r="AI542" s="9"/>
      <c r="AJ542" s="9"/>
      <c r="AK542" s="9"/>
      <c r="AL542" s="9"/>
      <c r="AM542" s="9"/>
      <c r="AN542" s="9"/>
      <c r="AO542" s="9"/>
      <c r="AP542" s="9"/>
      <c r="AQ542" s="9"/>
      <c r="AR542" s="9"/>
      <c r="AS542" s="9"/>
      <c r="AT542" s="9"/>
      <c r="AU542" s="9"/>
      <c r="AV542" s="9"/>
    </row>
    <row r="543" spans="1:48" ht="14" customHeight="1" thickBot="1">
      <c r="A543" s="31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  <c r="AF543" s="9"/>
      <c r="AG543" s="9"/>
      <c r="AH543" s="9"/>
      <c r="AI543" s="9"/>
      <c r="AJ543" s="9"/>
      <c r="AK543" s="9"/>
      <c r="AL543" s="9"/>
      <c r="AM543" s="9"/>
      <c r="AN543" s="9"/>
      <c r="AO543" s="9"/>
      <c r="AP543" s="9"/>
      <c r="AQ543" s="9"/>
      <c r="AR543" s="9"/>
      <c r="AS543" s="9"/>
      <c r="AT543" s="9"/>
      <c r="AU543" s="9"/>
      <c r="AV543" s="9"/>
    </row>
    <row r="544" spans="1:48" ht="14" customHeight="1" thickBot="1">
      <c r="A544" s="31"/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  <c r="AF544" s="9"/>
      <c r="AG544" s="9"/>
      <c r="AH544" s="9"/>
      <c r="AI544" s="9"/>
      <c r="AJ544" s="9"/>
      <c r="AK544" s="9"/>
      <c r="AL544" s="9"/>
      <c r="AM544" s="9"/>
      <c r="AN544" s="9"/>
      <c r="AO544" s="9"/>
      <c r="AP544" s="9"/>
      <c r="AQ544" s="9"/>
      <c r="AR544" s="9"/>
      <c r="AS544" s="9"/>
      <c r="AT544" s="9"/>
      <c r="AU544" s="9"/>
      <c r="AV544" s="9"/>
    </row>
    <row r="545" spans="1:48" ht="14" customHeight="1" thickBot="1">
      <c r="A545" s="31"/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  <c r="AF545" s="9"/>
      <c r="AG545" s="9"/>
      <c r="AH545" s="9"/>
      <c r="AI545" s="9"/>
      <c r="AJ545" s="9"/>
      <c r="AK545" s="9"/>
      <c r="AL545" s="9"/>
      <c r="AM545" s="9"/>
      <c r="AN545" s="9"/>
      <c r="AO545" s="9"/>
      <c r="AP545" s="9"/>
      <c r="AQ545" s="9"/>
      <c r="AR545" s="9"/>
      <c r="AS545" s="9"/>
      <c r="AT545" s="9"/>
      <c r="AU545" s="9"/>
      <c r="AV545" s="9"/>
    </row>
    <row r="546" spans="1:48" ht="14" customHeight="1" thickBot="1">
      <c r="A546" s="31"/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  <c r="AF546" s="9"/>
      <c r="AG546" s="9"/>
      <c r="AH546" s="9"/>
      <c r="AI546" s="9"/>
      <c r="AJ546" s="9"/>
      <c r="AK546" s="9"/>
      <c r="AL546" s="9"/>
      <c r="AM546" s="9"/>
      <c r="AN546" s="9"/>
      <c r="AO546" s="9"/>
      <c r="AP546" s="9"/>
      <c r="AQ546" s="9"/>
      <c r="AR546" s="9"/>
      <c r="AS546" s="9"/>
      <c r="AT546" s="9"/>
      <c r="AU546" s="9"/>
      <c r="AV546" s="9"/>
    </row>
    <row r="547" spans="1:48" ht="14" customHeight="1" thickBot="1">
      <c r="A547" s="31"/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  <c r="AF547" s="9"/>
      <c r="AG547" s="9"/>
      <c r="AH547" s="9"/>
      <c r="AI547" s="9"/>
      <c r="AJ547" s="9"/>
      <c r="AK547" s="9"/>
      <c r="AL547" s="9"/>
      <c r="AM547" s="9"/>
      <c r="AN547" s="9"/>
      <c r="AO547" s="9"/>
      <c r="AP547" s="9"/>
      <c r="AQ547" s="9"/>
      <c r="AR547" s="9"/>
      <c r="AS547" s="9"/>
      <c r="AT547" s="9"/>
      <c r="AU547" s="9"/>
      <c r="AV547" s="9"/>
    </row>
    <row r="548" spans="1:48" ht="14" customHeight="1" thickBot="1">
      <c r="A548" s="31"/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  <c r="AF548" s="9"/>
      <c r="AG548" s="9"/>
      <c r="AH548" s="9"/>
      <c r="AI548" s="9"/>
      <c r="AJ548" s="9"/>
      <c r="AK548" s="9"/>
      <c r="AL548" s="9"/>
      <c r="AM548" s="9"/>
      <c r="AN548" s="9"/>
      <c r="AO548" s="9"/>
      <c r="AP548" s="9"/>
      <c r="AQ548" s="9"/>
      <c r="AR548" s="9"/>
      <c r="AS548" s="9"/>
      <c r="AT548" s="9"/>
      <c r="AU548" s="9"/>
      <c r="AV548" s="9"/>
    </row>
    <row r="549" spans="1:48" ht="14" customHeight="1" thickBot="1">
      <c r="A549" s="31"/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  <c r="AF549" s="9"/>
      <c r="AG549" s="9"/>
      <c r="AH549" s="9"/>
      <c r="AI549" s="9"/>
      <c r="AJ549" s="9"/>
      <c r="AK549" s="9"/>
      <c r="AL549" s="9"/>
      <c r="AM549" s="9"/>
      <c r="AN549" s="9"/>
      <c r="AO549" s="9"/>
      <c r="AP549" s="9"/>
      <c r="AQ549" s="9"/>
      <c r="AR549" s="9"/>
      <c r="AS549" s="9"/>
      <c r="AT549" s="9"/>
      <c r="AU549" s="9"/>
      <c r="AV549" s="9"/>
    </row>
    <row r="550" spans="1:48" ht="14" customHeight="1" thickBot="1">
      <c r="A550" s="31"/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  <c r="AF550" s="9"/>
      <c r="AG550" s="9"/>
      <c r="AH550" s="9"/>
      <c r="AI550" s="9"/>
      <c r="AJ550" s="9"/>
      <c r="AK550" s="9"/>
      <c r="AL550" s="9"/>
      <c r="AM550" s="9"/>
      <c r="AN550" s="9"/>
      <c r="AO550" s="9"/>
      <c r="AP550" s="9"/>
      <c r="AQ550" s="9"/>
      <c r="AR550" s="9"/>
      <c r="AS550" s="9"/>
      <c r="AT550" s="9"/>
      <c r="AU550" s="9"/>
      <c r="AV550" s="9"/>
    </row>
    <row r="551" spans="1:48" ht="14" customHeight="1" thickBot="1">
      <c r="A551" s="31"/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  <c r="AF551" s="9"/>
      <c r="AG551" s="9"/>
      <c r="AH551" s="9"/>
      <c r="AI551" s="9"/>
      <c r="AJ551" s="9"/>
      <c r="AK551" s="9"/>
      <c r="AL551" s="9"/>
      <c r="AM551" s="9"/>
      <c r="AN551" s="9"/>
      <c r="AO551" s="9"/>
      <c r="AP551" s="9"/>
      <c r="AQ551" s="9"/>
      <c r="AR551" s="9"/>
      <c r="AS551" s="9"/>
      <c r="AT551" s="9"/>
      <c r="AU551" s="9"/>
      <c r="AV551" s="9"/>
    </row>
    <row r="552" spans="1:48" ht="14" customHeight="1" thickBot="1">
      <c r="A552" s="31"/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  <c r="AF552" s="9"/>
      <c r="AG552" s="9"/>
      <c r="AH552" s="9"/>
      <c r="AI552" s="9"/>
      <c r="AJ552" s="9"/>
      <c r="AK552" s="9"/>
      <c r="AL552" s="9"/>
      <c r="AM552" s="9"/>
      <c r="AN552" s="9"/>
      <c r="AO552" s="9"/>
      <c r="AP552" s="9"/>
      <c r="AQ552" s="9"/>
      <c r="AR552" s="9"/>
      <c r="AS552" s="9"/>
      <c r="AT552" s="9"/>
      <c r="AU552" s="9"/>
      <c r="AV552" s="9"/>
    </row>
    <row r="553" spans="1:48" ht="14" customHeight="1" thickBot="1">
      <c r="A553" s="31"/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  <c r="AF553" s="9"/>
      <c r="AG553" s="9"/>
      <c r="AH553" s="9"/>
      <c r="AI553" s="9"/>
      <c r="AJ553" s="9"/>
      <c r="AK553" s="9"/>
      <c r="AL553" s="9"/>
      <c r="AM553" s="9"/>
      <c r="AN553" s="9"/>
      <c r="AO553" s="9"/>
      <c r="AP553" s="9"/>
      <c r="AQ553" s="9"/>
      <c r="AR553" s="9"/>
      <c r="AS553" s="9"/>
      <c r="AT553" s="9"/>
      <c r="AU553" s="9"/>
      <c r="AV553" s="9"/>
    </row>
    <row r="554" spans="1:48" ht="14" customHeight="1" thickBot="1">
      <c r="A554" s="31"/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  <c r="AF554" s="9"/>
      <c r="AG554" s="9"/>
      <c r="AH554" s="9"/>
      <c r="AI554" s="9"/>
      <c r="AJ554" s="9"/>
      <c r="AK554" s="9"/>
      <c r="AL554" s="9"/>
      <c r="AM554" s="9"/>
      <c r="AN554" s="9"/>
      <c r="AO554" s="9"/>
      <c r="AP554" s="9"/>
      <c r="AQ554" s="9"/>
      <c r="AR554" s="9"/>
      <c r="AS554" s="9"/>
      <c r="AT554" s="9"/>
      <c r="AU554" s="9"/>
      <c r="AV554" s="9"/>
    </row>
    <row r="555" spans="1:48" ht="14" customHeight="1" thickBot="1">
      <c r="A555" s="31"/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  <c r="AF555" s="9"/>
      <c r="AG555" s="9"/>
      <c r="AH555" s="9"/>
      <c r="AI555" s="9"/>
      <c r="AJ555" s="9"/>
      <c r="AK555" s="9"/>
      <c r="AL555" s="9"/>
      <c r="AM555" s="9"/>
      <c r="AN555" s="9"/>
      <c r="AO555" s="9"/>
      <c r="AP555" s="9"/>
      <c r="AQ555" s="9"/>
      <c r="AR555" s="9"/>
      <c r="AS555" s="9"/>
      <c r="AT555" s="9"/>
      <c r="AU555" s="9"/>
      <c r="AV555" s="9"/>
    </row>
    <row r="556" spans="1:48" ht="14" customHeight="1" thickBot="1">
      <c r="A556" s="31"/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  <c r="AF556" s="9"/>
      <c r="AG556" s="9"/>
      <c r="AH556" s="9"/>
      <c r="AI556" s="9"/>
      <c r="AJ556" s="9"/>
      <c r="AK556" s="9"/>
      <c r="AL556" s="9"/>
      <c r="AM556" s="9"/>
      <c r="AN556" s="9"/>
      <c r="AO556" s="9"/>
      <c r="AP556" s="9"/>
      <c r="AQ556" s="9"/>
      <c r="AR556" s="9"/>
      <c r="AS556" s="9"/>
      <c r="AT556" s="9"/>
      <c r="AU556" s="9"/>
      <c r="AV556" s="9"/>
    </row>
    <row r="557" spans="1:48" ht="14" customHeight="1" thickBot="1">
      <c r="A557" s="31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  <c r="AF557" s="9"/>
      <c r="AG557" s="9"/>
      <c r="AH557" s="9"/>
      <c r="AI557" s="9"/>
      <c r="AJ557" s="9"/>
      <c r="AK557" s="9"/>
      <c r="AL557" s="9"/>
      <c r="AM557" s="9"/>
      <c r="AN557" s="9"/>
      <c r="AO557" s="9"/>
      <c r="AP557" s="9"/>
      <c r="AQ557" s="9"/>
      <c r="AR557" s="9"/>
      <c r="AS557" s="9"/>
      <c r="AT557" s="9"/>
      <c r="AU557" s="9"/>
      <c r="AV557" s="9"/>
    </row>
    <row r="558" spans="1:48" ht="14" customHeight="1" thickBot="1">
      <c r="A558" s="31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  <c r="AF558" s="9"/>
      <c r="AG558" s="9"/>
      <c r="AH558" s="9"/>
      <c r="AI558" s="9"/>
      <c r="AJ558" s="9"/>
      <c r="AK558" s="9"/>
      <c r="AL558" s="9"/>
      <c r="AM558" s="9"/>
      <c r="AN558" s="9"/>
      <c r="AO558" s="9"/>
      <c r="AP558" s="9"/>
      <c r="AQ558" s="9"/>
      <c r="AR558" s="9"/>
      <c r="AS558" s="9"/>
      <c r="AT558" s="9"/>
      <c r="AU558" s="9"/>
      <c r="AV558" s="9"/>
    </row>
    <row r="559" spans="1:48" ht="14" customHeight="1" thickBot="1">
      <c r="A559" s="31"/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  <c r="AF559" s="9"/>
      <c r="AG559" s="9"/>
      <c r="AH559" s="9"/>
      <c r="AI559" s="9"/>
      <c r="AJ559" s="9"/>
      <c r="AK559" s="9"/>
      <c r="AL559" s="9"/>
      <c r="AM559" s="9"/>
      <c r="AN559" s="9"/>
      <c r="AO559" s="9"/>
      <c r="AP559" s="9"/>
      <c r="AQ559" s="9"/>
      <c r="AR559" s="9"/>
      <c r="AS559" s="9"/>
      <c r="AT559" s="9"/>
      <c r="AU559" s="9"/>
      <c r="AV559" s="9"/>
    </row>
    <row r="560" spans="1:48" ht="14" customHeight="1" thickBot="1">
      <c r="A560" s="31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  <c r="AF560" s="9"/>
      <c r="AG560" s="9"/>
      <c r="AH560" s="9"/>
      <c r="AI560" s="9"/>
      <c r="AJ560" s="9"/>
      <c r="AK560" s="9"/>
      <c r="AL560" s="9"/>
      <c r="AM560" s="9"/>
      <c r="AN560" s="9"/>
      <c r="AO560" s="9"/>
      <c r="AP560" s="9"/>
      <c r="AQ560" s="9"/>
      <c r="AR560" s="9"/>
      <c r="AS560" s="9"/>
      <c r="AT560" s="9"/>
      <c r="AU560" s="9"/>
      <c r="AV560" s="9"/>
    </row>
    <row r="561" spans="1:48" ht="14" customHeight="1" thickBot="1">
      <c r="A561" s="31"/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  <c r="AF561" s="9"/>
      <c r="AG561" s="9"/>
      <c r="AH561" s="9"/>
      <c r="AI561" s="9"/>
      <c r="AJ561" s="9"/>
      <c r="AK561" s="9"/>
      <c r="AL561" s="9"/>
      <c r="AM561" s="9"/>
      <c r="AN561" s="9"/>
      <c r="AO561" s="9"/>
      <c r="AP561" s="9"/>
      <c r="AQ561" s="9"/>
      <c r="AR561" s="9"/>
      <c r="AS561" s="9"/>
      <c r="AT561" s="9"/>
      <c r="AU561" s="9"/>
      <c r="AV561" s="9"/>
    </row>
    <row r="562" spans="1:48" ht="14" customHeight="1" thickBot="1">
      <c r="A562" s="31"/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  <c r="AF562" s="9"/>
      <c r="AG562" s="9"/>
      <c r="AH562" s="9"/>
      <c r="AI562" s="9"/>
      <c r="AJ562" s="9"/>
      <c r="AK562" s="9"/>
      <c r="AL562" s="9"/>
      <c r="AM562" s="9"/>
      <c r="AN562" s="9"/>
      <c r="AO562" s="9"/>
      <c r="AP562" s="9"/>
      <c r="AQ562" s="9"/>
      <c r="AR562" s="9"/>
      <c r="AS562" s="9"/>
      <c r="AT562" s="9"/>
      <c r="AU562" s="9"/>
      <c r="AV562" s="9"/>
    </row>
    <row r="563" spans="1:48" ht="14" customHeight="1" thickBot="1">
      <c r="A563" s="31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  <c r="AF563" s="9"/>
      <c r="AG563" s="9"/>
      <c r="AH563" s="9"/>
      <c r="AI563" s="9"/>
      <c r="AJ563" s="9"/>
      <c r="AK563" s="9"/>
      <c r="AL563" s="9"/>
      <c r="AM563" s="9"/>
      <c r="AN563" s="9"/>
      <c r="AO563" s="9"/>
      <c r="AP563" s="9"/>
      <c r="AQ563" s="9"/>
      <c r="AR563" s="9"/>
      <c r="AS563" s="9"/>
      <c r="AT563" s="9"/>
      <c r="AU563" s="9"/>
      <c r="AV563" s="9"/>
    </row>
    <row r="564" spans="1:48" ht="14" customHeight="1" thickBot="1">
      <c r="A564" s="31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  <c r="AF564" s="9"/>
      <c r="AG564" s="9"/>
      <c r="AH564" s="9"/>
      <c r="AI564" s="9"/>
      <c r="AJ564" s="9"/>
      <c r="AK564" s="9"/>
      <c r="AL564" s="9"/>
      <c r="AM564" s="9"/>
      <c r="AN564" s="9"/>
      <c r="AO564" s="9"/>
      <c r="AP564" s="9"/>
      <c r="AQ564" s="9"/>
      <c r="AR564" s="9"/>
      <c r="AS564" s="9"/>
      <c r="AT564" s="9"/>
      <c r="AU564" s="9"/>
      <c r="AV564" s="9"/>
    </row>
    <row r="565" spans="1:48" ht="14" customHeight="1" thickBot="1">
      <c r="A565" s="31"/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  <c r="AF565" s="9"/>
      <c r="AG565" s="9"/>
      <c r="AH565" s="9"/>
      <c r="AI565" s="9"/>
      <c r="AJ565" s="9"/>
      <c r="AK565" s="9"/>
      <c r="AL565" s="9"/>
      <c r="AM565" s="9"/>
      <c r="AN565" s="9"/>
      <c r="AO565" s="9"/>
      <c r="AP565" s="9"/>
      <c r="AQ565" s="9"/>
      <c r="AR565" s="9"/>
      <c r="AS565" s="9"/>
      <c r="AT565" s="9"/>
      <c r="AU565" s="9"/>
      <c r="AV565" s="9"/>
    </row>
    <row r="566" spans="1:48" ht="14" customHeight="1" thickBot="1">
      <c r="A566" s="31"/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  <c r="AF566" s="9"/>
      <c r="AG566" s="9"/>
      <c r="AH566" s="9"/>
      <c r="AI566" s="9"/>
      <c r="AJ566" s="9"/>
      <c r="AK566" s="9"/>
      <c r="AL566" s="9"/>
      <c r="AM566" s="9"/>
      <c r="AN566" s="9"/>
      <c r="AO566" s="9"/>
      <c r="AP566" s="9"/>
      <c r="AQ566" s="9"/>
      <c r="AR566" s="9"/>
      <c r="AS566" s="9"/>
      <c r="AT566" s="9"/>
      <c r="AU566" s="9"/>
      <c r="AV566" s="9"/>
    </row>
    <row r="567" spans="1:48" ht="14" customHeight="1" thickBot="1">
      <c r="A567" s="31"/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  <c r="AF567" s="9"/>
      <c r="AG567" s="9"/>
      <c r="AH567" s="9"/>
      <c r="AI567" s="9"/>
      <c r="AJ567" s="9"/>
      <c r="AK567" s="9"/>
      <c r="AL567" s="9"/>
      <c r="AM567" s="9"/>
      <c r="AN567" s="9"/>
      <c r="AO567" s="9"/>
      <c r="AP567" s="9"/>
      <c r="AQ567" s="9"/>
      <c r="AR567" s="9"/>
      <c r="AS567" s="9"/>
      <c r="AT567" s="9"/>
      <c r="AU567" s="9"/>
      <c r="AV567" s="9"/>
    </row>
    <row r="568" spans="1:48" ht="14" customHeight="1" thickBot="1">
      <c r="A568" s="31"/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  <c r="AF568" s="9"/>
      <c r="AG568" s="9"/>
      <c r="AH568" s="9"/>
      <c r="AI568" s="9"/>
      <c r="AJ568" s="9"/>
      <c r="AK568" s="9"/>
      <c r="AL568" s="9"/>
      <c r="AM568" s="9"/>
      <c r="AN568" s="9"/>
      <c r="AO568" s="9"/>
      <c r="AP568" s="9"/>
      <c r="AQ568" s="9"/>
      <c r="AR568" s="9"/>
      <c r="AS568" s="9"/>
      <c r="AT568" s="9"/>
      <c r="AU568" s="9"/>
      <c r="AV568" s="9"/>
    </row>
    <row r="569" spans="1:48" ht="14" customHeight="1" thickBot="1">
      <c r="A569" s="31"/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  <c r="AF569" s="9"/>
      <c r="AG569" s="9"/>
      <c r="AH569" s="9"/>
      <c r="AI569" s="9"/>
      <c r="AJ569" s="9"/>
      <c r="AK569" s="9"/>
      <c r="AL569" s="9"/>
      <c r="AM569" s="9"/>
      <c r="AN569" s="9"/>
      <c r="AO569" s="9"/>
      <c r="AP569" s="9"/>
      <c r="AQ569" s="9"/>
      <c r="AR569" s="9"/>
      <c r="AS569" s="9"/>
      <c r="AT569" s="9"/>
      <c r="AU569" s="9"/>
      <c r="AV569" s="9"/>
    </row>
    <row r="570" spans="1:48" ht="14" customHeight="1" thickBot="1">
      <c r="A570" s="31"/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  <c r="AF570" s="9"/>
      <c r="AG570" s="9"/>
      <c r="AH570" s="9"/>
      <c r="AI570" s="9"/>
      <c r="AJ570" s="9"/>
      <c r="AK570" s="9"/>
      <c r="AL570" s="9"/>
      <c r="AM570" s="9"/>
      <c r="AN570" s="9"/>
      <c r="AO570" s="9"/>
      <c r="AP570" s="9"/>
      <c r="AQ570" s="9"/>
      <c r="AR570" s="9"/>
      <c r="AS570" s="9"/>
      <c r="AT570" s="9"/>
      <c r="AU570" s="9"/>
      <c r="AV570" s="9"/>
    </row>
    <row r="571" spans="1:48" ht="14" customHeight="1" thickBot="1">
      <c r="A571" s="31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  <c r="AF571" s="9"/>
      <c r="AG571" s="9"/>
      <c r="AH571" s="9"/>
      <c r="AI571" s="9"/>
      <c r="AJ571" s="9"/>
      <c r="AK571" s="9"/>
      <c r="AL571" s="9"/>
      <c r="AM571" s="9"/>
      <c r="AN571" s="9"/>
      <c r="AO571" s="9"/>
      <c r="AP571" s="9"/>
      <c r="AQ571" s="9"/>
      <c r="AR571" s="9"/>
      <c r="AS571" s="9"/>
      <c r="AT571" s="9"/>
      <c r="AU571" s="9"/>
      <c r="AV571" s="9"/>
    </row>
    <row r="572" spans="1:48" ht="14" customHeight="1" thickBot="1">
      <c r="A572" s="31"/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  <c r="AF572" s="9"/>
      <c r="AG572" s="9"/>
      <c r="AH572" s="9"/>
      <c r="AI572" s="9"/>
      <c r="AJ572" s="9"/>
      <c r="AK572" s="9"/>
      <c r="AL572" s="9"/>
      <c r="AM572" s="9"/>
      <c r="AN572" s="9"/>
      <c r="AO572" s="9"/>
      <c r="AP572" s="9"/>
      <c r="AQ572" s="9"/>
      <c r="AR572" s="9"/>
      <c r="AS572" s="9"/>
      <c r="AT572" s="9"/>
      <c r="AU572" s="9"/>
      <c r="AV572" s="9"/>
    </row>
    <row r="573" spans="1:48" ht="14" customHeight="1" thickBot="1">
      <c r="A573" s="31"/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  <c r="AF573" s="9"/>
      <c r="AG573" s="9"/>
      <c r="AH573" s="9"/>
      <c r="AI573" s="9"/>
      <c r="AJ573" s="9"/>
      <c r="AK573" s="9"/>
      <c r="AL573" s="9"/>
      <c r="AM573" s="9"/>
      <c r="AN573" s="9"/>
      <c r="AO573" s="9"/>
      <c r="AP573" s="9"/>
      <c r="AQ573" s="9"/>
      <c r="AR573" s="9"/>
      <c r="AS573" s="9"/>
      <c r="AT573" s="9"/>
      <c r="AU573" s="9"/>
      <c r="AV573" s="9"/>
    </row>
    <row r="574" spans="1:48" ht="14" customHeight="1" thickBot="1">
      <c r="A574" s="31"/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  <c r="AF574" s="9"/>
      <c r="AG574" s="9"/>
      <c r="AH574" s="9"/>
      <c r="AI574" s="9"/>
      <c r="AJ574" s="9"/>
      <c r="AK574" s="9"/>
      <c r="AL574" s="9"/>
      <c r="AM574" s="9"/>
      <c r="AN574" s="9"/>
      <c r="AO574" s="9"/>
      <c r="AP574" s="9"/>
      <c r="AQ574" s="9"/>
      <c r="AR574" s="9"/>
      <c r="AS574" s="9"/>
      <c r="AT574" s="9"/>
      <c r="AU574" s="9"/>
      <c r="AV574" s="9"/>
    </row>
    <row r="575" spans="1:48" ht="14" customHeight="1" thickBot="1">
      <c r="A575" s="31"/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  <c r="AF575" s="9"/>
      <c r="AG575" s="9"/>
      <c r="AH575" s="9"/>
      <c r="AI575" s="9"/>
      <c r="AJ575" s="9"/>
      <c r="AK575" s="9"/>
      <c r="AL575" s="9"/>
      <c r="AM575" s="9"/>
      <c r="AN575" s="9"/>
      <c r="AO575" s="9"/>
      <c r="AP575" s="9"/>
      <c r="AQ575" s="9"/>
      <c r="AR575" s="9"/>
      <c r="AS575" s="9"/>
      <c r="AT575" s="9"/>
      <c r="AU575" s="9"/>
      <c r="AV575" s="9"/>
    </row>
    <row r="576" spans="1:48" ht="14" customHeight="1" thickBot="1">
      <c r="A576" s="31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  <c r="AF576" s="9"/>
      <c r="AG576" s="9"/>
      <c r="AH576" s="9"/>
      <c r="AI576" s="9"/>
      <c r="AJ576" s="9"/>
      <c r="AK576" s="9"/>
      <c r="AL576" s="9"/>
      <c r="AM576" s="9"/>
      <c r="AN576" s="9"/>
      <c r="AO576" s="9"/>
      <c r="AP576" s="9"/>
      <c r="AQ576" s="9"/>
      <c r="AR576" s="9"/>
      <c r="AS576" s="9"/>
      <c r="AT576" s="9"/>
      <c r="AU576" s="9"/>
      <c r="AV576" s="9"/>
    </row>
    <row r="577" spans="1:48" ht="14" customHeight="1" thickBot="1">
      <c r="A577" s="31"/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  <c r="AF577" s="9"/>
      <c r="AG577" s="9"/>
      <c r="AH577" s="9"/>
      <c r="AI577" s="9"/>
      <c r="AJ577" s="9"/>
      <c r="AK577" s="9"/>
      <c r="AL577" s="9"/>
      <c r="AM577" s="9"/>
      <c r="AN577" s="9"/>
      <c r="AO577" s="9"/>
      <c r="AP577" s="9"/>
      <c r="AQ577" s="9"/>
      <c r="AR577" s="9"/>
      <c r="AS577" s="9"/>
      <c r="AT577" s="9"/>
      <c r="AU577" s="9"/>
      <c r="AV577" s="9"/>
    </row>
    <row r="578" spans="1:48" ht="14" customHeight="1" thickBot="1">
      <c r="A578" s="31"/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  <c r="AF578" s="9"/>
      <c r="AG578" s="9"/>
      <c r="AH578" s="9"/>
      <c r="AI578" s="9"/>
      <c r="AJ578" s="9"/>
      <c r="AK578" s="9"/>
      <c r="AL578" s="9"/>
      <c r="AM578" s="9"/>
      <c r="AN578" s="9"/>
      <c r="AO578" s="9"/>
      <c r="AP578" s="9"/>
      <c r="AQ578" s="9"/>
      <c r="AR578" s="9"/>
      <c r="AS578" s="9"/>
      <c r="AT578" s="9"/>
      <c r="AU578" s="9"/>
      <c r="AV578" s="9"/>
    </row>
    <row r="579" spans="1:48" ht="14" customHeight="1" thickBot="1">
      <c r="A579" s="31"/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  <c r="AF579" s="9"/>
      <c r="AG579" s="9"/>
      <c r="AH579" s="9"/>
      <c r="AI579" s="9"/>
      <c r="AJ579" s="9"/>
      <c r="AK579" s="9"/>
      <c r="AL579" s="9"/>
      <c r="AM579" s="9"/>
      <c r="AN579" s="9"/>
      <c r="AO579" s="9"/>
      <c r="AP579" s="9"/>
      <c r="AQ579" s="9"/>
      <c r="AR579" s="9"/>
      <c r="AS579" s="9"/>
      <c r="AT579" s="9"/>
      <c r="AU579" s="9"/>
      <c r="AV579" s="9"/>
    </row>
    <row r="580" spans="1:48" ht="14" customHeight="1" thickBot="1">
      <c r="A580" s="31"/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  <c r="AF580" s="9"/>
      <c r="AG580" s="9"/>
      <c r="AH580" s="9"/>
      <c r="AI580" s="9"/>
      <c r="AJ580" s="9"/>
      <c r="AK580" s="9"/>
      <c r="AL580" s="9"/>
      <c r="AM580" s="9"/>
      <c r="AN580" s="9"/>
      <c r="AO580" s="9"/>
      <c r="AP580" s="9"/>
      <c r="AQ580" s="9"/>
      <c r="AR580" s="9"/>
      <c r="AS580" s="9"/>
      <c r="AT580" s="9"/>
      <c r="AU580" s="9"/>
      <c r="AV580" s="9"/>
    </row>
    <row r="581" spans="1:48" ht="14" customHeight="1" thickBot="1">
      <c r="A581" s="31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  <c r="AF581" s="9"/>
      <c r="AG581" s="9"/>
      <c r="AH581" s="9"/>
      <c r="AI581" s="9"/>
      <c r="AJ581" s="9"/>
      <c r="AK581" s="9"/>
      <c r="AL581" s="9"/>
      <c r="AM581" s="9"/>
      <c r="AN581" s="9"/>
      <c r="AO581" s="9"/>
      <c r="AP581" s="9"/>
      <c r="AQ581" s="9"/>
      <c r="AR581" s="9"/>
      <c r="AS581" s="9"/>
      <c r="AT581" s="9"/>
      <c r="AU581" s="9"/>
      <c r="AV581" s="9"/>
    </row>
    <row r="582" spans="1:48" ht="14" customHeight="1" thickBot="1">
      <c r="A582" s="31"/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  <c r="AF582" s="9"/>
      <c r="AG582" s="9"/>
      <c r="AH582" s="9"/>
      <c r="AI582" s="9"/>
      <c r="AJ582" s="9"/>
      <c r="AK582" s="9"/>
      <c r="AL582" s="9"/>
      <c r="AM582" s="9"/>
      <c r="AN582" s="9"/>
      <c r="AO582" s="9"/>
      <c r="AP582" s="9"/>
      <c r="AQ582" s="9"/>
      <c r="AR582" s="9"/>
      <c r="AS582" s="9"/>
      <c r="AT582" s="9"/>
      <c r="AU582" s="9"/>
      <c r="AV582" s="9"/>
    </row>
    <row r="583" spans="1:48" ht="14" customHeight="1" thickBot="1">
      <c r="A583" s="31"/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  <c r="AF583" s="9"/>
      <c r="AG583" s="9"/>
      <c r="AH583" s="9"/>
      <c r="AI583" s="9"/>
      <c r="AJ583" s="9"/>
      <c r="AK583" s="9"/>
      <c r="AL583" s="9"/>
      <c r="AM583" s="9"/>
      <c r="AN583" s="9"/>
      <c r="AO583" s="9"/>
      <c r="AP583" s="9"/>
      <c r="AQ583" s="9"/>
      <c r="AR583" s="9"/>
      <c r="AS583" s="9"/>
      <c r="AT583" s="9"/>
      <c r="AU583" s="9"/>
      <c r="AV583" s="9"/>
    </row>
    <row r="584" spans="1:48" ht="14" customHeight="1" thickBot="1">
      <c r="A584" s="31"/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  <c r="AF584" s="9"/>
      <c r="AG584" s="9"/>
      <c r="AH584" s="9"/>
      <c r="AI584" s="9"/>
      <c r="AJ584" s="9"/>
      <c r="AK584" s="9"/>
      <c r="AL584" s="9"/>
      <c r="AM584" s="9"/>
      <c r="AN584" s="9"/>
      <c r="AO584" s="9"/>
      <c r="AP584" s="9"/>
      <c r="AQ584" s="9"/>
      <c r="AR584" s="9"/>
      <c r="AS584" s="9"/>
      <c r="AT584" s="9"/>
      <c r="AU584" s="9"/>
      <c r="AV584" s="9"/>
    </row>
    <row r="585" spans="1:48" ht="14" customHeight="1" thickBot="1">
      <c r="A585" s="31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  <c r="AF585" s="9"/>
      <c r="AG585" s="9"/>
      <c r="AH585" s="9"/>
      <c r="AI585" s="9"/>
      <c r="AJ585" s="9"/>
      <c r="AK585" s="9"/>
      <c r="AL585" s="9"/>
      <c r="AM585" s="9"/>
      <c r="AN585" s="9"/>
      <c r="AO585" s="9"/>
      <c r="AP585" s="9"/>
      <c r="AQ585" s="9"/>
      <c r="AR585" s="9"/>
      <c r="AS585" s="9"/>
      <c r="AT585" s="9"/>
      <c r="AU585" s="9"/>
      <c r="AV585" s="9"/>
    </row>
    <row r="586" spans="1:48" ht="14" customHeight="1" thickBot="1">
      <c r="A586" s="31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  <c r="AF586" s="9"/>
      <c r="AG586" s="9"/>
      <c r="AH586" s="9"/>
      <c r="AI586" s="9"/>
      <c r="AJ586" s="9"/>
      <c r="AK586" s="9"/>
      <c r="AL586" s="9"/>
      <c r="AM586" s="9"/>
      <c r="AN586" s="9"/>
      <c r="AO586" s="9"/>
      <c r="AP586" s="9"/>
      <c r="AQ586" s="9"/>
      <c r="AR586" s="9"/>
      <c r="AS586" s="9"/>
      <c r="AT586" s="9"/>
      <c r="AU586" s="9"/>
      <c r="AV586" s="9"/>
    </row>
    <row r="587" spans="1:48" ht="14" customHeight="1" thickBot="1">
      <c r="A587" s="31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  <c r="AF587" s="9"/>
      <c r="AG587" s="9"/>
      <c r="AH587" s="9"/>
      <c r="AI587" s="9"/>
      <c r="AJ587" s="9"/>
      <c r="AK587" s="9"/>
      <c r="AL587" s="9"/>
      <c r="AM587" s="9"/>
      <c r="AN587" s="9"/>
      <c r="AO587" s="9"/>
      <c r="AP587" s="9"/>
      <c r="AQ587" s="9"/>
      <c r="AR587" s="9"/>
      <c r="AS587" s="9"/>
      <c r="AT587" s="9"/>
      <c r="AU587" s="9"/>
      <c r="AV587" s="9"/>
    </row>
    <row r="588" spans="1:48" ht="14" customHeight="1" thickBot="1">
      <c r="A588" s="31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9"/>
      <c r="AF588" s="9"/>
      <c r="AG588" s="9"/>
      <c r="AH588" s="9"/>
      <c r="AI588" s="9"/>
      <c r="AJ588" s="9"/>
      <c r="AK588" s="9"/>
      <c r="AL588" s="9"/>
      <c r="AM588" s="9"/>
      <c r="AN588" s="9"/>
      <c r="AO588" s="9"/>
      <c r="AP588" s="9"/>
      <c r="AQ588" s="9"/>
      <c r="AR588" s="9"/>
      <c r="AS588" s="9"/>
      <c r="AT588" s="9"/>
      <c r="AU588" s="9"/>
      <c r="AV588" s="9"/>
    </row>
    <row r="589" spans="1:48" ht="14" customHeight="1" thickBot="1">
      <c r="A589" s="31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  <c r="AF589" s="9"/>
      <c r="AG589" s="9"/>
      <c r="AH589" s="9"/>
      <c r="AI589" s="9"/>
      <c r="AJ589" s="9"/>
      <c r="AK589" s="9"/>
      <c r="AL589" s="9"/>
      <c r="AM589" s="9"/>
      <c r="AN589" s="9"/>
      <c r="AO589" s="9"/>
      <c r="AP589" s="9"/>
      <c r="AQ589" s="9"/>
      <c r="AR589" s="9"/>
      <c r="AS589" s="9"/>
      <c r="AT589" s="9"/>
      <c r="AU589" s="9"/>
      <c r="AV589" s="9"/>
    </row>
    <row r="590" spans="1:48" ht="14" customHeight="1" thickBot="1">
      <c r="A590" s="31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  <c r="AF590" s="9"/>
      <c r="AG590" s="9"/>
      <c r="AH590" s="9"/>
      <c r="AI590" s="9"/>
      <c r="AJ590" s="9"/>
      <c r="AK590" s="9"/>
      <c r="AL590" s="9"/>
      <c r="AM590" s="9"/>
      <c r="AN590" s="9"/>
      <c r="AO590" s="9"/>
      <c r="AP590" s="9"/>
      <c r="AQ590" s="9"/>
      <c r="AR590" s="9"/>
      <c r="AS590" s="9"/>
      <c r="AT590" s="9"/>
      <c r="AU590" s="9"/>
      <c r="AV590" s="9"/>
    </row>
    <row r="591" spans="1:48" ht="14" customHeight="1" thickBot="1">
      <c r="A591" s="31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  <c r="AF591" s="9"/>
      <c r="AG591" s="9"/>
      <c r="AH591" s="9"/>
      <c r="AI591" s="9"/>
      <c r="AJ591" s="9"/>
      <c r="AK591" s="9"/>
      <c r="AL591" s="9"/>
      <c r="AM591" s="9"/>
      <c r="AN591" s="9"/>
      <c r="AO591" s="9"/>
      <c r="AP591" s="9"/>
      <c r="AQ591" s="9"/>
      <c r="AR591" s="9"/>
      <c r="AS591" s="9"/>
      <c r="AT591" s="9"/>
      <c r="AU591" s="9"/>
      <c r="AV591" s="9"/>
    </row>
    <row r="592" spans="1:48" ht="14" customHeight="1" thickBot="1">
      <c r="A592" s="31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9"/>
      <c r="AF592" s="9"/>
      <c r="AG592" s="9"/>
      <c r="AH592" s="9"/>
      <c r="AI592" s="9"/>
      <c r="AJ592" s="9"/>
      <c r="AK592" s="9"/>
      <c r="AL592" s="9"/>
      <c r="AM592" s="9"/>
      <c r="AN592" s="9"/>
      <c r="AO592" s="9"/>
      <c r="AP592" s="9"/>
      <c r="AQ592" s="9"/>
      <c r="AR592" s="9"/>
      <c r="AS592" s="9"/>
      <c r="AT592" s="9"/>
      <c r="AU592" s="9"/>
      <c r="AV592" s="9"/>
    </row>
    <row r="593" spans="1:48" ht="14" customHeight="1" thickBot="1">
      <c r="A593" s="31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9"/>
      <c r="AF593" s="9"/>
      <c r="AG593" s="9"/>
      <c r="AH593" s="9"/>
      <c r="AI593" s="9"/>
      <c r="AJ593" s="9"/>
      <c r="AK593" s="9"/>
      <c r="AL593" s="9"/>
      <c r="AM593" s="9"/>
      <c r="AN593" s="9"/>
      <c r="AO593" s="9"/>
      <c r="AP593" s="9"/>
      <c r="AQ593" s="9"/>
      <c r="AR593" s="9"/>
      <c r="AS593" s="9"/>
      <c r="AT593" s="9"/>
      <c r="AU593" s="9"/>
      <c r="AV593" s="9"/>
    </row>
    <row r="594" spans="1:48" ht="14" customHeight="1" thickBot="1">
      <c r="A594" s="31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9"/>
      <c r="AF594" s="9"/>
      <c r="AG594" s="9"/>
      <c r="AH594" s="9"/>
      <c r="AI594" s="9"/>
      <c r="AJ594" s="9"/>
      <c r="AK594" s="9"/>
      <c r="AL594" s="9"/>
      <c r="AM594" s="9"/>
      <c r="AN594" s="9"/>
      <c r="AO594" s="9"/>
      <c r="AP594" s="9"/>
      <c r="AQ594" s="9"/>
      <c r="AR594" s="9"/>
      <c r="AS594" s="9"/>
      <c r="AT594" s="9"/>
      <c r="AU594" s="9"/>
      <c r="AV594" s="9"/>
    </row>
    <row r="595" spans="1:48" ht="14" customHeight="1" thickBot="1">
      <c r="A595" s="31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9"/>
      <c r="AF595" s="9"/>
      <c r="AG595" s="9"/>
      <c r="AH595" s="9"/>
      <c r="AI595" s="9"/>
      <c r="AJ595" s="9"/>
      <c r="AK595" s="9"/>
      <c r="AL595" s="9"/>
      <c r="AM595" s="9"/>
      <c r="AN595" s="9"/>
      <c r="AO595" s="9"/>
      <c r="AP595" s="9"/>
      <c r="AQ595" s="9"/>
      <c r="AR595" s="9"/>
      <c r="AS595" s="9"/>
      <c r="AT595" s="9"/>
      <c r="AU595" s="9"/>
      <c r="AV595" s="9"/>
    </row>
    <row r="596" spans="1:48" ht="14" customHeight="1" thickBot="1">
      <c r="A596" s="31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  <c r="AF596" s="9"/>
      <c r="AG596" s="9"/>
      <c r="AH596" s="9"/>
      <c r="AI596" s="9"/>
      <c r="AJ596" s="9"/>
      <c r="AK596" s="9"/>
      <c r="AL596" s="9"/>
      <c r="AM596" s="9"/>
      <c r="AN596" s="9"/>
      <c r="AO596" s="9"/>
      <c r="AP596" s="9"/>
      <c r="AQ596" s="9"/>
      <c r="AR596" s="9"/>
      <c r="AS596" s="9"/>
      <c r="AT596" s="9"/>
      <c r="AU596" s="9"/>
      <c r="AV596" s="9"/>
    </row>
    <row r="597" spans="1:48" ht="14" customHeight="1" thickBot="1">
      <c r="A597" s="31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9"/>
      <c r="AF597" s="9"/>
      <c r="AG597" s="9"/>
      <c r="AH597" s="9"/>
      <c r="AI597" s="9"/>
      <c r="AJ597" s="9"/>
      <c r="AK597" s="9"/>
      <c r="AL597" s="9"/>
      <c r="AM597" s="9"/>
      <c r="AN597" s="9"/>
      <c r="AO597" s="9"/>
      <c r="AP597" s="9"/>
      <c r="AQ597" s="9"/>
      <c r="AR597" s="9"/>
      <c r="AS597" s="9"/>
      <c r="AT597" s="9"/>
      <c r="AU597" s="9"/>
      <c r="AV597" s="9"/>
    </row>
    <row r="598" spans="1:48" ht="14" customHeight="1" thickBot="1">
      <c r="A598" s="31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9"/>
      <c r="AF598" s="9"/>
      <c r="AG598" s="9"/>
      <c r="AH598" s="9"/>
      <c r="AI598" s="9"/>
      <c r="AJ598" s="9"/>
      <c r="AK598" s="9"/>
      <c r="AL598" s="9"/>
      <c r="AM598" s="9"/>
      <c r="AN598" s="9"/>
      <c r="AO598" s="9"/>
      <c r="AP598" s="9"/>
      <c r="AQ598" s="9"/>
      <c r="AR598" s="9"/>
      <c r="AS598" s="9"/>
      <c r="AT598" s="9"/>
      <c r="AU598" s="9"/>
      <c r="AV598" s="9"/>
    </row>
    <row r="599" spans="1:48" ht="14" customHeight="1" thickBot="1">
      <c r="A599" s="31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9"/>
      <c r="AF599" s="9"/>
      <c r="AG599" s="9"/>
      <c r="AH599" s="9"/>
      <c r="AI599" s="9"/>
      <c r="AJ599" s="9"/>
      <c r="AK599" s="9"/>
      <c r="AL599" s="9"/>
      <c r="AM599" s="9"/>
      <c r="AN599" s="9"/>
      <c r="AO599" s="9"/>
      <c r="AP599" s="9"/>
      <c r="AQ599" s="9"/>
      <c r="AR599" s="9"/>
      <c r="AS599" s="9"/>
      <c r="AT599" s="9"/>
      <c r="AU599" s="9"/>
      <c r="AV599" s="9"/>
    </row>
    <row r="600" spans="1:48" ht="14" customHeight="1" thickBot="1">
      <c r="A600" s="31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  <c r="AF600" s="9"/>
      <c r="AG600" s="9"/>
      <c r="AH600" s="9"/>
      <c r="AI600" s="9"/>
      <c r="AJ600" s="9"/>
      <c r="AK600" s="9"/>
      <c r="AL600" s="9"/>
      <c r="AM600" s="9"/>
      <c r="AN600" s="9"/>
      <c r="AO600" s="9"/>
      <c r="AP600" s="9"/>
      <c r="AQ600" s="9"/>
      <c r="AR600" s="9"/>
      <c r="AS600" s="9"/>
      <c r="AT600" s="9"/>
      <c r="AU600" s="9"/>
      <c r="AV600" s="9"/>
    </row>
    <row r="601" spans="1:48" ht="14" customHeight="1" thickBot="1">
      <c r="A601" s="31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9"/>
      <c r="AF601" s="9"/>
      <c r="AG601" s="9"/>
      <c r="AH601" s="9"/>
      <c r="AI601" s="9"/>
      <c r="AJ601" s="9"/>
      <c r="AK601" s="9"/>
      <c r="AL601" s="9"/>
      <c r="AM601" s="9"/>
      <c r="AN601" s="9"/>
      <c r="AO601" s="9"/>
      <c r="AP601" s="9"/>
      <c r="AQ601" s="9"/>
      <c r="AR601" s="9"/>
      <c r="AS601" s="9"/>
      <c r="AT601" s="9"/>
      <c r="AU601" s="9"/>
      <c r="AV601" s="9"/>
    </row>
    <row r="602" spans="1:48" ht="14" customHeight="1" thickBot="1">
      <c r="A602" s="31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9"/>
      <c r="AF602" s="9"/>
      <c r="AG602" s="9"/>
      <c r="AH602" s="9"/>
      <c r="AI602" s="9"/>
      <c r="AJ602" s="9"/>
      <c r="AK602" s="9"/>
      <c r="AL602" s="9"/>
      <c r="AM602" s="9"/>
      <c r="AN602" s="9"/>
      <c r="AO602" s="9"/>
      <c r="AP602" s="9"/>
      <c r="AQ602" s="9"/>
      <c r="AR602" s="9"/>
      <c r="AS602" s="9"/>
      <c r="AT602" s="9"/>
      <c r="AU602" s="9"/>
      <c r="AV602" s="9"/>
    </row>
    <row r="603" spans="1:48" ht="14" customHeight="1" thickBot="1">
      <c r="A603" s="31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  <c r="AF603" s="9"/>
      <c r="AG603" s="9"/>
      <c r="AH603" s="9"/>
      <c r="AI603" s="9"/>
      <c r="AJ603" s="9"/>
      <c r="AK603" s="9"/>
      <c r="AL603" s="9"/>
      <c r="AM603" s="9"/>
      <c r="AN603" s="9"/>
      <c r="AO603" s="9"/>
      <c r="AP603" s="9"/>
      <c r="AQ603" s="9"/>
      <c r="AR603" s="9"/>
      <c r="AS603" s="9"/>
      <c r="AT603" s="9"/>
      <c r="AU603" s="9"/>
      <c r="AV603" s="9"/>
    </row>
    <row r="604" spans="1:48" ht="14" customHeight="1" thickBot="1">
      <c r="A604" s="31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9"/>
      <c r="AF604" s="9"/>
      <c r="AG604" s="9"/>
      <c r="AH604" s="9"/>
      <c r="AI604" s="9"/>
      <c r="AJ604" s="9"/>
      <c r="AK604" s="9"/>
      <c r="AL604" s="9"/>
      <c r="AM604" s="9"/>
      <c r="AN604" s="9"/>
      <c r="AO604" s="9"/>
      <c r="AP604" s="9"/>
      <c r="AQ604" s="9"/>
      <c r="AR604" s="9"/>
      <c r="AS604" s="9"/>
      <c r="AT604" s="9"/>
      <c r="AU604" s="9"/>
      <c r="AV604" s="9"/>
    </row>
    <row r="605" spans="1:48" ht="14" customHeight="1" thickBot="1">
      <c r="A605" s="31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  <c r="AF605" s="9"/>
      <c r="AG605" s="9"/>
      <c r="AH605" s="9"/>
      <c r="AI605" s="9"/>
      <c r="AJ605" s="9"/>
      <c r="AK605" s="9"/>
      <c r="AL605" s="9"/>
      <c r="AM605" s="9"/>
      <c r="AN605" s="9"/>
      <c r="AO605" s="9"/>
      <c r="AP605" s="9"/>
      <c r="AQ605" s="9"/>
      <c r="AR605" s="9"/>
      <c r="AS605" s="9"/>
      <c r="AT605" s="9"/>
      <c r="AU605" s="9"/>
      <c r="AV605" s="9"/>
    </row>
    <row r="606" spans="1:48" ht="14" customHeight="1" thickBot="1">
      <c r="A606" s="31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9"/>
      <c r="AF606" s="9"/>
      <c r="AG606" s="9"/>
      <c r="AH606" s="9"/>
      <c r="AI606" s="9"/>
      <c r="AJ606" s="9"/>
      <c r="AK606" s="9"/>
      <c r="AL606" s="9"/>
      <c r="AM606" s="9"/>
      <c r="AN606" s="9"/>
      <c r="AO606" s="9"/>
      <c r="AP606" s="9"/>
      <c r="AQ606" s="9"/>
      <c r="AR606" s="9"/>
      <c r="AS606" s="9"/>
      <c r="AT606" s="9"/>
      <c r="AU606" s="9"/>
      <c r="AV606" s="9"/>
    </row>
    <row r="607" spans="1:48" ht="14" customHeight="1" thickBot="1">
      <c r="A607" s="31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9"/>
      <c r="AF607" s="9"/>
      <c r="AG607" s="9"/>
      <c r="AH607" s="9"/>
      <c r="AI607" s="9"/>
      <c r="AJ607" s="9"/>
      <c r="AK607" s="9"/>
      <c r="AL607" s="9"/>
      <c r="AM607" s="9"/>
      <c r="AN607" s="9"/>
      <c r="AO607" s="9"/>
      <c r="AP607" s="9"/>
      <c r="AQ607" s="9"/>
      <c r="AR607" s="9"/>
      <c r="AS607" s="9"/>
      <c r="AT607" s="9"/>
      <c r="AU607" s="9"/>
      <c r="AV607" s="9"/>
    </row>
    <row r="608" spans="1:48" ht="14" customHeight="1" thickBot="1">
      <c r="A608" s="31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9"/>
      <c r="AF608" s="9"/>
      <c r="AG608" s="9"/>
      <c r="AH608" s="9"/>
      <c r="AI608" s="9"/>
      <c r="AJ608" s="9"/>
      <c r="AK608" s="9"/>
      <c r="AL608" s="9"/>
      <c r="AM608" s="9"/>
      <c r="AN608" s="9"/>
      <c r="AO608" s="9"/>
      <c r="AP608" s="9"/>
      <c r="AQ608" s="9"/>
      <c r="AR608" s="9"/>
      <c r="AS608" s="9"/>
      <c r="AT608" s="9"/>
      <c r="AU608" s="9"/>
      <c r="AV608" s="9"/>
    </row>
    <row r="609" spans="1:48" ht="14" customHeight="1" thickBot="1">
      <c r="A609" s="31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9"/>
      <c r="AF609" s="9"/>
      <c r="AG609" s="9"/>
      <c r="AH609" s="9"/>
      <c r="AI609" s="9"/>
      <c r="AJ609" s="9"/>
      <c r="AK609" s="9"/>
      <c r="AL609" s="9"/>
      <c r="AM609" s="9"/>
      <c r="AN609" s="9"/>
      <c r="AO609" s="9"/>
      <c r="AP609" s="9"/>
      <c r="AQ609" s="9"/>
      <c r="AR609" s="9"/>
      <c r="AS609" s="9"/>
      <c r="AT609" s="9"/>
      <c r="AU609" s="9"/>
      <c r="AV609" s="9"/>
    </row>
    <row r="610" spans="1:48" ht="14" customHeight="1" thickBot="1">
      <c r="A610" s="31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9"/>
      <c r="AF610" s="9"/>
      <c r="AG610" s="9"/>
      <c r="AH610" s="9"/>
      <c r="AI610" s="9"/>
      <c r="AJ610" s="9"/>
      <c r="AK610" s="9"/>
      <c r="AL610" s="9"/>
      <c r="AM610" s="9"/>
      <c r="AN610" s="9"/>
      <c r="AO610" s="9"/>
      <c r="AP610" s="9"/>
      <c r="AQ610" s="9"/>
      <c r="AR610" s="9"/>
      <c r="AS610" s="9"/>
      <c r="AT610" s="9"/>
      <c r="AU610" s="9"/>
      <c r="AV610" s="9"/>
    </row>
    <row r="611" spans="1:48" ht="14" customHeight="1" thickBot="1">
      <c r="A611" s="31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  <c r="AF611" s="9"/>
      <c r="AG611" s="9"/>
      <c r="AH611" s="9"/>
      <c r="AI611" s="9"/>
      <c r="AJ611" s="9"/>
      <c r="AK611" s="9"/>
      <c r="AL611" s="9"/>
      <c r="AM611" s="9"/>
      <c r="AN611" s="9"/>
      <c r="AO611" s="9"/>
      <c r="AP611" s="9"/>
      <c r="AQ611" s="9"/>
      <c r="AR611" s="9"/>
      <c r="AS611" s="9"/>
      <c r="AT611" s="9"/>
      <c r="AU611" s="9"/>
      <c r="AV611" s="9"/>
    </row>
    <row r="612" spans="1:48" ht="14" customHeight="1" thickBot="1">
      <c r="A612" s="31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9"/>
      <c r="AF612" s="9"/>
      <c r="AG612" s="9"/>
      <c r="AH612" s="9"/>
      <c r="AI612" s="9"/>
      <c r="AJ612" s="9"/>
      <c r="AK612" s="9"/>
      <c r="AL612" s="9"/>
      <c r="AM612" s="9"/>
      <c r="AN612" s="9"/>
      <c r="AO612" s="9"/>
      <c r="AP612" s="9"/>
      <c r="AQ612" s="9"/>
      <c r="AR612" s="9"/>
      <c r="AS612" s="9"/>
      <c r="AT612" s="9"/>
      <c r="AU612" s="9"/>
      <c r="AV612" s="9"/>
    </row>
    <row r="613" spans="1:48" ht="14" customHeight="1" thickBot="1">
      <c r="A613" s="31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9"/>
      <c r="AF613" s="9"/>
      <c r="AG613" s="9"/>
      <c r="AH613" s="9"/>
      <c r="AI613" s="9"/>
      <c r="AJ613" s="9"/>
      <c r="AK613" s="9"/>
      <c r="AL613" s="9"/>
      <c r="AM613" s="9"/>
      <c r="AN613" s="9"/>
      <c r="AO613" s="9"/>
      <c r="AP613" s="9"/>
      <c r="AQ613" s="9"/>
      <c r="AR613" s="9"/>
      <c r="AS613" s="9"/>
      <c r="AT613" s="9"/>
      <c r="AU613" s="9"/>
      <c r="AV613" s="9"/>
    </row>
    <row r="614" spans="1:48" ht="14" customHeight="1" thickBot="1">
      <c r="A614" s="31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  <c r="AF614" s="9"/>
      <c r="AG614" s="9"/>
      <c r="AH614" s="9"/>
      <c r="AI614" s="9"/>
      <c r="AJ614" s="9"/>
      <c r="AK614" s="9"/>
      <c r="AL614" s="9"/>
      <c r="AM614" s="9"/>
      <c r="AN614" s="9"/>
      <c r="AO614" s="9"/>
      <c r="AP614" s="9"/>
      <c r="AQ614" s="9"/>
      <c r="AR614" s="9"/>
      <c r="AS614" s="9"/>
      <c r="AT614" s="9"/>
      <c r="AU614" s="9"/>
      <c r="AV614" s="9"/>
    </row>
    <row r="615" spans="1:48" ht="14" customHeight="1" thickBot="1">
      <c r="A615" s="31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  <c r="AF615" s="9"/>
      <c r="AG615" s="9"/>
      <c r="AH615" s="9"/>
      <c r="AI615" s="9"/>
      <c r="AJ615" s="9"/>
      <c r="AK615" s="9"/>
      <c r="AL615" s="9"/>
      <c r="AM615" s="9"/>
      <c r="AN615" s="9"/>
      <c r="AO615" s="9"/>
      <c r="AP615" s="9"/>
      <c r="AQ615" s="9"/>
      <c r="AR615" s="9"/>
      <c r="AS615" s="9"/>
      <c r="AT615" s="9"/>
      <c r="AU615" s="9"/>
      <c r="AV615" s="9"/>
    </row>
    <row r="616" spans="1:48" ht="14" customHeight="1" thickBot="1">
      <c r="A616" s="31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9"/>
      <c r="AF616" s="9"/>
      <c r="AG616" s="9"/>
      <c r="AH616" s="9"/>
      <c r="AI616" s="9"/>
      <c r="AJ616" s="9"/>
      <c r="AK616" s="9"/>
      <c r="AL616" s="9"/>
      <c r="AM616" s="9"/>
      <c r="AN616" s="9"/>
      <c r="AO616" s="9"/>
      <c r="AP616" s="9"/>
      <c r="AQ616" s="9"/>
      <c r="AR616" s="9"/>
      <c r="AS616" s="9"/>
      <c r="AT616" s="9"/>
      <c r="AU616" s="9"/>
      <c r="AV616" s="9"/>
    </row>
    <row r="617" spans="1:48" ht="14" customHeight="1" thickBot="1">
      <c r="A617" s="31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9"/>
      <c r="AF617" s="9"/>
      <c r="AG617" s="9"/>
      <c r="AH617" s="9"/>
      <c r="AI617" s="9"/>
      <c r="AJ617" s="9"/>
      <c r="AK617" s="9"/>
      <c r="AL617" s="9"/>
      <c r="AM617" s="9"/>
      <c r="AN617" s="9"/>
      <c r="AO617" s="9"/>
      <c r="AP617" s="9"/>
      <c r="AQ617" s="9"/>
      <c r="AR617" s="9"/>
      <c r="AS617" s="9"/>
      <c r="AT617" s="9"/>
      <c r="AU617" s="9"/>
      <c r="AV617" s="9"/>
    </row>
    <row r="618" spans="1:48" ht="14" customHeight="1" thickBot="1">
      <c r="A618" s="31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9"/>
      <c r="AF618" s="9"/>
      <c r="AG618" s="9"/>
      <c r="AH618" s="9"/>
      <c r="AI618" s="9"/>
      <c r="AJ618" s="9"/>
      <c r="AK618" s="9"/>
      <c r="AL618" s="9"/>
      <c r="AM618" s="9"/>
      <c r="AN618" s="9"/>
      <c r="AO618" s="9"/>
      <c r="AP618" s="9"/>
      <c r="AQ618" s="9"/>
      <c r="AR618" s="9"/>
      <c r="AS618" s="9"/>
      <c r="AT618" s="9"/>
      <c r="AU618" s="9"/>
      <c r="AV618" s="9"/>
    </row>
    <row r="619" spans="1:48" ht="14" customHeight="1" thickBot="1">
      <c r="A619" s="31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9"/>
      <c r="AF619" s="9"/>
      <c r="AG619" s="9"/>
      <c r="AH619" s="9"/>
      <c r="AI619" s="9"/>
      <c r="AJ619" s="9"/>
      <c r="AK619" s="9"/>
      <c r="AL619" s="9"/>
      <c r="AM619" s="9"/>
      <c r="AN619" s="9"/>
      <c r="AO619" s="9"/>
      <c r="AP619" s="9"/>
      <c r="AQ619" s="9"/>
      <c r="AR619" s="9"/>
      <c r="AS619" s="9"/>
      <c r="AT619" s="9"/>
      <c r="AU619" s="9"/>
      <c r="AV619" s="9"/>
    </row>
    <row r="620" spans="1:48" ht="14" customHeight="1" thickBot="1">
      <c r="A620" s="31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9"/>
      <c r="AF620" s="9"/>
      <c r="AG620" s="9"/>
      <c r="AH620" s="9"/>
      <c r="AI620" s="9"/>
      <c r="AJ620" s="9"/>
      <c r="AK620" s="9"/>
      <c r="AL620" s="9"/>
      <c r="AM620" s="9"/>
      <c r="AN620" s="9"/>
      <c r="AO620" s="9"/>
      <c r="AP620" s="9"/>
      <c r="AQ620" s="9"/>
      <c r="AR620" s="9"/>
      <c r="AS620" s="9"/>
      <c r="AT620" s="9"/>
      <c r="AU620" s="9"/>
      <c r="AV620" s="9"/>
    </row>
    <row r="621" spans="1:48" ht="14" customHeight="1" thickBot="1">
      <c r="A621" s="31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9"/>
      <c r="AF621" s="9"/>
      <c r="AG621" s="9"/>
      <c r="AH621" s="9"/>
      <c r="AI621" s="9"/>
      <c r="AJ621" s="9"/>
      <c r="AK621" s="9"/>
      <c r="AL621" s="9"/>
      <c r="AM621" s="9"/>
      <c r="AN621" s="9"/>
      <c r="AO621" s="9"/>
      <c r="AP621" s="9"/>
      <c r="AQ621" s="9"/>
      <c r="AR621" s="9"/>
      <c r="AS621" s="9"/>
      <c r="AT621" s="9"/>
      <c r="AU621" s="9"/>
      <c r="AV621" s="9"/>
    </row>
    <row r="622" spans="1:48" ht="14" customHeight="1" thickBot="1">
      <c r="A622" s="31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9"/>
      <c r="AF622" s="9"/>
      <c r="AG622" s="9"/>
      <c r="AH622" s="9"/>
      <c r="AI622" s="9"/>
      <c r="AJ622" s="9"/>
      <c r="AK622" s="9"/>
      <c r="AL622" s="9"/>
      <c r="AM622" s="9"/>
      <c r="AN622" s="9"/>
      <c r="AO622" s="9"/>
      <c r="AP622" s="9"/>
      <c r="AQ622" s="9"/>
      <c r="AR622" s="9"/>
      <c r="AS622" s="9"/>
      <c r="AT622" s="9"/>
      <c r="AU622" s="9"/>
      <c r="AV622" s="9"/>
    </row>
    <row r="623" spans="1:48" ht="14" customHeight="1" thickBot="1">
      <c r="A623" s="31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  <c r="AE623" s="9"/>
      <c r="AF623" s="9"/>
      <c r="AG623" s="9"/>
      <c r="AH623" s="9"/>
      <c r="AI623" s="9"/>
      <c r="AJ623" s="9"/>
      <c r="AK623" s="9"/>
      <c r="AL623" s="9"/>
      <c r="AM623" s="9"/>
      <c r="AN623" s="9"/>
      <c r="AO623" s="9"/>
      <c r="AP623" s="9"/>
      <c r="AQ623" s="9"/>
      <c r="AR623" s="9"/>
      <c r="AS623" s="9"/>
      <c r="AT623" s="9"/>
      <c r="AU623" s="9"/>
      <c r="AV623" s="9"/>
    </row>
    <row r="624" spans="1:48" ht="14" customHeight="1" thickBot="1">
      <c r="A624" s="31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  <c r="AE624" s="9"/>
      <c r="AF624" s="9"/>
      <c r="AG624" s="9"/>
      <c r="AH624" s="9"/>
      <c r="AI624" s="9"/>
      <c r="AJ624" s="9"/>
      <c r="AK624" s="9"/>
      <c r="AL624" s="9"/>
      <c r="AM624" s="9"/>
      <c r="AN624" s="9"/>
      <c r="AO624" s="9"/>
      <c r="AP624" s="9"/>
      <c r="AQ624" s="9"/>
      <c r="AR624" s="9"/>
      <c r="AS624" s="9"/>
      <c r="AT624" s="9"/>
      <c r="AU624" s="9"/>
      <c r="AV624" s="9"/>
    </row>
    <row r="625" spans="1:48" ht="14" customHeight="1" thickBot="1">
      <c r="A625" s="31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9"/>
      <c r="AF625" s="9"/>
      <c r="AG625" s="9"/>
      <c r="AH625" s="9"/>
      <c r="AI625" s="9"/>
      <c r="AJ625" s="9"/>
      <c r="AK625" s="9"/>
      <c r="AL625" s="9"/>
      <c r="AM625" s="9"/>
      <c r="AN625" s="9"/>
      <c r="AO625" s="9"/>
      <c r="AP625" s="9"/>
      <c r="AQ625" s="9"/>
      <c r="AR625" s="9"/>
      <c r="AS625" s="9"/>
      <c r="AT625" s="9"/>
      <c r="AU625" s="9"/>
      <c r="AV625" s="9"/>
    </row>
    <row r="626" spans="1:48" ht="14" customHeight="1" thickBot="1">
      <c r="A626" s="31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  <c r="AE626" s="9"/>
      <c r="AF626" s="9"/>
      <c r="AG626" s="9"/>
      <c r="AH626" s="9"/>
      <c r="AI626" s="9"/>
      <c r="AJ626" s="9"/>
      <c r="AK626" s="9"/>
      <c r="AL626" s="9"/>
      <c r="AM626" s="9"/>
      <c r="AN626" s="9"/>
      <c r="AO626" s="9"/>
      <c r="AP626" s="9"/>
      <c r="AQ626" s="9"/>
      <c r="AR626" s="9"/>
      <c r="AS626" s="9"/>
      <c r="AT626" s="9"/>
      <c r="AU626" s="9"/>
      <c r="AV626" s="9"/>
    </row>
    <row r="627" spans="1:48" ht="14" customHeight="1" thickBot="1">
      <c r="A627" s="31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9"/>
      <c r="AF627" s="9"/>
      <c r="AG627" s="9"/>
      <c r="AH627" s="9"/>
      <c r="AI627" s="9"/>
      <c r="AJ627" s="9"/>
      <c r="AK627" s="9"/>
      <c r="AL627" s="9"/>
      <c r="AM627" s="9"/>
      <c r="AN627" s="9"/>
      <c r="AO627" s="9"/>
      <c r="AP627" s="9"/>
      <c r="AQ627" s="9"/>
      <c r="AR627" s="9"/>
      <c r="AS627" s="9"/>
      <c r="AT627" s="9"/>
      <c r="AU627" s="9"/>
      <c r="AV627" s="9"/>
    </row>
    <row r="628" spans="1:48" ht="14" customHeight="1" thickBot="1">
      <c r="A628" s="31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9"/>
      <c r="AF628" s="9"/>
      <c r="AG628" s="9"/>
      <c r="AH628" s="9"/>
      <c r="AI628" s="9"/>
      <c r="AJ628" s="9"/>
      <c r="AK628" s="9"/>
      <c r="AL628" s="9"/>
      <c r="AM628" s="9"/>
      <c r="AN628" s="9"/>
      <c r="AO628" s="9"/>
      <c r="AP628" s="9"/>
      <c r="AQ628" s="9"/>
      <c r="AR628" s="9"/>
      <c r="AS628" s="9"/>
      <c r="AT628" s="9"/>
      <c r="AU628" s="9"/>
      <c r="AV628" s="9"/>
    </row>
    <row r="629" spans="1:48" ht="14" customHeight="1" thickBot="1">
      <c r="A629" s="31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9"/>
      <c r="AF629" s="9"/>
      <c r="AG629" s="9"/>
      <c r="AH629" s="9"/>
      <c r="AI629" s="9"/>
      <c r="AJ629" s="9"/>
      <c r="AK629" s="9"/>
      <c r="AL629" s="9"/>
      <c r="AM629" s="9"/>
      <c r="AN629" s="9"/>
      <c r="AO629" s="9"/>
      <c r="AP629" s="9"/>
      <c r="AQ629" s="9"/>
      <c r="AR629" s="9"/>
      <c r="AS629" s="9"/>
      <c r="AT629" s="9"/>
      <c r="AU629" s="9"/>
      <c r="AV629" s="9"/>
    </row>
    <row r="630" spans="1:48" ht="14" customHeight="1" thickBot="1">
      <c r="A630" s="31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  <c r="AE630" s="9"/>
      <c r="AF630" s="9"/>
      <c r="AG630" s="9"/>
      <c r="AH630" s="9"/>
      <c r="AI630" s="9"/>
      <c r="AJ630" s="9"/>
      <c r="AK630" s="9"/>
      <c r="AL630" s="9"/>
      <c r="AM630" s="9"/>
      <c r="AN630" s="9"/>
      <c r="AO630" s="9"/>
      <c r="AP630" s="9"/>
      <c r="AQ630" s="9"/>
      <c r="AR630" s="9"/>
      <c r="AS630" s="9"/>
      <c r="AT630" s="9"/>
      <c r="AU630" s="9"/>
      <c r="AV630" s="9"/>
    </row>
    <row r="631" spans="1:48" ht="14" customHeight="1" thickBot="1">
      <c r="A631" s="31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  <c r="AE631" s="9"/>
      <c r="AF631" s="9"/>
      <c r="AG631" s="9"/>
      <c r="AH631" s="9"/>
      <c r="AI631" s="9"/>
      <c r="AJ631" s="9"/>
      <c r="AK631" s="9"/>
      <c r="AL631" s="9"/>
      <c r="AM631" s="9"/>
      <c r="AN631" s="9"/>
      <c r="AO631" s="9"/>
      <c r="AP631" s="9"/>
      <c r="AQ631" s="9"/>
      <c r="AR631" s="9"/>
      <c r="AS631" s="9"/>
      <c r="AT631" s="9"/>
      <c r="AU631" s="9"/>
      <c r="AV631" s="9"/>
    </row>
    <row r="632" spans="1:48" ht="14" customHeight="1" thickBot="1">
      <c r="A632" s="31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  <c r="AE632" s="9"/>
      <c r="AF632" s="9"/>
      <c r="AG632" s="9"/>
      <c r="AH632" s="9"/>
      <c r="AI632" s="9"/>
      <c r="AJ632" s="9"/>
      <c r="AK632" s="9"/>
      <c r="AL632" s="9"/>
      <c r="AM632" s="9"/>
      <c r="AN632" s="9"/>
      <c r="AO632" s="9"/>
      <c r="AP632" s="9"/>
      <c r="AQ632" s="9"/>
      <c r="AR632" s="9"/>
      <c r="AS632" s="9"/>
      <c r="AT632" s="9"/>
      <c r="AU632" s="9"/>
      <c r="AV632" s="9"/>
    </row>
    <row r="633" spans="1:48" ht="14" customHeight="1" thickBot="1">
      <c r="A633" s="31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  <c r="AE633" s="9"/>
      <c r="AF633" s="9"/>
      <c r="AG633" s="9"/>
      <c r="AH633" s="9"/>
      <c r="AI633" s="9"/>
      <c r="AJ633" s="9"/>
      <c r="AK633" s="9"/>
      <c r="AL633" s="9"/>
      <c r="AM633" s="9"/>
      <c r="AN633" s="9"/>
      <c r="AO633" s="9"/>
      <c r="AP633" s="9"/>
      <c r="AQ633" s="9"/>
      <c r="AR633" s="9"/>
      <c r="AS633" s="9"/>
      <c r="AT633" s="9"/>
      <c r="AU633" s="9"/>
      <c r="AV633" s="9"/>
    </row>
    <row r="634" spans="1:48" ht="14" customHeight="1" thickBot="1">
      <c r="A634" s="31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  <c r="AE634" s="9"/>
      <c r="AF634" s="9"/>
      <c r="AG634" s="9"/>
      <c r="AH634" s="9"/>
      <c r="AI634" s="9"/>
      <c r="AJ634" s="9"/>
      <c r="AK634" s="9"/>
      <c r="AL634" s="9"/>
      <c r="AM634" s="9"/>
      <c r="AN634" s="9"/>
      <c r="AO634" s="9"/>
      <c r="AP634" s="9"/>
      <c r="AQ634" s="9"/>
      <c r="AR634" s="9"/>
      <c r="AS634" s="9"/>
      <c r="AT634" s="9"/>
      <c r="AU634" s="9"/>
      <c r="AV634" s="9"/>
    </row>
    <row r="635" spans="1:48" ht="14" customHeight="1" thickBot="1">
      <c r="A635" s="31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  <c r="AE635" s="9"/>
      <c r="AF635" s="9"/>
      <c r="AG635" s="9"/>
      <c r="AH635" s="9"/>
      <c r="AI635" s="9"/>
      <c r="AJ635" s="9"/>
      <c r="AK635" s="9"/>
      <c r="AL635" s="9"/>
      <c r="AM635" s="9"/>
      <c r="AN635" s="9"/>
      <c r="AO635" s="9"/>
      <c r="AP635" s="9"/>
      <c r="AQ635" s="9"/>
      <c r="AR635" s="9"/>
      <c r="AS635" s="9"/>
      <c r="AT635" s="9"/>
      <c r="AU635" s="9"/>
      <c r="AV635" s="9"/>
    </row>
    <row r="636" spans="1:48" ht="14" customHeight="1" thickBot="1">
      <c r="A636" s="31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  <c r="AE636" s="9"/>
      <c r="AF636" s="9"/>
      <c r="AG636" s="9"/>
      <c r="AH636" s="9"/>
      <c r="AI636" s="9"/>
      <c r="AJ636" s="9"/>
      <c r="AK636" s="9"/>
      <c r="AL636" s="9"/>
      <c r="AM636" s="9"/>
      <c r="AN636" s="9"/>
      <c r="AO636" s="9"/>
      <c r="AP636" s="9"/>
      <c r="AQ636" s="9"/>
      <c r="AR636" s="9"/>
      <c r="AS636" s="9"/>
      <c r="AT636" s="9"/>
      <c r="AU636" s="9"/>
      <c r="AV636" s="9"/>
    </row>
    <row r="637" spans="1:48" ht="14" customHeight="1" thickBot="1">
      <c r="A637" s="31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  <c r="AE637" s="9"/>
      <c r="AF637" s="9"/>
      <c r="AG637" s="9"/>
      <c r="AH637" s="9"/>
      <c r="AI637" s="9"/>
      <c r="AJ637" s="9"/>
      <c r="AK637" s="9"/>
      <c r="AL637" s="9"/>
      <c r="AM637" s="9"/>
      <c r="AN637" s="9"/>
      <c r="AO637" s="9"/>
      <c r="AP637" s="9"/>
      <c r="AQ637" s="9"/>
      <c r="AR637" s="9"/>
      <c r="AS637" s="9"/>
      <c r="AT637" s="9"/>
      <c r="AU637" s="9"/>
      <c r="AV637" s="9"/>
    </row>
    <row r="638" spans="1:48" ht="14" customHeight="1" thickBot="1">
      <c r="A638" s="31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  <c r="AE638" s="9"/>
      <c r="AF638" s="9"/>
      <c r="AG638" s="9"/>
      <c r="AH638" s="9"/>
      <c r="AI638" s="9"/>
      <c r="AJ638" s="9"/>
      <c r="AK638" s="9"/>
      <c r="AL638" s="9"/>
      <c r="AM638" s="9"/>
      <c r="AN638" s="9"/>
      <c r="AO638" s="9"/>
      <c r="AP638" s="9"/>
      <c r="AQ638" s="9"/>
      <c r="AR638" s="9"/>
      <c r="AS638" s="9"/>
      <c r="AT638" s="9"/>
      <c r="AU638" s="9"/>
      <c r="AV638" s="9"/>
    </row>
    <row r="639" spans="1:48" ht="14" customHeight="1" thickBot="1">
      <c r="A639" s="31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  <c r="AE639" s="9"/>
      <c r="AF639" s="9"/>
      <c r="AG639" s="9"/>
      <c r="AH639" s="9"/>
      <c r="AI639" s="9"/>
      <c r="AJ639" s="9"/>
      <c r="AK639" s="9"/>
      <c r="AL639" s="9"/>
      <c r="AM639" s="9"/>
      <c r="AN639" s="9"/>
      <c r="AO639" s="9"/>
      <c r="AP639" s="9"/>
      <c r="AQ639" s="9"/>
      <c r="AR639" s="9"/>
      <c r="AS639" s="9"/>
      <c r="AT639" s="9"/>
      <c r="AU639" s="9"/>
      <c r="AV639" s="9"/>
    </row>
    <row r="640" spans="1:48" ht="14" customHeight="1" thickBot="1">
      <c r="A640" s="31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  <c r="AE640" s="9"/>
      <c r="AF640" s="9"/>
      <c r="AG640" s="9"/>
      <c r="AH640" s="9"/>
      <c r="AI640" s="9"/>
      <c r="AJ640" s="9"/>
      <c r="AK640" s="9"/>
      <c r="AL640" s="9"/>
      <c r="AM640" s="9"/>
      <c r="AN640" s="9"/>
      <c r="AO640" s="9"/>
      <c r="AP640" s="9"/>
      <c r="AQ640" s="9"/>
      <c r="AR640" s="9"/>
      <c r="AS640" s="9"/>
      <c r="AT640" s="9"/>
      <c r="AU640" s="9"/>
      <c r="AV640" s="9"/>
    </row>
    <row r="641" spans="1:48" ht="14" customHeight="1" thickBot="1">
      <c r="A641" s="31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  <c r="AE641" s="9"/>
      <c r="AF641" s="9"/>
      <c r="AG641" s="9"/>
      <c r="AH641" s="9"/>
      <c r="AI641" s="9"/>
      <c r="AJ641" s="9"/>
      <c r="AK641" s="9"/>
      <c r="AL641" s="9"/>
      <c r="AM641" s="9"/>
      <c r="AN641" s="9"/>
      <c r="AO641" s="9"/>
      <c r="AP641" s="9"/>
      <c r="AQ641" s="9"/>
      <c r="AR641" s="9"/>
      <c r="AS641" s="9"/>
      <c r="AT641" s="9"/>
      <c r="AU641" s="9"/>
      <c r="AV641" s="9"/>
    </row>
    <row r="642" spans="1:48" ht="14" customHeight="1" thickBot="1">
      <c r="A642" s="31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  <c r="AE642" s="9"/>
      <c r="AF642" s="9"/>
      <c r="AG642" s="9"/>
      <c r="AH642" s="9"/>
      <c r="AI642" s="9"/>
      <c r="AJ642" s="9"/>
      <c r="AK642" s="9"/>
      <c r="AL642" s="9"/>
      <c r="AM642" s="9"/>
      <c r="AN642" s="9"/>
      <c r="AO642" s="9"/>
      <c r="AP642" s="9"/>
      <c r="AQ642" s="9"/>
      <c r="AR642" s="9"/>
      <c r="AS642" s="9"/>
      <c r="AT642" s="9"/>
      <c r="AU642" s="9"/>
      <c r="AV642" s="9"/>
    </row>
    <row r="643" spans="1:48" ht="14" customHeight="1" thickBot="1">
      <c r="A643" s="31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  <c r="AE643" s="9"/>
      <c r="AF643" s="9"/>
      <c r="AG643" s="9"/>
      <c r="AH643" s="9"/>
      <c r="AI643" s="9"/>
      <c r="AJ643" s="9"/>
      <c r="AK643" s="9"/>
      <c r="AL643" s="9"/>
      <c r="AM643" s="9"/>
      <c r="AN643" s="9"/>
      <c r="AO643" s="9"/>
      <c r="AP643" s="9"/>
      <c r="AQ643" s="9"/>
      <c r="AR643" s="9"/>
      <c r="AS643" s="9"/>
      <c r="AT643" s="9"/>
      <c r="AU643" s="9"/>
      <c r="AV643" s="9"/>
    </row>
    <row r="644" spans="1:48" ht="14" customHeight="1" thickBot="1">
      <c r="A644" s="31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  <c r="AE644" s="9"/>
      <c r="AF644" s="9"/>
      <c r="AG644" s="9"/>
      <c r="AH644" s="9"/>
      <c r="AI644" s="9"/>
      <c r="AJ644" s="9"/>
      <c r="AK644" s="9"/>
      <c r="AL644" s="9"/>
      <c r="AM644" s="9"/>
      <c r="AN644" s="9"/>
      <c r="AO644" s="9"/>
      <c r="AP644" s="9"/>
      <c r="AQ644" s="9"/>
      <c r="AR644" s="9"/>
      <c r="AS644" s="9"/>
      <c r="AT644" s="9"/>
      <c r="AU644" s="9"/>
      <c r="AV644" s="9"/>
    </row>
    <row r="645" spans="1:48" ht="14" customHeight="1" thickBot="1">
      <c r="A645" s="31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  <c r="AE645" s="9"/>
      <c r="AF645" s="9"/>
      <c r="AG645" s="9"/>
      <c r="AH645" s="9"/>
      <c r="AI645" s="9"/>
      <c r="AJ645" s="9"/>
      <c r="AK645" s="9"/>
      <c r="AL645" s="9"/>
      <c r="AM645" s="9"/>
      <c r="AN645" s="9"/>
      <c r="AO645" s="9"/>
      <c r="AP645" s="9"/>
      <c r="AQ645" s="9"/>
      <c r="AR645" s="9"/>
      <c r="AS645" s="9"/>
      <c r="AT645" s="9"/>
      <c r="AU645" s="9"/>
      <c r="AV645" s="9"/>
    </row>
    <row r="646" spans="1:48" ht="14" customHeight="1" thickBot="1">
      <c r="A646" s="31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  <c r="AE646" s="9"/>
      <c r="AF646" s="9"/>
      <c r="AG646" s="9"/>
      <c r="AH646" s="9"/>
      <c r="AI646" s="9"/>
      <c r="AJ646" s="9"/>
      <c r="AK646" s="9"/>
      <c r="AL646" s="9"/>
      <c r="AM646" s="9"/>
      <c r="AN646" s="9"/>
      <c r="AO646" s="9"/>
      <c r="AP646" s="9"/>
      <c r="AQ646" s="9"/>
      <c r="AR646" s="9"/>
      <c r="AS646" s="9"/>
      <c r="AT646" s="9"/>
      <c r="AU646" s="9"/>
      <c r="AV646" s="9"/>
    </row>
    <row r="647" spans="1:48" ht="14" customHeight="1" thickBot="1">
      <c r="A647" s="31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  <c r="AE647" s="9"/>
      <c r="AF647" s="9"/>
      <c r="AG647" s="9"/>
      <c r="AH647" s="9"/>
      <c r="AI647" s="9"/>
      <c r="AJ647" s="9"/>
      <c r="AK647" s="9"/>
      <c r="AL647" s="9"/>
      <c r="AM647" s="9"/>
      <c r="AN647" s="9"/>
      <c r="AO647" s="9"/>
      <c r="AP647" s="9"/>
      <c r="AQ647" s="9"/>
      <c r="AR647" s="9"/>
      <c r="AS647" s="9"/>
      <c r="AT647" s="9"/>
      <c r="AU647" s="9"/>
      <c r="AV647" s="9"/>
    </row>
    <row r="648" spans="1:48" ht="14" customHeight="1" thickBot="1">
      <c r="A648" s="31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  <c r="AE648" s="9"/>
      <c r="AF648" s="9"/>
      <c r="AG648" s="9"/>
      <c r="AH648" s="9"/>
      <c r="AI648" s="9"/>
      <c r="AJ648" s="9"/>
      <c r="AK648" s="9"/>
      <c r="AL648" s="9"/>
      <c r="AM648" s="9"/>
      <c r="AN648" s="9"/>
      <c r="AO648" s="9"/>
      <c r="AP648" s="9"/>
      <c r="AQ648" s="9"/>
      <c r="AR648" s="9"/>
      <c r="AS648" s="9"/>
      <c r="AT648" s="9"/>
      <c r="AU648" s="9"/>
      <c r="AV648" s="9"/>
    </row>
    <row r="649" spans="1:48" ht="14" customHeight="1" thickBot="1">
      <c r="A649" s="31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  <c r="AE649" s="9"/>
      <c r="AF649" s="9"/>
      <c r="AG649" s="9"/>
      <c r="AH649" s="9"/>
      <c r="AI649" s="9"/>
      <c r="AJ649" s="9"/>
      <c r="AK649" s="9"/>
      <c r="AL649" s="9"/>
      <c r="AM649" s="9"/>
      <c r="AN649" s="9"/>
      <c r="AO649" s="9"/>
      <c r="AP649" s="9"/>
      <c r="AQ649" s="9"/>
      <c r="AR649" s="9"/>
      <c r="AS649" s="9"/>
      <c r="AT649" s="9"/>
      <c r="AU649" s="9"/>
      <c r="AV649" s="9"/>
    </row>
    <row r="650" spans="1:48" ht="14" customHeight="1" thickBot="1">
      <c r="A650" s="31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  <c r="AE650" s="9"/>
      <c r="AF650" s="9"/>
      <c r="AG650" s="9"/>
      <c r="AH650" s="9"/>
      <c r="AI650" s="9"/>
      <c r="AJ650" s="9"/>
      <c r="AK650" s="9"/>
      <c r="AL650" s="9"/>
      <c r="AM650" s="9"/>
      <c r="AN650" s="9"/>
      <c r="AO650" s="9"/>
      <c r="AP650" s="9"/>
      <c r="AQ650" s="9"/>
      <c r="AR650" s="9"/>
      <c r="AS650" s="9"/>
      <c r="AT650" s="9"/>
      <c r="AU650" s="9"/>
      <c r="AV650" s="9"/>
    </row>
    <row r="651" spans="1:48" ht="14" customHeight="1" thickBot="1">
      <c r="A651" s="31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  <c r="AE651" s="9"/>
      <c r="AF651" s="9"/>
      <c r="AG651" s="9"/>
      <c r="AH651" s="9"/>
      <c r="AI651" s="9"/>
      <c r="AJ651" s="9"/>
      <c r="AK651" s="9"/>
      <c r="AL651" s="9"/>
      <c r="AM651" s="9"/>
      <c r="AN651" s="9"/>
      <c r="AO651" s="9"/>
      <c r="AP651" s="9"/>
      <c r="AQ651" s="9"/>
      <c r="AR651" s="9"/>
      <c r="AS651" s="9"/>
      <c r="AT651" s="9"/>
      <c r="AU651" s="9"/>
      <c r="AV651" s="9"/>
    </row>
    <row r="652" spans="1:48" ht="14" customHeight="1" thickBot="1">
      <c r="A652" s="31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  <c r="AE652" s="9"/>
      <c r="AF652" s="9"/>
      <c r="AG652" s="9"/>
      <c r="AH652" s="9"/>
      <c r="AI652" s="9"/>
      <c r="AJ652" s="9"/>
      <c r="AK652" s="9"/>
      <c r="AL652" s="9"/>
      <c r="AM652" s="9"/>
      <c r="AN652" s="9"/>
      <c r="AO652" s="9"/>
      <c r="AP652" s="9"/>
      <c r="AQ652" s="9"/>
      <c r="AR652" s="9"/>
      <c r="AS652" s="9"/>
      <c r="AT652" s="9"/>
      <c r="AU652" s="9"/>
      <c r="AV652" s="9"/>
    </row>
    <row r="653" spans="1:48" ht="14" customHeight="1" thickBot="1">
      <c r="A653" s="31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  <c r="AE653" s="9"/>
      <c r="AF653" s="9"/>
      <c r="AG653" s="9"/>
      <c r="AH653" s="9"/>
      <c r="AI653" s="9"/>
      <c r="AJ653" s="9"/>
      <c r="AK653" s="9"/>
      <c r="AL653" s="9"/>
      <c r="AM653" s="9"/>
      <c r="AN653" s="9"/>
      <c r="AO653" s="9"/>
      <c r="AP653" s="9"/>
      <c r="AQ653" s="9"/>
      <c r="AR653" s="9"/>
      <c r="AS653" s="9"/>
      <c r="AT653" s="9"/>
      <c r="AU653" s="9"/>
      <c r="AV653" s="9"/>
    </row>
    <row r="654" spans="1:48" ht="14" customHeight="1" thickBot="1">
      <c r="A654" s="31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  <c r="AE654" s="9"/>
      <c r="AF654" s="9"/>
      <c r="AG654" s="9"/>
      <c r="AH654" s="9"/>
      <c r="AI654" s="9"/>
      <c r="AJ654" s="9"/>
      <c r="AK654" s="9"/>
      <c r="AL654" s="9"/>
      <c r="AM654" s="9"/>
      <c r="AN654" s="9"/>
      <c r="AO654" s="9"/>
      <c r="AP654" s="9"/>
      <c r="AQ654" s="9"/>
      <c r="AR654" s="9"/>
      <c r="AS654" s="9"/>
      <c r="AT654" s="9"/>
      <c r="AU654" s="9"/>
      <c r="AV654" s="9"/>
    </row>
    <row r="655" spans="1:48" ht="14" customHeight="1" thickBot="1">
      <c r="A655" s="31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  <c r="AE655" s="9"/>
      <c r="AF655" s="9"/>
      <c r="AG655" s="9"/>
      <c r="AH655" s="9"/>
      <c r="AI655" s="9"/>
      <c r="AJ655" s="9"/>
      <c r="AK655" s="9"/>
      <c r="AL655" s="9"/>
      <c r="AM655" s="9"/>
      <c r="AN655" s="9"/>
      <c r="AO655" s="9"/>
      <c r="AP655" s="9"/>
      <c r="AQ655" s="9"/>
      <c r="AR655" s="9"/>
      <c r="AS655" s="9"/>
      <c r="AT655" s="9"/>
      <c r="AU655" s="9"/>
      <c r="AV655" s="9"/>
    </row>
    <row r="656" spans="1:48" ht="14" customHeight="1" thickBot="1">
      <c r="A656" s="31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  <c r="AE656" s="9"/>
      <c r="AF656" s="9"/>
      <c r="AG656" s="9"/>
      <c r="AH656" s="9"/>
      <c r="AI656" s="9"/>
      <c r="AJ656" s="9"/>
      <c r="AK656" s="9"/>
      <c r="AL656" s="9"/>
      <c r="AM656" s="9"/>
      <c r="AN656" s="9"/>
      <c r="AO656" s="9"/>
      <c r="AP656" s="9"/>
      <c r="AQ656" s="9"/>
      <c r="AR656" s="9"/>
      <c r="AS656" s="9"/>
      <c r="AT656" s="9"/>
      <c r="AU656" s="9"/>
      <c r="AV656" s="9"/>
    </row>
    <row r="657" spans="1:48" ht="14" customHeight="1" thickBot="1">
      <c r="A657" s="31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  <c r="AE657" s="9"/>
      <c r="AF657" s="9"/>
      <c r="AG657" s="9"/>
      <c r="AH657" s="9"/>
      <c r="AI657" s="9"/>
      <c r="AJ657" s="9"/>
      <c r="AK657" s="9"/>
      <c r="AL657" s="9"/>
      <c r="AM657" s="9"/>
      <c r="AN657" s="9"/>
      <c r="AO657" s="9"/>
      <c r="AP657" s="9"/>
      <c r="AQ657" s="9"/>
      <c r="AR657" s="9"/>
      <c r="AS657" s="9"/>
      <c r="AT657" s="9"/>
      <c r="AU657" s="9"/>
      <c r="AV657" s="9"/>
    </row>
    <row r="658" spans="1:48" ht="14" customHeight="1" thickBot="1">
      <c r="A658" s="31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  <c r="AE658" s="9"/>
      <c r="AF658" s="9"/>
      <c r="AG658" s="9"/>
      <c r="AH658" s="9"/>
      <c r="AI658" s="9"/>
      <c r="AJ658" s="9"/>
      <c r="AK658" s="9"/>
      <c r="AL658" s="9"/>
      <c r="AM658" s="9"/>
      <c r="AN658" s="9"/>
      <c r="AO658" s="9"/>
      <c r="AP658" s="9"/>
      <c r="AQ658" s="9"/>
      <c r="AR658" s="9"/>
      <c r="AS658" s="9"/>
      <c r="AT658" s="9"/>
      <c r="AU658" s="9"/>
      <c r="AV658" s="9"/>
    </row>
    <row r="659" spans="1:48" ht="14" customHeight="1" thickBot="1">
      <c r="A659" s="31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  <c r="AE659" s="9"/>
      <c r="AF659" s="9"/>
      <c r="AG659" s="9"/>
      <c r="AH659" s="9"/>
      <c r="AI659" s="9"/>
      <c r="AJ659" s="9"/>
      <c r="AK659" s="9"/>
      <c r="AL659" s="9"/>
      <c r="AM659" s="9"/>
      <c r="AN659" s="9"/>
      <c r="AO659" s="9"/>
      <c r="AP659" s="9"/>
      <c r="AQ659" s="9"/>
      <c r="AR659" s="9"/>
      <c r="AS659" s="9"/>
      <c r="AT659" s="9"/>
      <c r="AU659" s="9"/>
      <c r="AV659" s="9"/>
    </row>
    <row r="660" spans="1:48" ht="14" customHeight="1" thickBot="1">
      <c r="A660" s="31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  <c r="AE660" s="9"/>
      <c r="AF660" s="9"/>
      <c r="AG660" s="9"/>
      <c r="AH660" s="9"/>
      <c r="AI660" s="9"/>
      <c r="AJ660" s="9"/>
      <c r="AK660" s="9"/>
      <c r="AL660" s="9"/>
      <c r="AM660" s="9"/>
      <c r="AN660" s="9"/>
      <c r="AO660" s="9"/>
      <c r="AP660" s="9"/>
      <c r="AQ660" s="9"/>
      <c r="AR660" s="9"/>
      <c r="AS660" s="9"/>
      <c r="AT660" s="9"/>
      <c r="AU660" s="9"/>
      <c r="AV660" s="9"/>
    </row>
    <row r="661" spans="1:48" ht="14" customHeight="1" thickBot="1">
      <c r="A661" s="31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  <c r="AE661" s="9"/>
      <c r="AF661" s="9"/>
      <c r="AG661" s="9"/>
      <c r="AH661" s="9"/>
      <c r="AI661" s="9"/>
      <c r="AJ661" s="9"/>
      <c r="AK661" s="9"/>
      <c r="AL661" s="9"/>
      <c r="AM661" s="9"/>
      <c r="AN661" s="9"/>
      <c r="AO661" s="9"/>
      <c r="AP661" s="9"/>
      <c r="AQ661" s="9"/>
      <c r="AR661" s="9"/>
      <c r="AS661" s="9"/>
      <c r="AT661" s="9"/>
      <c r="AU661" s="9"/>
      <c r="AV661" s="9"/>
    </row>
    <row r="662" spans="1:48" ht="14" customHeight="1" thickBot="1">
      <c r="A662" s="31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  <c r="AE662" s="9"/>
      <c r="AF662" s="9"/>
      <c r="AG662" s="9"/>
      <c r="AH662" s="9"/>
      <c r="AI662" s="9"/>
      <c r="AJ662" s="9"/>
      <c r="AK662" s="9"/>
      <c r="AL662" s="9"/>
      <c r="AM662" s="9"/>
      <c r="AN662" s="9"/>
      <c r="AO662" s="9"/>
      <c r="AP662" s="9"/>
      <c r="AQ662" s="9"/>
      <c r="AR662" s="9"/>
      <c r="AS662" s="9"/>
      <c r="AT662" s="9"/>
      <c r="AU662" s="9"/>
      <c r="AV662" s="9"/>
    </row>
    <row r="663" spans="1:48" ht="14" customHeight="1" thickBot="1">
      <c r="A663" s="31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  <c r="AE663" s="9"/>
      <c r="AF663" s="9"/>
      <c r="AG663" s="9"/>
      <c r="AH663" s="9"/>
      <c r="AI663" s="9"/>
      <c r="AJ663" s="9"/>
      <c r="AK663" s="9"/>
      <c r="AL663" s="9"/>
      <c r="AM663" s="9"/>
      <c r="AN663" s="9"/>
      <c r="AO663" s="9"/>
      <c r="AP663" s="9"/>
      <c r="AQ663" s="9"/>
      <c r="AR663" s="9"/>
      <c r="AS663" s="9"/>
      <c r="AT663" s="9"/>
      <c r="AU663" s="9"/>
      <c r="AV663" s="9"/>
    </row>
    <row r="664" spans="1:48" ht="14" customHeight="1" thickBot="1">
      <c r="A664" s="31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  <c r="AE664" s="9"/>
      <c r="AF664" s="9"/>
      <c r="AG664" s="9"/>
      <c r="AH664" s="9"/>
      <c r="AI664" s="9"/>
      <c r="AJ664" s="9"/>
      <c r="AK664" s="9"/>
      <c r="AL664" s="9"/>
      <c r="AM664" s="9"/>
      <c r="AN664" s="9"/>
      <c r="AO664" s="9"/>
      <c r="AP664" s="9"/>
      <c r="AQ664" s="9"/>
      <c r="AR664" s="9"/>
      <c r="AS664" s="9"/>
      <c r="AT664" s="9"/>
      <c r="AU664" s="9"/>
      <c r="AV664" s="9"/>
    </row>
    <row r="665" spans="1:48" ht="14" customHeight="1" thickBot="1">
      <c r="A665" s="31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  <c r="AE665" s="9"/>
      <c r="AF665" s="9"/>
      <c r="AG665" s="9"/>
      <c r="AH665" s="9"/>
      <c r="AI665" s="9"/>
      <c r="AJ665" s="9"/>
      <c r="AK665" s="9"/>
      <c r="AL665" s="9"/>
      <c r="AM665" s="9"/>
      <c r="AN665" s="9"/>
      <c r="AO665" s="9"/>
      <c r="AP665" s="9"/>
      <c r="AQ665" s="9"/>
      <c r="AR665" s="9"/>
      <c r="AS665" s="9"/>
      <c r="AT665" s="9"/>
      <c r="AU665" s="9"/>
      <c r="AV665" s="9"/>
    </row>
    <row r="666" spans="1:48" ht="14" customHeight="1" thickBot="1">
      <c r="A666" s="31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  <c r="AE666" s="9"/>
      <c r="AF666" s="9"/>
      <c r="AG666" s="9"/>
      <c r="AH666" s="9"/>
      <c r="AI666" s="9"/>
      <c r="AJ666" s="9"/>
      <c r="AK666" s="9"/>
      <c r="AL666" s="9"/>
      <c r="AM666" s="9"/>
      <c r="AN666" s="9"/>
      <c r="AO666" s="9"/>
      <c r="AP666" s="9"/>
      <c r="AQ666" s="9"/>
      <c r="AR666" s="9"/>
      <c r="AS666" s="9"/>
      <c r="AT666" s="9"/>
      <c r="AU666" s="9"/>
      <c r="AV666" s="9"/>
    </row>
    <row r="667" spans="1:48" ht="14" customHeight="1" thickBot="1">
      <c r="A667" s="31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  <c r="AE667" s="9"/>
      <c r="AF667" s="9"/>
      <c r="AG667" s="9"/>
      <c r="AH667" s="9"/>
      <c r="AI667" s="9"/>
      <c r="AJ667" s="9"/>
      <c r="AK667" s="9"/>
      <c r="AL667" s="9"/>
      <c r="AM667" s="9"/>
      <c r="AN667" s="9"/>
      <c r="AO667" s="9"/>
      <c r="AP667" s="9"/>
      <c r="AQ667" s="9"/>
      <c r="AR667" s="9"/>
      <c r="AS667" s="9"/>
      <c r="AT667" s="9"/>
      <c r="AU667" s="9"/>
      <c r="AV667" s="9"/>
    </row>
    <row r="668" spans="1:48" ht="14" customHeight="1" thickBot="1">
      <c r="A668" s="31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  <c r="AE668" s="9"/>
      <c r="AF668" s="9"/>
      <c r="AG668" s="9"/>
      <c r="AH668" s="9"/>
      <c r="AI668" s="9"/>
      <c r="AJ668" s="9"/>
      <c r="AK668" s="9"/>
      <c r="AL668" s="9"/>
      <c r="AM668" s="9"/>
      <c r="AN668" s="9"/>
      <c r="AO668" s="9"/>
      <c r="AP668" s="9"/>
      <c r="AQ668" s="9"/>
      <c r="AR668" s="9"/>
      <c r="AS668" s="9"/>
      <c r="AT668" s="9"/>
      <c r="AU668" s="9"/>
      <c r="AV668" s="9"/>
    </row>
    <row r="669" spans="1:48" ht="14" customHeight="1" thickBot="1">
      <c r="A669" s="31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  <c r="AE669" s="9"/>
      <c r="AF669" s="9"/>
      <c r="AG669" s="9"/>
      <c r="AH669" s="9"/>
      <c r="AI669" s="9"/>
      <c r="AJ669" s="9"/>
      <c r="AK669" s="9"/>
      <c r="AL669" s="9"/>
      <c r="AM669" s="9"/>
      <c r="AN669" s="9"/>
      <c r="AO669" s="9"/>
      <c r="AP669" s="9"/>
      <c r="AQ669" s="9"/>
      <c r="AR669" s="9"/>
      <c r="AS669" s="9"/>
      <c r="AT669" s="9"/>
      <c r="AU669" s="9"/>
      <c r="AV669" s="9"/>
    </row>
    <row r="670" spans="1:48" ht="14" customHeight="1" thickBot="1">
      <c r="A670" s="31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  <c r="AE670" s="9"/>
      <c r="AF670" s="9"/>
      <c r="AG670" s="9"/>
      <c r="AH670" s="9"/>
      <c r="AI670" s="9"/>
      <c r="AJ670" s="9"/>
      <c r="AK670" s="9"/>
      <c r="AL670" s="9"/>
      <c r="AM670" s="9"/>
      <c r="AN670" s="9"/>
      <c r="AO670" s="9"/>
      <c r="AP670" s="9"/>
      <c r="AQ670" s="9"/>
      <c r="AR670" s="9"/>
      <c r="AS670" s="9"/>
      <c r="AT670" s="9"/>
      <c r="AU670" s="9"/>
      <c r="AV670" s="9"/>
    </row>
    <row r="671" spans="1:48" ht="14" customHeight="1" thickBot="1">
      <c r="A671" s="31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  <c r="AE671" s="9"/>
      <c r="AF671" s="9"/>
      <c r="AG671" s="9"/>
      <c r="AH671" s="9"/>
      <c r="AI671" s="9"/>
      <c r="AJ671" s="9"/>
      <c r="AK671" s="9"/>
      <c r="AL671" s="9"/>
      <c r="AM671" s="9"/>
      <c r="AN671" s="9"/>
      <c r="AO671" s="9"/>
      <c r="AP671" s="9"/>
      <c r="AQ671" s="9"/>
      <c r="AR671" s="9"/>
      <c r="AS671" s="9"/>
      <c r="AT671" s="9"/>
      <c r="AU671" s="9"/>
      <c r="AV671" s="9"/>
    </row>
    <row r="672" spans="1:48" ht="14" customHeight="1" thickBot="1">
      <c r="A672" s="31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  <c r="AE672" s="9"/>
      <c r="AF672" s="9"/>
      <c r="AG672" s="9"/>
      <c r="AH672" s="9"/>
      <c r="AI672" s="9"/>
      <c r="AJ672" s="9"/>
      <c r="AK672" s="9"/>
      <c r="AL672" s="9"/>
      <c r="AM672" s="9"/>
      <c r="AN672" s="9"/>
      <c r="AO672" s="9"/>
      <c r="AP672" s="9"/>
      <c r="AQ672" s="9"/>
      <c r="AR672" s="9"/>
      <c r="AS672" s="9"/>
      <c r="AT672" s="9"/>
      <c r="AU672" s="9"/>
      <c r="AV672" s="9"/>
    </row>
    <row r="673" spans="1:48" ht="14" customHeight="1" thickBot="1">
      <c r="A673" s="31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  <c r="AE673" s="9"/>
      <c r="AF673" s="9"/>
      <c r="AG673" s="9"/>
      <c r="AH673" s="9"/>
      <c r="AI673" s="9"/>
      <c r="AJ673" s="9"/>
      <c r="AK673" s="9"/>
      <c r="AL673" s="9"/>
      <c r="AM673" s="9"/>
      <c r="AN673" s="9"/>
      <c r="AO673" s="9"/>
      <c r="AP673" s="9"/>
      <c r="AQ673" s="9"/>
      <c r="AR673" s="9"/>
      <c r="AS673" s="9"/>
      <c r="AT673" s="9"/>
      <c r="AU673" s="9"/>
      <c r="AV673" s="9"/>
    </row>
    <row r="674" spans="1:48" ht="14" customHeight="1" thickBot="1">
      <c r="A674" s="31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  <c r="AE674" s="9"/>
      <c r="AF674" s="9"/>
      <c r="AG674" s="9"/>
      <c r="AH674" s="9"/>
      <c r="AI674" s="9"/>
      <c r="AJ674" s="9"/>
      <c r="AK674" s="9"/>
      <c r="AL674" s="9"/>
      <c r="AM674" s="9"/>
      <c r="AN674" s="9"/>
      <c r="AO674" s="9"/>
      <c r="AP674" s="9"/>
      <c r="AQ674" s="9"/>
      <c r="AR674" s="9"/>
      <c r="AS674" s="9"/>
      <c r="AT674" s="9"/>
      <c r="AU674" s="9"/>
      <c r="AV674" s="9"/>
    </row>
    <row r="675" spans="1:48" ht="14" customHeight="1" thickBot="1">
      <c r="A675" s="31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  <c r="AE675" s="9"/>
      <c r="AF675" s="9"/>
      <c r="AG675" s="9"/>
      <c r="AH675" s="9"/>
      <c r="AI675" s="9"/>
      <c r="AJ675" s="9"/>
      <c r="AK675" s="9"/>
      <c r="AL675" s="9"/>
      <c r="AM675" s="9"/>
      <c r="AN675" s="9"/>
      <c r="AO675" s="9"/>
      <c r="AP675" s="9"/>
      <c r="AQ675" s="9"/>
      <c r="AR675" s="9"/>
      <c r="AS675" s="9"/>
      <c r="AT675" s="9"/>
      <c r="AU675" s="9"/>
      <c r="AV675" s="9"/>
    </row>
    <row r="676" spans="1:48" ht="14" customHeight="1" thickBot="1">
      <c r="A676" s="31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  <c r="AE676" s="9"/>
      <c r="AF676" s="9"/>
      <c r="AG676" s="9"/>
      <c r="AH676" s="9"/>
      <c r="AI676" s="9"/>
      <c r="AJ676" s="9"/>
      <c r="AK676" s="9"/>
      <c r="AL676" s="9"/>
      <c r="AM676" s="9"/>
      <c r="AN676" s="9"/>
      <c r="AO676" s="9"/>
      <c r="AP676" s="9"/>
      <c r="AQ676" s="9"/>
      <c r="AR676" s="9"/>
      <c r="AS676" s="9"/>
      <c r="AT676" s="9"/>
      <c r="AU676" s="9"/>
      <c r="AV676" s="9"/>
    </row>
    <row r="677" spans="1:48" ht="14" customHeight="1" thickBot="1">
      <c r="A677" s="31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  <c r="AE677" s="9"/>
      <c r="AF677" s="9"/>
      <c r="AG677" s="9"/>
      <c r="AH677" s="9"/>
      <c r="AI677" s="9"/>
      <c r="AJ677" s="9"/>
      <c r="AK677" s="9"/>
      <c r="AL677" s="9"/>
      <c r="AM677" s="9"/>
      <c r="AN677" s="9"/>
      <c r="AO677" s="9"/>
      <c r="AP677" s="9"/>
      <c r="AQ677" s="9"/>
      <c r="AR677" s="9"/>
      <c r="AS677" s="9"/>
      <c r="AT677" s="9"/>
      <c r="AU677" s="9"/>
      <c r="AV677" s="9"/>
    </row>
    <row r="678" spans="1:48" ht="14" customHeight="1" thickBot="1">
      <c r="A678" s="31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  <c r="AE678" s="9"/>
      <c r="AF678" s="9"/>
      <c r="AG678" s="9"/>
      <c r="AH678" s="9"/>
      <c r="AI678" s="9"/>
      <c r="AJ678" s="9"/>
      <c r="AK678" s="9"/>
      <c r="AL678" s="9"/>
      <c r="AM678" s="9"/>
      <c r="AN678" s="9"/>
      <c r="AO678" s="9"/>
      <c r="AP678" s="9"/>
      <c r="AQ678" s="9"/>
      <c r="AR678" s="9"/>
      <c r="AS678" s="9"/>
      <c r="AT678" s="9"/>
      <c r="AU678" s="9"/>
      <c r="AV678" s="9"/>
    </row>
    <row r="679" spans="1:48" ht="14" customHeight="1" thickBot="1">
      <c r="A679" s="31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  <c r="AE679" s="9"/>
      <c r="AF679" s="9"/>
      <c r="AG679" s="9"/>
      <c r="AH679" s="9"/>
      <c r="AI679" s="9"/>
      <c r="AJ679" s="9"/>
      <c r="AK679" s="9"/>
      <c r="AL679" s="9"/>
      <c r="AM679" s="9"/>
      <c r="AN679" s="9"/>
      <c r="AO679" s="9"/>
      <c r="AP679" s="9"/>
      <c r="AQ679" s="9"/>
      <c r="AR679" s="9"/>
      <c r="AS679" s="9"/>
      <c r="AT679" s="9"/>
      <c r="AU679" s="9"/>
      <c r="AV679" s="9"/>
    </row>
    <row r="680" spans="1:48" ht="14" customHeight="1" thickBot="1">
      <c r="A680" s="31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  <c r="AE680" s="9"/>
      <c r="AF680" s="9"/>
      <c r="AG680" s="9"/>
      <c r="AH680" s="9"/>
      <c r="AI680" s="9"/>
      <c r="AJ680" s="9"/>
      <c r="AK680" s="9"/>
      <c r="AL680" s="9"/>
      <c r="AM680" s="9"/>
      <c r="AN680" s="9"/>
      <c r="AO680" s="9"/>
      <c r="AP680" s="9"/>
      <c r="AQ680" s="9"/>
      <c r="AR680" s="9"/>
      <c r="AS680" s="9"/>
      <c r="AT680" s="9"/>
      <c r="AU680" s="9"/>
      <c r="AV680" s="9"/>
    </row>
    <row r="681" spans="1:48" ht="14" customHeight="1" thickBot="1">
      <c r="A681" s="31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  <c r="AE681" s="9"/>
      <c r="AF681" s="9"/>
      <c r="AG681" s="9"/>
      <c r="AH681" s="9"/>
      <c r="AI681" s="9"/>
      <c r="AJ681" s="9"/>
      <c r="AK681" s="9"/>
      <c r="AL681" s="9"/>
      <c r="AM681" s="9"/>
      <c r="AN681" s="9"/>
      <c r="AO681" s="9"/>
      <c r="AP681" s="9"/>
      <c r="AQ681" s="9"/>
      <c r="AR681" s="9"/>
      <c r="AS681" s="9"/>
      <c r="AT681" s="9"/>
      <c r="AU681" s="9"/>
      <c r="AV681" s="9"/>
    </row>
    <row r="682" spans="1:48" ht="14" customHeight="1" thickBot="1">
      <c r="A682" s="31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  <c r="AE682" s="9"/>
      <c r="AF682" s="9"/>
      <c r="AG682" s="9"/>
      <c r="AH682" s="9"/>
      <c r="AI682" s="9"/>
      <c r="AJ682" s="9"/>
      <c r="AK682" s="9"/>
      <c r="AL682" s="9"/>
      <c r="AM682" s="9"/>
      <c r="AN682" s="9"/>
      <c r="AO682" s="9"/>
      <c r="AP682" s="9"/>
      <c r="AQ682" s="9"/>
      <c r="AR682" s="9"/>
      <c r="AS682" s="9"/>
      <c r="AT682" s="9"/>
      <c r="AU682" s="9"/>
      <c r="AV682" s="9"/>
    </row>
    <row r="683" spans="1:48" ht="14" customHeight="1" thickBot="1">
      <c r="A683" s="31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  <c r="AE683" s="9"/>
      <c r="AF683" s="9"/>
      <c r="AG683" s="9"/>
      <c r="AH683" s="9"/>
      <c r="AI683" s="9"/>
      <c r="AJ683" s="9"/>
      <c r="AK683" s="9"/>
      <c r="AL683" s="9"/>
      <c r="AM683" s="9"/>
      <c r="AN683" s="9"/>
      <c r="AO683" s="9"/>
      <c r="AP683" s="9"/>
      <c r="AQ683" s="9"/>
      <c r="AR683" s="9"/>
      <c r="AS683" s="9"/>
      <c r="AT683" s="9"/>
      <c r="AU683" s="9"/>
      <c r="AV683" s="9"/>
    </row>
    <row r="684" spans="1:48" ht="14" customHeight="1" thickBot="1">
      <c r="A684" s="31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  <c r="AE684" s="9"/>
      <c r="AF684" s="9"/>
      <c r="AG684" s="9"/>
      <c r="AH684" s="9"/>
      <c r="AI684" s="9"/>
      <c r="AJ684" s="9"/>
      <c r="AK684" s="9"/>
      <c r="AL684" s="9"/>
      <c r="AM684" s="9"/>
      <c r="AN684" s="9"/>
      <c r="AO684" s="9"/>
      <c r="AP684" s="9"/>
      <c r="AQ684" s="9"/>
      <c r="AR684" s="9"/>
      <c r="AS684" s="9"/>
      <c r="AT684" s="9"/>
      <c r="AU684" s="9"/>
      <c r="AV684" s="9"/>
    </row>
    <row r="685" spans="1:48" ht="14" customHeight="1" thickBot="1">
      <c r="A685" s="31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  <c r="AE685" s="9"/>
      <c r="AF685" s="9"/>
      <c r="AG685" s="9"/>
      <c r="AH685" s="9"/>
      <c r="AI685" s="9"/>
      <c r="AJ685" s="9"/>
      <c r="AK685" s="9"/>
      <c r="AL685" s="9"/>
      <c r="AM685" s="9"/>
      <c r="AN685" s="9"/>
      <c r="AO685" s="9"/>
      <c r="AP685" s="9"/>
      <c r="AQ685" s="9"/>
      <c r="AR685" s="9"/>
      <c r="AS685" s="9"/>
      <c r="AT685" s="9"/>
      <c r="AU685" s="9"/>
      <c r="AV685" s="9"/>
    </row>
    <row r="686" spans="1:48" ht="14" customHeight="1" thickBot="1">
      <c r="A686" s="31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  <c r="AE686" s="9"/>
      <c r="AF686" s="9"/>
      <c r="AG686" s="9"/>
      <c r="AH686" s="9"/>
      <c r="AI686" s="9"/>
      <c r="AJ686" s="9"/>
      <c r="AK686" s="9"/>
      <c r="AL686" s="9"/>
      <c r="AM686" s="9"/>
      <c r="AN686" s="9"/>
      <c r="AO686" s="9"/>
      <c r="AP686" s="9"/>
      <c r="AQ686" s="9"/>
      <c r="AR686" s="9"/>
      <c r="AS686" s="9"/>
      <c r="AT686" s="9"/>
      <c r="AU686" s="9"/>
      <c r="AV686" s="9"/>
    </row>
    <row r="687" spans="1:48" ht="14" customHeight="1" thickBot="1">
      <c r="A687" s="31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  <c r="AE687" s="9"/>
      <c r="AF687" s="9"/>
      <c r="AG687" s="9"/>
      <c r="AH687" s="9"/>
      <c r="AI687" s="9"/>
      <c r="AJ687" s="9"/>
      <c r="AK687" s="9"/>
      <c r="AL687" s="9"/>
      <c r="AM687" s="9"/>
      <c r="AN687" s="9"/>
      <c r="AO687" s="9"/>
      <c r="AP687" s="9"/>
      <c r="AQ687" s="9"/>
      <c r="AR687" s="9"/>
      <c r="AS687" s="9"/>
      <c r="AT687" s="9"/>
      <c r="AU687" s="9"/>
      <c r="AV687" s="9"/>
    </row>
    <row r="688" spans="1:48" ht="14" customHeight="1" thickBot="1">
      <c r="A688" s="31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  <c r="AE688" s="9"/>
      <c r="AF688" s="9"/>
      <c r="AG688" s="9"/>
      <c r="AH688" s="9"/>
      <c r="AI688" s="9"/>
      <c r="AJ688" s="9"/>
      <c r="AK688" s="9"/>
      <c r="AL688" s="9"/>
      <c r="AM688" s="9"/>
      <c r="AN688" s="9"/>
      <c r="AO688" s="9"/>
      <c r="AP688" s="9"/>
      <c r="AQ688" s="9"/>
      <c r="AR688" s="9"/>
      <c r="AS688" s="9"/>
      <c r="AT688" s="9"/>
      <c r="AU688" s="9"/>
      <c r="AV688" s="9"/>
    </row>
    <row r="689" spans="1:48" ht="14" customHeight="1" thickBot="1">
      <c r="A689" s="31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  <c r="AE689" s="9"/>
      <c r="AF689" s="9"/>
      <c r="AG689" s="9"/>
      <c r="AH689" s="9"/>
      <c r="AI689" s="9"/>
      <c r="AJ689" s="9"/>
      <c r="AK689" s="9"/>
      <c r="AL689" s="9"/>
      <c r="AM689" s="9"/>
      <c r="AN689" s="9"/>
      <c r="AO689" s="9"/>
      <c r="AP689" s="9"/>
      <c r="AQ689" s="9"/>
      <c r="AR689" s="9"/>
      <c r="AS689" s="9"/>
      <c r="AT689" s="9"/>
      <c r="AU689" s="9"/>
      <c r="AV689" s="9"/>
    </row>
    <row r="690" spans="1:48" ht="14" customHeight="1" thickBot="1">
      <c r="A690" s="31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  <c r="AE690" s="9"/>
      <c r="AF690" s="9"/>
      <c r="AG690" s="9"/>
      <c r="AH690" s="9"/>
      <c r="AI690" s="9"/>
      <c r="AJ690" s="9"/>
      <c r="AK690" s="9"/>
      <c r="AL690" s="9"/>
      <c r="AM690" s="9"/>
      <c r="AN690" s="9"/>
      <c r="AO690" s="9"/>
      <c r="AP690" s="9"/>
      <c r="AQ690" s="9"/>
      <c r="AR690" s="9"/>
      <c r="AS690" s="9"/>
      <c r="AT690" s="9"/>
      <c r="AU690" s="9"/>
      <c r="AV690" s="9"/>
    </row>
    <row r="691" spans="1:48" ht="14" customHeight="1" thickBot="1">
      <c r="A691" s="31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  <c r="AE691" s="9"/>
      <c r="AF691" s="9"/>
      <c r="AG691" s="9"/>
      <c r="AH691" s="9"/>
      <c r="AI691" s="9"/>
      <c r="AJ691" s="9"/>
      <c r="AK691" s="9"/>
      <c r="AL691" s="9"/>
      <c r="AM691" s="9"/>
      <c r="AN691" s="9"/>
      <c r="AO691" s="9"/>
      <c r="AP691" s="9"/>
      <c r="AQ691" s="9"/>
      <c r="AR691" s="9"/>
      <c r="AS691" s="9"/>
      <c r="AT691" s="9"/>
      <c r="AU691" s="9"/>
      <c r="AV691" s="9"/>
    </row>
    <row r="692" spans="1:48" ht="14" customHeight="1" thickBot="1">
      <c r="A692" s="31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  <c r="AE692" s="9"/>
      <c r="AF692" s="9"/>
      <c r="AG692" s="9"/>
      <c r="AH692" s="9"/>
      <c r="AI692" s="9"/>
      <c r="AJ692" s="9"/>
      <c r="AK692" s="9"/>
      <c r="AL692" s="9"/>
      <c r="AM692" s="9"/>
      <c r="AN692" s="9"/>
      <c r="AO692" s="9"/>
      <c r="AP692" s="9"/>
      <c r="AQ692" s="9"/>
      <c r="AR692" s="9"/>
      <c r="AS692" s="9"/>
      <c r="AT692" s="9"/>
      <c r="AU692" s="9"/>
      <c r="AV692" s="9"/>
    </row>
    <row r="693" spans="1:48" ht="14" customHeight="1" thickBot="1">
      <c r="A693" s="31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  <c r="AE693" s="9"/>
      <c r="AF693" s="9"/>
      <c r="AG693" s="9"/>
      <c r="AH693" s="9"/>
      <c r="AI693" s="9"/>
      <c r="AJ693" s="9"/>
      <c r="AK693" s="9"/>
      <c r="AL693" s="9"/>
      <c r="AM693" s="9"/>
      <c r="AN693" s="9"/>
      <c r="AO693" s="9"/>
      <c r="AP693" s="9"/>
      <c r="AQ693" s="9"/>
      <c r="AR693" s="9"/>
      <c r="AS693" s="9"/>
      <c r="AT693" s="9"/>
      <c r="AU693" s="9"/>
      <c r="AV693" s="9"/>
    </row>
    <row r="694" spans="1:48" ht="14" customHeight="1" thickBot="1">
      <c r="A694" s="31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  <c r="AE694" s="9"/>
      <c r="AF694" s="9"/>
      <c r="AG694" s="9"/>
      <c r="AH694" s="9"/>
      <c r="AI694" s="9"/>
      <c r="AJ694" s="9"/>
      <c r="AK694" s="9"/>
      <c r="AL694" s="9"/>
      <c r="AM694" s="9"/>
      <c r="AN694" s="9"/>
      <c r="AO694" s="9"/>
      <c r="AP694" s="9"/>
      <c r="AQ694" s="9"/>
      <c r="AR694" s="9"/>
      <c r="AS694" s="9"/>
      <c r="AT694" s="9"/>
      <c r="AU694" s="9"/>
      <c r="AV694" s="9"/>
    </row>
    <row r="695" spans="1:48" ht="14" customHeight="1" thickBot="1">
      <c r="A695" s="31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  <c r="AE695" s="9"/>
      <c r="AF695" s="9"/>
      <c r="AG695" s="9"/>
      <c r="AH695" s="9"/>
      <c r="AI695" s="9"/>
      <c r="AJ695" s="9"/>
      <c r="AK695" s="9"/>
      <c r="AL695" s="9"/>
      <c r="AM695" s="9"/>
      <c r="AN695" s="9"/>
      <c r="AO695" s="9"/>
      <c r="AP695" s="9"/>
      <c r="AQ695" s="9"/>
      <c r="AR695" s="9"/>
      <c r="AS695" s="9"/>
      <c r="AT695" s="9"/>
      <c r="AU695" s="9"/>
      <c r="AV695" s="9"/>
    </row>
    <row r="696" spans="1:48" ht="14" customHeight="1" thickBot="1">
      <c r="A696" s="31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  <c r="AE696" s="9"/>
      <c r="AF696" s="9"/>
      <c r="AG696" s="9"/>
      <c r="AH696" s="9"/>
      <c r="AI696" s="9"/>
      <c r="AJ696" s="9"/>
      <c r="AK696" s="9"/>
      <c r="AL696" s="9"/>
      <c r="AM696" s="9"/>
      <c r="AN696" s="9"/>
      <c r="AO696" s="9"/>
      <c r="AP696" s="9"/>
      <c r="AQ696" s="9"/>
      <c r="AR696" s="9"/>
      <c r="AS696" s="9"/>
      <c r="AT696" s="9"/>
      <c r="AU696" s="9"/>
      <c r="AV696" s="9"/>
    </row>
    <row r="697" spans="1:48" ht="14" customHeight="1" thickBot="1">
      <c r="A697" s="31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  <c r="AE697" s="9"/>
      <c r="AF697" s="9"/>
      <c r="AG697" s="9"/>
      <c r="AH697" s="9"/>
      <c r="AI697" s="9"/>
      <c r="AJ697" s="9"/>
      <c r="AK697" s="9"/>
      <c r="AL697" s="9"/>
      <c r="AM697" s="9"/>
      <c r="AN697" s="9"/>
      <c r="AO697" s="9"/>
      <c r="AP697" s="9"/>
      <c r="AQ697" s="9"/>
      <c r="AR697" s="9"/>
      <c r="AS697" s="9"/>
      <c r="AT697" s="9"/>
      <c r="AU697" s="9"/>
      <c r="AV697" s="9"/>
    </row>
    <row r="698" spans="1:48" ht="14" customHeight="1" thickBot="1">
      <c r="A698" s="31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  <c r="AE698" s="9"/>
      <c r="AF698" s="9"/>
      <c r="AG698" s="9"/>
      <c r="AH698" s="9"/>
      <c r="AI698" s="9"/>
      <c r="AJ698" s="9"/>
      <c r="AK698" s="9"/>
      <c r="AL698" s="9"/>
      <c r="AM698" s="9"/>
      <c r="AN698" s="9"/>
      <c r="AO698" s="9"/>
      <c r="AP698" s="9"/>
      <c r="AQ698" s="9"/>
      <c r="AR698" s="9"/>
      <c r="AS698" s="9"/>
      <c r="AT698" s="9"/>
      <c r="AU698" s="9"/>
      <c r="AV698" s="9"/>
    </row>
    <row r="699" spans="1:48" ht="14" customHeight="1" thickBot="1">
      <c r="A699" s="31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  <c r="AE699" s="9"/>
      <c r="AF699" s="9"/>
      <c r="AG699" s="9"/>
      <c r="AH699" s="9"/>
      <c r="AI699" s="9"/>
      <c r="AJ699" s="9"/>
      <c r="AK699" s="9"/>
      <c r="AL699" s="9"/>
      <c r="AM699" s="9"/>
      <c r="AN699" s="9"/>
      <c r="AO699" s="9"/>
      <c r="AP699" s="9"/>
      <c r="AQ699" s="9"/>
      <c r="AR699" s="9"/>
      <c r="AS699" s="9"/>
      <c r="AT699" s="9"/>
      <c r="AU699" s="9"/>
      <c r="AV699" s="9"/>
    </row>
    <row r="700" spans="1:48" ht="14" customHeight="1" thickBot="1">
      <c r="A700" s="31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  <c r="AE700" s="9"/>
      <c r="AF700" s="9"/>
      <c r="AG700" s="9"/>
      <c r="AH700" s="9"/>
      <c r="AI700" s="9"/>
      <c r="AJ700" s="9"/>
      <c r="AK700" s="9"/>
      <c r="AL700" s="9"/>
      <c r="AM700" s="9"/>
      <c r="AN700" s="9"/>
      <c r="AO700" s="9"/>
      <c r="AP700" s="9"/>
      <c r="AQ700" s="9"/>
      <c r="AR700" s="9"/>
      <c r="AS700" s="9"/>
      <c r="AT700" s="9"/>
      <c r="AU700" s="9"/>
      <c r="AV700" s="9"/>
    </row>
    <row r="701" spans="1:48" ht="14" customHeight="1" thickBot="1">
      <c r="A701" s="31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  <c r="AE701" s="9"/>
      <c r="AF701" s="9"/>
      <c r="AG701" s="9"/>
      <c r="AH701" s="9"/>
      <c r="AI701" s="9"/>
      <c r="AJ701" s="9"/>
      <c r="AK701" s="9"/>
      <c r="AL701" s="9"/>
      <c r="AM701" s="9"/>
      <c r="AN701" s="9"/>
      <c r="AO701" s="9"/>
      <c r="AP701" s="9"/>
      <c r="AQ701" s="9"/>
      <c r="AR701" s="9"/>
      <c r="AS701" s="9"/>
      <c r="AT701" s="9"/>
      <c r="AU701" s="9"/>
      <c r="AV701" s="9"/>
    </row>
    <row r="702" spans="1:48" ht="14" customHeight="1" thickBot="1">
      <c r="A702" s="31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  <c r="AE702" s="9"/>
      <c r="AF702" s="9"/>
      <c r="AG702" s="9"/>
      <c r="AH702" s="9"/>
      <c r="AI702" s="9"/>
      <c r="AJ702" s="9"/>
      <c r="AK702" s="9"/>
      <c r="AL702" s="9"/>
      <c r="AM702" s="9"/>
      <c r="AN702" s="9"/>
      <c r="AO702" s="9"/>
      <c r="AP702" s="9"/>
      <c r="AQ702" s="9"/>
      <c r="AR702" s="9"/>
      <c r="AS702" s="9"/>
      <c r="AT702" s="9"/>
      <c r="AU702" s="9"/>
      <c r="AV702" s="9"/>
    </row>
    <row r="703" spans="1:48" ht="14" customHeight="1" thickBot="1">
      <c r="A703" s="31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  <c r="AE703" s="9"/>
      <c r="AF703" s="9"/>
      <c r="AG703" s="9"/>
      <c r="AH703" s="9"/>
      <c r="AI703" s="9"/>
      <c r="AJ703" s="9"/>
      <c r="AK703" s="9"/>
      <c r="AL703" s="9"/>
      <c r="AM703" s="9"/>
      <c r="AN703" s="9"/>
      <c r="AO703" s="9"/>
      <c r="AP703" s="9"/>
      <c r="AQ703" s="9"/>
      <c r="AR703" s="9"/>
      <c r="AS703" s="9"/>
      <c r="AT703" s="9"/>
      <c r="AU703" s="9"/>
      <c r="AV703" s="9"/>
    </row>
    <row r="704" spans="1:48" ht="14" customHeight="1" thickBot="1">
      <c r="A704" s="31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  <c r="AE704" s="9"/>
      <c r="AF704" s="9"/>
      <c r="AG704" s="9"/>
      <c r="AH704" s="9"/>
      <c r="AI704" s="9"/>
      <c r="AJ704" s="9"/>
      <c r="AK704" s="9"/>
      <c r="AL704" s="9"/>
      <c r="AM704" s="9"/>
      <c r="AN704" s="9"/>
      <c r="AO704" s="9"/>
      <c r="AP704" s="9"/>
      <c r="AQ704" s="9"/>
      <c r="AR704" s="9"/>
      <c r="AS704" s="9"/>
      <c r="AT704" s="9"/>
      <c r="AU704" s="9"/>
      <c r="AV704" s="9"/>
    </row>
    <row r="705" spans="1:48" ht="14" customHeight="1" thickBot="1">
      <c r="A705" s="31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  <c r="AE705" s="9"/>
      <c r="AF705" s="9"/>
      <c r="AG705" s="9"/>
      <c r="AH705" s="9"/>
      <c r="AI705" s="9"/>
      <c r="AJ705" s="9"/>
      <c r="AK705" s="9"/>
      <c r="AL705" s="9"/>
      <c r="AM705" s="9"/>
      <c r="AN705" s="9"/>
      <c r="AO705" s="9"/>
      <c r="AP705" s="9"/>
      <c r="AQ705" s="9"/>
      <c r="AR705" s="9"/>
      <c r="AS705" s="9"/>
      <c r="AT705" s="9"/>
      <c r="AU705" s="9"/>
      <c r="AV705" s="9"/>
    </row>
    <row r="706" spans="1:48" ht="14" customHeight="1" thickBot="1">
      <c r="A706" s="31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  <c r="AE706" s="9"/>
      <c r="AF706" s="9"/>
      <c r="AG706" s="9"/>
      <c r="AH706" s="9"/>
      <c r="AI706" s="9"/>
      <c r="AJ706" s="9"/>
      <c r="AK706" s="9"/>
      <c r="AL706" s="9"/>
      <c r="AM706" s="9"/>
      <c r="AN706" s="9"/>
      <c r="AO706" s="9"/>
      <c r="AP706" s="9"/>
      <c r="AQ706" s="9"/>
      <c r="AR706" s="9"/>
      <c r="AS706" s="9"/>
      <c r="AT706" s="9"/>
      <c r="AU706" s="9"/>
      <c r="AV706" s="9"/>
    </row>
    <row r="707" spans="1:48" ht="14" customHeight="1" thickBot="1">
      <c r="A707" s="31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  <c r="AE707" s="9"/>
      <c r="AF707" s="9"/>
      <c r="AG707" s="9"/>
      <c r="AH707" s="9"/>
      <c r="AI707" s="9"/>
      <c r="AJ707" s="9"/>
      <c r="AK707" s="9"/>
      <c r="AL707" s="9"/>
      <c r="AM707" s="9"/>
      <c r="AN707" s="9"/>
      <c r="AO707" s="9"/>
      <c r="AP707" s="9"/>
      <c r="AQ707" s="9"/>
      <c r="AR707" s="9"/>
      <c r="AS707" s="9"/>
      <c r="AT707" s="9"/>
      <c r="AU707" s="9"/>
      <c r="AV707" s="9"/>
    </row>
    <row r="708" spans="1:48" ht="14" customHeight="1" thickBot="1">
      <c r="A708" s="31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  <c r="AE708" s="9"/>
      <c r="AF708" s="9"/>
      <c r="AG708" s="9"/>
      <c r="AH708" s="9"/>
      <c r="AI708" s="9"/>
      <c r="AJ708" s="9"/>
      <c r="AK708" s="9"/>
      <c r="AL708" s="9"/>
      <c r="AM708" s="9"/>
      <c r="AN708" s="9"/>
      <c r="AO708" s="9"/>
      <c r="AP708" s="9"/>
      <c r="AQ708" s="9"/>
      <c r="AR708" s="9"/>
      <c r="AS708" s="9"/>
      <c r="AT708" s="9"/>
      <c r="AU708" s="9"/>
      <c r="AV708" s="9"/>
    </row>
    <row r="709" spans="1:48" ht="14" customHeight="1" thickBot="1">
      <c r="A709" s="31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  <c r="AE709" s="9"/>
      <c r="AF709" s="9"/>
      <c r="AG709" s="9"/>
      <c r="AH709" s="9"/>
      <c r="AI709" s="9"/>
      <c r="AJ709" s="9"/>
      <c r="AK709" s="9"/>
      <c r="AL709" s="9"/>
      <c r="AM709" s="9"/>
      <c r="AN709" s="9"/>
      <c r="AO709" s="9"/>
      <c r="AP709" s="9"/>
      <c r="AQ709" s="9"/>
      <c r="AR709" s="9"/>
      <c r="AS709" s="9"/>
      <c r="AT709" s="9"/>
      <c r="AU709" s="9"/>
      <c r="AV709" s="9"/>
    </row>
    <row r="710" spans="1:48" ht="14" customHeight="1" thickBot="1">
      <c r="A710" s="31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  <c r="AE710" s="9"/>
      <c r="AF710" s="9"/>
      <c r="AG710" s="9"/>
      <c r="AH710" s="9"/>
      <c r="AI710" s="9"/>
      <c r="AJ710" s="9"/>
      <c r="AK710" s="9"/>
      <c r="AL710" s="9"/>
      <c r="AM710" s="9"/>
      <c r="AN710" s="9"/>
      <c r="AO710" s="9"/>
      <c r="AP710" s="9"/>
      <c r="AQ710" s="9"/>
      <c r="AR710" s="9"/>
      <c r="AS710" s="9"/>
      <c r="AT710" s="9"/>
      <c r="AU710" s="9"/>
      <c r="AV710" s="9"/>
    </row>
    <row r="711" spans="1:48" ht="14" customHeight="1" thickBot="1">
      <c r="A711" s="31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  <c r="AE711" s="9"/>
      <c r="AF711" s="9"/>
      <c r="AG711" s="9"/>
      <c r="AH711" s="9"/>
      <c r="AI711" s="9"/>
      <c r="AJ711" s="9"/>
      <c r="AK711" s="9"/>
      <c r="AL711" s="9"/>
      <c r="AM711" s="9"/>
      <c r="AN711" s="9"/>
      <c r="AO711" s="9"/>
      <c r="AP711" s="9"/>
      <c r="AQ711" s="9"/>
      <c r="AR711" s="9"/>
      <c r="AS711" s="9"/>
      <c r="AT711" s="9"/>
      <c r="AU711" s="9"/>
      <c r="AV711" s="9"/>
    </row>
    <row r="712" spans="1:48" ht="14" customHeight="1" thickBot="1">
      <c r="A712" s="31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  <c r="AE712" s="9"/>
      <c r="AF712" s="9"/>
      <c r="AG712" s="9"/>
      <c r="AH712" s="9"/>
      <c r="AI712" s="9"/>
      <c r="AJ712" s="9"/>
      <c r="AK712" s="9"/>
      <c r="AL712" s="9"/>
      <c r="AM712" s="9"/>
      <c r="AN712" s="9"/>
      <c r="AO712" s="9"/>
      <c r="AP712" s="9"/>
      <c r="AQ712" s="9"/>
      <c r="AR712" s="9"/>
      <c r="AS712" s="9"/>
      <c r="AT712" s="9"/>
      <c r="AU712" s="9"/>
      <c r="AV712" s="9"/>
    </row>
    <row r="713" spans="1:48" ht="14" customHeight="1" thickBot="1">
      <c r="A713" s="31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  <c r="AE713" s="9"/>
      <c r="AF713" s="9"/>
      <c r="AG713" s="9"/>
      <c r="AH713" s="9"/>
      <c r="AI713" s="9"/>
      <c r="AJ713" s="9"/>
      <c r="AK713" s="9"/>
      <c r="AL713" s="9"/>
      <c r="AM713" s="9"/>
      <c r="AN713" s="9"/>
      <c r="AO713" s="9"/>
      <c r="AP713" s="9"/>
      <c r="AQ713" s="9"/>
      <c r="AR713" s="9"/>
      <c r="AS713" s="9"/>
      <c r="AT713" s="9"/>
      <c r="AU713" s="9"/>
      <c r="AV713" s="9"/>
    </row>
    <row r="714" spans="1:48" ht="14" customHeight="1" thickBot="1">
      <c r="A714" s="31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  <c r="AE714" s="9"/>
      <c r="AF714" s="9"/>
      <c r="AG714" s="9"/>
      <c r="AH714" s="9"/>
      <c r="AI714" s="9"/>
      <c r="AJ714" s="9"/>
      <c r="AK714" s="9"/>
      <c r="AL714" s="9"/>
      <c r="AM714" s="9"/>
      <c r="AN714" s="9"/>
      <c r="AO714" s="9"/>
      <c r="AP714" s="9"/>
      <c r="AQ714" s="9"/>
      <c r="AR714" s="9"/>
      <c r="AS714" s="9"/>
      <c r="AT714" s="9"/>
      <c r="AU714" s="9"/>
      <c r="AV714" s="9"/>
    </row>
    <row r="715" spans="1:48" ht="14" customHeight="1" thickBot="1">
      <c r="A715" s="31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  <c r="AE715" s="9"/>
      <c r="AF715" s="9"/>
      <c r="AG715" s="9"/>
      <c r="AH715" s="9"/>
      <c r="AI715" s="9"/>
      <c r="AJ715" s="9"/>
      <c r="AK715" s="9"/>
      <c r="AL715" s="9"/>
      <c r="AM715" s="9"/>
      <c r="AN715" s="9"/>
      <c r="AO715" s="9"/>
      <c r="AP715" s="9"/>
      <c r="AQ715" s="9"/>
      <c r="AR715" s="9"/>
      <c r="AS715" s="9"/>
      <c r="AT715" s="9"/>
      <c r="AU715" s="9"/>
      <c r="AV715" s="9"/>
    </row>
    <row r="716" spans="1:48" ht="14" customHeight="1" thickBot="1">
      <c r="A716" s="31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  <c r="AE716" s="9"/>
      <c r="AF716" s="9"/>
      <c r="AG716" s="9"/>
      <c r="AH716" s="9"/>
      <c r="AI716" s="9"/>
      <c r="AJ716" s="9"/>
      <c r="AK716" s="9"/>
      <c r="AL716" s="9"/>
      <c r="AM716" s="9"/>
      <c r="AN716" s="9"/>
      <c r="AO716" s="9"/>
      <c r="AP716" s="9"/>
      <c r="AQ716" s="9"/>
      <c r="AR716" s="9"/>
      <c r="AS716" s="9"/>
      <c r="AT716" s="9"/>
      <c r="AU716" s="9"/>
      <c r="AV716" s="9"/>
    </row>
    <row r="717" spans="1:48" ht="14" customHeight="1" thickBot="1">
      <c r="A717" s="31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  <c r="AE717" s="9"/>
      <c r="AF717" s="9"/>
      <c r="AG717" s="9"/>
      <c r="AH717" s="9"/>
      <c r="AI717" s="9"/>
      <c r="AJ717" s="9"/>
      <c r="AK717" s="9"/>
      <c r="AL717" s="9"/>
      <c r="AM717" s="9"/>
      <c r="AN717" s="9"/>
      <c r="AO717" s="9"/>
      <c r="AP717" s="9"/>
      <c r="AQ717" s="9"/>
      <c r="AR717" s="9"/>
      <c r="AS717" s="9"/>
      <c r="AT717" s="9"/>
      <c r="AU717" s="9"/>
      <c r="AV717" s="9"/>
    </row>
    <row r="718" spans="1:48" ht="14" customHeight="1" thickBot="1">
      <c r="A718" s="31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  <c r="AE718" s="9"/>
      <c r="AF718" s="9"/>
      <c r="AG718" s="9"/>
      <c r="AH718" s="9"/>
      <c r="AI718" s="9"/>
      <c r="AJ718" s="9"/>
      <c r="AK718" s="9"/>
      <c r="AL718" s="9"/>
      <c r="AM718" s="9"/>
      <c r="AN718" s="9"/>
      <c r="AO718" s="9"/>
      <c r="AP718" s="9"/>
      <c r="AQ718" s="9"/>
      <c r="AR718" s="9"/>
      <c r="AS718" s="9"/>
      <c r="AT718" s="9"/>
      <c r="AU718" s="9"/>
      <c r="AV718" s="9"/>
    </row>
    <row r="719" spans="1:48" ht="14" customHeight="1" thickBot="1">
      <c r="A719" s="31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  <c r="AE719" s="9"/>
      <c r="AF719" s="9"/>
      <c r="AG719" s="9"/>
      <c r="AH719" s="9"/>
      <c r="AI719" s="9"/>
      <c r="AJ719" s="9"/>
      <c r="AK719" s="9"/>
      <c r="AL719" s="9"/>
      <c r="AM719" s="9"/>
      <c r="AN719" s="9"/>
      <c r="AO719" s="9"/>
      <c r="AP719" s="9"/>
      <c r="AQ719" s="9"/>
      <c r="AR719" s="9"/>
      <c r="AS719" s="9"/>
      <c r="AT719" s="9"/>
      <c r="AU719" s="9"/>
      <c r="AV719" s="9"/>
    </row>
    <row r="720" spans="1:48" ht="14" customHeight="1" thickBot="1">
      <c r="A720" s="31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  <c r="AE720" s="9"/>
      <c r="AF720" s="9"/>
      <c r="AG720" s="9"/>
      <c r="AH720" s="9"/>
      <c r="AI720" s="9"/>
      <c r="AJ720" s="9"/>
      <c r="AK720" s="9"/>
      <c r="AL720" s="9"/>
      <c r="AM720" s="9"/>
      <c r="AN720" s="9"/>
      <c r="AO720" s="9"/>
      <c r="AP720" s="9"/>
      <c r="AQ720" s="9"/>
      <c r="AR720" s="9"/>
      <c r="AS720" s="9"/>
      <c r="AT720" s="9"/>
      <c r="AU720" s="9"/>
      <c r="AV720" s="9"/>
    </row>
    <row r="721" spans="1:48" ht="14" customHeight="1" thickBot="1">
      <c r="A721" s="31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  <c r="AE721" s="9"/>
      <c r="AF721" s="9"/>
      <c r="AG721" s="9"/>
      <c r="AH721" s="9"/>
      <c r="AI721" s="9"/>
      <c r="AJ721" s="9"/>
      <c r="AK721" s="9"/>
      <c r="AL721" s="9"/>
      <c r="AM721" s="9"/>
      <c r="AN721" s="9"/>
      <c r="AO721" s="9"/>
      <c r="AP721" s="9"/>
      <c r="AQ721" s="9"/>
      <c r="AR721" s="9"/>
      <c r="AS721" s="9"/>
      <c r="AT721" s="9"/>
      <c r="AU721" s="9"/>
      <c r="AV721" s="9"/>
    </row>
    <row r="722" spans="1:48" ht="14" customHeight="1" thickBot="1">
      <c r="A722" s="31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  <c r="AE722" s="9"/>
      <c r="AF722" s="9"/>
      <c r="AG722" s="9"/>
      <c r="AH722" s="9"/>
      <c r="AI722" s="9"/>
      <c r="AJ722" s="9"/>
      <c r="AK722" s="9"/>
      <c r="AL722" s="9"/>
      <c r="AM722" s="9"/>
      <c r="AN722" s="9"/>
      <c r="AO722" s="9"/>
      <c r="AP722" s="9"/>
      <c r="AQ722" s="9"/>
      <c r="AR722" s="9"/>
      <c r="AS722" s="9"/>
      <c r="AT722" s="9"/>
      <c r="AU722" s="9"/>
      <c r="AV722" s="9"/>
    </row>
    <row r="723" spans="1:48" ht="14" customHeight="1" thickBot="1">
      <c r="A723" s="31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  <c r="AE723" s="9"/>
      <c r="AF723" s="9"/>
      <c r="AG723" s="9"/>
      <c r="AH723" s="9"/>
      <c r="AI723" s="9"/>
      <c r="AJ723" s="9"/>
      <c r="AK723" s="9"/>
      <c r="AL723" s="9"/>
      <c r="AM723" s="9"/>
      <c r="AN723" s="9"/>
      <c r="AO723" s="9"/>
      <c r="AP723" s="9"/>
      <c r="AQ723" s="9"/>
      <c r="AR723" s="9"/>
      <c r="AS723" s="9"/>
      <c r="AT723" s="9"/>
      <c r="AU723" s="9"/>
      <c r="AV723" s="9"/>
    </row>
    <row r="724" spans="1:48" ht="14" customHeight="1" thickBot="1">
      <c r="A724" s="31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  <c r="AE724" s="9"/>
      <c r="AF724" s="9"/>
      <c r="AG724" s="9"/>
      <c r="AH724" s="9"/>
      <c r="AI724" s="9"/>
      <c r="AJ724" s="9"/>
      <c r="AK724" s="9"/>
      <c r="AL724" s="9"/>
      <c r="AM724" s="9"/>
      <c r="AN724" s="9"/>
      <c r="AO724" s="9"/>
      <c r="AP724" s="9"/>
      <c r="AQ724" s="9"/>
      <c r="AR724" s="9"/>
      <c r="AS724" s="9"/>
      <c r="AT724" s="9"/>
      <c r="AU724" s="9"/>
      <c r="AV724" s="9"/>
    </row>
    <row r="725" spans="1:48" ht="14" customHeight="1" thickBot="1">
      <c r="A725" s="31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  <c r="AE725" s="9"/>
      <c r="AF725" s="9"/>
      <c r="AG725" s="9"/>
      <c r="AH725" s="9"/>
      <c r="AI725" s="9"/>
      <c r="AJ725" s="9"/>
      <c r="AK725" s="9"/>
      <c r="AL725" s="9"/>
      <c r="AM725" s="9"/>
      <c r="AN725" s="9"/>
      <c r="AO725" s="9"/>
      <c r="AP725" s="9"/>
      <c r="AQ725" s="9"/>
      <c r="AR725" s="9"/>
      <c r="AS725" s="9"/>
      <c r="AT725" s="9"/>
      <c r="AU725" s="9"/>
      <c r="AV725" s="9"/>
    </row>
    <row r="726" spans="1:48" ht="14" customHeight="1" thickBot="1">
      <c r="A726" s="31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  <c r="AE726" s="9"/>
      <c r="AF726" s="9"/>
      <c r="AG726" s="9"/>
      <c r="AH726" s="9"/>
      <c r="AI726" s="9"/>
      <c r="AJ726" s="9"/>
      <c r="AK726" s="9"/>
      <c r="AL726" s="9"/>
      <c r="AM726" s="9"/>
      <c r="AN726" s="9"/>
      <c r="AO726" s="9"/>
      <c r="AP726" s="9"/>
      <c r="AQ726" s="9"/>
      <c r="AR726" s="9"/>
      <c r="AS726" s="9"/>
      <c r="AT726" s="9"/>
      <c r="AU726" s="9"/>
      <c r="AV726" s="9"/>
    </row>
    <row r="727" spans="1:48" ht="14" customHeight="1" thickBot="1">
      <c r="A727" s="31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  <c r="AE727" s="9"/>
      <c r="AF727" s="9"/>
      <c r="AG727" s="9"/>
      <c r="AH727" s="9"/>
      <c r="AI727" s="9"/>
      <c r="AJ727" s="9"/>
      <c r="AK727" s="9"/>
      <c r="AL727" s="9"/>
      <c r="AM727" s="9"/>
      <c r="AN727" s="9"/>
      <c r="AO727" s="9"/>
      <c r="AP727" s="9"/>
      <c r="AQ727" s="9"/>
      <c r="AR727" s="9"/>
      <c r="AS727" s="9"/>
      <c r="AT727" s="9"/>
      <c r="AU727" s="9"/>
      <c r="AV727" s="9"/>
    </row>
    <row r="728" spans="1:48" ht="14" customHeight="1" thickBot="1">
      <c r="A728" s="31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  <c r="AE728" s="9"/>
      <c r="AF728" s="9"/>
      <c r="AG728" s="9"/>
      <c r="AH728" s="9"/>
      <c r="AI728" s="9"/>
      <c r="AJ728" s="9"/>
      <c r="AK728" s="9"/>
      <c r="AL728" s="9"/>
      <c r="AM728" s="9"/>
      <c r="AN728" s="9"/>
      <c r="AO728" s="9"/>
      <c r="AP728" s="9"/>
      <c r="AQ728" s="9"/>
      <c r="AR728" s="9"/>
      <c r="AS728" s="9"/>
      <c r="AT728" s="9"/>
      <c r="AU728" s="9"/>
      <c r="AV728" s="9"/>
    </row>
    <row r="729" spans="1:48" ht="14" customHeight="1" thickBot="1">
      <c r="A729" s="31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  <c r="AE729" s="9"/>
      <c r="AF729" s="9"/>
      <c r="AG729" s="9"/>
      <c r="AH729" s="9"/>
      <c r="AI729" s="9"/>
      <c r="AJ729" s="9"/>
      <c r="AK729" s="9"/>
      <c r="AL729" s="9"/>
      <c r="AM729" s="9"/>
      <c r="AN729" s="9"/>
      <c r="AO729" s="9"/>
      <c r="AP729" s="9"/>
      <c r="AQ729" s="9"/>
      <c r="AR729" s="9"/>
      <c r="AS729" s="9"/>
      <c r="AT729" s="9"/>
      <c r="AU729" s="9"/>
      <c r="AV729" s="9"/>
    </row>
    <row r="730" spans="1:48" ht="14" customHeight="1" thickBot="1">
      <c r="A730" s="31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  <c r="AE730" s="9"/>
      <c r="AF730" s="9"/>
      <c r="AG730" s="9"/>
      <c r="AH730" s="9"/>
      <c r="AI730" s="9"/>
      <c r="AJ730" s="9"/>
      <c r="AK730" s="9"/>
      <c r="AL730" s="9"/>
      <c r="AM730" s="9"/>
      <c r="AN730" s="9"/>
      <c r="AO730" s="9"/>
      <c r="AP730" s="9"/>
      <c r="AQ730" s="9"/>
      <c r="AR730" s="9"/>
      <c r="AS730" s="9"/>
      <c r="AT730" s="9"/>
      <c r="AU730" s="9"/>
      <c r="AV730" s="9"/>
    </row>
    <row r="731" spans="1:48" ht="14" customHeight="1" thickBot="1">
      <c r="A731" s="31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  <c r="AE731" s="9"/>
      <c r="AF731" s="9"/>
      <c r="AG731" s="9"/>
      <c r="AH731" s="9"/>
      <c r="AI731" s="9"/>
      <c r="AJ731" s="9"/>
      <c r="AK731" s="9"/>
      <c r="AL731" s="9"/>
      <c r="AM731" s="9"/>
      <c r="AN731" s="9"/>
      <c r="AO731" s="9"/>
      <c r="AP731" s="9"/>
      <c r="AQ731" s="9"/>
      <c r="AR731" s="9"/>
      <c r="AS731" s="9"/>
      <c r="AT731" s="9"/>
      <c r="AU731" s="9"/>
      <c r="AV731" s="9"/>
    </row>
    <row r="732" spans="1:48" ht="14" customHeight="1" thickBot="1">
      <c r="A732" s="31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  <c r="AE732" s="9"/>
      <c r="AF732" s="9"/>
      <c r="AG732" s="9"/>
      <c r="AH732" s="9"/>
      <c r="AI732" s="9"/>
      <c r="AJ732" s="9"/>
      <c r="AK732" s="9"/>
      <c r="AL732" s="9"/>
      <c r="AM732" s="9"/>
      <c r="AN732" s="9"/>
      <c r="AO732" s="9"/>
      <c r="AP732" s="9"/>
      <c r="AQ732" s="9"/>
      <c r="AR732" s="9"/>
      <c r="AS732" s="9"/>
      <c r="AT732" s="9"/>
      <c r="AU732" s="9"/>
      <c r="AV732" s="9"/>
    </row>
    <row r="733" spans="1:48" ht="14" customHeight="1" thickBot="1">
      <c r="A733" s="31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  <c r="AE733" s="9"/>
      <c r="AF733" s="9"/>
      <c r="AG733" s="9"/>
      <c r="AH733" s="9"/>
      <c r="AI733" s="9"/>
      <c r="AJ733" s="9"/>
      <c r="AK733" s="9"/>
      <c r="AL733" s="9"/>
      <c r="AM733" s="9"/>
      <c r="AN733" s="9"/>
      <c r="AO733" s="9"/>
      <c r="AP733" s="9"/>
      <c r="AQ733" s="9"/>
      <c r="AR733" s="9"/>
      <c r="AS733" s="9"/>
      <c r="AT733" s="9"/>
      <c r="AU733" s="9"/>
      <c r="AV733" s="9"/>
    </row>
    <row r="734" spans="1:48" ht="14" customHeight="1" thickBot="1">
      <c r="A734" s="31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  <c r="AE734" s="9"/>
      <c r="AF734" s="9"/>
      <c r="AG734" s="9"/>
      <c r="AH734" s="9"/>
      <c r="AI734" s="9"/>
      <c r="AJ734" s="9"/>
      <c r="AK734" s="9"/>
      <c r="AL734" s="9"/>
      <c r="AM734" s="9"/>
      <c r="AN734" s="9"/>
      <c r="AO734" s="9"/>
      <c r="AP734" s="9"/>
      <c r="AQ734" s="9"/>
      <c r="AR734" s="9"/>
      <c r="AS734" s="9"/>
      <c r="AT734" s="9"/>
      <c r="AU734" s="9"/>
      <c r="AV734" s="9"/>
    </row>
    <row r="735" spans="1:48" ht="14" customHeight="1" thickBot="1">
      <c r="A735" s="31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  <c r="AE735" s="9"/>
      <c r="AF735" s="9"/>
      <c r="AG735" s="9"/>
      <c r="AH735" s="9"/>
      <c r="AI735" s="9"/>
      <c r="AJ735" s="9"/>
      <c r="AK735" s="9"/>
      <c r="AL735" s="9"/>
      <c r="AM735" s="9"/>
      <c r="AN735" s="9"/>
      <c r="AO735" s="9"/>
      <c r="AP735" s="9"/>
      <c r="AQ735" s="9"/>
      <c r="AR735" s="9"/>
      <c r="AS735" s="9"/>
      <c r="AT735" s="9"/>
      <c r="AU735" s="9"/>
      <c r="AV735" s="9"/>
    </row>
    <row r="736" spans="1:48" ht="14" customHeight="1" thickBot="1">
      <c r="A736" s="31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  <c r="AE736" s="9"/>
      <c r="AF736" s="9"/>
      <c r="AG736" s="9"/>
      <c r="AH736" s="9"/>
      <c r="AI736" s="9"/>
      <c r="AJ736" s="9"/>
      <c r="AK736" s="9"/>
      <c r="AL736" s="9"/>
      <c r="AM736" s="9"/>
      <c r="AN736" s="9"/>
      <c r="AO736" s="9"/>
      <c r="AP736" s="9"/>
      <c r="AQ736" s="9"/>
      <c r="AR736" s="9"/>
      <c r="AS736" s="9"/>
      <c r="AT736" s="9"/>
      <c r="AU736" s="9"/>
      <c r="AV736" s="9"/>
    </row>
    <row r="737" spans="1:48" ht="14" customHeight="1" thickBot="1">
      <c r="A737" s="31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  <c r="AE737" s="9"/>
      <c r="AF737" s="9"/>
      <c r="AG737" s="9"/>
      <c r="AH737" s="9"/>
      <c r="AI737" s="9"/>
      <c r="AJ737" s="9"/>
      <c r="AK737" s="9"/>
      <c r="AL737" s="9"/>
      <c r="AM737" s="9"/>
      <c r="AN737" s="9"/>
      <c r="AO737" s="9"/>
      <c r="AP737" s="9"/>
      <c r="AQ737" s="9"/>
      <c r="AR737" s="9"/>
      <c r="AS737" s="9"/>
      <c r="AT737" s="9"/>
      <c r="AU737" s="9"/>
      <c r="AV737" s="9"/>
    </row>
    <row r="738" spans="1:48" ht="14" customHeight="1" thickBot="1">
      <c r="A738" s="31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  <c r="AE738" s="9"/>
      <c r="AF738" s="9"/>
      <c r="AG738" s="9"/>
      <c r="AH738" s="9"/>
      <c r="AI738" s="9"/>
      <c r="AJ738" s="9"/>
      <c r="AK738" s="9"/>
      <c r="AL738" s="9"/>
      <c r="AM738" s="9"/>
      <c r="AN738" s="9"/>
      <c r="AO738" s="9"/>
      <c r="AP738" s="9"/>
      <c r="AQ738" s="9"/>
      <c r="AR738" s="9"/>
      <c r="AS738" s="9"/>
      <c r="AT738" s="9"/>
      <c r="AU738" s="9"/>
      <c r="AV738" s="9"/>
    </row>
    <row r="739" spans="1:48" ht="14" customHeight="1" thickBot="1">
      <c r="A739" s="31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  <c r="AE739" s="9"/>
      <c r="AF739" s="9"/>
      <c r="AG739" s="9"/>
      <c r="AH739" s="9"/>
      <c r="AI739" s="9"/>
      <c r="AJ739" s="9"/>
      <c r="AK739" s="9"/>
      <c r="AL739" s="9"/>
      <c r="AM739" s="9"/>
      <c r="AN739" s="9"/>
      <c r="AO739" s="9"/>
      <c r="AP739" s="9"/>
      <c r="AQ739" s="9"/>
      <c r="AR739" s="9"/>
      <c r="AS739" s="9"/>
      <c r="AT739" s="9"/>
      <c r="AU739" s="9"/>
      <c r="AV739" s="9"/>
    </row>
    <row r="740" spans="1:48" ht="14" customHeight="1" thickBot="1">
      <c r="A740" s="31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  <c r="AE740" s="9"/>
      <c r="AF740" s="9"/>
      <c r="AG740" s="9"/>
      <c r="AH740" s="9"/>
      <c r="AI740" s="9"/>
      <c r="AJ740" s="9"/>
      <c r="AK740" s="9"/>
      <c r="AL740" s="9"/>
      <c r="AM740" s="9"/>
      <c r="AN740" s="9"/>
      <c r="AO740" s="9"/>
      <c r="AP740" s="9"/>
      <c r="AQ740" s="9"/>
      <c r="AR740" s="9"/>
      <c r="AS740" s="9"/>
      <c r="AT740" s="9"/>
      <c r="AU740" s="9"/>
      <c r="AV740" s="9"/>
    </row>
    <row r="741" spans="1:48" ht="14" customHeight="1" thickBot="1">
      <c r="A741" s="31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  <c r="AE741" s="9"/>
      <c r="AF741" s="9"/>
      <c r="AG741" s="9"/>
      <c r="AH741" s="9"/>
      <c r="AI741" s="9"/>
      <c r="AJ741" s="9"/>
      <c r="AK741" s="9"/>
      <c r="AL741" s="9"/>
      <c r="AM741" s="9"/>
      <c r="AN741" s="9"/>
      <c r="AO741" s="9"/>
      <c r="AP741" s="9"/>
      <c r="AQ741" s="9"/>
      <c r="AR741" s="9"/>
      <c r="AS741" s="9"/>
      <c r="AT741" s="9"/>
      <c r="AU741" s="9"/>
      <c r="AV741" s="9"/>
    </row>
    <row r="742" spans="1:48" ht="14" customHeight="1" thickBot="1">
      <c r="A742" s="31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  <c r="AE742" s="9"/>
      <c r="AF742" s="9"/>
      <c r="AG742" s="9"/>
      <c r="AH742" s="9"/>
      <c r="AI742" s="9"/>
      <c r="AJ742" s="9"/>
      <c r="AK742" s="9"/>
      <c r="AL742" s="9"/>
      <c r="AM742" s="9"/>
      <c r="AN742" s="9"/>
      <c r="AO742" s="9"/>
      <c r="AP742" s="9"/>
      <c r="AQ742" s="9"/>
      <c r="AR742" s="9"/>
      <c r="AS742" s="9"/>
      <c r="AT742" s="9"/>
      <c r="AU742" s="9"/>
      <c r="AV742" s="9"/>
    </row>
    <row r="743" spans="1:48" ht="14" customHeight="1" thickBot="1">
      <c r="A743" s="31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  <c r="AE743" s="9"/>
      <c r="AF743" s="9"/>
      <c r="AG743" s="9"/>
      <c r="AH743" s="9"/>
      <c r="AI743" s="9"/>
      <c r="AJ743" s="9"/>
      <c r="AK743" s="9"/>
      <c r="AL743" s="9"/>
      <c r="AM743" s="9"/>
      <c r="AN743" s="9"/>
      <c r="AO743" s="9"/>
      <c r="AP743" s="9"/>
      <c r="AQ743" s="9"/>
      <c r="AR743" s="9"/>
      <c r="AS743" s="9"/>
      <c r="AT743" s="9"/>
      <c r="AU743" s="9"/>
      <c r="AV743" s="9"/>
    </row>
    <row r="744" spans="1:48" ht="14" customHeight="1" thickBot="1">
      <c r="A744" s="31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  <c r="AE744" s="9"/>
      <c r="AF744" s="9"/>
      <c r="AG744" s="9"/>
      <c r="AH744" s="9"/>
      <c r="AI744" s="9"/>
      <c r="AJ744" s="9"/>
      <c r="AK744" s="9"/>
      <c r="AL744" s="9"/>
      <c r="AM744" s="9"/>
      <c r="AN744" s="9"/>
      <c r="AO744" s="9"/>
      <c r="AP744" s="9"/>
      <c r="AQ744" s="9"/>
      <c r="AR744" s="9"/>
      <c r="AS744" s="9"/>
      <c r="AT744" s="9"/>
      <c r="AU744" s="9"/>
      <c r="AV744" s="9"/>
    </row>
    <row r="745" spans="1:48" ht="14" customHeight="1" thickBot="1">
      <c r="A745" s="31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  <c r="AE745" s="9"/>
      <c r="AF745" s="9"/>
      <c r="AG745" s="9"/>
      <c r="AH745" s="9"/>
      <c r="AI745" s="9"/>
      <c r="AJ745" s="9"/>
      <c r="AK745" s="9"/>
      <c r="AL745" s="9"/>
      <c r="AM745" s="9"/>
      <c r="AN745" s="9"/>
      <c r="AO745" s="9"/>
      <c r="AP745" s="9"/>
      <c r="AQ745" s="9"/>
      <c r="AR745" s="9"/>
      <c r="AS745" s="9"/>
      <c r="AT745" s="9"/>
      <c r="AU745" s="9"/>
      <c r="AV745" s="9"/>
    </row>
    <row r="746" spans="1:48" ht="14" customHeight="1" thickBot="1">
      <c r="A746" s="31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  <c r="AE746" s="9"/>
      <c r="AF746" s="9"/>
      <c r="AG746" s="9"/>
      <c r="AH746" s="9"/>
      <c r="AI746" s="9"/>
      <c r="AJ746" s="9"/>
      <c r="AK746" s="9"/>
      <c r="AL746" s="9"/>
      <c r="AM746" s="9"/>
      <c r="AN746" s="9"/>
      <c r="AO746" s="9"/>
      <c r="AP746" s="9"/>
      <c r="AQ746" s="9"/>
      <c r="AR746" s="9"/>
      <c r="AS746" s="9"/>
      <c r="AT746" s="9"/>
      <c r="AU746" s="9"/>
      <c r="AV746" s="9"/>
    </row>
    <row r="747" spans="1:48" ht="14" customHeight="1" thickBot="1">
      <c r="A747" s="31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  <c r="AF747" s="9"/>
      <c r="AG747" s="9"/>
      <c r="AH747" s="9"/>
      <c r="AI747" s="9"/>
      <c r="AJ747" s="9"/>
      <c r="AK747" s="9"/>
      <c r="AL747" s="9"/>
      <c r="AM747" s="9"/>
      <c r="AN747" s="9"/>
      <c r="AO747" s="9"/>
      <c r="AP747" s="9"/>
      <c r="AQ747" s="9"/>
      <c r="AR747" s="9"/>
      <c r="AS747" s="9"/>
      <c r="AT747" s="9"/>
      <c r="AU747" s="9"/>
      <c r="AV747" s="9"/>
    </row>
    <row r="748" spans="1:48" ht="14" customHeight="1" thickBot="1">
      <c r="A748" s="31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  <c r="AE748" s="9"/>
      <c r="AF748" s="9"/>
      <c r="AG748" s="9"/>
      <c r="AH748" s="9"/>
      <c r="AI748" s="9"/>
      <c r="AJ748" s="9"/>
      <c r="AK748" s="9"/>
      <c r="AL748" s="9"/>
      <c r="AM748" s="9"/>
      <c r="AN748" s="9"/>
      <c r="AO748" s="9"/>
      <c r="AP748" s="9"/>
      <c r="AQ748" s="9"/>
      <c r="AR748" s="9"/>
      <c r="AS748" s="9"/>
      <c r="AT748" s="9"/>
      <c r="AU748" s="9"/>
      <c r="AV748" s="9"/>
    </row>
    <row r="749" spans="1:48" ht="14" customHeight="1" thickBot="1">
      <c r="A749" s="31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  <c r="AE749" s="9"/>
      <c r="AF749" s="9"/>
      <c r="AG749" s="9"/>
      <c r="AH749" s="9"/>
      <c r="AI749" s="9"/>
      <c r="AJ749" s="9"/>
      <c r="AK749" s="9"/>
      <c r="AL749" s="9"/>
      <c r="AM749" s="9"/>
      <c r="AN749" s="9"/>
      <c r="AO749" s="9"/>
      <c r="AP749" s="9"/>
      <c r="AQ749" s="9"/>
      <c r="AR749" s="9"/>
      <c r="AS749" s="9"/>
      <c r="AT749" s="9"/>
      <c r="AU749" s="9"/>
      <c r="AV749" s="9"/>
    </row>
    <row r="750" spans="1:48" ht="14" customHeight="1" thickBot="1">
      <c r="A750" s="31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  <c r="AE750" s="9"/>
      <c r="AF750" s="9"/>
      <c r="AG750" s="9"/>
      <c r="AH750" s="9"/>
      <c r="AI750" s="9"/>
      <c r="AJ750" s="9"/>
      <c r="AK750" s="9"/>
      <c r="AL750" s="9"/>
      <c r="AM750" s="9"/>
      <c r="AN750" s="9"/>
      <c r="AO750" s="9"/>
      <c r="AP750" s="9"/>
      <c r="AQ750" s="9"/>
      <c r="AR750" s="9"/>
      <c r="AS750" s="9"/>
      <c r="AT750" s="9"/>
      <c r="AU750" s="9"/>
      <c r="AV750" s="9"/>
    </row>
    <row r="751" spans="1:48" ht="14" customHeight="1" thickBot="1">
      <c r="A751" s="31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  <c r="AE751" s="9"/>
      <c r="AF751" s="9"/>
      <c r="AG751" s="9"/>
      <c r="AH751" s="9"/>
      <c r="AI751" s="9"/>
      <c r="AJ751" s="9"/>
      <c r="AK751" s="9"/>
      <c r="AL751" s="9"/>
      <c r="AM751" s="9"/>
      <c r="AN751" s="9"/>
      <c r="AO751" s="9"/>
      <c r="AP751" s="9"/>
      <c r="AQ751" s="9"/>
      <c r="AR751" s="9"/>
      <c r="AS751" s="9"/>
      <c r="AT751" s="9"/>
      <c r="AU751" s="9"/>
      <c r="AV751" s="9"/>
    </row>
    <row r="752" spans="1:48" ht="14" customHeight="1" thickBot="1">
      <c r="A752" s="31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  <c r="AE752" s="9"/>
      <c r="AF752" s="9"/>
      <c r="AG752" s="9"/>
      <c r="AH752" s="9"/>
      <c r="AI752" s="9"/>
      <c r="AJ752" s="9"/>
      <c r="AK752" s="9"/>
      <c r="AL752" s="9"/>
      <c r="AM752" s="9"/>
      <c r="AN752" s="9"/>
      <c r="AO752" s="9"/>
      <c r="AP752" s="9"/>
      <c r="AQ752" s="9"/>
      <c r="AR752" s="9"/>
      <c r="AS752" s="9"/>
      <c r="AT752" s="9"/>
      <c r="AU752" s="9"/>
      <c r="AV752" s="9"/>
    </row>
    <row r="753" spans="1:48" ht="14" customHeight="1" thickBot="1">
      <c r="A753" s="31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  <c r="AE753" s="9"/>
      <c r="AF753" s="9"/>
      <c r="AG753" s="9"/>
      <c r="AH753" s="9"/>
      <c r="AI753" s="9"/>
      <c r="AJ753" s="9"/>
      <c r="AK753" s="9"/>
      <c r="AL753" s="9"/>
      <c r="AM753" s="9"/>
      <c r="AN753" s="9"/>
      <c r="AO753" s="9"/>
      <c r="AP753" s="9"/>
      <c r="AQ753" s="9"/>
      <c r="AR753" s="9"/>
      <c r="AS753" s="9"/>
      <c r="AT753" s="9"/>
      <c r="AU753" s="9"/>
      <c r="AV753" s="9"/>
    </row>
    <row r="754" spans="1:48" ht="14" customHeight="1" thickBot="1">
      <c r="A754" s="31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  <c r="AE754" s="9"/>
      <c r="AF754" s="9"/>
      <c r="AG754" s="9"/>
      <c r="AH754" s="9"/>
      <c r="AI754" s="9"/>
      <c r="AJ754" s="9"/>
      <c r="AK754" s="9"/>
      <c r="AL754" s="9"/>
      <c r="AM754" s="9"/>
      <c r="AN754" s="9"/>
      <c r="AO754" s="9"/>
      <c r="AP754" s="9"/>
      <c r="AQ754" s="9"/>
      <c r="AR754" s="9"/>
      <c r="AS754" s="9"/>
      <c r="AT754" s="9"/>
      <c r="AU754" s="9"/>
      <c r="AV754" s="9"/>
    </row>
    <row r="755" spans="1:48" ht="14" customHeight="1" thickBot="1">
      <c r="A755" s="31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  <c r="AE755" s="9"/>
      <c r="AF755" s="9"/>
      <c r="AG755" s="9"/>
      <c r="AH755" s="9"/>
      <c r="AI755" s="9"/>
      <c r="AJ755" s="9"/>
      <c r="AK755" s="9"/>
      <c r="AL755" s="9"/>
      <c r="AM755" s="9"/>
      <c r="AN755" s="9"/>
      <c r="AO755" s="9"/>
      <c r="AP755" s="9"/>
      <c r="AQ755" s="9"/>
      <c r="AR755" s="9"/>
      <c r="AS755" s="9"/>
      <c r="AT755" s="9"/>
      <c r="AU755" s="9"/>
      <c r="AV755" s="9"/>
    </row>
    <row r="756" spans="1:48" ht="14" customHeight="1" thickBot="1">
      <c r="A756" s="31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  <c r="AE756" s="9"/>
      <c r="AF756" s="9"/>
      <c r="AG756" s="9"/>
      <c r="AH756" s="9"/>
      <c r="AI756" s="9"/>
      <c r="AJ756" s="9"/>
      <c r="AK756" s="9"/>
      <c r="AL756" s="9"/>
      <c r="AM756" s="9"/>
      <c r="AN756" s="9"/>
      <c r="AO756" s="9"/>
      <c r="AP756" s="9"/>
      <c r="AQ756" s="9"/>
      <c r="AR756" s="9"/>
      <c r="AS756" s="9"/>
      <c r="AT756" s="9"/>
      <c r="AU756" s="9"/>
      <c r="AV756" s="9"/>
    </row>
    <row r="757" spans="1:48" ht="14" customHeight="1" thickBot="1">
      <c r="A757" s="31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  <c r="AE757" s="9"/>
      <c r="AF757" s="9"/>
      <c r="AG757" s="9"/>
      <c r="AH757" s="9"/>
      <c r="AI757" s="9"/>
      <c r="AJ757" s="9"/>
      <c r="AK757" s="9"/>
      <c r="AL757" s="9"/>
      <c r="AM757" s="9"/>
      <c r="AN757" s="9"/>
      <c r="AO757" s="9"/>
      <c r="AP757" s="9"/>
      <c r="AQ757" s="9"/>
      <c r="AR757" s="9"/>
      <c r="AS757" s="9"/>
      <c r="AT757" s="9"/>
      <c r="AU757" s="9"/>
      <c r="AV757" s="9"/>
    </row>
    <row r="758" spans="1:48" ht="14" customHeight="1" thickBot="1">
      <c r="A758" s="31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  <c r="AE758" s="9"/>
      <c r="AF758" s="9"/>
      <c r="AG758" s="9"/>
      <c r="AH758" s="9"/>
      <c r="AI758" s="9"/>
      <c r="AJ758" s="9"/>
      <c r="AK758" s="9"/>
      <c r="AL758" s="9"/>
      <c r="AM758" s="9"/>
      <c r="AN758" s="9"/>
      <c r="AO758" s="9"/>
      <c r="AP758" s="9"/>
      <c r="AQ758" s="9"/>
      <c r="AR758" s="9"/>
      <c r="AS758" s="9"/>
      <c r="AT758" s="9"/>
      <c r="AU758" s="9"/>
      <c r="AV758" s="9"/>
    </row>
    <row r="759" spans="1:48" ht="14" customHeight="1" thickBot="1">
      <c r="A759" s="31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  <c r="AE759" s="9"/>
      <c r="AF759" s="9"/>
      <c r="AG759" s="9"/>
      <c r="AH759" s="9"/>
      <c r="AI759" s="9"/>
      <c r="AJ759" s="9"/>
      <c r="AK759" s="9"/>
      <c r="AL759" s="9"/>
      <c r="AM759" s="9"/>
      <c r="AN759" s="9"/>
      <c r="AO759" s="9"/>
      <c r="AP759" s="9"/>
      <c r="AQ759" s="9"/>
      <c r="AR759" s="9"/>
      <c r="AS759" s="9"/>
      <c r="AT759" s="9"/>
      <c r="AU759" s="9"/>
      <c r="AV759" s="9"/>
    </row>
    <row r="760" spans="1:48" ht="14" customHeight="1" thickBot="1">
      <c r="A760" s="31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  <c r="AE760" s="9"/>
      <c r="AF760" s="9"/>
      <c r="AG760" s="9"/>
      <c r="AH760" s="9"/>
      <c r="AI760" s="9"/>
      <c r="AJ760" s="9"/>
      <c r="AK760" s="9"/>
      <c r="AL760" s="9"/>
      <c r="AM760" s="9"/>
      <c r="AN760" s="9"/>
      <c r="AO760" s="9"/>
      <c r="AP760" s="9"/>
      <c r="AQ760" s="9"/>
      <c r="AR760" s="9"/>
      <c r="AS760" s="9"/>
      <c r="AT760" s="9"/>
      <c r="AU760" s="9"/>
      <c r="AV760" s="9"/>
    </row>
    <row r="761" spans="1:48" ht="14" customHeight="1" thickBot="1">
      <c r="A761" s="31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  <c r="AE761" s="9"/>
      <c r="AF761" s="9"/>
      <c r="AG761" s="9"/>
      <c r="AH761" s="9"/>
      <c r="AI761" s="9"/>
      <c r="AJ761" s="9"/>
      <c r="AK761" s="9"/>
      <c r="AL761" s="9"/>
      <c r="AM761" s="9"/>
      <c r="AN761" s="9"/>
      <c r="AO761" s="9"/>
      <c r="AP761" s="9"/>
      <c r="AQ761" s="9"/>
      <c r="AR761" s="9"/>
      <c r="AS761" s="9"/>
      <c r="AT761" s="9"/>
      <c r="AU761" s="9"/>
      <c r="AV761" s="9"/>
    </row>
    <row r="762" spans="1:48" ht="14" customHeight="1" thickBot="1">
      <c r="A762" s="31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  <c r="AE762" s="9"/>
      <c r="AF762" s="9"/>
      <c r="AG762" s="9"/>
      <c r="AH762" s="9"/>
      <c r="AI762" s="9"/>
      <c r="AJ762" s="9"/>
      <c r="AK762" s="9"/>
      <c r="AL762" s="9"/>
      <c r="AM762" s="9"/>
      <c r="AN762" s="9"/>
      <c r="AO762" s="9"/>
      <c r="AP762" s="9"/>
      <c r="AQ762" s="9"/>
      <c r="AR762" s="9"/>
      <c r="AS762" s="9"/>
      <c r="AT762" s="9"/>
      <c r="AU762" s="9"/>
      <c r="AV762" s="9"/>
    </row>
    <row r="763" spans="1:48" ht="14" customHeight="1" thickBot="1">
      <c r="A763" s="31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  <c r="AE763" s="9"/>
      <c r="AF763" s="9"/>
      <c r="AG763" s="9"/>
      <c r="AH763" s="9"/>
      <c r="AI763" s="9"/>
      <c r="AJ763" s="9"/>
      <c r="AK763" s="9"/>
      <c r="AL763" s="9"/>
      <c r="AM763" s="9"/>
      <c r="AN763" s="9"/>
      <c r="AO763" s="9"/>
      <c r="AP763" s="9"/>
      <c r="AQ763" s="9"/>
      <c r="AR763" s="9"/>
      <c r="AS763" s="9"/>
      <c r="AT763" s="9"/>
      <c r="AU763" s="9"/>
      <c r="AV763" s="9"/>
    </row>
    <row r="764" spans="1:48" ht="14" customHeight="1" thickBot="1">
      <c r="A764" s="31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  <c r="AE764" s="9"/>
      <c r="AF764" s="9"/>
      <c r="AG764" s="9"/>
      <c r="AH764" s="9"/>
      <c r="AI764" s="9"/>
      <c r="AJ764" s="9"/>
      <c r="AK764" s="9"/>
      <c r="AL764" s="9"/>
      <c r="AM764" s="9"/>
      <c r="AN764" s="9"/>
      <c r="AO764" s="9"/>
      <c r="AP764" s="9"/>
      <c r="AQ764" s="9"/>
      <c r="AR764" s="9"/>
      <c r="AS764" s="9"/>
      <c r="AT764" s="9"/>
      <c r="AU764" s="9"/>
      <c r="AV764" s="9"/>
    </row>
    <row r="765" spans="1:48" ht="14" customHeight="1" thickBot="1">
      <c r="A765" s="31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  <c r="AE765" s="9"/>
      <c r="AF765" s="9"/>
      <c r="AG765" s="9"/>
      <c r="AH765" s="9"/>
      <c r="AI765" s="9"/>
      <c r="AJ765" s="9"/>
      <c r="AK765" s="9"/>
      <c r="AL765" s="9"/>
      <c r="AM765" s="9"/>
      <c r="AN765" s="9"/>
      <c r="AO765" s="9"/>
      <c r="AP765" s="9"/>
      <c r="AQ765" s="9"/>
      <c r="AR765" s="9"/>
      <c r="AS765" s="9"/>
      <c r="AT765" s="9"/>
      <c r="AU765" s="9"/>
      <c r="AV765" s="9"/>
    </row>
    <row r="766" spans="1:48" ht="14" customHeight="1" thickBot="1">
      <c r="A766" s="31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  <c r="AE766" s="9"/>
      <c r="AF766" s="9"/>
      <c r="AG766" s="9"/>
      <c r="AH766" s="9"/>
      <c r="AI766" s="9"/>
      <c r="AJ766" s="9"/>
      <c r="AK766" s="9"/>
      <c r="AL766" s="9"/>
      <c r="AM766" s="9"/>
      <c r="AN766" s="9"/>
      <c r="AO766" s="9"/>
      <c r="AP766" s="9"/>
      <c r="AQ766" s="9"/>
      <c r="AR766" s="9"/>
      <c r="AS766" s="9"/>
      <c r="AT766" s="9"/>
      <c r="AU766" s="9"/>
      <c r="AV766" s="9"/>
    </row>
    <row r="767" spans="1:48" ht="14" customHeight="1" thickBot="1">
      <c r="A767" s="31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  <c r="AE767" s="9"/>
      <c r="AF767" s="9"/>
      <c r="AG767" s="9"/>
      <c r="AH767" s="9"/>
      <c r="AI767" s="9"/>
      <c r="AJ767" s="9"/>
      <c r="AK767" s="9"/>
      <c r="AL767" s="9"/>
      <c r="AM767" s="9"/>
      <c r="AN767" s="9"/>
      <c r="AO767" s="9"/>
      <c r="AP767" s="9"/>
      <c r="AQ767" s="9"/>
      <c r="AR767" s="9"/>
      <c r="AS767" s="9"/>
      <c r="AT767" s="9"/>
      <c r="AU767" s="9"/>
      <c r="AV767" s="9"/>
    </row>
    <row r="768" spans="1:48" ht="14" customHeight="1" thickBot="1">
      <c r="A768" s="31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  <c r="AE768" s="9"/>
      <c r="AF768" s="9"/>
      <c r="AG768" s="9"/>
      <c r="AH768" s="9"/>
      <c r="AI768" s="9"/>
      <c r="AJ768" s="9"/>
      <c r="AK768" s="9"/>
      <c r="AL768" s="9"/>
      <c r="AM768" s="9"/>
      <c r="AN768" s="9"/>
      <c r="AO768" s="9"/>
      <c r="AP768" s="9"/>
      <c r="AQ768" s="9"/>
      <c r="AR768" s="9"/>
      <c r="AS768" s="9"/>
      <c r="AT768" s="9"/>
      <c r="AU768" s="9"/>
      <c r="AV768" s="9"/>
    </row>
    <row r="769" spans="1:48" ht="14" customHeight="1" thickBot="1">
      <c r="A769" s="31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  <c r="AE769" s="9"/>
      <c r="AF769" s="9"/>
      <c r="AG769" s="9"/>
      <c r="AH769" s="9"/>
      <c r="AI769" s="9"/>
      <c r="AJ769" s="9"/>
      <c r="AK769" s="9"/>
      <c r="AL769" s="9"/>
      <c r="AM769" s="9"/>
      <c r="AN769" s="9"/>
      <c r="AO769" s="9"/>
      <c r="AP769" s="9"/>
      <c r="AQ769" s="9"/>
      <c r="AR769" s="9"/>
      <c r="AS769" s="9"/>
      <c r="AT769" s="9"/>
      <c r="AU769" s="9"/>
      <c r="AV769" s="9"/>
    </row>
    <row r="770" spans="1:48" ht="14" customHeight="1" thickBot="1">
      <c r="A770" s="31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  <c r="AE770" s="9"/>
      <c r="AF770" s="9"/>
      <c r="AG770" s="9"/>
      <c r="AH770" s="9"/>
      <c r="AI770" s="9"/>
      <c r="AJ770" s="9"/>
      <c r="AK770" s="9"/>
      <c r="AL770" s="9"/>
      <c r="AM770" s="9"/>
      <c r="AN770" s="9"/>
      <c r="AO770" s="9"/>
      <c r="AP770" s="9"/>
      <c r="AQ770" s="9"/>
      <c r="AR770" s="9"/>
      <c r="AS770" s="9"/>
      <c r="AT770" s="9"/>
      <c r="AU770" s="9"/>
      <c r="AV770" s="9"/>
    </row>
    <row r="771" spans="1:48" ht="14" customHeight="1" thickBot="1">
      <c r="A771" s="31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9"/>
      <c r="AE771" s="9"/>
      <c r="AF771" s="9"/>
      <c r="AG771" s="9"/>
      <c r="AH771" s="9"/>
      <c r="AI771" s="9"/>
      <c r="AJ771" s="9"/>
      <c r="AK771" s="9"/>
      <c r="AL771" s="9"/>
      <c r="AM771" s="9"/>
      <c r="AN771" s="9"/>
      <c r="AO771" s="9"/>
      <c r="AP771" s="9"/>
      <c r="AQ771" s="9"/>
      <c r="AR771" s="9"/>
      <c r="AS771" s="9"/>
      <c r="AT771" s="9"/>
      <c r="AU771" s="9"/>
      <c r="AV771" s="9"/>
    </row>
    <row r="772" spans="1:48" ht="14" customHeight="1" thickBot="1">
      <c r="A772" s="31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  <c r="AE772" s="9"/>
      <c r="AF772" s="9"/>
      <c r="AG772" s="9"/>
      <c r="AH772" s="9"/>
      <c r="AI772" s="9"/>
      <c r="AJ772" s="9"/>
      <c r="AK772" s="9"/>
      <c r="AL772" s="9"/>
      <c r="AM772" s="9"/>
      <c r="AN772" s="9"/>
      <c r="AO772" s="9"/>
      <c r="AP772" s="9"/>
      <c r="AQ772" s="9"/>
      <c r="AR772" s="9"/>
      <c r="AS772" s="9"/>
      <c r="AT772" s="9"/>
      <c r="AU772" s="9"/>
      <c r="AV772" s="9"/>
    </row>
    <row r="773" spans="1:48" ht="14" customHeight="1" thickBot="1">
      <c r="A773" s="31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  <c r="AE773" s="9"/>
      <c r="AF773" s="9"/>
      <c r="AG773" s="9"/>
      <c r="AH773" s="9"/>
      <c r="AI773" s="9"/>
      <c r="AJ773" s="9"/>
      <c r="AK773" s="9"/>
      <c r="AL773" s="9"/>
      <c r="AM773" s="9"/>
      <c r="AN773" s="9"/>
      <c r="AO773" s="9"/>
      <c r="AP773" s="9"/>
      <c r="AQ773" s="9"/>
      <c r="AR773" s="9"/>
      <c r="AS773" s="9"/>
      <c r="AT773" s="9"/>
      <c r="AU773" s="9"/>
      <c r="AV773" s="9"/>
    </row>
    <row r="774" spans="1:48" ht="14" customHeight="1" thickBot="1">
      <c r="A774" s="31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9"/>
      <c r="AE774" s="9"/>
      <c r="AF774" s="9"/>
      <c r="AG774" s="9"/>
      <c r="AH774" s="9"/>
      <c r="AI774" s="9"/>
      <c r="AJ774" s="9"/>
      <c r="AK774" s="9"/>
      <c r="AL774" s="9"/>
      <c r="AM774" s="9"/>
      <c r="AN774" s="9"/>
      <c r="AO774" s="9"/>
      <c r="AP774" s="9"/>
      <c r="AQ774" s="9"/>
      <c r="AR774" s="9"/>
      <c r="AS774" s="9"/>
      <c r="AT774" s="9"/>
      <c r="AU774" s="9"/>
      <c r="AV774" s="9"/>
    </row>
    <row r="775" spans="1:48" ht="14" customHeight="1" thickBot="1">
      <c r="A775" s="31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  <c r="AE775" s="9"/>
      <c r="AF775" s="9"/>
      <c r="AG775" s="9"/>
      <c r="AH775" s="9"/>
      <c r="AI775" s="9"/>
      <c r="AJ775" s="9"/>
      <c r="AK775" s="9"/>
      <c r="AL775" s="9"/>
      <c r="AM775" s="9"/>
      <c r="AN775" s="9"/>
      <c r="AO775" s="9"/>
      <c r="AP775" s="9"/>
      <c r="AQ775" s="9"/>
      <c r="AR775" s="9"/>
      <c r="AS775" s="9"/>
      <c r="AT775" s="9"/>
      <c r="AU775" s="9"/>
      <c r="AV775" s="9"/>
    </row>
    <row r="776" spans="1:48" ht="14" customHeight="1" thickBot="1">
      <c r="A776" s="31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  <c r="AE776" s="9"/>
      <c r="AF776" s="9"/>
      <c r="AG776" s="9"/>
      <c r="AH776" s="9"/>
      <c r="AI776" s="9"/>
      <c r="AJ776" s="9"/>
      <c r="AK776" s="9"/>
      <c r="AL776" s="9"/>
      <c r="AM776" s="9"/>
      <c r="AN776" s="9"/>
      <c r="AO776" s="9"/>
      <c r="AP776" s="9"/>
      <c r="AQ776" s="9"/>
      <c r="AR776" s="9"/>
      <c r="AS776" s="9"/>
      <c r="AT776" s="9"/>
      <c r="AU776" s="9"/>
      <c r="AV776" s="9"/>
    </row>
    <row r="777" spans="1:48" ht="14" customHeight="1" thickBot="1">
      <c r="A777" s="31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  <c r="AE777" s="9"/>
      <c r="AF777" s="9"/>
      <c r="AG777" s="9"/>
      <c r="AH777" s="9"/>
      <c r="AI777" s="9"/>
      <c r="AJ777" s="9"/>
      <c r="AK777" s="9"/>
      <c r="AL777" s="9"/>
      <c r="AM777" s="9"/>
      <c r="AN777" s="9"/>
      <c r="AO777" s="9"/>
      <c r="AP777" s="9"/>
      <c r="AQ777" s="9"/>
      <c r="AR777" s="9"/>
      <c r="AS777" s="9"/>
      <c r="AT777" s="9"/>
      <c r="AU777" s="9"/>
      <c r="AV777" s="9"/>
    </row>
    <row r="778" spans="1:48" ht="14" customHeight="1" thickBot="1">
      <c r="A778" s="31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  <c r="AE778" s="9"/>
      <c r="AF778" s="9"/>
      <c r="AG778" s="9"/>
      <c r="AH778" s="9"/>
      <c r="AI778" s="9"/>
      <c r="AJ778" s="9"/>
      <c r="AK778" s="9"/>
      <c r="AL778" s="9"/>
      <c r="AM778" s="9"/>
      <c r="AN778" s="9"/>
      <c r="AO778" s="9"/>
      <c r="AP778" s="9"/>
      <c r="AQ778" s="9"/>
      <c r="AR778" s="9"/>
      <c r="AS778" s="9"/>
      <c r="AT778" s="9"/>
      <c r="AU778" s="9"/>
      <c r="AV778" s="9"/>
    </row>
    <row r="779" spans="1:48" ht="14" customHeight="1" thickBot="1">
      <c r="A779" s="31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  <c r="AE779" s="9"/>
      <c r="AF779" s="9"/>
      <c r="AG779" s="9"/>
      <c r="AH779" s="9"/>
      <c r="AI779" s="9"/>
      <c r="AJ779" s="9"/>
      <c r="AK779" s="9"/>
      <c r="AL779" s="9"/>
      <c r="AM779" s="9"/>
      <c r="AN779" s="9"/>
      <c r="AO779" s="9"/>
      <c r="AP779" s="9"/>
      <c r="AQ779" s="9"/>
      <c r="AR779" s="9"/>
      <c r="AS779" s="9"/>
      <c r="AT779" s="9"/>
      <c r="AU779" s="9"/>
      <c r="AV779" s="9"/>
    </row>
    <row r="780" spans="1:48" ht="14" customHeight="1" thickBot="1">
      <c r="A780" s="31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  <c r="AE780" s="9"/>
      <c r="AF780" s="9"/>
      <c r="AG780" s="9"/>
      <c r="AH780" s="9"/>
      <c r="AI780" s="9"/>
      <c r="AJ780" s="9"/>
      <c r="AK780" s="9"/>
      <c r="AL780" s="9"/>
      <c r="AM780" s="9"/>
      <c r="AN780" s="9"/>
      <c r="AO780" s="9"/>
      <c r="AP780" s="9"/>
      <c r="AQ780" s="9"/>
      <c r="AR780" s="9"/>
      <c r="AS780" s="9"/>
      <c r="AT780" s="9"/>
      <c r="AU780" s="9"/>
      <c r="AV780" s="9"/>
    </row>
    <row r="781" spans="1:48" ht="14" customHeight="1" thickBot="1">
      <c r="A781" s="31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  <c r="AE781" s="9"/>
      <c r="AF781" s="9"/>
      <c r="AG781" s="9"/>
      <c r="AH781" s="9"/>
      <c r="AI781" s="9"/>
      <c r="AJ781" s="9"/>
      <c r="AK781" s="9"/>
      <c r="AL781" s="9"/>
      <c r="AM781" s="9"/>
      <c r="AN781" s="9"/>
      <c r="AO781" s="9"/>
      <c r="AP781" s="9"/>
      <c r="AQ781" s="9"/>
      <c r="AR781" s="9"/>
      <c r="AS781" s="9"/>
      <c r="AT781" s="9"/>
      <c r="AU781" s="9"/>
      <c r="AV781" s="9"/>
    </row>
    <row r="782" spans="1:48" ht="14" customHeight="1" thickBot="1">
      <c r="A782" s="31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9"/>
      <c r="AE782" s="9"/>
      <c r="AF782" s="9"/>
      <c r="AG782" s="9"/>
      <c r="AH782" s="9"/>
      <c r="AI782" s="9"/>
      <c r="AJ782" s="9"/>
      <c r="AK782" s="9"/>
      <c r="AL782" s="9"/>
      <c r="AM782" s="9"/>
      <c r="AN782" s="9"/>
      <c r="AO782" s="9"/>
      <c r="AP782" s="9"/>
      <c r="AQ782" s="9"/>
      <c r="AR782" s="9"/>
      <c r="AS782" s="9"/>
      <c r="AT782" s="9"/>
      <c r="AU782" s="9"/>
      <c r="AV782" s="9"/>
    </row>
    <row r="783" spans="1:48" ht="14" customHeight="1" thickBot="1">
      <c r="A783" s="31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  <c r="AE783" s="9"/>
      <c r="AF783" s="9"/>
      <c r="AG783" s="9"/>
      <c r="AH783" s="9"/>
      <c r="AI783" s="9"/>
      <c r="AJ783" s="9"/>
      <c r="AK783" s="9"/>
      <c r="AL783" s="9"/>
      <c r="AM783" s="9"/>
      <c r="AN783" s="9"/>
      <c r="AO783" s="9"/>
      <c r="AP783" s="9"/>
      <c r="AQ783" s="9"/>
      <c r="AR783" s="9"/>
      <c r="AS783" s="9"/>
      <c r="AT783" s="9"/>
      <c r="AU783" s="9"/>
      <c r="AV783" s="9"/>
    </row>
    <row r="784" spans="1:48" ht="14" customHeight="1" thickBot="1">
      <c r="A784" s="31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  <c r="AE784" s="9"/>
      <c r="AF784" s="9"/>
      <c r="AG784" s="9"/>
      <c r="AH784" s="9"/>
      <c r="AI784" s="9"/>
      <c r="AJ784" s="9"/>
      <c r="AK784" s="9"/>
      <c r="AL784" s="9"/>
      <c r="AM784" s="9"/>
      <c r="AN784" s="9"/>
      <c r="AO784" s="9"/>
      <c r="AP784" s="9"/>
      <c r="AQ784" s="9"/>
      <c r="AR784" s="9"/>
      <c r="AS784" s="9"/>
      <c r="AT784" s="9"/>
      <c r="AU784" s="9"/>
      <c r="AV784" s="9"/>
    </row>
    <row r="785" spans="1:48" ht="14" customHeight="1" thickBot="1">
      <c r="A785" s="31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  <c r="AE785" s="9"/>
      <c r="AF785" s="9"/>
      <c r="AG785" s="9"/>
      <c r="AH785" s="9"/>
      <c r="AI785" s="9"/>
      <c r="AJ785" s="9"/>
      <c r="AK785" s="9"/>
      <c r="AL785" s="9"/>
      <c r="AM785" s="9"/>
      <c r="AN785" s="9"/>
      <c r="AO785" s="9"/>
      <c r="AP785" s="9"/>
      <c r="AQ785" s="9"/>
      <c r="AR785" s="9"/>
      <c r="AS785" s="9"/>
      <c r="AT785" s="9"/>
      <c r="AU785" s="9"/>
      <c r="AV785" s="9"/>
    </row>
    <row r="786" spans="1:48" ht="14" customHeight="1" thickBot="1">
      <c r="A786" s="31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  <c r="AE786" s="9"/>
      <c r="AF786" s="9"/>
      <c r="AG786" s="9"/>
      <c r="AH786" s="9"/>
      <c r="AI786" s="9"/>
      <c r="AJ786" s="9"/>
      <c r="AK786" s="9"/>
      <c r="AL786" s="9"/>
      <c r="AM786" s="9"/>
      <c r="AN786" s="9"/>
      <c r="AO786" s="9"/>
      <c r="AP786" s="9"/>
      <c r="AQ786" s="9"/>
      <c r="AR786" s="9"/>
      <c r="AS786" s="9"/>
      <c r="AT786" s="9"/>
      <c r="AU786" s="9"/>
      <c r="AV786" s="9"/>
    </row>
    <row r="787" spans="1:48" ht="14" customHeight="1" thickBot="1">
      <c r="A787" s="31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  <c r="AE787" s="9"/>
      <c r="AF787" s="9"/>
      <c r="AG787" s="9"/>
      <c r="AH787" s="9"/>
      <c r="AI787" s="9"/>
      <c r="AJ787" s="9"/>
      <c r="AK787" s="9"/>
      <c r="AL787" s="9"/>
      <c r="AM787" s="9"/>
      <c r="AN787" s="9"/>
      <c r="AO787" s="9"/>
      <c r="AP787" s="9"/>
      <c r="AQ787" s="9"/>
      <c r="AR787" s="9"/>
      <c r="AS787" s="9"/>
      <c r="AT787" s="9"/>
      <c r="AU787" s="9"/>
      <c r="AV787" s="9"/>
    </row>
    <row r="788" spans="1:48" ht="14" customHeight="1" thickBot="1">
      <c r="A788" s="31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  <c r="AE788" s="9"/>
      <c r="AF788" s="9"/>
      <c r="AG788" s="9"/>
      <c r="AH788" s="9"/>
      <c r="AI788" s="9"/>
      <c r="AJ788" s="9"/>
      <c r="AK788" s="9"/>
      <c r="AL788" s="9"/>
      <c r="AM788" s="9"/>
      <c r="AN788" s="9"/>
      <c r="AO788" s="9"/>
      <c r="AP788" s="9"/>
      <c r="AQ788" s="9"/>
      <c r="AR788" s="9"/>
      <c r="AS788" s="9"/>
      <c r="AT788" s="9"/>
      <c r="AU788" s="9"/>
      <c r="AV788" s="9"/>
    </row>
    <row r="789" spans="1:48" ht="14" customHeight="1" thickBot="1">
      <c r="A789" s="31"/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  <c r="AE789" s="9"/>
      <c r="AF789" s="9"/>
      <c r="AG789" s="9"/>
      <c r="AH789" s="9"/>
      <c r="AI789" s="9"/>
      <c r="AJ789" s="9"/>
      <c r="AK789" s="9"/>
      <c r="AL789" s="9"/>
      <c r="AM789" s="9"/>
      <c r="AN789" s="9"/>
      <c r="AO789" s="9"/>
      <c r="AP789" s="9"/>
      <c r="AQ789" s="9"/>
      <c r="AR789" s="9"/>
      <c r="AS789" s="9"/>
      <c r="AT789" s="9"/>
      <c r="AU789" s="9"/>
      <c r="AV789" s="9"/>
    </row>
    <row r="790" spans="1:48" ht="14" customHeight="1" thickBot="1">
      <c r="A790" s="31"/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  <c r="AE790" s="9"/>
      <c r="AF790" s="9"/>
      <c r="AG790" s="9"/>
      <c r="AH790" s="9"/>
      <c r="AI790" s="9"/>
      <c r="AJ790" s="9"/>
      <c r="AK790" s="9"/>
      <c r="AL790" s="9"/>
      <c r="AM790" s="9"/>
      <c r="AN790" s="9"/>
      <c r="AO790" s="9"/>
      <c r="AP790" s="9"/>
      <c r="AQ790" s="9"/>
      <c r="AR790" s="9"/>
      <c r="AS790" s="9"/>
      <c r="AT790" s="9"/>
      <c r="AU790" s="9"/>
      <c r="AV790" s="9"/>
    </row>
    <row r="791" spans="1:48" ht="14" customHeight="1" thickBot="1">
      <c r="A791" s="31"/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  <c r="AE791" s="9"/>
      <c r="AF791" s="9"/>
      <c r="AG791" s="9"/>
      <c r="AH791" s="9"/>
      <c r="AI791" s="9"/>
      <c r="AJ791" s="9"/>
      <c r="AK791" s="9"/>
      <c r="AL791" s="9"/>
      <c r="AM791" s="9"/>
      <c r="AN791" s="9"/>
      <c r="AO791" s="9"/>
      <c r="AP791" s="9"/>
      <c r="AQ791" s="9"/>
      <c r="AR791" s="9"/>
      <c r="AS791" s="9"/>
      <c r="AT791" s="9"/>
      <c r="AU791" s="9"/>
      <c r="AV791" s="9"/>
    </row>
    <row r="792" spans="1:48" ht="14" customHeight="1" thickBot="1">
      <c r="A792" s="31"/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  <c r="AE792" s="9"/>
      <c r="AF792" s="9"/>
      <c r="AG792" s="9"/>
      <c r="AH792" s="9"/>
      <c r="AI792" s="9"/>
      <c r="AJ792" s="9"/>
      <c r="AK792" s="9"/>
      <c r="AL792" s="9"/>
      <c r="AM792" s="9"/>
      <c r="AN792" s="9"/>
      <c r="AO792" s="9"/>
      <c r="AP792" s="9"/>
      <c r="AQ792" s="9"/>
      <c r="AR792" s="9"/>
      <c r="AS792" s="9"/>
      <c r="AT792" s="9"/>
      <c r="AU792" s="9"/>
      <c r="AV792" s="9"/>
    </row>
    <row r="793" spans="1:48" ht="14" customHeight="1" thickBot="1">
      <c r="A793" s="31"/>
      <c r="B793" s="31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  <c r="AE793" s="9"/>
      <c r="AF793" s="9"/>
      <c r="AG793" s="9"/>
      <c r="AH793" s="9"/>
      <c r="AI793" s="9"/>
      <c r="AJ793" s="9"/>
      <c r="AK793" s="9"/>
      <c r="AL793" s="9"/>
      <c r="AM793" s="9"/>
      <c r="AN793" s="9"/>
      <c r="AO793" s="9"/>
      <c r="AP793" s="9"/>
      <c r="AQ793" s="9"/>
      <c r="AR793" s="9"/>
      <c r="AS793" s="9"/>
      <c r="AT793" s="9"/>
      <c r="AU793" s="9"/>
      <c r="AV793" s="9"/>
    </row>
    <row r="794" spans="1:48" ht="14" customHeight="1" thickBot="1">
      <c r="A794" s="31"/>
      <c r="B794" s="31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  <c r="AE794" s="9"/>
      <c r="AF794" s="9"/>
      <c r="AG794" s="9"/>
      <c r="AH794" s="9"/>
      <c r="AI794" s="9"/>
      <c r="AJ794" s="9"/>
      <c r="AK794" s="9"/>
      <c r="AL794" s="9"/>
      <c r="AM794" s="9"/>
      <c r="AN794" s="9"/>
      <c r="AO794" s="9"/>
      <c r="AP794" s="9"/>
      <c r="AQ794" s="9"/>
      <c r="AR794" s="9"/>
      <c r="AS794" s="9"/>
      <c r="AT794" s="9"/>
      <c r="AU794" s="9"/>
      <c r="AV794" s="9"/>
    </row>
    <row r="795" spans="1:48" ht="14" customHeight="1" thickBot="1">
      <c r="A795" s="31"/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  <c r="AE795" s="9"/>
      <c r="AF795" s="9"/>
      <c r="AG795" s="9"/>
      <c r="AH795" s="9"/>
      <c r="AI795" s="9"/>
      <c r="AJ795" s="9"/>
      <c r="AK795" s="9"/>
      <c r="AL795" s="9"/>
      <c r="AM795" s="9"/>
      <c r="AN795" s="9"/>
      <c r="AO795" s="9"/>
      <c r="AP795" s="9"/>
      <c r="AQ795" s="9"/>
      <c r="AR795" s="9"/>
      <c r="AS795" s="9"/>
      <c r="AT795" s="9"/>
      <c r="AU795" s="9"/>
      <c r="AV795" s="9"/>
    </row>
    <row r="796" spans="1:48" ht="14" customHeight="1" thickBot="1">
      <c r="A796" s="31"/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  <c r="AE796" s="9"/>
      <c r="AF796" s="9"/>
      <c r="AG796" s="9"/>
      <c r="AH796" s="9"/>
      <c r="AI796" s="9"/>
      <c r="AJ796" s="9"/>
      <c r="AK796" s="9"/>
      <c r="AL796" s="9"/>
      <c r="AM796" s="9"/>
      <c r="AN796" s="9"/>
      <c r="AO796" s="9"/>
      <c r="AP796" s="9"/>
      <c r="AQ796" s="9"/>
      <c r="AR796" s="9"/>
      <c r="AS796" s="9"/>
      <c r="AT796" s="9"/>
      <c r="AU796" s="9"/>
      <c r="AV796" s="9"/>
    </row>
    <row r="797" spans="1:48" ht="14" customHeight="1" thickBot="1">
      <c r="A797" s="31"/>
      <c r="B797" s="31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  <c r="AE797" s="9"/>
      <c r="AF797" s="9"/>
      <c r="AG797" s="9"/>
      <c r="AH797" s="9"/>
      <c r="AI797" s="9"/>
      <c r="AJ797" s="9"/>
      <c r="AK797" s="9"/>
      <c r="AL797" s="9"/>
      <c r="AM797" s="9"/>
      <c r="AN797" s="9"/>
      <c r="AO797" s="9"/>
      <c r="AP797" s="9"/>
      <c r="AQ797" s="9"/>
      <c r="AR797" s="9"/>
      <c r="AS797" s="9"/>
      <c r="AT797" s="9"/>
      <c r="AU797" s="9"/>
      <c r="AV797" s="9"/>
    </row>
    <row r="798" spans="1:48" ht="14" customHeight="1" thickBot="1">
      <c r="A798" s="31"/>
      <c r="B798" s="31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  <c r="AE798" s="9"/>
      <c r="AF798" s="9"/>
      <c r="AG798" s="9"/>
      <c r="AH798" s="9"/>
      <c r="AI798" s="9"/>
      <c r="AJ798" s="9"/>
      <c r="AK798" s="9"/>
      <c r="AL798" s="9"/>
      <c r="AM798" s="9"/>
      <c r="AN798" s="9"/>
      <c r="AO798" s="9"/>
      <c r="AP798" s="9"/>
      <c r="AQ798" s="9"/>
      <c r="AR798" s="9"/>
      <c r="AS798" s="9"/>
      <c r="AT798" s="9"/>
      <c r="AU798" s="9"/>
      <c r="AV798" s="9"/>
    </row>
    <row r="799" spans="1:48" ht="14" customHeight="1" thickBot="1">
      <c r="A799" s="31"/>
      <c r="B799" s="31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  <c r="AE799" s="9"/>
      <c r="AF799" s="9"/>
      <c r="AG799" s="9"/>
      <c r="AH799" s="9"/>
      <c r="AI799" s="9"/>
      <c r="AJ799" s="9"/>
      <c r="AK799" s="9"/>
      <c r="AL799" s="9"/>
      <c r="AM799" s="9"/>
      <c r="AN799" s="9"/>
      <c r="AO799" s="9"/>
      <c r="AP799" s="9"/>
      <c r="AQ799" s="9"/>
      <c r="AR799" s="9"/>
      <c r="AS799" s="9"/>
      <c r="AT799" s="9"/>
      <c r="AU799" s="9"/>
      <c r="AV799" s="9"/>
    </row>
    <row r="800" spans="1:48" ht="14" customHeight="1" thickBot="1">
      <c r="A800" s="31"/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  <c r="AE800" s="9"/>
      <c r="AF800" s="9"/>
      <c r="AG800" s="9"/>
      <c r="AH800" s="9"/>
      <c r="AI800" s="9"/>
      <c r="AJ800" s="9"/>
      <c r="AK800" s="9"/>
      <c r="AL800" s="9"/>
      <c r="AM800" s="9"/>
      <c r="AN800" s="9"/>
      <c r="AO800" s="9"/>
      <c r="AP800" s="9"/>
      <c r="AQ800" s="9"/>
      <c r="AR800" s="9"/>
      <c r="AS800" s="9"/>
      <c r="AT800" s="9"/>
      <c r="AU800" s="9"/>
      <c r="AV800" s="9"/>
    </row>
    <row r="801" spans="1:48" ht="14" customHeight="1" thickBot="1">
      <c r="A801" s="31"/>
      <c r="B801" s="31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  <c r="AE801" s="9"/>
      <c r="AF801" s="9"/>
      <c r="AG801" s="9"/>
      <c r="AH801" s="9"/>
      <c r="AI801" s="9"/>
      <c r="AJ801" s="9"/>
      <c r="AK801" s="9"/>
      <c r="AL801" s="9"/>
      <c r="AM801" s="9"/>
      <c r="AN801" s="9"/>
      <c r="AO801" s="9"/>
      <c r="AP801" s="9"/>
      <c r="AQ801" s="9"/>
      <c r="AR801" s="9"/>
      <c r="AS801" s="9"/>
      <c r="AT801" s="9"/>
      <c r="AU801" s="9"/>
      <c r="AV801" s="9"/>
    </row>
    <row r="802" spans="1:48" ht="14" customHeight="1" thickBot="1">
      <c r="A802" s="31"/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  <c r="AE802" s="9"/>
      <c r="AF802" s="9"/>
      <c r="AG802" s="9"/>
      <c r="AH802" s="9"/>
      <c r="AI802" s="9"/>
      <c r="AJ802" s="9"/>
      <c r="AK802" s="9"/>
      <c r="AL802" s="9"/>
      <c r="AM802" s="9"/>
      <c r="AN802" s="9"/>
      <c r="AO802" s="9"/>
      <c r="AP802" s="9"/>
      <c r="AQ802" s="9"/>
      <c r="AR802" s="9"/>
      <c r="AS802" s="9"/>
      <c r="AT802" s="9"/>
      <c r="AU802" s="9"/>
      <c r="AV802" s="9"/>
    </row>
    <row r="803" spans="1:48" ht="14" customHeight="1" thickBot="1">
      <c r="A803" s="31"/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  <c r="AE803" s="9"/>
      <c r="AF803" s="9"/>
      <c r="AG803" s="9"/>
      <c r="AH803" s="9"/>
      <c r="AI803" s="9"/>
      <c r="AJ803" s="9"/>
      <c r="AK803" s="9"/>
      <c r="AL803" s="9"/>
      <c r="AM803" s="9"/>
      <c r="AN803" s="9"/>
      <c r="AO803" s="9"/>
      <c r="AP803" s="9"/>
      <c r="AQ803" s="9"/>
      <c r="AR803" s="9"/>
      <c r="AS803" s="9"/>
      <c r="AT803" s="9"/>
      <c r="AU803" s="9"/>
      <c r="AV803" s="9"/>
    </row>
    <row r="804" spans="1:48" ht="14" customHeight="1" thickBot="1">
      <c r="A804" s="31"/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  <c r="AE804" s="9"/>
      <c r="AF804" s="9"/>
      <c r="AG804" s="9"/>
      <c r="AH804" s="9"/>
      <c r="AI804" s="9"/>
      <c r="AJ804" s="9"/>
      <c r="AK804" s="9"/>
      <c r="AL804" s="9"/>
      <c r="AM804" s="9"/>
      <c r="AN804" s="9"/>
      <c r="AO804" s="9"/>
      <c r="AP804" s="9"/>
      <c r="AQ804" s="9"/>
      <c r="AR804" s="9"/>
      <c r="AS804" s="9"/>
      <c r="AT804" s="9"/>
      <c r="AU804" s="9"/>
      <c r="AV804" s="9"/>
    </row>
    <row r="805" spans="1:48" ht="14" customHeight="1" thickBot="1">
      <c r="A805" s="31"/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  <c r="AE805" s="9"/>
      <c r="AF805" s="9"/>
      <c r="AG805" s="9"/>
      <c r="AH805" s="9"/>
      <c r="AI805" s="9"/>
      <c r="AJ805" s="9"/>
      <c r="AK805" s="9"/>
      <c r="AL805" s="9"/>
      <c r="AM805" s="9"/>
      <c r="AN805" s="9"/>
      <c r="AO805" s="9"/>
      <c r="AP805" s="9"/>
      <c r="AQ805" s="9"/>
      <c r="AR805" s="9"/>
      <c r="AS805" s="9"/>
      <c r="AT805" s="9"/>
      <c r="AU805" s="9"/>
      <c r="AV805" s="9"/>
    </row>
    <row r="806" spans="1:48" ht="14" customHeight="1" thickBot="1">
      <c r="A806" s="31"/>
      <c r="B806" s="31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  <c r="AE806" s="9"/>
      <c r="AF806" s="9"/>
      <c r="AG806" s="9"/>
      <c r="AH806" s="9"/>
      <c r="AI806" s="9"/>
      <c r="AJ806" s="9"/>
      <c r="AK806" s="9"/>
      <c r="AL806" s="9"/>
      <c r="AM806" s="9"/>
      <c r="AN806" s="9"/>
      <c r="AO806" s="9"/>
      <c r="AP806" s="9"/>
      <c r="AQ806" s="9"/>
      <c r="AR806" s="9"/>
      <c r="AS806" s="9"/>
      <c r="AT806" s="9"/>
      <c r="AU806" s="9"/>
      <c r="AV806" s="9"/>
    </row>
    <row r="807" spans="1:48" ht="14" customHeight="1" thickBot="1">
      <c r="A807" s="31"/>
      <c r="B807" s="31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  <c r="AE807" s="9"/>
      <c r="AF807" s="9"/>
      <c r="AG807" s="9"/>
      <c r="AH807" s="9"/>
      <c r="AI807" s="9"/>
      <c r="AJ807" s="9"/>
      <c r="AK807" s="9"/>
      <c r="AL807" s="9"/>
      <c r="AM807" s="9"/>
      <c r="AN807" s="9"/>
      <c r="AO807" s="9"/>
      <c r="AP807" s="9"/>
      <c r="AQ807" s="9"/>
      <c r="AR807" s="9"/>
      <c r="AS807" s="9"/>
      <c r="AT807" s="9"/>
      <c r="AU807" s="9"/>
      <c r="AV807" s="9"/>
    </row>
    <row r="808" spans="1:48" ht="14" customHeight="1" thickBot="1">
      <c r="A808" s="31"/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  <c r="AE808" s="9"/>
      <c r="AF808" s="9"/>
      <c r="AG808" s="9"/>
      <c r="AH808" s="9"/>
      <c r="AI808" s="9"/>
      <c r="AJ808" s="9"/>
      <c r="AK808" s="9"/>
      <c r="AL808" s="9"/>
      <c r="AM808" s="9"/>
      <c r="AN808" s="9"/>
      <c r="AO808" s="9"/>
      <c r="AP808" s="9"/>
      <c r="AQ808" s="9"/>
      <c r="AR808" s="9"/>
      <c r="AS808" s="9"/>
      <c r="AT808" s="9"/>
      <c r="AU808" s="9"/>
      <c r="AV808" s="9"/>
    </row>
    <row r="809" spans="1:48" ht="14" customHeight="1" thickBot="1">
      <c r="A809" s="31"/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  <c r="AE809" s="9"/>
      <c r="AF809" s="9"/>
      <c r="AG809" s="9"/>
      <c r="AH809" s="9"/>
      <c r="AI809" s="9"/>
      <c r="AJ809" s="9"/>
      <c r="AK809" s="9"/>
      <c r="AL809" s="9"/>
      <c r="AM809" s="9"/>
      <c r="AN809" s="9"/>
      <c r="AO809" s="9"/>
      <c r="AP809" s="9"/>
      <c r="AQ809" s="9"/>
      <c r="AR809" s="9"/>
      <c r="AS809" s="9"/>
      <c r="AT809" s="9"/>
      <c r="AU809" s="9"/>
      <c r="AV809" s="9"/>
    </row>
    <row r="810" spans="1:48" ht="14" customHeight="1" thickBot="1">
      <c r="A810" s="31"/>
      <c r="B810" s="31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  <c r="AE810" s="9"/>
      <c r="AF810" s="9"/>
      <c r="AG810" s="9"/>
      <c r="AH810" s="9"/>
      <c r="AI810" s="9"/>
      <c r="AJ810" s="9"/>
      <c r="AK810" s="9"/>
      <c r="AL810" s="9"/>
      <c r="AM810" s="9"/>
      <c r="AN810" s="9"/>
      <c r="AO810" s="9"/>
      <c r="AP810" s="9"/>
      <c r="AQ810" s="9"/>
      <c r="AR810" s="9"/>
      <c r="AS810" s="9"/>
      <c r="AT810" s="9"/>
      <c r="AU810" s="9"/>
      <c r="AV810" s="9"/>
    </row>
    <row r="811" spans="1:48" ht="14" customHeight="1" thickBot="1">
      <c r="A811" s="31"/>
      <c r="B811" s="31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  <c r="AE811" s="9"/>
      <c r="AF811" s="9"/>
      <c r="AG811" s="9"/>
      <c r="AH811" s="9"/>
      <c r="AI811" s="9"/>
      <c r="AJ811" s="9"/>
      <c r="AK811" s="9"/>
      <c r="AL811" s="9"/>
      <c r="AM811" s="9"/>
      <c r="AN811" s="9"/>
      <c r="AO811" s="9"/>
      <c r="AP811" s="9"/>
      <c r="AQ811" s="9"/>
      <c r="AR811" s="9"/>
      <c r="AS811" s="9"/>
      <c r="AT811" s="9"/>
      <c r="AU811" s="9"/>
      <c r="AV811" s="9"/>
    </row>
    <row r="812" spans="1:48" ht="14" customHeight="1" thickBot="1">
      <c r="A812" s="31"/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  <c r="AE812" s="9"/>
      <c r="AF812" s="9"/>
      <c r="AG812" s="9"/>
      <c r="AH812" s="9"/>
      <c r="AI812" s="9"/>
      <c r="AJ812" s="9"/>
      <c r="AK812" s="9"/>
      <c r="AL812" s="9"/>
      <c r="AM812" s="9"/>
      <c r="AN812" s="9"/>
      <c r="AO812" s="9"/>
      <c r="AP812" s="9"/>
      <c r="AQ812" s="9"/>
      <c r="AR812" s="9"/>
      <c r="AS812" s="9"/>
      <c r="AT812" s="9"/>
      <c r="AU812" s="9"/>
      <c r="AV812" s="9"/>
    </row>
    <row r="813" spans="1:48" ht="14" customHeight="1" thickBot="1">
      <c r="A813" s="31"/>
      <c r="B813" s="31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  <c r="AE813" s="9"/>
      <c r="AF813" s="9"/>
      <c r="AG813" s="9"/>
      <c r="AH813" s="9"/>
      <c r="AI813" s="9"/>
      <c r="AJ813" s="9"/>
      <c r="AK813" s="9"/>
      <c r="AL813" s="9"/>
      <c r="AM813" s="9"/>
      <c r="AN813" s="9"/>
      <c r="AO813" s="9"/>
      <c r="AP813" s="9"/>
      <c r="AQ813" s="9"/>
      <c r="AR813" s="9"/>
      <c r="AS813" s="9"/>
      <c r="AT813" s="9"/>
      <c r="AU813" s="9"/>
      <c r="AV813" s="9"/>
    </row>
    <row r="814" spans="1:48" ht="14" customHeight="1" thickBot="1">
      <c r="A814" s="31"/>
      <c r="B814" s="31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  <c r="AE814" s="9"/>
      <c r="AF814" s="9"/>
      <c r="AG814" s="9"/>
      <c r="AH814" s="9"/>
      <c r="AI814" s="9"/>
      <c r="AJ814" s="9"/>
      <c r="AK814" s="9"/>
      <c r="AL814" s="9"/>
      <c r="AM814" s="9"/>
      <c r="AN814" s="9"/>
      <c r="AO814" s="9"/>
      <c r="AP814" s="9"/>
      <c r="AQ814" s="9"/>
      <c r="AR814" s="9"/>
      <c r="AS814" s="9"/>
      <c r="AT814" s="9"/>
      <c r="AU814" s="9"/>
      <c r="AV814" s="9"/>
    </row>
    <row r="815" spans="1:48" ht="14" customHeight="1" thickBot="1">
      <c r="A815" s="31"/>
      <c r="B815" s="31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  <c r="AE815" s="9"/>
      <c r="AF815" s="9"/>
      <c r="AG815" s="9"/>
      <c r="AH815" s="9"/>
      <c r="AI815" s="9"/>
      <c r="AJ815" s="9"/>
      <c r="AK815" s="9"/>
      <c r="AL815" s="9"/>
      <c r="AM815" s="9"/>
      <c r="AN815" s="9"/>
      <c r="AO815" s="9"/>
      <c r="AP815" s="9"/>
      <c r="AQ815" s="9"/>
      <c r="AR815" s="9"/>
      <c r="AS815" s="9"/>
      <c r="AT815" s="9"/>
      <c r="AU815" s="9"/>
      <c r="AV815" s="9"/>
    </row>
    <row r="816" spans="1:48" ht="14" customHeight="1" thickBot="1">
      <c r="A816" s="31"/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  <c r="AE816" s="9"/>
      <c r="AF816" s="9"/>
      <c r="AG816" s="9"/>
      <c r="AH816" s="9"/>
      <c r="AI816" s="9"/>
      <c r="AJ816" s="9"/>
      <c r="AK816" s="9"/>
      <c r="AL816" s="9"/>
      <c r="AM816" s="9"/>
      <c r="AN816" s="9"/>
      <c r="AO816" s="9"/>
      <c r="AP816" s="9"/>
      <c r="AQ816" s="9"/>
      <c r="AR816" s="9"/>
      <c r="AS816" s="9"/>
      <c r="AT816" s="9"/>
      <c r="AU816" s="9"/>
      <c r="AV816" s="9"/>
    </row>
    <row r="817" spans="1:48" ht="14" customHeight="1" thickBot="1">
      <c r="A817" s="31"/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  <c r="AE817" s="9"/>
      <c r="AF817" s="9"/>
      <c r="AG817" s="9"/>
      <c r="AH817" s="9"/>
      <c r="AI817" s="9"/>
      <c r="AJ817" s="9"/>
      <c r="AK817" s="9"/>
      <c r="AL817" s="9"/>
      <c r="AM817" s="9"/>
      <c r="AN817" s="9"/>
      <c r="AO817" s="9"/>
      <c r="AP817" s="9"/>
      <c r="AQ817" s="9"/>
      <c r="AR817" s="9"/>
      <c r="AS817" s="9"/>
      <c r="AT817" s="9"/>
      <c r="AU817" s="9"/>
      <c r="AV817" s="9"/>
    </row>
    <row r="818" spans="1:48" ht="14" customHeight="1" thickBot="1">
      <c r="A818" s="31"/>
      <c r="B818" s="31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  <c r="AE818" s="9"/>
      <c r="AF818" s="9"/>
      <c r="AG818" s="9"/>
      <c r="AH818" s="9"/>
      <c r="AI818" s="9"/>
      <c r="AJ818" s="9"/>
      <c r="AK818" s="9"/>
      <c r="AL818" s="9"/>
      <c r="AM818" s="9"/>
      <c r="AN818" s="9"/>
      <c r="AO818" s="9"/>
      <c r="AP818" s="9"/>
      <c r="AQ818" s="9"/>
      <c r="AR818" s="9"/>
      <c r="AS818" s="9"/>
      <c r="AT818" s="9"/>
      <c r="AU818" s="9"/>
      <c r="AV818" s="9"/>
    </row>
    <row r="819" spans="1:48" ht="14" customHeight="1" thickBot="1">
      <c r="A819" s="31"/>
      <c r="B819" s="31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  <c r="AE819" s="9"/>
      <c r="AF819" s="9"/>
      <c r="AG819" s="9"/>
      <c r="AH819" s="9"/>
      <c r="AI819" s="9"/>
      <c r="AJ819" s="9"/>
      <c r="AK819" s="9"/>
      <c r="AL819" s="9"/>
      <c r="AM819" s="9"/>
      <c r="AN819" s="9"/>
      <c r="AO819" s="9"/>
      <c r="AP819" s="9"/>
      <c r="AQ819" s="9"/>
      <c r="AR819" s="9"/>
      <c r="AS819" s="9"/>
      <c r="AT819" s="9"/>
      <c r="AU819" s="9"/>
      <c r="AV819" s="9"/>
    </row>
    <row r="820" spans="1:48" ht="14" customHeight="1" thickBot="1">
      <c r="A820" s="31"/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  <c r="AE820" s="9"/>
      <c r="AF820" s="9"/>
      <c r="AG820" s="9"/>
      <c r="AH820" s="9"/>
      <c r="AI820" s="9"/>
      <c r="AJ820" s="9"/>
      <c r="AK820" s="9"/>
      <c r="AL820" s="9"/>
      <c r="AM820" s="9"/>
      <c r="AN820" s="9"/>
      <c r="AO820" s="9"/>
      <c r="AP820" s="9"/>
      <c r="AQ820" s="9"/>
      <c r="AR820" s="9"/>
      <c r="AS820" s="9"/>
      <c r="AT820" s="9"/>
      <c r="AU820" s="9"/>
      <c r="AV820" s="9"/>
    </row>
    <row r="821" spans="1:48" ht="14" customHeight="1" thickBot="1">
      <c r="A821" s="31"/>
      <c r="B821" s="31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  <c r="AE821" s="9"/>
      <c r="AF821" s="9"/>
      <c r="AG821" s="9"/>
      <c r="AH821" s="9"/>
      <c r="AI821" s="9"/>
      <c r="AJ821" s="9"/>
      <c r="AK821" s="9"/>
      <c r="AL821" s="9"/>
      <c r="AM821" s="9"/>
      <c r="AN821" s="9"/>
      <c r="AO821" s="9"/>
      <c r="AP821" s="9"/>
      <c r="AQ821" s="9"/>
      <c r="AR821" s="9"/>
      <c r="AS821" s="9"/>
      <c r="AT821" s="9"/>
      <c r="AU821" s="9"/>
      <c r="AV821" s="9"/>
    </row>
    <row r="822" spans="1:48" ht="14" customHeight="1" thickBot="1">
      <c r="A822" s="31"/>
      <c r="B822" s="31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9"/>
      <c r="AE822" s="9"/>
      <c r="AF822" s="9"/>
      <c r="AG822" s="9"/>
      <c r="AH822" s="9"/>
      <c r="AI822" s="9"/>
      <c r="AJ822" s="9"/>
      <c r="AK822" s="9"/>
      <c r="AL822" s="9"/>
      <c r="AM822" s="9"/>
      <c r="AN822" s="9"/>
      <c r="AO822" s="9"/>
      <c r="AP822" s="9"/>
      <c r="AQ822" s="9"/>
      <c r="AR822" s="9"/>
      <c r="AS822" s="9"/>
      <c r="AT822" s="9"/>
      <c r="AU822" s="9"/>
      <c r="AV822" s="9"/>
    </row>
    <row r="823" spans="1:48" ht="14" customHeight="1" thickBot="1">
      <c r="A823" s="31"/>
      <c r="B823" s="31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  <c r="AE823" s="9"/>
      <c r="AF823" s="9"/>
      <c r="AG823" s="9"/>
      <c r="AH823" s="9"/>
      <c r="AI823" s="9"/>
      <c r="AJ823" s="9"/>
      <c r="AK823" s="9"/>
      <c r="AL823" s="9"/>
      <c r="AM823" s="9"/>
      <c r="AN823" s="9"/>
      <c r="AO823" s="9"/>
      <c r="AP823" s="9"/>
      <c r="AQ823" s="9"/>
      <c r="AR823" s="9"/>
      <c r="AS823" s="9"/>
      <c r="AT823" s="9"/>
      <c r="AU823" s="9"/>
      <c r="AV823" s="9"/>
    </row>
    <row r="824" spans="1:48" ht="14" customHeight="1" thickBot="1">
      <c r="A824" s="31"/>
      <c r="B824" s="31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  <c r="AE824" s="9"/>
      <c r="AF824" s="9"/>
      <c r="AG824" s="9"/>
      <c r="AH824" s="9"/>
      <c r="AI824" s="9"/>
      <c r="AJ824" s="9"/>
      <c r="AK824" s="9"/>
      <c r="AL824" s="9"/>
      <c r="AM824" s="9"/>
      <c r="AN824" s="9"/>
      <c r="AO824" s="9"/>
      <c r="AP824" s="9"/>
      <c r="AQ824" s="9"/>
      <c r="AR824" s="9"/>
      <c r="AS824" s="9"/>
      <c r="AT824" s="9"/>
      <c r="AU824" s="9"/>
      <c r="AV824" s="9"/>
    </row>
    <row r="825" spans="1:48" ht="14" customHeight="1" thickBot="1">
      <c r="A825" s="31"/>
      <c r="B825" s="31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  <c r="AE825" s="9"/>
      <c r="AF825" s="9"/>
      <c r="AG825" s="9"/>
      <c r="AH825" s="9"/>
      <c r="AI825" s="9"/>
      <c r="AJ825" s="9"/>
      <c r="AK825" s="9"/>
      <c r="AL825" s="9"/>
      <c r="AM825" s="9"/>
      <c r="AN825" s="9"/>
      <c r="AO825" s="9"/>
      <c r="AP825" s="9"/>
      <c r="AQ825" s="9"/>
      <c r="AR825" s="9"/>
      <c r="AS825" s="9"/>
      <c r="AT825" s="9"/>
      <c r="AU825" s="9"/>
      <c r="AV825" s="9"/>
    </row>
    <row r="826" spans="1:48" ht="14" customHeight="1" thickBot="1">
      <c r="A826" s="31"/>
      <c r="B826" s="31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  <c r="AE826" s="9"/>
      <c r="AF826" s="9"/>
      <c r="AG826" s="9"/>
      <c r="AH826" s="9"/>
      <c r="AI826" s="9"/>
      <c r="AJ826" s="9"/>
      <c r="AK826" s="9"/>
      <c r="AL826" s="9"/>
      <c r="AM826" s="9"/>
      <c r="AN826" s="9"/>
      <c r="AO826" s="9"/>
      <c r="AP826" s="9"/>
      <c r="AQ826" s="9"/>
      <c r="AR826" s="9"/>
      <c r="AS826" s="9"/>
      <c r="AT826" s="9"/>
      <c r="AU826" s="9"/>
      <c r="AV826" s="9"/>
    </row>
    <row r="827" spans="1:48" ht="14" customHeight="1" thickBot="1">
      <c r="A827" s="31"/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  <c r="AE827" s="9"/>
      <c r="AF827" s="9"/>
      <c r="AG827" s="9"/>
      <c r="AH827" s="9"/>
      <c r="AI827" s="9"/>
      <c r="AJ827" s="9"/>
      <c r="AK827" s="9"/>
      <c r="AL827" s="9"/>
      <c r="AM827" s="9"/>
      <c r="AN827" s="9"/>
      <c r="AO827" s="9"/>
      <c r="AP827" s="9"/>
      <c r="AQ827" s="9"/>
      <c r="AR827" s="9"/>
      <c r="AS827" s="9"/>
      <c r="AT827" s="9"/>
      <c r="AU827" s="9"/>
      <c r="AV827" s="9"/>
    </row>
    <row r="828" spans="1:48" ht="14" customHeight="1" thickBot="1">
      <c r="A828" s="31"/>
      <c r="B828" s="31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  <c r="AE828" s="9"/>
      <c r="AF828" s="9"/>
      <c r="AG828" s="9"/>
      <c r="AH828" s="9"/>
      <c r="AI828" s="9"/>
      <c r="AJ828" s="9"/>
      <c r="AK828" s="9"/>
      <c r="AL828" s="9"/>
      <c r="AM828" s="9"/>
      <c r="AN828" s="9"/>
      <c r="AO828" s="9"/>
      <c r="AP828" s="9"/>
      <c r="AQ828" s="9"/>
      <c r="AR828" s="9"/>
      <c r="AS828" s="9"/>
      <c r="AT828" s="9"/>
      <c r="AU828" s="9"/>
      <c r="AV828" s="9"/>
    </row>
    <row r="829" spans="1:48" ht="14" customHeight="1" thickBot="1">
      <c r="A829" s="31"/>
      <c r="B829" s="31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9"/>
      <c r="AE829" s="9"/>
      <c r="AF829" s="9"/>
      <c r="AG829" s="9"/>
      <c r="AH829" s="9"/>
      <c r="AI829" s="9"/>
      <c r="AJ829" s="9"/>
      <c r="AK829" s="9"/>
      <c r="AL829" s="9"/>
      <c r="AM829" s="9"/>
      <c r="AN829" s="9"/>
      <c r="AO829" s="9"/>
      <c r="AP829" s="9"/>
      <c r="AQ829" s="9"/>
      <c r="AR829" s="9"/>
      <c r="AS829" s="9"/>
      <c r="AT829" s="9"/>
      <c r="AU829" s="9"/>
      <c r="AV829" s="9"/>
    </row>
    <row r="830" spans="1:48" ht="14" customHeight="1" thickBot="1">
      <c r="A830" s="31"/>
      <c r="B830" s="31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  <c r="AE830" s="9"/>
      <c r="AF830" s="9"/>
      <c r="AG830" s="9"/>
      <c r="AH830" s="9"/>
      <c r="AI830" s="9"/>
      <c r="AJ830" s="9"/>
      <c r="AK830" s="9"/>
      <c r="AL830" s="9"/>
      <c r="AM830" s="9"/>
      <c r="AN830" s="9"/>
      <c r="AO830" s="9"/>
      <c r="AP830" s="9"/>
      <c r="AQ830" s="9"/>
      <c r="AR830" s="9"/>
      <c r="AS830" s="9"/>
      <c r="AT830" s="9"/>
      <c r="AU830" s="9"/>
      <c r="AV830" s="9"/>
    </row>
    <row r="831" spans="1:48" ht="14" customHeight="1" thickBot="1">
      <c r="A831" s="31"/>
      <c r="B831" s="31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  <c r="AE831" s="9"/>
      <c r="AF831" s="9"/>
      <c r="AG831" s="9"/>
      <c r="AH831" s="9"/>
      <c r="AI831" s="9"/>
      <c r="AJ831" s="9"/>
      <c r="AK831" s="9"/>
      <c r="AL831" s="9"/>
      <c r="AM831" s="9"/>
      <c r="AN831" s="9"/>
      <c r="AO831" s="9"/>
      <c r="AP831" s="9"/>
      <c r="AQ831" s="9"/>
      <c r="AR831" s="9"/>
      <c r="AS831" s="9"/>
      <c r="AT831" s="9"/>
      <c r="AU831" s="9"/>
      <c r="AV831" s="9"/>
    </row>
    <row r="832" spans="1:48" ht="14" customHeight="1" thickBot="1">
      <c r="A832" s="31"/>
      <c r="B832" s="31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  <c r="AE832" s="9"/>
      <c r="AF832" s="9"/>
      <c r="AG832" s="9"/>
      <c r="AH832" s="9"/>
      <c r="AI832" s="9"/>
      <c r="AJ832" s="9"/>
      <c r="AK832" s="9"/>
      <c r="AL832" s="9"/>
      <c r="AM832" s="9"/>
      <c r="AN832" s="9"/>
      <c r="AO832" s="9"/>
      <c r="AP832" s="9"/>
      <c r="AQ832" s="9"/>
      <c r="AR832" s="9"/>
      <c r="AS832" s="9"/>
      <c r="AT832" s="9"/>
      <c r="AU832" s="9"/>
      <c r="AV832" s="9"/>
    </row>
    <row r="833" spans="1:48" ht="14" customHeight="1" thickBot="1">
      <c r="A833" s="31"/>
      <c r="B833" s="31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  <c r="AE833" s="9"/>
      <c r="AF833" s="9"/>
      <c r="AG833" s="9"/>
      <c r="AH833" s="9"/>
      <c r="AI833" s="9"/>
      <c r="AJ833" s="9"/>
      <c r="AK833" s="9"/>
      <c r="AL833" s="9"/>
      <c r="AM833" s="9"/>
      <c r="AN833" s="9"/>
      <c r="AO833" s="9"/>
      <c r="AP833" s="9"/>
      <c r="AQ833" s="9"/>
      <c r="AR833" s="9"/>
      <c r="AS833" s="9"/>
      <c r="AT833" s="9"/>
      <c r="AU833" s="9"/>
      <c r="AV833" s="9"/>
    </row>
    <row r="834" spans="1:48" ht="14" customHeight="1" thickBot="1">
      <c r="A834" s="31"/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  <c r="AE834" s="9"/>
      <c r="AF834" s="9"/>
      <c r="AG834" s="9"/>
      <c r="AH834" s="9"/>
      <c r="AI834" s="9"/>
      <c r="AJ834" s="9"/>
      <c r="AK834" s="9"/>
      <c r="AL834" s="9"/>
      <c r="AM834" s="9"/>
      <c r="AN834" s="9"/>
      <c r="AO834" s="9"/>
      <c r="AP834" s="9"/>
      <c r="AQ834" s="9"/>
      <c r="AR834" s="9"/>
      <c r="AS834" s="9"/>
      <c r="AT834" s="9"/>
      <c r="AU834" s="9"/>
      <c r="AV834" s="9"/>
    </row>
    <row r="835" spans="1:48" ht="14" customHeight="1" thickBot="1">
      <c r="A835" s="31"/>
      <c r="B835" s="31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  <c r="AE835" s="9"/>
      <c r="AF835" s="9"/>
      <c r="AG835" s="9"/>
      <c r="AH835" s="9"/>
      <c r="AI835" s="9"/>
      <c r="AJ835" s="9"/>
      <c r="AK835" s="9"/>
      <c r="AL835" s="9"/>
      <c r="AM835" s="9"/>
      <c r="AN835" s="9"/>
      <c r="AO835" s="9"/>
      <c r="AP835" s="9"/>
      <c r="AQ835" s="9"/>
      <c r="AR835" s="9"/>
      <c r="AS835" s="9"/>
      <c r="AT835" s="9"/>
      <c r="AU835" s="9"/>
      <c r="AV835" s="9"/>
    </row>
    <row r="836" spans="1:48" ht="14" customHeight="1" thickBot="1">
      <c r="A836" s="31"/>
      <c r="B836" s="31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  <c r="AE836" s="9"/>
      <c r="AF836" s="9"/>
      <c r="AG836" s="9"/>
      <c r="AH836" s="9"/>
      <c r="AI836" s="9"/>
      <c r="AJ836" s="9"/>
      <c r="AK836" s="9"/>
      <c r="AL836" s="9"/>
      <c r="AM836" s="9"/>
      <c r="AN836" s="9"/>
      <c r="AO836" s="9"/>
      <c r="AP836" s="9"/>
      <c r="AQ836" s="9"/>
      <c r="AR836" s="9"/>
      <c r="AS836" s="9"/>
      <c r="AT836" s="9"/>
      <c r="AU836" s="9"/>
      <c r="AV836" s="9"/>
    </row>
    <row r="837" spans="1:48" ht="14" customHeight="1" thickBot="1">
      <c r="A837" s="31"/>
      <c r="B837" s="31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  <c r="AE837" s="9"/>
      <c r="AF837" s="9"/>
      <c r="AG837" s="9"/>
      <c r="AH837" s="9"/>
      <c r="AI837" s="9"/>
      <c r="AJ837" s="9"/>
      <c r="AK837" s="9"/>
      <c r="AL837" s="9"/>
      <c r="AM837" s="9"/>
      <c r="AN837" s="9"/>
      <c r="AO837" s="9"/>
      <c r="AP837" s="9"/>
      <c r="AQ837" s="9"/>
      <c r="AR837" s="9"/>
      <c r="AS837" s="9"/>
      <c r="AT837" s="9"/>
      <c r="AU837" s="9"/>
      <c r="AV837" s="9"/>
    </row>
    <row r="838" spans="1:48" ht="14" customHeight="1" thickBot="1">
      <c r="A838" s="31"/>
      <c r="B838" s="31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  <c r="AE838" s="9"/>
      <c r="AF838" s="9"/>
      <c r="AG838" s="9"/>
      <c r="AH838" s="9"/>
      <c r="AI838" s="9"/>
      <c r="AJ838" s="9"/>
      <c r="AK838" s="9"/>
      <c r="AL838" s="9"/>
      <c r="AM838" s="9"/>
      <c r="AN838" s="9"/>
      <c r="AO838" s="9"/>
      <c r="AP838" s="9"/>
      <c r="AQ838" s="9"/>
      <c r="AR838" s="9"/>
      <c r="AS838" s="9"/>
      <c r="AT838" s="9"/>
      <c r="AU838" s="9"/>
      <c r="AV838" s="9"/>
    </row>
    <row r="839" spans="1:48" ht="14" customHeight="1" thickBot="1">
      <c r="A839" s="31"/>
      <c r="B839" s="31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  <c r="AE839" s="9"/>
      <c r="AF839" s="9"/>
      <c r="AG839" s="9"/>
      <c r="AH839" s="9"/>
      <c r="AI839" s="9"/>
      <c r="AJ839" s="9"/>
      <c r="AK839" s="9"/>
      <c r="AL839" s="9"/>
      <c r="AM839" s="9"/>
      <c r="AN839" s="9"/>
      <c r="AO839" s="9"/>
      <c r="AP839" s="9"/>
      <c r="AQ839" s="9"/>
      <c r="AR839" s="9"/>
      <c r="AS839" s="9"/>
      <c r="AT839" s="9"/>
      <c r="AU839" s="9"/>
      <c r="AV839" s="9"/>
    </row>
    <row r="840" spans="1:48" ht="14" customHeight="1" thickBot="1">
      <c r="A840" s="31"/>
      <c r="B840" s="31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  <c r="AE840" s="9"/>
      <c r="AF840" s="9"/>
      <c r="AG840" s="9"/>
      <c r="AH840" s="9"/>
      <c r="AI840" s="9"/>
      <c r="AJ840" s="9"/>
      <c r="AK840" s="9"/>
      <c r="AL840" s="9"/>
      <c r="AM840" s="9"/>
      <c r="AN840" s="9"/>
      <c r="AO840" s="9"/>
      <c r="AP840" s="9"/>
      <c r="AQ840" s="9"/>
      <c r="AR840" s="9"/>
      <c r="AS840" s="9"/>
      <c r="AT840" s="9"/>
      <c r="AU840" s="9"/>
      <c r="AV840" s="9"/>
    </row>
    <row r="841" spans="1:48" ht="14" customHeight="1" thickBot="1">
      <c r="A841" s="31"/>
      <c r="B841" s="31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  <c r="AE841" s="9"/>
      <c r="AF841" s="9"/>
      <c r="AG841" s="9"/>
      <c r="AH841" s="9"/>
      <c r="AI841" s="9"/>
      <c r="AJ841" s="9"/>
      <c r="AK841" s="9"/>
      <c r="AL841" s="9"/>
      <c r="AM841" s="9"/>
      <c r="AN841" s="9"/>
      <c r="AO841" s="9"/>
      <c r="AP841" s="9"/>
      <c r="AQ841" s="9"/>
      <c r="AR841" s="9"/>
      <c r="AS841" s="9"/>
      <c r="AT841" s="9"/>
      <c r="AU841" s="9"/>
      <c r="AV841" s="9"/>
    </row>
    <row r="842" spans="1:48" ht="14" customHeight="1" thickBot="1">
      <c r="A842" s="31"/>
      <c r="B842" s="31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  <c r="AE842" s="9"/>
      <c r="AF842" s="9"/>
      <c r="AG842" s="9"/>
      <c r="AH842" s="9"/>
      <c r="AI842" s="9"/>
      <c r="AJ842" s="9"/>
      <c r="AK842" s="9"/>
      <c r="AL842" s="9"/>
      <c r="AM842" s="9"/>
      <c r="AN842" s="9"/>
      <c r="AO842" s="9"/>
      <c r="AP842" s="9"/>
      <c r="AQ842" s="9"/>
      <c r="AR842" s="9"/>
      <c r="AS842" s="9"/>
      <c r="AT842" s="9"/>
      <c r="AU842" s="9"/>
      <c r="AV842" s="9"/>
    </row>
    <row r="843" spans="1:48" ht="14" customHeight="1" thickBot="1">
      <c r="A843" s="31"/>
      <c r="B843" s="31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  <c r="AE843" s="9"/>
      <c r="AF843" s="9"/>
      <c r="AG843" s="9"/>
      <c r="AH843" s="9"/>
      <c r="AI843" s="9"/>
      <c r="AJ843" s="9"/>
      <c r="AK843" s="9"/>
      <c r="AL843" s="9"/>
      <c r="AM843" s="9"/>
      <c r="AN843" s="9"/>
      <c r="AO843" s="9"/>
      <c r="AP843" s="9"/>
      <c r="AQ843" s="9"/>
      <c r="AR843" s="9"/>
      <c r="AS843" s="9"/>
      <c r="AT843" s="9"/>
      <c r="AU843" s="9"/>
      <c r="AV843" s="9"/>
    </row>
    <row r="844" spans="1:48" ht="14" customHeight="1" thickBot="1">
      <c r="A844" s="31"/>
      <c r="B844" s="31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  <c r="AE844" s="9"/>
      <c r="AF844" s="9"/>
      <c r="AG844" s="9"/>
      <c r="AH844" s="9"/>
      <c r="AI844" s="9"/>
      <c r="AJ844" s="9"/>
      <c r="AK844" s="9"/>
      <c r="AL844" s="9"/>
      <c r="AM844" s="9"/>
      <c r="AN844" s="9"/>
      <c r="AO844" s="9"/>
      <c r="AP844" s="9"/>
      <c r="AQ844" s="9"/>
      <c r="AR844" s="9"/>
      <c r="AS844" s="9"/>
      <c r="AT844" s="9"/>
      <c r="AU844" s="9"/>
      <c r="AV844" s="9"/>
    </row>
    <row r="845" spans="1:48" ht="14" customHeight="1" thickBot="1">
      <c r="A845" s="31"/>
      <c r="B845" s="31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  <c r="AE845" s="9"/>
      <c r="AF845" s="9"/>
      <c r="AG845" s="9"/>
      <c r="AH845" s="9"/>
      <c r="AI845" s="9"/>
      <c r="AJ845" s="9"/>
      <c r="AK845" s="9"/>
      <c r="AL845" s="9"/>
      <c r="AM845" s="9"/>
      <c r="AN845" s="9"/>
      <c r="AO845" s="9"/>
      <c r="AP845" s="9"/>
      <c r="AQ845" s="9"/>
      <c r="AR845" s="9"/>
      <c r="AS845" s="9"/>
      <c r="AT845" s="9"/>
      <c r="AU845" s="9"/>
      <c r="AV845" s="9"/>
    </row>
    <row r="846" spans="1:48" ht="14" customHeight="1" thickBot="1">
      <c r="A846" s="31"/>
      <c r="B846" s="31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  <c r="AE846" s="9"/>
      <c r="AF846" s="9"/>
      <c r="AG846" s="9"/>
      <c r="AH846" s="9"/>
      <c r="AI846" s="9"/>
      <c r="AJ846" s="9"/>
      <c r="AK846" s="9"/>
      <c r="AL846" s="9"/>
      <c r="AM846" s="9"/>
      <c r="AN846" s="9"/>
      <c r="AO846" s="9"/>
      <c r="AP846" s="9"/>
      <c r="AQ846" s="9"/>
      <c r="AR846" s="9"/>
      <c r="AS846" s="9"/>
      <c r="AT846" s="9"/>
      <c r="AU846" s="9"/>
      <c r="AV846" s="9"/>
    </row>
    <row r="847" spans="1:48" ht="14" customHeight="1" thickBot="1">
      <c r="A847" s="31"/>
      <c r="B847" s="31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  <c r="AE847" s="9"/>
      <c r="AF847" s="9"/>
      <c r="AG847" s="9"/>
      <c r="AH847" s="9"/>
      <c r="AI847" s="9"/>
      <c r="AJ847" s="9"/>
      <c r="AK847" s="9"/>
      <c r="AL847" s="9"/>
      <c r="AM847" s="9"/>
      <c r="AN847" s="9"/>
      <c r="AO847" s="9"/>
      <c r="AP847" s="9"/>
      <c r="AQ847" s="9"/>
      <c r="AR847" s="9"/>
      <c r="AS847" s="9"/>
      <c r="AT847" s="9"/>
      <c r="AU847" s="9"/>
      <c r="AV847" s="9"/>
    </row>
    <row r="848" spans="1:48" ht="14" customHeight="1" thickBot="1">
      <c r="A848" s="31"/>
      <c r="B848" s="31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  <c r="AE848" s="9"/>
      <c r="AF848" s="9"/>
      <c r="AG848" s="9"/>
      <c r="AH848" s="9"/>
      <c r="AI848" s="9"/>
      <c r="AJ848" s="9"/>
      <c r="AK848" s="9"/>
      <c r="AL848" s="9"/>
      <c r="AM848" s="9"/>
      <c r="AN848" s="9"/>
      <c r="AO848" s="9"/>
      <c r="AP848" s="9"/>
      <c r="AQ848" s="9"/>
      <c r="AR848" s="9"/>
      <c r="AS848" s="9"/>
      <c r="AT848" s="9"/>
      <c r="AU848" s="9"/>
      <c r="AV848" s="9"/>
    </row>
    <row r="849" spans="1:48" ht="14" customHeight="1" thickBot="1">
      <c r="A849" s="31"/>
      <c r="B849" s="31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  <c r="AE849" s="9"/>
      <c r="AF849" s="9"/>
      <c r="AG849" s="9"/>
      <c r="AH849" s="9"/>
      <c r="AI849" s="9"/>
      <c r="AJ849" s="9"/>
      <c r="AK849" s="9"/>
      <c r="AL849" s="9"/>
      <c r="AM849" s="9"/>
      <c r="AN849" s="9"/>
      <c r="AO849" s="9"/>
      <c r="AP849" s="9"/>
      <c r="AQ849" s="9"/>
      <c r="AR849" s="9"/>
      <c r="AS849" s="9"/>
      <c r="AT849" s="9"/>
      <c r="AU849" s="9"/>
      <c r="AV849" s="9"/>
    </row>
    <row r="850" spans="1:48" ht="14" customHeight="1" thickBot="1">
      <c r="A850" s="31"/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  <c r="AE850" s="9"/>
      <c r="AF850" s="9"/>
      <c r="AG850" s="9"/>
      <c r="AH850" s="9"/>
      <c r="AI850" s="9"/>
      <c r="AJ850" s="9"/>
      <c r="AK850" s="9"/>
      <c r="AL850" s="9"/>
      <c r="AM850" s="9"/>
      <c r="AN850" s="9"/>
      <c r="AO850" s="9"/>
      <c r="AP850" s="9"/>
      <c r="AQ850" s="9"/>
      <c r="AR850" s="9"/>
      <c r="AS850" s="9"/>
      <c r="AT850" s="9"/>
      <c r="AU850" s="9"/>
      <c r="AV850" s="9"/>
    </row>
    <row r="851" spans="1:48" ht="14" customHeight="1" thickBot="1">
      <c r="A851" s="31"/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  <c r="AE851" s="9"/>
      <c r="AF851" s="9"/>
      <c r="AG851" s="9"/>
      <c r="AH851" s="9"/>
      <c r="AI851" s="9"/>
      <c r="AJ851" s="9"/>
      <c r="AK851" s="9"/>
      <c r="AL851" s="9"/>
      <c r="AM851" s="9"/>
      <c r="AN851" s="9"/>
      <c r="AO851" s="9"/>
      <c r="AP851" s="9"/>
      <c r="AQ851" s="9"/>
      <c r="AR851" s="9"/>
      <c r="AS851" s="9"/>
      <c r="AT851" s="9"/>
      <c r="AU851" s="9"/>
      <c r="AV851" s="9"/>
    </row>
    <row r="852" spans="1:48" ht="14" customHeight="1" thickBot="1">
      <c r="A852" s="31"/>
      <c r="B852" s="31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  <c r="AE852" s="9"/>
      <c r="AF852" s="9"/>
      <c r="AG852" s="9"/>
      <c r="AH852" s="9"/>
      <c r="AI852" s="9"/>
      <c r="AJ852" s="9"/>
      <c r="AK852" s="9"/>
      <c r="AL852" s="9"/>
      <c r="AM852" s="9"/>
      <c r="AN852" s="9"/>
      <c r="AO852" s="9"/>
      <c r="AP852" s="9"/>
      <c r="AQ852" s="9"/>
      <c r="AR852" s="9"/>
      <c r="AS852" s="9"/>
      <c r="AT852" s="9"/>
      <c r="AU852" s="9"/>
      <c r="AV852" s="9"/>
    </row>
    <row r="853" spans="1:48" ht="14" customHeight="1" thickBot="1">
      <c r="A853" s="31"/>
      <c r="B853" s="31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9"/>
      <c r="AE853" s="9"/>
      <c r="AF853" s="9"/>
      <c r="AG853" s="9"/>
      <c r="AH853" s="9"/>
      <c r="AI853" s="9"/>
      <c r="AJ853" s="9"/>
      <c r="AK853" s="9"/>
      <c r="AL853" s="9"/>
      <c r="AM853" s="9"/>
      <c r="AN853" s="9"/>
      <c r="AO853" s="9"/>
      <c r="AP853" s="9"/>
      <c r="AQ853" s="9"/>
      <c r="AR853" s="9"/>
      <c r="AS853" s="9"/>
      <c r="AT853" s="9"/>
      <c r="AU853" s="9"/>
      <c r="AV853" s="9"/>
    </row>
    <row r="854" spans="1:48" ht="14" customHeight="1" thickBot="1">
      <c r="A854" s="31"/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  <c r="AE854" s="9"/>
      <c r="AF854" s="9"/>
      <c r="AG854" s="9"/>
      <c r="AH854" s="9"/>
      <c r="AI854" s="9"/>
      <c r="AJ854" s="9"/>
      <c r="AK854" s="9"/>
      <c r="AL854" s="9"/>
      <c r="AM854" s="9"/>
      <c r="AN854" s="9"/>
      <c r="AO854" s="9"/>
      <c r="AP854" s="9"/>
      <c r="AQ854" s="9"/>
      <c r="AR854" s="9"/>
      <c r="AS854" s="9"/>
      <c r="AT854" s="9"/>
      <c r="AU854" s="9"/>
      <c r="AV854" s="9"/>
    </row>
    <row r="855" spans="1:48" ht="14" customHeight="1" thickBot="1">
      <c r="A855" s="31"/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  <c r="AE855" s="9"/>
      <c r="AF855" s="9"/>
      <c r="AG855" s="9"/>
      <c r="AH855" s="9"/>
      <c r="AI855" s="9"/>
      <c r="AJ855" s="9"/>
      <c r="AK855" s="9"/>
      <c r="AL855" s="9"/>
      <c r="AM855" s="9"/>
      <c r="AN855" s="9"/>
      <c r="AO855" s="9"/>
      <c r="AP855" s="9"/>
      <c r="AQ855" s="9"/>
      <c r="AR855" s="9"/>
      <c r="AS855" s="9"/>
      <c r="AT855" s="9"/>
      <c r="AU855" s="9"/>
      <c r="AV855" s="9"/>
    </row>
    <row r="856" spans="1:48" ht="14" customHeight="1" thickBot="1">
      <c r="A856" s="31"/>
      <c r="B856" s="31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9"/>
      <c r="AE856" s="9"/>
      <c r="AF856" s="9"/>
      <c r="AG856" s="9"/>
      <c r="AH856" s="9"/>
      <c r="AI856" s="9"/>
      <c r="AJ856" s="9"/>
      <c r="AK856" s="9"/>
      <c r="AL856" s="9"/>
      <c r="AM856" s="9"/>
      <c r="AN856" s="9"/>
      <c r="AO856" s="9"/>
      <c r="AP856" s="9"/>
      <c r="AQ856" s="9"/>
      <c r="AR856" s="9"/>
      <c r="AS856" s="9"/>
      <c r="AT856" s="9"/>
      <c r="AU856" s="9"/>
      <c r="AV856" s="9"/>
    </row>
    <row r="857" spans="1:48" ht="14" customHeight="1" thickBot="1">
      <c r="A857" s="31"/>
      <c r="B857" s="31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  <c r="AE857" s="9"/>
      <c r="AF857" s="9"/>
      <c r="AG857" s="9"/>
      <c r="AH857" s="9"/>
      <c r="AI857" s="9"/>
      <c r="AJ857" s="9"/>
      <c r="AK857" s="9"/>
      <c r="AL857" s="9"/>
      <c r="AM857" s="9"/>
      <c r="AN857" s="9"/>
      <c r="AO857" s="9"/>
      <c r="AP857" s="9"/>
      <c r="AQ857" s="9"/>
      <c r="AR857" s="9"/>
      <c r="AS857" s="9"/>
      <c r="AT857" s="9"/>
      <c r="AU857" s="9"/>
      <c r="AV857" s="9"/>
    </row>
    <row r="858" spans="1:48" ht="14" customHeight="1" thickBot="1">
      <c r="A858" s="31"/>
      <c r="B858" s="31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  <c r="AE858" s="9"/>
      <c r="AF858" s="9"/>
      <c r="AG858" s="9"/>
      <c r="AH858" s="9"/>
      <c r="AI858" s="9"/>
      <c r="AJ858" s="9"/>
      <c r="AK858" s="9"/>
      <c r="AL858" s="9"/>
      <c r="AM858" s="9"/>
      <c r="AN858" s="9"/>
      <c r="AO858" s="9"/>
      <c r="AP858" s="9"/>
      <c r="AQ858" s="9"/>
      <c r="AR858" s="9"/>
      <c r="AS858" s="9"/>
      <c r="AT858" s="9"/>
      <c r="AU858" s="9"/>
      <c r="AV858" s="9"/>
    </row>
    <row r="859" spans="1:48" ht="14" customHeight="1" thickBot="1">
      <c r="A859" s="31"/>
      <c r="B859" s="31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9"/>
      <c r="AE859" s="9"/>
      <c r="AF859" s="9"/>
      <c r="AG859" s="9"/>
      <c r="AH859" s="9"/>
      <c r="AI859" s="9"/>
      <c r="AJ859" s="9"/>
      <c r="AK859" s="9"/>
      <c r="AL859" s="9"/>
      <c r="AM859" s="9"/>
      <c r="AN859" s="9"/>
      <c r="AO859" s="9"/>
      <c r="AP859" s="9"/>
      <c r="AQ859" s="9"/>
      <c r="AR859" s="9"/>
      <c r="AS859" s="9"/>
      <c r="AT859" s="9"/>
      <c r="AU859" s="9"/>
      <c r="AV859" s="9"/>
    </row>
    <row r="860" spans="1:48" ht="14" customHeight="1" thickBot="1">
      <c r="A860" s="31"/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  <c r="AE860" s="9"/>
      <c r="AF860" s="9"/>
      <c r="AG860" s="9"/>
      <c r="AH860" s="9"/>
      <c r="AI860" s="9"/>
      <c r="AJ860" s="9"/>
      <c r="AK860" s="9"/>
      <c r="AL860" s="9"/>
      <c r="AM860" s="9"/>
      <c r="AN860" s="9"/>
      <c r="AO860" s="9"/>
      <c r="AP860" s="9"/>
      <c r="AQ860" s="9"/>
      <c r="AR860" s="9"/>
      <c r="AS860" s="9"/>
      <c r="AT860" s="9"/>
      <c r="AU860" s="9"/>
      <c r="AV860" s="9"/>
    </row>
    <row r="861" spans="1:48" ht="14" customHeight="1" thickBot="1">
      <c r="A861" s="31"/>
      <c r="B861" s="31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  <c r="AE861" s="9"/>
      <c r="AF861" s="9"/>
      <c r="AG861" s="9"/>
      <c r="AH861" s="9"/>
      <c r="AI861" s="9"/>
      <c r="AJ861" s="9"/>
      <c r="AK861" s="9"/>
      <c r="AL861" s="9"/>
      <c r="AM861" s="9"/>
      <c r="AN861" s="9"/>
      <c r="AO861" s="9"/>
      <c r="AP861" s="9"/>
      <c r="AQ861" s="9"/>
      <c r="AR861" s="9"/>
      <c r="AS861" s="9"/>
      <c r="AT861" s="9"/>
      <c r="AU861" s="9"/>
      <c r="AV861" s="9"/>
    </row>
    <row r="862" spans="1:48" ht="14" customHeight="1" thickBot="1">
      <c r="A862" s="31"/>
      <c r="B862" s="31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  <c r="AE862" s="9"/>
      <c r="AF862" s="9"/>
      <c r="AG862" s="9"/>
      <c r="AH862" s="9"/>
      <c r="AI862" s="9"/>
      <c r="AJ862" s="9"/>
      <c r="AK862" s="9"/>
      <c r="AL862" s="9"/>
      <c r="AM862" s="9"/>
      <c r="AN862" s="9"/>
      <c r="AO862" s="9"/>
      <c r="AP862" s="9"/>
      <c r="AQ862" s="9"/>
      <c r="AR862" s="9"/>
      <c r="AS862" s="9"/>
      <c r="AT862" s="9"/>
      <c r="AU862" s="9"/>
      <c r="AV862" s="9"/>
    </row>
    <row r="863" spans="1:48" ht="14" customHeight="1" thickBot="1">
      <c r="A863" s="31"/>
      <c r="B863" s="31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9"/>
      <c r="AE863" s="9"/>
      <c r="AF863" s="9"/>
      <c r="AG863" s="9"/>
      <c r="AH863" s="9"/>
      <c r="AI863" s="9"/>
      <c r="AJ863" s="9"/>
      <c r="AK863" s="9"/>
      <c r="AL863" s="9"/>
      <c r="AM863" s="9"/>
      <c r="AN863" s="9"/>
      <c r="AO863" s="9"/>
      <c r="AP863" s="9"/>
      <c r="AQ863" s="9"/>
      <c r="AR863" s="9"/>
      <c r="AS863" s="9"/>
      <c r="AT863" s="9"/>
      <c r="AU863" s="9"/>
      <c r="AV863" s="9"/>
    </row>
    <row r="864" spans="1:48" ht="14" customHeight="1" thickBot="1">
      <c r="A864" s="31"/>
      <c r="B864" s="31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  <c r="AE864" s="9"/>
      <c r="AF864" s="9"/>
      <c r="AG864" s="9"/>
      <c r="AH864" s="9"/>
      <c r="AI864" s="9"/>
      <c r="AJ864" s="9"/>
      <c r="AK864" s="9"/>
      <c r="AL864" s="9"/>
      <c r="AM864" s="9"/>
      <c r="AN864" s="9"/>
      <c r="AO864" s="9"/>
      <c r="AP864" s="9"/>
      <c r="AQ864" s="9"/>
      <c r="AR864" s="9"/>
      <c r="AS864" s="9"/>
      <c r="AT864" s="9"/>
      <c r="AU864" s="9"/>
      <c r="AV864" s="9"/>
    </row>
    <row r="865" spans="1:48" ht="14" customHeight="1" thickBot="1">
      <c r="A865" s="31"/>
      <c r="B865" s="31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  <c r="AE865" s="9"/>
      <c r="AF865" s="9"/>
      <c r="AG865" s="9"/>
      <c r="AH865" s="9"/>
      <c r="AI865" s="9"/>
      <c r="AJ865" s="9"/>
      <c r="AK865" s="9"/>
      <c r="AL865" s="9"/>
      <c r="AM865" s="9"/>
      <c r="AN865" s="9"/>
      <c r="AO865" s="9"/>
      <c r="AP865" s="9"/>
      <c r="AQ865" s="9"/>
      <c r="AR865" s="9"/>
      <c r="AS865" s="9"/>
      <c r="AT865" s="9"/>
      <c r="AU865" s="9"/>
      <c r="AV865" s="9"/>
    </row>
    <row r="866" spans="1:48" ht="14" customHeight="1" thickBot="1">
      <c r="A866" s="31"/>
      <c r="B866" s="31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  <c r="AE866" s="9"/>
      <c r="AF866" s="9"/>
      <c r="AG866" s="9"/>
      <c r="AH866" s="9"/>
      <c r="AI866" s="9"/>
      <c r="AJ866" s="9"/>
      <c r="AK866" s="9"/>
      <c r="AL866" s="9"/>
      <c r="AM866" s="9"/>
      <c r="AN866" s="9"/>
      <c r="AO866" s="9"/>
      <c r="AP866" s="9"/>
      <c r="AQ866" s="9"/>
      <c r="AR866" s="9"/>
      <c r="AS866" s="9"/>
      <c r="AT866" s="9"/>
      <c r="AU866" s="9"/>
      <c r="AV866" s="9"/>
    </row>
    <row r="867" spans="1:48" ht="14" customHeight="1" thickBot="1">
      <c r="A867" s="31"/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  <c r="AE867" s="9"/>
      <c r="AF867" s="9"/>
      <c r="AG867" s="9"/>
      <c r="AH867" s="9"/>
      <c r="AI867" s="9"/>
      <c r="AJ867" s="9"/>
      <c r="AK867" s="9"/>
      <c r="AL867" s="9"/>
      <c r="AM867" s="9"/>
      <c r="AN867" s="9"/>
      <c r="AO867" s="9"/>
      <c r="AP867" s="9"/>
      <c r="AQ867" s="9"/>
      <c r="AR867" s="9"/>
      <c r="AS867" s="9"/>
      <c r="AT867" s="9"/>
      <c r="AU867" s="9"/>
      <c r="AV867" s="9"/>
    </row>
    <row r="868" spans="1:48" ht="14" customHeight="1" thickBot="1">
      <c r="A868" s="31"/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  <c r="AE868" s="9"/>
      <c r="AF868" s="9"/>
      <c r="AG868" s="9"/>
      <c r="AH868" s="9"/>
      <c r="AI868" s="9"/>
      <c r="AJ868" s="9"/>
      <c r="AK868" s="9"/>
      <c r="AL868" s="9"/>
      <c r="AM868" s="9"/>
      <c r="AN868" s="9"/>
      <c r="AO868" s="9"/>
      <c r="AP868" s="9"/>
      <c r="AQ868" s="9"/>
      <c r="AR868" s="9"/>
      <c r="AS868" s="9"/>
      <c r="AT868" s="9"/>
      <c r="AU868" s="9"/>
      <c r="AV868" s="9"/>
    </row>
    <row r="869" spans="1:48" ht="14" customHeight="1" thickBot="1">
      <c r="A869" s="31"/>
      <c r="B869" s="31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  <c r="AE869" s="9"/>
      <c r="AF869" s="9"/>
      <c r="AG869" s="9"/>
      <c r="AH869" s="9"/>
      <c r="AI869" s="9"/>
      <c r="AJ869" s="9"/>
      <c r="AK869" s="9"/>
      <c r="AL869" s="9"/>
      <c r="AM869" s="9"/>
      <c r="AN869" s="9"/>
      <c r="AO869" s="9"/>
      <c r="AP869" s="9"/>
      <c r="AQ869" s="9"/>
      <c r="AR869" s="9"/>
      <c r="AS869" s="9"/>
      <c r="AT869" s="9"/>
      <c r="AU869" s="9"/>
      <c r="AV869" s="9"/>
    </row>
    <row r="870" spans="1:48" ht="14" customHeight="1" thickBot="1">
      <c r="A870" s="31"/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  <c r="AE870" s="9"/>
      <c r="AF870" s="9"/>
      <c r="AG870" s="9"/>
      <c r="AH870" s="9"/>
      <c r="AI870" s="9"/>
      <c r="AJ870" s="9"/>
      <c r="AK870" s="9"/>
      <c r="AL870" s="9"/>
      <c r="AM870" s="9"/>
      <c r="AN870" s="9"/>
      <c r="AO870" s="9"/>
      <c r="AP870" s="9"/>
      <c r="AQ870" s="9"/>
      <c r="AR870" s="9"/>
      <c r="AS870" s="9"/>
      <c r="AT870" s="9"/>
      <c r="AU870" s="9"/>
      <c r="AV870" s="9"/>
    </row>
    <row r="871" spans="1:48" ht="14" customHeight="1" thickBot="1">
      <c r="A871" s="31"/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  <c r="AE871" s="9"/>
      <c r="AF871" s="9"/>
      <c r="AG871" s="9"/>
      <c r="AH871" s="9"/>
      <c r="AI871" s="9"/>
      <c r="AJ871" s="9"/>
      <c r="AK871" s="9"/>
      <c r="AL871" s="9"/>
      <c r="AM871" s="9"/>
      <c r="AN871" s="9"/>
      <c r="AO871" s="9"/>
      <c r="AP871" s="9"/>
      <c r="AQ871" s="9"/>
      <c r="AR871" s="9"/>
      <c r="AS871" s="9"/>
      <c r="AT871" s="9"/>
      <c r="AU871" s="9"/>
      <c r="AV871" s="9"/>
    </row>
    <row r="872" spans="1:48" ht="14" customHeight="1" thickBot="1">
      <c r="A872" s="31"/>
      <c r="B872" s="31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  <c r="AE872" s="9"/>
      <c r="AF872" s="9"/>
      <c r="AG872" s="9"/>
      <c r="AH872" s="9"/>
      <c r="AI872" s="9"/>
      <c r="AJ872" s="9"/>
      <c r="AK872" s="9"/>
      <c r="AL872" s="9"/>
      <c r="AM872" s="9"/>
      <c r="AN872" s="9"/>
      <c r="AO872" s="9"/>
      <c r="AP872" s="9"/>
      <c r="AQ872" s="9"/>
      <c r="AR872" s="9"/>
      <c r="AS872" s="9"/>
      <c r="AT872" s="9"/>
      <c r="AU872" s="9"/>
      <c r="AV872" s="9"/>
    </row>
    <row r="873" spans="1:48" ht="14" customHeight="1" thickBot="1">
      <c r="A873" s="31"/>
      <c r="B873" s="31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  <c r="AE873" s="9"/>
      <c r="AF873" s="9"/>
      <c r="AG873" s="9"/>
      <c r="AH873" s="9"/>
      <c r="AI873" s="9"/>
      <c r="AJ873" s="9"/>
      <c r="AK873" s="9"/>
      <c r="AL873" s="9"/>
      <c r="AM873" s="9"/>
      <c r="AN873" s="9"/>
      <c r="AO873" s="9"/>
      <c r="AP873" s="9"/>
      <c r="AQ873" s="9"/>
      <c r="AR873" s="9"/>
      <c r="AS873" s="9"/>
      <c r="AT873" s="9"/>
      <c r="AU873" s="9"/>
      <c r="AV873" s="9"/>
    </row>
    <row r="874" spans="1:48" ht="14" customHeight="1" thickBot="1">
      <c r="A874" s="31"/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  <c r="AE874" s="9"/>
      <c r="AF874" s="9"/>
      <c r="AG874" s="9"/>
      <c r="AH874" s="9"/>
      <c r="AI874" s="9"/>
      <c r="AJ874" s="9"/>
      <c r="AK874" s="9"/>
      <c r="AL874" s="9"/>
      <c r="AM874" s="9"/>
      <c r="AN874" s="9"/>
      <c r="AO874" s="9"/>
      <c r="AP874" s="9"/>
      <c r="AQ874" s="9"/>
      <c r="AR874" s="9"/>
      <c r="AS874" s="9"/>
      <c r="AT874" s="9"/>
      <c r="AU874" s="9"/>
      <c r="AV874" s="9"/>
    </row>
    <row r="875" spans="1:48" ht="14" customHeight="1" thickBot="1">
      <c r="A875" s="31"/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  <c r="AE875" s="9"/>
      <c r="AF875" s="9"/>
      <c r="AG875" s="9"/>
      <c r="AH875" s="9"/>
      <c r="AI875" s="9"/>
      <c r="AJ875" s="9"/>
      <c r="AK875" s="9"/>
      <c r="AL875" s="9"/>
      <c r="AM875" s="9"/>
      <c r="AN875" s="9"/>
      <c r="AO875" s="9"/>
      <c r="AP875" s="9"/>
      <c r="AQ875" s="9"/>
      <c r="AR875" s="9"/>
      <c r="AS875" s="9"/>
      <c r="AT875" s="9"/>
      <c r="AU875" s="9"/>
      <c r="AV875" s="9"/>
    </row>
    <row r="876" spans="1:48" ht="14" customHeight="1" thickBot="1">
      <c r="A876" s="31"/>
      <c r="B876" s="31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9"/>
      <c r="AE876" s="9"/>
      <c r="AF876" s="9"/>
      <c r="AG876" s="9"/>
      <c r="AH876" s="9"/>
      <c r="AI876" s="9"/>
      <c r="AJ876" s="9"/>
      <c r="AK876" s="9"/>
      <c r="AL876" s="9"/>
      <c r="AM876" s="9"/>
      <c r="AN876" s="9"/>
      <c r="AO876" s="9"/>
      <c r="AP876" s="9"/>
      <c r="AQ876" s="9"/>
      <c r="AR876" s="9"/>
      <c r="AS876" s="9"/>
      <c r="AT876" s="9"/>
      <c r="AU876" s="9"/>
      <c r="AV876" s="9"/>
    </row>
    <row r="877" spans="1:48" ht="14" customHeight="1" thickBot="1">
      <c r="A877" s="31"/>
      <c r="B877" s="31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9"/>
      <c r="AE877" s="9"/>
      <c r="AF877" s="9"/>
      <c r="AG877" s="9"/>
      <c r="AH877" s="9"/>
      <c r="AI877" s="9"/>
      <c r="AJ877" s="9"/>
      <c r="AK877" s="9"/>
      <c r="AL877" s="9"/>
      <c r="AM877" s="9"/>
      <c r="AN877" s="9"/>
      <c r="AO877" s="9"/>
      <c r="AP877" s="9"/>
      <c r="AQ877" s="9"/>
      <c r="AR877" s="9"/>
      <c r="AS877" s="9"/>
      <c r="AT877" s="9"/>
      <c r="AU877" s="9"/>
      <c r="AV877" s="9"/>
    </row>
    <row r="878" spans="1:48" ht="14" customHeight="1" thickBot="1">
      <c r="A878" s="31"/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9"/>
      <c r="AE878" s="9"/>
      <c r="AF878" s="9"/>
      <c r="AG878" s="9"/>
      <c r="AH878" s="9"/>
      <c r="AI878" s="9"/>
      <c r="AJ878" s="9"/>
      <c r="AK878" s="9"/>
      <c r="AL878" s="9"/>
      <c r="AM878" s="9"/>
      <c r="AN878" s="9"/>
      <c r="AO878" s="9"/>
      <c r="AP878" s="9"/>
      <c r="AQ878" s="9"/>
      <c r="AR878" s="9"/>
      <c r="AS878" s="9"/>
      <c r="AT878" s="9"/>
      <c r="AU878" s="9"/>
      <c r="AV878" s="9"/>
    </row>
    <row r="879" spans="1:48" ht="14" customHeight="1" thickBot="1">
      <c r="A879" s="31"/>
      <c r="B879" s="31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9"/>
      <c r="AE879" s="9"/>
      <c r="AF879" s="9"/>
      <c r="AG879" s="9"/>
      <c r="AH879" s="9"/>
      <c r="AI879" s="9"/>
      <c r="AJ879" s="9"/>
      <c r="AK879" s="9"/>
      <c r="AL879" s="9"/>
      <c r="AM879" s="9"/>
      <c r="AN879" s="9"/>
      <c r="AO879" s="9"/>
      <c r="AP879" s="9"/>
      <c r="AQ879" s="9"/>
      <c r="AR879" s="9"/>
      <c r="AS879" s="9"/>
      <c r="AT879" s="9"/>
      <c r="AU879" s="9"/>
      <c r="AV879" s="9"/>
    </row>
    <row r="880" spans="1:48" ht="14" customHeight="1" thickBot="1">
      <c r="A880" s="31"/>
      <c r="B880" s="31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  <c r="AE880" s="9"/>
      <c r="AF880" s="9"/>
      <c r="AG880" s="9"/>
      <c r="AH880" s="9"/>
      <c r="AI880" s="9"/>
      <c r="AJ880" s="9"/>
      <c r="AK880" s="9"/>
      <c r="AL880" s="9"/>
      <c r="AM880" s="9"/>
      <c r="AN880" s="9"/>
      <c r="AO880" s="9"/>
      <c r="AP880" s="9"/>
      <c r="AQ880" s="9"/>
      <c r="AR880" s="9"/>
      <c r="AS880" s="9"/>
      <c r="AT880" s="9"/>
      <c r="AU880" s="9"/>
      <c r="AV880" s="9"/>
    </row>
    <row r="881" spans="1:48" ht="14" customHeight="1" thickBot="1">
      <c r="A881" s="31"/>
      <c r="B881" s="31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9"/>
      <c r="AE881" s="9"/>
      <c r="AF881" s="9"/>
      <c r="AG881" s="9"/>
      <c r="AH881" s="9"/>
      <c r="AI881" s="9"/>
      <c r="AJ881" s="9"/>
      <c r="AK881" s="9"/>
      <c r="AL881" s="9"/>
      <c r="AM881" s="9"/>
      <c r="AN881" s="9"/>
      <c r="AO881" s="9"/>
      <c r="AP881" s="9"/>
      <c r="AQ881" s="9"/>
      <c r="AR881" s="9"/>
      <c r="AS881" s="9"/>
      <c r="AT881" s="9"/>
      <c r="AU881" s="9"/>
      <c r="AV881" s="9"/>
    </row>
    <row r="882" spans="1:48" ht="14" customHeight="1" thickBot="1">
      <c r="A882" s="31"/>
      <c r="B882" s="31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9"/>
      <c r="AE882" s="9"/>
      <c r="AF882" s="9"/>
      <c r="AG882" s="9"/>
      <c r="AH882" s="9"/>
      <c r="AI882" s="9"/>
      <c r="AJ882" s="9"/>
      <c r="AK882" s="9"/>
      <c r="AL882" s="9"/>
      <c r="AM882" s="9"/>
      <c r="AN882" s="9"/>
      <c r="AO882" s="9"/>
      <c r="AP882" s="9"/>
      <c r="AQ882" s="9"/>
      <c r="AR882" s="9"/>
      <c r="AS882" s="9"/>
      <c r="AT882" s="9"/>
      <c r="AU882" s="9"/>
      <c r="AV882" s="9"/>
    </row>
    <row r="883" spans="1:48" ht="14" customHeight="1" thickBot="1">
      <c r="A883" s="31"/>
      <c r="B883" s="31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9"/>
      <c r="AE883" s="9"/>
      <c r="AF883" s="9"/>
      <c r="AG883" s="9"/>
      <c r="AH883" s="9"/>
      <c r="AI883" s="9"/>
      <c r="AJ883" s="9"/>
      <c r="AK883" s="9"/>
      <c r="AL883" s="9"/>
      <c r="AM883" s="9"/>
      <c r="AN883" s="9"/>
      <c r="AO883" s="9"/>
      <c r="AP883" s="9"/>
      <c r="AQ883" s="9"/>
      <c r="AR883" s="9"/>
      <c r="AS883" s="9"/>
      <c r="AT883" s="9"/>
      <c r="AU883" s="9"/>
      <c r="AV883" s="9"/>
    </row>
    <row r="884" spans="1:48" ht="14" customHeight="1" thickBot="1">
      <c r="A884" s="31"/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9"/>
      <c r="AE884" s="9"/>
      <c r="AF884" s="9"/>
      <c r="AG884" s="9"/>
      <c r="AH884" s="9"/>
      <c r="AI884" s="9"/>
      <c r="AJ884" s="9"/>
      <c r="AK884" s="9"/>
      <c r="AL884" s="9"/>
      <c r="AM884" s="9"/>
      <c r="AN884" s="9"/>
      <c r="AO884" s="9"/>
      <c r="AP884" s="9"/>
      <c r="AQ884" s="9"/>
      <c r="AR884" s="9"/>
      <c r="AS884" s="9"/>
      <c r="AT884" s="9"/>
      <c r="AU884" s="9"/>
      <c r="AV884" s="9"/>
    </row>
    <row r="885" spans="1:48" ht="14" customHeight="1" thickBot="1">
      <c r="A885" s="31"/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  <c r="AE885" s="9"/>
      <c r="AF885" s="9"/>
      <c r="AG885" s="9"/>
      <c r="AH885" s="9"/>
      <c r="AI885" s="9"/>
      <c r="AJ885" s="9"/>
      <c r="AK885" s="9"/>
      <c r="AL885" s="9"/>
      <c r="AM885" s="9"/>
      <c r="AN885" s="9"/>
      <c r="AO885" s="9"/>
      <c r="AP885" s="9"/>
      <c r="AQ885" s="9"/>
      <c r="AR885" s="9"/>
      <c r="AS885" s="9"/>
      <c r="AT885" s="9"/>
      <c r="AU885" s="9"/>
      <c r="AV885" s="9"/>
    </row>
    <row r="886" spans="1:48" ht="14" customHeight="1" thickBot="1">
      <c r="A886" s="31"/>
      <c r="B886" s="31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9"/>
      <c r="AE886" s="9"/>
      <c r="AF886" s="9"/>
      <c r="AG886" s="9"/>
      <c r="AH886" s="9"/>
      <c r="AI886" s="9"/>
      <c r="AJ886" s="9"/>
      <c r="AK886" s="9"/>
      <c r="AL886" s="9"/>
      <c r="AM886" s="9"/>
      <c r="AN886" s="9"/>
      <c r="AO886" s="9"/>
      <c r="AP886" s="9"/>
      <c r="AQ886" s="9"/>
      <c r="AR886" s="9"/>
      <c r="AS886" s="9"/>
      <c r="AT886" s="9"/>
      <c r="AU886" s="9"/>
      <c r="AV886" s="9"/>
    </row>
    <row r="887" spans="1:48" ht="14" customHeight="1" thickBot="1">
      <c r="A887" s="31"/>
      <c r="B887" s="31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9"/>
      <c r="AE887" s="9"/>
      <c r="AF887" s="9"/>
      <c r="AG887" s="9"/>
      <c r="AH887" s="9"/>
      <c r="AI887" s="9"/>
      <c r="AJ887" s="9"/>
      <c r="AK887" s="9"/>
      <c r="AL887" s="9"/>
      <c r="AM887" s="9"/>
      <c r="AN887" s="9"/>
      <c r="AO887" s="9"/>
      <c r="AP887" s="9"/>
      <c r="AQ887" s="9"/>
      <c r="AR887" s="9"/>
      <c r="AS887" s="9"/>
      <c r="AT887" s="9"/>
      <c r="AU887" s="9"/>
      <c r="AV887" s="9"/>
    </row>
    <row r="888" spans="1:48" ht="14" customHeight="1" thickBot="1">
      <c r="A888" s="31"/>
      <c r="B888" s="31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9"/>
      <c r="AE888" s="9"/>
      <c r="AF888" s="9"/>
      <c r="AG888" s="9"/>
      <c r="AH888" s="9"/>
      <c r="AI888" s="9"/>
      <c r="AJ888" s="9"/>
      <c r="AK888" s="9"/>
      <c r="AL888" s="9"/>
      <c r="AM888" s="9"/>
      <c r="AN888" s="9"/>
      <c r="AO888" s="9"/>
      <c r="AP888" s="9"/>
      <c r="AQ888" s="9"/>
      <c r="AR888" s="9"/>
      <c r="AS888" s="9"/>
      <c r="AT888" s="9"/>
      <c r="AU888" s="9"/>
      <c r="AV888" s="9"/>
    </row>
    <row r="889" spans="1:48" ht="14" customHeight="1" thickBot="1">
      <c r="A889" s="31"/>
      <c r="B889" s="31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9"/>
      <c r="AE889" s="9"/>
      <c r="AF889" s="9"/>
      <c r="AG889" s="9"/>
      <c r="AH889" s="9"/>
      <c r="AI889" s="9"/>
      <c r="AJ889" s="9"/>
      <c r="AK889" s="9"/>
      <c r="AL889" s="9"/>
      <c r="AM889" s="9"/>
      <c r="AN889" s="9"/>
      <c r="AO889" s="9"/>
      <c r="AP889" s="9"/>
      <c r="AQ889" s="9"/>
      <c r="AR889" s="9"/>
      <c r="AS889" s="9"/>
      <c r="AT889" s="9"/>
      <c r="AU889" s="9"/>
      <c r="AV889" s="9"/>
    </row>
    <row r="890" spans="1:48" ht="14" customHeight="1" thickBot="1">
      <c r="A890" s="31"/>
      <c r="B890" s="31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9"/>
      <c r="AE890" s="9"/>
      <c r="AF890" s="9"/>
      <c r="AG890" s="9"/>
      <c r="AH890" s="9"/>
      <c r="AI890" s="9"/>
      <c r="AJ890" s="9"/>
      <c r="AK890" s="9"/>
      <c r="AL890" s="9"/>
      <c r="AM890" s="9"/>
      <c r="AN890" s="9"/>
      <c r="AO890" s="9"/>
      <c r="AP890" s="9"/>
      <c r="AQ890" s="9"/>
      <c r="AR890" s="9"/>
      <c r="AS890" s="9"/>
      <c r="AT890" s="9"/>
      <c r="AU890" s="9"/>
      <c r="AV890" s="9"/>
    </row>
    <row r="891" spans="1:48" ht="14" customHeight="1" thickBot="1">
      <c r="A891" s="31"/>
      <c r="B891" s="31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9"/>
      <c r="AE891" s="9"/>
      <c r="AF891" s="9"/>
      <c r="AG891" s="9"/>
      <c r="AH891" s="9"/>
      <c r="AI891" s="9"/>
      <c r="AJ891" s="9"/>
      <c r="AK891" s="9"/>
      <c r="AL891" s="9"/>
      <c r="AM891" s="9"/>
      <c r="AN891" s="9"/>
      <c r="AO891" s="9"/>
      <c r="AP891" s="9"/>
      <c r="AQ891" s="9"/>
      <c r="AR891" s="9"/>
      <c r="AS891" s="9"/>
      <c r="AT891" s="9"/>
      <c r="AU891" s="9"/>
      <c r="AV891" s="9"/>
    </row>
    <row r="892" spans="1:48" ht="14" customHeight="1" thickBot="1">
      <c r="A892" s="31"/>
      <c r="B892" s="31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  <c r="AE892" s="9"/>
      <c r="AF892" s="9"/>
      <c r="AG892" s="9"/>
      <c r="AH892" s="9"/>
      <c r="AI892" s="9"/>
      <c r="AJ892" s="9"/>
      <c r="AK892" s="9"/>
      <c r="AL892" s="9"/>
      <c r="AM892" s="9"/>
      <c r="AN892" s="9"/>
      <c r="AO892" s="9"/>
      <c r="AP892" s="9"/>
      <c r="AQ892" s="9"/>
      <c r="AR892" s="9"/>
      <c r="AS892" s="9"/>
      <c r="AT892" s="9"/>
      <c r="AU892" s="9"/>
      <c r="AV892" s="9"/>
    </row>
    <row r="893" spans="1:48" ht="14" customHeight="1" thickBot="1">
      <c r="A893" s="31"/>
      <c r="B893" s="31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9"/>
      <c r="AE893" s="9"/>
      <c r="AF893" s="9"/>
      <c r="AG893" s="9"/>
      <c r="AH893" s="9"/>
      <c r="AI893" s="9"/>
      <c r="AJ893" s="9"/>
      <c r="AK893" s="9"/>
      <c r="AL893" s="9"/>
      <c r="AM893" s="9"/>
      <c r="AN893" s="9"/>
      <c r="AO893" s="9"/>
      <c r="AP893" s="9"/>
      <c r="AQ893" s="9"/>
      <c r="AR893" s="9"/>
      <c r="AS893" s="9"/>
      <c r="AT893" s="9"/>
      <c r="AU893" s="9"/>
      <c r="AV893" s="9"/>
    </row>
    <row r="894" spans="1:48" ht="14" customHeight="1" thickBot="1">
      <c r="A894" s="31"/>
      <c r="B894" s="31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9"/>
      <c r="AE894" s="9"/>
      <c r="AF894" s="9"/>
      <c r="AG894" s="9"/>
      <c r="AH894" s="9"/>
      <c r="AI894" s="9"/>
      <c r="AJ894" s="9"/>
      <c r="AK894" s="9"/>
      <c r="AL894" s="9"/>
      <c r="AM894" s="9"/>
      <c r="AN894" s="9"/>
      <c r="AO894" s="9"/>
      <c r="AP894" s="9"/>
      <c r="AQ894" s="9"/>
      <c r="AR894" s="9"/>
      <c r="AS894" s="9"/>
      <c r="AT894" s="9"/>
      <c r="AU894" s="9"/>
      <c r="AV894" s="9"/>
    </row>
    <row r="895" spans="1:48" ht="14" customHeight="1" thickBot="1">
      <c r="A895" s="31"/>
      <c r="B895" s="31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9"/>
      <c r="AE895" s="9"/>
      <c r="AF895" s="9"/>
      <c r="AG895" s="9"/>
      <c r="AH895" s="9"/>
      <c r="AI895" s="9"/>
      <c r="AJ895" s="9"/>
      <c r="AK895" s="9"/>
      <c r="AL895" s="9"/>
      <c r="AM895" s="9"/>
      <c r="AN895" s="9"/>
      <c r="AO895" s="9"/>
      <c r="AP895" s="9"/>
      <c r="AQ895" s="9"/>
      <c r="AR895" s="9"/>
      <c r="AS895" s="9"/>
      <c r="AT895" s="9"/>
      <c r="AU895" s="9"/>
      <c r="AV895" s="9"/>
    </row>
    <row r="896" spans="1:48" ht="14" customHeight="1" thickBot="1">
      <c r="A896" s="31"/>
      <c r="B896" s="31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9"/>
      <c r="AE896" s="9"/>
      <c r="AF896" s="9"/>
      <c r="AG896" s="9"/>
      <c r="AH896" s="9"/>
      <c r="AI896" s="9"/>
      <c r="AJ896" s="9"/>
      <c r="AK896" s="9"/>
      <c r="AL896" s="9"/>
      <c r="AM896" s="9"/>
      <c r="AN896" s="9"/>
      <c r="AO896" s="9"/>
      <c r="AP896" s="9"/>
      <c r="AQ896" s="9"/>
      <c r="AR896" s="9"/>
      <c r="AS896" s="9"/>
      <c r="AT896" s="9"/>
      <c r="AU896" s="9"/>
      <c r="AV896" s="9"/>
    </row>
    <row r="897" spans="1:48" ht="14" customHeight="1" thickBot="1">
      <c r="A897" s="31"/>
      <c r="B897" s="31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9"/>
      <c r="AE897" s="9"/>
      <c r="AF897" s="9"/>
      <c r="AG897" s="9"/>
      <c r="AH897" s="9"/>
      <c r="AI897" s="9"/>
      <c r="AJ897" s="9"/>
      <c r="AK897" s="9"/>
      <c r="AL897" s="9"/>
      <c r="AM897" s="9"/>
      <c r="AN897" s="9"/>
      <c r="AO897" s="9"/>
      <c r="AP897" s="9"/>
      <c r="AQ897" s="9"/>
      <c r="AR897" s="9"/>
      <c r="AS897" s="9"/>
      <c r="AT897" s="9"/>
      <c r="AU897" s="9"/>
      <c r="AV897" s="9"/>
    </row>
    <row r="898" spans="1:48" ht="14" customHeight="1" thickBot="1">
      <c r="A898" s="31"/>
      <c r="B898" s="31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9"/>
      <c r="AE898" s="9"/>
      <c r="AF898" s="9"/>
      <c r="AG898" s="9"/>
      <c r="AH898" s="9"/>
      <c r="AI898" s="9"/>
      <c r="AJ898" s="9"/>
      <c r="AK898" s="9"/>
      <c r="AL898" s="9"/>
      <c r="AM898" s="9"/>
      <c r="AN898" s="9"/>
      <c r="AO898" s="9"/>
      <c r="AP898" s="9"/>
      <c r="AQ898" s="9"/>
      <c r="AR898" s="9"/>
      <c r="AS898" s="9"/>
      <c r="AT898" s="9"/>
      <c r="AU898" s="9"/>
      <c r="AV898" s="9"/>
    </row>
    <row r="899" spans="1:48" ht="14" customHeight="1" thickBot="1">
      <c r="A899" s="31"/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9"/>
      <c r="AE899" s="9"/>
      <c r="AF899" s="9"/>
      <c r="AG899" s="9"/>
      <c r="AH899" s="9"/>
      <c r="AI899" s="9"/>
      <c r="AJ899" s="9"/>
      <c r="AK899" s="9"/>
      <c r="AL899" s="9"/>
      <c r="AM899" s="9"/>
      <c r="AN899" s="9"/>
      <c r="AO899" s="9"/>
      <c r="AP899" s="9"/>
      <c r="AQ899" s="9"/>
      <c r="AR899" s="9"/>
      <c r="AS899" s="9"/>
      <c r="AT899" s="9"/>
      <c r="AU899" s="9"/>
      <c r="AV899" s="9"/>
    </row>
    <row r="900" spans="1:48" ht="14" customHeight="1" thickBot="1">
      <c r="A900" s="31"/>
      <c r="B900" s="31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9"/>
      <c r="AE900" s="9"/>
      <c r="AF900" s="9"/>
      <c r="AG900" s="9"/>
      <c r="AH900" s="9"/>
      <c r="AI900" s="9"/>
      <c r="AJ900" s="9"/>
      <c r="AK900" s="9"/>
      <c r="AL900" s="9"/>
      <c r="AM900" s="9"/>
      <c r="AN900" s="9"/>
      <c r="AO900" s="9"/>
      <c r="AP900" s="9"/>
      <c r="AQ900" s="9"/>
      <c r="AR900" s="9"/>
      <c r="AS900" s="9"/>
      <c r="AT900" s="9"/>
      <c r="AU900" s="9"/>
      <c r="AV900" s="9"/>
    </row>
    <row r="901" spans="1:48" ht="14" customHeight="1" thickBot="1">
      <c r="A901" s="31"/>
      <c r="B901" s="31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9"/>
      <c r="AE901" s="9"/>
      <c r="AF901" s="9"/>
      <c r="AG901" s="9"/>
      <c r="AH901" s="9"/>
      <c r="AI901" s="9"/>
      <c r="AJ901" s="9"/>
      <c r="AK901" s="9"/>
      <c r="AL901" s="9"/>
      <c r="AM901" s="9"/>
      <c r="AN901" s="9"/>
      <c r="AO901" s="9"/>
      <c r="AP901" s="9"/>
      <c r="AQ901" s="9"/>
      <c r="AR901" s="9"/>
      <c r="AS901" s="9"/>
      <c r="AT901" s="9"/>
      <c r="AU901" s="9"/>
      <c r="AV901" s="9"/>
    </row>
    <row r="902" spans="1:48" ht="14" customHeight="1" thickBot="1">
      <c r="A902" s="31"/>
      <c r="B902" s="31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9"/>
      <c r="AE902" s="9"/>
      <c r="AF902" s="9"/>
      <c r="AG902" s="9"/>
      <c r="AH902" s="9"/>
      <c r="AI902" s="9"/>
      <c r="AJ902" s="9"/>
      <c r="AK902" s="9"/>
      <c r="AL902" s="9"/>
      <c r="AM902" s="9"/>
      <c r="AN902" s="9"/>
      <c r="AO902" s="9"/>
      <c r="AP902" s="9"/>
      <c r="AQ902" s="9"/>
      <c r="AR902" s="9"/>
      <c r="AS902" s="9"/>
      <c r="AT902" s="9"/>
      <c r="AU902" s="9"/>
      <c r="AV902" s="9"/>
    </row>
    <row r="903" spans="1:48" ht="14" customHeight="1" thickBot="1">
      <c r="A903" s="31"/>
      <c r="B903" s="31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9"/>
      <c r="AE903" s="9"/>
      <c r="AF903" s="9"/>
      <c r="AG903" s="9"/>
      <c r="AH903" s="9"/>
      <c r="AI903" s="9"/>
      <c r="AJ903" s="9"/>
      <c r="AK903" s="9"/>
      <c r="AL903" s="9"/>
      <c r="AM903" s="9"/>
      <c r="AN903" s="9"/>
      <c r="AO903" s="9"/>
      <c r="AP903" s="9"/>
      <c r="AQ903" s="9"/>
      <c r="AR903" s="9"/>
      <c r="AS903" s="9"/>
      <c r="AT903" s="9"/>
      <c r="AU903" s="9"/>
      <c r="AV903" s="9"/>
    </row>
    <row r="904" spans="1:48" ht="14" customHeight="1" thickBot="1">
      <c r="A904" s="31"/>
      <c r="B904" s="31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9"/>
      <c r="AE904" s="9"/>
      <c r="AF904" s="9"/>
      <c r="AG904" s="9"/>
      <c r="AH904" s="9"/>
      <c r="AI904" s="9"/>
      <c r="AJ904" s="9"/>
      <c r="AK904" s="9"/>
      <c r="AL904" s="9"/>
      <c r="AM904" s="9"/>
      <c r="AN904" s="9"/>
      <c r="AO904" s="9"/>
      <c r="AP904" s="9"/>
      <c r="AQ904" s="9"/>
      <c r="AR904" s="9"/>
      <c r="AS904" s="9"/>
      <c r="AT904" s="9"/>
      <c r="AU904" s="9"/>
      <c r="AV904" s="9"/>
    </row>
    <row r="905" spans="1:48" ht="14" customHeight="1" thickBot="1">
      <c r="A905" s="31"/>
      <c r="B905" s="31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9"/>
      <c r="AE905" s="9"/>
      <c r="AF905" s="9"/>
      <c r="AG905" s="9"/>
      <c r="AH905" s="9"/>
      <c r="AI905" s="9"/>
      <c r="AJ905" s="9"/>
      <c r="AK905" s="9"/>
      <c r="AL905" s="9"/>
      <c r="AM905" s="9"/>
      <c r="AN905" s="9"/>
      <c r="AO905" s="9"/>
      <c r="AP905" s="9"/>
      <c r="AQ905" s="9"/>
      <c r="AR905" s="9"/>
      <c r="AS905" s="9"/>
      <c r="AT905" s="9"/>
      <c r="AU905" s="9"/>
      <c r="AV905" s="9"/>
    </row>
    <row r="906" spans="1:48" ht="14" customHeight="1" thickBot="1">
      <c r="A906" s="31"/>
      <c r="B906" s="31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9"/>
      <c r="AE906" s="9"/>
      <c r="AF906" s="9"/>
      <c r="AG906" s="9"/>
      <c r="AH906" s="9"/>
      <c r="AI906" s="9"/>
      <c r="AJ906" s="9"/>
      <c r="AK906" s="9"/>
      <c r="AL906" s="9"/>
      <c r="AM906" s="9"/>
      <c r="AN906" s="9"/>
      <c r="AO906" s="9"/>
      <c r="AP906" s="9"/>
      <c r="AQ906" s="9"/>
      <c r="AR906" s="9"/>
      <c r="AS906" s="9"/>
      <c r="AT906" s="9"/>
      <c r="AU906" s="9"/>
      <c r="AV906" s="9"/>
    </row>
    <row r="907" spans="1:48" ht="14" customHeight="1" thickBot="1">
      <c r="A907" s="31"/>
      <c r="B907" s="31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  <c r="AD907" s="9"/>
      <c r="AE907" s="9"/>
      <c r="AF907" s="9"/>
      <c r="AG907" s="9"/>
      <c r="AH907" s="9"/>
      <c r="AI907" s="9"/>
      <c r="AJ907" s="9"/>
      <c r="AK907" s="9"/>
      <c r="AL907" s="9"/>
      <c r="AM907" s="9"/>
      <c r="AN907" s="9"/>
      <c r="AO907" s="9"/>
      <c r="AP907" s="9"/>
      <c r="AQ907" s="9"/>
      <c r="AR907" s="9"/>
      <c r="AS907" s="9"/>
      <c r="AT907" s="9"/>
      <c r="AU907" s="9"/>
      <c r="AV907" s="9"/>
    </row>
    <row r="908" spans="1:48" ht="14" customHeight="1" thickBot="1">
      <c r="A908" s="31"/>
      <c r="B908" s="31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9"/>
      <c r="AE908" s="9"/>
      <c r="AF908" s="9"/>
      <c r="AG908" s="9"/>
      <c r="AH908" s="9"/>
      <c r="AI908" s="9"/>
      <c r="AJ908" s="9"/>
      <c r="AK908" s="9"/>
      <c r="AL908" s="9"/>
      <c r="AM908" s="9"/>
      <c r="AN908" s="9"/>
      <c r="AO908" s="9"/>
      <c r="AP908" s="9"/>
      <c r="AQ908" s="9"/>
      <c r="AR908" s="9"/>
      <c r="AS908" s="9"/>
      <c r="AT908" s="9"/>
      <c r="AU908" s="9"/>
      <c r="AV908" s="9"/>
    </row>
    <row r="909" spans="1:48" ht="14" customHeight="1" thickBot="1">
      <c r="A909" s="31"/>
      <c r="B909" s="31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9"/>
      <c r="AE909" s="9"/>
      <c r="AF909" s="9"/>
      <c r="AG909" s="9"/>
      <c r="AH909" s="9"/>
      <c r="AI909" s="9"/>
      <c r="AJ909" s="9"/>
      <c r="AK909" s="9"/>
      <c r="AL909" s="9"/>
      <c r="AM909" s="9"/>
      <c r="AN909" s="9"/>
      <c r="AO909" s="9"/>
      <c r="AP909" s="9"/>
      <c r="AQ909" s="9"/>
      <c r="AR909" s="9"/>
      <c r="AS909" s="9"/>
      <c r="AT909" s="9"/>
      <c r="AU909" s="9"/>
      <c r="AV909" s="9"/>
    </row>
    <row r="910" spans="1:48" ht="14" customHeight="1" thickBot="1">
      <c r="A910" s="31"/>
      <c r="B910" s="31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9"/>
      <c r="AE910" s="9"/>
      <c r="AF910" s="9"/>
      <c r="AG910" s="9"/>
      <c r="AH910" s="9"/>
      <c r="AI910" s="9"/>
      <c r="AJ910" s="9"/>
      <c r="AK910" s="9"/>
      <c r="AL910" s="9"/>
      <c r="AM910" s="9"/>
      <c r="AN910" s="9"/>
      <c r="AO910" s="9"/>
      <c r="AP910" s="9"/>
      <c r="AQ910" s="9"/>
      <c r="AR910" s="9"/>
      <c r="AS910" s="9"/>
      <c r="AT910" s="9"/>
      <c r="AU910" s="9"/>
      <c r="AV910" s="9"/>
    </row>
    <row r="911" spans="1:48" ht="14" customHeight="1" thickBot="1">
      <c r="A911" s="31"/>
      <c r="B911" s="31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9"/>
      <c r="AE911" s="9"/>
      <c r="AF911" s="9"/>
      <c r="AG911" s="9"/>
      <c r="AH911" s="9"/>
      <c r="AI911" s="9"/>
      <c r="AJ911" s="9"/>
      <c r="AK911" s="9"/>
      <c r="AL911" s="9"/>
      <c r="AM911" s="9"/>
      <c r="AN911" s="9"/>
      <c r="AO911" s="9"/>
      <c r="AP911" s="9"/>
      <c r="AQ911" s="9"/>
      <c r="AR911" s="9"/>
      <c r="AS911" s="9"/>
      <c r="AT911" s="9"/>
      <c r="AU911" s="9"/>
      <c r="AV911" s="9"/>
    </row>
    <row r="912" spans="1:48" ht="14" customHeight="1" thickBot="1">
      <c r="A912" s="31"/>
      <c r="B912" s="31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9"/>
      <c r="AE912" s="9"/>
      <c r="AF912" s="9"/>
      <c r="AG912" s="9"/>
      <c r="AH912" s="9"/>
      <c r="AI912" s="9"/>
      <c r="AJ912" s="9"/>
      <c r="AK912" s="9"/>
      <c r="AL912" s="9"/>
      <c r="AM912" s="9"/>
      <c r="AN912" s="9"/>
      <c r="AO912" s="9"/>
      <c r="AP912" s="9"/>
      <c r="AQ912" s="9"/>
      <c r="AR912" s="9"/>
      <c r="AS912" s="9"/>
      <c r="AT912" s="9"/>
      <c r="AU912" s="9"/>
      <c r="AV912" s="9"/>
    </row>
    <row r="913" spans="1:48" ht="14" customHeight="1" thickBot="1">
      <c r="A913" s="31"/>
      <c r="B913" s="31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9"/>
      <c r="AE913" s="9"/>
      <c r="AF913" s="9"/>
      <c r="AG913" s="9"/>
      <c r="AH913" s="9"/>
      <c r="AI913" s="9"/>
      <c r="AJ913" s="9"/>
      <c r="AK913" s="9"/>
      <c r="AL913" s="9"/>
      <c r="AM913" s="9"/>
      <c r="AN913" s="9"/>
      <c r="AO913" s="9"/>
      <c r="AP913" s="9"/>
      <c r="AQ913" s="9"/>
      <c r="AR913" s="9"/>
      <c r="AS913" s="9"/>
      <c r="AT913" s="9"/>
      <c r="AU913" s="9"/>
      <c r="AV913" s="9"/>
    </row>
    <row r="914" spans="1:48" ht="14" customHeight="1" thickBot="1">
      <c r="A914" s="31"/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9"/>
      <c r="AE914" s="9"/>
      <c r="AF914" s="9"/>
      <c r="AG914" s="9"/>
      <c r="AH914" s="9"/>
      <c r="AI914" s="9"/>
      <c r="AJ914" s="9"/>
      <c r="AK914" s="9"/>
      <c r="AL914" s="9"/>
      <c r="AM914" s="9"/>
      <c r="AN914" s="9"/>
      <c r="AO914" s="9"/>
      <c r="AP914" s="9"/>
      <c r="AQ914" s="9"/>
      <c r="AR914" s="9"/>
      <c r="AS914" s="9"/>
      <c r="AT914" s="9"/>
      <c r="AU914" s="9"/>
      <c r="AV914" s="9"/>
    </row>
    <row r="915" spans="1:48" ht="14" customHeight="1" thickBot="1">
      <c r="A915" s="31"/>
      <c r="B915" s="31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9"/>
      <c r="AE915" s="9"/>
      <c r="AF915" s="9"/>
      <c r="AG915" s="9"/>
      <c r="AH915" s="9"/>
      <c r="AI915" s="9"/>
      <c r="AJ915" s="9"/>
      <c r="AK915" s="9"/>
      <c r="AL915" s="9"/>
      <c r="AM915" s="9"/>
      <c r="AN915" s="9"/>
      <c r="AO915" s="9"/>
      <c r="AP915" s="9"/>
      <c r="AQ915" s="9"/>
      <c r="AR915" s="9"/>
      <c r="AS915" s="9"/>
      <c r="AT915" s="9"/>
      <c r="AU915" s="9"/>
      <c r="AV915" s="9"/>
    </row>
    <row r="916" spans="1:48" ht="14" customHeight="1" thickBot="1">
      <c r="A916" s="31"/>
      <c r="B916" s="31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9"/>
      <c r="AE916" s="9"/>
      <c r="AF916" s="9"/>
      <c r="AG916" s="9"/>
      <c r="AH916" s="9"/>
      <c r="AI916" s="9"/>
      <c r="AJ916" s="9"/>
      <c r="AK916" s="9"/>
      <c r="AL916" s="9"/>
      <c r="AM916" s="9"/>
      <c r="AN916" s="9"/>
      <c r="AO916" s="9"/>
      <c r="AP916" s="9"/>
      <c r="AQ916" s="9"/>
      <c r="AR916" s="9"/>
      <c r="AS916" s="9"/>
      <c r="AT916" s="9"/>
      <c r="AU916" s="9"/>
      <c r="AV916" s="9"/>
    </row>
    <row r="917" spans="1:48" ht="14" customHeight="1" thickBot="1">
      <c r="A917" s="31"/>
      <c r="B917" s="31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9"/>
      <c r="AE917" s="9"/>
      <c r="AF917" s="9"/>
      <c r="AG917" s="9"/>
      <c r="AH917" s="9"/>
      <c r="AI917" s="9"/>
      <c r="AJ917" s="9"/>
      <c r="AK917" s="9"/>
      <c r="AL917" s="9"/>
      <c r="AM917" s="9"/>
      <c r="AN917" s="9"/>
      <c r="AO917" s="9"/>
      <c r="AP917" s="9"/>
      <c r="AQ917" s="9"/>
      <c r="AR917" s="9"/>
      <c r="AS917" s="9"/>
      <c r="AT917" s="9"/>
      <c r="AU917" s="9"/>
      <c r="AV917" s="9"/>
    </row>
    <row r="918" spans="1:48" ht="14" customHeight="1" thickBot="1">
      <c r="A918" s="31"/>
      <c r="B918" s="31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  <c r="AD918" s="9"/>
      <c r="AE918" s="9"/>
      <c r="AF918" s="9"/>
      <c r="AG918" s="9"/>
      <c r="AH918" s="9"/>
      <c r="AI918" s="9"/>
      <c r="AJ918" s="9"/>
      <c r="AK918" s="9"/>
      <c r="AL918" s="9"/>
      <c r="AM918" s="9"/>
      <c r="AN918" s="9"/>
      <c r="AO918" s="9"/>
      <c r="AP918" s="9"/>
      <c r="AQ918" s="9"/>
      <c r="AR918" s="9"/>
      <c r="AS918" s="9"/>
      <c r="AT918" s="9"/>
      <c r="AU918" s="9"/>
      <c r="AV918" s="9"/>
    </row>
    <row r="919" spans="1:48" ht="14" customHeight="1" thickBot="1">
      <c r="A919" s="31"/>
      <c r="B919" s="31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9"/>
      <c r="AE919" s="9"/>
      <c r="AF919" s="9"/>
      <c r="AG919" s="9"/>
      <c r="AH919" s="9"/>
      <c r="AI919" s="9"/>
      <c r="AJ919" s="9"/>
      <c r="AK919" s="9"/>
      <c r="AL919" s="9"/>
      <c r="AM919" s="9"/>
      <c r="AN919" s="9"/>
      <c r="AO919" s="9"/>
      <c r="AP919" s="9"/>
      <c r="AQ919" s="9"/>
      <c r="AR919" s="9"/>
      <c r="AS919" s="9"/>
      <c r="AT919" s="9"/>
      <c r="AU919" s="9"/>
      <c r="AV919" s="9"/>
    </row>
    <row r="920" spans="1:48" ht="14" customHeight="1" thickBot="1">
      <c r="A920" s="31"/>
      <c r="B920" s="31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  <c r="AE920" s="9"/>
      <c r="AF920" s="9"/>
      <c r="AG920" s="9"/>
      <c r="AH920" s="9"/>
      <c r="AI920" s="9"/>
      <c r="AJ920" s="9"/>
      <c r="AK920" s="9"/>
      <c r="AL920" s="9"/>
      <c r="AM920" s="9"/>
      <c r="AN920" s="9"/>
      <c r="AO920" s="9"/>
      <c r="AP920" s="9"/>
      <c r="AQ920" s="9"/>
      <c r="AR920" s="9"/>
      <c r="AS920" s="9"/>
      <c r="AT920" s="9"/>
      <c r="AU920" s="9"/>
      <c r="AV920" s="9"/>
    </row>
    <row r="921" spans="1:48" ht="14" customHeight="1" thickBot="1">
      <c r="A921" s="31"/>
      <c r="B921" s="31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9"/>
      <c r="AE921" s="9"/>
      <c r="AF921" s="9"/>
      <c r="AG921" s="9"/>
      <c r="AH921" s="9"/>
      <c r="AI921" s="9"/>
      <c r="AJ921" s="9"/>
      <c r="AK921" s="9"/>
      <c r="AL921" s="9"/>
      <c r="AM921" s="9"/>
      <c r="AN921" s="9"/>
      <c r="AO921" s="9"/>
      <c r="AP921" s="9"/>
      <c r="AQ921" s="9"/>
      <c r="AR921" s="9"/>
      <c r="AS921" s="9"/>
      <c r="AT921" s="9"/>
      <c r="AU921" s="9"/>
      <c r="AV921" s="9"/>
    </row>
    <row r="922" spans="1:48" ht="14" customHeight="1" thickBot="1">
      <c r="A922" s="31"/>
      <c r="B922" s="31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9"/>
      <c r="AE922" s="9"/>
      <c r="AF922" s="9"/>
      <c r="AG922" s="9"/>
      <c r="AH922" s="9"/>
      <c r="AI922" s="9"/>
      <c r="AJ922" s="9"/>
      <c r="AK922" s="9"/>
      <c r="AL922" s="9"/>
      <c r="AM922" s="9"/>
      <c r="AN922" s="9"/>
      <c r="AO922" s="9"/>
      <c r="AP922" s="9"/>
      <c r="AQ922" s="9"/>
      <c r="AR922" s="9"/>
      <c r="AS922" s="9"/>
      <c r="AT922" s="9"/>
      <c r="AU922" s="9"/>
      <c r="AV922" s="9"/>
    </row>
    <row r="923" spans="1:48" ht="14" customHeight="1" thickBot="1">
      <c r="A923" s="31"/>
      <c r="B923" s="31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9"/>
      <c r="AE923" s="9"/>
      <c r="AF923" s="9"/>
      <c r="AG923" s="9"/>
      <c r="AH923" s="9"/>
      <c r="AI923" s="9"/>
      <c r="AJ923" s="9"/>
      <c r="AK923" s="9"/>
      <c r="AL923" s="9"/>
      <c r="AM923" s="9"/>
      <c r="AN923" s="9"/>
      <c r="AO923" s="9"/>
      <c r="AP923" s="9"/>
      <c r="AQ923" s="9"/>
      <c r="AR923" s="9"/>
      <c r="AS923" s="9"/>
      <c r="AT923" s="9"/>
      <c r="AU923" s="9"/>
      <c r="AV923" s="9"/>
    </row>
    <row r="924" spans="1:48" ht="14" customHeight="1" thickBot="1">
      <c r="A924" s="31"/>
      <c r="B924" s="31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  <c r="AD924" s="9"/>
      <c r="AE924" s="9"/>
      <c r="AF924" s="9"/>
      <c r="AG924" s="9"/>
      <c r="AH924" s="9"/>
      <c r="AI924" s="9"/>
      <c r="AJ924" s="9"/>
      <c r="AK924" s="9"/>
      <c r="AL924" s="9"/>
      <c r="AM924" s="9"/>
      <c r="AN924" s="9"/>
      <c r="AO924" s="9"/>
      <c r="AP924" s="9"/>
      <c r="AQ924" s="9"/>
      <c r="AR924" s="9"/>
      <c r="AS924" s="9"/>
      <c r="AT924" s="9"/>
      <c r="AU924" s="9"/>
      <c r="AV924" s="9"/>
    </row>
    <row r="925" spans="1:48" ht="14" customHeight="1" thickBot="1">
      <c r="A925" s="31"/>
      <c r="B925" s="31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9"/>
      <c r="AE925" s="9"/>
      <c r="AF925" s="9"/>
      <c r="AG925" s="9"/>
      <c r="AH925" s="9"/>
      <c r="AI925" s="9"/>
      <c r="AJ925" s="9"/>
      <c r="AK925" s="9"/>
      <c r="AL925" s="9"/>
      <c r="AM925" s="9"/>
      <c r="AN925" s="9"/>
      <c r="AO925" s="9"/>
      <c r="AP925" s="9"/>
      <c r="AQ925" s="9"/>
      <c r="AR925" s="9"/>
      <c r="AS925" s="9"/>
      <c r="AT925" s="9"/>
      <c r="AU925" s="9"/>
      <c r="AV925" s="9"/>
    </row>
    <row r="926" spans="1:48" ht="14" customHeight="1" thickBot="1">
      <c r="A926" s="31"/>
      <c r="B926" s="31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9"/>
      <c r="AE926" s="9"/>
      <c r="AF926" s="9"/>
      <c r="AG926" s="9"/>
      <c r="AH926" s="9"/>
      <c r="AI926" s="9"/>
      <c r="AJ926" s="9"/>
      <c r="AK926" s="9"/>
      <c r="AL926" s="9"/>
      <c r="AM926" s="9"/>
      <c r="AN926" s="9"/>
      <c r="AO926" s="9"/>
      <c r="AP926" s="9"/>
      <c r="AQ926" s="9"/>
      <c r="AR926" s="9"/>
      <c r="AS926" s="9"/>
      <c r="AT926" s="9"/>
      <c r="AU926" s="9"/>
      <c r="AV926" s="9"/>
    </row>
    <row r="927" spans="1:48" ht="14" customHeight="1" thickBot="1">
      <c r="A927" s="31"/>
      <c r="B927" s="31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  <c r="AE927" s="9"/>
      <c r="AF927" s="9"/>
      <c r="AG927" s="9"/>
      <c r="AH927" s="9"/>
      <c r="AI927" s="9"/>
      <c r="AJ927" s="9"/>
      <c r="AK927" s="9"/>
      <c r="AL927" s="9"/>
      <c r="AM927" s="9"/>
      <c r="AN927" s="9"/>
      <c r="AO927" s="9"/>
      <c r="AP927" s="9"/>
      <c r="AQ927" s="9"/>
      <c r="AR927" s="9"/>
      <c r="AS927" s="9"/>
      <c r="AT927" s="9"/>
      <c r="AU927" s="9"/>
      <c r="AV927" s="9"/>
    </row>
    <row r="928" spans="1:48" ht="14" customHeight="1" thickBot="1">
      <c r="A928" s="31"/>
      <c r="B928" s="31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9"/>
      <c r="AE928" s="9"/>
      <c r="AF928" s="9"/>
      <c r="AG928" s="9"/>
      <c r="AH928" s="9"/>
      <c r="AI928" s="9"/>
      <c r="AJ928" s="9"/>
      <c r="AK928" s="9"/>
      <c r="AL928" s="9"/>
      <c r="AM928" s="9"/>
      <c r="AN928" s="9"/>
      <c r="AO928" s="9"/>
      <c r="AP928" s="9"/>
      <c r="AQ928" s="9"/>
      <c r="AR928" s="9"/>
      <c r="AS928" s="9"/>
      <c r="AT928" s="9"/>
      <c r="AU928" s="9"/>
      <c r="AV928" s="9"/>
    </row>
    <row r="929" spans="1:48" ht="14" customHeight="1" thickBot="1">
      <c r="A929" s="31"/>
      <c r="B929" s="31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  <c r="AD929" s="9"/>
      <c r="AE929" s="9"/>
      <c r="AF929" s="9"/>
      <c r="AG929" s="9"/>
      <c r="AH929" s="9"/>
      <c r="AI929" s="9"/>
      <c r="AJ929" s="9"/>
      <c r="AK929" s="9"/>
      <c r="AL929" s="9"/>
      <c r="AM929" s="9"/>
      <c r="AN929" s="9"/>
      <c r="AO929" s="9"/>
      <c r="AP929" s="9"/>
      <c r="AQ929" s="9"/>
      <c r="AR929" s="9"/>
      <c r="AS929" s="9"/>
      <c r="AT929" s="9"/>
      <c r="AU929" s="9"/>
      <c r="AV929" s="9"/>
    </row>
    <row r="930" spans="1:48" ht="14" customHeight="1" thickBot="1">
      <c r="A930" s="31"/>
      <c r="B930" s="31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9"/>
      <c r="AE930" s="9"/>
      <c r="AF930" s="9"/>
      <c r="AG930" s="9"/>
      <c r="AH930" s="9"/>
      <c r="AI930" s="9"/>
      <c r="AJ930" s="9"/>
      <c r="AK930" s="9"/>
      <c r="AL930" s="9"/>
      <c r="AM930" s="9"/>
      <c r="AN930" s="9"/>
      <c r="AO930" s="9"/>
      <c r="AP930" s="9"/>
      <c r="AQ930" s="9"/>
      <c r="AR930" s="9"/>
      <c r="AS930" s="9"/>
      <c r="AT930" s="9"/>
      <c r="AU930" s="9"/>
      <c r="AV930" s="9"/>
    </row>
    <row r="931" spans="1:48" ht="14" customHeight="1" thickBot="1">
      <c r="A931" s="31"/>
      <c r="B931" s="31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  <c r="AD931" s="9"/>
      <c r="AE931" s="9"/>
      <c r="AF931" s="9"/>
      <c r="AG931" s="9"/>
      <c r="AH931" s="9"/>
      <c r="AI931" s="9"/>
      <c r="AJ931" s="9"/>
      <c r="AK931" s="9"/>
      <c r="AL931" s="9"/>
      <c r="AM931" s="9"/>
      <c r="AN931" s="9"/>
      <c r="AO931" s="9"/>
      <c r="AP931" s="9"/>
      <c r="AQ931" s="9"/>
      <c r="AR931" s="9"/>
      <c r="AS931" s="9"/>
      <c r="AT931" s="9"/>
      <c r="AU931" s="9"/>
      <c r="AV931" s="9"/>
    </row>
    <row r="932" spans="1:48" ht="14" customHeight="1" thickBot="1">
      <c r="A932" s="31"/>
      <c r="B932" s="31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9"/>
      <c r="AE932" s="9"/>
      <c r="AF932" s="9"/>
      <c r="AG932" s="9"/>
      <c r="AH932" s="9"/>
      <c r="AI932" s="9"/>
      <c r="AJ932" s="9"/>
      <c r="AK932" s="9"/>
      <c r="AL932" s="9"/>
      <c r="AM932" s="9"/>
      <c r="AN932" s="9"/>
      <c r="AO932" s="9"/>
      <c r="AP932" s="9"/>
      <c r="AQ932" s="9"/>
      <c r="AR932" s="9"/>
      <c r="AS932" s="9"/>
      <c r="AT932" s="9"/>
      <c r="AU932" s="9"/>
      <c r="AV932" s="9"/>
    </row>
    <row r="933" spans="1:48" ht="14" customHeight="1" thickBot="1">
      <c r="A933" s="31"/>
      <c r="B933" s="31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9"/>
      <c r="AE933" s="9"/>
      <c r="AF933" s="9"/>
      <c r="AG933" s="9"/>
      <c r="AH933" s="9"/>
      <c r="AI933" s="9"/>
      <c r="AJ933" s="9"/>
      <c r="AK933" s="9"/>
      <c r="AL933" s="9"/>
      <c r="AM933" s="9"/>
      <c r="AN933" s="9"/>
      <c r="AO933" s="9"/>
      <c r="AP933" s="9"/>
      <c r="AQ933" s="9"/>
      <c r="AR933" s="9"/>
      <c r="AS933" s="9"/>
      <c r="AT933" s="9"/>
      <c r="AU933" s="9"/>
      <c r="AV933" s="9"/>
    </row>
    <row r="934" spans="1:48" ht="14" customHeight="1" thickBot="1">
      <c r="A934" s="31"/>
      <c r="B934" s="31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9"/>
      <c r="AE934" s="9"/>
      <c r="AF934" s="9"/>
      <c r="AG934" s="9"/>
      <c r="AH934" s="9"/>
      <c r="AI934" s="9"/>
      <c r="AJ934" s="9"/>
      <c r="AK934" s="9"/>
      <c r="AL934" s="9"/>
      <c r="AM934" s="9"/>
      <c r="AN934" s="9"/>
      <c r="AO934" s="9"/>
      <c r="AP934" s="9"/>
      <c r="AQ934" s="9"/>
      <c r="AR934" s="9"/>
      <c r="AS934" s="9"/>
      <c r="AT934" s="9"/>
      <c r="AU934" s="9"/>
      <c r="AV934" s="9"/>
    </row>
    <row r="935" spans="1:48" ht="14" customHeight="1" thickBot="1">
      <c r="A935" s="31"/>
      <c r="B935" s="31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9"/>
      <c r="AE935" s="9"/>
      <c r="AF935" s="9"/>
      <c r="AG935" s="9"/>
      <c r="AH935" s="9"/>
      <c r="AI935" s="9"/>
      <c r="AJ935" s="9"/>
      <c r="AK935" s="9"/>
      <c r="AL935" s="9"/>
      <c r="AM935" s="9"/>
      <c r="AN935" s="9"/>
      <c r="AO935" s="9"/>
      <c r="AP935" s="9"/>
      <c r="AQ935" s="9"/>
      <c r="AR935" s="9"/>
      <c r="AS935" s="9"/>
      <c r="AT935" s="9"/>
      <c r="AU935" s="9"/>
      <c r="AV935" s="9"/>
    </row>
    <row r="936" spans="1:48" ht="14" customHeight="1" thickBot="1">
      <c r="A936" s="31"/>
      <c r="B936" s="31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  <c r="AD936" s="9"/>
      <c r="AE936" s="9"/>
      <c r="AF936" s="9"/>
      <c r="AG936" s="9"/>
      <c r="AH936" s="9"/>
      <c r="AI936" s="9"/>
      <c r="AJ936" s="9"/>
      <c r="AK936" s="9"/>
      <c r="AL936" s="9"/>
      <c r="AM936" s="9"/>
      <c r="AN936" s="9"/>
      <c r="AO936" s="9"/>
      <c r="AP936" s="9"/>
      <c r="AQ936" s="9"/>
      <c r="AR936" s="9"/>
      <c r="AS936" s="9"/>
      <c r="AT936" s="9"/>
      <c r="AU936" s="9"/>
      <c r="AV936" s="9"/>
    </row>
    <row r="937" spans="1:48" ht="14" customHeight="1" thickBot="1">
      <c r="A937" s="31"/>
      <c r="B937" s="31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  <c r="AD937" s="9"/>
      <c r="AE937" s="9"/>
      <c r="AF937" s="9"/>
      <c r="AG937" s="9"/>
      <c r="AH937" s="9"/>
      <c r="AI937" s="9"/>
      <c r="AJ937" s="9"/>
      <c r="AK937" s="9"/>
      <c r="AL937" s="9"/>
      <c r="AM937" s="9"/>
      <c r="AN937" s="9"/>
      <c r="AO937" s="9"/>
      <c r="AP937" s="9"/>
      <c r="AQ937" s="9"/>
      <c r="AR937" s="9"/>
      <c r="AS937" s="9"/>
      <c r="AT937" s="9"/>
      <c r="AU937" s="9"/>
      <c r="AV937" s="9"/>
    </row>
    <row r="938" spans="1:48" ht="14" customHeight="1" thickBot="1">
      <c r="A938" s="31"/>
      <c r="B938" s="31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9"/>
      <c r="AE938" s="9"/>
      <c r="AF938" s="9"/>
      <c r="AG938" s="9"/>
      <c r="AH938" s="9"/>
      <c r="AI938" s="9"/>
      <c r="AJ938" s="9"/>
      <c r="AK938" s="9"/>
      <c r="AL938" s="9"/>
      <c r="AM938" s="9"/>
      <c r="AN938" s="9"/>
      <c r="AO938" s="9"/>
      <c r="AP938" s="9"/>
      <c r="AQ938" s="9"/>
      <c r="AR938" s="9"/>
      <c r="AS938" s="9"/>
      <c r="AT938" s="9"/>
      <c r="AU938" s="9"/>
      <c r="AV938" s="9"/>
    </row>
  </sheetData>
  <mergeCells count="1">
    <mergeCell ref="A10:E10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88CD1-7886-4823-974E-B600145CC16B}">
  <sheetPr>
    <pageSetUpPr fitToPage="1"/>
  </sheetPr>
  <dimension ref="A1:Y67"/>
  <sheetViews>
    <sheetView view="pageBreakPreview" zoomScaleNormal="120" zoomScaleSheetLayoutView="100" workbookViewId="0">
      <selection activeCell="I8" sqref="I8"/>
    </sheetView>
  </sheetViews>
  <sheetFormatPr defaultRowHeight="14"/>
  <cols>
    <col min="1" max="1" width="4" customWidth="1"/>
    <col min="2" max="2" width="11.75" customWidth="1"/>
    <col min="3" max="3" width="30.5" customWidth="1"/>
    <col min="4" max="8" width="6.9140625" style="206" customWidth="1"/>
    <col min="9" max="9" width="11.25" customWidth="1"/>
    <col min="12" max="12" width="13" customWidth="1"/>
  </cols>
  <sheetData>
    <row r="1" spans="1:25" ht="18">
      <c r="A1" s="236" t="s">
        <v>78</v>
      </c>
      <c r="B1" s="236"/>
      <c r="C1" s="236"/>
      <c r="D1" s="236"/>
      <c r="E1" s="236"/>
      <c r="F1" s="236"/>
      <c r="G1" s="236"/>
      <c r="H1" s="236"/>
      <c r="I1" s="236"/>
      <c r="J1" s="236"/>
      <c r="K1" s="236"/>
      <c r="L1" s="32"/>
    </row>
    <row r="2" spans="1:25" ht="18.5" thickBot="1">
      <c r="A2" s="237" t="s">
        <v>79</v>
      </c>
      <c r="B2" s="237"/>
      <c r="C2" s="237"/>
      <c r="D2" s="237"/>
      <c r="E2" s="237"/>
      <c r="F2" s="237"/>
      <c r="G2" s="237"/>
      <c r="H2" s="237"/>
      <c r="I2" s="237"/>
      <c r="J2" s="237"/>
      <c r="K2" s="237"/>
      <c r="L2" s="32"/>
    </row>
    <row r="4" spans="1:25">
      <c r="A4" t="s">
        <v>80</v>
      </c>
      <c r="C4" t="s">
        <v>81</v>
      </c>
      <c r="G4" s="371" t="s">
        <v>82</v>
      </c>
      <c r="H4" s="371"/>
      <c r="I4" t="s">
        <v>253</v>
      </c>
    </row>
    <row r="5" spans="1:25">
      <c r="A5" t="s">
        <v>41</v>
      </c>
      <c r="C5" s="33" t="s">
        <v>315</v>
      </c>
      <c r="G5" s="371" t="s">
        <v>84</v>
      </c>
      <c r="H5" s="371"/>
      <c r="I5" t="s">
        <v>254</v>
      </c>
    </row>
    <row r="6" spans="1:25">
      <c r="A6" t="s">
        <v>42</v>
      </c>
      <c r="C6" t="s">
        <v>316</v>
      </c>
    </row>
    <row r="7" spans="1:25">
      <c r="A7" t="s">
        <v>86</v>
      </c>
      <c r="C7" t="s">
        <v>111</v>
      </c>
    </row>
    <row r="8" spans="1:25">
      <c r="A8" t="s">
        <v>88</v>
      </c>
      <c r="C8" t="s">
        <v>89</v>
      </c>
    </row>
    <row r="9" spans="1:25">
      <c r="A9" t="s">
        <v>90</v>
      </c>
      <c r="C9" t="s">
        <v>325</v>
      </c>
    </row>
    <row r="10" spans="1:25">
      <c r="C10" t="s">
        <v>326</v>
      </c>
    </row>
    <row r="11" spans="1:25">
      <c r="C11" s="34"/>
      <c r="D11" s="207"/>
      <c r="E11" s="207"/>
      <c r="F11" s="207"/>
      <c r="G11" s="207"/>
      <c r="H11" s="207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</row>
    <row r="12" spans="1:25" s="104" customFormat="1" ht="12.5">
      <c r="C12" s="105"/>
      <c r="D12" s="238" t="s">
        <v>74</v>
      </c>
      <c r="E12" s="239"/>
      <c r="F12" s="239"/>
      <c r="G12" s="239"/>
      <c r="H12" s="239"/>
      <c r="I12" s="240" t="s">
        <v>91</v>
      </c>
      <c r="J12" s="240" t="s">
        <v>92</v>
      </c>
    </row>
    <row r="13" spans="1:25" s="104" customFormat="1" ht="12.5">
      <c r="C13" s="105"/>
      <c r="D13" s="238" t="s">
        <v>317</v>
      </c>
      <c r="E13" s="239"/>
      <c r="F13" s="239"/>
      <c r="G13" s="239"/>
      <c r="H13" s="239"/>
      <c r="I13" s="241"/>
      <c r="J13" s="241"/>
    </row>
    <row r="14" spans="1:25" s="104" customFormat="1" ht="12.5">
      <c r="C14" s="105"/>
      <c r="D14" s="238" t="s">
        <v>296</v>
      </c>
      <c r="E14" s="239"/>
      <c r="F14" s="239"/>
      <c r="G14" s="239"/>
      <c r="H14" s="239"/>
      <c r="I14" s="241"/>
      <c r="J14" s="241"/>
    </row>
    <row r="15" spans="1:25" s="104" customFormat="1" ht="12.5">
      <c r="C15" s="105"/>
      <c r="D15" s="208" t="s">
        <v>117</v>
      </c>
      <c r="E15" s="208" t="str">
        <f>D15</f>
        <v>CPL02</v>
      </c>
      <c r="F15" s="208" t="s">
        <v>117</v>
      </c>
      <c r="G15" s="208" t="s">
        <v>117</v>
      </c>
      <c r="H15" s="208" t="s">
        <v>117</v>
      </c>
      <c r="I15" s="241"/>
      <c r="J15" s="241"/>
    </row>
    <row r="16" spans="1:25" s="104" customFormat="1" ht="12.5">
      <c r="C16" s="105"/>
      <c r="D16" s="208" t="s">
        <v>119</v>
      </c>
      <c r="E16" s="208" t="s">
        <v>151</v>
      </c>
      <c r="F16" s="208" t="s">
        <v>152</v>
      </c>
      <c r="G16" s="208" t="s">
        <v>153</v>
      </c>
      <c r="H16" s="208" t="s">
        <v>323</v>
      </c>
      <c r="I16" s="241"/>
      <c r="J16" s="241"/>
    </row>
    <row r="17" spans="1:10" s="104" customFormat="1" ht="12.5">
      <c r="C17" s="105"/>
      <c r="D17" s="208">
        <v>21</v>
      </c>
      <c r="E17" s="208">
        <v>22</v>
      </c>
      <c r="F17" s="208">
        <v>23</v>
      </c>
      <c r="G17" s="208">
        <v>24</v>
      </c>
      <c r="H17" s="208">
        <v>25</v>
      </c>
      <c r="I17" s="242"/>
      <c r="J17" s="242"/>
    </row>
    <row r="18" spans="1:10" s="104" customFormat="1" ht="13">
      <c r="A18" s="107" t="s">
        <v>0</v>
      </c>
      <c r="B18" s="107" t="s">
        <v>1</v>
      </c>
      <c r="C18" s="107" t="s">
        <v>2</v>
      </c>
      <c r="D18" s="209"/>
      <c r="E18" s="209"/>
      <c r="F18" s="209"/>
      <c r="G18" s="209"/>
      <c r="H18" s="209"/>
      <c r="I18" s="107"/>
      <c r="J18" s="107"/>
    </row>
    <row r="19" spans="1:10" s="104" customFormat="1" ht="12.5">
      <c r="A19" s="108">
        <v>1</v>
      </c>
      <c r="B19" s="109" t="s">
        <v>187</v>
      </c>
      <c r="C19" s="109" t="s">
        <v>188</v>
      </c>
      <c r="D19" s="210">
        <v>89.75</v>
      </c>
      <c r="E19" s="210">
        <v>89.73</v>
      </c>
      <c r="F19" s="210">
        <v>90.3</v>
      </c>
      <c r="G19" s="210">
        <v>60.95</v>
      </c>
      <c r="H19" s="210">
        <v>61.96</v>
      </c>
      <c r="I19" s="110">
        <f>IFERROR((D19*($D$17/100))+(E19*($E$17/100))+(F19*($F$17/100))+(G19*($G$17/100))+(H19*($H$17/100)),"")</f>
        <v>89.475099999999998</v>
      </c>
      <c r="J19" s="110" t="str">
        <f>IFERROR(VLOOKUP(I19,[1]Sheet1!$AA$1:$AB$10,2),"")</f>
        <v>A-</v>
      </c>
    </row>
    <row r="20" spans="1:10" s="104" customFormat="1" ht="12.5">
      <c r="A20" s="108">
        <v>2</v>
      </c>
      <c r="B20" s="109" t="s">
        <v>189</v>
      </c>
      <c r="C20" s="109" t="s">
        <v>190</v>
      </c>
      <c r="D20" s="210">
        <v>92.5</v>
      </c>
      <c r="E20" s="210">
        <v>93</v>
      </c>
      <c r="F20" s="210">
        <v>92.25</v>
      </c>
      <c r="G20" s="210">
        <v>80.91</v>
      </c>
      <c r="H20" s="210">
        <v>82.96</v>
      </c>
      <c r="I20" s="110">
        <f t="shared" ref="I20:I52" si="0">IFERROR((D20*($D$17/100))+(E20*($E$17/100))+(F20*($F$17/100))+(G20*($G$17/100))+(H20*($H$17/100)),"")</f>
        <v>101.26090000000001</v>
      </c>
      <c r="J20" s="110" t="str">
        <f>IFERROR(VLOOKUP(I20,[1]Sheet1!$AA$1:$AB$10,2),"")</f>
        <v>A</v>
      </c>
    </row>
    <row r="21" spans="1:10" s="104" customFormat="1" ht="12.5">
      <c r="A21" s="108">
        <v>3</v>
      </c>
      <c r="B21" s="109" t="s">
        <v>191</v>
      </c>
      <c r="C21" s="109" t="s">
        <v>192</v>
      </c>
      <c r="D21" s="210">
        <v>75.63</v>
      </c>
      <c r="E21" s="210">
        <v>74.67</v>
      </c>
      <c r="F21" s="210">
        <v>72.25</v>
      </c>
      <c r="G21" s="210">
        <v>66.819999999999993</v>
      </c>
      <c r="H21" s="210">
        <v>67.59</v>
      </c>
      <c r="I21" s="110">
        <f t="shared" si="0"/>
        <v>81.861500000000007</v>
      </c>
      <c r="J21" s="110" t="str">
        <f>IFERROR(VLOOKUP(I21,[1]Sheet1!$AA$1:$AB$10,2),"")</f>
        <v>B+</v>
      </c>
    </row>
    <row r="22" spans="1:10" s="104" customFormat="1" ht="12.5">
      <c r="A22" s="108">
        <v>4</v>
      </c>
      <c r="B22" s="109" t="s">
        <v>193</v>
      </c>
      <c r="C22" s="109" t="s">
        <v>194</v>
      </c>
      <c r="D22" s="210">
        <v>62.88</v>
      </c>
      <c r="E22" s="210">
        <v>61.4</v>
      </c>
      <c r="F22" s="210">
        <v>58.3</v>
      </c>
      <c r="G22" s="210">
        <v>65.95</v>
      </c>
      <c r="H22" s="210">
        <v>67.33</v>
      </c>
      <c r="I22" s="110">
        <f t="shared" si="0"/>
        <v>72.782299999999992</v>
      </c>
      <c r="J22" s="110" t="str">
        <f>IFERROR(VLOOKUP(I22,[1]Sheet1!$AA$1:$AB$10,2),"")</f>
        <v>B</v>
      </c>
    </row>
    <row r="23" spans="1:10" s="104" customFormat="1" ht="12.5">
      <c r="A23" s="108">
        <v>5</v>
      </c>
      <c r="B23" s="109" t="s">
        <v>195</v>
      </c>
      <c r="C23" s="109" t="s">
        <v>196</v>
      </c>
      <c r="D23" s="210">
        <v>76.88</v>
      </c>
      <c r="E23" s="210">
        <v>76</v>
      </c>
      <c r="F23" s="210">
        <v>74.25</v>
      </c>
      <c r="G23" s="210">
        <v>65.45</v>
      </c>
      <c r="H23" s="210">
        <v>66.11</v>
      </c>
      <c r="I23" s="110">
        <f t="shared" si="0"/>
        <v>82.177800000000005</v>
      </c>
      <c r="J23" s="110" t="str">
        <f>IFERROR(VLOOKUP(I23,[1]Sheet1!$AA$1:$AB$10,2),"")</f>
        <v>B+</v>
      </c>
    </row>
    <row r="24" spans="1:10" s="104" customFormat="1" ht="12.5">
      <c r="A24" s="108">
        <v>6</v>
      </c>
      <c r="B24" s="109" t="s">
        <v>197</v>
      </c>
      <c r="C24" s="109" t="s">
        <v>198</v>
      </c>
      <c r="D24" s="210">
        <v>45.38</v>
      </c>
      <c r="E24" s="210">
        <v>42.4</v>
      </c>
      <c r="F24" s="210">
        <v>37.049999999999997</v>
      </c>
      <c r="G24" s="210">
        <v>54.14</v>
      </c>
      <c r="H24" s="210">
        <v>54.56</v>
      </c>
      <c r="I24" s="110">
        <f t="shared" si="0"/>
        <v>54.012899999999995</v>
      </c>
      <c r="J24" s="110" t="str">
        <f>IFERROR(VLOOKUP(I24,[1]Sheet1!$AA$1:$AB$10,2),"")</f>
        <v>C-</v>
      </c>
    </row>
    <row r="25" spans="1:10" s="104" customFormat="1" ht="12.5">
      <c r="A25" s="108">
        <v>7</v>
      </c>
      <c r="B25" s="109" t="s">
        <v>199</v>
      </c>
      <c r="C25" s="109" t="s">
        <v>200</v>
      </c>
      <c r="D25" s="210">
        <v>89.38</v>
      </c>
      <c r="E25" s="210">
        <v>89.33</v>
      </c>
      <c r="F25" s="210">
        <v>89.25</v>
      </c>
      <c r="G25" s="210">
        <v>78.180000000000007</v>
      </c>
      <c r="H25" s="210">
        <v>80</v>
      </c>
      <c r="I25" s="110">
        <f t="shared" si="0"/>
        <v>97.713099999999997</v>
      </c>
      <c r="J25" s="110" t="str">
        <f>IFERROR(VLOOKUP(I25,[1]Sheet1!$AA$1:$AB$10,2),"")</f>
        <v>A</v>
      </c>
    </row>
    <row r="26" spans="1:10" s="104" customFormat="1" ht="12.5">
      <c r="A26" s="108">
        <v>8</v>
      </c>
      <c r="B26" s="109" t="s">
        <v>201</v>
      </c>
      <c r="C26" s="109" t="s">
        <v>202</v>
      </c>
      <c r="D26" s="210">
        <v>70.38</v>
      </c>
      <c r="E26" s="210">
        <v>69.069999999999993</v>
      </c>
      <c r="F26" s="210">
        <v>65.150000000000006</v>
      </c>
      <c r="G26" s="210">
        <v>62.05</v>
      </c>
      <c r="H26" s="210">
        <v>62.41</v>
      </c>
      <c r="I26" s="110">
        <f t="shared" si="0"/>
        <v>75.454199999999986</v>
      </c>
      <c r="J26" s="110" t="str">
        <f>IFERROR(VLOOKUP(I26,[1]Sheet1!$AA$1:$AB$10,2),"")</f>
        <v>B+</v>
      </c>
    </row>
    <row r="27" spans="1:10" s="104" customFormat="1" ht="12.5">
      <c r="A27" s="108">
        <v>9</v>
      </c>
      <c r="B27" s="109" t="s">
        <v>203</v>
      </c>
      <c r="C27" s="109" t="s">
        <v>204</v>
      </c>
      <c r="D27" s="210">
        <v>53</v>
      </c>
      <c r="E27" s="210">
        <v>50.2</v>
      </c>
      <c r="F27" s="210">
        <v>45.65</v>
      </c>
      <c r="G27" s="210">
        <v>48.32</v>
      </c>
      <c r="H27" s="210">
        <v>47.93</v>
      </c>
      <c r="I27" s="110">
        <f t="shared" si="0"/>
        <v>56.252800000000001</v>
      </c>
      <c r="J27" s="110" t="str">
        <f>IFERROR(VLOOKUP(I27,[1]Sheet1!$AA$1:$AB$10,2),"")</f>
        <v>C</v>
      </c>
    </row>
    <row r="28" spans="1:10" s="104" customFormat="1" ht="12.5">
      <c r="A28" s="108">
        <v>10</v>
      </c>
      <c r="B28" s="109" t="s">
        <v>205</v>
      </c>
      <c r="C28" s="109" t="s">
        <v>206</v>
      </c>
      <c r="D28" s="210">
        <v>85.63</v>
      </c>
      <c r="E28" s="210">
        <v>85.67</v>
      </c>
      <c r="F28" s="210">
        <v>83.5</v>
      </c>
      <c r="G28" s="210">
        <v>55.68</v>
      </c>
      <c r="H28" s="210">
        <v>55.56</v>
      </c>
      <c r="I28" s="110">
        <f t="shared" si="0"/>
        <v>83.287899999999993</v>
      </c>
      <c r="J28" s="110" t="str">
        <f>IFERROR(VLOOKUP(I28,[1]Sheet1!$AA$1:$AB$10,2),"")</f>
        <v>B+</v>
      </c>
    </row>
    <row r="29" spans="1:10" s="104" customFormat="1" ht="12.5">
      <c r="A29" s="108">
        <v>11</v>
      </c>
      <c r="B29" s="109" t="s">
        <v>255</v>
      </c>
      <c r="C29" s="109" t="s">
        <v>256</v>
      </c>
      <c r="D29" s="210">
        <v>18.88</v>
      </c>
      <c r="E29" s="210">
        <v>20.13</v>
      </c>
      <c r="F29" s="210">
        <v>10.35</v>
      </c>
      <c r="G29" s="210">
        <v>5.09</v>
      </c>
      <c r="H29" s="210">
        <v>2.0699999999999998</v>
      </c>
      <c r="I29" s="110">
        <f t="shared" si="0"/>
        <v>12.513</v>
      </c>
      <c r="J29" s="110" t="str">
        <f>IFERROR(VLOOKUP(I29,[1]Sheet1!$AA$1:$AB$10,2),"")</f>
        <v>E</v>
      </c>
    </row>
    <row r="30" spans="1:10" s="104" customFormat="1" ht="12.5">
      <c r="A30" s="108">
        <v>12</v>
      </c>
      <c r="B30" s="109" t="s">
        <v>207</v>
      </c>
      <c r="C30" s="109" t="s">
        <v>208</v>
      </c>
      <c r="D30" s="210">
        <v>89.13</v>
      </c>
      <c r="E30" s="210">
        <v>89.07</v>
      </c>
      <c r="F30" s="210">
        <v>87.65</v>
      </c>
      <c r="G30" s="210">
        <v>62.5</v>
      </c>
      <c r="H30" s="210">
        <v>62.96</v>
      </c>
      <c r="I30" s="110">
        <f t="shared" si="0"/>
        <v>89.212199999999982</v>
      </c>
      <c r="J30" s="110" t="str">
        <f>IFERROR(VLOOKUP(I30,[1]Sheet1!$AA$1:$AB$10,2),"")</f>
        <v>A-</v>
      </c>
    </row>
    <row r="31" spans="1:10" s="104" customFormat="1" ht="12.5">
      <c r="A31" s="108">
        <v>13</v>
      </c>
      <c r="B31" s="109" t="s">
        <v>209</v>
      </c>
      <c r="C31" s="109" t="s">
        <v>210</v>
      </c>
      <c r="D31" s="210">
        <v>12.5</v>
      </c>
      <c r="E31" s="210">
        <v>13.33</v>
      </c>
      <c r="F31" s="210">
        <v>13.75</v>
      </c>
      <c r="G31" s="210">
        <v>18.18</v>
      </c>
      <c r="H31" s="210">
        <v>19.440000000000001</v>
      </c>
      <c r="I31" s="110">
        <f t="shared" si="0"/>
        <v>17.943300000000001</v>
      </c>
      <c r="J31" s="110" t="str">
        <f>IFERROR(VLOOKUP(I31,[1]Sheet1!$AA$1:$AB$10,2),"")</f>
        <v>E</v>
      </c>
    </row>
    <row r="32" spans="1:10" s="104" customFormat="1" ht="12.5">
      <c r="A32" s="108">
        <v>14</v>
      </c>
      <c r="B32" s="109" t="s">
        <v>211</v>
      </c>
      <c r="C32" s="109" t="s">
        <v>212</v>
      </c>
      <c r="D32" s="210">
        <v>78.13</v>
      </c>
      <c r="E32" s="210">
        <v>77.67</v>
      </c>
      <c r="F32" s="210">
        <v>75.5</v>
      </c>
      <c r="G32" s="210">
        <v>48.86</v>
      </c>
      <c r="H32" s="210">
        <v>48.15</v>
      </c>
      <c r="I32" s="110">
        <f t="shared" si="0"/>
        <v>74.623599999999996</v>
      </c>
      <c r="J32" s="110" t="str">
        <f>IFERROR(VLOOKUP(I32,[1]Sheet1!$AA$1:$AB$10,2),"")</f>
        <v>B</v>
      </c>
    </row>
    <row r="33" spans="1:10" s="104" customFormat="1" ht="12.5">
      <c r="A33" s="108">
        <v>15</v>
      </c>
      <c r="B33" s="109" t="s">
        <v>213</v>
      </c>
      <c r="C33" s="109" t="s">
        <v>214</v>
      </c>
      <c r="D33" s="210">
        <v>91.25</v>
      </c>
      <c r="E33" s="210">
        <v>91.33</v>
      </c>
      <c r="F33" s="210">
        <v>90</v>
      </c>
      <c r="G33" s="210">
        <v>78.180000000000007</v>
      </c>
      <c r="H33" s="210">
        <v>80</v>
      </c>
      <c r="I33" s="110">
        <f t="shared" si="0"/>
        <v>98.718299999999999</v>
      </c>
      <c r="J33" s="110" t="str">
        <f>IFERROR(VLOOKUP(I33,[1]Sheet1!$AA$1:$AB$10,2),"")</f>
        <v>A</v>
      </c>
    </row>
    <row r="34" spans="1:10" s="104" customFormat="1" ht="12.5">
      <c r="A34" s="108">
        <v>16</v>
      </c>
      <c r="B34" s="109" t="s">
        <v>215</v>
      </c>
      <c r="C34" s="109" t="s">
        <v>216</v>
      </c>
      <c r="D34" s="210">
        <v>85.38</v>
      </c>
      <c r="E34" s="210">
        <v>85.4</v>
      </c>
      <c r="F34" s="210">
        <v>83.4</v>
      </c>
      <c r="G34" s="210">
        <v>55.68</v>
      </c>
      <c r="H34" s="210">
        <v>55.56</v>
      </c>
      <c r="I34" s="110">
        <f t="shared" si="0"/>
        <v>83.153000000000006</v>
      </c>
      <c r="J34" s="110" t="str">
        <f>IFERROR(VLOOKUP(I34,[1]Sheet1!$AA$1:$AB$10,2),"")</f>
        <v>B+</v>
      </c>
    </row>
    <row r="35" spans="1:10" s="104" customFormat="1" ht="12.5">
      <c r="A35" s="108">
        <v>17</v>
      </c>
      <c r="B35" s="109" t="s">
        <v>217</v>
      </c>
      <c r="C35" s="109" t="s">
        <v>218</v>
      </c>
      <c r="D35" s="210">
        <v>71.25</v>
      </c>
      <c r="E35" s="210">
        <v>70.33</v>
      </c>
      <c r="F35" s="210">
        <v>67.25</v>
      </c>
      <c r="G35" s="210">
        <v>48.86</v>
      </c>
      <c r="H35" s="210">
        <v>48.15</v>
      </c>
      <c r="I35" s="110">
        <f t="shared" si="0"/>
        <v>69.666499999999999</v>
      </c>
      <c r="J35" s="110" t="str">
        <f>IFERROR(VLOOKUP(I35,[1]Sheet1!$AA$1:$AB$10,2),"")</f>
        <v>B-</v>
      </c>
    </row>
    <row r="36" spans="1:10" s="104" customFormat="1" ht="12.5">
      <c r="A36" s="108">
        <v>18</v>
      </c>
      <c r="B36" s="109" t="s">
        <v>219</v>
      </c>
      <c r="C36" s="109" t="s">
        <v>220</v>
      </c>
      <c r="D36" s="210">
        <v>78.5</v>
      </c>
      <c r="E36" s="210">
        <v>78.069999999999993</v>
      </c>
      <c r="F36" s="210">
        <v>77.55</v>
      </c>
      <c r="G36" s="210">
        <v>54.14</v>
      </c>
      <c r="H36" s="210">
        <v>54.56</v>
      </c>
      <c r="I36" s="110">
        <f t="shared" si="0"/>
        <v>78.130499999999998</v>
      </c>
      <c r="J36" s="110" t="str">
        <f>IFERROR(VLOOKUP(I36,[1]Sheet1!$AA$1:$AB$10,2),"")</f>
        <v>B+</v>
      </c>
    </row>
    <row r="37" spans="1:10" s="104" customFormat="1" ht="12.5">
      <c r="A37" s="108">
        <v>19</v>
      </c>
      <c r="B37" s="109" t="s">
        <v>221</v>
      </c>
      <c r="C37" s="109" t="s">
        <v>222</v>
      </c>
      <c r="D37" s="210">
        <v>68.5</v>
      </c>
      <c r="E37" s="210">
        <v>67.069999999999993</v>
      </c>
      <c r="F37" s="210">
        <v>62.9</v>
      </c>
      <c r="G37" s="210">
        <v>55.68</v>
      </c>
      <c r="H37" s="210">
        <v>55.56</v>
      </c>
      <c r="I37" s="110">
        <f t="shared" si="0"/>
        <v>70.860600000000005</v>
      </c>
      <c r="J37" s="110" t="str">
        <f>IFERROR(VLOOKUP(I37,[1]Sheet1!$AA$1:$AB$10,2),"")</f>
        <v>B</v>
      </c>
    </row>
    <row r="38" spans="1:10" s="104" customFormat="1" ht="12.5">
      <c r="A38" s="108">
        <v>20</v>
      </c>
      <c r="B38" s="109" t="s">
        <v>223</v>
      </c>
      <c r="C38" s="109" t="s">
        <v>224</v>
      </c>
      <c r="D38" s="210">
        <v>76.13</v>
      </c>
      <c r="E38" s="210">
        <v>75.2</v>
      </c>
      <c r="F38" s="210">
        <v>73.650000000000006</v>
      </c>
      <c r="G38" s="210">
        <v>51.27</v>
      </c>
      <c r="H38" s="210">
        <v>51.07</v>
      </c>
      <c r="I38" s="110">
        <f t="shared" si="0"/>
        <v>74.54310000000001</v>
      </c>
      <c r="J38" s="110" t="str">
        <f>IFERROR(VLOOKUP(I38,[1]Sheet1!$AA$1:$AB$10,2),"")</f>
        <v>B</v>
      </c>
    </row>
    <row r="39" spans="1:10" s="104" customFormat="1" ht="12.5">
      <c r="A39" s="108">
        <v>21</v>
      </c>
      <c r="B39" s="109" t="s">
        <v>225</v>
      </c>
      <c r="C39" s="109" t="s">
        <v>226</v>
      </c>
      <c r="D39" s="210">
        <v>52.38</v>
      </c>
      <c r="E39" s="210">
        <v>50.2</v>
      </c>
      <c r="F39" s="210">
        <v>44.9</v>
      </c>
      <c r="G39" s="210">
        <v>58.09</v>
      </c>
      <c r="H39" s="210">
        <v>58.48</v>
      </c>
      <c r="I39" s="110">
        <f t="shared" si="0"/>
        <v>60.932400000000001</v>
      </c>
      <c r="J39" s="110" t="str">
        <f>IFERROR(VLOOKUP(I39,[1]Sheet1!$AA$1:$AB$10,2),"")</f>
        <v>C+</v>
      </c>
    </row>
    <row r="40" spans="1:10" s="104" customFormat="1" ht="12.5">
      <c r="A40" s="108">
        <v>22</v>
      </c>
      <c r="B40" s="109" t="s">
        <v>227</v>
      </c>
      <c r="C40" s="109" t="s">
        <v>228</v>
      </c>
      <c r="D40" s="210">
        <v>92.5</v>
      </c>
      <c r="E40" s="210">
        <v>92.67</v>
      </c>
      <c r="F40" s="210">
        <v>92.5</v>
      </c>
      <c r="G40" s="210">
        <v>70.23</v>
      </c>
      <c r="H40" s="210">
        <v>71.3</v>
      </c>
      <c r="I40" s="110">
        <f t="shared" si="0"/>
        <v>95.767600000000002</v>
      </c>
      <c r="J40" s="110" t="str">
        <f>IFERROR(VLOOKUP(I40,[1]Sheet1!$AA$1:$AB$10,2),"")</f>
        <v>A</v>
      </c>
    </row>
    <row r="41" spans="1:10" s="104" customFormat="1" ht="12.5">
      <c r="A41" s="108">
        <v>23</v>
      </c>
      <c r="B41" s="109" t="s">
        <v>229</v>
      </c>
      <c r="C41" s="109" t="s">
        <v>230</v>
      </c>
      <c r="D41" s="210">
        <v>85.5</v>
      </c>
      <c r="E41" s="210">
        <v>85.2</v>
      </c>
      <c r="F41" s="210">
        <v>84.4</v>
      </c>
      <c r="G41" s="210">
        <v>51.73</v>
      </c>
      <c r="H41" s="210">
        <v>51.63</v>
      </c>
      <c r="I41" s="110">
        <f t="shared" si="0"/>
        <v>81.433700000000002</v>
      </c>
      <c r="J41" s="110" t="str">
        <f>IFERROR(VLOOKUP(I41,[1]Sheet1!$AA$1:$AB$10,2),"")</f>
        <v>B+</v>
      </c>
    </row>
    <row r="42" spans="1:10" s="104" customFormat="1">
      <c r="A42" s="108">
        <v>24</v>
      </c>
      <c r="B42" s="4" t="s">
        <v>293</v>
      </c>
      <c r="C42" s="112" t="s">
        <v>294</v>
      </c>
      <c r="D42" s="210">
        <v>74.25</v>
      </c>
      <c r="E42" s="210">
        <v>73.2</v>
      </c>
      <c r="F42" s="210">
        <v>71.400000000000006</v>
      </c>
      <c r="G42" s="210">
        <v>67.41</v>
      </c>
      <c r="H42" s="210">
        <v>68.67</v>
      </c>
      <c r="I42" s="110">
        <f t="shared" si="0"/>
        <v>81.464399999999998</v>
      </c>
      <c r="J42" s="110" t="str">
        <f>IFERROR(VLOOKUP(I42,[1]Sheet1!$AA$1:$AB$10,2),"")</f>
        <v>B+</v>
      </c>
    </row>
    <row r="43" spans="1:10" s="104" customFormat="1">
      <c r="A43" s="108">
        <v>25</v>
      </c>
      <c r="B43" s="4" t="s">
        <v>291</v>
      </c>
      <c r="C43" s="4" t="s">
        <v>292</v>
      </c>
      <c r="D43" s="210">
        <v>61.63</v>
      </c>
      <c r="E43" s="210">
        <v>59.73</v>
      </c>
      <c r="F43" s="210">
        <v>56.05</v>
      </c>
      <c r="G43" s="210">
        <v>37.549999999999997</v>
      </c>
      <c r="H43" s="210">
        <v>36.590000000000003</v>
      </c>
      <c r="I43" s="110">
        <f t="shared" si="0"/>
        <v>57.133900000000004</v>
      </c>
      <c r="J43" s="110" t="str">
        <f>IFERROR(VLOOKUP(I43,[1]Sheet1!$AA$1:$AB$10,2),"")</f>
        <v>C</v>
      </c>
    </row>
    <row r="44" spans="1:10" s="104" customFormat="1" ht="12.5">
      <c r="A44" s="108">
        <v>26</v>
      </c>
      <c r="B44" s="109" t="s">
        <v>231</v>
      </c>
      <c r="C44" s="109" t="s">
        <v>257</v>
      </c>
      <c r="D44" s="210">
        <v>80.88</v>
      </c>
      <c r="E44" s="210">
        <v>81</v>
      </c>
      <c r="F44" s="210">
        <v>80.930000000000007</v>
      </c>
      <c r="G44" s="210">
        <v>81.59</v>
      </c>
      <c r="H44" s="210">
        <v>81.260000000000005</v>
      </c>
      <c r="I44" s="110">
        <f t="shared" si="0"/>
        <v>93.315300000000008</v>
      </c>
      <c r="J44" s="110" t="str">
        <f>IFERROR(VLOOKUP(I44,[1]Sheet1!$AA$1:$AB$10,2),"")</f>
        <v>A</v>
      </c>
    </row>
    <row r="45" spans="1:10" s="104" customFormat="1" ht="12.5">
      <c r="A45" s="108">
        <v>27</v>
      </c>
      <c r="B45" s="109" t="s">
        <v>233</v>
      </c>
      <c r="C45" s="109" t="s">
        <v>234</v>
      </c>
      <c r="D45" s="210">
        <v>78.88</v>
      </c>
      <c r="E45" s="210">
        <v>79.13</v>
      </c>
      <c r="F45" s="210">
        <v>79</v>
      </c>
      <c r="G45" s="210">
        <v>74.41</v>
      </c>
      <c r="H45" s="210">
        <v>73.150000000000006</v>
      </c>
      <c r="I45" s="110">
        <f t="shared" si="0"/>
        <v>88.289299999999997</v>
      </c>
      <c r="J45" s="110" t="str">
        <f>IFERROR(VLOOKUP(I45,[1]Sheet1!$AA$1:$AB$10,2),"")</f>
        <v>A-</v>
      </c>
    </row>
    <row r="46" spans="1:10" s="104" customFormat="1" ht="12.5">
      <c r="A46" s="108">
        <v>28</v>
      </c>
      <c r="B46" s="109" t="s">
        <v>235</v>
      </c>
      <c r="C46" s="109" t="s">
        <v>236</v>
      </c>
      <c r="D46" s="210">
        <v>76.75</v>
      </c>
      <c r="E46" s="210">
        <v>76.930000000000007</v>
      </c>
      <c r="F46" s="210">
        <v>76.87</v>
      </c>
      <c r="G46" s="210">
        <v>75.09</v>
      </c>
      <c r="H46" s="210">
        <v>75.11</v>
      </c>
      <c r="I46" s="110">
        <f t="shared" si="0"/>
        <v>87.521300000000011</v>
      </c>
      <c r="J46" s="110" t="str">
        <f>IFERROR(VLOOKUP(I46,[1]Sheet1!$AA$1:$AB$10,2),"")</f>
        <v>A-</v>
      </c>
    </row>
    <row r="47" spans="1:10" s="104" customFormat="1" ht="12.5">
      <c r="A47" s="108">
        <v>29</v>
      </c>
      <c r="B47" s="109" t="s">
        <v>237</v>
      </c>
      <c r="C47" s="109" t="s">
        <v>238</v>
      </c>
      <c r="D47" s="210">
        <v>82.5</v>
      </c>
      <c r="E47" s="210">
        <v>82.6</v>
      </c>
      <c r="F47" s="210">
        <v>82.67</v>
      </c>
      <c r="G47" s="210">
        <v>81.45</v>
      </c>
      <c r="H47" s="210">
        <v>80.739999999999995</v>
      </c>
      <c r="I47" s="110">
        <f t="shared" si="0"/>
        <v>94.244100000000003</v>
      </c>
      <c r="J47" s="110" t="str">
        <f>IFERROR(VLOOKUP(I47,[1]Sheet1!$AA$1:$AB$10,2),"")</f>
        <v>A</v>
      </c>
    </row>
    <row r="48" spans="1:10" s="104" customFormat="1" ht="12.5">
      <c r="A48" s="108">
        <v>30</v>
      </c>
      <c r="B48" s="109" t="s">
        <v>239</v>
      </c>
      <c r="C48" s="109" t="s">
        <v>240</v>
      </c>
      <c r="D48" s="210">
        <v>39.25</v>
      </c>
      <c r="E48" s="210">
        <v>41.2</v>
      </c>
      <c r="F48" s="210">
        <v>41.2</v>
      </c>
      <c r="G48" s="210">
        <v>6.27</v>
      </c>
      <c r="H48" s="210">
        <v>3.85</v>
      </c>
      <c r="I48" s="110">
        <f t="shared" si="0"/>
        <v>29.249799999999997</v>
      </c>
      <c r="J48" s="110" t="str">
        <f>IFERROR(VLOOKUP(I48,[1]Sheet1!$AA$1:$AB$10,2),"")</f>
        <v>E</v>
      </c>
    </row>
    <row r="49" spans="1:10" s="104" customFormat="1" ht="12.5">
      <c r="A49" s="108">
        <v>31</v>
      </c>
      <c r="B49" s="109" t="s">
        <v>241</v>
      </c>
      <c r="C49" s="109" t="s">
        <v>242</v>
      </c>
      <c r="D49" s="210">
        <v>92.25</v>
      </c>
      <c r="E49" s="210">
        <v>92.4</v>
      </c>
      <c r="F49" s="210">
        <v>92.53</v>
      </c>
      <c r="G49" s="210">
        <v>90.5</v>
      </c>
      <c r="H49" s="210">
        <v>90.04</v>
      </c>
      <c r="I49" s="110">
        <f t="shared" si="0"/>
        <v>105.21240000000002</v>
      </c>
      <c r="J49" s="110" t="str">
        <f>IFERROR(VLOOKUP(I49,[1]Sheet1!$AA$1:$AB$10,2),"")</f>
        <v>A</v>
      </c>
    </row>
    <row r="50" spans="1:10" s="104" customFormat="1" ht="12.5">
      <c r="A50" s="108">
        <v>32</v>
      </c>
      <c r="B50" s="109" t="s">
        <v>243</v>
      </c>
      <c r="C50" s="109" t="s">
        <v>244</v>
      </c>
      <c r="D50" s="210">
        <v>89.63</v>
      </c>
      <c r="E50" s="210">
        <v>89.8</v>
      </c>
      <c r="F50" s="210">
        <v>89.6</v>
      </c>
      <c r="G50" s="210">
        <v>90.05</v>
      </c>
      <c r="H50" s="210">
        <v>89.41</v>
      </c>
      <c r="I50" s="110">
        <f t="shared" si="0"/>
        <v>103.1508</v>
      </c>
      <c r="J50" s="110" t="str">
        <f>IFERROR(VLOOKUP(I50,[1]Sheet1!$AA$1:$AB$10,2),"")</f>
        <v>A</v>
      </c>
    </row>
    <row r="51" spans="1:10" s="104" customFormat="1" ht="12.5">
      <c r="A51" s="108">
        <v>33</v>
      </c>
      <c r="B51" s="109" t="s">
        <v>245</v>
      </c>
      <c r="C51" s="109" t="s">
        <v>246</v>
      </c>
      <c r="D51" s="210">
        <v>90.13</v>
      </c>
      <c r="E51" s="210">
        <v>90.2</v>
      </c>
      <c r="F51" s="210">
        <v>90.33</v>
      </c>
      <c r="G51" s="210">
        <v>88.59</v>
      </c>
      <c r="H51" s="210">
        <v>87.93</v>
      </c>
      <c r="I51" s="110">
        <f t="shared" si="0"/>
        <v>102.79129999999999</v>
      </c>
      <c r="J51" s="110" t="str">
        <f>IFERROR(VLOOKUP(I51,[1]Sheet1!$AA$1:$AB$10,2),"")</f>
        <v>A</v>
      </c>
    </row>
    <row r="52" spans="1:10" s="104" customFormat="1" ht="12.5">
      <c r="A52" s="108">
        <v>34</v>
      </c>
      <c r="B52" s="109" t="s">
        <v>247</v>
      </c>
      <c r="C52" s="109" t="s">
        <v>248</v>
      </c>
      <c r="D52" s="210">
        <v>80.25</v>
      </c>
      <c r="E52" s="210">
        <v>80.47</v>
      </c>
      <c r="F52" s="210">
        <v>80.27</v>
      </c>
      <c r="G52" s="210">
        <v>80.55</v>
      </c>
      <c r="H52" s="210">
        <v>79.44</v>
      </c>
      <c r="I52" s="110">
        <f t="shared" si="0"/>
        <v>92.21</v>
      </c>
      <c r="J52" s="110" t="str">
        <f>IFERROR(VLOOKUP(I52,[1]Sheet1!$AA$1:$AB$10,2),"")</f>
        <v>A</v>
      </c>
    </row>
    <row r="53" spans="1:10" s="104" customFormat="1" ht="12.5">
      <c r="A53" s="108">
        <v>35</v>
      </c>
      <c r="B53" s="109" t="s">
        <v>249</v>
      </c>
      <c r="C53" s="109" t="s">
        <v>250</v>
      </c>
      <c r="D53" s="210"/>
      <c r="E53" s="210"/>
      <c r="F53" s="210"/>
      <c r="G53" s="210"/>
      <c r="H53" s="210"/>
      <c r="I53" s="110"/>
      <c r="J53" s="110"/>
    </row>
    <row r="54" spans="1:10" s="104" customFormat="1" ht="12.5">
      <c r="A54" s="108">
        <v>36</v>
      </c>
      <c r="B54" s="109" t="s">
        <v>251</v>
      </c>
      <c r="C54" s="109" t="s">
        <v>252</v>
      </c>
      <c r="D54" s="210"/>
      <c r="E54" s="210"/>
      <c r="F54" s="210"/>
      <c r="G54" s="210"/>
      <c r="H54" s="210"/>
      <c r="I54" s="110"/>
      <c r="J54" s="110"/>
    </row>
    <row r="55" spans="1:10" s="104" customFormat="1" ht="12.5">
      <c r="A55" s="111"/>
      <c r="B55" s="112"/>
      <c r="D55" s="211"/>
      <c r="E55" s="211"/>
      <c r="F55" s="211"/>
      <c r="G55" s="211"/>
      <c r="H55" s="211"/>
      <c r="I55" s="113"/>
      <c r="J55" s="113"/>
    </row>
    <row r="56" spans="1:10" s="104" customFormat="1" ht="13" thickBot="1">
      <c r="C56" s="105"/>
      <c r="D56" s="207" t="str">
        <f>D16</f>
        <v>CPMK021</v>
      </c>
      <c r="E56" s="207" t="str">
        <f t="shared" ref="E56:H56" si="1">E16</f>
        <v>CPMK022</v>
      </c>
      <c r="F56" s="207" t="str">
        <f t="shared" si="1"/>
        <v>CPMK023</v>
      </c>
      <c r="G56" s="207" t="str">
        <f t="shared" si="1"/>
        <v>CPMK024</v>
      </c>
      <c r="H56" s="207" t="str">
        <f t="shared" si="1"/>
        <v>CPMK025</v>
      </c>
      <c r="I56" s="114" t="str">
        <f>I12</f>
        <v>Nilai Akhir MK</v>
      </c>
    </row>
    <row r="57" spans="1:10" s="104" customFormat="1" ht="13" thickBot="1">
      <c r="C57" s="115" t="s">
        <v>184</v>
      </c>
      <c r="D57" s="212">
        <f t="shared" ref="D57:I57" si="2">IFERROR(COUNTIF(D19:D54,""),"")</f>
        <v>2</v>
      </c>
      <c r="E57" s="212">
        <f t="shared" si="2"/>
        <v>2</v>
      </c>
      <c r="F57" s="212">
        <f t="shared" si="2"/>
        <v>2</v>
      </c>
      <c r="G57" s="212">
        <f t="shared" si="2"/>
        <v>2</v>
      </c>
      <c r="H57" s="212">
        <f t="shared" si="2"/>
        <v>2</v>
      </c>
      <c r="I57" s="212">
        <f t="shared" si="2"/>
        <v>2</v>
      </c>
    </row>
    <row r="58" spans="1:10" s="104" customFormat="1" ht="13" thickBot="1">
      <c r="C58" s="117" t="s">
        <v>97</v>
      </c>
      <c r="D58" s="219">
        <f>IFERROR(COUNTIF(D19:D54,C58)+COUNTIF(D19:D54,""),"")-D57</f>
        <v>8</v>
      </c>
      <c r="E58" s="219">
        <f>IFERROR(COUNTIF(E19:E54,C58)+COUNTIF(E19:E54,""),"")-E57</f>
        <v>8</v>
      </c>
      <c r="F58" s="219">
        <f>IFERROR(COUNTIF(F19:F54,C58)+COUNTIF(F19:F54,""),"")-F57</f>
        <v>9</v>
      </c>
      <c r="G58" s="219">
        <f>IFERROR(COUNTIF(G19:G54,C58)+COUNTIF(G19:G54,""),"")-G57</f>
        <v>18</v>
      </c>
      <c r="H58" s="219">
        <f>IFERROR(COUNTIF(H19:H54,C58)+COUNTIF(H19:H54,""),"")-H57</f>
        <v>18</v>
      </c>
      <c r="I58" s="159">
        <f>IFERROR(COUNTIF(I19:I54,C58)+COUNTIF(I19:I54,""),"")-I57</f>
        <v>7</v>
      </c>
    </row>
    <row r="59" spans="1:10" s="104" customFormat="1" ht="13" thickBot="1">
      <c r="C59" s="118" t="s">
        <v>98</v>
      </c>
      <c r="D59" s="213">
        <f>IFERROR(COUNTIF(D19:D54,C59)-D58,"")</f>
        <v>14</v>
      </c>
      <c r="E59" s="213">
        <f>IFERROR(COUNTIF(E19:E54,C59)-E58,"")</f>
        <v>14</v>
      </c>
      <c r="F59" s="213">
        <f>IFERROR(COUNTIF(F19:F54,$C$59)-F58,"")</f>
        <v>16</v>
      </c>
      <c r="G59" s="213">
        <f t="shared" ref="G59:H59" si="3">IFERROR(COUNTIF(G19:G54,$C$59)-G58,"")</f>
        <v>13</v>
      </c>
      <c r="H59" s="213">
        <f t="shared" si="3"/>
        <v>13</v>
      </c>
      <c r="I59" s="120">
        <f>IFERROR(COUNTIF(I19:I54,C59)-I58,"")</f>
        <v>13</v>
      </c>
    </row>
    <row r="60" spans="1:10" s="104" customFormat="1" ht="13" thickBot="1">
      <c r="C60" s="121" t="s">
        <v>99</v>
      </c>
      <c r="D60" s="214">
        <f>COUNTIF(D19:D54,$C$60)</f>
        <v>12</v>
      </c>
      <c r="E60" s="214">
        <f t="shared" ref="E60:H60" si="4">COUNTIF(E19:E54,$C$60)</f>
        <v>12</v>
      </c>
      <c r="F60" s="214">
        <f t="shared" si="4"/>
        <v>9</v>
      </c>
      <c r="G60" s="214">
        <f t="shared" si="4"/>
        <v>3</v>
      </c>
      <c r="H60" s="214">
        <f t="shared" si="4"/>
        <v>3</v>
      </c>
      <c r="I60" s="122">
        <f>IFERROR(COUNTIF(I19:I54,C60),"")</f>
        <v>14</v>
      </c>
    </row>
    <row r="61" spans="1:10" s="104" customFormat="1" ht="13" thickBot="1">
      <c r="C61" s="123" t="s">
        <v>77</v>
      </c>
      <c r="D61" s="215">
        <f>SUM(D57:D60)</f>
        <v>36</v>
      </c>
      <c r="E61" s="215">
        <f t="shared" ref="E61:H61" si="5">SUM(E57:E60)</f>
        <v>36</v>
      </c>
      <c r="F61" s="215">
        <f t="shared" si="5"/>
        <v>36</v>
      </c>
      <c r="G61" s="215">
        <f t="shared" si="5"/>
        <v>36</v>
      </c>
      <c r="H61" s="215">
        <f t="shared" si="5"/>
        <v>36</v>
      </c>
      <c r="I61" s="124">
        <f t="shared" ref="I61" si="6">SUM(I57:I60)</f>
        <v>36</v>
      </c>
    </row>
    <row r="62" spans="1:10" s="104" customFormat="1" ht="13" thickBot="1">
      <c r="C62" s="125"/>
      <c r="D62" s="207"/>
      <c r="E62" s="207"/>
      <c r="F62" s="207"/>
      <c r="G62" s="207"/>
      <c r="H62" s="207"/>
      <c r="I62" s="114"/>
    </row>
    <row r="63" spans="1:10" s="104" customFormat="1" ht="13" thickBot="1">
      <c r="C63" s="126" t="s">
        <v>100</v>
      </c>
      <c r="D63" s="216">
        <f>(D59+D60)/(D61-D57)</f>
        <v>0.76470588235294112</v>
      </c>
      <c r="E63" s="216"/>
      <c r="F63" s="216"/>
      <c r="G63" s="216"/>
      <c r="H63" s="216">
        <f>(H59+H60)/(H61-H57)</f>
        <v>0.47058823529411764</v>
      </c>
      <c r="I63" s="127">
        <f>(I59+I60)/(I61-I57)</f>
        <v>0.79411764705882348</v>
      </c>
    </row>
    <row r="64" spans="1:10" s="104" customFormat="1" ht="13" thickBot="1">
      <c r="C64" s="125"/>
      <c r="D64" s="207"/>
      <c r="E64" s="207"/>
      <c r="F64" s="207"/>
      <c r="G64" s="207"/>
      <c r="H64" s="207"/>
      <c r="I64" s="114"/>
    </row>
    <row r="65" spans="3:9" s="104" customFormat="1" ht="13" thickBot="1">
      <c r="C65" s="126" t="s">
        <v>101</v>
      </c>
      <c r="D65" s="217">
        <f>MIN(D19:D54)</f>
        <v>12.5</v>
      </c>
      <c r="E65" s="217"/>
      <c r="F65" s="217"/>
      <c r="G65" s="217"/>
      <c r="H65" s="217">
        <f>MIN(H19:H54)</f>
        <v>2.0699999999999998</v>
      </c>
      <c r="I65" s="128">
        <f>IFERROR(MIN(I19:I54),"")</f>
        <v>12.513</v>
      </c>
    </row>
    <row r="66" spans="3:9" s="104" customFormat="1" ht="13" thickBot="1">
      <c r="C66" s="126" t="s">
        <v>102</v>
      </c>
      <c r="D66" s="217">
        <f>MAX(D19:D37)</f>
        <v>92.5</v>
      </c>
      <c r="E66" s="217"/>
      <c r="F66" s="217"/>
      <c r="G66" s="217"/>
      <c r="H66" s="217">
        <f>MAX(H19:H54)</f>
        <v>90.04</v>
      </c>
      <c r="I66" s="128">
        <f>IFERROR(MAX(I19:I54),"")</f>
        <v>105.21240000000002</v>
      </c>
    </row>
    <row r="67" spans="3:9" s="104" customFormat="1" ht="13" thickBot="1">
      <c r="C67" s="126" t="s">
        <v>103</v>
      </c>
      <c r="D67" s="218">
        <f>AVERAGE(D19:D54)</f>
        <v>73.171764705882367</v>
      </c>
      <c r="E67" s="218"/>
      <c r="F67" s="218"/>
      <c r="G67" s="218"/>
      <c r="H67" s="218">
        <f>AVERAGE(H19:H54)</f>
        <v>60.927352941176466</v>
      </c>
      <c r="I67" s="129">
        <f>IFERROR(AVERAGE(I19:I54),"")</f>
        <v>77.539967647058816</v>
      </c>
    </row>
  </sheetData>
  <mergeCells count="9">
    <mergeCell ref="A1:K1"/>
    <mergeCell ref="A2:K2"/>
    <mergeCell ref="D12:H12"/>
    <mergeCell ref="I12:I17"/>
    <mergeCell ref="J12:J17"/>
    <mergeCell ref="D13:H13"/>
    <mergeCell ref="D14:H14"/>
    <mergeCell ref="G4:H4"/>
    <mergeCell ref="G5:H5"/>
  </mergeCells>
  <phoneticPr fontId="21" type="noConversion"/>
  <printOptions horizontalCentered="1"/>
  <pageMargins left="0.19685039370078741" right="0.11811023622047245" top="0.15748031496062992" bottom="0.15748031496062992" header="0" footer="0"/>
  <pageSetup paperSize="9" scale="8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32041-C74A-47E8-90FF-E348C56994EA}">
  <dimension ref="A1:W68"/>
  <sheetViews>
    <sheetView view="pageBreakPreview" zoomScaleNormal="100" zoomScaleSheetLayoutView="100" workbookViewId="0">
      <selection activeCell="D57" sqref="D57:F57"/>
    </sheetView>
  </sheetViews>
  <sheetFormatPr defaultRowHeight="14"/>
  <cols>
    <col min="1" max="1" width="4" customWidth="1"/>
    <col min="2" max="2" width="12.83203125" customWidth="1"/>
    <col min="3" max="3" width="32.6640625" customWidth="1"/>
    <col min="4" max="6" width="7.83203125" customWidth="1"/>
    <col min="7" max="7" width="8" customWidth="1"/>
    <col min="10" max="10" width="13" customWidth="1"/>
  </cols>
  <sheetData>
    <row r="1" spans="1:23" ht="18">
      <c r="A1" s="236" t="s">
        <v>78</v>
      </c>
      <c r="B1" s="236"/>
      <c r="C1" s="236"/>
      <c r="D1" s="236"/>
      <c r="E1" s="236"/>
      <c r="F1" s="236"/>
      <c r="G1" s="236"/>
      <c r="H1" s="236"/>
      <c r="I1" s="236"/>
      <c r="J1" s="32"/>
    </row>
    <row r="2" spans="1:23" ht="18.5" thickBot="1">
      <c r="A2" s="237" t="s">
        <v>79</v>
      </c>
      <c r="B2" s="237"/>
      <c r="C2" s="237"/>
      <c r="D2" s="237"/>
      <c r="E2" s="237"/>
      <c r="F2" s="237"/>
      <c r="G2" s="237"/>
      <c r="H2" s="237"/>
      <c r="I2" s="237"/>
      <c r="J2" s="32"/>
    </row>
    <row r="4" spans="1:23">
      <c r="A4" t="s">
        <v>80</v>
      </c>
      <c r="C4" t="s">
        <v>81</v>
      </c>
      <c r="F4" t="s">
        <v>82</v>
      </c>
      <c r="G4" t="s">
        <v>253</v>
      </c>
    </row>
    <row r="5" spans="1:23">
      <c r="A5" t="s">
        <v>41</v>
      </c>
      <c r="C5" s="33" t="s">
        <v>319</v>
      </c>
      <c r="D5" s="33"/>
      <c r="F5" t="s">
        <v>84</v>
      </c>
      <c r="G5" t="s">
        <v>254</v>
      </c>
    </row>
    <row r="6" spans="1:23">
      <c r="A6" t="s">
        <v>42</v>
      </c>
      <c r="C6" t="s">
        <v>318</v>
      </c>
    </row>
    <row r="7" spans="1:23">
      <c r="A7" t="s">
        <v>86</v>
      </c>
      <c r="C7" t="s">
        <v>87</v>
      </c>
    </row>
    <row r="8" spans="1:23">
      <c r="A8" t="s">
        <v>88</v>
      </c>
      <c r="C8" t="s">
        <v>89</v>
      </c>
    </row>
    <row r="9" spans="1:23">
      <c r="A9" t="s">
        <v>90</v>
      </c>
      <c r="C9" t="s">
        <v>327</v>
      </c>
    </row>
    <row r="10" spans="1:23">
      <c r="C10" t="s">
        <v>329</v>
      </c>
    </row>
    <row r="11" spans="1:23">
      <c r="C11" s="34"/>
      <c r="D11" s="34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</row>
    <row r="12" spans="1:23" s="104" customFormat="1" ht="12.5">
      <c r="C12" s="105"/>
      <c r="D12" s="243" t="s">
        <v>309</v>
      </c>
      <c r="E12" s="243"/>
      <c r="F12" s="243"/>
      <c r="G12" s="240" t="s">
        <v>91</v>
      </c>
      <c r="H12" s="240" t="s">
        <v>92</v>
      </c>
    </row>
    <row r="13" spans="1:23" s="104" customFormat="1" ht="12.5">
      <c r="C13" s="105"/>
      <c r="D13" s="243" t="str">
        <f>TRIM(MID(C5,3,100))</f>
        <v>P.24.01.52.2.07</v>
      </c>
      <c r="E13" s="243"/>
      <c r="F13" s="243"/>
      <c r="G13" s="241"/>
      <c r="H13" s="241"/>
    </row>
    <row r="14" spans="1:23" s="104" customFormat="1" ht="12.5">
      <c r="C14" s="105"/>
      <c r="D14" s="243" t="str">
        <f>TRIM(MID(C6,3,100))</f>
        <v>Perpajakan 2</v>
      </c>
      <c r="E14" s="243"/>
      <c r="F14" s="243"/>
      <c r="G14" s="241"/>
      <c r="H14" s="241"/>
    </row>
    <row r="15" spans="1:23" s="104" customFormat="1" ht="12.5">
      <c r="C15" s="105"/>
      <c r="D15" s="135" t="s">
        <v>120</v>
      </c>
      <c r="E15" s="106" t="s">
        <v>120</v>
      </c>
      <c r="F15" s="106" t="s">
        <v>147</v>
      </c>
      <c r="G15" s="241"/>
      <c r="H15" s="241"/>
    </row>
    <row r="16" spans="1:23" s="104" customFormat="1" ht="12.5">
      <c r="C16" s="105"/>
      <c r="D16" s="135" t="s">
        <v>123</v>
      </c>
      <c r="E16" s="106" t="s">
        <v>259</v>
      </c>
      <c r="F16" s="106" t="s">
        <v>167</v>
      </c>
      <c r="G16" s="241"/>
      <c r="H16" s="241"/>
    </row>
    <row r="17" spans="1:9" s="104" customFormat="1" ht="12.5">
      <c r="C17" s="105"/>
      <c r="D17" s="135">
        <v>16</v>
      </c>
      <c r="E17" s="106">
        <v>45</v>
      </c>
      <c r="F17" s="106">
        <v>39</v>
      </c>
      <c r="G17" s="242"/>
      <c r="H17" s="242"/>
    </row>
    <row r="18" spans="1:9" s="136" customFormat="1" ht="13">
      <c r="A18" s="107" t="s">
        <v>0</v>
      </c>
      <c r="B18" s="107" t="s">
        <v>1</v>
      </c>
      <c r="C18" s="107" t="s">
        <v>2</v>
      </c>
      <c r="D18" s="107"/>
      <c r="E18" s="107"/>
      <c r="F18" s="107"/>
      <c r="G18" s="107"/>
      <c r="H18" s="107"/>
      <c r="I18" s="137"/>
    </row>
    <row r="19" spans="1:9" s="104" customFormat="1" ht="12.5">
      <c r="A19" s="108">
        <v>1</v>
      </c>
      <c r="B19" s="109" t="s">
        <v>187</v>
      </c>
      <c r="C19" s="109" t="s">
        <v>188</v>
      </c>
      <c r="D19" s="110">
        <v>71.88</v>
      </c>
      <c r="E19" s="110">
        <v>70.56</v>
      </c>
      <c r="F19" s="110">
        <v>75.64</v>
      </c>
      <c r="G19" s="110">
        <f>IFERROR((D19*($D$17/100))+(E19*($E$17/100))+(F19*($F$17/100)),"")</f>
        <v>72.752399999999994</v>
      </c>
      <c r="H19" s="110" t="str">
        <f>IFERROR(VLOOKUP(G19,[2]Sheet1!$AA$1:$AB$10,2),"")</f>
        <v>B</v>
      </c>
    </row>
    <row r="20" spans="1:9" s="104" customFormat="1" ht="12.5">
      <c r="A20" s="108">
        <v>2</v>
      </c>
      <c r="B20" s="109" t="s">
        <v>189</v>
      </c>
      <c r="C20" s="109" t="s">
        <v>190</v>
      </c>
      <c r="D20" s="110">
        <v>83.75</v>
      </c>
      <c r="E20" s="110">
        <v>80.22</v>
      </c>
      <c r="F20" s="110">
        <v>74.62</v>
      </c>
      <c r="G20" s="110">
        <f t="shared" ref="G20:G52" si="0">IFERROR((D20*($D$17/100))+(E20*($E$17/100))+(F20*($F$17/100)),"")</f>
        <v>78.600800000000007</v>
      </c>
      <c r="H20" s="110" t="str">
        <f>IFERROR(VLOOKUP(G20,[2]Sheet1!$AA$1:$AB$10,2),"")</f>
        <v>B+</v>
      </c>
    </row>
    <row r="21" spans="1:9" s="104" customFormat="1" ht="12.5">
      <c r="A21" s="108">
        <v>3</v>
      </c>
      <c r="B21" s="109" t="s">
        <v>191</v>
      </c>
      <c r="C21" s="109" t="s">
        <v>192</v>
      </c>
      <c r="D21" s="110">
        <v>68.75</v>
      </c>
      <c r="E21" s="110">
        <v>65.56</v>
      </c>
      <c r="F21" s="110">
        <v>67.95</v>
      </c>
      <c r="G21" s="110">
        <f t="shared" si="0"/>
        <v>67.002499999999998</v>
      </c>
      <c r="H21" s="110" t="str">
        <f>IFERROR(VLOOKUP(G21,[2]Sheet1!$AA$1:$AB$10,2),"")</f>
        <v>B-</v>
      </c>
    </row>
    <row r="22" spans="1:9" s="104" customFormat="1" ht="12.5">
      <c r="A22" s="108">
        <v>4</v>
      </c>
      <c r="B22" s="109" t="s">
        <v>193</v>
      </c>
      <c r="C22" s="109" t="s">
        <v>194</v>
      </c>
      <c r="D22" s="110">
        <v>67.5</v>
      </c>
      <c r="E22" s="110">
        <v>64.89</v>
      </c>
      <c r="F22" s="110">
        <v>67.95</v>
      </c>
      <c r="G22" s="110">
        <f t="shared" si="0"/>
        <v>66.501000000000005</v>
      </c>
      <c r="H22" s="110" t="str">
        <f>IFERROR(VLOOKUP(G22,[2]Sheet1!$AA$1:$AB$10,2),"")</f>
        <v>B-</v>
      </c>
    </row>
    <row r="23" spans="1:9" s="104" customFormat="1" ht="12.5">
      <c r="A23" s="108">
        <v>5</v>
      </c>
      <c r="B23" s="109" t="s">
        <v>195</v>
      </c>
      <c r="C23" s="109" t="s">
        <v>196</v>
      </c>
      <c r="D23" s="110">
        <v>68.75</v>
      </c>
      <c r="E23" s="110">
        <v>65.56</v>
      </c>
      <c r="F23" s="110">
        <v>67.95</v>
      </c>
      <c r="G23" s="110">
        <f t="shared" si="0"/>
        <v>67.002499999999998</v>
      </c>
      <c r="H23" s="110" t="str">
        <f>IFERROR(VLOOKUP(G23,[2]Sheet1!$AA$1:$AB$10,2),"")</f>
        <v>B-</v>
      </c>
    </row>
    <row r="24" spans="1:9" s="104" customFormat="1" ht="12.5">
      <c r="A24" s="108">
        <v>6</v>
      </c>
      <c r="B24" s="109" t="s">
        <v>197</v>
      </c>
      <c r="C24" s="109" t="s">
        <v>198</v>
      </c>
      <c r="D24" s="110">
        <v>80</v>
      </c>
      <c r="E24" s="110">
        <v>75.56</v>
      </c>
      <c r="F24" s="110">
        <v>68.209999999999994</v>
      </c>
      <c r="G24" s="110">
        <f t="shared" si="0"/>
        <v>73.403900000000007</v>
      </c>
      <c r="H24" s="110" t="str">
        <f>IFERROR(VLOOKUP(G24,[2]Sheet1!$AA$1:$AB$10,2),"")</f>
        <v>B</v>
      </c>
    </row>
    <row r="25" spans="1:9" s="104" customFormat="1" ht="12.5">
      <c r="A25" s="108">
        <v>7</v>
      </c>
      <c r="B25" s="109" t="s">
        <v>199</v>
      </c>
      <c r="C25" s="109" t="s">
        <v>200</v>
      </c>
      <c r="D25" s="110">
        <v>85.63</v>
      </c>
      <c r="E25" s="110">
        <v>86.78</v>
      </c>
      <c r="F25" s="110">
        <v>88.46</v>
      </c>
      <c r="G25" s="110">
        <f t="shared" si="0"/>
        <v>87.251200000000011</v>
      </c>
      <c r="H25" s="110" t="str">
        <f>IFERROR(VLOOKUP(G25,[2]Sheet1!$AA$1:$AB$10,2),"")</f>
        <v>A-</v>
      </c>
    </row>
    <row r="26" spans="1:9" s="104" customFormat="1" ht="12.5">
      <c r="A26" s="108">
        <v>8</v>
      </c>
      <c r="B26" s="109" t="s">
        <v>201</v>
      </c>
      <c r="C26" s="109" t="s">
        <v>202</v>
      </c>
      <c r="D26" s="110">
        <v>75</v>
      </c>
      <c r="E26" s="110">
        <v>71.11</v>
      </c>
      <c r="F26" s="110">
        <v>68.209999999999994</v>
      </c>
      <c r="G26" s="110">
        <f t="shared" si="0"/>
        <v>70.601399999999998</v>
      </c>
      <c r="H26" s="110" t="str">
        <f>IFERROR(VLOOKUP(G26,[2]Sheet1!$AA$1:$AB$10,2),"")</f>
        <v>B</v>
      </c>
    </row>
    <row r="27" spans="1:9" s="104" customFormat="1" ht="12.5">
      <c r="A27" s="108">
        <v>9</v>
      </c>
      <c r="B27" s="109" t="s">
        <v>203</v>
      </c>
      <c r="C27" s="109" t="s">
        <v>204</v>
      </c>
      <c r="D27" s="110">
        <v>78.13</v>
      </c>
      <c r="E27" s="110">
        <v>76.11</v>
      </c>
      <c r="F27" s="110">
        <v>74.36</v>
      </c>
      <c r="G27" s="110">
        <f t="shared" si="0"/>
        <v>75.750699999999995</v>
      </c>
      <c r="H27" s="110" t="str">
        <f>IFERROR(VLOOKUP(G27,[2]Sheet1!$AA$1:$AB$10,2),"")</f>
        <v>B+</v>
      </c>
    </row>
    <row r="28" spans="1:9" s="104" customFormat="1" ht="12.5">
      <c r="A28" s="108">
        <v>10</v>
      </c>
      <c r="B28" s="109" t="s">
        <v>205</v>
      </c>
      <c r="C28" s="109" t="s">
        <v>206</v>
      </c>
      <c r="D28" s="110">
        <v>82.5</v>
      </c>
      <c r="E28" s="110">
        <v>81.78</v>
      </c>
      <c r="F28" s="110">
        <v>85.26</v>
      </c>
      <c r="G28" s="110">
        <f t="shared" si="0"/>
        <v>83.252400000000009</v>
      </c>
      <c r="H28" s="110" t="str">
        <f>IFERROR(VLOOKUP(G28,[2]Sheet1!$AA$1:$AB$10,2),"")</f>
        <v>B+</v>
      </c>
    </row>
    <row r="29" spans="1:9" s="104" customFormat="1" ht="12.5">
      <c r="A29" s="108">
        <v>11</v>
      </c>
      <c r="B29" s="109" t="s">
        <v>255</v>
      </c>
      <c r="C29" s="109" t="s">
        <v>256</v>
      </c>
      <c r="D29" s="110">
        <v>71.88</v>
      </c>
      <c r="E29" s="110">
        <v>55</v>
      </c>
      <c r="F29" s="110">
        <v>10.26</v>
      </c>
      <c r="G29" s="110">
        <f t="shared" si="0"/>
        <v>40.252200000000002</v>
      </c>
      <c r="H29" s="110" t="str">
        <f>IFERROR(VLOOKUP(G29,[2]Sheet1!$AA$1:$AB$10,2),"")</f>
        <v>E</v>
      </c>
    </row>
    <row r="30" spans="1:9" s="104" customFormat="1" ht="12.5">
      <c r="A30" s="108">
        <v>12</v>
      </c>
      <c r="B30" s="109" t="s">
        <v>207</v>
      </c>
      <c r="C30" s="109" t="s">
        <v>208</v>
      </c>
      <c r="D30" s="110">
        <v>82.5</v>
      </c>
      <c r="E30" s="110">
        <v>81.78</v>
      </c>
      <c r="F30" s="110">
        <v>85.26</v>
      </c>
      <c r="G30" s="110">
        <f t="shared" si="0"/>
        <v>83.252400000000009</v>
      </c>
      <c r="H30" s="110" t="str">
        <f>IFERROR(VLOOKUP(G30,[2]Sheet1!$AA$1:$AB$10,2),"")</f>
        <v>B+</v>
      </c>
    </row>
    <row r="31" spans="1:9" s="104" customFormat="1" ht="12.5">
      <c r="A31" s="108">
        <v>13</v>
      </c>
      <c r="B31" s="109" t="s">
        <v>209</v>
      </c>
      <c r="C31" s="109" t="s">
        <v>210</v>
      </c>
      <c r="D31" s="110">
        <v>56.13</v>
      </c>
      <c r="E31" s="110">
        <v>53.69</v>
      </c>
      <c r="F31" s="110">
        <v>46.82</v>
      </c>
      <c r="G31" s="110">
        <f t="shared" si="0"/>
        <v>51.4011</v>
      </c>
      <c r="H31" s="110" t="str">
        <f>IFERROR(VLOOKUP(G31,[2]Sheet1!$AA$1:$AB$10,2),"")</f>
        <v>C-</v>
      </c>
    </row>
    <row r="32" spans="1:9" s="104" customFormat="1" ht="12.5">
      <c r="A32" s="108">
        <v>14</v>
      </c>
      <c r="B32" s="109" t="s">
        <v>211</v>
      </c>
      <c r="C32" s="109" t="s">
        <v>212</v>
      </c>
      <c r="D32" s="110">
        <v>82.5</v>
      </c>
      <c r="E32" s="110">
        <v>79.56</v>
      </c>
      <c r="F32" s="110">
        <v>76.28</v>
      </c>
      <c r="G32" s="110">
        <f t="shared" si="0"/>
        <v>78.751200000000011</v>
      </c>
      <c r="H32" s="110" t="str">
        <f>IFERROR(VLOOKUP(G32,[2]Sheet1!$AA$1:$AB$10,2),"")</f>
        <v>B+</v>
      </c>
    </row>
    <row r="33" spans="1:8" s="104" customFormat="1" ht="12.5">
      <c r="A33" s="108">
        <v>15</v>
      </c>
      <c r="B33" s="109" t="s">
        <v>213</v>
      </c>
      <c r="C33" s="109" t="s">
        <v>214</v>
      </c>
      <c r="D33" s="110">
        <v>78.13</v>
      </c>
      <c r="E33" s="110">
        <v>79.44</v>
      </c>
      <c r="F33" s="110">
        <v>84.87</v>
      </c>
      <c r="G33" s="110">
        <f t="shared" si="0"/>
        <v>81.348099999999988</v>
      </c>
      <c r="H33" s="110" t="str">
        <f>IFERROR(VLOOKUP(G33,[2]Sheet1!$AA$1:$AB$10,2),"")</f>
        <v>B+</v>
      </c>
    </row>
    <row r="34" spans="1:8" s="104" customFormat="1" ht="12.5">
      <c r="A34" s="108">
        <v>16</v>
      </c>
      <c r="B34" s="109" t="s">
        <v>215</v>
      </c>
      <c r="C34" s="109" t="s">
        <v>216</v>
      </c>
      <c r="D34" s="110">
        <v>79.38</v>
      </c>
      <c r="E34" s="110">
        <v>77.89</v>
      </c>
      <c r="F34" s="110">
        <v>78.459999999999994</v>
      </c>
      <c r="G34" s="110">
        <f t="shared" si="0"/>
        <v>78.350700000000003</v>
      </c>
      <c r="H34" s="110" t="str">
        <f>IFERROR(VLOOKUP(G34,[2]Sheet1!$AA$1:$AB$10,2),"")</f>
        <v>B+</v>
      </c>
    </row>
    <row r="35" spans="1:8" s="104" customFormat="1" ht="12.5">
      <c r="A35" s="108">
        <v>17</v>
      </c>
      <c r="B35" s="109" t="s">
        <v>217</v>
      </c>
      <c r="C35" s="109" t="s">
        <v>218</v>
      </c>
      <c r="D35" s="110">
        <v>78.13</v>
      </c>
      <c r="E35" s="110">
        <v>78.33</v>
      </c>
      <c r="F35" s="110">
        <v>81.03</v>
      </c>
      <c r="G35" s="110">
        <f t="shared" si="0"/>
        <v>79.350999999999999</v>
      </c>
      <c r="H35" s="110" t="str">
        <f>IFERROR(VLOOKUP(G35,[2]Sheet1!$AA$1:$AB$10,2),"")</f>
        <v>B+</v>
      </c>
    </row>
    <row r="36" spans="1:8" s="104" customFormat="1" ht="12.5">
      <c r="A36" s="108">
        <v>18</v>
      </c>
      <c r="B36" s="109" t="s">
        <v>219</v>
      </c>
      <c r="C36" s="109" t="s">
        <v>220</v>
      </c>
      <c r="D36" s="110">
        <v>75</v>
      </c>
      <c r="E36" s="110">
        <v>74.44</v>
      </c>
      <c r="F36" s="110">
        <v>78.849999999999994</v>
      </c>
      <c r="G36" s="110">
        <f t="shared" si="0"/>
        <v>76.249499999999998</v>
      </c>
      <c r="H36" s="110" t="str">
        <f>IFERROR(VLOOKUP(G36,[2]Sheet1!$AA$1:$AB$10,2),"")</f>
        <v>B+</v>
      </c>
    </row>
    <row r="37" spans="1:8" s="104" customFormat="1" ht="12.5">
      <c r="A37" s="108">
        <v>19</v>
      </c>
      <c r="B37" s="109" t="s">
        <v>221</v>
      </c>
      <c r="C37" s="109" t="s">
        <v>222</v>
      </c>
      <c r="D37" s="110">
        <v>77.5</v>
      </c>
      <c r="E37" s="110">
        <v>75.11</v>
      </c>
      <c r="F37" s="110">
        <v>74.62</v>
      </c>
      <c r="G37" s="110">
        <f t="shared" si="0"/>
        <v>75.301299999999998</v>
      </c>
      <c r="H37" s="110" t="str">
        <f>IFERROR(VLOOKUP(G37,[2]Sheet1!$AA$1:$AB$10,2),"")</f>
        <v>B</v>
      </c>
    </row>
    <row r="38" spans="1:8" s="104" customFormat="1" ht="12.5">
      <c r="A38" s="108">
        <v>20</v>
      </c>
      <c r="B38" s="109" t="s">
        <v>223</v>
      </c>
      <c r="C38" s="109" t="s">
        <v>224</v>
      </c>
      <c r="D38" s="110">
        <v>68.75</v>
      </c>
      <c r="E38" s="110">
        <v>69.56</v>
      </c>
      <c r="F38" s="110">
        <v>79.489999999999995</v>
      </c>
      <c r="G38" s="110">
        <f t="shared" si="0"/>
        <v>73.303100000000001</v>
      </c>
      <c r="H38" s="110" t="str">
        <f>IFERROR(VLOOKUP(G38,[2]Sheet1!$AA$1:$AB$10,2),"")</f>
        <v>B</v>
      </c>
    </row>
    <row r="39" spans="1:8" s="104" customFormat="1" ht="12.5">
      <c r="A39" s="108">
        <v>21</v>
      </c>
      <c r="B39" s="109" t="s">
        <v>225</v>
      </c>
      <c r="C39" s="109" t="s">
        <v>226</v>
      </c>
      <c r="D39" s="110">
        <v>68.75</v>
      </c>
      <c r="E39" s="110">
        <v>65.56</v>
      </c>
      <c r="F39" s="110">
        <v>64.099999999999994</v>
      </c>
      <c r="G39" s="110">
        <f t="shared" si="0"/>
        <v>65.501000000000005</v>
      </c>
      <c r="H39" s="110" t="str">
        <f>IFERROR(VLOOKUP(G39,[2]Sheet1!$AA$1:$AB$10,2),"")</f>
        <v>B-</v>
      </c>
    </row>
    <row r="40" spans="1:8" s="104" customFormat="1" ht="12.5">
      <c r="A40" s="108">
        <v>22</v>
      </c>
      <c r="B40" s="109" t="s">
        <v>227</v>
      </c>
      <c r="C40" s="109" t="s">
        <v>228</v>
      </c>
      <c r="D40" s="110">
        <v>81.25</v>
      </c>
      <c r="E40" s="110">
        <v>81.11</v>
      </c>
      <c r="F40" s="110">
        <v>81.03</v>
      </c>
      <c r="G40" s="110">
        <f t="shared" si="0"/>
        <v>81.101200000000006</v>
      </c>
      <c r="H40" s="110" t="str">
        <f>IFERROR(VLOOKUP(G40,[2]Sheet1!$AA$1:$AB$10,2),"")</f>
        <v>B+</v>
      </c>
    </row>
    <row r="41" spans="1:8" s="104" customFormat="1" ht="12.5">
      <c r="A41" s="108">
        <v>23</v>
      </c>
      <c r="B41" s="109" t="s">
        <v>229</v>
      </c>
      <c r="C41" s="109" t="s">
        <v>230</v>
      </c>
      <c r="D41" s="110">
        <v>75</v>
      </c>
      <c r="E41" s="110">
        <v>73.33</v>
      </c>
      <c r="F41" s="110">
        <v>75</v>
      </c>
      <c r="G41" s="110">
        <f t="shared" si="0"/>
        <v>74.248500000000007</v>
      </c>
      <c r="H41" s="110" t="str">
        <f>IFERROR(VLOOKUP(G41,[2]Sheet1!$AA$1:$AB$10,2),"")</f>
        <v>B</v>
      </c>
    </row>
    <row r="42" spans="1:8" s="104" customFormat="1">
      <c r="A42" s="108">
        <v>24</v>
      </c>
      <c r="B42" s="4" t="s">
        <v>293</v>
      </c>
      <c r="C42" s="4" t="s">
        <v>294</v>
      </c>
      <c r="D42" s="110">
        <v>75</v>
      </c>
      <c r="E42" s="110">
        <v>73.33</v>
      </c>
      <c r="F42" s="110">
        <v>74.62</v>
      </c>
      <c r="G42" s="110">
        <f t="shared" si="0"/>
        <v>74.100300000000004</v>
      </c>
      <c r="H42" s="110" t="str">
        <f>IFERROR(VLOOKUP(G42,[2]Sheet1!$AA$1:$AB$10,2),"")</f>
        <v>B</v>
      </c>
    </row>
    <row r="43" spans="1:8" s="104" customFormat="1">
      <c r="A43" s="108">
        <v>25</v>
      </c>
      <c r="B43" s="4" t="s">
        <v>291</v>
      </c>
      <c r="C43" s="4" t="s">
        <v>292</v>
      </c>
      <c r="D43" s="110">
        <v>66.25</v>
      </c>
      <c r="E43" s="110">
        <v>68.67</v>
      </c>
      <c r="F43" s="110">
        <v>81.03</v>
      </c>
      <c r="G43" s="110">
        <f t="shared" si="0"/>
        <v>73.103200000000001</v>
      </c>
      <c r="H43" s="110" t="str">
        <f>IFERROR(VLOOKUP(G43,[2]Sheet1!$AA$1:$AB$10,2),"")</f>
        <v>B</v>
      </c>
    </row>
    <row r="44" spans="1:8" s="104" customFormat="1">
      <c r="A44" s="108">
        <v>26</v>
      </c>
      <c r="B44" s="109" t="s">
        <v>231</v>
      </c>
      <c r="C44" s="109" t="s">
        <v>257</v>
      </c>
      <c r="D44" s="37">
        <v>83.75</v>
      </c>
      <c r="E44" s="37">
        <v>83.14</v>
      </c>
      <c r="F44" s="37">
        <v>82.69</v>
      </c>
      <c r="G44" s="110">
        <f t="shared" si="0"/>
        <v>83.062100000000001</v>
      </c>
      <c r="H44" s="110" t="str">
        <f>IFERROR(VLOOKUP(G44,[2]Sheet1!$AA$1:$AB$10,2),"")</f>
        <v>B+</v>
      </c>
    </row>
    <row r="45" spans="1:8" s="104" customFormat="1">
      <c r="A45" s="108">
        <v>27</v>
      </c>
      <c r="B45" s="109" t="s">
        <v>233</v>
      </c>
      <c r="C45" s="109" t="s">
        <v>234</v>
      </c>
      <c r="D45" s="37">
        <v>90</v>
      </c>
      <c r="E45" s="37">
        <v>90.29</v>
      </c>
      <c r="F45" s="37">
        <v>82.69</v>
      </c>
      <c r="G45" s="110">
        <f t="shared" si="0"/>
        <v>87.279600000000002</v>
      </c>
      <c r="H45" s="110" t="str">
        <f>IFERROR(VLOOKUP(G45,[2]Sheet1!$AA$1:$AB$10,2),"")</f>
        <v>A-</v>
      </c>
    </row>
    <row r="46" spans="1:8" s="104" customFormat="1">
      <c r="A46" s="108">
        <v>28</v>
      </c>
      <c r="B46" s="109" t="s">
        <v>235</v>
      </c>
      <c r="C46" s="109" t="s">
        <v>236</v>
      </c>
      <c r="D46" s="37">
        <v>77.5</v>
      </c>
      <c r="E46" s="37">
        <v>76</v>
      </c>
      <c r="F46" s="37">
        <v>82.69</v>
      </c>
      <c r="G46" s="110">
        <f t="shared" si="0"/>
        <v>78.849099999999993</v>
      </c>
      <c r="H46" s="110" t="str">
        <f>IFERROR(VLOOKUP(G46,[2]Sheet1!$AA$1:$AB$10,2),"")</f>
        <v>B+</v>
      </c>
    </row>
    <row r="47" spans="1:8" s="104" customFormat="1">
      <c r="A47" s="108">
        <v>29</v>
      </c>
      <c r="B47" s="109" t="s">
        <v>237</v>
      </c>
      <c r="C47" s="109" t="s">
        <v>238</v>
      </c>
      <c r="D47" s="37">
        <v>90</v>
      </c>
      <c r="E47" s="37">
        <v>90.29</v>
      </c>
      <c r="F47" s="37">
        <v>82.69</v>
      </c>
      <c r="G47" s="110">
        <f t="shared" si="0"/>
        <v>87.279600000000002</v>
      </c>
      <c r="H47" s="110" t="str">
        <f>IFERROR(VLOOKUP(G47,[2]Sheet1!$AA$1:$AB$10,2),"")</f>
        <v>A-</v>
      </c>
    </row>
    <row r="48" spans="1:8" s="104" customFormat="1">
      <c r="A48" s="108">
        <v>30</v>
      </c>
      <c r="B48" s="109" t="s">
        <v>239</v>
      </c>
      <c r="C48" s="109" t="s">
        <v>240</v>
      </c>
      <c r="D48" s="37">
        <v>90</v>
      </c>
      <c r="E48" s="37">
        <v>90.29</v>
      </c>
      <c r="F48" s="37">
        <v>31.41</v>
      </c>
      <c r="G48" s="110">
        <f t="shared" si="0"/>
        <v>67.2804</v>
      </c>
      <c r="H48" s="110" t="str">
        <f>IFERROR(VLOOKUP(G48,[2]Sheet1!$AA$1:$AB$10,2),"")</f>
        <v>B-</v>
      </c>
    </row>
    <row r="49" spans="1:8" s="104" customFormat="1">
      <c r="A49" s="108">
        <v>31</v>
      </c>
      <c r="B49" s="109" t="s">
        <v>241</v>
      </c>
      <c r="C49" s="109" t="s">
        <v>242</v>
      </c>
      <c r="D49" s="37">
        <v>90</v>
      </c>
      <c r="E49" s="37">
        <v>90.29</v>
      </c>
      <c r="F49" s="37">
        <v>82.69</v>
      </c>
      <c r="G49" s="110">
        <f t="shared" si="0"/>
        <v>87.279600000000002</v>
      </c>
      <c r="H49" s="110" t="str">
        <f>IFERROR(VLOOKUP(G49,[2]Sheet1!$AA$1:$AB$10,2),"")</f>
        <v>A-</v>
      </c>
    </row>
    <row r="50" spans="1:8" s="104" customFormat="1">
      <c r="A50" s="108">
        <v>32</v>
      </c>
      <c r="B50" s="109" t="s">
        <v>243</v>
      </c>
      <c r="C50" s="109" t="s">
        <v>244</v>
      </c>
      <c r="D50" s="37">
        <v>90</v>
      </c>
      <c r="E50" s="37">
        <v>90.29</v>
      </c>
      <c r="F50" s="37">
        <v>82.69</v>
      </c>
      <c r="G50" s="110">
        <f t="shared" si="0"/>
        <v>87.279600000000002</v>
      </c>
      <c r="H50" s="110" t="str">
        <f>IFERROR(VLOOKUP(G50,[2]Sheet1!$AA$1:$AB$10,2),"")</f>
        <v>A-</v>
      </c>
    </row>
    <row r="51" spans="1:8" s="104" customFormat="1">
      <c r="A51" s="108">
        <v>33</v>
      </c>
      <c r="B51" s="109" t="s">
        <v>245</v>
      </c>
      <c r="C51" s="109" t="s">
        <v>246</v>
      </c>
      <c r="D51" s="37">
        <v>90</v>
      </c>
      <c r="E51" s="37">
        <v>90.29</v>
      </c>
      <c r="F51" s="37">
        <v>82.05</v>
      </c>
      <c r="G51" s="110">
        <f t="shared" si="0"/>
        <v>87.03</v>
      </c>
      <c r="H51" s="110" t="str">
        <f>IFERROR(VLOOKUP(G51,[2]Sheet1!$AA$1:$AB$10,2),"")</f>
        <v>A-</v>
      </c>
    </row>
    <row r="52" spans="1:8" s="104" customFormat="1">
      <c r="A52" s="108">
        <v>34</v>
      </c>
      <c r="B52" s="109" t="s">
        <v>247</v>
      </c>
      <c r="C52" s="109" t="s">
        <v>248</v>
      </c>
      <c r="D52" s="37">
        <v>90</v>
      </c>
      <c r="E52" s="37">
        <v>90.29</v>
      </c>
      <c r="F52" s="37">
        <v>82.69</v>
      </c>
      <c r="G52" s="110">
        <f t="shared" si="0"/>
        <v>87.279600000000002</v>
      </c>
      <c r="H52" s="110" t="str">
        <f>IFERROR(VLOOKUP(G52,[2]Sheet1!$AA$1:$AB$10,2),"")</f>
        <v>A-</v>
      </c>
    </row>
    <row r="53" spans="1:8" s="104" customFormat="1">
      <c r="A53" s="108">
        <v>35</v>
      </c>
      <c r="B53" s="109" t="s">
        <v>249</v>
      </c>
      <c r="C53" s="109" t="s">
        <v>250</v>
      </c>
      <c r="D53" s="37"/>
      <c r="E53" s="37"/>
      <c r="F53" s="37"/>
      <c r="G53" s="110"/>
      <c r="H53" s="110"/>
    </row>
    <row r="54" spans="1:8" s="104" customFormat="1">
      <c r="A54" s="108">
        <v>36</v>
      </c>
      <c r="B54" s="109" t="s">
        <v>251</v>
      </c>
      <c r="C54" s="109" t="s">
        <v>252</v>
      </c>
      <c r="D54" s="37"/>
      <c r="E54" s="37"/>
      <c r="F54" s="37"/>
      <c r="G54" s="110"/>
      <c r="H54" s="110"/>
    </row>
    <row r="55" spans="1:8">
      <c r="A55" s="103"/>
      <c r="D55" s="133"/>
      <c r="E55" s="134"/>
      <c r="F55" s="134"/>
      <c r="G55" s="134"/>
      <c r="H55" s="134"/>
    </row>
    <row r="56" spans="1:8">
      <c r="C56" s="34"/>
      <c r="D56" s="34"/>
      <c r="E56" s="35"/>
      <c r="F56" s="35"/>
      <c r="G56" s="35"/>
    </row>
    <row r="57" spans="1:8" s="104" customFormat="1" ht="13" thickBot="1">
      <c r="C57" s="105"/>
      <c r="D57" s="114" t="str">
        <f>D16</f>
        <v>CPMK101</v>
      </c>
      <c r="E57" s="114" t="str">
        <f t="shared" ref="E57:F57" si="1">E16</f>
        <v>CPMK104</v>
      </c>
      <c r="F57" s="114" t="str">
        <f t="shared" si="1"/>
        <v>CPMK111</v>
      </c>
      <c r="G57" s="114" t="s">
        <v>324</v>
      </c>
    </row>
    <row r="58" spans="1:8" s="104" customFormat="1" ht="13" thickBot="1">
      <c r="C58" s="115" t="s">
        <v>184</v>
      </c>
      <c r="D58" s="116">
        <f>IFERROR(COUNTIF(D19:D54,""),"")</f>
        <v>2</v>
      </c>
      <c r="E58" s="116">
        <f t="shared" ref="E58:F58" si="2">IFERROR(COUNTIF(E19:E54,""),"")</f>
        <v>2</v>
      </c>
      <c r="F58" s="116">
        <f t="shared" si="2"/>
        <v>2</v>
      </c>
      <c r="G58" s="116">
        <f>IFERROR(COUNTIF(G19:G54,""),"")</f>
        <v>2</v>
      </c>
    </row>
    <row r="59" spans="1:8" s="157" customFormat="1" ht="13" thickBot="1">
      <c r="C59" s="158" t="s">
        <v>97</v>
      </c>
      <c r="D59" s="159">
        <f>IFERROR(COUNTIF(D19:D54,C59)+COUNTIF(D19:D54,""),"")-F58</f>
        <v>1</v>
      </c>
      <c r="E59" s="159">
        <f>IFERROR(COUNTIF(E19:E54,C59)+COUNTIF(E19:E54,""),"")-G58</f>
        <v>3</v>
      </c>
      <c r="F59" s="159">
        <f>IFERROR(COUNTIF(F19:F54,C59)+COUNTIF(F19:F54,""),"")-F58</f>
        <v>4</v>
      </c>
      <c r="G59" s="159">
        <f>IFERROR(COUNTIF(G19:G54,C59)+COUNTIF(G19:G54,""),"")-G58</f>
        <v>2</v>
      </c>
    </row>
    <row r="60" spans="1:8" s="104" customFormat="1" ht="13" thickBot="1">
      <c r="C60" s="118" t="s">
        <v>98</v>
      </c>
      <c r="D60" s="119">
        <f>IFERROR(COUNTIF(D19:D54,C60)-D59,"")</f>
        <v>25</v>
      </c>
      <c r="E60" s="119">
        <f>IFERROR(COUNTIF(E19:E54,C60)-E59,"")</f>
        <v>23</v>
      </c>
      <c r="F60" s="119">
        <f>IFERROR(COUNTIF(F19:F54,C60)-F59,"")</f>
        <v>27</v>
      </c>
      <c r="G60" s="120">
        <f>IFERROR(COUNTIF(G19:G54,C60)-G59,"")</f>
        <v>25</v>
      </c>
    </row>
    <row r="61" spans="1:8" s="104" customFormat="1" ht="13" thickBot="1">
      <c r="C61" s="121" t="s">
        <v>99</v>
      </c>
      <c r="D61" s="122">
        <f>COUNTIF(D19:D54,C61)</f>
        <v>8</v>
      </c>
      <c r="E61" s="122">
        <f>COUNTIF(D19:D54,C61)</f>
        <v>8</v>
      </c>
      <c r="F61" s="122">
        <f>IFERROR(COUNTIF(F19:F54,C61),"")</f>
        <v>3</v>
      </c>
      <c r="G61" s="122">
        <f>IFERROR(COUNTIF(G19:G54,C61),"")</f>
        <v>7</v>
      </c>
    </row>
    <row r="62" spans="1:8" s="104" customFormat="1" ht="13" thickBot="1">
      <c r="C62" s="123" t="s">
        <v>77</v>
      </c>
      <c r="D62" s="124">
        <f>SUM(D58:D61)</f>
        <v>36</v>
      </c>
      <c r="E62" s="124">
        <f>SUM(E58:E61)</f>
        <v>36</v>
      </c>
      <c r="F62" s="124">
        <f>SUM(F58:F61)</f>
        <v>36</v>
      </c>
      <c r="G62" s="124">
        <f t="shared" ref="G62" si="3">SUM(G58:G61)</f>
        <v>36</v>
      </c>
    </row>
    <row r="63" spans="1:8" s="104" customFormat="1" ht="13" thickBot="1">
      <c r="C63" s="125"/>
      <c r="D63" s="114"/>
    </row>
    <row r="64" spans="1:8" s="104" customFormat="1" ht="13" thickBot="1">
      <c r="C64" s="126" t="s">
        <v>100</v>
      </c>
      <c r="D64" s="127">
        <f>(D60+D61)/(D62-D58)</f>
        <v>0.97058823529411764</v>
      </c>
      <c r="E64" s="127">
        <f t="shared" ref="E64:G64" si="4">(E60+E61)/(E62-E58)</f>
        <v>0.91176470588235292</v>
      </c>
      <c r="F64" s="127">
        <f t="shared" si="4"/>
        <v>0.88235294117647056</v>
      </c>
      <c r="G64" s="127">
        <f t="shared" si="4"/>
        <v>0.94117647058823528</v>
      </c>
    </row>
    <row r="65" spans="3:7" s="104" customFormat="1" ht="13" thickBot="1">
      <c r="C65" s="125"/>
      <c r="D65" s="114"/>
    </row>
    <row r="66" spans="3:7" s="104" customFormat="1" ht="13" thickBot="1">
      <c r="C66" s="126" t="s">
        <v>101</v>
      </c>
      <c r="D66" s="129">
        <f>MIN(D19:D54)</f>
        <v>56.13</v>
      </c>
      <c r="E66" s="129">
        <f t="shared" ref="E66:F66" si="5">MIN(E19:E54)</f>
        <v>53.69</v>
      </c>
      <c r="F66" s="129">
        <f t="shared" si="5"/>
        <v>10.26</v>
      </c>
      <c r="G66" s="129">
        <f>IFERROR(MIN(G19:G54),"")</f>
        <v>40.252200000000002</v>
      </c>
    </row>
    <row r="67" spans="3:7" s="104" customFormat="1" ht="13" thickBot="1">
      <c r="C67" s="126" t="s">
        <v>102</v>
      </c>
      <c r="D67" s="129">
        <f>MAX(D19:D54)</f>
        <v>90</v>
      </c>
      <c r="E67" s="129">
        <f t="shared" ref="E67:F67" si="6">MAX(E19:E54)</f>
        <v>90.29</v>
      </c>
      <c r="F67" s="129">
        <f t="shared" si="6"/>
        <v>88.46</v>
      </c>
      <c r="G67" s="129">
        <f>IFERROR(MAX(G19:G54),"")</f>
        <v>87.279600000000002</v>
      </c>
    </row>
    <row r="68" spans="3:7" s="104" customFormat="1" ht="13" thickBot="1">
      <c r="C68" s="126" t="s">
        <v>103</v>
      </c>
      <c r="D68" s="129">
        <f>AVERAGE(D19:D54)</f>
        <v>78.508529411764712</v>
      </c>
      <c r="E68" s="129">
        <f t="shared" ref="E68:F68" si="7">AVERAGE(E19:E54)</f>
        <v>76.944117647058803</v>
      </c>
      <c r="F68" s="129">
        <f t="shared" si="7"/>
        <v>73.606470588235297</v>
      </c>
      <c r="G68" s="129">
        <f>IFERROR(AVERAGE(G19:G54),"")</f>
        <v>75.892741176470594</v>
      </c>
    </row>
  </sheetData>
  <mergeCells count="7">
    <mergeCell ref="A1:I1"/>
    <mergeCell ref="A2:I2"/>
    <mergeCell ref="G12:G17"/>
    <mergeCell ref="H12:H17"/>
    <mergeCell ref="D12:F12"/>
    <mergeCell ref="D13:F13"/>
    <mergeCell ref="D14:F14"/>
  </mergeCells>
  <printOptions horizontalCentered="1"/>
  <pageMargins left="0.19685039370078741" right="0.11811023622047245" top="0.19685039370078741" bottom="0.15748031496062992" header="0" footer="0"/>
  <pageSetup paperSize="9" scale="9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BFDD3-037F-4AD2-9867-87004BE6F4EA}">
  <sheetPr>
    <pageSetUpPr fitToPage="1"/>
  </sheetPr>
  <dimension ref="A1:W67"/>
  <sheetViews>
    <sheetView view="pageBreakPreview" zoomScale="90" zoomScaleNormal="100" zoomScaleSheetLayoutView="90" workbookViewId="0">
      <selection activeCell="B42" sqref="B42:C43"/>
    </sheetView>
  </sheetViews>
  <sheetFormatPr defaultRowHeight="14"/>
  <cols>
    <col min="1" max="1" width="4" customWidth="1"/>
    <col min="2" max="2" width="12.83203125" customWidth="1"/>
    <col min="3" max="3" width="35" customWidth="1"/>
    <col min="4" max="5" width="13.08203125" customWidth="1"/>
    <col min="6" max="6" width="15.25" customWidth="1"/>
    <col min="7" max="7" width="12.6640625" customWidth="1"/>
    <col min="10" max="10" width="13" customWidth="1"/>
  </cols>
  <sheetData>
    <row r="1" spans="1:23" ht="18">
      <c r="A1" s="236" t="s">
        <v>78</v>
      </c>
      <c r="B1" s="236"/>
      <c r="C1" s="236"/>
      <c r="D1" s="236"/>
      <c r="E1" s="236"/>
      <c r="F1" s="236"/>
      <c r="G1" s="236"/>
      <c r="H1" s="236"/>
      <c r="I1" s="236"/>
      <c r="J1" s="32"/>
    </row>
    <row r="2" spans="1:23" ht="18.5" thickBot="1">
      <c r="A2" s="237" t="s">
        <v>79</v>
      </c>
      <c r="B2" s="237"/>
      <c r="C2" s="237"/>
      <c r="D2" s="237"/>
      <c r="E2" s="237"/>
      <c r="F2" s="237"/>
      <c r="G2" s="237"/>
      <c r="H2" s="237"/>
      <c r="I2" s="237"/>
      <c r="J2" s="32"/>
    </row>
    <row r="4" spans="1:23">
      <c r="A4" t="s">
        <v>80</v>
      </c>
      <c r="C4" t="s">
        <v>81</v>
      </c>
      <c r="F4" t="s">
        <v>82</v>
      </c>
      <c r="G4" t="s">
        <v>253</v>
      </c>
    </row>
    <row r="5" spans="1:23">
      <c r="A5" t="s">
        <v>41</v>
      </c>
      <c r="C5" s="33" t="s">
        <v>320</v>
      </c>
      <c r="F5" t="s">
        <v>84</v>
      </c>
      <c r="G5" t="s">
        <v>254</v>
      </c>
    </row>
    <row r="6" spans="1:23">
      <c r="A6" t="s">
        <v>42</v>
      </c>
      <c r="C6" t="s">
        <v>328</v>
      </c>
    </row>
    <row r="7" spans="1:23">
      <c r="A7" t="s">
        <v>86</v>
      </c>
      <c r="C7" t="s">
        <v>87</v>
      </c>
    </row>
    <row r="8" spans="1:23">
      <c r="A8" t="s">
        <v>88</v>
      </c>
      <c r="C8" t="s">
        <v>89</v>
      </c>
    </row>
    <row r="9" spans="1:23">
      <c r="A9" t="s">
        <v>90</v>
      </c>
      <c r="C9" t="s">
        <v>330</v>
      </c>
    </row>
    <row r="10" spans="1:23">
      <c r="C10" t="s">
        <v>331</v>
      </c>
    </row>
    <row r="11" spans="1:23">
      <c r="C11" s="34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</row>
    <row r="12" spans="1:23">
      <c r="C12" s="34"/>
      <c r="D12" s="244" t="s">
        <v>310</v>
      </c>
      <c r="E12" s="245"/>
      <c r="F12" s="245"/>
      <c r="G12" s="246" t="s">
        <v>91</v>
      </c>
      <c r="H12" s="246" t="s">
        <v>92</v>
      </c>
    </row>
    <row r="13" spans="1:23">
      <c r="C13" s="34"/>
      <c r="D13" s="249" t="str">
        <f>TRIM(MID(C5,2,20))</f>
        <v>P.24.05.52.2.08</v>
      </c>
      <c r="E13" s="249"/>
      <c r="F13" s="249"/>
      <c r="G13" s="247"/>
      <c r="H13" s="247"/>
    </row>
    <row r="14" spans="1:23">
      <c r="C14" s="34"/>
      <c r="D14" s="250" t="str">
        <f>TRIM(MID(C6,2,100))</f>
        <v>Akuntansi Sektor Publik</v>
      </c>
      <c r="E14" s="251"/>
      <c r="F14" s="252"/>
      <c r="G14" s="247"/>
      <c r="H14" s="247"/>
    </row>
    <row r="15" spans="1:23">
      <c r="C15" s="34"/>
      <c r="D15" s="36" t="s">
        <v>117</v>
      </c>
      <c r="E15" s="192" t="s">
        <v>117</v>
      </c>
      <c r="F15" s="192" t="s">
        <v>117</v>
      </c>
      <c r="G15" s="247"/>
      <c r="H15" s="247"/>
    </row>
    <row r="16" spans="1:23">
      <c r="C16" s="34"/>
      <c r="D16" s="36" t="s">
        <v>332</v>
      </c>
      <c r="E16" s="192" t="s">
        <v>333</v>
      </c>
      <c r="F16" s="36" t="s">
        <v>334</v>
      </c>
      <c r="G16" s="247"/>
      <c r="H16" s="247"/>
    </row>
    <row r="17" spans="1:8">
      <c r="C17" s="34"/>
      <c r="D17" s="36">
        <v>17</v>
      </c>
      <c r="E17" s="192">
        <v>34</v>
      </c>
      <c r="F17" s="36">
        <v>49</v>
      </c>
      <c r="G17" s="248"/>
      <c r="H17" s="248"/>
    </row>
    <row r="18" spans="1:8">
      <c r="A18" s="1" t="s">
        <v>0</v>
      </c>
      <c r="B18" s="1" t="s">
        <v>1</v>
      </c>
      <c r="C18" s="1" t="s">
        <v>2</v>
      </c>
      <c r="D18" s="1"/>
      <c r="E18" s="1"/>
      <c r="F18" s="1"/>
      <c r="G18" s="1"/>
      <c r="H18" s="1"/>
    </row>
    <row r="19" spans="1:8">
      <c r="A19" s="108">
        <v>1</v>
      </c>
      <c r="B19" s="109" t="s">
        <v>187</v>
      </c>
      <c r="C19" s="109" t="s">
        <v>188</v>
      </c>
      <c r="D19" s="37">
        <v>80.59</v>
      </c>
      <c r="E19" s="37">
        <v>78.09</v>
      </c>
      <c r="F19" s="37">
        <v>78.06</v>
      </c>
      <c r="G19" s="37">
        <f>IFERROR((D19*($D$17/100))+(E19*($E$17/100))+(F19*($F$17/100)),"")</f>
        <v>78.50030000000001</v>
      </c>
      <c r="H19" s="37" t="str">
        <f>IFERROR(VLOOKUP(G19,[3]Sheet1!$AA$1:$AB$10,2),"")</f>
        <v>B+</v>
      </c>
    </row>
    <row r="20" spans="1:8">
      <c r="A20" s="108">
        <v>2</v>
      </c>
      <c r="B20" s="109" t="s">
        <v>189</v>
      </c>
      <c r="C20" s="109" t="s">
        <v>190</v>
      </c>
      <c r="D20" s="37">
        <v>77.06</v>
      </c>
      <c r="E20" s="37">
        <v>73.97</v>
      </c>
      <c r="F20" s="37">
        <v>79.180000000000007</v>
      </c>
      <c r="G20" s="37">
        <f t="shared" ref="G20:G52" si="0">IFERROR((D20*($D$17/100))+(E20*($E$17/100))+(F20*($F$17/100)),"")</f>
        <v>77.048200000000008</v>
      </c>
      <c r="H20" s="37" t="str">
        <f>IFERROR(VLOOKUP(G20,[2]Sheet1!$AA$1:$AB$10,2),"")</f>
        <v>B+</v>
      </c>
    </row>
    <row r="21" spans="1:8">
      <c r="A21" s="108">
        <v>3</v>
      </c>
      <c r="B21" s="109" t="s">
        <v>191</v>
      </c>
      <c r="C21" s="109" t="s">
        <v>192</v>
      </c>
      <c r="D21" s="37">
        <v>76.47</v>
      </c>
      <c r="E21" s="37">
        <v>73.53</v>
      </c>
      <c r="F21" s="37">
        <v>74.08</v>
      </c>
      <c r="G21" s="37">
        <f t="shared" si="0"/>
        <v>74.299300000000002</v>
      </c>
      <c r="H21" s="37" t="str">
        <f>IFERROR(VLOOKUP(G21,[2]Sheet1!$AA$1:$AB$10,2),"")</f>
        <v>B</v>
      </c>
    </row>
    <row r="22" spans="1:8">
      <c r="A22" s="108">
        <v>4</v>
      </c>
      <c r="B22" s="109" t="s">
        <v>193</v>
      </c>
      <c r="C22" s="109" t="s">
        <v>194</v>
      </c>
      <c r="D22" s="37">
        <v>64.47</v>
      </c>
      <c r="E22" s="37">
        <v>58.65</v>
      </c>
      <c r="F22" s="37">
        <v>73.47</v>
      </c>
      <c r="G22" s="37">
        <f t="shared" si="0"/>
        <v>66.901200000000003</v>
      </c>
      <c r="H22" s="37" t="str">
        <f>IFERROR(VLOOKUP(G22,[2]Sheet1!$AA$1:$AB$10,2),"")</f>
        <v>B-</v>
      </c>
    </row>
    <row r="23" spans="1:8">
      <c r="A23" s="108">
        <v>5</v>
      </c>
      <c r="B23" s="109" t="s">
        <v>195</v>
      </c>
      <c r="C23" s="109" t="s">
        <v>196</v>
      </c>
      <c r="D23" s="37">
        <v>70.59</v>
      </c>
      <c r="E23" s="37">
        <v>66.180000000000007</v>
      </c>
      <c r="F23" s="37">
        <v>79.39</v>
      </c>
      <c r="G23" s="37">
        <f t="shared" si="0"/>
        <v>73.402600000000007</v>
      </c>
      <c r="H23" s="37" t="str">
        <f>IFERROR(VLOOKUP(G23,[2]Sheet1!$AA$1:$AB$10,2),"")</f>
        <v>B</v>
      </c>
    </row>
    <row r="24" spans="1:8">
      <c r="A24" s="108">
        <v>6</v>
      </c>
      <c r="B24" s="109" t="s">
        <v>197</v>
      </c>
      <c r="C24" s="109" t="s">
        <v>198</v>
      </c>
      <c r="D24" s="37">
        <v>74.12</v>
      </c>
      <c r="E24" s="37">
        <v>70.290000000000006</v>
      </c>
      <c r="F24" s="37">
        <v>75.099999999999994</v>
      </c>
      <c r="G24" s="37">
        <f t="shared" si="0"/>
        <v>73.298000000000002</v>
      </c>
      <c r="H24" s="37" t="str">
        <f>IFERROR(VLOOKUP(G24,[2]Sheet1!$AA$1:$AB$10,2),"")</f>
        <v>B</v>
      </c>
    </row>
    <row r="25" spans="1:8">
      <c r="A25" s="108">
        <v>7</v>
      </c>
      <c r="B25" s="109" t="s">
        <v>199</v>
      </c>
      <c r="C25" s="109" t="s">
        <v>200</v>
      </c>
      <c r="D25" s="37">
        <v>86.71</v>
      </c>
      <c r="E25" s="37">
        <v>85.62</v>
      </c>
      <c r="F25" s="37">
        <v>82.35</v>
      </c>
      <c r="G25" s="37">
        <f t="shared" si="0"/>
        <v>84.203000000000003</v>
      </c>
      <c r="H25" s="37" t="str">
        <f>IFERROR(VLOOKUP(G25,[2]Sheet1!$AA$1:$AB$10,2),"")</f>
        <v>B+</v>
      </c>
    </row>
    <row r="26" spans="1:8">
      <c r="A26" s="108">
        <v>8</v>
      </c>
      <c r="B26" s="109" t="s">
        <v>201</v>
      </c>
      <c r="C26" s="109" t="s">
        <v>202</v>
      </c>
      <c r="D26" s="37">
        <v>80.94</v>
      </c>
      <c r="E26" s="37">
        <v>79.239999999999995</v>
      </c>
      <c r="F26" s="37">
        <v>74.59</v>
      </c>
      <c r="G26" s="37">
        <f t="shared" si="0"/>
        <v>77.250500000000002</v>
      </c>
      <c r="H26" s="37" t="str">
        <f>IFERROR(VLOOKUP(G26,[2]Sheet1!$AA$1:$AB$10,2),"")</f>
        <v>B+</v>
      </c>
    </row>
    <row r="27" spans="1:8">
      <c r="A27" s="108">
        <v>9</v>
      </c>
      <c r="B27" s="109" t="s">
        <v>203</v>
      </c>
      <c r="C27" s="109" t="s">
        <v>204</v>
      </c>
      <c r="D27" s="37">
        <v>78.47</v>
      </c>
      <c r="E27" s="37">
        <v>75.03</v>
      </c>
      <c r="F27" s="37">
        <v>74.180000000000007</v>
      </c>
      <c r="G27" s="37">
        <f t="shared" si="0"/>
        <v>75.198300000000003</v>
      </c>
      <c r="H27" s="37" t="str">
        <f>IFERROR(VLOOKUP(G27,[2]Sheet1!$AA$1:$AB$10,2),"")</f>
        <v>B</v>
      </c>
    </row>
    <row r="28" spans="1:8">
      <c r="A28" s="108">
        <v>10</v>
      </c>
      <c r="B28" s="109" t="s">
        <v>205</v>
      </c>
      <c r="C28" s="109" t="s">
        <v>206</v>
      </c>
      <c r="D28" s="37">
        <v>86.12</v>
      </c>
      <c r="E28" s="37">
        <v>83.71</v>
      </c>
      <c r="F28" s="37">
        <v>80.92</v>
      </c>
      <c r="G28" s="37">
        <f t="shared" si="0"/>
        <v>82.752600000000001</v>
      </c>
      <c r="H28" s="37" t="str">
        <f>IFERROR(VLOOKUP(G28,[2]Sheet1!$AA$1:$AB$10,2),"")</f>
        <v>B+</v>
      </c>
    </row>
    <row r="29" spans="1:8">
      <c r="A29" s="108">
        <v>11</v>
      </c>
      <c r="B29" s="109" t="s">
        <v>255</v>
      </c>
      <c r="C29" s="109" t="s">
        <v>256</v>
      </c>
      <c r="D29" s="37">
        <v>70.59</v>
      </c>
      <c r="E29" s="37">
        <v>66.180000000000007</v>
      </c>
      <c r="F29" s="37">
        <v>15.82</v>
      </c>
      <c r="G29" s="37">
        <f t="shared" si="0"/>
        <v>42.25330000000001</v>
      </c>
      <c r="H29" s="37" t="str">
        <f>IFERROR(VLOOKUP(G29,[2]Sheet1!$AA$1:$AB$10,2),"")</f>
        <v>E</v>
      </c>
    </row>
    <row r="30" spans="1:8">
      <c r="A30" s="108">
        <v>12</v>
      </c>
      <c r="B30" s="109" t="s">
        <v>207</v>
      </c>
      <c r="C30" s="109" t="s">
        <v>208</v>
      </c>
      <c r="D30" s="37">
        <v>89.06</v>
      </c>
      <c r="E30" s="37">
        <v>87.38</v>
      </c>
      <c r="F30" s="37">
        <v>87.35</v>
      </c>
      <c r="G30" s="37">
        <f t="shared" si="0"/>
        <v>87.650900000000007</v>
      </c>
      <c r="H30" s="37" t="str">
        <f>IFERROR(VLOOKUP(G30,[2]Sheet1!$AA$1:$AB$10,2),"")</f>
        <v>A-</v>
      </c>
    </row>
    <row r="31" spans="1:8">
      <c r="A31" s="108">
        <v>13</v>
      </c>
      <c r="B31" s="109" t="s">
        <v>209</v>
      </c>
      <c r="C31" s="109" t="s">
        <v>210</v>
      </c>
      <c r="D31" s="37">
        <v>63.76</v>
      </c>
      <c r="E31" s="37">
        <v>58.12</v>
      </c>
      <c r="F31" s="37">
        <v>43.88</v>
      </c>
      <c r="G31" s="37">
        <f t="shared" si="0"/>
        <v>52.101200000000006</v>
      </c>
      <c r="H31" s="37" t="str">
        <f>IFERROR(VLOOKUP(G31,[2]Sheet1!$AA$1:$AB$10,2),"")</f>
        <v>C-</v>
      </c>
    </row>
    <row r="32" spans="1:8">
      <c r="A32" s="108">
        <v>14</v>
      </c>
      <c r="B32" s="109" t="s">
        <v>211</v>
      </c>
      <c r="C32" s="109" t="s">
        <v>212</v>
      </c>
      <c r="D32" s="37">
        <v>80.239999999999995</v>
      </c>
      <c r="E32" s="37">
        <v>77.819999999999993</v>
      </c>
      <c r="F32" s="37">
        <v>74.69</v>
      </c>
      <c r="G32" s="37">
        <f t="shared" si="0"/>
        <v>76.697699999999998</v>
      </c>
      <c r="H32" s="37" t="str">
        <f>IFERROR(VLOOKUP(G32,[2]Sheet1!$AA$1:$AB$10,2),"")</f>
        <v>B+</v>
      </c>
    </row>
    <row r="33" spans="1:8">
      <c r="A33" s="108">
        <v>15</v>
      </c>
      <c r="B33" s="109" t="s">
        <v>213</v>
      </c>
      <c r="C33" s="109" t="s">
        <v>214</v>
      </c>
      <c r="D33" s="37">
        <v>85.53</v>
      </c>
      <c r="E33" s="37">
        <v>83.85</v>
      </c>
      <c r="F33" s="37">
        <v>87.35</v>
      </c>
      <c r="G33" s="37">
        <f t="shared" si="0"/>
        <v>85.8506</v>
      </c>
      <c r="H33" s="37" t="str">
        <f>IFERROR(VLOOKUP(G33,[2]Sheet1!$AA$1:$AB$10,2),"")</f>
        <v>A-</v>
      </c>
    </row>
    <row r="34" spans="1:8">
      <c r="A34" s="108">
        <v>16</v>
      </c>
      <c r="B34" s="109" t="s">
        <v>215</v>
      </c>
      <c r="C34" s="109" t="s">
        <v>216</v>
      </c>
      <c r="D34" s="37">
        <v>83.76</v>
      </c>
      <c r="E34" s="37">
        <v>81.94</v>
      </c>
      <c r="F34" s="37">
        <v>81.33</v>
      </c>
      <c r="G34" s="37">
        <f t="shared" si="0"/>
        <v>81.950500000000005</v>
      </c>
      <c r="H34" s="37" t="str">
        <f>IFERROR(VLOOKUP(G34,[2]Sheet1!$AA$1:$AB$10,2),"")</f>
        <v>B+</v>
      </c>
    </row>
    <row r="35" spans="1:8">
      <c r="A35" s="108">
        <v>17</v>
      </c>
      <c r="B35" s="109" t="s">
        <v>217</v>
      </c>
      <c r="C35" s="109" t="s">
        <v>218</v>
      </c>
      <c r="D35" s="37">
        <v>76.709999999999994</v>
      </c>
      <c r="E35" s="37">
        <v>73.709999999999994</v>
      </c>
      <c r="F35" s="37">
        <v>69.900000000000006</v>
      </c>
      <c r="G35" s="37">
        <f t="shared" si="0"/>
        <v>72.353100000000012</v>
      </c>
      <c r="H35" s="37" t="str">
        <f>IFERROR(VLOOKUP(G35,[2]Sheet1!$AA$1:$AB$10,2),"")</f>
        <v>B</v>
      </c>
    </row>
    <row r="36" spans="1:8">
      <c r="A36" s="108">
        <v>18</v>
      </c>
      <c r="B36" s="109" t="s">
        <v>219</v>
      </c>
      <c r="C36" s="109" t="s">
        <v>220</v>
      </c>
      <c r="D36" s="37">
        <v>82.59</v>
      </c>
      <c r="E36" s="37">
        <v>80.47</v>
      </c>
      <c r="F36" s="37">
        <v>82.55</v>
      </c>
      <c r="G36" s="37">
        <f t="shared" si="0"/>
        <v>81.849600000000009</v>
      </c>
      <c r="H36" s="37" t="str">
        <f>IFERROR(VLOOKUP(G36,[2]Sheet1!$AA$1:$AB$10,2),"")</f>
        <v>B+</v>
      </c>
    </row>
    <row r="37" spans="1:8">
      <c r="A37" s="108">
        <v>19</v>
      </c>
      <c r="B37" s="109" t="s">
        <v>221</v>
      </c>
      <c r="C37" s="109" t="s">
        <v>222</v>
      </c>
      <c r="D37" s="37">
        <v>80.349999999999994</v>
      </c>
      <c r="E37" s="37">
        <v>77.91</v>
      </c>
      <c r="F37" s="37">
        <v>69.900000000000006</v>
      </c>
      <c r="G37" s="37">
        <f t="shared" si="0"/>
        <v>74.399900000000002</v>
      </c>
      <c r="H37" s="37" t="str">
        <f>IFERROR(VLOOKUP(G37,[2]Sheet1!$AA$1:$AB$10,2),"")</f>
        <v>B</v>
      </c>
    </row>
    <row r="38" spans="1:8">
      <c r="A38" s="108">
        <v>20</v>
      </c>
      <c r="B38" s="109" t="s">
        <v>223</v>
      </c>
      <c r="C38" s="109" t="s">
        <v>224</v>
      </c>
      <c r="D38" s="37">
        <v>70.349999999999994</v>
      </c>
      <c r="E38" s="37">
        <v>66</v>
      </c>
      <c r="F38" s="37">
        <v>74.08</v>
      </c>
      <c r="G38" s="37">
        <f t="shared" si="0"/>
        <v>70.698700000000002</v>
      </c>
      <c r="H38" s="37" t="str">
        <f>IFERROR(VLOOKUP(G38,[2]Sheet1!$AA$1:$AB$10,2),"")</f>
        <v>B</v>
      </c>
    </row>
    <row r="39" spans="1:8">
      <c r="A39" s="108">
        <v>21</v>
      </c>
      <c r="B39" s="109" t="s">
        <v>225</v>
      </c>
      <c r="C39" s="109" t="s">
        <v>226</v>
      </c>
      <c r="D39" s="37">
        <v>77.290000000000006</v>
      </c>
      <c r="E39" s="37">
        <v>74.150000000000006</v>
      </c>
      <c r="F39" s="37">
        <v>59.18</v>
      </c>
      <c r="G39" s="37">
        <f t="shared" si="0"/>
        <v>67.348500000000001</v>
      </c>
      <c r="H39" s="37" t="str">
        <f>IFERROR(VLOOKUP(G39,[2]Sheet1!$AA$1:$AB$10,2),"")</f>
        <v>B-</v>
      </c>
    </row>
    <row r="40" spans="1:8">
      <c r="A40" s="108">
        <v>22</v>
      </c>
      <c r="B40" s="109" t="s">
        <v>227</v>
      </c>
      <c r="C40" s="109" t="s">
        <v>228</v>
      </c>
      <c r="D40" s="37">
        <v>77.290000000000006</v>
      </c>
      <c r="E40" s="37">
        <v>74.150000000000006</v>
      </c>
      <c r="F40" s="37">
        <v>69.900000000000006</v>
      </c>
      <c r="G40" s="37">
        <f t="shared" si="0"/>
        <v>72.601300000000009</v>
      </c>
      <c r="H40" s="37" t="str">
        <f>IFERROR(VLOOKUP(G40,[2]Sheet1!$AA$1:$AB$10,2),"")</f>
        <v>B</v>
      </c>
    </row>
    <row r="41" spans="1:8">
      <c r="A41" s="108">
        <v>23</v>
      </c>
      <c r="B41" s="109" t="s">
        <v>229</v>
      </c>
      <c r="C41" s="109" t="s">
        <v>230</v>
      </c>
      <c r="D41" s="37">
        <v>70.819999999999993</v>
      </c>
      <c r="E41" s="37">
        <v>66.349999999999994</v>
      </c>
      <c r="F41" s="37">
        <v>69.900000000000006</v>
      </c>
      <c r="G41" s="37">
        <f t="shared" si="0"/>
        <v>68.849400000000003</v>
      </c>
      <c r="H41" s="37" t="str">
        <f>IFERROR(VLOOKUP(G41,[2]Sheet1!$AA$1:$AB$10,2),"")</f>
        <v>B-</v>
      </c>
    </row>
    <row r="42" spans="1:8">
      <c r="A42" s="108">
        <v>24</v>
      </c>
      <c r="B42" s="4" t="s">
        <v>293</v>
      </c>
      <c r="C42" s="4" t="s">
        <v>294</v>
      </c>
      <c r="D42" s="37">
        <v>82.59</v>
      </c>
      <c r="E42" s="37">
        <v>80.47</v>
      </c>
      <c r="F42" s="37">
        <v>75.61</v>
      </c>
      <c r="G42" s="37">
        <f t="shared" si="0"/>
        <v>78.448999999999998</v>
      </c>
      <c r="H42" s="37" t="str">
        <f>IFERROR(VLOOKUP(G42,[2]Sheet1!$AA$1:$AB$10,2),"")</f>
        <v>B+</v>
      </c>
    </row>
    <row r="43" spans="1:8">
      <c r="A43" s="108">
        <v>25</v>
      </c>
      <c r="B43" s="4" t="s">
        <v>291</v>
      </c>
      <c r="C43" s="4" t="s">
        <v>292</v>
      </c>
      <c r="D43" s="37">
        <v>70.59</v>
      </c>
      <c r="E43" s="37">
        <v>66.180000000000007</v>
      </c>
      <c r="F43" s="37">
        <v>73.47</v>
      </c>
      <c r="G43" s="37">
        <f t="shared" si="0"/>
        <v>70.501800000000003</v>
      </c>
      <c r="H43" s="37" t="str">
        <f>IFERROR(VLOOKUP(G43,[2]Sheet1!$AA$1:$AB$10,2),"")</f>
        <v>B</v>
      </c>
    </row>
    <row r="44" spans="1:8">
      <c r="A44" s="108">
        <v>26</v>
      </c>
      <c r="B44" s="109" t="s">
        <v>231</v>
      </c>
      <c r="C44" s="109" t="s">
        <v>257</v>
      </c>
      <c r="D44" s="37">
        <v>83.75</v>
      </c>
      <c r="E44" s="37">
        <v>83.14</v>
      </c>
      <c r="F44" s="37">
        <v>82.69</v>
      </c>
      <c r="G44" s="37">
        <f t="shared" si="0"/>
        <v>83.023200000000003</v>
      </c>
      <c r="H44" s="37" t="str">
        <f>IFERROR(VLOOKUP(G44,[2]Sheet1!$AA$1:$AB$10,2),"")</f>
        <v>B+</v>
      </c>
    </row>
    <row r="45" spans="1:8">
      <c r="A45" s="108">
        <v>27</v>
      </c>
      <c r="B45" s="109" t="s">
        <v>233</v>
      </c>
      <c r="C45" s="109" t="s">
        <v>234</v>
      </c>
      <c r="D45" s="37">
        <v>90</v>
      </c>
      <c r="E45" s="37">
        <v>90.29</v>
      </c>
      <c r="F45" s="37">
        <v>82.69</v>
      </c>
      <c r="G45" s="37">
        <f t="shared" si="0"/>
        <v>86.516700000000014</v>
      </c>
      <c r="H45" s="37" t="str">
        <f>IFERROR(VLOOKUP(G45,[2]Sheet1!$AA$1:$AB$10,2),"")</f>
        <v>A-</v>
      </c>
    </row>
    <row r="46" spans="1:8">
      <c r="A46" s="108">
        <v>28</v>
      </c>
      <c r="B46" s="109" t="s">
        <v>235</v>
      </c>
      <c r="C46" s="109" t="s">
        <v>236</v>
      </c>
      <c r="D46" s="37">
        <v>77.5</v>
      </c>
      <c r="E46" s="37">
        <v>76</v>
      </c>
      <c r="F46" s="37">
        <v>82.69</v>
      </c>
      <c r="G46" s="37">
        <f t="shared" si="0"/>
        <v>79.53309999999999</v>
      </c>
      <c r="H46" s="37" t="str">
        <f>IFERROR(VLOOKUP(G46,[2]Sheet1!$AA$1:$AB$10,2),"")</f>
        <v>B+</v>
      </c>
    </row>
    <row r="47" spans="1:8">
      <c r="A47" s="108">
        <v>29</v>
      </c>
      <c r="B47" s="109" t="s">
        <v>237</v>
      </c>
      <c r="C47" s="109" t="s">
        <v>238</v>
      </c>
      <c r="D47" s="37">
        <v>90</v>
      </c>
      <c r="E47" s="37">
        <v>90.29</v>
      </c>
      <c r="F47" s="37">
        <v>82.69</v>
      </c>
      <c r="G47" s="37">
        <f t="shared" si="0"/>
        <v>86.516700000000014</v>
      </c>
      <c r="H47" s="37" t="str">
        <f>IFERROR(VLOOKUP(G47,[2]Sheet1!$AA$1:$AB$10,2),"")</f>
        <v>A-</v>
      </c>
    </row>
    <row r="48" spans="1:8">
      <c r="A48" s="108">
        <v>30</v>
      </c>
      <c r="B48" s="109" t="s">
        <v>239</v>
      </c>
      <c r="C48" s="109" t="s">
        <v>240</v>
      </c>
      <c r="D48" s="37">
        <v>90</v>
      </c>
      <c r="E48" s="37">
        <v>90.29</v>
      </c>
      <c r="F48" s="37">
        <v>31.41</v>
      </c>
      <c r="G48" s="37">
        <f t="shared" si="0"/>
        <v>61.389500000000012</v>
      </c>
      <c r="H48" s="37" t="str">
        <f>IFERROR(VLOOKUP(G48,[2]Sheet1!$AA$1:$AB$10,2),"")</f>
        <v>C+</v>
      </c>
    </row>
    <row r="49" spans="1:8">
      <c r="A49" s="108">
        <v>31</v>
      </c>
      <c r="B49" s="109" t="s">
        <v>241</v>
      </c>
      <c r="C49" s="109" t="s">
        <v>242</v>
      </c>
      <c r="D49" s="37">
        <v>90</v>
      </c>
      <c r="E49" s="37">
        <v>90.29</v>
      </c>
      <c r="F49" s="37">
        <v>82.69</v>
      </c>
      <c r="G49" s="37">
        <f t="shared" si="0"/>
        <v>86.516700000000014</v>
      </c>
      <c r="H49" s="37" t="str">
        <f>IFERROR(VLOOKUP(G49,[2]Sheet1!$AA$1:$AB$10,2),"")</f>
        <v>A-</v>
      </c>
    </row>
    <row r="50" spans="1:8">
      <c r="A50" s="108">
        <v>32</v>
      </c>
      <c r="B50" s="109" t="s">
        <v>243</v>
      </c>
      <c r="C50" s="109" t="s">
        <v>244</v>
      </c>
      <c r="D50" s="37">
        <v>90</v>
      </c>
      <c r="E50" s="37">
        <v>90.29</v>
      </c>
      <c r="F50" s="37">
        <v>82.69</v>
      </c>
      <c r="G50" s="37">
        <f t="shared" si="0"/>
        <v>86.516700000000014</v>
      </c>
      <c r="H50" s="37" t="str">
        <f>IFERROR(VLOOKUP(G50,[2]Sheet1!$AA$1:$AB$10,2),"")</f>
        <v>A-</v>
      </c>
    </row>
    <row r="51" spans="1:8">
      <c r="A51" s="108">
        <v>33</v>
      </c>
      <c r="B51" s="109" t="s">
        <v>245</v>
      </c>
      <c r="C51" s="109" t="s">
        <v>246</v>
      </c>
      <c r="D51" s="37">
        <v>90</v>
      </c>
      <c r="E51" s="37">
        <v>90.29</v>
      </c>
      <c r="F51" s="37">
        <v>82.05</v>
      </c>
      <c r="G51" s="37">
        <f t="shared" si="0"/>
        <v>86.203100000000006</v>
      </c>
      <c r="H51" s="37" t="str">
        <f>IFERROR(VLOOKUP(G51,[2]Sheet1!$AA$1:$AB$10,2),"")</f>
        <v>A-</v>
      </c>
    </row>
    <row r="52" spans="1:8">
      <c r="A52" s="108">
        <v>34</v>
      </c>
      <c r="B52" s="109" t="s">
        <v>247</v>
      </c>
      <c r="C52" s="109" t="s">
        <v>248</v>
      </c>
      <c r="D52" s="37">
        <v>90</v>
      </c>
      <c r="E52" s="37">
        <v>90.29</v>
      </c>
      <c r="F52" s="37">
        <v>82.69</v>
      </c>
      <c r="G52" s="37">
        <f t="shared" si="0"/>
        <v>86.516700000000014</v>
      </c>
      <c r="H52" s="37" t="str">
        <f>IFERROR(VLOOKUP(G52,[2]Sheet1!$AA$1:$AB$10,2),"")</f>
        <v>A-</v>
      </c>
    </row>
    <row r="53" spans="1:8">
      <c r="A53" s="108">
        <v>35</v>
      </c>
      <c r="B53" s="109" t="s">
        <v>249</v>
      </c>
      <c r="C53" s="109" t="s">
        <v>250</v>
      </c>
      <c r="D53" s="37"/>
      <c r="E53" s="37"/>
      <c r="F53" s="37"/>
      <c r="G53" s="37"/>
      <c r="H53" s="37"/>
    </row>
    <row r="54" spans="1:8">
      <c r="A54" s="108">
        <v>36</v>
      </c>
      <c r="B54" s="109" t="s">
        <v>251</v>
      </c>
      <c r="C54" s="109" t="s">
        <v>252</v>
      </c>
      <c r="D54" s="37"/>
      <c r="E54" s="37"/>
      <c r="F54" s="37"/>
      <c r="G54" s="37"/>
      <c r="H54" s="37"/>
    </row>
    <row r="55" spans="1:8">
      <c r="C55" s="34"/>
      <c r="D55" s="35"/>
      <c r="E55" s="35"/>
      <c r="F55" s="35"/>
      <c r="G55" s="35"/>
    </row>
    <row r="56" spans="1:8" s="104" customFormat="1" ht="13" thickBot="1">
      <c r="C56" s="105"/>
      <c r="D56" s="114" t="str">
        <f>D16</f>
        <v>CPMK21</v>
      </c>
      <c r="E56" s="114" t="str">
        <f>E16</f>
        <v>CPMK24</v>
      </c>
      <c r="F56" s="114" t="str">
        <f t="shared" ref="F56" si="1">F16</f>
        <v>CPMK25</v>
      </c>
      <c r="G56" s="114" t="str">
        <f>G12</f>
        <v>Nilai Akhir MK</v>
      </c>
    </row>
    <row r="57" spans="1:8" s="104" customFormat="1" ht="13" thickBot="1">
      <c r="C57" s="115" t="s">
        <v>184</v>
      </c>
      <c r="D57" s="116">
        <f>IFERROR(COUNTIF(D19:D54,""),"")</f>
        <v>2</v>
      </c>
      <c r="E57" s="116">
        <f>IFERROR(COUNTIF(E19:E54,""),"")</f>
        <v>2</v>
      </c>
      <c r="F57" s="116">
        <f>IFERROR(COUNTIF(F19:F54,""),"")</f>
        <v>2</v>
      </c>
      <c r="G57" s="116">
        <f>IFERROR(COUNTIF(G19:G54,""),"")</f>
        <v>2</v>
      </c>
    </row>
    <row r="58" spans="1:8" s="104" customFormat="1" ht="13" thickBot="1">
      <c r="C58" s="117" t="s">
        <v>97</v>
      </c>
      <c r="D58" s="159">
        <f>IFERROR(COUNTIF(D19:D54,$C$58)+COUNTIF(D19:D54,""),"")-D57</f>
        <v>2</v>
      </c>
      <c r="E58" s="159">
        <f t="shared" ref="E58:F58" si="2">IFERROR(COUNTIF(E19:E54,$C$58)+COUNTIF(E19:E54,""),"")-E57</f>
        <v>2</v>
      </c>
      <c r="F58" s="159">
        <f t="shared" si="2"/>
        <v>4</v>
      </c>
      <c r="G58" s="132">
        <f>IFERROR(COUNTIF(G19:G54,C58)+COUNTIF(G19:G54,""),"")-G57</f>
        <v>3</v>
      </c>
    </row>
    <row r="59" spans="1:8" s="104" customFormat="1" ht="13" thickBot="1">
      <c r="C59" s="118" t="s">
        <v>98</v>
      </c>
      <c r="D59" s="119">
        <f>IFERROR(COUNTIF(D19:D54,$C$59)-D58,"")</f>
        <v>21</v>
      </c>
      <c r="E59" s="119">
        <f t="shared" ref="E59:F59" si="3">IFERROR(COUNTIF(E19:E54,$C$59)-E58,"")</f>
        <v>23</v>
      </c>
      <c r="F59" s="119">
        <f t="shared" si="3"/>
        <v>28</v>
      </c>
      <c r="G59" s="120">
        <f>IFERROR(COUNTIF(G19:G54,C59)-G58,"")</f>
        <v>23</v>
      </c>
    </row>
    <row r="60" spans="1:8" s="104" customFormat="1" ht="13" thickBot="1">
      <c r="C60" s="121" t="s">
        <v>99</v>
      </c>
      <c r="D60" s="122">
        <f>COUNTIF(D19:D54,$C$60)</f>
        <v>11</v>
      </c>
      <c r="E60" s="122">
        <f t="shared" ref="E60:F60" si="4">COUNTIF(E19:E54,$C$60)</f>
        <v>9</v>
      </c>
      <c r="F60" s="122">
        <f t="shared" si="4"/>
        <v>2</v>
      </c>
      <c r="G60" s="122">
        <f>IFERROR(COUNTIF(G19:G54,C60),"")</f>
        <v>8</v>
      </c>
    </row>
    <row r="61" spans="1:8" s="104" customFormat="1" ht="13" thickBot="1">
      <c r="C61" s="123" t="s">
        <v>77</v>
      </c>
      <c r="D61" s="124">
        <f>SUM(D57:D60)</f>
        <v>36</v>
      </c>
      <c r="E61" s="124"/>
      <c r="F61" s="124">
        <f t="shared" ref="F61:G61" si="5">SUM(F57:F60)</f>
        <v>36</v>
      </c>
      <c r="G61" s="124">
        <f t="shared" si="5"/>
        <v>36</v>
      </c>
    </row>
    <row r="62" spans="1:8" s="104" customFormat="1" ht="13" thickBot="1">
      <c r="C62" s="125"/>
      <c r="D62" s="114"/>
      <c r="E62" s="114"/>
      <c r="F62" s="114"/>
      <c r="G62" s="114"/>
    </row>
    <row r="63" spans="1:8" s="104" customFormat="1" ht="13" thickBot="1">
      <c r="C63" s="126" t="s">
        <v>100</v>
      </c>
      <c r="D63" s="127">
        <f>(D59+D60)/(D61-D57)</f>
        <v>0.94117647058823528</v>
      </c>
      <c r="E63" s="127"/>
      <c r="F63" s="127">
        <f>(F59+F60)/(F61-F57)</f>
        <v>0.88235294117647056</v>
      </c>
      <c r="G63" s="127">
        <f>(G59+G60)/(G61-G57)</f>
        <v>0.91176470588235292</v>
      </c>
    </row>
    <row r="64" spans="1:8" s="104" customFormat="1" ht="13" thickBot="1">
      <c r="C64" s="125"/>
      <c r="D64" s="114"/>
      <c r="E64" s="114"/>
      <c r="F64" s="114"/>
      <c r="G64" s="114"/>
    </row>
    <row r="65" spans="3:7" s="104" customFormat="1" ht="13" thickBot="1">
      <c r="C65" s="126" t="s">
        <v>101</v>
      </c>
      <c r="D65" s="128">
        <f>MIN(D19:D54)</f>
        <v>63.76</v>
      </c>
      <c r="E65" s="128"/>
      <c r="F65" s="128">
        <f>MIN(F19:F54)</f>
        <v>15.82</v>
      </c>
      <c r="G65" s="128">
        <f>IFERROR(MIN(G19:G54),"")</f>
        <v>42.25330000000001</v>
      </c>
    </row>
    <row r="66" spans="3:7" s="104" customFormat="1" ht="13" thickBot="1">
      <c r="C66" s="126" t="s">
        <v>102</v>
      </c>
      <c r="D66" s="128">
        <f>MAX(D19:D37)</f>
        <v>89.06</v>
      </c>
      <c r="E66" s="128"/>
      <c r="F66" s="128">
        <f>MAX(F19:F54)</f>
        <v>87.35</v>
      </c>
      <c r="G66" s="128">
        <f>IFERROR(MAX(G19:G54),"")</f>
        <v>87.650900000000007</v>
      </c>
    </row>
    <row r="67" spans="3:7" s="104" customFormat="1" ht="13" thickBot="1">
      <c r="C67" s="126" t="s">
        <v>103</v>
      </c>
      <c r="D67" s="129">
        <f>AVERAGE(D19:D54)</f>
        <v>80.244411764705873</v>
      </c>
      <c r="E67" s="129"/>
      <c r="F67" s="129">
        <f>AVERAGE(F19:F54)</f>
        <v>73.485882352941189</v>
      </c>
      <c r="G67" s="129">
        <f>IFERROR(AVERAGE(G19:G54),"")</f>
        <v>76.151232352941207</v>
      </c>
    </row>
  </sheetData>
  <mergeCells count="7">
    <mergeCell ref="A1:I1"/>
    <mergeCell ref="A2:I2"/>
    <mergeCell ref="D12:F12"/>
    <mergeCell ref="G12:G17"/>
    <mergeCell ref="H12:H17"/>
    <mergeCell ref="D13:F13"/>
    <mergeCell ref="D14:F14"/>
  </mergeCells>
  <printOptions horizontalCentered="1"/>
  <pageMargins left="0.19685039370078741" right="0.11811023622047245" top="0.19685039370078741" bottom="0.15748031496062992" header="0" footer="0"/>
  <pageSetup paperSize="9" scale="75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C251A-DDE9-4DF8-8A4D-81C080AFA04A}">
  <sheetPr>
    <pageSetUpPr fitToPage="1"/>
  </sheetPr>
  <dimension ref="A1:W67"/>
  <sheetViews>
    <sheetView view="pageBreakPreview" zoomScaleNormal="100" zoomScaleSheetLayoutView="100" workbookViewId="0">
      <selection activeCell="C6" sqref="C6"/>
    </sheetView>
  </sheetViews>
  <sheetFormatPr defaultRowHeight="14"/>
  <cols>
    <col min="1" max="1" width="4" customWidth="1"/>
    <col min="2" max="2" width="12.83203125" customWidth="1"/>
    <col min="3" max="3" width="32.6640625" customWidth="1"/>
    <col min="4" max="6" width="9" style="35" customWidth="1"/>
    <col min="7" max="7" width="12.6640625" customWidth="1"/>
    <col min="10" max="10" width="13" customWidth="1"/>
  </cols>
  <sheetData>
    <row r="1" spans="1:23" ht="18">
      <c r="A1" s="236" t="s">
        <v>78</v>
      </c>
      <c r="B1" s="236"/>
      <c r="C1" s="236"/>
      <c r="D1" s="236"/>
      <c r="E1" s="236"/>
      <c r="F1" s="236"/>
      <c r="G1" s="236"/>
      <c r="H1" s="236"/>
      <c r="I1" s="236"/>
      <c r="J1" s="32"/>
    </row>
    <row r="2" spans="1:23" ht="18.5" thickBot="1">
      <c r="A2" s="237" t="s">
        <v>79</v>
      </c>
      <c r="B2" s="237"/>
      <c r="C2" s="237"/>
      <c r="D2" s="237"/>
      <c r="E2" s="237"/>
      <c r="F2" s="237"/>
      <c r="G2" s="237"/>
      <c r="H2" s="237"/>
      <c r="I2" s="237"/>
      <c r="J2" s="32"/>
    </row>
    <row r="4" spans="1:23">
      <c r="A4" t="s">
        <v>80</v>
      </c>
      <c r="C4" t="s">
        <v>81</v>
      </c>
      <c r="E4" s="372" t="s">
        <v>82</v>
      </c>
      <c r="F4" s="372"/>
      <c r="G4" t="s">
        <v>253</v>
      </c>
    </row>
    <row r="5" spans="1:23">
      <c r="A5" t="s">
        <v>41</v>
      </c>
      <c r="C5" s="33" t="s">
        <v>321</v>
      </c>
      <c r="E5" s="372" t="s">
        <v>84</v>
      </c>
      <c r="F5" s="372"/>
      <c r="G5" t="s">
        <v>254</v>
      </c>
    </row>
    <row r="6" spans="1:23">
      <c r="A6" t="s">
        <v>42</v>
      </c>
      <c r="C6" t="s">
        <v>335</v>
      </c>
    </row>
    <row r="7" spans="1:23">
      <c r="A7" t="s">
        <v>86</v>
      </c>
      <c r="C7" t="s">
        <v>111</v>
      </c>
    </row>
    <row r="8" spans="1:23">
      <c r="A8" t="s">
        <v>88</v>
      </c>
      <c r="C8" t="s">
        <v>89</v>
      </c>
    </row>
    <row r="9" spans="1:23">
      <c r="A9" t="s">
        <v>90</v>
      </c>
      <c r="C9" t="s">
        <v>337</v>
      </c>
    </row>
    <row r="10" spans="1:23">
      <c r="C10" t="s">
        <v>338</v>
      </c>
    </row>
    <row r="11" spans="1:23">
      <c r="C11" s="34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</row>
    <row r="12" spans="1:23" s="104" customFormat="1" ht="12.5">
      <c r="C12" s="105"/>
      <c r="D12" s="243" t="s">
        <v>311</v>
      </c>
      <c r="E12" s="243"/>
      <c r="F12" s="243"/>
      <c r="G12" s="253" t="s">
        <v>91</v>
      </c>
      <c r="H12" s="253" t="s">
        <v>92</v>
      </c>
    </row>
    <row r="13" spans="1:23" s="104" customFormat="1" ht="12.5">
      <c r="C13" s="105"/>
      <c r="D13" s="243" t="str">
        <f>TRIM(MID(C5,2,20))</f>
        <v>P.24.05.52.2.09</v>
      </c>
      <c r="E13" s="243"/>
      <c r="F13" s="243"/>
      <c r="G13" s="253"/>
      <c r="H13" s="253"/>
    </row>
    <row r="14" spans="1:23" s="104" customFormat="1" ht="12.5">
      <c r="C14" s="105"/>
      <c r="D14" s="243" t="str">
        <f>TRIM(MID(C6,2,100))</f>
        <v>Akuntansi Perbankan</v>
      </c>
      <c r="E14" s="243"/>
      <c r="F14" s="243"/>
      <c r="G14" s="253"/>
      <c r="H14" s="253"/>
    </row>
    <row r="15" spans="1:23" s="104" customFormat="1" ht="12.5">
      <c r="C15" s="105"/>
      <c r="D15" s="191" t="s">
        <v>117</v>
      </c>
      <c r="E15" s="191" t="s">
        <v>117</v>
      </c>
      <c r="F15" s="191" t="s">
        <v>117</v>
      </c>
      <c r="G15" s="253"/>
      <c r="H15" s="253"/>
    </row>
    <row r="16" spans="1:23" s="104" customFormat="1" ht="12.5">
      <c r="C16" s="105"/>
      <c r="D16" s="191" t="s">
        <v>336</v>
      </c>
      <c r="E16" s="191" t="s">
        <v>333</v>
      </c>
      <c r="F16" s="191" t="s">
        <v>334</v>
      </c>
      <c r="G16" s="253"/>
      <c r="H16" s="253"/>
    </row>
    <row r="17" spans="1:8" s="104" customFormat="1" ht="12.5">
      <c r="C17" s="105"/>
      <c r="D17" s="191">
        <v>18</v>
      </c>
      <c r="E17" s="191">
        <v>33</v>
      </c>
      <c r="F17" s="191">
        <v>49</v>
      </c>
      <c r="G17" s="253"/>
      <c r="H17" s="253"/>
    </row>
    <row r="18" spans="1:8" s="104" customFormat="1" ht="13">
      <c r="A18" s="107" t="s">
        <v>0</v>
      </c>
      <c r="B18" s="107" t="s">
        <v>1</v>
      </c>
      <c r="C18" s="107" t="s">
        <v>2</v>
      </c>
      <c r="D18" s="107"/>
      <c r="E18" s="107"/>
      <c r="F18" s="107"/>
      <c r="G18" s="107"/>
      <c r="H18" s="107"/>
    </row>
    <row r="19" spans="1:8" s="104" customFormat="1" ht="12.5">
      <c r="A19" s="108">
        <v>1</v>
      </c>
      <c r="B19" s="109" t="s">
        <v>187</v>
      </c>
      <c r="C19" s="109" t="s">
        <v>188</v>
      </c>
      <c r="D19" s="110">
        <v>86.11</v>
      </c>
      <c r="E19" s="110">
        <v>83.33</v>
      </c>
      <c r="F19" s="110">
        <v>83.67</v>
      </c>
      <c r="G19" s="110">
        <f>IFERROR((D19*($D$17/100))+(E19*($E$17/100))+(F19*($F$17/100)),"")</f>
        <v>83.997</v>
      </c>
      <c r="H19" s="110" t="str">
        <f>IFERROR(VLOOKUP(G21,[4]Sheet1!$AA$1:$AB$10,2),"")</f>
        <v>B+</v>
      </c>
    </row>
    <row r="20" spans="1:8" s="104" customFormat="1" ht="12.5">
      <c r="A20" s="108">
        <v>2</v>
      </c>
      <c r="B20" s="109" t="s">
        <v>189</v>
      </c>
      <c r="C20" s="109" t="s">
        <v>190</v>
      </c>
      <c r="D20" s="110">
        <v>91.67</v>
      </c>
      <c r="E20" s="110">
        <v>90.91</v>
      </c>
      <c r="F20" s="110">
        <v>90.82</v>
      </c>
      <c r="G20" s="110">
        <f t="shared" ref="G20:G52" si="0">IFERROR((D20*($D$17/100))+(E20*($E$17/100))+(F20*($F$17/100)),"")</f>
        <v>91.002700000000004</v>
      </c>
      <c r="H20" s="110" t="str">
        <f>IFERROR(VLOOKUP(G20,[4]Sheet1!$AA$1:$AB$10,2),"")</f>
        <v>A</v>
      </c>
    </row>
    <row r="21" spans="1:8" s="104" customFormat="1" ht="12.5">
      <c r="A21" s="108">
        <v>3</v>
      </c>
      <c r="B21" s="109" t="s">
        <v>191</v>
      </c>
      <c r="C21" s="109" t="s">
        <v>192</v>
      </c>
      <c r="D21" s="110">
        <v>86.11</v>
      </c>
      <c r="E21" s="110">
        <v>83.33</v>
      </c>
      <c r="F21" s="110">
        <v>80.099999999999994</v>
      </c>
      <c r="G21" s="110">
        <f t="shared" si="0"/>
        <v>82.247699999999995</v>
      </c>
      <c r="H21" s="110" t="str">
        <f>IFERROR(VLOOKUP(G21,[4]Sheet1!$AA$1:$AB$10,2),"")</f>
        <v>B+</v>
      </c>
    </row>
    <row r="22" spans="1:8" s="104" customFormat="1" ht="12.5">
      <c r="A22" s="108">
        <v>4</v>
      </c>
      <c r="B22" s="109" t="s">
        <v>193</v>
      </c>
      <c r="C22" s="109" t="s">
        <v>194</v>
      </c>
      <c r="D22" s="110">
        <v>85.11</v>
      </c>
      <c r="E22" s="110">
        <v>82.79</v>
      </c>
      <c r="F22" s="110">
        <v>90.33</v>
      </c>
      <c r="G22" s="110">
        <f t="shared" si="0"/>
        <v>86.902199999999993</v>
      </c>
      <c r="H22" s="110" t="str">
        <f>IFERROR(VLOOKUP(G22,[4]Sheet1!$AA$1:$AB$10,2),"")</f>
        <v>A-</v>
      </c>
    </row>
    <row r="23" spans="1:8" s="104" customFormat="1" ht="12.5">
      <c r="A23" s="108">
        <v>5</v>
      </c>
      <c r="B23" s="109" t="s">
        <v>195</v>
      </c>
      <c r="C23" s="109" t="s">
        <v>196</v>
      </c>
      <c r="D23" s="110">
        <v>86.11</v>
      </c>
      <c r="E23" s="110">
        <v>83.33</v>
      </c>
      <c r="F23" s="110">
        <v>90.82</v>
      </c>
      <c r="G23" s="110">
        <f t="shared" si="0"/>
        <v>87.500499999999988</v>
      </c>
      <c r="H23" s="110" t="str">
        <f>IFERROR(VLOOKUP(G23,[4]Sheet1!$AA$1:$AB$10,2),"")</f>
        <v>A-</v>
      </c>
    </row>
    <row r="24" spans="1:8" s="104" customFormat="1" ht="12.5">
      <c r="A24" s="108">
        <v>6</v>
      </c>
      <c r="B24" s="109" t="s">
        <v>197</v>
      </c>
      <c r="C24" s="109" t="s">
        <v>198</v>
      </c>
      <c r="D24" s="110">
        <v>86.11</v>
      </c>
      <c r="E24" s="110">
        <v>83.33</v>
      </c>
      <c r="F24" s="110">
        <v>62.24</v>
      </c>
      <c r="G24" s="110">
        <f t="shared" si="0"/>
        <v>73.496300000000005</v>
      </c>
      <c r="H24" s="110" t="str">
        <f>IFERROR(VLOOKUP(G24,[4]Sheet1!$AA$1:$AB$10,2),"")</f>
        <v>B</v>
      </c>
    </row>
    <row r="25" spans="1:8" s="104" customFormat="1" ht="12.5">
      <c r="A25" s="108">
        <v>7</v>
      </c>
      <c r="B25" s="109" t="s">
        <v>199</v>
      </c>
      <c r="C25" s="109" t="s">
        <v>200</v>
      </c>
      <c r="D25" s="110">
        <v>91.67</v>
      </c>
      <c r="E25" s="110">
        <v>90.91</v>
      </c>
      <c r="F25" s="110">
        <v>80.099999999999994</v>
      </c>
      <c r="G25" s="110">
        <f t="shared" si="0"/>
        <v>85.749899999999997</v>
      </c>
      <c r="H25" s="110" t="str">
        <f>IFERROR(VLOOKUP(G25,[4]Sheet1!$AA$1:$AB$10,2),"")</f>
        <v>A-</v>
      </c>
    </row>
    <row r="26" spans="1:8" s="104" customFormat="1" ht="12.5">
      <c r="A26" s="108">
        <v>8</v>
      </c>
      <c r="B26" s="109" t="s">
        <v>201</v>
      </c>
      <c r="C26" s="109" t="s">
        <v>202</v>
      </c>
      <c r="D26" s="110">
        <v>86.11</v>
      </c>
      <c r="E26" s="110">
        <v>83.33</v>
      </c>
      <c r="F26" s="110">
        <v>87.24</v>
      </c>
      <c r="G26" s="110">
        <f t="shared" si="0"/>
        <v>85.746299999999991</v>
      </c>
      <c r="H26" s="110" t="str">
        <f>IFERROR(VLOOKUP(G26,[4]Sheet1!$AA$1:$AB$10,2),"")</f>
        <v>A-</v>
      </c>
    </row>
    <row r="27" spans="1:8" s="104" customFormat="1" ht="12.5">
      <c r="A27" s="108">
        <v>9</v>
      </c>
      <c r="B27" s="109" t="s">
        <v>203</v>
      </c>
      <c r="C27" s="109" t="s">
        <v>204</v>
      </c>
      <c r="D27" s="110">
        <v>91.67</v>
      </c>
      <c r="E27" s="110">
        <v>90.91</v>
      </c>
      <c r="F27" s="110">
        <v>80.099999999999994</v>
      </c>
      <c r="G27" s="110">
        <f t="shared" si="0"/>
        <v>85.749899999999997</v>
      </c>
      <c r="H27" s="110" t="str">
        <f>IFERROR(VLOOKUP(G27,[4]Sheet1!$AA$1:$AB$10,2),"")</f>
        <v>A-</v>
      </c>
    </row>
    <row r="28" spans="1:8" s="104" customFormat="1" ht="12.5">
      <c r="A28" s="108">
        <v>10</v>
      </c>
      <c r="B28" s="109" t="s">
        <v>205</v>
      </c>
      <c r="C28" s="109" t="s">
        <v>206</v>
      </c>
      <c r="D28" s="110">
        <v>91.67</v>
      </c>
      <c r="E28" s="110">
        <v>90.91</v>
      </c>
      <c r="F28" s="110">
        <v>80.099999999999994</v>
      </c>
      <c r="G28" s="110">
        <f t="shared" si="0"/>
        <v>85.749899999999997</v>
      </c>
      <c r="H28" s="110" t="str">
        <f>IFERROR(VLOOKUP(G28,[4]Sheet1!$AA$1:$AB$10,2),"")</f>
        <v>A-</v>
      </c>
    </row>
    <row r="29" spans="1:8" s="104" customFormat="1" ht="12.5">
      <c r="A29" s="108">
        <v>11</v>
      </c>
      <c r="B29" s="109" t="s">
        <v>255</v>
      </c>
      <c r="C29" s="109" t="s">
        <v>256</v>
      </c>
      <c r="D29" s="110">
        <v>86.11</v>
      </c>
      <c r="E29" s="110">
        <v>83.33</v>
      </c>
      <c r="F29" s="110">
        <v>26.53</v>
      </c>
      <c r="G29" s="110">
        <f t="shared" si="0"/>
        <v>55.998400000000004</v>
      </c>
      <c r="H29" s="110" t="str">
        <f>IFERROR(VLOOKUP(G29,[4]Sheet1!$AA$1:$AB$10,2),"")</f>
        <v>C</v>
      </c>
    </row>
    <row r="30" spans="1:8" s="104" customFormat="1" ht="12.5">
      <c r="A30" s="108">
        <v>12</v>
      </c>
      <c r="B30" s="109" t="s">
        <v>207</v>
      </c>
      <c r="C30" s="109" t="s">
        <v>208</v>
      </c>
      <c r="D30" s="110">
        <v>91.67</v>
      </c>
      <c r="E30" s="110">
        <v>90.91</v>
      </c>
      <c r="F30" s="110">
        <v>80.099999999999994</v>
      </c>
      <c r="G30" s="110">
        <f t="shared" si="0"/>
        <v>85.749899999999997</v>
      </c>
      <c r="H30" s="110" t="str">
        <f>IFERROR(VLOOKUP(G30,[4]Sheet1!$AA$1:$AB$10,2),"")</f>
        <v>A-</v>
      </c>
    </row>
    <row r="31" spans="1:8" s="104" customFormat="1" ht="12.5">
      <c r="A31" s="108">
        <v>13</v>
      </c>
      <c r="B31" s="109" t="s">
        <v>209</v>
      </c>
      <c r="C31" s="109" t="s">
        <v>210</v>
      </c>
      <c r="D31" s="110">
        <v>36.5</v>
      </c>
      <c r="E31" s="110">
        <v>19.91</v>
      </c>
      <c r="F31" s="110">
        <v>52.57</v>
      </c>
      <c r="G31" s="110">
        <f t="shared" si="0"/>
        <v>38.8996</v>
      </c>
      <c r="H31" s="110" t="str">
        <f>IFERROR(VLOOKUP(G31,[4]Sheet1!$AA$1:$AB$10,2),"")</f>
        <v>E</v>
      </c>
    </row>
    <row r="32" spans="1:8" s="104" customFormat="1" ht="12.5">
      <c r="A32" s="108">
        <v>14</v>
      </c>
      <c r="B32" s="109" t="s">
        <v>211</v>
      </c>
      <c r="C32" s="109" t="s">
        <v>212</v>
      </c>
      <c r="D32" s="110">
        <v>86.11</v>
      </c>
      <c r="E32" s="110">
        <v>83.33</v>
      </c>
      <c r="F32" s="110">
        <v>80.099999999999994</v>
      </c>
      <c r="G32" s="110">
        <f t="shared" si="0"/>
        <v>82.247699999999995</v>
      </c>
      <c r="H32" s="110" t="str">
        <f>IFERROR(VLOOKUP(G32,[4]Sheet1!$AA$1:$AB$10,2),"")</f>
        <v>B+</v>
      </c>
    </row>
    <row r="33" spans="1:8" s="104" customFormat="1" ht="12.5">
      <c r="A33" s="108">
        <v>15</v>
      </c>
      <c r="B33" s="109" t="s">
        <v>213</v>
      </c>
      <c r="C33" s="109" t="s">
        <v>214</v>
      </c>
      <c r="D33" s="110">
        <v>91.67</v>
      </c>
      <c r="E33" s="110">
        <v>90.91</v>
      </c>
      <c r="F33" s="110">
        <v>90.82</v>
      </c>
      <c r="G33" s="110">
        <f t="shared" si="0"/>
        <v>91.002700000000004</v>
      </c>
      <c r="H33" s="110" t="str">
        <f>IFERROR(VLOOKUP(G33,[4]Sheet1!$AA$1:$AB$10,2),"")</f>
        <v>A</v>
      </c>
    </row>
    <row r="34" spans="1:8" s="104" customFormat="1" ht="12.5">
      <c r="A34" s="108">
        <v>16</v>
      </c>
      <c r="B34" s="109" t="s">
        <v>215</v>
      </c>
      <c r="C34" s="109" t="s">
        <v>216</v>
      </c>
      <c r="D34" s="110">
        <v>91.67</v>
      </c>
      <c r="E34" s="110">
        <v>90.91</v>
      </c>
      <c r="F34" s="110">
        <v>83.67</v>
      </c>
      <c r="G34" s="110">
        <f t="shared" si="0"/>
        <v>87.499200000000002</v>
      </c>
      <c r="H34" s="110" t="str">
        <f>IFERROR(VLOOKUP(G34,[4]Sheet1!$AA$1:$AB$10,2),"")</f>
        <v>A-</v>
      </c>
    </row>
    <row r="35" spans="1:8" s="104" customFormat="1" ht="12.5">
      <c r="A35" s="108">
        <v>17</v>
      </c>
      <c r="B35" s="109" t="s">
        <v>217</v>
      </c>
      <c r="C35" s="109" t="s">
        <v>218</v>
      </c>
      <c r="D35" s="110">
        <v>91.67</v>
      </c>
      <c r="E35" s="110">
        <v>90.91</v>
      </c>
      <c r="F35" s="110">
        <v>69.39</v>
      </c>
      <c r="G35" s="110">
        <f t="shared" si="0"/>
        <v>80.50200000000001</v>
      </c>
      <c r="H35" s="110" t="str">
        <f>IFERROR(VLOOKUP(G35,[4]Sheet1!$AA$1:$AB$10,2),"")</f>
        <v>B+</v>
      </c>
    </row>
    <row r="36" spans="1:8" s="104" customFormat="1" ht="12.5">
      <c r="A36" s="108">
        <v>18</v>
      </c>
      <c r="B36" s="109" t="s">
        <v>219</v>
      </c>
      <c r="C36" s="109" t="s">
        <v>220</v>
      </c>
      <c r="D36" s="110">
        <v>86.11</v>
      </c>
      <c r="E36" s="110">
        <v>83.33</v>
      </c>
      <c r="F36" s="110">
        <v>62.24</v>
      </c>
      <c r="G36" s="110">
        <f t="shared" si="0"/>
        <v>73.496300000000005</v>
      </c>
      <c r="H36" s="110" t="str">
        <f>IFERROR(VLOOKUP(G36,[4]Sheet1!$AA$1:$AB$10,2),"")</f>
        <v>B</v>
      </c>
    </row>
    <row r="37" spans="1:8" s="104" customFormat="1" ht="12.5">
      <c r="A37" s="108">
        <v>19</v>
      </c>
      <c r="B37" s="109" t="s">
        <v>221</v>
      </c>
      <c r="C37" s="109" t="s">
        <v>222</v>
      </c>
      <c r="D37" s="110">
        <v>91.67</v>
      </c>
      <c r="E37" s="110">
        <v>90.91</v>
      </c>
      <c r="F37" s="110">
        <v>80.099999999999994</v>
      </c>
      <c r="G37" s="110">
        <f t="shared" si="0"/>
        <v>85.749899999999997</v>
      </c>
      <c r="H37" s="110" t="str">
        <f>IFERROR(VLOOKUP(G37,[4]Sheet1!$AA$1:$AB$10,2),"")</f>
        <v>A-</v>
      </c>
    </row>
    <row r="38" spans="1:8" s="104" customFormat="1" ht="12.5">
      <c r="A38" s="108">
        <v>20</v>
      </c>
      <c r="B38" s="109" t="s">
        <v>223</v>
      </c>
      <c r="C38" s="109" t="s">
        <v>224</v>
      </c>
      <c r="D38" s="110">
        <v>86.11</v>
      </c>
      <c r="E38" s="110">
        <v>83.33</v>
      </c>
      <c r="F38" s="110">
        <v>90.82</v>
      </c>
      <c r="G38" s="110">
        <f t="shared" si="0"/>
        <v>87.500499999999988</v>
      </c>
      <c r="H38" s="110" t="str">
        <f>IFERROR(VLOOKUP(G38,[4]Sheet1!$AA$1:$AB$10,2),"")</f>
        <v>A-</v>
      </c>
    </row>
    <row r="39" spans="1:8" s="104" customFormat="1" ht="12.5">
      <c r="A39" s="108">
        <v>21</v>
      </c>
      <c r="B39" s="109" t="s">
        <v>225</v>
      </c>
      <c r="C39" s="109" t="s">
        <v>226</v>
      </c>
      <c r="D39" s="110">
        <v>91.67</v>
      </c>
      <c r="E39" s="110">
        <v>90.91</v>
      </c>
      <c r="F39" s="110">
        <v>62.24</v>
      </c>
      <c r="G39" s="110">
        <f t="shared" si="0"/>
        <v>76.998500000000007</v>
      </c>
      <c r="H39" s="110" t="str">
        <f>IFERROR(VLOOKUP(G39,[4]Sheet1!$AA$1:$AB$10,2),"")</f>
        <v>B+</v>
      </c>
    </row>
    <row r="40" spans="1:8" s="104" customFormat="1" ht="12.5">
      <c r="A40" s="108">
        <v>22</v>
      </c>
      <c r="B40" s="109" t="s">
        <v>227</v>
      </c>
      <c r="C40" s="109" t="s">
        <v>228</v>
      </c>
      <c r="D40" s="110">
        <v>91.67</v>
      </c>
      <c r="E40" s="110">
        <v>90.91</v>
      </c>
      <c r="F40" s="110">
        <v>90.82</v>
      </c>
      <c r="G40" s="110">
        <f t="shared" si="0"/>
        <v>91.002700000000004</v>
      </c>
      <c r="H40" s="110" t="str">
        <f>IFERROR(VLOOKUP(G40,[4]Sheet1!$AA$1:$AB$10,2),"")</f>
        <v>A</v>
      </c>
    </row>
    <row r="41" spans="1:8" s="104" customFormat="1" ht="12.5">
      <c r="A41" s="108">
        <v>23</v>
      </c>
      <c r="B41" s="109" t="s">
        <v>229</v>
      </c>
      <c r="C41" s="109" t="s">
        <v>230</v>
      </c>
      <c r="D41" s="110">
        <v>91.67</v>
      </c>
      <c r="E41" s="110">
        <v>90.91</v>
      </c>
      <c r="F41" s="110">
        <v>69.39</v>
      </c>
      <c r="G41" s="110">
        <f t="shared" si="0"/>
        <v>80.50200000000001</v>
      </c>
      <c r="H41" s="110" t="str">
        <f>IFERROR(VLOOKUP(G41,[4]Sheet1!$AA$1:$AB$10,2),"")</f>
        <v>B+</v>
      </c>
    </row>
    <row r="42" spans="1:8" s="104" customFormat="1" ht="12.5">
      <c r="A42" s="108">
        <v>24</v>
      </c>
      <c r="B42" s="109" t="s">
        <v>293</v>
      </c>
      <c r="C42" s="109" t="s">
        <v>294</v>
      </c>
      <c r="D42" s="110">
        <v>86.11</v>
      </c>
      <c r="E42" s="110">
        <v>83.33</v>
      </c>
      <c r="F42" s="110">
        <v>80.099999999999994</v>
      </c>
      <c r="G42" s="110">
        <f t="shared" si="0"/>
        <v>82.247699999999995</v>
      </c>
      <c r="H42" s="110" t="str">
        <f>IFERROR(VLOOKUP(G42,[4]Sheet1!$AA$1:$AB$10,2),"")</f>
        <v>B+</v>
      </c>
    </row>
    <row r="43" spans="1:8" s="104" customFormat="1" ht="12.5">
      <c r="A43" s="108">
        <v>25</v>
      </c>
      <c r="B43" s="109" t="s">
        <v>291</v>
      </c>
      <c r="C43" s="109" t="s">
        <v>292</v>
      </c>
      <c r="D43" s="110">
        <v>86.11</v>
      </c>
      <c r="E43" s="110">
        <v>83.33</v>
      </c>
      <c r="F43" s="110">
        <v>62.24</v>
      </c>
      <c r="G43" s="110">
        <f t="shared" si="0"/>
        <v>73.496300000000005</v>
      </c>
      <c r="H43" s="110" t="str">
        <f>IFERROR(VLOOKUP(G43,[4]Sheet1!$AA$1:$AB$10,2),"")</f>
        <v>B</v>
      </c>
    </row>
    <row r="44" spans="1:8" s="104" customFormat="1" ht="12.5">
      <c r="A44" s="108">
        <v>26</v>
      </c>
      <c r="B44" s="109" t="s">
        <v>231</v>
      </c>
      <c r="C44" s="109" t="s">
        <v>257</v>
      </c>
      <c r="D44" s="110">
        <v>89.44</v>
      </c>
      <c r="E44" s="110">
        <v>89.85</v>
      </c>
      <c r="F44" s="110">
        <v>94.9</v>
      </c>
      <c r="G44" s="110">
        <f t="shared" si="0"/>
        <v>92.250700000000009</v>
      </c>
      <c r="H44" s="110" t="str">
        <f>IFERROR(VLOOKUP(G44,[4]Sheet1!$AA$1:$AB$10,2),"")</f>
        <v>A</v>
      </c>
    </row>
    <row r="45" spans="1:8" s="104" customFormat="1" ht="12.5">
      <c r="A45" s="108">
        <v>27</v>
      </c>
      <c r="B45" s="109" t="s">
        <v>233</v>
      </c>
      <c r="C45" s="109" t="s">
        <v>234</v>
      </c>
      <c r="D45" s="110">
        <v>86.67</v>
      </c>
      <c r="E45" s="110">
        <v>86.06</v>
      </c>
      <c r="F45" s="110">
        <v>94.9</v>
      </c>
      <c r="G45" s="110">
        <f t="shared" si="0"/>
        <v>90.501400000000004</v>
      </c>
      <c r="H45" s="110" t="str">
        <f>IFERROR(VLOOKUP(G45,[4]Sheet1!$AA$1:$AB$10,2),"")</f>
        <v>A</v>
      </c>
    </row>
    <row r="46" spans="1:8" s="104" customFormat="1" ht="12.5">
      <c r="A46" s="108">
        <v>28</v>
      </c>
      <c r="B46" s="109" t="s">
        <v>235</v>
      </c>
      <c r="C46" s="109" t="s">
        <v>236</v>
      </c>
      <c r="D46" s="110">
        <v>83.33</v>
      </c>
      <c r="E46" s="110">
        <v>81.819999999999993</v>
      </c>
      <c r="F46" s="110">
        <v>86.22</v>
      </c>
      <c r="G46" s="110">
        <f t="shared" si="0"/>
        <v>84.247799999999998</v>
      </c>
      <c r="H46" s="110" t="str">
        <f>IFERROR(VLOOKUP(G46,[4]Sheet1!$AA$1:$AB$10,2),"")</f>
        <v>B+</v>
      </c>
    </row>
    <row r="47" spans="1:8" s="104" customFormat="1" ht="12.5">
      <c r="A47" s="108">
        <v>29</v>
      </c>
      <c r="B47" s="109" t="s">
        <v>237</v>
      </c>
      <c r="C47" s="109" t="s">
        <v>238</v>
      </c>
      <c r="D47" s="110">
        <v>83.89</v>
      </c>
      <c r="E47" s="110">
        <v>82.27</v>
      </c>
      <c r="F47" s="110">
        <v>86.73</v>
      </c>
      <c r="G47" s="110">
        <f t="shared" si="0"/>
        <v>84.747</v>
      </c>
      <c r="H47" s="110" t="str">
        <f>IFERROR(VLOOKUP(G47,[4]Sheet1!$AA$1:$AB$10,2),"")</f>
        <v>A-</v>
      </c>
    </row>
    <row r="48" spans="1:8" s="104" customFormat="1" ht="12.5">
      <c r="A48" s="108">
        <v>30</v>
      </c>
      <c r="B48" s="109" t="s">
        <v>239</v>
      </c>
      <c r="C48" s="109" t="s">
        <v>240</v>
      </c>
      <c r="D48" s="110">
        <v>83.89</v>
      </c>
      <c r="E48" s="110">
        <v>82.27</v>
      </c>
      <c r="F48" s="110">
        <v>86.73</v>
      </c>
      <c r="G48" s="110">
        <f t="shared" si="0"/>
        <v>84.747</v>
      </c>
      <c r="H48" s="110" t="str">
        <f>IFERROR(VLOOKUP(G48,[4]Sheet1!$AA$1:$AB$10,2),"")</f>
        <v>A-</v>
      </c>
    </row>
    <row r="49" spans="1:8" s="104" customFormat="1" ht="12.5">
      <c r="A49" s="108">
        <v>31</v>
      </c>
      <c r="B49" s="109" t="s">
        <v>241</v>
      </c>
      <c r="C49" s="109" t="s">
        <v>242</v>
      </c>
      <c r="D49" s="110">
        <v>93.61</v>
      </c>
      <c r="E49" s="110">
        <v>94.39</v>
      </c>
      <c r="F49" s="110">
        <v>99.49</v>
      </c>
      <c r="G49" s="110">
        <f t="shared" si="0"/>
        <v>96.748599999999996</v>
      </c>
      <c r="H49" s="110" t="str">
        <f>IFERROR(VLOOKUP(G49,[4]Sheet1!$AA$1:$AB$10,2),"")</f>
        <v>A</v>
      </c>
    </row>
    <row r="50" spans="1:8" s="104" customFormat="1" ht="12.5">
      <c r="A50" s="108">
        <v>32</v>
      </c>
      <c r="B50" s="109" t="s">
        <v>243</v>
      </c>
      <c r="C50" s="109" t="s">
        <v>244</v>
      </c>
      <c r="D50" s="110">
        <v>87.5</v>
      </c>
      <c r="E50" s="110">
        <v>86.36</v>
      </c>
      <c r="F50" s="110">
        <v>95.41</v>
      </c>
      <c r="G50" s="110">
        <f t="shared" si="0"/>
        <v>90.99969999999999</v>
      </c>
      <c r="H50" s="110" t="str">
        <f>IFERROR(VLOOKUP(G50,[4]Sheet1!$AA$1:$AB$10,2),"")</f>
        <v>A</v>
      </c>
    </row>
    <row r="51" spans="1:8" s="104" customFormat="1" ht="12.5">
      <c r="A51" s="108">
        <v>33</v>
      </c>
      <c r="B51" s="109" t="s">
        <v>245</v>
      </c>
      <c r="C51" s="109" t="s">
        <v>246</v>
      </c>
      <c r="D51" s="110">
        <v>83.33</v>
      </c>
      <c r="E51" s="110">
        <v>81.819999999999993</v>
      </c>
      <c r="F51" s="110">
        <v>83.16</v>
      </c>
      <c r="G51" s="110">
        <f t="shared" si="0"/>
        <v>82.748400000000004</v>
      </c>
      <c r="H51" s="110" t="str">
        <f>IFERROR(VLOOKUP(G51,[4]Sheet1!$AA$1:$AB$10,2),"")</f>
        <v>B+</v>
      </c>
    </row>
    <row r="52" spans="1:8" s="104" customFormat="1" ht="12.5">
      <c r="A52" s="108">
        <v>34</v>
      </c>
      <c r="B52" s="109" t="s">
        <v>247</v>
      </c>
      <c r="C52" s="109" t="s">
        <v>248</v>
      </c>
      <c r="D52" s="110">
        <v>83.89</v>
      </c>
      <c r="E52" s="110">
        <v>82.27</v>
      </c>
      <c r="F52" s="110">
        <v>87.24</v>
      </c>
      <c r="G52" s="110">
        <f t="shared" si="0"/>
        <v>84.996899999999997</v>
      </c>
      <c r="H52" s="110" t="str">
        <f>IFERROR(VLOOKUP(G52,[4]Sheet1!$AA$1:$AB$10,2),"")</f>
        <v>A-</v>
      </c>
    </row>
    <row r="53" spans="1:8" s="104" customFormat="1" ht="12.5">
      <c r="A53" s="108">
        <v>35</v>
      </c>
      <c r="B53" s="109" t="s">
        <v>249</v>
      </c>
      <c r="C53" s="109" t="s">
        <v>250</v>
      </c>
      <c r="D53" s="110"/>
      <c r="E53" s="110"/>
      <c r="F53" s="110"/>
      <c r="G53" s="110"/>
      <c r="H53" s="110"/>
    </row>
    <row r="54" spans="1:8" s="104" customFormat="1" ht="12.5">
      <c r="A54" s="108">
        <v>36</v>
      </c>
      <c r="B54" s="109" t="s">
        <v>251</v>
      </c>
      <c r="C54" s="109" t="s">
        <v>252</v>
      </c>
      <c r="D54" s="110"/>
      <c r="E54" s="110"/>
      <c r="F54" s="110"/>
      <c r="G54" s="110"/>
      <c r="H54" s="110"/>
    </row>
    <row r="55" spans="1:8">
      <c r="C55" s="34"/>
      <c r="G55" s="35"/>
    </row>
    <row r="56" spans="1:8" ht="14.5" thickBot="1">
      <c r="C56" s="34"/>
      <c r="D56" s="35" t="str">
        <f t="shared" ref="D56:F56" si="1">D16</f>
        <v>CPMK23</v>
      </c>
      <c r="E56" s="35" t="str">
        <f t="shared" si="1"/>
        <v>CPMK24</v>
      </c>
      <c r="F56" s="35" t="str">
        <f t="shared" si="1"/>
        <v>CPMK25</v>
      </c>
      <c r="G56" s="35" t="str">
        <f>G12</f>
        <v>Nilai Akhir MK</v>
      </c>
    </row>
    <row r="57" spans="1:8" ht="14.5" thickBot="1">
      <c r="C57" s="38" t="s">
        <v>105</v>
      </c>
      <c r="D57" s="39">
        <f>IFERROR(COUNTIF(D19:D54,""),"")</f>
        <v>2</v>
      </c>
      <c r="E57" s="39">
        <f t="shared" ref="E57:F57" si="2">IFERROR(COUNTIF(E19:E54,""),"")</f>
        <v>2</v>
      </c>
      <c r="F57" s="39">
        <f t="shared" si="2"/>
        <v>2</v>
      </c>
      <c r="G57" s="39">
        <f>IFERROR(COUNTIF(G19:G54,""),"")</f>
        <v>2</v>
      </c>
    </row>
    <row r="58" spans="1:8" ht="14.5" thickBot="1">
      <c r="C58" s="40" t="s">
        <v>97</v>
      </c>
      <c r="D58" s="220">
        <f>IFERROR(COUNTIF(D19:D54,$C$58)+COUNTIF(D19:D54,""),"")-D57</f>
        <v>1</v>
      </c>
      <c r="E58" s="220">
        <f t="shared" ref="E58:F58" si="3">IFERROR(COUNTIF(E19:E54,$C$58)+COUNTIF(E19:E54,""),"")-E57</f>
        <v>1</v>
      </c>
      <c r="F58" s="220">
        <f t="shared" si="3"/>
        <v>6</v>
      </c>
      <c r="G58" s="41">
        <f>IFERROR(COUNTIF(G19:G54,C58)+COUNTIF(G19:G54,""),"")</f>
        <v>4</v>
      </c>
    </row>
    <row r="59" spans="1:8" ht="14.5" thickBot="1">
      <c r="C59" s="42" t="s">
        <v>98</v>
      </c>
      <c r="D59" s="43">
        <f>IFERROR(COUNTIF(D19:D54,$C$59)-D58,"")</f>
        <v>5</v>
      </c>
      <c r="E59" s="43">
        <f t="shared" ref="E59:F59" si="4">IFERROR(COUNTIF(E19:E54,$C$59)-E58,"")</f>
        <v>17</v>
      </c>
      <c r="F59" s="43">
        <f t="shared" si="4"/>
        <v>13</v>
      </c>
      <c r="G59" s="44">
        <f>IFERROR(COUNTIF(G19:G54,C59)-G58,"")</f>
        <v>13</v>
      </c>
    </row>
    <row r="60" spans="1:8" ht="14.5" thickBot="1">
      <c r="C60" s="45" t="s">
        <v>99</v>
      </c>
      <c r="D60" s="46">
        <f>COUNTIF(D19:D54,$C$60)</f>
        <v>28</v>
      </c>
      <c r="E60" s="46">
        <f>COUNTIF(E19:E54,$C$60)</f>
        <v>16</v>
      </c>
      <c r="F60" s="46">
        <f>COUNTIF(F19:F54,$C$60)</f>
        <v>15</v>
      </c>
      <c r="G60" s="46">
        <f>IFERROR(COUNTIF(G19:G54,C60),"")</f>
        <v>17</v>
      </c>
    </row>
    <row r="61" spans="1:8" ht="14.5" thickBot="1">
      <c r="C61" s="47" t="s">
        <v>77</v>
      </c>
      <c r="D61" s="48">
        <f>SUM(D57:D60)</f>
        <v>36</v>
      </c>
      <c r="E61" s="48">
        <f>SUM(E57:E60)</f>
        <v>36</v>
      </c>
      <c r="F61" s="48">
        <f t="shared" ref="F61:G61" si="5">SUM(F57:F60)</f>
        <v>36</v>
      </c>
      <c r="G61" s="48">
        <f t="shared" si="5"/>
        <v>36</v>
      </c>
    </row>
    <row r="62" spans="1:8" ht="14.5" thickBot="1">
      <c r="C62" s="49"/>
      <c r="G62" s="35"/>
    </row>
    <row r="63" spans="1:8" ht="14.5" thickBot="1">
      <c r="C63" s="50" t="s">
        <v>100</v>
      </c>
      <c r="D63" s="51">
        <f>(D59+D60)/(D61-D57)</f>
        <v>0.97058823529411764</v>
      </c>
      <c r="E63" s="51"/>
      <c r="F63" s="51">
        <f>(F59+F60)/(F61-F57)</f>
        <v>0.82352941176470584</v>
      </c>
      <c r="G63" s="51">
        <f>(G59+G60)/(G61-G57)</f>
        <v>0.88235294117647056</v>
      </c>
    </row>
    <row r="64" spans="1:8" ht="14.5" thickBot="1">
      <c r="C64" s="49"/>
      <c r="G64" s="35"/>
    </row>
    <row r="65" spans="3:7" ht="14.5" thickBot="1">
      <c r="C65" s="50" t="s">
        <v>101</v>
      </c>
      <c r="D65" s="21">
        <f>MIN(D19:D54)</f>
        <v>36.5</v>
      </c>
      <c r="E65" s="21"/>
      <c r="F65" s="21">
        <f>MIN(F19:F54)</f>
        <v>26.53</v>
      </c>
      <c r="G65" s="52">
        <f>IFERROR(MIN(G19:G54),"")</f>
        <v>38.8996</v>
      </c>
    </row>
    <row r="66" spans="3:7" ht="14.5" thickBot="1">
      <c r="C66" s="50" t="s">
        <v>102</v>
      </c>
      <c r="D66" s="21">
        <f>MAX(D19:D54)</f>
        <v>93.61</v>
      </c>
      <c r="E66" s="21"/>
      <c r="F66" s="21">
        <f>MAX(F19:F54)</f>
        <v>99.49</v>
      </c>
      <c r="G66" s="52">
        <f>IFERROR(MAX(G19:G54),"")</f>
        <v>96.748599999999996</v>
      </c>
    </row>
    <row r="67" spans="3:7" ht="14.5" thickBot="1">
      <c r="C67" s="50" t="s">
        <v>103</v>
      </c>
      <c r="D67" s="52">
        <f>AVERAGE(D19:D54)</f>
        <v>86.600294117647053</v>
      </c>
      <c r="E67" s="52"/>
      <c r="F67" s="52">
        <f>AVERAGE(F19:F54)</f>
        <v>80.042058823529388</v>
      </c>
      <c r="G67" s="52">
        <f>IFERROR(AVERAGE(G19:G54),"")</f>
        <v>82.735979411764689</v>
      </c>
    </row>
  </sheetData>
  <mergeCells count="9">
    <mergeCell ref="A1:I1"/>
    <mergeCell ref="A2:I2"/>
    <mergeCell ref="D12:F12"/>
    <mergeCell ref="G12:G17"/>
    <mergeCell ref="H12:H17"/>
    <mergeCell ref="D13:F13"/>
    <mergeCell ref="D14:F14"/>
    <mergeCell ref="E4:F4"/>
    <mergeCell ref="E5:F5"/>
  </mergeCells>
  <phoneticPr fontId="21" type="noConversion"/>
  <printOptions horizontalCentered="1"/>
  <pageMargins left="0.19685039370078741" right="0.11811023622047245" top="0.19685039370078741" bottom="0.15748031496062992" header="0" footer="0"/>
  <pageSetup paperSize="9" scale="87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29A6C-959A-4D6B-A858-19FE8B001863}">
  <sheetPr>
    <pageSetUpPr fitToPage="1"/>
  </sheetPr>
  <dimension ref="A1:V67"/>
  <sheetViews>
    <sheetView view="pageBreakPreview" zoomScale="110" zoomScaleNormal="100" zoomScaleSheetLayoutView="110" workbookViewId="0">
      <selection activeCell="E17" sqref="E17"/>
    </sheetView>
  </sheetViews>
  <sheetFormatPr defaultRowHeight="14"/>
  <cols>
    <col min="1" max="1" width="4" customWidth="1"/>
    <col min="2" max="2" width="12.83203125" customWidth="1"/>
    <col min="3" max="3" width="32.6640625" customWidth="1"/>
    <col min="4" max="4" width="13.08203125" customWidth="1"/>
    <col min="5" max="5" width="15.25" customWidth="1"/>
    <col min="6" max="6" width="12.6640625" customWidth="1"/>
    <col min="9" max="9" width="13" customWidth="1"/>
  </cols>
  <sheetData>
    <row r="1" spans="1:22" ht="18">
      <c r="A1" s="236" t="s">
        <v>78</v>
      </c>
      <c r="B1" s="236"/>
      <c r="C1" s="236"/>
      <c r="D1" s="236"/>
      <c r="E1" s="236"/>
      <c r="F1" s="236"/>
      <c r="G1" s="236"/>
      <c r="H1" s="236"/>
      <c r="I1" s="32"/>
    </row>
    <row r="2" spans="1:22" ht="18.5" thickBot="1">
      <c r="A2" s="237" t="s">
        <v>79</v>
      </c>
      <c r="B2" s="237"/>
      <c r="C2" s="237"/>
      <c r="D2" s="237"/>
      <c r="E2" s="237"/>
      <c r="F2" s="237"/>
      <c r="G2" s="237"/>
      <c r="H2" s="237"/>
      <c r="I2" s="32"/>
    </row>
    <row r="4" spans="1:22">
      <c r="A4" t="s">
        <v>80</v>
      </c>
      <c r="C4" t="s">
        <v>81</v>
      </c>
      <c r="E4" t="s">
        <v>82</v>
      </c>
      <c r="F4" t="s">
        <v>253</v>
      </c>
    </row>
    <row r="5" spans="1:22">
      <c r="A5" t="s">
        <v>41</v>
      </c>
      <c r="C5" s="33" t="s">
        <v>322</v>
      </c>
      <c r="E5" t="s">
        <v>84</v>
      </c>
      <c r="F5" t="s">
        <v>254</v>
      </c>
    </row>
    <row r="6" spans="1:22">
      <c r="A6" t="s">
        <v>42</v>
      </c>
      <c r="C6" t="s">
        <v>339</v>
      </c>
    </row>
    <row r="7" spans="1:22">
      <c r="A7" t="s">
        <v>86</v>
      </c>
      <c r="C7" t="s">
        <v>111</v>
      </c>
    </row>
    <row r="8" spans="1:22">
      <c r="A8" t="s">
        <v>88</v>
      </c>
      <c r="C8" t="s">
        <v>89</v>
      </c>
    </row>
    <row r="9" spans="1:22">
      <c r="A9" t="s">
        <v>90</v>
      </c>
      <c r="C9" t="s">
        <v>341</v>
      </c>
    </row>
    <row r="10" spans="1:22">
      <c r="C10" t="s">
        <v>340</v>
      </c>
    </row>
    <row r="11" spans="1:22">
      <c r="C11" s="34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</row>
    <row r="12" spans="1:22" s="104" customFormat="1" ht="13">
      <c r="C12" s="221"/>
      <c r="D12" s="254" t="s">
        <v>312</v>
      </c>
      <c r="E12" s="255"/>
      <c r="F12" s="240" t="s">
        <v>91</v>
      </c>
      <c r="G12" s="240" t="s">
        <v>92</v>
      </c>
    </row>
    <row r="13" spans="1:22" s="104" customFormat="1" ht="13">
      <c r="C13" s="221"/>
      <c r="D13" s="243" t="str">
        <f>TRIM(MID(C5,2,20))</f>
        <v>P.24.05.52.2.10</v>
      </c>
      <c r="E13" s="243"/>
      <c r="F13" s="241"/>
      <c r="G13" s="241"/>
    </row>
    <row r="14" spans="1:22" s="104" customFormat="1" ht="12.5">
      <c r="C14" s="105"/>
      <c r="D14" s="256" t="str">
        <f>TRIM(MID(C6,2,100))</f>
        <v>Akuntansi Biaya</v>
      </c>
      <c r="E14" s="257"/>
      <c r="F14" s="241"/>
      <c r="G14" s="241"/>
    </row>
    <row r="15" spans="1:22" s="104" customFormat="1" ht="12.5">
      <c r="C15" s="105"/>
      <c r="D15" s="191" t="s">
        <v>106</v>
      </c>
      <c r="E15" s="191" t="s">
        <v>106</v>
      </c>
      <c r="F15" s="241"/>
      <c r="G15" s="241"/>
    </row>
    <row r="16" spans="1:22" s="104" customFormat="1" ht="12.5">
      <c r="C16" s="105"/>
      <c r="D16" s="191" t="s">
        <v>350</v>
      </c>
      <c r="E16" s="191" t="s">
        <v>351</v>
      </c>
      <c r="F16" s="241"/>
      <c r="G16" s="241"/>
    </row>
    <row r="17" spans="1:7" s="104" customFormat="1" ht="12.5">
      <c r="C17" s="105"/>
      <c r="D17" s="191">
        <v>50</v>
      </c>
      <c r="E17" s="191">
        <v>50</v>
      </c>
      <c r="F17" s="242"/>
      <c r="G17" s="242"/>
    </row>
    <row r="18" spans="1:7" s="104" customFormat="1" ht="13">
      <c r="A18" s="107" t="s">
        <v>0</v>
      </c>
      <c r="B18" s="107" t="s">
        <v>1</v>
      </c>
      <c r="C18" s="107" t="s">
        <v>2</v>
      </c>
      <c r="D18" s="107"/>
      <c r="E18" s="107"/>
      <c r="F18" s="107"/>
      <c r="G18" s="107"/>
    </row>
    <row r="19" spans="1:7" s="104" customFormat="1" ht="12.5">
      <c r="A19" s="108">
        <v>1</v>
      </c>
      <c r="B19" s="109" t="s">
        <v>187</v>
      </c>
      <c r="C19" s="109" t="s">
        <v>188</v>
      </c>
      <c r="D19" s="110">
        <v>69.2</v>
      </c>
      <c r="E19" s="110">
        <v>68.2</v>
      </c>
      <c r="F19" s="110">
        <f>IFERROR((D19*($D$17/100))+(E19*($E$17/100)),"")</f>
        <v>68.7</v>
      </c>
      <c r="G19" s="110" t="str">
        <f>IFERROR(VLOOKUP(F21,[4]Sheet1!$AA$1:$AB$10,2),"")</f>
        <v>B-</v>
      </c>
    </row>
    <row r="20" spans="1:7" s="104" customFormat="1" ht="12.5">
      <c r="A20" s="108">
        <v>2</v>
      </c>
      <c r="B20" s="109" t="s">
        <v>189</v>
      </c>
      <c r="C20" s="109" t="s">
        <v>190</v>
      </c>
      <c r="D20" s="110">
        <v>82</v>
      </c>
      <c r="E20" s="110">
        <v>82</v>
      </c>
      <c r="F20" s="110">
        <f>IFERROR((D20*($D$17/100))+(E20*($E$17/100)),"")</f>
        <v>82</v>
      </c>
      <c r="G20" s="110" t="str">
        <f>IFERROR(VLOOKUP(F20,[5]Sheet1!$AA$1:$AB$10,2),"")</f>
        <v>B+</v>
      </c>
    </row>
    <row r="21" spans="1:7" s="104" customFormat="1" ht="12.5">
      <c r="A21" s="108">
        <v>3</v>
      </c>
      <c r="B21" s="109" t="s">
        <v>191</v>
      </c>
      <c r="C21" s="109" t="s">
        <v>192</v>
      </c>
      <c r="D21" s="110">
        <v>68.099999999999994</v>
      </c>
      <c r="E21" s="110">
        <v>67.599999999999994</v>
      </c>
      <c r="F21" s="110">
        <f t="shared" ref="F21:F52" si="0">IFERROR((D21*($D$17/100))+(E21*($E$17/100)),"")</f>
        <v>67.849999999999994</v>
      </c>
      <c r="G21" s="110" t="str">
        <f>IFERROR(VLOOKUP(F21,[5]Sheet1!$AA$1:$AB$10,2),"")</f>
        <v>B-</v>
      </c>
    </row>
    <row r="22" spans="1:7" s="104" customFormat="1" ht="12.5">
      <c r="A22" s="108">
        <v>4</v>
      </c>
      <c r="B22" s="109" t="s">
        <v>193</v>
      </c>
      <c r="C22" s="109" t="s">
        <v>194</v>
      </c>
      <c r="D22" s="110">
        <v>66.2</v>
      </c>
      <c r="E22" s="110">
        <v>66.2</v>
      </c>
      <c r="F22" s="110">
        <f t="shared" si="0"/>
        <v>66.2</v>
      </c>
      <c r="G22" s="110" t="str">
        <f>IFERROR(VLOOKUP(F22,[5]Sheet1!$AA$1:$AB$10,2),"")</f>
        <v>B-</v>
      </c>
    </row>
    <row r="23" spans="1:7" s="104" customFormat="1" ht="12.5">
      <c r="A23" s="108">
        <v>5</v>
      </c>
      <c r="B23" s="109" t="s">
        <v>195</v>
      </c>
      <c r="C23" s="109" t="s">
        <v>196</v>
      </c>
      <c r="D23" s="110">
        <v>76.7</v>
      </c>
      <c r="E23" s="110">
        <v>75.5</v>
      </c>
      <c r="F23" s="110">
        <f t="shared" si="0"/>
        <v>76.099999999999994</v>
      </c>
      <c r="G23" s="110" t="str">
        <f>IFERROR(VLOOKUP(F23,[5]Sheet1!$AA$1:$AB$10,2),"")</f>
        <v>B+</v>
      </c>
    </row>
    <row r="24" spans="1:7" s="104" customFormat="1" ht="12.5">
      <c r="A24" s="108">
        <v>6</v>
      </c>
      <c r="B24" s="109" t="s">
        <v>197</v>
      </c>
      <c r="C24" s="109" t="s">
        <v>198</v>
      </c>
      <c r="D24" s="110">
        <v>68.8</v>
      </c>
      <c r="E24" s="110">
        <v>67.5</v>
      </c>
      <c r="F24" s="110">
        <f t="shared" si="0"/>
        <v>68.150000000000006</v>
      </c>
      <c r="G24" s="110" t="str">
        <f>IFERROR(VLOOKUP(F24,[5]Sheet1!$AA$1:$AB$10,2),"")</f>
        <v>B-</v>
      </c>
    </row>
    <row r="25" spans="1:7" s="104" customFormat="1" ht="12.5">
      <c r="A25" s="108">
        <v>7</v>
      </c>
      <c r="B25" s="109" t="s">
        <v>199</v>
      </c>
      <c r="C25" s="109" t="s">
        <v>200</v>
      </c>
      <c r="D25" s="110">
        <v>88.9</v>
      </c>
      <c r="E25" s="110">
        <v>88.1</v>
      </c>
      <c r="F25" s="110">
        <f t="shared" si="0"/>
        <v>88.5</v>
      </c>
      <c r="G25" s="110" t="str">
        <f>IFERROR(VLOOKUP(F25,[5]Sheet1!$AA$1:$AB$10,2),"")</f>
        <v>A-</v>
      </c>
    </row>
    <row r="26" spans="1:7" s="104" customFormat="1" ht="12.5">
      <c r="A26" s="108">
        <v>8</v>
      </c>
      <c r="B26" s="109" t="s">
        <v>201</v>
      </c>
      <c r="C26" s="109" t="s">
        <v>202</v>
      </c>
      <c r="D26" s="110">
        <v>71.599999999999994</v>
      </c>
      <c r="E26" s="110">
        <v>71.599999999999994</v>
      </c>
      <c r="F26" s="110">
        <f t="shared" si="0"/>
        <v>71.599999999999994</v>
      </c>
      <c r="G26" s="110" t="str">
        <f>IFERROR(VLOOKUP(F26,[5]Sheet1!$AA$1:$AB$10,2),"")</f>
        <v>B</v>
      </c>
    </row>
    <row r="27" spans="1:7" s="104" customFormat="1" ht="12.5">
      <c r="A27" s="108">
        <v>9</v>
      </c>
      <c r="B27" s="109" t="s">
        <v>203</v>
      </c>
      <c r="C27" s="109" t="s">
        <v>204</v>
      </c>
      <c r="D27" s="110">
        <v>69.5</v>
      </c>
      <c r="E27" s="110">
        <v>68.7</v>
      </c>
      <c r="F27" s="110">
        <f t="shared" si="0"/>
        <v>69.099999999999994</v>
      </c>
      <c r="G27" s="110" t="str">
        <f>IFERROR(VLOOKUP(F27,[5]Sheet1!$AA$1:$AB$10,2),"")</f>
        <v>B-</v>
      </c>
    </row>
    <row r="28" spans="1:7" s="104" customFormat="1" ht="12.5">
      <c r="A28" s="108">
        <v>10</v>
      </c>
      <c r="B28" s="109" t="s">
        <v>205</v>
      </c>
      <c r="C28" s="109" t="s">
        <v>206</v>
      </c>
      <c r="D28" s="110">
        <v>73.7</v>
      </c>
      <c r="E28" s="110">
        <v>73</v>
      </c>
      <c r="F28" s="110">
        <f t="shared" si="0"/>
        <v>73.349999999999994</v>
      </c>
      <c r="G28" s="110" t="str">
        <f>IFERROR(VLOOKUP(F28,[5]Sheet1!$AA$1:$AB$10,2),"")</f>
        <v>B</v>
      </c>
    </row>
    <row r="29" spans="1:7" s="104" customFormat="1" ht="12.5">
      <c r="A29" s="108">
        <v>11</v>
      </c>
      <c r="B29" s="109" t="s">
        <v>255</v>
      </c>
      <c r="C29" s="109" t="s">
        <v>256</v>
      </c>
      <c r="D29" s="110">
        <v>14.3</v>
      </c>
      <c r="E29" s="110">
        <v>6.3</v>
      </c>
      <c r="F29" s="110">
        <f t="shared" si="0"/>
        <v>10.3</v>
      </c>
      <c r="G29" s="110" t="str">
        <f>IFERROR(VLOOKUP(F29,[5]Sheet1!$AA$1:$AB$10,2),"")</f>
        <v>E</v>
      </c>
    </row>
    <row r="30" spans="1:7" s="104" customFormat="1" ht="12.5">
      <c r="A30" s="108">
        <v>12</v>
      </c>
      <c r="B30" s="109" t="s">
        <v>207</v>
      </c>
      <c r="C30" s="109" t="s">
        <v>208</v>
      </c>
      <c r="D30" s="110">
        <v>82.9</v>
      </c>
      <c r="E30" s="110">
        <v>82.9</v>
      </c>
      <c r="F30" s="110">
        <f t="shared" si="0"/>
        <v>82.9</v>
      </c>
      <c r="G30" s="110" t="str">
        <f>IFERROR(VLOOKUP(F30,[5]Sheet1!$AA$1:$AB$10,2),"")</f>
        <v>B+</v>
      </c>
    </row>
    <row r="31" spans="1:7" s="104" customFormat="1" ht="12.5">
      <c r="A31" s="108">
        <v>13</v>
      </c>
      <c r="B31" s="109" t="s">
        <v>209</v>
      </c>
      <c r="C31" s="109" t="s">
        <v>210</v>
      </c>
      <c r="D31" s="110">
        <v>50.6</v>
      </c>
      <c r="E31" s="110">
        <v>50.6</v>
      </c>
      <c r="F31" s="110">
        <f t="shared" si="0"/>
        <v>50.6</v>
      </c>
      <c r="G31" s="110" t="str">
        <f>IFERROR(VLOOKUP(F31,[5]Sheet1!$AA$1:$AB$10,2),"")</f>
        <v>C-</v>
      </c>
    </row>
    <row r="32" spans="1:7" s="104" customFormat="1" ht="12.5">
      <c r="A32" s="108">
        <v>14</v>
      </c>
      <c r="B32" s="109" t="s">
        <v>211</v>
      </c>
      <c r="C32" s="109" t="s">
        <v>212</v>
      </c>
      <c r="D32" s="110">
        <v>82.9</v>
      </c>
      <c r="E32" s="110">
        <v>82.2</v>
      </c>
      <c r="F32" s="110">
        <f t="shared" si="0"/>
        <v>82.550000000000011</v>
      </c>
      <c r="G32" s="110" t="str">
        <f>IFERROR(VLOOKUP(F32,[5]Sheet1!$AA$1:$AB$10,2),"")</f>
        <v>B+</v>
      </c>
    </row>
    <row r="33" spans="1:7" s="104" customFormat="1" ht="12.5">
      <c r="A33" s="108">
        <v>15</v>
      </c>
      <c r="B33" s="109" t="s">
        <v>213</v>
      </c>
      <c r="C33" s="109" t="s">
        <v>214</v>
      </c>
      <c r="D33" s="110">
        <v>77.900000000000006</v>
      </c>
      <c r="E33" s="110">
        <v>76.5</v>
      </c>
      <c r="F33" s="110">
        <f t="shared" si="0"/>
        <v>77.2</v>
      </c>
      <c r="G33" s="110" t="str">
        <f>IFERROR(VLOOKUP(F33,[5]Sheet1!$AA$1:$AB$10,2),"")</f>
        <v>B+</v>
      </c>
    </row>
    <row r="34" spans="1:7" s="104" customFormat="1" ht="12.5">
      <c r="A34" s="108">
        <v>16</v>
      </c>
      <c r="B34" s="109" t="s">
        <v>215</v>
      </c>
      <c r="C34" s="109" t="s">
        <v>216</v>
      </c>
      <c r="D34" s="110">
        <v>72.8</v>
      </c>
      <c r="E34" s="110">
        <v>69.7</v>
      </c>
      <c r="F34" s="110">
        <f t="shared" si="0"/>
        <v>71.25</v>
      </c>
      <c r="G34" s="110" t="str">
        <f>IFERROR(VLOOKUP(F34,[5]Sheet1!$AA$1:$AB$10,2),"")</f>
        <v>B</v>
      </c>
    </row>
    <row r="35" spans="1:7" s="104" customFormat="1" ht="12.5">
      <c r="A35" s="108">
        <v>17</v>
      </c>
      <c r="B35" s="109" t="s">
        <v>217</v>
      </c>
      <c r="C35" s="109" t="s">
        <v>218</v>
      </c>
      <c r="D35" s="110">
        <v>69.3</v>
      </c>
      <c r="E35" s="110">
        <v>68.599999999999994</v>
      </c>
      <c r="F35" s="110">
        <f t="shared" si="0"/>
        <v>68.949999999999989</v>
      </c>
      <c r="G35" s="110" t="str">
        <f>IFERROR(VLOOKUP(F35,[5]Sheet1!$AA$1:$AB$10,2),"")</f>
        <v>B-</v>
      </c>
    </row>
    <row r="36" spans="1:7" s="104" customFormat="1" ht="12.5">
      <c r="A36" s="108">
        <v>18</v>
      </c>
      <c r="B36" s="109" t="s">
        <v>219</v>
      </c>
      <c r="C36" s="109" t="s">
        <v>220</v>
      </c>
      <c r="D36" s="110">
        <v>77.7</v>
      </c>
      <c r="E36" s="110">
        <v>77.599999999999994</v>
      </c>
      <c r="F36" s="110">
        <f t="shared" si="0"/>
        <v>77.650000000000006</v>
      </c>
      <c r="G36" s="110" t="str">
        <f>IFERROR(VLOOKUP(F36,[5]Sheet1!$AA$1:$AB$10,2),"")</f>
        <v>B+</v>
      </c>
    </row>
    <row r="37" spans="1:7" s="104" customFormat="1" ht="12.5">
      <c r="A37" s="108">
        <v>19</v>
      </c>
      <c r="B37" s="109" t="s">
        <v>221</v>
      </c>
      <c r="C37" s="109" t="s">
        <v>222</v>
      </c>
      <c r="D37" s="110">
        <v>77.8</v>
      </c>
      <c r="E37" s="110">
        <v>77</v>
      </c>
      <c r="F37" s="110">
        <f t="shared" si="0"/>
        <v>77.400000000000006</v>
      </c>
      <c r="G37" s="110" t="str">
        <f>IFERROR(VLOOKUP(F37,[5]Sheet1!$AA$1:$AB$10,2),"")</f>
        <v>B+</v>
      </c>
    </row>
    <row r="38" spans="1:7" s="104" customFormat="1" ht="12.5">
      <c r="A38" s="108">
        <v>20</v>
      </c>
      <c r="B38" s="109" t="s">
        <v>223</v>
      </c>
      <c r="C38" s="109" t="s">
        <v>224</v>
      </c>
      <c r="D38" s="110">
        <v>82</v>
      </c>
      <c r="E38" s="110">
        <v>82</v>
      </c>
      <c r="F38" s="110">
        <f t="shared" si="0"/>
        <v>82</v>
      </c>
      <c r="G38" s="110" t="str">
        <f>IFERROR(VLOOKUP(F38,[5]Sheet1!$AA$1:$AB$10,2),"")</f>
        <v>B+</v>
      </c>
    </row>
    <row r="39" spans="1:7" s="104" customFormat="1" ht="12.5">
      <c r="A39" s="108">
        <v>21</v>
      </c>
      <c r="B39" s="109" t="s">
        <v>225</v>
      </c>
      <c r="C39" s="109" t="s">
        <v>226</v>
      </c>
      <c r="D39" s="110">
        <v>67.599999999999994</v>
      </c>
      <c r="E39" s="110">
        <v>68.3</v>
      </c>
      <c r="F39" s="110">
        <f t="shared" si="0"/>
        <v>67.949999999999989</v>
      </c>
      <c r="G39" s="110" t="str">
        <f>IFERROR(VLOOKUP(F39,[5]Sheet1!$AA$1:$AB$10,2),"")</f>
        <v>B-</v>
      </c>
    </row>
    <row r="40" spans="1:7" s="104" customFormat="1" ht="12.5">
      <c r="A40" s="108">
        <v>22</v>
      </c>
      <c r="B40" s="109" t="s">
        <v>227</v>
      </c>
      <c r="C40" s="109" t="s">
        <v>228</v>
      </c>
      <c r="D40" s="110">
        <v>82</v>
      </c>
      <c r="E40" s="110">
        <v>82</v>
      </c>
      <c r="F40" s="110">
        <f t="shared" si="0"/>
        <v>82</v>
      </c>
      <c r="G40" s="110" t="str">
        <f>IFERROR(VLOOKUP(F40,[5]Sheet1!$AA$1:$AB$10,2),"")</f>
        <v>B+</v>
      </c>
    </row>
    <row r="41" spans="1:7" s="104" customFormat="1" ht="12.5">
      <c r="A41" s="108">
        <v>23</v>
      </c>
      <c r="B41" s="109" t="s">
        <v>229</v>
      </c>
      <c r="C41" s="109" t="s">
        <v>230</v>
      </c>
      <c r="D41" s="110">
        <v>81.400000000000006</v>
      </c>
      <c r="E41" s="110">
        <v>81.400000000000006</v>
      </c>
      <c r="F41" s="110">
        <f t="shared" si="0"/>
        <v>81.400000000000006</v>
      </c>
      <c r="G41" s="110" t="str">
        <f>IFERROR(VLOOKUP(F41,[5]Sheet1!$AA$1:$AB$10,2),"")</f>
        <v>B+</v>
      </c>
    </row>
    <row r="42" spans="1:7" s="104" customFormat="1" ht="12.5">
      <c r="A42" s="108">
        <v>24</v>
      </c>
      <c r="B42" s="109" t="s">
        <v>293</v>
      </c>
      <c r="C42" s="109" t="s">
        <v>294</v>
      </c>
      <c r="D42" s="110">
        <v>77.2</v>
      </c>
      <c r="E42" s="110">
        <v>77.8</v>
      </c>
      <c r="F42" s="110">
        <f t="shared" si="0"/>
        <v>77.5</v>
      </c>
      <c r="G42" s="110" t="str">
        <f>IFERROR(VLOOKUP(F42,[5]Sheet1!$AA$1:$AB$10,2),"")</f>
        <v>B+</v>
      </c>
    </row>
    <row r="43" spans="1:7" s="104" customFormat="1" ht="12.5">
      <c r="A43" s="108">
        <v>25</v>
      </c>
      <c r="B43" s="109" t="s">
        <v>291</v>
      </c>
      <c r="C43" s="109" t="s">
        <v>292</v>
      </c>
      <c r="D43" s="110">
        <v>69.3</v>
      </c>
      <c r="E43" s="110">
        <v>68.900000000000006</v>
      </c>
      <c r="F43" s="110">
        <f t="shared" si="0"/>
        <v>69.099999999999994</v>
      </c>
      <c r="G43" s="110" t="str">
        <f>IFERROR(VLOOKUP(F43,[5]Sheet1!$AA$1:$AB$10,2),"")</f>
        <v>B-</v>
      </c>
    </row>
    <row r="44" spans="1:7" s="104" customFormat="1" ht="12.5">
      <c r="A44" s="108">
        <v>26</v>
      </c>
      <c r="B44" s="109" t="s">
        <v>231</v>
      </c>
      <c r="C44" s="109" t="s">
        <v>257</v>
      </c>
      <c r="D44" s="110">
        <v>81.400000000000006</v>
      </c>
      <c r="E44" s="110">
        <v>61.9</v>
      </c>
      <c r="F44" s="110">
        <f t="shared" si="0"/>
        <v>71.650000000000006</v>
      </c>
      <c r="G44" s="110" t="str">
        <f>IFERROR(VLOOKUP(F44,[5]Sheet1!$AA$1:$AB$10,2),"")</f>
        <v>B</v>
      </c>
    </row>
    <row r="45" spans="1:7" s="104" customFormat="1" ht="12.5">
      <c r="A45" s="108">
        <v>27</v>
      </c>
      <c r="B45" s="109" t="s">
        <v>233</v>
      </c>
      <c r="C45" s="109" t="s">
        <v>234</v>
      </c>
      <c r="D45" s="110">
        <v>84.9</v>
      </c>
      <c r="E45" s="110">
        <v>76.900000000000006</v>
      </c>
      <c r="F45" s="110">
        <f t="shared" si="0"/>
        <v>80.900000000000006</v>
      </c>
      <c r="G45" s="110" t="str">
        <f>IFERROR(VLOOKUP(F45,[5]Sheet1!$AA$1:$AB$10,2),"")</f>
        <v>B+</v>
      </c>
    </row>
    <row r="46" spans="1:7" s="104" customFormat="1" ht="12.5">
      <c r="A46" s="108">
        <v>28</v>
      </c>
      <c r="B46" s="109" t="s">
        <v>235</v>
      </c>
      <c r="C46" s="109" t="s">
        <v>236</v>
      </c>
      <c r="D46" s="110">
        <v>81.400000000000006</v>
      </c>
      <c r="E46" s="110">
        <v>61.9</v>
      </c>
      <c r="F46" s="110">
        <f t="shared" si="0"/>
        <v>71.650000000000006</v>
      </c>
      <c r="G46" s="110" t="str">
        <f>IFERROR(VLOOKUP(F46,[5]Sheet1!$AA$1:$AB$10,2),"")</f>
        <v>B</v>
      </c>
    </row>
    <row r="47" spans="1:7" s="104" customFormat="1" ht="12.5">
      <c r="A47" s="108">
        <v>29</v>
      </c>
      <c r="B47" s="109" t="s">
        <v>237</v>
      </c>
      <c r="C47" s="109" t="s">
        <v>238</v>
      </c>
      <c r="D47" s="110">
        <v>81.400000000000006</v>
      </c>
      <c r="E47" s="110">
        <v>88.4</v>
      </c>
      <c r="F47" s="110">
        <f t="shared" si="0"/>
        <v>84.9</v>
      </c>
      <c r="G47" s="110" t="str">
        <f>IFERROR(VLOOKUP(F47,[5]Sheet1!$AA$1:$AB$10,2),"")</f>
        <v>A-</v>
      </c>
    </row>
    <row r="48" spans="1:7" s="104" customFormat="1" ht="12.5">
      <c r="A48" s="108">
        <v>30</v>
      </c>
      <c r="B48" s="109" t="s">
        <v>239</v>
      </c>
      <c r="C48" s="109" t="s">
        <v>240</v>
      </c>
      <c r="D48" s="110">
        <v>81.400000000000006</v>
      </c>
      <c r="E48" s="110">
        <v>9.4</v>
      </c>
      <c r="F48" s="110">
        <f t="shared" si="0"/>
        <v>45.400000000000006</v>
      </c>
      <c r="G48" s="110" t="str">
        <f>IFERROR(VLOOKUP(F48,[5]Sheet1!$AA$1:$AB$10,2),"")</f>
        <v>D</v>
      </c>
    </row>
    <row r="49" spans="1:7" s="104" customFormat="1" ht="12.5">
      <c r="A49" s="108">
        <v>31</v>
      </c>
      <c r="B49" s="109" t="s">
        <v>241</v>
      </c>
      <c r="C49" s="109" t="s">
        <v>242</v>
      </c>
      <c r="D49" s="110">
        <v>92.4</v>
      </c>
      <c r="E49" s="110">
        <v>90.4</v>
      </c>
      <c r="F49" s="110">
        <f t="shared" si="0"/>
        <v>91.4</v>
      </c>
      <c r="G49" s="110" t="str">
        <f>IFERROR(VLOOKUP(F49,[5]Sheet1!$AA$1:$AB$10,2),"")</f>
        <v>A</v>
      </c>
    </row>
    <row r="50" spans="1:7" s="104" customFormat="1" ht="12.5">
      <c r="A50" s="108">
        <v>32</v>
      </c>
      <c r="B50" s="109" t="s">
        <v>243</v>
      </c>
      <c r="C50" s="109" t="s">
        <v>244</v>
      </c>
      <c r="D50" s="110">
        <v>99.4</v>
      </c>
      <c r="E50" s="110">
        <v>99.4</v>
      </c>
      <c r="F50" s="110">
        <f t="shared" si="0"/>
        <v>99.4</v>
      </c>
      <c r="G50" s="110" t="str">
        <f>IFERROR(VLOOKUP(F50,[5]Sheet1!$AA$1:$AB$10,2),"")</f>
        <v>A</v>
      </c>
    </row>
    <row r="51" spans="1:7" s="104" customFormat="1" ht="12.5">
      <c r="A51" s="108">
        <v>33</v>
      </c>
      <c r="B51" s="109" t="s">
        <v>245</v>
      </c>
      <c r="C51" s="109" t="s">
        <v>246</v>
      </c>
      <c r="D51" s="110">
        <v>95.9</v>
      </c>
      <c r="E51" s="110">
        <v>88.4</v>
      </c>
      <c r="F51" s="110">
        <f t="shared" si="0"/>
        <v>92.15</v>
      </c>
      <c r="G51" s="110" t="str">
        <f>IFERROR(VLOOKUP(F51,[5]Sheet1!$AA$1:$AB$10,2),"")</f>
        <v>A</v>
      </c>
    </row>
    <row r="52" spans="1:7" s="104" customFormat="1" ht="12.5">
      <c r="A52" s="108">
        <v>34</v>
      </c>
      <c r="B52" s="109" t="s">
        <v>247</v>
      </c>
      <c r="C52" s="109" t="s">
        <v>248</v>
      </c>
      <c r="D52" s="110">
        <v>84.9</v>
      </c>
      <c r="E52" s="110">
        <v>65.400000000000006</v>
      </c>
      <c r="F52" s="110">
        <f t="shared" si="0"/>
        <v>75.150000000000006</v>
      </c>
      <c r="G52" s="110" t="str">
        <f>IFERROR(VLOOKUP(F52,[5]Sheet1!$AA$1:$AB$10,2),"")</f>
        <v>B</v>
      </c>
    </row>
    <row r="53" spans="1:7" s="104" customFormat="1" ht="12.5">
      <c r="A53" s="108">
        <v>35</v>
      </c>
      <c r="B53" s="109" t="s">
        <v>249</v>
      </c>
      <c r="C53" s="109" t="s">
        <v>250</v>
      </c>
      <c r="D53" s="110"/>
      <c r="E53" s="110"/>
      <c r="F53" s="110"/>
      <c r="G53" s="110"/>
    </row>
    <row r="54" spans="1:7" s="104" customFormat="1" ht="12.5">
      <c r="A54" s="108">
        <v>36</v>
      </c>
      <c r="B54" s="109" t="s">
        <v>251</v>
      </c>
      <c r="C54" s="109" t="s">
        <v>252</v>
      </c>
      <c r="D54" s="110"/>
      <c r="E54" s="110"/>
      <c r="F54" s="110"/>
      <c r="G54" s="110"/>
    </row>
    <row r="55" spans="1:7">
      <c r="C55" s="34"/>
      <c r="D55" s="35"/>
      <c r="E55" s="35"/>
      <c r="F55" s="35"/>
    </row>
    <row r="56" spans="1:7" ht="14.5" thickBot="1">
      <c r="C56" s="34"/>
      <c r="D56" s="35" t="str">
        <f t="shared" ref="D56:E56" si="1">D16</f>
        <v>CPMK41</v>
      </c>
      <c r="E56" s="35" t="str">
        <f t="shared" si="1"/>
        <v>CPMK42</v>
      </c>
      <c r="F56" s="35" t="str">
        <f>F12</f>
        <v>Nilai Akhir MK</v>
      </c>
    </row>
    <row r="57" spans="1:7" ht="14.5" thickBot="1">
      <c r="C57" s="38" t="s">
        <v>105</v>
      </c>
      <c r="D57" s="39">
        <f>IFERROR(COUNTIF(D19:D54,""),"")</f>
        <v>2</v>
      </c>
      <c r="E57" s="39">
        <f>IFERROR(COUNTIF(E19:E54,""),"")</f>
        <v>2</v>
      </c>
      <c r="F57" s="39">
        <f>IFERROR(COUNTIF(F19:F54,""),"")</f>
        <v>2</v>
      </c>
    </row>
    <row r="58" spans="1:7" ht="14.5" thickBot="1">
      <c r="C58" s="40" t="s">
        <v>97</v>
      </c>
      <c r="D58" s="41">
        <f>IFERROR(COUNTIF(D19:D54,C58)+COUNTIF(D19:D54,""),"")-D57</f>
        <v>2</v>
      </c>
      <c r="E58" s="41">
        <f>COUNTIF(E19:E54,C58)+COUNTIF(E19:E54,"")-E57</f>
        <v>5</v>
      </c>
      <c r="F58" s="41">
        <f>IFERROR(COUNTIF(F19:F54,C58)+COUNTIF(F19:F54,""),"")</f>
        <v>5</v>
      </c>
    </row>
    <row r="59" spans="1:7" ht="14.5" thickBot="1">
      <c r="C59" s="42" t="s">
        <v>98</v>
      </c>
      <c r="D59" s="43">
        <f>IFERROR(COUNTIF(D19:D54,C59)-D58,"")</f>
        <v>28</v>
      </c>
      <c r="E59" s="43">
        <f>COUNTIF(E19:E54,C59)-E58</f>
        <v>24</v>
      </c>
      <c r="F59" s="44">
        <f>IFERROR(COUNTIF(F19:F54,C59)-F58,"")</f>
        <v>25</v>
      </c>
    </row>
    <row r="60" spans="1:7" ht="14.5" thickBot="1">
      <c r="C60" s="45" t="s">
        <v>99</v>
      </c>
      <c r="D60" s="46">
        <f>COUNTIF(D19:D54,C60)</f>
        <v>4</v>
      </c>
      <c r="E60" s="46">
        <f>COUNTIF(E19:E54,C60)</f>
        <v>5</v>
      </c>
      <c r="F60" s="46">
        <f>IFERROR(COUNTIF(F19:F54,C60),"")</f>
        <v>4</v>
      </c>
    </row>
    <row r="61" spans="1:7" ht="14.5" thickBot="1">
      <c r="C61" s="47" t="s">
        <v>77</v>
      </c>
      <c r="D61" s="48">
        <f>SUM(D57:D60)</f>
        <v>36</v>
      </c>
      <c r="E61" s="48">
        <f t="shared" ref="E61:F61" si="2">SUM(E57:E60)</f>
        <v>36</v>
      </c>
      <c r="F61" s="48">
        <f t="shared" si="2"/>
        <v>36</v>
      </c>
    </row>
    <row r="62" spans="1:7" ht="14.5" thickBot="1">
      <c r="C62" s="49"/>
      <c r="D62" s="35"/>
      <c r="E62" s="35"/>
      <c r="F62" s="35"/>
    </row>
    <row r="63" spans="1:7" ht="14.5" thickBot="1">
      <c r="C63" s="50" t="s">
        <v>100</v>
      </c>
      <c r="D63" s="51">
        <f>(D59+D60)/(D61-D57)</f>
        <v>0.94117647058823528</v>
      </c>
      <c r="E63" s="51">
        <f>(E59+E60)/(E61-E57)</f>
        <v>0.8529411764705882</v>
      </c>
      <c r="F63" s="51">
        <f>(F59+F60)/(F61-F57)</f>
        <v>0.8529411764705882</v>
      </c>
    </row>
    <row r="64" spans="1:7" ht="14.5" thickBot="1">
      <c r="C64" s="49"/>
      <c r="D64" s="35"/>
      <c r="E64" s="35"/>
      <c r="F64" s="35"/>
    </row>
    <row r="65" spans="3:6" ht="14.5" thickBot="1">
      <c r="C65" s="50" t="s">
        <v>101</v>
      </c>
      <c r="D65" s="21">
        <f>MIN(D19:D54)</f>
        <v>14.3</v>
      </c>
      <c r="E65" s="21">
        <f>MIN(E19:E54)</f>
        <v>6.3</v>
      </c>
      <c r="F65" s="52">
        <f>IFERROR(MIN(F19:F54),"")</f>
        <v>10.3</v>
      </c>
    </row>
    <row r="66" spans="3:6" ht="14.5" thickBot="1">
      <c r="C66" s="50" t="s">
        <v>102</v>
      </c>
      <c r="D66" s="21">
        <f>MAX(D19:D54)</f>
        <v>99.4</v>
      </c>
      <c r="E66" s="21">
        <f>MAX(E19:E54)</f>
        <v>99.4</v>
      </c>
      <c r="F66" s="52">
        <f>IFERROR(MAX(F19:F54),"")</f>
        <v>99.4</v>
      </c>
    </row>
    <row r="67" spans="3:6" ht="14.5" thickBot="1">
      <c r="C67" s="50" t="s">
        <v>103</v>
      </c>
      <c r="D67" s="52">
        <f>AVERAGE(D19:D54)</f>
        <v>75.985294117647072</v>
      </c>
      <c r="E67" s="52">
        <f>AVERAGE(E19:E54)</f>
        <v>71.244117647058843</v>
      </c>
      <c r="F67" s="52">
        <f>IFERROR(AVERAGE(F19:F54),"")</f>
        <v>73.614705882352965</v>
      </c>
    </row>
  </sheetData>
  <mergeCells count="7">
    <mergeCell ref="A1:H1"/>
    <mergeCell ref="A2:H2"/>
    <mergeCell ref="D12:E12"/>
    <mergeCell ref="F12:F17"/>
    <mergeCell ref="G12:G17"/>
    <mergeCell ref="D13:E13"/>
    <mergeCell ref="D14:E14"/>
  </mergeCells>
  <printOptions horizontalCentered="1"/>
  <pageMargins left="0.19685039370078741" right="0.11811023622047245" top="0.19685039370078741" bottom="0.15748031496062992" header="0" footer="0"/>
  <pageSetup paperSize="9" scale="87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7A158-01A7-4416-AA4F-D2977131719E}">
  <sheetPr>
    <pageSetUpPr fitToPage="1"/>
  </sheetPr>
  <dimension ref="A1:I66"/>
  <sheetViews>
    <sheetView view="pageBreakPreview" zoomScaleNormal="100" zoomScaleSheetLayoutView="100" workbookViewId="0">
      <selection activeCell="D18" sqref="D18"/>
    </sheetView>
  </sheetViews>
  <sheetFormatPr defaultRowHeight="14"/>
  <cols>
    <col min="1" max="1" width="4" customWidth="1"/>
    <col min="2" max="2" width="12.83203125" customWidth="1"/>
    <col min="3" max="3" width="34.6640625" customWidth="1"/>
    <col min="4" max="4" width="13.08203125" customWidth="1"/>
    <col min="5" max="5" width="15.25" customWidth="1"/>
    <col min="6" max="6" width="12.6640625" customWidth="1"/>
    <col min="9" max="9" width="13" customWidth="1"/>
  </cols>
  <sheetData>
    <row r="1" spans="1:9" ht="18">
      <c r="A1" s="236" t="s">
        <v>78</v>
      </c>
      <c r="B1" s="236"/>
      <c r="C1" s="236"/>
      <c r="D1" s="236"/>
      <c r="E1" s="236"/>
      <c r="F1" s="236"/>
      <c r="G1" s="236"/>
      <c r="H1" s="236"/>
      <c r="I1" s="32"/>
    </row>
    <row r="2" spans="1:9" ht="18.5" thickBot="1">
      <c r="A2" s="237" t="s">
        <v>79</v>
      </c>
      <c r="B2" s="237"/>
      <c r="C2" s="237"/>
      <c r="D2" s="237"/>
      <c r="E2" s="237"/>
      <c r="F2" s="237"/>
      <c r="G2" s="237"/>
      <c r="H2" s="237"/>
      <c r="I2" s="32"/>
    </row>
    <row r="4" spans="1:9">
      <c r="A4" t="s">
        <v>80</v>
      </c>
      <c r="C4" t="s">
        <v>81</v>
      </c>
      <c r="E4" t="s">
        <v>82</v>
      </c>
      <c r="F4" t="s">
        <v>253</v>
      </c>
    </row>
    <row r="5" spans="1:9">
      <c r="A5" t="s">
        <v>41</v>
      </c>
      <c r="C5" s="33" t="s">
        <v>342</v>
      </c>
      <c r="E5" t="s">
        <v>84</v>
      </c>
      <c r="F5" t="s">
        <v>254</v>
      </c>
    </row>
    <row r="6" spans="1:9">
      <c r="A6" t="s">
        <v>42</v>
      </c>
      <c r="C6" t="s">
        <v>343</v>
      </c>
    </row>
    <row r="7" spans="1:9">
      <c r="A7" t="s">
        <v>86</v>
      </c>
      <c r="C7" t="s">
        <v>87</v>
      </c>
    </row>
    <row r="8" spans="1:9">
      <c r="A8" t="s">
        <v>88</v>
      </c>
      <c r="C8" t="s">
        <v>89</v>
      </c>
    </row>
    <row r="9" spans="1:9">
      <c r="A9" t="s">
        <v>90</v>
      </c>
      <c r="C9" t="s">
        <v>344</v>
      </c>
    </row>
    <row r="11" spans="1:9">
      <c r="C11" s="34"/>
      <c r="D11" s="258" t="s">
        <v>313</v>
      </c>
      <c r="E11" s="259"/>
      <c r="F11" s="246" t="s">
        <v>91</v>
      </c>
      <c r="G11" s="246" t="s">
        <v>92</v>
      </c>
    </row>
    <row r="12" spans="1:9">
      <c r="C12" s="34"/>
      <c r="D12" s="249" t="str">
        <f>TRIM(MID(C5,2,20))</f>
        <v>U.24.05.52.2.04</v>
      </c>
      <c r="E12" s="249"/>
      <c r="F12" s="247"/>
      <c r="G12" s="247"/>
    </row>
    <row r="13" spans="1:9">
      <c r="C13" s="34"/>
      <c r="D13" s="249" t="str">
        <f>TRIM(MID(C6,2,100))</f>
        <v>Pancasila</v>
      </c>
      <c r="E13" s="249"/>
      <c r="F13" s="247"/>
      <c r="G13" s="247"/>
    </row>
    <row r="14" spans="1:9">
      <c r="C14" s="34"/>
      <c r="D14" s="36" t="s">
        <v>93</v>
      </c>
      <c r="E14" s="36" t="s">
        <v>265</v>
      </c>
      <c r="F14" s="247"/>
      <c r="G14" s="247"/>
    </row>
    <row r="15" spans="1:9">
      <c r="C15" s="34"/>
      <c r="D15" s="36" t="s">
        <v>269</v>
      </c>
      <c r="E15" s="36" t="s">
        <v>266</v>
      </c>
      <c r="F15" s="247"/>
      <c r="G15" s="247"/>
    </row>
    <row r="16" spans="1:9">
      <c r="C16" s="34"/>
      <c r="D16" s="36">
        <v>50</v>
      </c>
      <c r="E16" s="36">
        <v>50</v>
      </c>
      <c r="F16" s="248"/>
      <c r="G16" s="248"/>
    </row>
    <row r="17" spans="1:7">
      <c r="A17" s="1" t="s">
        <v>0</v>
      </c>
      <c r="B17" s="1" t="s">
        <v>1</v>
      </c>
      <c r="C17" s="1" t="s">
        <v>2</v>
      </c>
      <c r="D17" s="1"/>
      <c r="E17" s="1"/>
      <c r="F17" s="1"/>
      <c r="G17" s="1"/>
    </row>
    <row r="18" spans="1:7">
      <c r="A18" s="108">
        <v>1</v>
      </c>
      <c r="B18" s="109" t="s">
        <v>187</v>
      </c>
      <c r="C18" s="109" t="s">
        <v>188</v>
      </c>
      <c r="D18" s="37">
        <v>82.55</v>
      </c>
      <c r="E18" s="37">
        <v>82.55</v>
      </c>
      <c r="F18" s="37">
        <f>IFERROR((D18*($D$16/100))+(E18*($E$16/100)),"")</f>
        <v>82.55</v>
      </c>
      <c r="G18" s="37" t="str">
        <f>IFERROR(VLOOKUP(F20,[4]Sheet1!$AA$1:$AB$10,2),"")</f>
        <v>A</v>
      </c>
    </row>
    <row r="19" spans="1:7">
      <c r="A19" s="108">
        <v>2</v>
      </c>
      <c r="B19" s="109" t="s">
        <v>189</v>
      </c>
      <c r="C19" s="109" t="s">
        <v>190</v>
      </c>
      <c r="D19" s="37">
        <v>83.6</v>
      </c>
      <c r="E19" s="37">
        <v>83.6</v>
      </c>
      <c r="F19" s="37">
        <f t="shared" ref="F19:F51" si="0">IFERROR((D19*($D$16/100))+(E19*($E$16/100)),"")</f>
        <v>83.6</v>
      </c>
      <c r="G19" s="37" t="str">
        <f>IFERROR(VLOOKUP(F19,[6]Sheet1!$AA$1:$AB$10,2),"")</f>
        <v>B+</v>
      </c>
    </row>
    <row r="20" spans="1:7">
      <c r="A20" s="108">
        <v>3</v>
      </c>
      <c r="B20" s="109" t="s">
        <v>191</v>
      </c>
      <c r="C20" s="109" t="s">
        <v>192</v>
      </c>
      <c r="D20" s="37">
        <v>90.5</v>
      </c>
      <c r="E20" s="37">
        <v>90.5</v>
      </c>
      <c r="F20" s="37">
        <f t="shared" si="0"/>
        <v>90.5</v>
      </c>
      <c r="G20" s="37" t="str">
        <f>IFERROR(VLOOKUP(F20,[6]Sheet1!$AA$1:$AB$10,2),"")</f>
        <v>A</v>
      </c>
    </row>
    <row r="21" spans="1:7">
      <c r="A21" s="108">
        <v>4</v>
      </c>
      <c r="B21" s="109" t="s">
        <v>193</v>
      </c>
      <c r="C21" s="109" t="s">
        <v>194</v>
      </c>
      <c r="D21" s="37">
        <v>82.2</v>
      </c>
      <c r="E21" s="37">
        <v>82.2</v>
      </c>
      <c r="F21" s="37">
        <f t="shared" si="0"/>
        <v>82.2</v>
      </c>
      <c r="G21" s="37" t="str">
        <f>IFERROR(VLOOKUP(F21,[6]Sheet1!$AA$1:$AB$10,2),"")</f>
        <v>B+</v>
      </c>
    </row>
    <row r="22" spans="1:7">
      <c r="A22" s="108">
        <v>5</v>
      </c>
      <c r="B22" s="109" t="s">
        <v>195</v>
      </c>
      <c r="C22" s="109" t="s">
        <v>196</v>
      </c>
      <c r="D22" s="37">
        <v>83.25</v>
      </c>
      <c r="E22" s="37">
        <v>83.25</v>
      </c>
      <c r="F22" s="37">
        <f t="shared" si="0"/>
        <v>83.25</v>
      </c>
      <c r="G22" s="37" t="str">
        <f>IFERROR(VLOOKUP(F22,[6]Sheet1!$AA$1:$AB$10,2),"")</f>
        <v>B+</v>
      </c>
    </row>
    <row r="23" spans="1:7">
      <c r="A23" s="108">
        <v>6</v>
      </c>
      <c r="B23" s="109" t="s">
        <v>197</v>
      </c>
      <c r="C23" s="109" t="s">
        <v>198</v>
      </c>
      <c r="D23" s="37">
        <v>83.15</v>
      </c>
      <c r="E23" s="37">
        <v>83.15</v>
      </c>
      <c r="F23" s="37">
        <f t="shared" si="0"/>
        <v>83.15</v>
      </c>
      <c r="G23" s="37" t="str">
        <f>IFERROR(VLOOKUP(F23,[6]Sheet1!$AA$1:$AB$10,2),"")</f>
        <v>B+</v>
      </c>
    </row>
    <row r="24" spans="1:7">
      <c r="A24" s="108">
        <v>7</v>
      </c>
      <c r="B24" s="109" t="s">
        <v>199</v>
      </c>
      <c r="C24" s="109" t="s">
        <v>200</v>
      </c>
      <c r="D24" s="37">
        <v>85.7</v>
      </c>
      <c r="E24" s="37">
        <v>85.7</v>
      </c>
      <c r="F24" s="37">
        <f t="shared" si="0"/>
        <v>85.7</v>
      </c>
      <c r="G24" s="37" t="str">
        <f>IFERROR(VLOOKUP(F24,[6]Sheet1!$AA$1:$AB$10,2),"")</f>
        <v>A-</v>
      </c>
    </row>
    <row r="25" spans="1:7">
      <c r="A25" s="108">
        <v>8</v>
      </c>
      <c r="B25" s="109" t="s">
        <v>201</v>
      </c>
      <c r="C25" s="109" t="s">
        <v>202</v>
      </c>
      <c r="D25" s="37">
        <v>77.900000000000006</v>
      </c>
      <c r="E25" s="37">
        <v>77.900000000000006</v>
      </c>
      <c r="F25" s="37">
        <f t="shared" si="0"/>
        <v>77.900000000000006</v>
      </c>
      <c r="G25" s="37" t="str">
        <f>IFERROR(VLOOKUP(F25,[6]Sheet1!$AA$1:$AB$10,2),"")</f>
        <v>B+</v>
      </c>
    </row>
    <row r="26" spans="1:7">
      <c r="A26" s="108">
        <v>9</v>
      </c>
      <c r="B26" s="109" t="s">
        <v>203</v>
      </c>
      <c r="C26" s="109" t="s">
        <v>204</v>
      </c>
      <c r="D26" s="37">
        <v>84.5</v>
      </c>
      <c r="E26" s="37">
        <v>84.5</v>
      </c>
      <c r="F26" s="37">
        <f t="shared" si="0"/>
        <v>84.5</v>
      </c>
      <c r="G26" s="37" t="str">
        <f>IFERROR(VLOOKUP(F26,[6]Sheet1!$AA$1:$AB$10,2),"")</f>
        <v>A-</v>
      </c>
    </row>
    <row r="27" spans="1:7">
      <c r="A27" s="108">
        <v>10</v>
      </c>
      <c r="B27" s="109" t="s">
        <v>205</v>
      </c>
      <c r="C27" s="109" t="s">
        <v>206</v>
      </c>
      <c r="D27" s="37">
        <v>94.15</v>
      </c>
      <c r="E27" s="37">
        <v>94.15</v>
      </c>
      <c r="F27" s="37">
        <f t="shared" si="0"/>
        <v>94.15</v>
      </c>
      <c r="G27" s="37" t="str">
        <f>IFERROR(VLOOKUP(F27,[6]Sheet1!$AA$1:$AB$10,2),"")</f>
        <v>A</v>
      </c>
    </row>
    <row r="28" spans="1:7">
      <c r="A28" s="108">
        <v>11</v>
      </c>
      <c r="B28" s="109" t="s">
        <v>255</v>
      </c>
      <c r="C28" s="109" t="s">
        <v>256</v>
      </c>
      <c r="D28" s="37">
        <v>0</v>
      </c>
      <c r="E28" s="37">
        <v>0</v>
      </c>
      <c r="F28" s="37">
        <f t="shared" si="0"/>
        <v>0</v>
      </c>
      <c r="G28" s="37" t="str">
        <f>IFERROR(VLOOKUP(F28,[6]Sheet1!$AA$1:$AB$10,2),"")</f>
        <v>E</v>
      </c>
    </row>
    <row r="29" spans="1:7">
      <c r="A29" s="108">
        <v>12</v>
      </c>
      <c r="B29" s="109" t="s">
        <v>207</v>
      </c>
      <c r="C29" s="109" t="s">
        <v>208</v>
      </c>
      <c r="D29" s="37">
        <v>94.15</v>
      </c>
      <c r="E29" s="37">
        <v>94.15</v>
      </c>
      <c r="F29" s="37">
        <f t="shared" si="0"/>
        <v>94.15</v>
      </c>
      <c r="G29" s="37" t="str">
        <f>IFERROR(VLOOKUP(F29,[6]Sheet1!$AA$1:$AB$10,2),"")</f>
        <v>A</v>
      </c>
    </row>
    <row r="30" spans="1:7">
      <c r="A30" s="108">
        <v>13</v>
      </c>
      <c r="B30" s="109" t="s">
        <v>209</v>
      </c>
      <c r="C30" s="109" t="s">
        <v>210</v>
      </c>
      <c r="D30" s="37">
        <v>65.599999999999994</v>
      </c>
      <c r="E30" s="37">
        <v>65.599999999999994</v>
      </c>
      <c r="F30" s="37">
        <f t="shared" si="0"/>
        <v>65.599999999999994</v>
      </c>
      <c r="G30" s="37" t="str">
        <f>IFERROR(VLOOKUP(F30,[6]Sheet1!$AA$1:$AB$10,2),"")</f>
        <v>B-</v>
      </c>
    </row>
    <row r="31" spans="1:7">
      <c r="A31" s="108">
        <v>14</v>
      </c>
      <c r="B31" s="109" t="s">
        <v>211</v>
      </c>
      <c r="C31" s="109" t="s">
        <v>212</v>
      </c>
      <c r="D31" s="37">
        <v>84.55</v>
      </c>
      <c r="E31" s="37">
        <v>84.55</v>
      </c>
      <c r="F31" s="37">
        <f t="shared" si="0"/>
        <v>84.55</v>
      </c>
      <c r="G31" s="37" t="str">
        <f>IFERROR(VLOOKUP(F31,[6]Sheet1!$AA$1:$AB$10,2),"")</f>
        <v>A-</v>
      </c>
    </row>
    <row r="32" spans="1:7">
      <c r="A32" s="108">
        <v>15</v>
      </c>
      <c r="B32" s="109" t="s">
        <v>213</v>
      </c>
      <c r="C32" s="109" t="s">
        <v>214</v>
      </c>
      <c r="D32" s="37">
        <v>94.75</v>
      </c>
      <c r="E32" s="37">
        <v>94.75</v>
      </c>
      <c r="F32" s="37">
        <f t="shared" si="0"/>
        <v>94.75</v>
      </c>
      <c r="G32" s="37" t="str">
        <f>IFERROR(VLOOKUP(F32,[6]Sheet1!$AA$1:$AB$10,2),"")</f>
        <v>A</v>
      </c>
    </row>
    <row r="33" spans="1:7">
      <c r="A33" s="108">
        <v>16</v>
      </c>
      <c r="B33" s="109" t="s">
        <v>215</v>
      </c>
      <c r="C33" s="109" t="s">
        <v>216</v>
      </c>
      <c r="D33" s="37">
        <v>84.8</v>
      </c>
      <c r="E33" s="37">
        <v>84.8</v>
      </c>
      <c r="F33" s="37">
        <f t="shared" si="0"/>
        <v>84.8</v>
      </c>
      <c r="G33" s="37" t="str">
        <f>IFERROR(VLOOKUP(F33,[6]Sheet1!$AA$1:$AB$10,2),"")</f>
        <v>A-</v>
      </c>
    </row>
    <row r="34" spans="1:7">
      <c r="A34" s="108">
        <v>17</v>
      </c>
      <c r="B34" s="109" t="s">
        <v>217</v>
      </c>
      <c r="C34" s="109" t="s">
        <v>218</v>
      </c>
      <c r="D34" s="37">
        <v>83.5</v>
      </c>
      <c r="E34" s="37">
        <v>83.5</v>
      </c>
      <c r="F34" s="37">
        <f t="shared" si="0"/>
        <v>83.5</v>
      </c>
      <c r="G34" s="37" t="str">
        <f>IFERROR(VLOOKUP(F34,[6]Sheet1!$AA$1:$AB$10,2),"")</f>
        <v>B+</v>
      </c>
    </row>
    <row r="35" spans="1:7">
      <c r="A35" s="108">
        <v>18</v>
      </c>
      <c r="B35" s="109" t="s">
        <v>219</v>
      </c>
      <c r="C35" s="109" t="s">
        <v>220</v>
      </c>
      <c r="D35" s="37">
        <v>93.4</v>
      </c>
      <c r="E35" s="37">
        <v>93.4</v>
      </c>
      <c r="F35" s="37">
        <f t="shared" si="0"/>
        <v>93.4</v>
      </c>
      <c r="G35" s="37" t="str">
        <f>IFERROR(VLOOKUP(F35,[6]Sheet1!$AA$1:$AB$10,2),"")</f>
        <v>A</v>
      </c>
    </row>
    <row r="36" spans="1:7">
      <c r="A36" s="108">
        <v>19</v>
      </c>
      <c r="B36" s="109" t="s">
        <v>221</v>
      </c>
      <c r="C36" s="109" t="s">
        <v>222</v>
      </c>
      <c r="D36" s="37">
        <v>83.25</v>
      </c>
      <c r="E36" s="37">
        <v>83.25</v>
      </c>
      <c r="F36" s="37">
        <f t="shared" si="0"/>
        <v>83.25</v>
      </c>
      <c r="G36" s="37" t="str">
        <f>IFERROR(VLOOKUP(F36,[6]Sheet1!$AA$1:$AB$10,2),"")</f>
        <v>B+</v>
      </c>
    </row>
    <row r="37" spans="1:7">
      <c r="A37" s="108">
        <v>20</v>
      </c>
      <c r="B37" s="109" t="s">
        <v>223</v>
      </c>
      <c r="C37" s="109" t="s">
        <v>224</v>
      </c>
      <c r="D37" s="37">
        <v>77.900000000000006</v>
      </c>
      <c r="E37" s="37">
        <v>77.900000000000006</v>
      </c>
      <c r="F37" s="37">
        <f t="shared" si="0"/>
        <v>77.900000000000006</v>
      </c>
      <c r="G37" s="37" t="str">
        <f>IFERROR(VLOOKUP(F37,[6]Sheet1!$AA$1:$AB$10,2),"")</f>
        <v>B+</v>
      </c>
    </row>
    <row r="38" spans="1:7">
      <c r="A38" s="108">
        <v>21</v>
      </c>
      <c r="B38" s="109" t="s">
        <v>225</v>
      </c>
      <c r="C38" s="109" t="s">
        <v>226</v>
      </c>
      <c r="D38" s="37">
        <v>82.9</v>
      </c>
      <c r="E38" s="37">
        <v>82.9</v>
      </c>
      <c r="F38" s="37">
        <f t="shared" si="0"/>
        <v>82.9</v>
      </c>
      <c r="G38" s="37" t="str">
        <f>IFERROR(VLOOKUP(F38,[6]Sheet1!$AA$1:$AB$10,2),"")</f>
        <v>B+</v>
      </c>
    </row>
    <row r="39" spans="1:7">
      <c r="A39" s="108">
        <v>22</v>
      </c>
      <c r="B39" s="109" t="s">
        <v>227</v>
      </c>
      <c r="C39" s="109" t="s">
        <v>228</v>
      </c>
      <c r="D39" s="37">
        <v>93.8</v>
      </c>
      <c r="E39" s="37">
        <v>93.8</v>
      </c>
      <c r="F39" s="37">
        <f t="shared" si="0"/>
        <v>93.8</v>
      </c>
      <c r="G39" s="37" t="str">
        <f>IFERROR(VLOOKUP(F39,[6]Sheet1!$AA$1:$AB$10,2),"")</f>
        <v>A</v>
      </c>
    </row>
    <row r="40" spans="1:7">
      <c r="A40" s="108">
        <v>23</v>
      </c>
      <c r="B40" s="109" t="s">
        <v>229</v>
      </c>
      <c r="C40" s="109" t="s">
        <v>230</v>
      </c>
      <c r="D40" s="37">
        <v>92.75</v>
      </c>
      <c r="E40" s="37">
        <v>92.75</v>
      </c>
      <c r="F40" s="37">
        <f t="shared" si="0"/>
        <v>92.75</v>
      </c>
      <c r="G40" s="37" t="str">
        <f>IFERROR(VLOOKUP(F40,[6]Sheet1!$AA$1:$AB$10,2),"")</f>
        <v>A</v>
      </c>
    </row>
    <row r="41" spans="1:7">
      <c r="A41" s="108">
        <v>24</v>
      </c>
      <c r="B41" s="4" t="s">
        <v>291</v>
      </c>
      <c r="C41" s="4" t="s">
        <v>292</v>
      </c>
      <c r="D41" s="37">
        <v>84.8</v>
      </c>
      <c r="E41" s="37">
        <v>84.8</v>
      </c>
      <c r="F41" s="37">
        <f t="shared" si="0"/>
        <v>84.8</v>
      </c>
      <c r="G41" s="37" t="str">
        <f>IFERROR(VLOOKUP(F41,[6]Sheet1!$AA$1:$AB$10,2),"")</f>
        <v>A-</v>
      </c>
    </row>
    <row r="42" spans="1:7">
      <c r="A42" s="108">
        <v>25</v>
      </c>
      <c r="B42" s="4" t="s">
        <v>293</v>
      </c>
      <c r="C42" s="4" t="s">
        <v>294</v>
      </c>
      <c r="D42" s="37">
        <v>83.4</v>
      </c>
      <c r="E42" s="37">
        <v>83.4</v>
      </c>
      <c r="F42" s="37">
        <f t="shared" si="0"/>
        <v>83.4</v>
      </c>
      <c r="G42" s="37" t="str">
        <f>IFERROR(VLOOKUP(F42,[6]Sheet1!$AA$1:$AB$10,2),"")</f>
        <v>B+</v>
      </c>
    </row>
    <row r="43" spans="1:7">
      <c r="A43" s="108">
        <v>26</v>
      </c>
      <c r="B43" s="109" t="s">
        <v>231</v>
      </c>
      <c r="C43" s="109" t="s">
        <v>257</v>
      </c>
      <c r="D43" s="37">
        <v>75.25</v>
      </c>
      <c r="E43" s="37">
        <v>75.25</v>
      </c>
      <c r="F43" s="37">
        <f t="shared" si="0"/>
        <v>75.25</v>
      </c>
      <c r="G43" s="37" t="str">
        <f>IFERROR(VLOOKUP(F43,[6]Sheet1!$AA$1:$AB$10,2),"")</f>
        <v>B</v>
      </c>
    </row>
    <row r="44" spans="1:7">
      <c r="A44" s="108">
        <v>27</v>
      </c>
      <c r="B44" s="109" t="s">
        <v>233</v>
      </c>
      <c r="C44" s="109" t="s">
        <v>234</v>
      </c>
      <c r="D44" s="37">
        <v>86.5</v>
      </c>
      <c r="E44" s="37">
        <v>86.5</v>
      </c>
      <c r="F44" s="37">
        <f t="shared" si="0"/>
        <v>86.5</v>
      </c>
      <c r="G44" s="37" t="str">
        <f>IFERROR(VLOOKUP(F44,[6]Sheet1!$AA$1:$AB$10,2),"")</f>
        <v>A-</v>
      </c>
    </row>
    <row r="45" spans="1:7">
      <c r="A45" s="108">
        <v>28</v>
      </c>
      <c r="B45" s="109" t="s">
        <v>235</v>
      </c>
      <c r="C45" s="109" t="s">
        <v>236</v>
      </c>
      <c r="D45" s="37">
        <v>77.150000000000006</v>
      </c>
      <c r="E45" s="37">
        <v>77.150000000000006</v>
      </c>
      <c r="F45" s="37">
        <f t="shared" si="0"/>
        <v>77.150000000000006</v>
      </c>
      <c r="G45" s="37" t="str">
        <f>IFERROR(VLOOKUP(F45,[6]Sheet1!$AA$1:$AB$10,2),"")</f>
        <v>B+</v>
      </c>
    </row>
    <row r="46" spans="1:7">
      <c r="A46" s="108">
        <v>29</v>
      </c>
      <c r="B46" s="109" t="s">
        <v>237</v>
      </c>
      <c r="C46" s="109" t="s">
        <v>238</v>
      </c>
      <c r="D46" s="37">
        <v>78.2</v>
      </c>
      <c r="E46" s="37">
        <v>78.2</v>
      </c>
      <c r="F46" s="37">
        <f t="shared" si="0"/>
        <v>78.2</v>
      </c>
      <c r="G46" s="37" t="str">
        <f>IFERROR(VLOOKUP(F46,[6]Sheet1!$AA$1:$AB$10,2),"")</f>
        <v>B+</v>
      </c>
    </row>
    <row r="47" spans="1:7">
      <c r="A47" s="108">
        <v>30</v>
      </c>
      <c r="B47" s="109" t="s">
        <v>239</v>
      </c>
      <c r="C47" s="109" t="s">
        <v>240</v>
      </c>
      <c r="D47" s="37">
        <v>46.1</v>
      </c>
      <c r="E47" s="37">
        <v>46.1</v>
      </c>
      <c r="F47" s="37">
        <f t="shared" si="0"/>
        <v>46.1</v>
      </c>
      <c r="G47" s="37" t="str">
        <f>IFERROR(VLOOKUP(F47,[6]Sheet1!$AA$1:$AB$10,2),"")</f>
        <v>D</v>
      </c>
    </row>
    <row r="48" spans="1:7">
      <c r="A48" s="108">
        <v>31</v>
      </c>
      <c r="B48" s="109" t="s">
        <v>241</v>
      </c>
      <c r="C48" s="109" t="s">
        <v>242</v>
      </c>
      <c r="D48" s="37">
        <v>85.9</v>
      </c>
      <c r="E48" s="37">
        <v>85.9</v>
      </c>
      <c r="F48" s="37">
        <f t="shared" si="0"/>
        <v>85.9</v>
      </c>
      <c r="G48" s="37" t="str">
        <f>IFERROR(VLOOKUP(F48,[6]Sheet1!$AA$1:$AB$10,2),"")</f>
        <v>A-</v>
      </c>
    </row>
    <row r="49" spans="1:7">
      <c r="A49" s="108">
        <v>32</v>
      </c>
      <c r="B49" s="109" t="s">
        <v>243</v>
      </c>
      <c r="C49" s="109" t="s">
        <v>244</v>
      </c>
      <c r="D49" s="37">
        <v>85.9</v>
      </c>
      <c r="E49" s="37">
        <v>85.9</v>
      </c>
      <c r="F49" s="37">
        <f t="shared" si="0"/>
        <v>85.9</v>
      </c>
      <c r="G49" s="37" t="str">
        <f>IFERROR(VLOOKUP(F49,[6]Sheet1!$AA$1:$AB$10,2),"")</f>
        <v>A-</v>
      </c>
    </row>
    <row r="50" spans="1:7">
      <c r="A50" s="108">
        <v>33</v>
      </c>
      <c r="B50" s="109" t="s">
        <v>245</v>
      </c>
      <c r="C50" s="109" t="s">
        <v>246</v>
      </c>
      <c r="D50" s="37">
        <v>86.5</v>
      </c>
      <c r="E50" s="37">
        <v>86.5</v>
      </c>
      <c r="F50" s="37">
        <f t="shared" si="0"/>
        <v>86.5</v>
      </c>
      <c r="G50" s="37" t="str">
        <f>IFERROR(VLOOKUP(F50,[6]Sheet1!$AA$1:$AB$10,2),"")</f>
        <v>A-</v>
      </c>
    </row>
    <row r="51" spans="1:7">
      <c r="A51" s="108">
        <v>34</v>
      </c>
      <c r="B51" s="109" t="s">
        <v>247</v>
      </c>
      <c r="C51" s="109" t="s">
        <v>248</v>
      </c>
      <c r="D51" s="37">
        <v>86.5</v>
      </c>
      <c r="E51" s="37">
        <v>86.5</v>
      </c>
      <c r="F51" s="37">
        <f t="shared" si="0"/>
        <v>86.5</v>
      </c>
      <c r="G51" s="37" t="str">
        <f>IFERROR(VLOOKUP(F51,[6]Sheet1!$AA$1:$AB$10,2),"")</f>
        <v>A-</v>
      </c>
    </row>
    <row r="52" spans="1:7">
      <c r="A52" s="108">
        <v>35</v>
      </c>
      <c r="B52" s="109" t="s">
        <v>249</v>
      </c>
      <c r="C52" s="109" t="s">
        <v>250</v>
      </c>
      <c r="D52" s="37"/>
      <c r="E52" s="37"/>
      <c r="F52" s="37"/>
      <c r="G52" s="37"/>
    </row>
    <row r="53" spans="1:7">
      <c r="A53" s="108">
        <v>36</v>
      </c>
      <c r="B53" s="109" t="s">
        <v>251</v>
      </c>
      <c r="C53" s="109" t="s">
        <v>252</v>
      </c>
      <c r="D53" s="37"/>
      <c r="E53" s="37"/>
      <c r="F53" s="37"/>
      <c r="G53" s="37"/>
    </row>
    <row r="54" spans="1:7">
      <c r="C54" s="34"/>
      <c r="D54" s="35"/>
      <c r="E54" s="35"/>
      <c r="F54" s="35"/>
    </row>
    <row r="55" spans="1:7" ht="14.5" thickBot="1">
      <c r="C55" s="34"/>
      <c r="D55" s="35" t="str">
        <f t="shared" ref="D55:E55" si="1">D15</f>
        <v>CPMK11</v>
      </c>
      <c r="E55" s="35" t="str">
        <f t="shared" si="1"/>
        <v>CPMK12</v>
      </c>
      <c r="F55" s="35" t="str">
        <f>F11</f>
        <v>Nilai Akhir MK</v>
      </c>
    </row>
    <row r="56" spans="1:7" ht="14.5" thickBot="1">
      <c r="C56" s="38" t="s">
        <v>105</v>
      </c>
      <c r="D56" s="39">
        <f>IFERROR(COUNTIF(D18:D53,""),"")</f>
        <v>2</v>
      </c>
      <c r="E56" s="39">
        <f>IFERROR(COUNTIF(E18:E53,""),"")</f>
        <v>2</v>
      </c>
      <c r="F56" s="39">
        <f>IFERROR(COUNTIF(F18:F53,""),"")</f>
        <v>2</v>
      </c>
    </row>
    <row r="57" spans="1:7" ht="14.5" thickBot="1">
      <c r="C57" s="40" t="s">
        <v>97</v>
      </c>
      <c r="D57" s="41">
        <f>IFERROR(COUNTIF(D18:D53,C57)+COUNTIF(D18:D53,""),"")-D56</f>
        <v>2</v>
      </c>
      <c r="E57" s="41">
        <f>COUNTIF(E18:E53,C57)+COUNTIF(E18:E53,"")-E56</f>
        <v>2</v>
      </c>
      <c r="F57" s="41">
        <f>IFERROR(COUNTIF(F18:F53,C57)+COUNTIF(F18:F53,""),"")</f>
        <v>4</v>
      </c>
    </row>
    <row r="58" spans="1:7" ht="14.5" thickBot="1">
      <c r="C58" s="42" t="s">
        <v>98</v>
      </c>
      <c r="D58" s="43">
        <f>IFERROR(COUNTIF(D18:D53,C58)-D57,"")</f>
        <v>19</v>
      </c>
      <c r="E58" s="43">
        <f>COUNTIF(E18:E53,C58)-E57</f>
        <v>19</v>
      </c>
      <c r="F58" s="44">
        <f>IFERROR(COUNTIF(F18:F53,C58)-F57,"")</f>
        <v>17</v>
      </c>
    </row>
    <row r="59" spans="1:7" ht="14.5" thickBot="1">
      <c r="C59" s="45" t="s">
        <v>99</v>
      </c>
      <c r="D59" s="46">
        <f>COUNTIF(D18:D53,C59)</f>
        <v>13</v>
      </c>
      <c r="E59" s="46">
        <f>COUNTIF(E18:E53,C59)</f>
        <v>13</v>
      </c>
      <c r="F59" s="46">
        <f>IFERROR(COUNTIF(F18:F53,C59),"")</f>
        <v>13</v>
      </c>
    </row>
    <row r="60" spans="1:7" ht="14.5" thickBot="1">
      <c r="C60" s="47" t="s">
        <v>77</v>
      </c>
      <c r="D60" s="48">
        <f>SUM(D56:D59)</f>
        <v>36</v>
      </c>
      <c r="E60" s="48">
        <f t="shared" ref="E60:F60" si="2">SUM(E56:E59)</f>
        <v>36</v>
      </c>
      <c r="F60" s="48">
        <f t="shared" si="2"/>
        <v>36</v>
      </c>
    </row>
    <row r="61" spans="1:7" ht="14.5" thickBot="1">
      <c r="C61" s="49"/>
      <c r="D61" s="35"/>
      <c r="E61" s="35"/>
      <c r="F61" s="35"/>
    </row>
    <row r="62" spans="1:7" ht="14.5" thickBot="1">
      <c r="C62" s="50" t="s">
        <v>100</v>
      </c>
      <c r="D62" s="51">
        <f>(D58+D59)/(D60-D56)</f>
        <v>0.94117647058823528</v>
      </c>
      <c r="E62" s="51">
        <f>(E58+E59)/(E60-E56)</f>
        <v>0.94117647058823528</v>
      </c>
      <c r="F62" s="51">
        <f>(F58+F59)/(F60-F56)</f>
        <v>0.88235294117647056</v>
      </c>
    </row>
    <row r="63" spans="1:7" ht="14.5" thickBot="1">
      <c r="C63" s="49"/>
      <c r="D63" s="35"/>
      <c r="E63" s="35"/>
      <c r="F63" s="35"/>
    </row>
    <row r="64" spans="1:7" ht="14.5" thickBot="1">
      <c r="C64" s="50" t="s">
        <v>101</v>
      </c>
      <c r="D64" s="21">
        <f>MIN(D18:D53)</f>
        <v>0</v>
      </c>
      <c r="E64" s="21">
        <f>MIN(E18:E53)</f>
        <v>0</v>
      </c>
      <c r="F64" s="52">
        <f>IFERROR(MIN(F18:F53),"")</f>
        <v>0</v>
      </c>
    </row>
    <row r="65" spans="3:6" ht="14.5" thickBot="1">
      <c r="C65" s="50" t="s">
        <v>102</v>
      </c>
      <c r="D65" s="21">
        <f>MAX(D18:D53)</f>
        <v>94.75</v>
      </c>
      <c r="E65" s="21">
        <f>MAX(E18:E53)</f>
        <v>94.75</v>
      </c>
      <c r="F65" s="52">
        <f>IFERROR(MAX(F18:F53),"")</f>
        <v>94.75</v>
      </c>
    </row>
    <row r="66" spans="3:6" ht="14.5" thickBot="1">
      <c r="C66" s="50" t="s">
        <v>103</v>
      </c>
      <c r="D66" s="52">
        <f>AVERAGE(D18:D53)</f>
        <v>81.030882352941177</v>
      </c>
      <c r="E66" s="52">
        <f>AVERAGE(E18:E53)</f>
        <v>81.030882352941177</v>
      </c>
      <c r="F66" s="52">
        <f>IFERROR(AVERAGE(F18:F53),"")</f>
        <v>81.030882352941177</v>
      </c>
    </row>
  </sheetData>
  <mergeCells count="7">
    <mergeCell ref="A1:H1"/>
    <mergeCell ref="A2:H2"/>
    <mergeCell ref="D11:E11"/>
    <mergeCell ref="F11:F16"/>
    <mergeCell ref="G11:G16"/>
    <mergeCell ref="D12:E12"/>
    <mergeCell ref="D13:E13"/>
  </mergeCells>
  <printOptions horizontalCentered="1"/>
  <pageMargins left="0.19685039370078741" right="0.11811023622047245" top="0.19685039370078741" bottom="0.15748031496062992" header="0" footer="0"/>
  <pageSetup paperSize="9" scale="85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BA19C-1C04-4ECB-95D4-7A70CD68868A}">
  <dimension ref="A1:U67"/>
  <sheetViews>
    <sheetView view="pageBreakPreview" zoomScale="90" zoomScaleNormal="100" zoomScaleSheetLayoutView="90" workbookViewId="0">
      <selection activeCell="D6" sqref="D6"/>
    </sheetView>
  </sheetViews>
  <sheetFormatPr defaultRowHeight="14"/>
  <cols>
    <col min="1" max="1" width="4" customWidth="1"/>
    <col min="2" max="2" width="12.83203125" customWidth="1"/>
    <col min="3" max="3" width="32.6640625" customWidth="1"/>
    <col min="4" max="4" width="21.25" customWidth="1"/>
    <col min="5" max="5" width="12.6640625" customWidth="1"/>
    <col min="8" max="8" width="13" customWidth="1"/>
  </cols>
  <sheetData>
    <row r="1" spans="1:21" ht="18">
      <c r="A1" s="236" t="s">
        <v>78</v>
      </c>
      <c r="B1" s="236"/>
      <c r="C1" s="236"/>
      <c r="D1" s="236"/>
      <c r="E1" s="236"/>
      <c r="F1" s="236"/>
      <c r="G1" s="236"/>
      <c r="H1" s="32"/>
    </row>
    <row r="2" spans="1:21" ht="18.5" thickBot="1">
      <c r="A2" s="237" t="s">
        <v>79</v>
      </c>
      <c r="B2" s="237"/>
      <c r="C2" s="237"/>
      <c r="D2" s="237"/>
      <c r="E2" s="237"/>
      <c r="F2" s="237"/>
      <c r="G2" s="237"/>
      <c r="H2" s="32"/>
    </row>
    <row r="4" spans="1:21">
      <c r="A4" t="s">
        <v>80</v>
      </c>
      <c r="C4" t="s">
        <v>81</v>
      </c>
      <c r="D4" t="s">
        <v>82</v>
      </c>
      <c r="E4" t="s">
        <v>253</v>
      </c>
    </row>
    <row r="5" spans="1:21">
      <c r="A5" t="s">
        <v>41</v>
      </c>
      <c r="C5" s="33" t="s">
        <v>345</v>
      </c>
      <c r="D5" t="s">
        <v>84</v>
      </c>
      <c r="E5" t="s">
        <v>254</v>
      </c>
    </row>
    <row r="6" spans="1:21">
      <c r="A6" t="s">
        <v>42</v>
      </c>
      <c r="C6" t="s">
        <v>346</v>
      </c>
    </row>
    <row r="7" spans="1:21">
      <c r="A7" t="s">
        <v>86</v>
      </c>
      <c r="C7" t="s">
        <v>87</v>
      </c>
    </row>
    <row r="8" spans="1:21">
      <c r="A8" t="s">
        <v>88</v>
      </c>
      <c r="C8" t="s">
        <v>89</v>
      </c>
    </row>
    <row r="9" spans="1:21">
      <c r="A9" t="s">
        <v>90</v>
      </c>
      <c r="C9" t="s">
        <v>260</v>
      </c>
    </row>
    <row r="10" spans="1:21">
      <c r="C10" t="s">
        <v>112</v>
      </c>
    </row>
    <row r="11" spans="1:21">
      <c r="C11" s="34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</row>
    <row r="12" spans="1:21">
      <c r="C12" s="34"/>
      <c r="D12" s="192" t="s">
        <v>314</v>
      </c>
      <c r="E12" s="260" t="s">
        <v>91</v>
      </c>
      <c r="F12" s="260" t="s">
        <v>92</v>
      </c>
    </row>
    <row r="13" spans="1:21">
      <c r="C13" s="34"/>
      <c r="D13" s="192" t="str">
        <f>TRIM(MID(C5,2,20))</f>
        <v>U.24.05.52.2.05</v>
      </c>
      <c r="E13" s="260"/>
      <c r="F13" s="260"/>
    </row>
    <row r="14" spans="1:21">
      <c r="C14" s="34"/>
      <c r="D14" s="192" t="str">
        <f>TRIM(MID(C6,2,100))</f>
        <v>Bahasa Indonesia</v>
      </c>
      <c r="E14" s="260"/>
      <c r="F14" s="260"/>
    </row>
    <row r="15" spans="1:21">
      <c r="C15" s="34"/>
      <c r="D15" s="130" t="s">
        <v>93</v>
      </c>
      <c r="E15" s="260"/>
      <c r="F15" s="260"/>
    </row>
    <row r="16" spans="1:21">
      <c r="C16" s="34"/>
      <c r="D16" s="130" t="s">
        <v>266</v>
      </c>
      <c r="E16" s="260"/>
      <c r="F16" s="260"/>
    </row>
    <row r="17" spans="1:6">
      <c r="C17" s="34"/>
      <c r="D17" s="130">
        <v>100</v>
      </c>
      <c r="E17" s="260"/>
      <c r="F17" s="260"/>
    </row>
    <row r="18" spans="1:6">
      <c r="A18" s="1" t="s">
        <v>0</v>
      </c>
      <c r="B18" s="1" t="s">
        <v>1</v>
      </c>
      <c r="C18" s="1" t="s">
        <v>2</v>
      </c>
      <c r="D18" s="1"/>
      <c r="E18" s="1"/>
      <c r="F18" s="1"/>
    </row>
    <row r="19" spans="1:6">
      <c r="A19" s="108">
        <v>1</v>
      </c>
      <c r="B19" s="109" t="s">
        <v>187</v>
      </c>
      <c r="C19" s="109" t="s">
        <v>188</v>
      </c>
      <c r="D19" s="37">
        <v>81.400000000000006</v>
      </c>
      <c r="E19" s="37">
        <f>IFERROR((D19*($D$17/100)),"")</f>
        <v>81.400000000000006</v>
      </c>
      <c r="F19" s="37" t="str">
        <f>IFERROR(VLOOKUP(E20,[7]Sheet1!$AA$1:$AB$10,2),"")</f>
        <v>B+</v>
      </c>
    </row>
    <row r="20" spans="1:6">
      <c r="A20" s="108">
        <v>2</v>
      </c>
      <c r="B20" s="109" t="s">
        <v>189</v>
      </c>
      <c r="C20" s="109" t="s">
        <v>190</v>
      </c>
      <c r="D20" s="37">
        <v>76.900000000000006</v>
      </c>
      <c r="E20" s="37">
        <f t="shared" ref="E20:E52" si="0">IFERROR((D20*($D$17/100)),"")</f>
        <v>76.900000000000006</v>
      </c>
      <c r="F20" s="37" t="str">
        <f>IFERROR(VLOOKUP(E20,[7]Sheet1!$AA$1:$AB$10,2),"")</f>
        <v>B+</v>
      </c>
    </row>
    <row r="21" spans="1:6">
      <c r="A21" s="108">
        <v>3</v>
      </c>
      <c r="B21" s="109" t="s">
        <v>191</v>
      </c>
      <c r="C21" s="109" t="s">
        <v>192</v>
      </c>
      <c r="D21" s="37">
        <v>76.900000000000006</v>
      </c>
      <c r="E21" s="37">
        <f t="shared" si="0"/>
        <v>76.900000000000006</v>
      </c>
      <c r="F21" s="37" t="str">
        <f>IFERROR(VLOOKUP(E21,[7]Sheet1!$AA$1:$AB$10,2),"")</f>
        <v>B+</v>
      </c>
    </row>
    <row r="22" spans="1:6">
      <c r="A22" s="108">
        <v>4</v>
      </c>
      <c r="B22" s="109" t="s">
        <v>193</v>
      </c>
      <c r="C22" s="109" t="s">
        <v>194</v>
      </c>
      <c r="D22" s="37">
        <v>81.400000000000006</v>
      </c>
      <c r="E22" s="37">
        <f t="shared" si="0"/>
        <v>81.400000000000006</v>
      </c>
      <c r="F22" s="37" t="str">
        <f>IFERROR(VLOOKUP(E22,[7]Sheet1!$AA$1:$AB$10,2),"")</f>
        <v>B+</v>
      </c>
    </row>
    <row r="23" spans="1:6">
      <c r="A23" s="108">
        <v>5</v>
      </c>
      <c r="B23" s="109" t="s">
        <v>195</v>
      </c>
      <c r="C23" s="109" t="s">
        <v>196</v>
      </c>
      <c r="D23" s="37">
        <v>76.900000000000006</v>
      </c>
      <c r="E23" s="37">
        <f t="shared" si="0"/>
        <v>76.900000000000006</v>
      </c>
      <c r="F23" s="37" t="str">
        <f>IFERROR(VLOOKUP(E23,[7]Sheet1!$AA$1:$AB$10,2),"")</f>
        <v>B+</v>
      </c>
    </row>
    <row r="24" spans="1:6">
      <c r="A24" s="108">
        <v>6</v>
      </c>
      <c r="B24" s="109" t="s">
        <v>197</v>
      </c>
      <c r="C24" s="109" t="s">
        <v>198</v>
      </c>
      <c r="D24" s="37">
        <v>85.9</v>
      </c>
      <c r="E24" s="37">
        <f t="shared" si="0"/>
        <v>85.9</v>
      </c>
      <c r="F24" s="37" t="str">
        <f>IFERROR(VLOOKUP(E24,[7]Sheet1!$AA$1:$AB$10,2),"")</f>
        <v>A-</v>
      </c>
    </row>
    <row r="25" spans="1:6">
      <c r="A25" s="108">
        <v>7</v>
      </c>
      <c r="B25" s="109" t="s">
        <v>199</v>
      </c>
      <c r="C25" s="109" t="s">
        <v>200</v>
      </c>
      <c r="D25" s="37">
        <v>90.15</v>
      </c>
      <c r="E25" s="37">
        <f t="shared" si="0"/>
        <v>90.15</v>
      </c>
      <c r="F25" s="37" t="str">
        <f>IFERROR(VLOOKUP(E25,[7]Sheet1!$AA$1:$AB$10,2),"")</f>
        <v>A-</v>
      </c>
    </row>
    <row r="26" spans="1:6">
      <c r="A26" s="108">
        <v>8</v>
      </c>
      <c r="B26" s="109" t="s">
        <v>201</v>
      </c>
      <c r="C26" s="109" t="s">
        <v>202</v>
      </c>
      <c r="D26" s="37">
        <v>81.400000000000006</v>
      </c>
      <c r="E26" s="37">
        <f t="shared" si="0"/>
        <v>81.400000000000006</v>
      </c>
      <c r="F26" s="37" t="str">
        <f>IFERROR(VLOOKUP(E26,[7]Sheet1!$AA$1:$AB$10,2),"")</f>
        <v>B+</v>
      </c>
    </row>
    <row r="27" spans="1:6">
      <c r="A27" s="108">
        <v>9</v>
      </c>
      <c r="B27" s="109" t="s">
        <v>203</v>
      </c>
      <c r="C27" s="109" t="s">
        <v>204</v>
      </c>
      <c r="D27" s="37">
        <v>81.400000000000006</v>
      </c>
      <c r="E27" s="37">
        <f t="shared" si="0"/>
        <v>81.400000000000006</v>
      </c>
      <c r="F27" s="37" t="str">
        <f>IFERROR(VLOOKUP(E27,[7]Sheet1!$AA$1:$AB$10,2),"")</f>
        <v>B+</v>
      </c>
    </row>
    <row r="28" spans="1:6">
      <c r="A28" s="108">
        <v>10</v>
      </c>
      <c r="B28" s="109" t="s">
        <v>205</v>
      </c>
      <c r="C28" s="109" t="s">
        <v>206</v>
      </c>
      <c r="D28" s="37">
        <v>88.5</v>
      </c>
      <c r="E28" s="37">
        <f t="shared" si="0"/>
        <v>88.5</v>
      </c>
      <c r="F28" s="37" t="str">
        <f>IFERROR(VLOOKUP(E28,[7]Sheet1!$AA$1:$AB$10,2),"")</f>
        <v>A-</v>
      </c>
    </row>
    <row r="29" spans="1:6">
      <c r="A29" s="108">
        <v>11</v>
      </c>
      <c r="B29" s="109" t="s">
        <v>255</v>
      </c>
      <c r="C29" s="109" t="s">
        <v>256</v>
      </c>
      <c r="D29" s="37">
        <v>81.400000000000006</v>
      </c>
      <c r="E29" s="37">
        <f t="shared" si="0"/>
        <v>81.400000000000006</v>
      </c>
      <c r="F29" s="37" t="str">
        <f>IFERROR(VLOOKUP(E29,[7]Sheet1!$AA$1:$AB$10,2),"")</f>
        <v>B+</v>
      </c>
    </row>
    <row r="30" spans="1:6">
      <c r="A30" s="108">
        <v>12</v>
      </c>
      <c r="B30" s="109" t="s">
        <v>207</v>
      </c>
      <c r="C30" s="109" t="s">
        <v>208</v>
      </c>
      <c r="D30" s="37">
        <v>90.4</v>
      </c>
      <c r="E30" s="37">
        <f t="shared" si="0"/>
        <v>90.4</v>
      </c>
      <c r="F30" s="37" t="str">
        <f>IFERROR(VLOOKUP(E30,[7]Sheet1!$AA$1:$AB$10,2),"")</f>
        <v>A</v>
      </c>
    </row>
    <row r="31" spans="1:6">
      <c r="A31" s="108">
        <v>13</v>
      </c>
      <c r="B31" s="109" t="s">
        <v>209</v>
      </c>
      <c r="C31" s="109" t="s">
        <v>210</v>
      </c>
      <c r="D31" s="37">
        <v>71.5</v>
      </c>
      <c r="E31" s="37">
        <f t="shared" si="0"/>
        <v>71.5</v>
      </c>
      <c r="F31" s="37" t="str">
        <f>IFERROR(VLOOKUP(E31,[7]Sheet1!$AA$1:$AB$10,2),"")</f>
        <v>B</v>
      </c>
    </row>
    <row r="32" spans="1:6">
      <c r="A32" s="108">
        <v>14</v>
      </c>
      <c r="B32" s="109" t="s">
        <v>211</v>
      </c>
      <c r="C32" s="109" t="s">
        <v>212</v>
      </c>
      <c r="D32" s="37">
        <v>85.9</v>
      </c>
      <c r="E32" s="37">
        <f t="shared" si="0"/>
        <v>85.9</v>
      </c>
      <c r="F32" s="37" t="str">
        <f>IFERROR(VLOOKUP(E32,[7]Sheet1!$AA$1:$AB$10,2),"")</f>
        <v>A-</v>
      </c>
    </row>
    <row r="33" spans="1:6">
      <c r="A33" s="108">
        <v>15</v>
      </c>
      <c r="B33" s="109" t="s">
        <v>213</v>
      </c>
      <c r="C33" s="109" t="s">
        <v>214</v>
      </c>
      <c r="D33" s="37">
        <v>81.400000000000006</v>
      </c>
      <c r="E33" s="37">
        <f t="shared" si="0"/>
        <v>81.400000000000006</v>
      </c>
      <c r="F33" s="37" t="str">
        <f>IFERROR(VLOOKUP(E33,[7]Sheet1!$AA$1:$AB$10,2),"")</f>
        <v>B+</v>
      </c>
    </row>
    <row r="34" spans="1:6">
      <c r="A34" s="108">
        <v>16</v>
      </c>
      <c r="B34" s="109" t="s">
        <v>215</v>
      </c>
      <c r="C34" s="109" t="s">
        <v>216</v>
      </c>
      <c r="D34" s="37">
        <v>81.400000000000006</v>
      </c>
      <c r="E34" s="37">
        <f t="shared" si="0"/>
        <v>81.400000000000006</v>
      </c>
      <c r="F34" s="37" t="str">
        <f>IFERROR(VLOOKUP(E34,[7]Sheet1!$AA$1:$AB$10,2),"")</f>
        <v>B+</v>
      </c>
    </row>
    <row r="35" spans="1:6">
      <c r="A35" s="108">
        <v>17</v>
      </c>
      <c r="B35" s="109" t="s">
        <v>217</v>
      </c>
      <c r="C35" s="109" t="s">
        <v>218</v>
      </c>
      <c r="D35" s="37">
        <v>81.400000000000006</v>
      </c>
      <c r="E35" s="37">
        <f t="shared" si="0"/>
        <v>81.400000000000006</v>
      </c>
      <c r="F35" s="37" t="str">
        <f>IFERROR(VLOOKUP(E35,[7]Sheet1!$AA$1:$AB$10,2),"")</f>
        <v>B+</v>
      </c>
    </row>
    <row r="36" spans="1:6">
      <c r="A36" s="108">
        <v>18</v>
      </c>
      <c r="B36" s="109" t="s">
        <v>219</v>
      </c>
      <c r="C36" s="109" t="s">
        <v>220</v>
      </c>
      <c r="D36" s="37">
        <v>85.55</v>
      </c>
      <c r="E36" s="37">
        <f t="shared" si="0"/>
        <v>85.55</v>
      </c>
      <c r="F36" s="37" t="str">
        <f>IFERROR(VLOOKUP(E36,[7]Sheet1!$AA$1:$AB$10,2),"")</f>
        <v>A-</v>
      </c>
    </row>
    <row r="37" spans="1:6">
      <c r="A37" s="108">
        <v>19</v>
      </c>
      <c r="B37" s="109" t="s">
        <v>221</v>
      </c>
      <c r="C37" s="109" t="s">
        <v>222</v>
      </c>
      <c r="D37" s="37">
        <v>86.95</v>
      </c>
      <c r="E37" s="37">
        <f t="shared" si="0"/>
        <v>86.95</v>
      </c>
      <c r="F37" s="37" t="str">
        <f>IFERROR(VLOOKUP(E37,[7]Sheet1!$AA$1:$AB$10,2),"")</f>
        <v>A-</v>
      </c>
    </row>
    <row r="38" spans="1:6">
      <c r="A38" s="108">
        <v>20</v>
      </c>
      <c r="B38" s="109" t="s">
        <v>223</v>
      </c>
      <c r="C38" s="109" t="s">
        <v>224</v>
      </c>
      <c r="D38" s="37">
        <v>81.400000000000006</v>
      </c>
      <c r="E38" s="37">
        <f t="shared" si="0"/>
        <v>81.400000000000006</v>
      </c>
      <c r="F38" s="37" t="str">
        <f>IFERROR(VLOOKUP(E38,[7]Sheet1!$AA$1:$AB$10,2),"")</f>
        <v>B+</v>
      </c>
    </row>
    <row r="39" spans="1:6">
      <c r="A39" s="108">
        <v>21</v>
      </c>
      <c r="B39" s="109" t="s">
        <v>225</v>
      </c>
      <c r="C39" s="109" t="s">
        <v>226</v>
      </c>
      <c r="D39" s="37">
        <v>81.400000000000006</v>
      </c>
      <c r="E39" s="37">
        <f t="shared" si="0"/>
        <v>81.400000000000006</v>
      </c>
      <c r="F39" s="37" t="str">
        <f>IFERROR(VLOOKUP(E39,[7]Sheet1!$AA$1:$AB$10,2),"")</f>
        <v>B+</v>
      </c>
    </row>
    <row r="40" spans="1:6">
      <c r="A40" s="108">
        <v>22</v>
      </c>
      <c r="B40" s="109" t="s">
        <v>227</v>
      </c>
      <c r="C40" s="109" t="s">
        <v>228</v>
      </c>
      <c r="D40" s="37">
        <v>83</v>
      </c>
      <c r="E40" s="37">
        <f t="shared" si="0"/>
        <v>83</v>
      </c>
      <c r="F40" s="37" t="str">
        <f>IFERROR(VLOOKUP(E40,[7]Sheet1!$AA$1:$AB$10,2),"")</f>
        <v>B+</v>
      </c>
    </row>
    <row r="41" spans="1:6">
      <c r="A41" s="108">
        <v>23</v>
      </c>
      <c r="B41" s="109" t="s">
        <v>229</v>
      </c>
      <c r="C41" s="109" t="s">
        <v>230</v>
      </c>
      <c r="D41" s="37">
        <v>81.400000000000006</v>
      </c>
      <c r="E41" s="37">
        <f t="shared" si="0"/>
        <v>81.400000000000006</v>
      </c>
      <c r="F41" s="37" t="str">
        <f>IFERROR(VLOOKUP(E41,[7]Sheet1!$AA$1:$AB$10,2),"")</f>
        <v>B+</v>
      </c>
    </row>
    <row r="42" spans="1:6">
      <c r="A42" s="108">
        <v>24</v>
      </c>
      <c r="B42" s="109" t="s">
        <v>293</v>
      </c>
      <c r="C42" s="109" t="s">
        <v>294</v>
      </c>
      <c r="D42" s="37">
        <v>86</v>
      </c>
      <c r="E42" s="37">
        <f t="shared" si="0"/>
        <v>86</v>
      </c>
      <c r="F42" s="37" t="str">
        <f>IFERROR(VLOOKUP(E42,[7]Sheet1!$AA$1:$AB$10,2),"")</f>
        <v>A-</v>
      </c>
    </row>
    <row r="43" spans="1:6">
      <c r="A43" s="108">
        <v>25</v>
      </c>
      <c r="B43" s="109" t="s">
        <v>291</v>
      </c>
      <c r="C43" s="109" t="s">
        <v>292</v>
      </c>
      <c r="D43" s="37">
        <v>87.55</v>
      </c>
      <c r="E43" s="37">
        <f t="shared" si="0"/>
        <v>87.55</v>
      </c>
      <c r="F43" s="37" t="str">
        <f>IFERROR(VLOOKUP(E43,[7]Sheet1!$AA$1:$AB$10,2),"")</f>
        <v>A-</v>
      </c>
    </row>
    <row r="44" spans="1:6">
      <c r="A44" s="108">
        <v>26</v>
      </c>
      <c r="B44" s="109" t="s">
        <v>231</v>
      </c>
      <c r="C44" s="109" t="s">
        <v>257</v>
      </c>
      <c r="D44" s="37">
        <v>80.900000000000006</v>
      </c>
      <c r="E44" s="37">
        <f t="shared" si="0"/>
        <v>80.900000000000006</v>
      </c>
      <c r="F44" s="37" t="str">
        <f>IFERROR(VLOOKUP(E44,[7]Sheet1!$AA$1:$AB$10,2),"")</f>
        <v>B+</v>
      </c>
    </row>
    <row r="45" spans="1:6">
      <c r="A45" s="108">
        <v>27</v>
      </c>
      <c r="B45" s="109" t="s">
        <v>233</v>
      </c>
      <c r="C45" s="109" t="s">
        <v>234</v>
      </c>
      <c r="D45" s="37">
        <v>88.65</v>
      </c>
      <c r="E45" s="37">
        <f t="shared" si="0"/>
        <v>88.65</v>
      </c>
      <c r="F45" s="37" t="str">
        <f>IFERROR(VLOOKUP(E45,[7]Sheet1!$AA$1:$AB$10,2),"")</f>
        <v>A-</v>
      </c>
    </row>
    <row r="46" spans="1:6">
      <c r="A46" s="108">
        <v>28</v>
      </c>
      <c r="B46" s="109" t="s">
        <v>235</v>
      </c>
      <c r="C46" s="109" t="s">
        <v>236</v>
      </c>
      <c r="D46" s="37">
        <v>83</v>
      </c>
      <c r="E46" s="37">
        <f t="shared" si="0"/>
        <v>83</v>
      </c>
      <c r="F46" s="37" t="str">
        <f>IFERROR(VLOOKUP(E46,[7]Sheet1!$AA$1:$AB$10,2),"")</f>
        <v>B+</v>
      </c>
    </row>
    <row r="47" spans="1:6">
      <c r="A47" s="108">
        <v>29</v>
      </c>
      <c r="B47" s="109" t="s">
        <v>237</v>
      </c>
      <c r="C47" s="109" t="s">
        <v>238</v>
      </c>
      <c r="D47" s="37">
        <v>66.2</v>
      </c>
      <c r="E47" s="37">
        <f t="shared" si="0"/>
        <v>66.2</v>
      </c>
      <c r="F47" s="37" t="str">
        <f>IFERROR(VLOOKUP(E47,[7]Sheet1!$AA$1:$AB$10,2),"")</f>
        <v>B-</v>
      </c>
    </row>
    <row r="48" spans="1:6">
      <c r="A48" s="108">
        <v>30</v>
      </c>
      <c r="B48" s="109" t="s">
        <v>239</v>
      </c>
      <c r="C48" s="109" t="s">
        <v>240</v>
      </c>
      <c r="D48" s="37">
        <v>55.8</v>
      </c>
      <c r="E48" s="37">
        <f t="shared" si="0"/>
        <v>55.8</v>
      </c>
      <c r="F48" s="37" t="str">
        <f>IFERROR(VLOOKUP(E48,[7]Sheet1!$AA$1:$AB$10,2),"")</f>
        <v>C</v>
      </c>
    </row>
    <row r="49" spans="1:6">
      <c r="A49" s="108">
        <v>31</v>
      </c>
      <c r="B49" s="109" t="s">
        <v>241</v>
      </c>
      <c r="C49" s="109" t="s">
        <v>242</v>
      </c>
      <c r="D49" s="37">
        <v>89</v>
      </c>
      <c r="E49" s="37">
        <f t="shared" si="0"/>
        <v>89</v>
      </c>
      <c r="F49" s="37" t="str">
        <f>IFERROR(VLOOKUP(E49,[7]Sheet1!$AA$1:$AB$10,2),"")</f>
        <v>A-</v>
      </c>
    </row>
    <row r="50" spans="1:6">
      <c r="A50" s="108">
        <v>32</v>
      </c>
      <c r="B50" s="109" t="s">
        <v>243</v>
      </c>
      <c r="C50" s="109" t="s">
        <v>244</v>
      </c>
      <c r="D50" s="37">
        <v>89.7</v>
      </c>
      <c r="E50" s="37">
        <f t="shared" si="0"/>
        <v>89.7</v>
      </c>
      <c r="F50" s="37" t="str">
        <f>IFERROR(VLOOKUP(E50,[7]Sheet1!$AA$1:$AB$10,2),"")</f>
        <v>A-</v>
      </c>
    </row>
    <row r="51" spans="1:6">
      <c r="A51" s="108">
        <v>33</v>
      </c>
      <c r="B51" s="109" t="s">
        <v>245</v>
      </c>
      <c r="C51" s="109" t="s">
        <v>246</v>
      </c>
      <c r="D51" s="37">
        <v>89.7</v>
      </c>
      <c r="E51" s="37">
        <f t="shared" si="0"/>
        <v>89.7</v>
      </c>
      <c r="F51" s="37" t="str">
        <f>IFERROR(VLOOKUP(E51,[7]Sheet1!$AA$1:$AB$10,2),"")</f>
        <v>A-</v>
      </c>
    </row>
    <row r="52" spans="1:6">
      <c r="A52" s="108">
        <v>34</v>
      </c>
      <c r="B52" s="109" t="s">
        <v>247</v>
      </c>
      <c r="C52" s="109" t="s">
        <v>248</v>
      </c>
      <c r="D52" s="37">
        <v>89.7</v>
      </c>
      <c r="E52" s="37">
        <f t="shared" si="0"/>
        <v>89.7</v>
      </c>
      <c r="F52" s="37" t="str">
        <f>IFERROR(VLOOKUP(E52,[7]Sheet1!$AA$1:$AB$10,2),"")</f>
        <v>A-</v>
      </c>
    </row>
    <row r="53" spans="1:6">
      <c r="A53" s="108">
        <v>35</v>
      </c>
      <c r="B53" s="109" t="s">
        <v>249</v>
      </c>
      <c r="C53" s="109" t="s">
        <v>250</v>
      </c>
      <c r="D53" s="37"/>
      <c r="E53" s="37"/>
      <c r="F53" s="37"/>
    </row>
    <row r="54" spans="1:6">
      <c r="A54" s="108">
        <v>36</v>
      </c>
      <c r="B54" s="109" t="s">
        <v>251</v>
      </c>
      <c r="C54" s="109" t="s">
        <v>252</v>
      </c>
      <c r="D54" s="37"/>
      <c r="E54" s="37"/>
      <c r="F54" s="37"/>
    </row>
    <row r="55" spans="1:6">
      <c r="C55" s="34"/>
      <c r="D55" s="35"/>
      <c r="E55" s="35"/>
    </row>
    <row r="56" spans="1:6" ht="14.5" thickBot="1">
      <c r="C56" s="34"/>
      <c r="D56" s="35" t="str">
        <f>D16</f>
        <v>CPMK12</v>
      </c>
      <c r="E56" s="35" t="str">
        <f>E12</f>
        <v>Nilai Akhir MK</v>
      </c>
    </row>
    <row r="57" spans="1:6" ht="14.5" thickBot="1">
      <c r="C57" s="38" t="s">
        <v>105</v>
      </c>
      <c r="D57" s="39">
        <f>IFERROR(COUNTIF(D19:D54,""),"")</f>
        <v>2</v>
      </c>
      <c r="E57" s="39">
        <f>IFERROR(COUNTIF(E19:E54,""),"")</f>
        <v>2</v>
      </c>
    </row>
    <row r="58" spans="1:6" ht="14.5" thickBot="1">
      <c r="C58" s="40" t="s">
        <v>97</v>
      </c>
      <c r="D58" s="41">
        <f>IFERROR(COUNTIF(D19:D54,C58)+COUNTIF(D19:D54,""),"")-D57</f>
        <v>1</v>
      </c>
      <c r="E58" s="41">
        <f>IFERROR(COUNTIF(E19:E54,C58)+COUNTIF(E19:E54,""),"")</f>
        <v>3</v>
      </c>
    </row>
    <row r="59" spans="1:6" ht="14.5" thickBot="1">
      <c r="C59" s="42" t="s">
        <v>98</v>
      </c>
      <c r="D59" s="43">
        <f>IFERROR(COUNTIF(D19:D54,C59)-D58,"")</f>
        <v>19</v>
      </c>
      <c r="E59" s="44">
        <f>IFERROR(COUNTIF(E19:E54,C59)-E58,"")</f>
        <v>17</v>
      </c>
    </row>
    <row r="60" spans="1:6" ht="14.5" thickBot="1">
      <c r="C60" s="45" t="s">
        <v>99</v>
      </c>
      <c r="D60" s="46">
        <f>COUNTIF(D19:D54,C60)</f>
        <v>14</v>
      </c>
      <c r="E60" s="46">
        <f>IFERROR(COUNTIF(E19:E54,C60),"")</f>
        <v>14</v>
      </c>
    </row>
    <row r="61" spans="1:6" ht="14.5" thickBot="1">
      <c r="C61" s="47" t="s">
        <v>77</v>
      </c>
      <c r="D61" s="48">
        <f>SUM(D57:D60)</f>
        <v>36</v>
      </c>
      <c r="E61" s="48">
        <f t="shared" ref="E61" si="1">SUM(E57:E60)</f>
        <v>36</v>
      </c>
    </row>
    <row r="62" spans="1:6" ht="14.5" thickBot="1">
      <c r="C62" s="49"/>
      <c r="D62" s="35"/>
      <c r="E62" s="35"/>
    </row>
    <row r="63" spans="1:6" ht="14.5" thickBot="1">
      <c r="C63" s="50" t="s">
        <v>100</v>
      </c>
      <c r="D63" s="51">
        <f>(D59+D60)/(D61-D57)</f>
        <v>0.97058823529411764</v>
      </c>
      <c r="E63" s="51">
        <f>(E59+E60)/(E61-E57)</f>
        <v>0.91176470588235292</v>
      </c>
    </row>
    <row r="64" spans="1:6" ht="14.5" thickBot="1">
      <c r="C64" s="49"/>
      <c r="D64" s="35"/>
      <c r="E64" s="35"/>
    </row>
    <row r="65" spans="3:5" ht="14.5" thickBot="1">
      <c r="C65" s="50" t="s">
        <v>101</v>
      </c>
      <c r="D65" s="21">
        <f>MIN(D19:D54)</f>
        <v>55.8</v>
      </c>
      <c r="E65" s="52">
        <f>IFERROR(MIN(E19:E54),"")</f>
        <v>55.8</v>
      </c>
    </row>
    <row r="66" spans="3:5" ht="14.5" thickBot="1">
      <c r="C66" s="50" t="s">
        <v>102</v>
      </c>
      <c r="D66" s="21">
        <f>MAX(D19:D54)</f>
        <v>90.4</v>
      </c>
      <c r="E66" s="52">
        <f>IFERROR(MAX(E19:E54),"")</f>
        <v>90.4</v>
      </c>
    </row>
    <row r="67" spans="3:5" ht="14.5" thickBot="1">
      <c r="C67" s="50" t="s">
        <v>103</v>
      </c>
      <c r="D67" s="52">
        <f>AVERAGE(D19:D54)</f>
        <v>82.357352941176472</v>
      </c>
      <c r="E67" s="52">
        <f>IFERROR(AVERAGE(E19:E54),"")</f>
        <v>82.357352941176472</v>
      </c>
    </row>
  </sheetData>
  <mergeCells count="4">
    <mergeCell ref="A1:G1"/>
    <mergeCell ref="A2:G2"/>
    <mergeCell ref="E12:E17"/>
    <mergeCell ref="F12:F17"/>
  </mergeCells>
  <printOptions horizontalCentered="1"/>
  <pageMargins left="0.19685039370078741" right="0.11811023622047245" top="0.19685039370078741" bottom="0.15748031496062992" header="0" footer="0"/>
  <pageSetup paperSize="9" scale="82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404DD-9707-45AE-97F6-1CE0CA08D6FF}">
  <dimension ref="A1:V66"/>
  <sheetViews>
    <sheetView view="pageBreakPreview" zoomScaleNormal="100" zoomScaleSheetLayoutView="100" workbookViewId="0">
      <selection activeCell="G9" sqref="G9"/>
    </sheetView>
  </sheetViews>
  <sheetFormatPr defaultRowHeight="14"/>
  <cols>
    <col min="1" max="1" width="4" customWidth="1"/>
    <col min="2" max="2" width="12.83203125" customWidth="1"/>
    <col min="3" max="3" width="32.6640625" customWidth="1"/>
    <col min="4" max="4" width="13.08203125" customWidth="1"/>
    <col min="5" max="5" width="15.25" customWidth="1"/>
    <col min="6" max="6" width="12.6640625" customWidth="1"/>
    <col min="9" max="9" width="13" customWidth="1"/>
  </cols>
  <sheetData>
    <row r="1" spans="1:22" ht="18">
      <c r="A1" s="261" t="s">
        <v>78</v>
      </c>
      <c r="B1" s="261"/>
      <c r="C1" s="261"/>
      <c r="D1" s="261"/>
      <c r="E1" s="261"/>
      <c r="F1" s="261"/>
      <c r="G1" s="261"/>
      <c r="H1" s="261"/>
      <c r="I1" s="32"/>
    </row>
    <row r="2" spans="1:22" ht="18.5" thickBot="1">
      <c r="A2" s="262" t="s">
        <v>79</v>
      </c>
      <c r="B2" s="262"/>
      <c r="C2" s="262"/>
      <c r="D2" s="262"/>
      <c r="E2" s="262"/>
      <c r="F2" s="262"/>
      <c r="G2" s="262"/>
      <c r="H2" s="262"/>
      <c r="I2" s="32"/>
    </row>
    <row r="3" spans="1:22">
      <c r="A3" s="140"/>
      <c r="B3" s="140"/>
      <c r="C3" s="140"/>
      <c r="D3" s="140"/>
      <c r="E3" s="140"/>
      <c r="F3" s="140"/>
      <c r="G3" s="140"/>
      <c r="H3" s="140"/>
    </row>
    <row r="4" spans="1:22">
      <c r="A4" s="140" t="s">
        <v>80</v>
      </c>
      <c r="B4" s="140"/>
      <c r="C4" s="140" t="s">
        <v>81</v>
      </c>
      <c r="D4" s="140"/>
      <c r="E4" s="140" t="s">
        <v>82</v>
      </c>
      <c r="F4" s="140" t="s">
        <v>253</v>
      </c>
      <c r="G4" s="140"/>
      <c r="H4" s="140"/>
    </row>
    <row r="5" spans="1:22">
      <c r="A5" s="140" t="s">
        <v>41</v>
      </c>
      <c r="B5" s="140"/>
      <c r="C5" s="141" t="s">
        <v>264</v>
      </c>
      <c r="D5" s="140"/>
      <c r="E5" s="140" t="s">
        <v>84</v>
      </c>
      <c r="F5" s="140" t="s">
        <v>254</v>
      </c>
      <c r="G5" s="140"/>
      <c r="H5" s="140"/>
    </row>
    <row r="6" spans="1:22">
      <c r="A6" s="140" t="s">
        <v>42</v>
      </c>
      <c r="B6" s="140"/>
      <c r="C6" s="140" t="s">
        <v>263</v>
      </c>
      <c r="D6" s="140"/>
      <c r="E6" s="140"/>
      <c r="F6" s="140"/>
      <c r="G6" s="140"/>
      <c r="H6" s="140"/>
    </row>
    <row r="7" spans="1:22">
      <c r="A7" s="140" t="s">
        <v>86</v>
      </c>
      <c r="B7" s="140"/>
      <c r="C7" s="140" t="s">
        <v>87</v>
      </c>
      <c r="D7" s="140"/>
      <c r="E7" s="140"/>
      <c r="F7" s="140"/>
      <c r="G7" s="140"/>
      <c r="H7" s="140"/>
    </row>
    <row r="8" spans="1:22">
      <c r="A8" s="140" t="s">
        <v>88</v>
      </c>
      <c r="B8" s="140"/>
      <c r="C8" s="140" t="s">
        <v>89</v>
      </c>
      <c r="D8" s="140"/>
      <c r="E8" s="140"/>
      <c r="F8" s="140"/>
      <c r="G8" s="140"/>
      <c r="H8" s="140"/>
    </row>
    <row r="9" spans="1:22">
      <c r="A9" s="140" t="s">
        <v>90</v>
      </c>
      <c r="B9" s="140"/>
      <c r="C9" s="140" t="s">
        <v>268</v>
      </c>
      <c r="D9" s="140"/>
      <c r="E9" s="140"/>
      <c r="F9" s="140"/>
      <c r="G9" s="140"/>
      <c r="H9" s="140"/>
    </row>
    <row r="10" spans="1:22">
      <c r="A10" s="140"/>
      <c r="B10" s="140"/>
      <c r="C10" s="140" t="s">
        <v>112</v>
      </c>
      <c r="D10" s="140"/>
      <c r="E10" s="140"/>
      <c r="F10" s="140"/>
      <c r="G10" s="140"/>
      <c r="H10" s="140"/>
    </row>
    <row r="11" spans="1:22">
      <c r="A11" s="140"/>
      <c r="B11" s="140"/>
      <c r="C11" s="142"/>
      <c r="D11" s="143"/>
      <c r="E11" s="143"/>
      <c r="F11" s="143"/>
      <c r="G11" s="143"/>
      <c r="H11" s="143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</row>
    <row r="12" spans="1:22">
      <c r="A12" s="140"/>
      <c r="B12" s="140"/>
      <c r="C12" s="142"/>
      <c r="D12" s="263" t="s">
        <v>70</v>
      </c>
      <c r="E12" s="264"/>
      <c r="F12" s="265" t="str">
        <f>CONCATENATE("Nilai Akhir MK","     ",D17+E17)</f>
        <v>Nilai Akhir MK     100</v>
      </c>
      <c r="G12" s="265" t="s">
        <v>92</v>
      </c>
      <c r="H12" s="140"/>
    </row>
    <row r="13" spans="1:22">
      <c r="A13" s="140"/>
      <c r="B13" s="140"/>
      <c r="C13" s="142"/>
      <c r="D13" s="268" t="str">
        <f>TRIM(MID(C5,3,100))</f>
        <v>UU.24.05.52.1.03</v>
      </c>
      <c r="E13" s="268"/>
      <c r="F13" s="266"/>
      <c r="G13" s="266"/>
      <c r="H13" s="140"/>
    </row>
    <row r="14" spans="1:22">
      <c r="A14" s="140"/>
      <c r="B14" s="140"/>
      <c r="C14" s="142"/>
      <c r="D14" s="268" t="str">
        <f>TRIM(MID(C6,3,100))</f>
        <v>English for Business</v>
      </c>
      <c r="E14" s="268"/>
      <c r="F14" s="266"/>
      <c r="G14" s="266"/>
      <c r="H14" s="140"/>
    </row>
    <row r="15" spans="1:22">
      <c r="A15" s="140"/>
      <c r="B15" s="140"/>
      <c r="C15" s="142"/>
      <c r="D15" s="197" t="s">
        <v>121</v>
      </c>
      <c r="E15" s="197" t="s">
        <v>121</v>
      </c>
      <c r="F15" s="266"/>
      <c r="G15" s="266"/>
      <c r="H15" s="140"/>
    </row>
    <row r="16" spans="1:22">
      <c r="A16" s="140"/>
      <c r="B16" s="140"/>
      <c r="C16" s="142"/>
      <c r="D16" s="197" t="s">
        <v>129</v>
      </c>
      <c r="E16" s="197" t="s">
        <v>267</v>
      </c>
      <c r="F16" s="266"/>
      <c r="G16" s="266"/>
      <c r="H16" s="140"/>
    </row>
    <row r="17" spans="1:8">
      <c r="A17" s="140"/>
      <c r="B17" s="140"/>
      <c r="C17" s="142"/>
      <c r="D17" s="197">
        <v>50</v>
      </c>
      <c r="E17" s="197">
        <v>50</v>
      </c>
      <c r="F17" s="267"/>
      <c r="G17" s="267"/>
      <c r="H17" s="140"/>
    </row>
    <row r="18" spans="1:8">
      <c r="A18" s="1" t="s">
        <v>0</v>
      </c>
      <c r="B18" s="1" t="s">
        <v>1</v>
      </c>
      <c r="C18" s="1" t="s">
        <v>2</v>
      </c>
      <c r="D18" s="1"/>
      <c r="E18" s="1"/>
      <c r="F18" s="1"/>
      <c r="G18" s="1"/>
      <c r="H18" s="140"/>
    </row>
    <row r="19" spans="1:8">
      <c r="A19" s="222">
        <v>1</v>
      </c>
      <c r="B19" s="223" t="s">
        <v>187</v>
      </c>
      <c r="C19" s="223" t="s">
        <v>188</v>
      </c>
      <c r="D19" s="145">
        <v>93.2</v>
      </c>
      <c r="E19" s="145">
        <v>97.5</v>
      </c>
      <c r="F19" s="145">
        <f>IFERROR((D19*($D$17/100))+(E19*($E$17/100)),"")</f>
        <v>95.35</v>
      </c>
      <c r="G19" s="145" t="str">
        <f>IFERROR(VLOOKUP(F20,[7]Sheet1!$AA$1:$AB$10,2),"")</f>
        <v>A</v>
      </c>
      <c r="H19" s="140"/>
    </row>
    <row r="20" spans="1:8">
      <c r="A20" s="222">
        <v>2</v>
      </c>
      <c r="B20" s="223" t="s">
        <v>189</v>
      </c>
      <c r="C20" s="223" t="s">
        <v>190</v>
      </c>
      <c r="D20" s="145">
        <v>95.5</v>
      </c>
      <c r="E20" s="145">
        <v>93.4</v>
      </c>
      <c r="F20" s="145">
        <f t="shared" ref="F20:F52" si="0">IFERROR((D20*($D$17/100))+(E20*($E$17/100)),"")</f>
        <v>94.45</v>
      </c>
      <c r="G20" s="145" t="str">
        <f>IFERROR(VLOOKUP(F20,[8]Sheet1!$AA$1:$AB$10,2),"")</f>
        <v>A</v>
      </c>
      <c r="H20" s="140"/>
    </row>
    <row r="21" spans="1:8">
      <c r="A21" s="222">
        <v>3</v>
      </c>
      <c r="B21" s="223" t="s">
        <v>191</v>
      </c>
      <c r="C21" s="223" t="s">
        <v>192</v>
      </c>
      <c r="D21" s="145">
        <v>94.7</v>
      </c>
      <c r="E21" s="145">
        <v>95.9</v>
      </c>
      <c r="F21" s="145">
        <f t="shared" si="0"/>
        <v>95.300000000000011</v>
      </c>
      <c r="G21" s="145" t="str">
        <f>IFERROR(VLOOKUP(F21,[8]Sheet1!$AA$1:$AB$10,2),"")</f>
        <v>A</v>
      </c>
      <c r="H21" s="140"/>
    </row>
    <row r="22" spans="1:8">
      <c r="A22" s="222">
        <v>4</v>
      </c>
      <c r="B22" s="223" t="s">
        <v>193</v>
      </c>
      <c r="C22" s="223" t="s">
        <v>194</v>
      </c>
      <c r="D22" s="145">
        <v>70.5</v>
      </c>
      <c r="E22" s="145">
        <v>89</v>
      </c>
      <c r="F22" s="145">
        <f t="shared" si="0"/>
        <v>79.75</v>
      </c>
      <c r="G22" s="145" t="str">
        <f>IFERROR(VLOOKUP(F22,[8]Sheet1!$AA$1:$AB$10,2),"")</f>
        <v>B+</v>
      </c>
      <c r="H22" s="140"/>
    </row>
    <row r="23" spans="1:8">
      <c r="A23" s="222">
        <v>5</v>
      </c>
      <c r="B23" s="223" t="s">
        <v>195</v>
      </c>
      <c r="C23" s="223" t="s">
        <v>196</v>
      </c>
      <c r="D23" s="145">
        <v>70.5</v>
      </c>
      <c r="E23" s="145">
        <v>89</v>
      </c>
      <c r="F23" s="145">
        <f t="shared" si="0"/>
        <v>79.75</v>
      </c>
      <c r="G23" s="145" t="str">
        <f>IFERROR(VLOOKUP(F23,[8]Sheet1!$AA$1:$AB$10,2),"")</f>
        <v>B+</v>
      </c>
      <c r="H23" s="140"/>
    </row>
    <row r="24" spans="1:8">
      <c r="A24" s="222">
        <v>6</v>
      </c>
      <c r="B24" s="223" t="s">
        <v>197</v>
      </c>
      <c r="C24" s="223" t="s">
        <v>198</v>
      </c>
      <c r="D24" s="145">
        <v>90.4</v>
      </c>
      <c r="E24" s="145">
        <v>97.5</v>
      </c>
      <c r="F24" s="145">
        <f t="shared" si="0"/>
        <v>93.95</v>
      </c>
      <c r="G24" s="145" t="str">
        <f>IFERROR(VLOOKUP(F24,[8]Sheet1!$AA$1:$AB$10,2),"")</f>
        <v>A</v>
      </c>
      <c r="H24" s="140"/>
    </row>
    <row r="25" spans="1:8">
      <c r="A25" s="222">
        <v>7</v>
      </c>
      <c r="B25" s="223" t="s">
        <v>199</v>
      </c>
      <c r="C25" s="223" t="s">
        <v>200</v>
      </c>
      <c r="D25" s="145">
        <v>80.5</v>
      </c>
      <c r="E25" s="145">
        <v>82.6</v>
      </c>
      <c r="F25" s="145">
        <f t="shared" si="0"/>
        <v>81.55</v>
      </c>
      <c r="G25" s="145" t="str">
        <f>IFERROR(VLOOKUP(F25,[8]Sheet1!$AA$1:$AB$10,2),"")</f>
        <v>B+</v>
      </c>
      <c r="H25" s="140"/>
    </row>
    <row r="26" spans="1:8">
      <c r="A26" s="222">
        <v>8</v>
      </c>
      <c r="B26" s="223" t="s">
        <v>201</v>
      </c>
      <c r="C26" s="223" t="s">
        <v>202</v>
      </c>
      <c r="D26" s="145">
        <v>93.2</v>
      </c>
      <c r="E26" s="145">
        <v>91</v>
      </c>
      <c r="F26" s="145">
        <f t="shared" si="0"/>
        <v>92.1</v>
      </c>
      <c r="G26" s="145" t="str">
        <f>IFERROR(VLOOKUP(F26,[8]Sheet1!$AA$1:$AB$10,2),"")</f>
        <v>A</v>
      </c>
      <c r="H26" s="140"/>
    </row>
    <row r="27" spans="1:8">
      <c r="A27" s="222">
        <v>9</v>
      </c>
      <c r="B27" s="223" t="s">
        <v>203</v>
      </c>
      <c r="C27" s="223" t="s">
        <v>204</v>
      </c>
      <c r="D27" s="145">
        <v>91.4</v>
      </c>
      <c r="E27" s="145">
        <v>91</v>
      </c>
      <c r="F27" s="145">
        <f t="shared" si="0"/>
        <v>91.2</v>
      </c>
      <c r="G27" s="145" t="str">
        <f>IFERROR(VLOOKUP(F27,[8]Sheet1!$AA$1:$AB$10,2),"")</f>
        <v>A</v>
      </c>
      <c r="H27" s="140"/>
    </row>
    <row r="28" spans="1:8">
      <c r="A28" s="222">
        <v>10</v>
      </c>
      <c r="B28" s="223" t="s">
        <v>205</v>
      </c>
      <c r="C28" s="223" t="s">
        <v>206</v>
      </c>
      <c r="D28" s="145">
        <v>79.2</v>
      </c>
      <c r="E28" s="145">
        <v>82.6</v>
      </c>
      <c r="F28" s="145">
        <f t="shared" si="0"/>
        <v>80.900000000000006</v>
      </c>
      <c r="G28" s="145" t="str">
        <f>IFERROR(VLOOKUP(F28,[8]Sheet1!$AA$1:$AB$10,2),"")</f>
        <v>B+</v>
      </c>
      <c r="H28" s="140"/>
    </row>
    <row r="29" spans="1:8">
      <c r="A29" s="222">
        <v>11</v>
      </c>
      <c r="B29" s="223" t="s">
        <v>255</v>
      </c>
      <c r="C29" s="223" t="s">
        <v>256</v>
      </c>
      <c r="D29" s="145">
        <v>92.2</v>
      </c>
      <c r="E29" s="145">
        <v>95.5</v>
      </c>
      <c r="F29" s="145">
        <f t="shared" si="0"/>
        <v>93.85</v>
      </c>
      <c r="G29" s="145" t="str">
        <f>IFERROR(VLOOKUP(F29,[8]Sheet1!$AA$1:$AB$10,2),"")</f>
        <v>A</v>
      </c>
      <c r="H29" s="140"/>
    </row>
    <row r="30" spans="1:8">
      <c r="A30" s="222">
        <v>12</v>
      </c>
      <c r="B30" s="223" t="s">
        <v>207</v>
      </c>
      <c r="C30" s="223" t="s">
        <v>208</v>
      </c>
      <c r="D30" s="145">
        <v>90.9</v>
      </c>
      <c r="E30" s="145">
        <v>95.9</v>
      </c>
      <c r="F30" s="145">
        <f t="shared" si="0"/>
        <v>93.4</v>
      </c>
      <c r="G30" s="145" t="str">
        <f>IFERROR(VLOOKUP(F30,[8]Sheet1!$AA$1:$AB$10,2),"")</f>
        <v>A</v>
      </c>
      <c r="H30" s="140"/>
    </row>
    <row r="31" spans="1:8">
      <c r="A31" s="222">
        <v>13</v>
      </c>
      <c r="B31" s="223" t="s">
        <v>209</v>
      </c>
      <c r="C31" s="223" t="s">
        <v>210</v>
      </c>
      <c r="D31" s="145">
        <v>67</v>
      </c>
      <c r="E31" s="145">
        <v>96</v>
      </c>
      <c r="F31" s="145">
        <f t="shared" si="0"/>
        <v>81.5</v>
      </c>
      <c r="G31" s="145" t="str">
        <f>IFERROR(VLOOKUP(F31,[8]Sheet1!$AA$1:$AB$10,2),"")</f>
        <v>B+</v>
      </c>
      <c r="H31" s="140"/>
    </row>
    <row r="32" spans="1:8">
      <c r="A32" s="222">
        <v>14</v>
      </c>
      <c r="B32" s="223" t="s">
        <v>211</v>
      </c>
      <c r="C32" s="223" t="s">
        <v>212</v>
      </c>
      <c r="D32" s="145">
        <v>93.2</v>
      </c>
      <c r="E32" s="145">
        <v>94.9</v>
      </c>
      <c r="F32" s="145">
        <f t="shared" si="0"/>
        <v>94.050000000000011</v>
      </c>
      <c r="G32" s="145" t="str">
        <f>IFERROR(VLOOKUP(F32,[8]Sheet1!$AA$1:$AB$10,2),"")</f>
        <v>A</v>
      </c>
      <c r="H32" s="140"/>
    </row>
    <row r="33" spans="1:8">
      <c r="A33" s="222">
        <v>15</v>
      </c>
      <c r="B33" s="223" t="s">
        <v>213</v>
      </c>
      <c r="C33" s="223" t="s">
        <v>214</v>
      </c>
      <c r="D33" s="145">
        <v>91.4</v>
      </c>
      <c r="E33" s="145">
        <v>98</v>
      </c>
      <c r="F33" s="145">
        <f t="shared" si="0"/>
        <v>94.7</v>
      </c>
      <c r="G33" s="145" t="str">
        <f>IFERROR(VLOOKUP(F33,[8]Sheet1!$AA$1:$AB$10,2),"")</f>
        <v>A</v>
      </c>
      <c r="H33" s="140"/>
    </row>
    <row r="34" spans="1:8">
      <c r="A34" s="222">
        <v>16</v>
      </c>
      <c r="B34" s="223" t="s">
        <v>215</v>
      </c>
      <c r="C34" s="223" t="s">
        <v>216</v>
      </c>
      <c r="D34" s="145">
        <v>91.4</v>
      </c>
      <c r="E34" s="145">
        <v>98</v>
      </c>
      <c r="F34" s="145">
        <f t="shared" si="0"/>
        <v>94.7</v>
      </c>
      <c r="G34" s="145" t="str">
        <f>IFERROR(VLOOKUP(F34,[8]Sheet1!$AA$1:$AB$10,2),"")</f>
        <v>A</v>
      </c>
      <c r="H34" s="140"/>
    </row>
    <row r="35" spans="1:8">
      <c r="A35" s="222">
        <v>17</v>
      </c>
      <c r="B35" s="223" t="s">
        <v>217</v>
      </c>
      <c r="C35" s="223" t="s">
        <v>218</v>
      </c>
      <c r="D35" s="145">
        <v>71.5</v>
      </c>
      <c r="E35" s="145">
        <v>80.900000000000006</v>
      </c>
      <c r="F35" s="145">
        <f t="shared" si="0"/>
        <v>76.2</v>
      </c>
      <c r="G35" s="145" t="str">
        <f>IFERROR(VLOOKUP(F35,[8]Sheet1!$AA$1:$AB$10,2),"")</f>
        <v>B+</v>
      </c>
      <c r="H35" s="140"/>
    </row>
    <row r="36" spans="1:8">
      <c r="A36" s="222">
        <v>18</v>
      </c>
      <c r="B36" s="223" t="s">
        <v>219</v>
      </c>
      <c r="C36" s="223" t="s">
        <v>220</v>
      </c>
      <c r="D36" s="145">
        <v>81</v>
      </c>
      <c r="E36" s="145">
        <v>87.6</v>
      </c>
      <c r="F36" s="145">
        <f t="shared" si="0"/>
        <v>84.3</v>
      </c>
      <c r="G36" s="145" t="str">
        <f>IFERROR(VLOOKUP(F36,[8]Sheet1!$AA$1:$AB$10,2),"")</f>
        <v>B+</v>
      </c>
      <c r="H36" s="140"/>
    </row>
    <row r="37" spans="1:8">
      <c r="A37" s="222">
        <v>19</v>
      </c>
      <c r="B37" s="223" t="s">
        <v>221</v>
      </c>
      <c r="C37" s="223" t="s">
        <v>222</v>
      </c>
      <c r="D37" s="145">
        <v>85.8</v>
      </c>
      <c r="E37" s="145">
        <v>88.9</v>
      </c>
      <c r="F37" s="145">
        <f t="shared" si="0"/>
        <v>87.35</v>
      </c>
      <c r="G37" s="145" t="str">
        <f>IFERROR(VLOOKUP(F37,[8]Sheet1!$AA$1:$AB$10,2),"")</f>
        <v>A-</v>
      </c>
      <c r="H37" s="140"/>
    </row>
    <row r="38" spans="1:8">
      <c r="A38" s="222">
        <v>20</v>
      </c>
      <c r="B38" s="223" t="s">
        <v>223</v>
      </c>
      <c r="C38" s="223" t="s">
        <v>224</v>
      </c>
      <c r="D38" s="145">
        <v>92.2</v>
      </c>
      <c r="E38" s="145">
        <v>91.1</v>
      </c>
      <c r="F38" s="145">
        <f t="shared" si="0"/>
        <v>91.65</v>
      </c>
      <c r="G38" s="145" t="str">
        <f>IFERROR(VLOOKUP(F38,[8]Sheet1!$AA$1:$AB$10,2),"")</f>
        <v>A</v>
      </c>
      <c r="H38" s="140"/>
    </row>
    <row r="39" spans="1:8">
      <c r="A39" s="222">
        <v>21</v>
      </c>
      <c r="B39" s="223" t="s">
        <v>225</v>
      </c>
      <c r="C39" s="223" t="s">
        <v>226</v>
      </c>
      <c r="D39" s="145">
        <v>70.5</v>
      </c>
      <c r="E39" s="145">
        <v>82</v>
      </c>
      <c r="F39" s="145">
        <f t="shared" si="0"/>
        <v>76.25</v>
      </c>
      <c r="G39" s="145" t="str">
        <f>IFERROR(VLOOKUP(F39,[8]Sheet1!$AA$1:$AB$10,2),"")</f>
        <v>B+</v>
      </c>
      <c r="H39" s="140"/>
    </row>
    <row r="40" spans="1:8">
      <c r="A40" s="222">
        <v>22</v>
      </c>
      <c r="B40" s="223" t="s">
        <v>227</v>
      </c>
      <c r="C40" s="223" t="s">
        <v>228</v>
      </c>
      <c r="D40" s="145">
        <v>85.8</v>
      </c>
      <c r="E40" s="145">
        <v>95.4</v>
      </c>
      <c r="F40" s="145">
        <f t="shared" si="0"/>
        <v>90.6</v>
      </c>
      <c r="G40" s="145" t="str">
        <f>IFERROR(VLOOKUP(F40,[8]Sheet1!$AA$1:$AB$10,2),"")</f>
        <v>A</v>
      </c>
      <c r="H40" s="140"/>
    </row>
    <row r="41" spans="1:8">
      <c r="A41" s="222">
        <v>23</v>
      </c>
      <c r="B41" s="223" t="s">
        <v>229</v>
      </c>
      <c r="C41" s="223" t="s">
        <v>230</v>
      </c>
      <c r="D41" s="145">
        <v>87.6</v>
      </c>
      <c r="E41" s="145">
        <v>76</v>
      </c>
      <c r="F41" s="145">
        <f t="shared" si="0"/>
        <v>81.8</v>
      </c>
      <c r="G41" s="145" t="str">
        <f>IFERROR(VLOOKUP(F41,[8]Sheet1!$AA$1:$AB$10,2),"")</f>
        <v>B+</v>
      </c>
      <c r="H41" s="140"/>
    </row>
    <row r="42" spans="1:8">
      <c r="A42" s="222">
        <v>24</v>
      </c>
      <c r="B42" s="223" t="s">
        <v>231</v>
      </c>
      <c r="C42" s="223" t="s">
        <v>257</v>
      </c>
      <c r="D42" s="145">
        <v>77</v>
      </c>
      <c r="E42" s="145">
        <v>91</v>
      </c>
      <c r="F42" s="145">
        <f t="shared" si="0"/>
        <v>84</v>
      </c>
      <c r="G42" s="145" t="str">
        <f>IFERROR(VLOOKUP(F42,[8]Sheet1!$AA$1:$AB$10,2),"")</f>
        <v>B+</v>
      </c>
      <c r="H42" s="140"/>
    </row>
    <row r="43" spans="1:8">
      <c r="A43" s="222">
        <v>25</v>
      </c>
      <c r="B43" s="223" t="s">
        <v>233</v>
      </c>
      <c r="C43" s="223" t="s">
        <v>234</v>
      </c>
      <c r="D43" s="145">
        <v>91</v>
      </c>
      <c r="E43" s="145">
        <v>91</v>
      </c>
      <c r="F43" s="145">
        <f t="shared" si="0"/>
        <v>91</v>
      </c>
      <c r="G43" s="145" t="str">
        <f>IFERROR(VLOOKUP(F43,[8]Sheet1!$AA$1:$AB$10,2),"")</f>
        <v>A</v>
      </c>
      <c r="H43" s="140"/>
    </row>
    <row r="44" spans="1:8">
      <c r="A44" s="222">
        <v>26</v>
      </c>
      <c r="B44" s="223" t="s">
        <v>235</v>
      </c>
      <c r="C44" s="223" t="s">
        <v>236</v>
      </c>
      <c r="D44" s="145">
        <v>93.5</v>
      </c>
      <c r="E44" s="145">
        <v>92</v>
      </c>
      <c r="F44" s="145">
        <f t="shared" si="0"/>
        <v>92.75</v>
      </c>
      <c r="G44" s="145" t="str">
        <f>IFERROR(VLOOKUP(F44,[8]Sheet1!$AA$1:$AB$10,2),"")</f>
        <v>A</v>
      </c>
      <c r="H44" s="140"/>
    </row>
    <row r="45" spans="1:8">
      <c r="A45" s="222">
        <v>27</v>
      </c>
      <c r="B45" s="223" t="s">
        <v>237</v>
      </c>
      <c r="C45" s="223" t="s">
        <v>238</v>
      </c>
      <c r="D45" s="145">
        <v>91</v>
      </c>
      <c r="E45" s="145">
        <v>91</v>
      </c>
      <c r="F45" s="145">
        <f t="shared" si="0"/>
        <v>91</v>
      </c>
      <c r="G45" s="145" t="str">
        <f>IFERROR(VLOOKUP(F45,[8]Sheet1!$AA$1:$AB$10,2),"")</f>
        <v>A</v>
      </c>
      <c r="H45" s="140"/>
    </row>
    <row r="46" spans="1:8">
      <c r="A46" s="222">
        <v>28</v>
      </c>
      <c r="B46" s="223" t="s">
        <v>239</v>
      </c>
      <c r="C46" s="223" t="s">
        <v>240</v>
      </c>
      <c r="D46" s="145">
        <v>82</v>
      </c>
      <c r="E46" s="145">
        <v>82</v>
      </c>
      <c r="F46" s="145">
        <f t="shared" si="0"/>
        <v>82</v>
      </c>
      <c r="G46" s="145" t="str">
        <f>IFERROR(VLOOKUP(F46,[8]Sheet1!$AA$1:$AB$10,2),"")</f>
        <v>B+</v>
      </c>
      <c r="H46" s="140"/>
    </row>
    <row r="47" spans="1:8">
      <c r="A47" s="222">
        <v>29</v>
      </c>
      <c r="B47" s="223" t="s">
        <v>241</v>
      </c>
      <c r="C47" s="223" t="s">
        <v>242</v>
      </c>
      <c r="D47" s="145">
        <v>92</v>
      </c>
      <c r="E47" s="145">
        <v>92</v>
      </c>
      <c r="F47" s="145">
        <f t="shared" si="0"/>
        <v>92</v>
      </c>
      <c r="G47" s="145" t="str">
        <f>IFERROR(VLOOKUP(F47,[8]Sheet1!$AA$1:$AB$10,2),"")</f>
        <v>A</v>
      </c>
      <c r="H47" s="140"/>
    </row>
    <row r="48" spans="1:8">
      <c r="A48" s="222">
        <v>30</v>
      </c>
      <c r="B48" s="223" t="s">
        <v>243</v>
      </c>
      <c r="C48" s="223" t="s">
        <v>244</v>
      </c>
      <c r="D48" s="145">
        <v>91</v>
      </c>
      <c r="E48" s="145">
        <v>96.5</v>
      </c>
      <c r="F48" s="145">
        <f t="shared" si="0"/>
        <v>93.75</v>
      </c>
      <c r="G48" s="145" t="str">
        <f>IFERROR(VLOOKUP(F48,[8]Sheet1!$AA$1:$AB$10,2),"")</f>
        <v>A</v>
      </c>
      <c r="H48" s="140"/>
    </row>
    <row r="49" spans="1:8">
      <c r="A49" s="222">
        <v>31</v>
      </c>
      <c r="B49" s="223" t="s">
        <v>245</v>
      </c>
      <c r="C49" s="223" t="s">
        <v>246</v>
      </c>
      <c r="D49" s="145">
        <v>92</v>
      </c>
      <c r="E49" s="145">
        <v>94.5</v>
      </c>
      <c r="F49" s="145">
        <f t="shared" si="0"/>
        <v>93.25</v>
      </c>
      <c r="G49" s="145" t="str">
        <f>IFERROR(VLOOKUP(F49,[8]Sheet1!$AA$1:$AB$10,2),"")</f>
        <v>A</v>
      </c>
      <c r="H49" s="140"/>
    </row>
    <row r="50" spans="1:8">
      <c r="A50" s="222">
        <v>32</v>
      </c>
      <c r="B50" s="223" t="s">
        <v>247</v>
      </c>
      <c r="C50" s="223" t="s">
        <v>248</v>
      </c>
      <c r="D50" s="145">
        <v>91</v>
      </c>
      <c r="E50" s="145">
        <v>100</v>
      </c>
      <c r="F50" s="145">
        <f t="shared" si="0"/>
        <v>95.5</v>
      </c>
      <c r="G50" s="145" t="str">
        <f>IFERROR(VLOOKUP(F50,[8]Sheet1!$AA$1:$AB$10,2),"")</f>
        <v>A</v>
      </c>
      <c r="H50" s="140"/>
    </row>
    <row r="51" spans="1:8">
      <c r="A51" s="222">
        <v>33</v>
      </c>
      <c r="B51" s="223" t="s">
        <v>249</v>
      </c>
      <c r="C51" s="223" t="s">
        <v>250</v>
      </c>
      <c r="D51" s="145">
        <v>91</v>
      </c>
      <c r="E51" s="145">
        <v>91</v>
      </c>
      <c r="F51" s="145">
        <f t="shared" si="0"/>
        <v>91</v>
      </c>
      <c r="G51" s="145" t="str">
        <f>IFERROR(VLOOKUP(F51,[8]Sheet1!$AA$1:$AB$10,2),"")</f>
        <v>A</v>
      </c>
      <c r="H51" s="140"/>
    </row>
    <row r="52" spans="1:8">
      <c r="A52" s="224">
        <v>34</v>
      </c>
      <c r="B52" s="223" t="s">
        <v>251</v>
      </c>
      <c r="C52" s="223" t="s">
        <v>252</v>
      </c>
      <c r="D52" s="145">
        <v>67.5</v>
      </c>
      <c r="E52" s="145">
        <v>64</v>
      </c>
      <c r="F52" s="145">
        <f t="shared" si="0"/>
        <v>65.75</v>
      </c>
      <c r="G52" s="145" t="str">
        <f>IFERROR(VLOOKUP(F52,[8]Sheet1!$AA$1:$AB$10,2),"")</f>
        <v>B-</v>
      </c>
      <c r="H52" s="140"/>
    </row>
    <row r="53" spans="1:8">
      <c r="A53" s="140"/>
      <c r="B53" s="140"/>
      <c r="C53" s="142"/>
      <c r="D53" s="143"/>
      <c r="E53" s="143"/>
      <c r="F53" s="143"/>
      <c r="G53" s="140"/>
      <c r="H53" s="140"/>
    </row>
    <row r="54" spans="1:8" ht="28.5" thickBot="1">
      <c r="A54" s="140"/>
      <c r="B54" s="140"/>
      <c r="C54" s="142"/>
      <c r="D54" s="143" t="str">
        <f t="shared" ref="D54:E54" si="1">D16</f>
        <v>CPMK122</v>
      </c>
      <c r="E54" s="143" t="str">
        <f t="shared" si="1"/>
        <v>CPMK123</v>
      </c>
      <c r="F54" s="146" t="str">
        <f>F12</f>
        <v>Nilai Akhir MK     100</v>
      </c>
      <c r="G54" s="140"/>
      <c r="H54" s="140"/>
    </row>
    <row r="55" spans="1:8" ht="14.5" thickBot="1">
      <c r="A55" s="140"/>
      <c r="B55" s="140"/>
      <c r="C55" s="147" t="s">
        <v>105</v>
      </c>
      <c r="D55" s="148">
        <f>IFERROR(COUNTIF(D19:D52,""),"")</f>
        <v>0</v>
      </c>
      <c r="E55" s="148">
        <f>IFERROR(COUNTIF(E19:E52,""),"")</f>
        <v>0</v>
      </c>
      <c r="F55" s="148">
        <f>IFERROR(COUNTIF(F19:F52,""),"")</f>
        <v>0</v>
      </c>
      <c r="G55" s="140"/>
      <c r="H55" s="140"/>
    </row>
    <row r="56" spans="1:8" ht="14.5" thickBot="1">
      <c r="A56" s="140"/>
      <c r="B56" s="140"/>
      <c r="C56" s="147" t="s">
        <v>97</v>
      </c>
      <c r="D56" s="148">
        <f>IFERROR(COUNTIF(D19:D52,C56)+COUNTIF(D19:D52,""),"")-D55</f>
        <v>0</v>
      </c>
      <c r="E56" s="148">
        <f>COUNTIF(E19:E52,C56)+COUNTIF(E19:E52,"")-E55</f>
        <v>1</v>
      </c>
      <c r="F56" s="148">
        <f>IFERROR(COUNTIF(F19:F52,C56)+COUNTIF(F19:F52,""),"")</f>
        <v>0</v>
      </c>
      <c r="G56" s="140"/>
      <c r="H56" s="140"/>
    </row>
    <row r="57" spans="1:8" ht="14.5" thickBot="1">
      <c r="A57" s="140"/>
      <c r="B57" s="140"/>
      <c r="C57" s="149" t="s">
        <v>98</v>
      </c>
      <c r="D57" s="150">
        <f>IFERROR(COUNTIF(D19:D52,C57)-D56,"")</f>
        <v>11</v>
      </c>
      <c r="E57" s="150">
        <f>COUNTIF(E19:E52,C57)-E56</f>
        <v>6</v>
      </c>
      <c r="F57" s="151">
        <f>IFERROR(COUNTIF(F19:F52,C57)-F56,"")</f>
        <v>12</v>
      </c>
      <c r="G57" s="140"/>
      <c r="H57" s="140"/>
    </row>
    <row r="58" spans="1:8" ht="14.5" thickBot="1">
      <c r="A58" s="140"/>
      <c r="B58" s="140"/>
      <c r="C58" s="149" t="s">
        <v>99</v>
      </c>
      <c r="D58" s="150">
        <f>COUNTIF(D19:D52,C58)</f>
        <v>23</v>
      </c>
      <c r="E58" s="150">
        <f>COUNTIF(E19:E52,C58)</f>
        <v>27</v>
      </c>
      <c r="F58" s="150">
        <f>IFERROR(COUNTIF(F19:F52,C58),"")</f>
        <v>22</v>
      </c>
      <c r="G58" s="140"/>
      <c r="H58" s="140"/>
    </row>
    <row r="59" spans="1:8" ht="14.5" thickBot="1">
      <c r="A59" s="140"/>
      <c r="B59" s="140"/>
      <c r="C59" s="149" t="s">
        <v>77</v>
      </c>
      <c r="D59" s="150">
        <f>SUM(D55:D58)</f>
        <v>34</v>
      </c>
      <c r="E59" s="150">
        <f t="shared" ref="E59:F59" si="2">SUM(E55:E58)</f>
        <v>34</v>
      </c>
      <c r="F59" s="150">
        <f t="shared" si="2"/>
        <v>34</v>
      </c>
      <c r="G59" s="140"/>
      <c r="H59" s="140"/>
    </row>
    <row r="60" spans="1:8">
      <c r="A60" s="140"/>
      <c r="B60" s="140"/>
      <c r="C60" s="225"/>
      <c r="D60" s="143"/>
      <c r="E60" s="143"/>
      <c r="F60" s="143"/>
      <c r="G60" s="140"/>
      <c r="H60" s="140"/>
    </row>
    <row r="61" spans="1:8">
      <c r="A61" s="140"/>
      <c r="B61" s="140"/>
      <c r="C61" s="226" t="s">
        <v>100</v>
      </c>
      <c r="D61" s="227">
        <f>(D57+D58)/(D59-D55)</f>
        <v>1</v>
      </c>
      <c r="E61" s="227">
        <f>(E57+E58)/(E59-E55)</f>
        <v>0.97058823529411764</v>
      </c>
      <c r="F61" s="227">
        <f>(F57+F58)/(F59-F55)</f>
        <v>1</v>
      </c>
      <c r="G61" s="140"/>
      <c r="H61" s="140"/>
    </row>
    <row r="62" spans="1:8">
      <c r="A62" s="140"/>
      <c r="B62" s="140"/>
      <c r="C62" s="141"/>
      <c r="D62" s="143"/>
      <c r="E62" s="143"/>
      <c r="F62" s="143"/>
      <c r="G62" s="140"/>
      <c r="H62" s="140"/>
    </row>
    <row r="63" spans="1:8">
      <c r="A63" s="140"/>
      <c r="B63" s="140"/>
      <c r="C63" s="226" t="s">
        <v>101</v>
      </c>
      <c r="D63" s="228">
        <f>MIN(D19:D52)</f>
        <v>67</v>
      </c>
      <c r="E63" s="228">
        <f>MIN(E19:E52)</f>
        <v>64</v>
      </c>
      <c r="F63" s="174">
        <f>IFERROR(MIN(F19:F52),"")</f>
        <v>65.75</v>
      </c>
      <c r="G63" s="140"/>
      <c r="H63" s="140"/>
    </row>
    <row r="64" spans="1:8">
      <c r="A64" s="140"/>
      <c r="B64" s="140"/>
      <c r="C64" s="226" t="s">
        <v>102</v>
      </c>
      <c r="D64" s="228">
        <f>MAX(D19:D52)</f>
        <v>95.5</v>
      </c>
      <c r="E64" s="228">
        <f>MAX(E19:E52)</f>
        <v>100</v>
      </c>
      <c r="F64" s="174">
        <f>IFERROR(MAX(F19:F52),"")</f>
        <v>95.5</v>
      </c>
      <c r="G64" s="140"/>
      <c r="H64" s="140"/>
    </row>
    <row r="65" spans="1:8">
      <c r="A65" s="140"/>
      <c r="B65" s="140"/>
      <c r="C65" s="226" t="s">
        <v>103</v>
      </c>
      <c r="D65" s="174">
        <f>AVERAGE(D19:D52)</f>
        <v>85.841176470588252</v>
      </c>
      <c r="E65" s="174">
        <f>AVERAGE(E19:E52)</f>
        <v>90.432352941176475</v>
      </c>
      <c r="F65" s="174">
        <f>IFERROR(AVERAGE(F19:F52),"")</f>
        <v>88.136764705882356</v>
      </c>
      <c r="G65" s="140"/>
      <c r="H65" s="140"/>
    </row>
    <row r="66" spans="1:8">
      <c r="A66" s="140"/>
      <c r="B66" s="140"/>
      <c r="C66" s="140"/>
      <c r="D66" s="140"/>
      <c r="E66" s="140"/>
      <c r="F66" s="140"/>
      <c r="G66" s="140"/>
      <c r="H66" s="140"/>
    </row>
  </sheetData>
  <mergeCells count="7">
    <mergeCell ref="A1:H1"/>
    <mergeCell ref="A2:H2"/>
    <mergeCell ref="D12:E12"/>
    <mergeCell ref="F12:F17"/>
    <mergeCell ref="G12:G17"/>
    <mergeCell ref="D13:E13"/>
    <mergeCell ref="D14:E14"/>
  </mergeCells>
  <printOptions horizontalCentered="1"/>
  <pageMargins left="0.19685039370078741" right="0.11811023622047245" top="0.19685039370078741" bottom="0.15748031496062992" header="0" footer="0"/>
  <pageSetup paperSize="9" scale="82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E36A7-6292-42D8-896D-D7C99B257EF7}">
  <dimension ref="A1:W50"/>
  <sheetViews>
    <sheetView view="pageBreakPreview" topLeftCell="A16" zoomScaleNormal="100" zoomScaleSheetLayoutView="100" workbookViewId="0">
      <selection activeCell="D47" sqref="D47"/>
    </sheetView>
  </sheetViews>
  <sheetFormatPr defaultRowHeight="14"/>
  <cols>
    <col min="1" max="1" width="4" customWidth="1"/>
    <col min="2" max="2" width="12.83203125" customWidth="1"/>
    <col min="3" max="3" width="32.6640625" customWidth="1"/>
    <col min="4" max="4" width="13.08203125" customWidth="1"/>
    <col min="5" max="6" width="15.25" customWidth="1"/>
    <col min="7" max="7" width="12.6640625" customWidth="1"/>
    <col min="10" max="10" width="13" customWidth="1"/>
  </cols>
  <sheetData>
    <row r="1" spans="1:23" ht="18">
      <c r="A1" s="261" t="s">
        <v>78</v>
      </c>
      <c r="B1" s="261"/>
      <c r="C1" s="261"/>
      <c r="D1" s="261"/>
      <c r="E1" s="261"/>
      <c r="F1" s="261"/>
      <c r="G1" s="261"/>
      <c r="H1" s="261"/>
      <c r="I1" s="261"/>
      <c r="J1" s="32"/>
    </row>
    <row r="2" spans="1:23" ht="18.5" thickBot="1">
      <c r="A2" s="262" t="s">
        <v>79</v>
      </c>
      <c r="B2" s="262"/>
      <c r="C2" s="262"/>
      <c r="D2" s="262"/>
      <c r="E2" s="262"/>
      <c r="F2" s="262"/>
      <c r="G2" s="262"/>
      <c r="H2" s="262"/>
      <c r="I2" s="262"/>
      <c r="J2" s="32"/>
    </row>
    <row r="3" spans="1:23">
      <c r="A3" s="140"/>
      <c r="B3" s="140"/>
      <c r="C3" s="140"/>
      <c r="D3" s="140"/>
      <c r="E3" s="140"/>
      <c r="F3" s="140"/>
      <c r="G3" s="140"/>
      <c r="H3" s="140"/>
      <c r="I3" s="140"/>
    </row>
    <row r="4" spans="1:23">
      <c r="A4" s="140" t="s">
        <v>80</v>
      </c>
      <c r="B4" s="140"/>
      <c r="C4" s="140" t="s">
        <v>81</v>
      </c>
      <c r="D4" s="140"/>
      <c r="E4" s="140" t="s">
        <v>82</v>
      </c>
      <c r="F4" s="140" t="s">
        <v>83</v>
      </c>
      <c r="G4" s="140"/>
      <c r="H4" s="140"/>
      <c r="I4" s="140"/>
    </row>
    <row r="5" spans="1:23">
      <c r="A5" s="140" t="s">
        <v>41</v>
      </c>
      <c r="B5" s="140"/>
      <c r="C5" s="141" t="s">
        <v>126</v>
      </c>
      <c r="D5" s="140"/>
      <c r="E5" s="140" t="s">
        <v>84</v>
      </c>
      <c r="F5" s="140" t="s">
        <v>85</v>
      </c>
      <c r="G5" s="140"/>
      <c r="H5" s="140"/>
      <c r="I5" s="140"/>
    </row>
    <row r="6" spans="1:23">
      <c r="A6" s="140" t="s">
        <v>42</v>
      </c>
      <c r="B6" s="140"/>
      <c r="C6" s="140" t="s">
        <v>127</v>
      </c>
      <c r="D6" s="140"/>
      <c r="E6" s="140"/>
      <c r="F6" s="140"/>
      <c r="G6" s="140"/>
      <c r="H6" s="140"/>
      <c r="I6" s="140"/>
    </row>
    <row r="7" spans="1:23">
      <c r="A7" s="140" t="s">
        <v>86</v>
      </c>
      <c r="B7" s="140"/>
      <c r="C7" s="140" t="s">
        <v>87</v>
      </c>
      <c r="D7" s="140"/>
      <c r="E7" s="140"/>
      <c r="F7" s="140"/>
      <c r="G7" s="140"/>
      <c r="H7" s="140"/>
      <c r="I7" s="140"/>
    </row>
    <row r="8" spans="1:23">
      <c r="A8" s="140" t="s">
        <v>88</v>
      </c>
      <c r="B8" s="140"/>
      <c r="C8" s="140" t="s">
        <v>89</v>
      </c>
      <c r="D8" s="140"/>
      <c r="E8" s="140"/>
      <c r="F8" s="140"/>
      <c r="G8" s="140"/>
      <c r="H8" s="140"/>
      <c r="I8" s="140"/>
    </row>
    <row r="9" spans="1:23">
      <c r="A9" s="140" t="s">
        <v>90</v>
      </c>
      <c r="B9" s="140"/>
      <c r="C9" s="140" t="s">
        <v>128</v>
      </c>
      <c r="D9" s="140"/>
      <c r="E9" s="140"/>
      <c r="F9" s="140"/>
      <c r="G9" s="140"/>
      <c r="H9" s="140"/>
      <c r="I9" s="140"/>
    </row>
    <row r="10" spans="1:23">
      <c r="A10" s="140"/>
      <c r="B10" s="140"/>
      <c r="C10" s="140" t="s">
        <v>112</v>
      </c>
      <c r="D10" s="140"/>
      <c r="E10" s="140"/>
      <c r="F10" s="140"/>
      <c r="G10" s="140"/>
      <c r="H10" s="140"/>
      <c r="I10" s="140"/>
    </row>
    <row r="11" spans="1:23">
      <c r="A11" s="140"/>
      <c r="B11" s="140"/>
      <c r="C11" s="142"/>
      <c r="D11" s="143"/>
      <c r="E11" s="143"/>
      <c r="F11" s="143"/>
      <c r="G11" s="143"/>
      <c r="H11" s="143"/>
      <c r="I11" s="143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</row>
    <row r="12" spans="1:23">
      <c r="A12" s="140"/>
      <c r="B12" s="140"/>
      <c r="C12" s="142"/>
      <c r="D12" s="263" t="s">
        <v>73</v>
      </c>
      <c r="E12" s="269"/>
      <c r="F12" s="264"/>
      <c r="G12" s="265" t="str">
        <f>CONCATENATE("Nilai Akhir MK","     ",D17+E17+F17)</f>
        <v>Nilai Akhir MK     100</v>
      </c>
      <c r="H12" s="265" t="s">
        <v>92</v>
      </c>
      <c r="I12" s="140"/>
    </row>
    <row r="13" spans="1:23">
      <c r="A13" s="140"/>
      <c r="B13" s="140"/>
      <c r="C13" s="142"/>
      <c r="D13" s="268" t="str">
        <f>TRIM(MID(C5,3,100))</f>
        <v>U.24.01.55.1.03</v>
      </c>
      <c r="E13" s="268"/>
      <c r="F13" s="268"/>
      <c r="G13" s="266"/>
      <c r="H13" s="266"/>
      <c r="I13" s="140"/>
    </row>
    <row r="14" spans="1:23">
      <c r="A14" s="140"/>
      <c r="B14" s="140"/>
      <c r="C14" s="142"/>
      <c r="D14" s="268" t="str">
        <f>TRIM(MID(C6,3,100))</f>
        <v>KEWARGANEGARAAN</v>
      </c>
      <c r="E14" s="268"/>
      <c r="F14" s="268"/>
      <c r="G14" s="266"/>
      <c r="H14" s="266"/>
      <c r="I14" s="140"/>
    </row>
    <row r="15" spans="1:23">
      <c r="A15" s="140"/>
      <c r="B15" s="140"/>
      <c r="C15" s="142"/>
      <c r="D15" s="91" t="s">
        <v>120</v>
      </c>
      <c r="E15" s="91" t="s">
        <v>121</v>
      </c>
      <c r="F15" s="91" t="s">
        <v>122</v>
      </c>
      <c r="G15" s="266"/>
      <c r="H15" s="266"/>
      <c r="I15" s="140"/>
    </row>
    <row r="16" spans="1:23">
      <c r="A16" s="140"/>
      <c r="B16" s="140"/>
      <c r="C16" s="142"/>
      <c r="D16" s="91" t="s">
        <v>123</v>
      </c>
      <c r="E16" s="91" t="s">
        <v>129</v>
      </c>
      <c r="F16" s="91" t="s">
        <v>125</v>
      </c>
      <c r="G16" s="266"/>
      <c r="H16" s="266"/>
      <c r="I16" s="140"/>
    </row>
    <row r="17" spans="1:9">
      <c r="A17" s="140"/>
      <c r="B17" s="140"/>
      <c r="C17" s="142"/>
      <c r="D17" s="91">
        <v>25</v>
      </c>
      <c r="E17" s="91">
        <v>45</v>
      </c>
      <c r="F17" s="91">
        <v>30</v>
      </c>
      <c r="G17" s="267"/>
      <c r="H17" s="267"/>
      <c r="I17" s="140"/>
    </row>
    <row r="18" spans="1:9">
      <c r="A18" s="1" t="s">
        <v>0</v>
      </c>
      <c r="B18" s="1" t="s">
        <v>1</v>
      </c>
      <c r="C18" s="1" t="s">
        <v>2</v>
      </c>
      <c r="D18" s="1"/>
      <c r="E18" s="1"/>
      <c r="F18" s="1"/>
      <c r="G18" s="1"/>
      <c r="H18" s="1"/>
      <c r="I18" s="140"/>
    </row>
    <row r="19" spans="1:9">
      <c r="A19" s="91">
        <v>1</v>
      </c>
      <c r="B19" s="91" t="s">
        <v>3</v>
      </c>
      <c r="C19" s="144" t="s">
        <v>4</v>
      </c>
      <c r="D19" s="145"/>
      <c r="E19" s="145"/>
      <c r="F19" s="145"/>
      <c r="G19" s="145"/>
      <c r="H19" s="145"/>
      <c r="I19" s="140"/>
    </row>
    <row r="20" spans="1:9">
      <c r="A20" s="91">
        <v>2</v>
      </c>
      <c r="B20" s="91" t="s">
        <v>5</v>
      </c>
      <c r="C20" s="144" t="s">
        <v>6</v>
      </c>
      <c r="D20" s="145">
        <v>93.86</v>
      </c>
      <c r="E20" s="145">
        <v>88.75</v>
      </c>
      <c r="F20" s="145">
        <v>85</v>
      </c>
      <c r="G20" s="145">
        <f t="shared" ref="G20:G37" si="0">IFERROR((D20*($D$17/100))+(E20*($E$17/100))+(F20*($F$17/100)),"")</f>
        <v>88.902500000000003</v>
      </c>
      <c r="H20" s="145" t="str">
        <f>IFERROR(VLOOKUP(G20,[9]Sheet1!$AA$1:$AB$10,2),"")</f>
        <v>A-</v>
      </c>
      <c r="I20" s="140"/>
    </row>
    <row r="21" spans="1:9">
      <c r="A21" s="91">
        <v>3</v>
      </c>
      <c r="B21" s="91" t="s">
        <v>7</v>
      </c>
      <c r="C21" s="144" t="s">
        <v>8</v>
      </c>
      <c r="D21" s="145">
        <v>88.21</v>
      </c>
      <c r="E21" s="145">
        <v>55</v>
      </c>
      <c r="F21" s="145">
        <v>70</v>
      </c>
      <c r="G21" s="145">
        <f t="shared" si="0"/>
        <v>67.802499999999995</v>
      </c>
      <c r="H21" s="145" t="str">
        <f>IFERROR(VLOOKUP(G21,[9]Sheet1!$AA$1:$AB$10,2),"")</f>
        <v>B-</v>
      </c>
      <c r="I21" s="140"/>
    </row>
    <row r="22" spans="1:9">
      <c r="A22" s="91">
        <v>4</v>
      </c>
      <c r="B22" s="91" t="s">
        <v>9</v>
      </c>
      <c r="C22" s="144" t="s">
        <v>10</v>
      </c>
      <c r="D22" s="145">
        <v>87.64</v>
      </c>
      <c r="E22" s="145">
        <v>69.25</v>
      </c>
      <c r="F22" s="145">
        <v>59</v>
      </c>
      <c r="G22" s="145">
        <f t="shared" si="0"/>
        <v>70.772500000000008</v>
      </c>
      <c r="H22" s="145" t="str">
        <f>IFERROR(VLOOKUP(G22,[9]Sheet1!$AA$1:$AB$10,2),"")</f>
        <v>B</v>
      </c>
      <c r="I22" s="140"/>
    </row>
    <row r="23" spans="1:9">
      <c r="A23" s="91">
        <v>5</v>
      </c>
      <c r="B23" s="91" t="s">
        <v>11</v>
      </c>
      <c r="C23" s="144" t="s">
        <v>12</v>
      </c>
      <c r="D23" s="145">
        <v>91</v>
      </c>
      <c r="E23" s="145">
        <v>79</v>
      </c>
      <c r="F23" s="145">
        <v>72</v>
      </c>
      <c r="G23" s="145">
        <f t="shared" si="0"/>
        <v>79.900000000000006</v>
      </c>
      <c r="H23" s="145" t="str">
        <f>IFERROR(VLOOKUP(G23,[9]Sheet1!$AA$1:$AB$10,2),"")</f>
        <v>B+</v>
      </c>
      <c r="I23" s="140"/>
    </row>
    <row r="24" spans="1:9">
      <c r="A24" s="91">
        <v>6</v>
      </c>
      <c r="B24" s="91" t="s">
        <v>13</v>
      </c>
      <c r="C24" s="144" t="s">
        <v>14</v>
      </c>
      <c r="D24" s="145">
        <v>84.64</v>
      </c>
      <c r="E24" s="145">
        <v>85</v>
      </c>
      <c r="F24" s="145">
        <v>80</v>
      </c>
      <c r="G24" s="145">
        <f t="shared" si="0"/>
        <v>83.41</v>
      </c>
      <c r="H24" s="145" t="str">
        <f>IFERROR(VLOOKUP(G24,[9]Sheet1!$AA$1:$AB$10,2),"")</f>
        <v>B+</v>
      </c>
      <c r="I24" s="140"/>
    </row>
    <row r="25" spans="1:9">
      <c r="A25" s="91">
        <v>7</v>
      </c>
      <c r="B25" s="91" t="s">
        <v>15</v>
      </c>
      <c r="C25" s="144" t="s">
        <v>16</v>
      </c>
      <c r="D25" s="145">
        <v>53.86</v>
      </c>
      <c r="E25" s="145">
        <v>12.5</v>
      </c>
      <c r="F25" s="145">
        <v>0</v>
      </c>
      <c r="G25" s="145">
        <f t="shared" si="0"/>
        <v>19.09</v>
      </c>
      <c r="H25" s="145" t="str">
        <f>IFERROR(VLOOKUP(G25,[9]Sheet1!$AA$1:$AB$10,2),"")</f>
        <v>E</v>
      </c>
      <c r="I25" s="140"/>
    </row>
    <row r="26" spans="1:9">
      <c r="A26" s="91">
        <v>8</v>
      </c>
      <c r="B26" s="91" t="s">
        <v>17</v>
      </c>
      <c r="C26" s="144" t="s">
        <v>18</v>
      </c>
      <c r="D26" s="145">
        <v>67.069999999999993</v>
      </c>
      <c r="E26" s="145">
        <v>62.75</v>
      </c>
      <c r="F26" s="145">
        <v>67</v>
      </c>
      <c r="G26" s="145">
        <f t="shared" si="0"/>
        <v>65.10499999999999</v>
      </c>
      <c r="H26" s="145" t="str">
        <f>IFERROR(VLOOKUP(G26,[9]Sheet1!$AA$1:$AB$10,2),"")</f>
        <v>C+</v>
      </c>
      <c r="I26" s="140"/>
    </row>
    <row r="27" spans="1:9">
      <c r="A27" s="91">
        <v>9</v>
      </c>
      <c r="B27" s="91" t="s">
        <v>19</v>
      </c>
      <c r="C27" s="144" t="s">
        <v>20</v>
      </c>
      <c r="D27" s="145">
        <v>85.5</v>
      </c>
      <c r="E27" s="145">
        <v>86.5</v>
      </c>
      <c r="F27" s="145">
        <v>82</v>
      </c>
      <c r="G27" s="145">
        <f t="shared" si="0"/>
        <v>84.9</v>
      </c>
      <c r="H27" s="145" t="str">
        <f>IFERROR(VLOOKUP(G27,[9]Sheet1!$AA$1:$AB$10,2),"")</f>
        <v>A-</v>
      </c>
      <c r="I27" s="140"/>
    </row>
    <row r="28" spans="1:9">
      <c r="A28" s="91">
        <v>10</v>
      </c>
      <c r="B28" s="91" t="s">
        <v>21</v>
      </c>
      <c r="C28" s="144" t="s">
        <v>22</v>
      </c>
      <c r="D28" s="145">
        <v>78.86</v>
      </c>
      <c r="E28" s="145">
        <v>86.25</v>
      </c>
      <c r="F28" s="145">
        <v>85</v>
      </c>
      <c r="G28" s="145">
        <f t="shared" si="0"/>
        <v>84.027500000000003</v>
      </c>
      <c r="H28" s="145" t="str">
        <f>IFERROR(VLOOKUP(G28,[9]Sheet1!$AA$1:$AB$10,2),"")</f>
        <v>B+</v>
      </c>
      <c r="I28" s="140"/>
    </row>
    <row r="29" spans="1:9">
      <c r="A29" s="91">
        <v>11</v>
      </c>
      <c r="B29" s="91" t="s">
        <v>23</v>
      </c>
      <c r="C29" s="144" t="s">
        <v>24</v>
      </c>
      <c r="D29" s="145">
        <v>82.64</v>
      </c>
      <c r="E29" s="145">
        <v>82.5</v>
      </c>
      <c r="F29" s="145">
        <v>80</v>
      </c>
      <c r="G29" s="145">
        <f t="shared" si="0"/>
        <v>81.784999999999997</v>
      </c>
      <c r="H29" s="145" t="str">
        <f>IFERROR(VLOOKUP(G29,[9]Sheet1!$AA$1:$AB$10,2),"")</f>
        <v>B+</v>
      </c>
      <c r="I29" s="140"/>
    </row>
    <row r="30" spans="1:9">
      <c r="A30" s="91">
        <v>12</v>
      </c>
      <c r="B30" s="91" t="s">
        <v>25</v>
      </c>
      <c r="C30" s="144" t="s">
        <v>26</v>
      </c>
      <c r="D30" s="145">
        <v>75.5</v>
      </c>
      <c r="E30" s="145">
        <v>79</v>
      </c>
      <c r="F30" s="145">
        <v>82</v>
      </c>
      <c r="G30" s="145">
        <f t="shared" si="0"/>
        <v>79.025000000000006</v>
      </c>
      <c r="H30" s="145" t="str">
        <f>IFERROR(VLOOKUP(G30,[9]Sheet1!$AA$1:$AB$10,2),"")</f>
        <v>B+</v>
      </c>
      <c r="I30" s="140"/>
    </row>
    <row r="31" spans="1:9">
      <c r="A31" s="91">
        <v>13</v>
      </c>
      <c r="B31" s="91" t="s">
        <v>27</v>
      </c>
      <c r="C31" s="144" t="s">
        <v>28</v>
      </c>
      <c r="D31" s="145">
        <v>89.93</v>
      </c>
      <c r="E31" s="145">
        <v>86.5</v>
      </c>
      <c r="F31" s="145">
        <v>82</v>
      </c>
      <c r="G31" s="145">
        <f t="shared" si="0"/>
        <v>86.007500000000007</v>
      </c>
      <c r="H31" s="145" t="str">
        <f>IFERROR(VLOOKUP(G31,[9]Sheet1!$AA$1:$AB$10,2),"")</f>
        <v>A-</v>
      </c>
      <c r="I31" s="140"/>
    </row>
    <row r="32" spans="1:9">
      <c r="A32" s="91">
        <v>14</v>
      </c>
      <c r="B32" s="91" t="s">
        <v>29</v>
      </c>
      <c r="C32" s="144" t="s">
        <v>30</v>
      </c>
      <c r="D32" s="145">
        <v>76.290000000000006</v>
      </c>
      <c r="E32" s="145">
        <v>84</v>
      </c>
      <c r="F32" s="145">
        <v>82</v>
      </c>
      <c r="G32" s="145">
        <f t="shared" si="0"/>
        <v>81.472499999999997</v>
      </c>
      <c r="H32" s="145" t="str">
        <f>IFERROR(VLOOKUP(G32,[9]Sheet1!$AA$1:$AB$10,2),"")</f>
        <v>B+</v>
      </c>
      <c r="I32" s="140"/>
    </row>
    <row r="33" spans="1:9">
      <c r="A33" s="91">
        <v>15</v>
      </c>
      <c r="B33" s="91" t="s">
        <v>31</v>
      </c>
      <c r="C33" s="144" t="s">
        <v>32</v>
      </c>
      <c r="D33" s="145">
        <v>71.64</v>
      </c>
      <c r="E33" s="145">
        <v>70</v>
      </c>
      <c r="F33" s="145">
        <v>70</v>
      </c>
      <c r="G33" s="145">
        <f t="shared" si="0"/>
        <v>70.41</v>
      </c>
      <c r="H33" s="145" t="str">
        <f>IFERROR(VLOOKUP(G33,[9]Sheet1!$AA$1:$AB$10,2),"")</f>
        <v>B</v>
      </c>
      <c r="I33" s="140"/>
    </row>
    <row r="34" spans="1:9">
      <c r="A34" s="91">
        <v>16</v>
      </c>
      <c r="B34" s="91" t="s">
        <v>33</v>
      </c>
      <c r="C34" s="144" t="s">
        <v>34</v>
      </c>
      <c r="D34" s="145">
        <v>83.29</v>
      </c>
      <c r="E34" s="145">
        <v>77.5</v>
      </c>
      <c r="F34" s="145">
        <v>70</v>
      </c>
      <c r="G34" s="145">
        <f t="shared" si="0"/>
        <v>76.697500000000005</v>
      </c>
      <c r="H34" s="145" t="str">
        <f>IFERROR(VLOOKUP(G34,[9]Sheet1!$AA$1:$AB$10,2),"")</f>
        <v>B+</v>
      </c>
      <c r="I34" s="140"/>
    </row>
    <row r="35" spans="1:9">
      <c r="A35" s="91">
        <v>17</v>
      </c>
      <c r="B35" s="91" t="s">
        <v>35</v>
      </c>
      <c r="C35" s="144" t="s">
        <v>36</v>
      </c>
      <c r="D35" s="145">
        <v>82.57</v>
      </c>
      <c r="E35" s="145">
        <v>78</v>
      </c>
      <c r="F35" s="145">
        <v>74</v>
      </c>
      <c r="G35" s="145">
        <f t="shared" si="0"/>
        <v>77.942499999999995</v>
      </c>
      <c r="H35" s="145" t="str">
        <f>IFERROR(VLOOKUP(G35,[9]Sheet1!$AA$1:$AB$10,2),"")</f>
        <v>B+</v>
      </c>
      <c r="I35" s="140"/>
    </row>
    <row r="36" spans="1:9">
      <c r="A36" s="91">
        <v>18</v>
      </c>
      <c r="B36" s="91" t="s">
        <v>37</v>
      </c>
      <c r="C36" s="144" t="s">
        <v>38</v>
      </c>
      <c r="D36" s="145">
        <v>77.430000000000007</v>
      </c>
      <c r="E36" s="145">
        <v>72.75</v>
      </c>
      <c r="F36" s="145">
        <v>77</v>
      </c>
      <c r="G36" s="145">
        <f t="shared" si="0"/>
        <v>75.195000000000007</v>
      </c>
      <c r="H36" s="145" t="str">
        <f>IFERROR(VLOOKUP(G36,[9]Sheet1!$AA$1:$AB$10,2),"")</f>
        <v>B</v>
      </c>
      <c r="I36" s="140"/>
    </row>
    <row r="37" spans="1:9">
      <c r="A37" s="91">
        <v>19</v>
      </c>
      <c r="B37" s="91" t="s">
        <v>39</v>
      </c>
      <c r="C37" s="144" t="s">
        <v>40</v>
      </c>
      <c r="D37" s="145">
        <v>77.5</v>
      </c>
      <c r="E37" s="145">
        <v>70.5</v>
      </c>
      <c r="F37" s="145">
        <v>74</v>
      </c>
      <c r="G37" s="145">
        <f t="shared" si="0"/>
        <v>73.3</v>
      </c>
      <c r="H37" s="145" t="str">
        <f>IFERROR(VLOOKUP(G37,[9]Sheet1!$AA$1:$AB$10,2),"")</f>
        <v>B</v>
      </c>
      <c r="I37" s="140"/>
    </row>
    <row r="38" spans="1:9">
      <c r="A38" s="140"/>
      <c r="B38" s="140"/>
      <c r="C38" s="142"/>
      <c r="D38" s="143"/>
      <c r="E38" s="143"/>
      <c r="F38" s="143"/>
      <c r="G38" s="143"/>
      <c r="H38" s="140"/>
      <c r="I38" s="140"/>
    </row>
    <row r="39" spans="1:9" ht="28.5" thickBot="1">
      <c r="A39" s="140"/>
      <c r="B39" s="140"/>
      <c r="C39" s="142"/>
      <c r="D39" s="143" t="str">
        <f t="shared" ref="D39:F39" si="1">D16</f>
        <v>CPMK101</v>
      </c>
      <c r="E39" s="143" t="str">
        <f t="shared" si="1"/>
        <v>CPMK122</v>
      </c>
      <c r="F39" s="143" t="str">
        <f t="shared" si="1"/>
        <v>CPMK141</v>
      </c>
      <c r="G39" s="146" t="str">
        <f>G12</f>
        <v>Nilai Akhir MK     100</v>
      </c>
      <c r="H39" s="140"/>
      <c r="I39" s="140"/>
    </row>
    <row r="40" spans="1:9" ht="14.5" thickBot="1">
      <c r="A40" s="140"/>
      <c r="B40" s="140"/>
      <c r="C40" s="147" t="s">
        <v>105</v>
      </c>
      <c r="D40" s="148">
        <f>IFERROR(COUNTIF(D19:D37,""),"")</f>
        <v>1</v>
      </c>
      <c r="E40" s="148">
        <f>IFERROR(COUNTIF(E19:E37,""),"")</f>
        <v>1</v>
      </c>
      <c r="F40" s="148">
        <f>IFERROR(COUNTIF(F19:F37,""),"")</f>
        <v>1</v>
      </c>
      <c r="G40" s="148">
        <f>IFERROR(COUNTIF(G19:G37,""),"")</f>
        <v>1</v>
      </c>
      <c r="H40" s="140"/>
      <c r="I40" s="140"/>
    </row>
    <row r="41" spans="1:9" ht="14.5" thickBot="1">
      <c r="A41" s="140"/>
      <c r="B41" s="140"/>
      <c r="C41" s="147" t="s">
        <v>97</v>
      </c>
      <c r="D41" s="148">
        <f>IFERROR(COUNTIF(D19:D37,C41)+COUNTIF(D19:D37,""),"")-D40</f>
        <v>1</v>
      </c>
      <c r="E41" s="148">
        <f>COUNTIF(E19:E37,C41)+COUNTIF(E19:E37,"")-E40</f>
        <v>3</v>
      </c>
      <c r="F41" s="148">
        <f>COUNTIF(F19:F37,C41)+COUNTIF(F19:F37,"")-F40</f>
        <v>2</v>
      </c>
      <c r="G41" s="148">
        <f>IFERROR(COUNTIF(G19:G37,C41)+COUNTIF(G19:G37,""),"")</f>
        <v>2</v>
      </c>
      <c r="H41" s="140"/>
      <c r="I41" s="140"/>
    </row>
    <row r="42" spans="1:9" ht="14.5" thickBot="1">
      <c r="A42" s="140"/>
      <c r="B42" s="140"/>
      <c r="C42" s="149" t="s">
        <v>98</v>
      </c>
      <c r="D42" s="150">
        <f>IFERROR(COUNTIF(D19:D37,C42)-D41,"")</f>
        <v>11</v>
      </c>
      <c r="E42" s="150">
        <f>COUNTIF(E19:E37,C42)-E41</f>
        <v>10</v>
      </c>
      <c r="F42" s="150">
        <f>COUNTIF(F19:F37,C42)-F41</f>
        <v>14</v>
      </c>
      <c r="G42" s="151">
        <f>IFERROR(COUNTIF(G19:G37,C42)-G41,"")</f>
        <v>14</v>
      </c>
      <c r="H42" s="140"/>
      <c r="I42" s="140"/>
    </row>
    <row r="43" spans="1:9" ht="14.5" thickBot="1">
      <c r="A43" s="140"/>
      <c r="B43" s="140"/>
      <c r="C43" s="149" t="s">
        <v>99</v>
      </c>
      <c r="D43" s="150">
        <f>COUNTIF(D19:D37,C43)</f>
        <v>6</v>
      </c>
      <c r="E43" s="150">
        <f>COUNTIF(E19:E37,C43)</f>
        <v>5</v>
      </c>
      <c r="F43" s="150">
        <f>COUNTIF(F19:F37,C43)</f>
        <v>2</v>
      </c>
      <c r="G43" s="150">
        <f>IFERROR(COUNTIF(G19:G37,C43),"")</f>
        <v>2</v>
      </c>
      <c r="H43" s="140"/>
      <c r="I43" s="140"/>
    </row>
    <row r="44" spans="1:9" ht="14.5" thickBot="1">
      <c r="A44" s="140"/>
      <c r="B44" s="140"/>
      <c r="C44" s="149" t="s">
        <v>77</v>
      </c>
      <c r="D44" s="150">
        <f>SUM(D40:D43)</f>
        <v>19</v>
      </c>
      <c r="E44" s="150">
        <f t="shared" ref="E44:G44" si="2">SUM(E40:E43)</f>
        <v>19</v>
      </c>
      <c r="F44" s="150">
        <f t="shared" si="2"/>
        <v>19</v>
      </c>
      <c r="G44" s="150">
        <f t="shared" si="2"/>
        <v>19</v>
      </c>
      <c r="H44" s="140"/>
      <c r="I44" s="140"/>
    </row>
    <row r="45" spans="1:9" ht="14.5" thickBot="1">
      <c r="A45" s="140"/>
      <c r="B45" s="140"/>
      <c r="C45" s="152"/>
      <c r="D45" s="143"/>
      <c r="E45" s="143"/>
      <c r="F45" s="143"/>
      <c r="G45" s="143"/>
      <c r="H45" s="140"/>
      <c r="I45" s="140"/>
    </row>
    <row r="46" spans="1:9" ht="14.5" thickBot="1">
      <c r="A46" s="140"/>
      <c r="B46" s="140"/>
      <c r="C46" s="153" t="s">
        <v>100</v>
      </c>
      <c r="D46" s="154">
        <f>(D42+D43)/(D44-D40)</f>
        <v>0.94444444444444442</v>
      </c>
      <c r="E46" s="154">
        <f>(E42+E43)/(E44-E40)</f>
        <v>0.83333333333333337</v>
      </c>
      <c r="F46" s="154">
        <f>(F42+F43)/(F44-F40)</f>
        <v>0.88888888888888884</v>
      </c>
      <c r="G46" s="154">
        <f>(G42+G43)/(G44-G40)</f>
        <v>0.88888888888888884</v>
      </c>
      <c r="H46" s="140"/>
      <c r="I46" s="140"/>
    </row>
    <row r="47" spans="1:9" ht="14.5" thickBot="1">
      <c r="A47" s="140"/>
      <c r="B47" s="140"/>
      <c r="C47" s="152"/>
      <c r="D47" s="143"/>
      <c r="E47" s="143"/>
      <c r="F47" s="143"/>
      <c r="G47" s="143"/>
      <c r="H47" s="140"/>
      <c r="I47" s="140"/>
    </row>
    <row r="48" spans="1:9" ht="14.5" thickBot="1">
      <c r="A48" s="140"/>
      <c r="B48" s="140"/>
      <c r="C48" s="153" t="s">
        <v>101</v>
      </c>
      <c r="D48" s="155">
        <f>MIN(D19:D37)</f>
        <v>53.86</v>
      </c>
      <c r="E48" s="155">
        <f>MIN(E19:E37)</f>
        <v>12.5</v>
      </c>
      <c r="F48" s="155">
        <f>MIN(F19:F37)</f>
        <v>0</v>
      </c>
      <c r="G48" s="156">
        <f>IFERROR(MIN(G19:G37),"")</f>
        <v>19.09</v>
      </c>
      <c r="H48" s="140"/>
      <c r="I48" s="140"/>
    </row>
    <row r="49" spans="1:9" ht="14.5" thickBot="1">
      <c r="A49" s="140"/>
      <c r="B49" s="140"/>
      <c r="C49" s="153" t="s">
        <v>102</v>
      </c>
      <c r="D49" s="155">
        <f>MAX(D19:D37)</f>
        <v>93.86</v>
      </c>
      <c r="E49" s="155">
        <f>MAX(E19:E37)</f>
        <v>88.75</v>
      </c>
      <c r="F49" s="155">
        <f>MAX(F19:F37)</f>
        <v>85</v>
      </c>
      <c r="G49" s="156">
        <f>IFERROR(MAX(G19:G37),"")</f>
        <v>88.902500000000003</v>
      </c>
      <c r="H49" s="140"/>
      <c r="I49" s="140"/>
    </row>
    <row r="50" spans="1:9" ht="14.5" thickBot="1">
      <c r="A50" s="140"/>
      <c r="B50" s="140"/>
      <c r="C50" s="153" t="s">
        <v>103</v>
      </c>
      <c r="D50" s="156">
        <f>AVERAGE(D19:D37)</f>
        <v>80.412777777777777</v>
      </c>
      <c r="E50" s="156">
        <f>AVERAGE(E19:E37)</f>
        <v>73.652777777777771</v>
      </c>
      <c r="F50" s="156">
        <f>AVERAGE(F19:F37)</f>
        <v>71.722222222222229</v>
      </c>
      <c r="G50" s="156">
        <f>IFERROR(AVERAGE(G19:G37),"")</f>
        <v>74.763611111111103</v>
      </c>
      <c r="H50" s="140"/>
      <c r="I50" s="140"/>
    </row>
  </sheetData>
  <mergeCells count="7">
    <mergeCell ref="A1:I1"/>
    <mergeCell ref="A2:I2"/>
    <mergeCell ref="D12:F12"/>
    <mergeCell ref="G12:G17"/>
    <mergeCell ref="H12:H17"/>
    <mergeCell ref="D13:F13"/>
    <mergeCell ref="D14:F14"/>
  </mergeCells>
  <printOptions horizontalCentered="1"/>
  <pageMargins left="0.19685039370078741" right="0.11811023622047245" top="0.19685039370078741" bottom="0.15748031496062992" header="0" footer="0"/>
  <pageSetup paperSize="9" scale="82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61D97-2DE8-4EF7-A949-7C9B002CF8A6}">
  <dimension ref="A1:FP121"/>
  <sheetViews>
    <sheetView view="pageBreakPreview" topLeftCell="A4" zoomScale="64" zoomScaleNormal="82" zoomScaleSheetLayoutView="64" workbookViewId="0">
      <selection activeCell="C63" sqref="C63"/>
    </sheetView>
  </sheetViews>
  <sheetFormatPr defaultRowHeight="14"/>
  <cols>
    <col min="1" max="1" width="4.9140625" customWidth="1"/>
    <col min="2" max="2" width="11.75" customWidth="1"/>
    <col min="3" max="3" width="27" style="34" customWidth="1"/>
    <col min="4" max="17" width="9.9140625" style="35" customWidth="1"/>
    <col min="18" max="29" width="12.6640625" style="35" customWidth="1"/>
    <col min="30" max="30" width="8.75" style="35"/>
    <col min="31" max="31" width="10.6640625" style="35" hidden="1" customWidth="1"/>
    <col min="32" max="32" width="11.33203125" style="35" hidden="1" customWidth="1"/>
    <col min="33" max="33" width="0" style="35" hidden="1" customWidth="1"/>
    <col min="34" max="34" width="10.33203125" style="35" hidden="1" customWidth="1"/>
    <col min="35" max="35" width="0" hidden="1" customWidth="1"/>
    <col min="36" max="36" width="11.33203125" hidden="1" customWidth="1"/>
    <col min="37" max="37" width="0" hidden="1" customWidth="1"/>
    <col min="38" max="46" width="11.33203125" hidden="1" customWidth="1"/>
    <col min="47" max="47" width="0" hidden="1" customWidth="1"/>
    <col min="48" max="48" width="11.33203125" hidden="1" customWidth="1"/>
    <col min="49" max="49" width="0" hidden="1" customWidth="1"/>
    <col min="50" max="52" width="11.33203125" hidden="1" customWidth="1"/>
    <col min="53" max="53" width="0" hidden="1" customWidth="1"/>
    <col min="54" max="54" width="11.33203125" hidden="1" customWidth="1"/>
    <col min="55" max="55" width="0" hidden="1" customWidth="1"/>
    <col min="56" max="56" width="11.33203125" hidden="1" customWidth="1"/>
    <col min="57" max="57" width="0" hidden="1" customWidth="1"/>
    <col min="58" max="58" width="11.33203125" hidden="1" customWidth="1"/>
    <col min="59" max="60" width="0" hidden="1" customWidth="1"/>
    <col min="62" max="62" width="5.6640625" style="35" customWidth="1"/>
    <col min="64" max="64" width="5.6640625" customWidth="1"/>
    <col min="66" max="66" width="5.6640625" customWidth="1"/>
    <col min="68" max="68" width="7.08203125" customWidth="1"/>
    <col min="69" max="69" width="8.6640625" style="74"/>
    <col min="73" max="73" width="8.6640625" style="74"/>
    <col min="80" max="80" width="5.6640625" customWidth="1"/>
    <col min="82" max="82" width="5.6640625" customWidth="1"/>
    <col min="84" max="84" width="5.6640625" customWidth="1"/>
    <col min="95" max="95" width="8.6640625" style="74"/>
    <col min="96" max="96" width="7.1640625" customWidth="1"/>
    <col min="124" max="124" width="8.6640625" style="94"/>
    <col min="130" max="130" width="5.6640625" customWidth="1"/>
    <col min="132" max="132" width="5.6640625" customWidth="1"/>
    <col min="134" max="134" width="5.6640625" customWidth="1"/>
    <col min="135" max="135" width="8.58203125" style="179" customWidth="1"/>
    <col min="136" max="136" width="5.6640625" customWidth="1"/>
    <col min="137" max="137" width="9.08203125" customWidth="1"/>
    <col min="138" max="138" width="5.6640625" customWidth="1"/>
    <col min="139" max="139" width="7.83203125" customWidth="1"/>
    <col min="140" max="140" width="5.6640625" customWidth="1"/>
    <col min="154" max="154" width="5.6640625" customWidth="1"/>
    <col min="155" max="155" width="8.6640625" customWidth="1"/>
    <col min="156" max="156" width="5.6640625" customWidth="1"/>
    <col min="157" max="157" width="8.5" customWidth="1"/>
    <col min="158" max="158" width="5.6640625" customWidth="1"/>
    <col min="159" max="159" width="8.08203125" customWidth="1"/>
    <col min="160" max="160" width="5.6640625" customWidth="1"/>
    <col min="162" max="162" width="5.6640625" customWidth="1"/>
    <col min="163" max="163" width="8.6640625" style="140"/>
    <col min="164" max="164" width="5.6640625" style="140" customWidth="1"/>
    <col min="165" max="167" width="8.6640625" style="140"/>
    <col min="168" max="168" width="5.6640625" style="140" customWidth="1"/>
    <col min="169" max="169" width="8.6640625" style="140"/>
    <col min="170" max="170" width="5.6640625" style="140" customWidth="1"/>
    <col min="171" max="171" width="8.75" style="169"/>
    <col min="172" max="172" width="8.75" style="92"/>
  </cols>
  <sheetData>
    <row r="1" spans="1:172" ht="20">
      <c r="A1" s="55" t="s">
        <v>183</v>
      </c>
    </row>
    <row r="2" spans="1:172" ht="15.5">
      <c r="A2" s="56" t="s">
        <v>358</v>
      </c>
      <c r="AE2" s="57"/>
    </row>
    <row r="4" spans="1:172" ht="14.5" customHeight="1">
      <c r="D4" s="288" t="str">
        <f>'ListMKSmt-1'!B2</f>
        <v>MK9</v>
      </c>
      <c r="E4" s="289"/>
      <c r="F4" s="289"/>
      <c r="G4" s="289"/>
      <c r="H4" s="290"/>
      <c r="I4" s="309" t="s">
        <v>130</v>
      </c>
      <c r="J4" s="291" t="str">
        <f>'ListMKSmt-1'!B3</f>
        <v>MK10</v>
      </c>
      <c r="K4" s="292"/>
      <c r="L4" s="293"/>
      <c r="M4" s="312" t="s">
        <v>130</v>
      </c>
      <c r="N4" s="315" t="str">
        <f>'ListMKSmt-1'!B4</f>
        <v>MK11</v>
      </c>
      <c r="O4" s="316"/>
      <c r="P4" s="316"/>
      <c r="Q4" s="317" t="s">
        <v>130</v>
      </c>
      <c r="R4" s="295" t="str">
        <f>'ListMKSmt-1'!B5</f>
        <v>MK12</v>
      </c>
      <c r="S4" s="296"/>
      <c r="T4" s="297"/>
      <c r="U4" s="303" t="s">
        <v>130</v>
      </c>
      <c r="V4" s="298" t="str">
        <f>'ListMKSmt-1'!B6</f>
        <v>MK13</v>
      </c>
      <c r="W4" s="299"/>
      <c r="X4" s="306" t="s">
        <v>130</v>
      </c>
      <c r="Y4" s="258" t="s">
        <v>64</v>
      </c>
      <c r="Z4" s="259"/>
      <c r="AA4" s="246" t="s">
        <v>130</v>
      </c>
      <c r="AB4" s="204" t="s">
        <v>67</v>
      </c>
      <c r="AC4" s="300" t="s">
        <v>130</v>
      </c>
      <c r="AE4" s="284" t="s">
        <v>131</v>
      </c>
      <c r="AF4" s="285"/>
      <c r="AG4" s="284" t="s">
        <v>131</v>
      </c>
      <c r="AH4" s="285"/>
      <c r="AI4" s="284" t="s">
        <v>131</v>
      </c>
      <c r="AJ4" s="285"/>
      <c r="AK4" s="284" t="s">
        <v>131</v>
      </c>
      <c r="AL4" s="285"/>
      <c r="AM4" s="284" t="s">
        <v>131</v>
      </c>
      <c r="AN4" s="285"/>
      <c r="AO4" s="284" t="s">
        <v>131</v>
      </c>
      <c r="AP4" s="285"/>
      <c r="AQ4" s="284" t="s">
        <v>131</v>
      </c>
      <c r="AR4" s="285"/>
      <c r="AS4" s="284" t="s">
        <v>131</v>
      </c>
      <c r="AT4" s="285"/>
      <c r="AU4" s="284" t="s">
        <v>131</v>
      </c>
      <c r="AV4" s="285"/>
      <c r="AW4" s="284" t="s">
        <v>131</v>
      </c>
      <c r="AX4" s="285"/>
      <c r="AY4" s="284" t="s">
        <v>131</v>
      </c>
      <c r="AZ4" s="285"/>
      <c r="BA4" s="284" t="s">
        <v>131</v>
      </c>
      <c r="BB4" s="285"/>
      <c r="BC4" s="284" t="s">
        <v>131</v>
      </c>
      <c r="BD4" s="285"/>
      <c r="BE4" s="284" t="s">
        <v>131</v>
      </c>
      <c r="BF4" s="285"/>
    </row>
    <row r="5" spans="1:172">
      <c r="D5" s="288" t="str">
        <f>'ListMKSmt-1'!D2</f>
        <v>P.24.05.52.2.06</v>
      </c>
      <c r="E5" s="289"/>
      <c r="F5" s="289"/>
      <c r="G5" s="289"/>
      <c r="H5" s="290"/>
      <c r="I5" s="310"/>
      <c r="J5" s="291" t="str">
        <f>'ListMKSmt-1'!D3</f>
        <v>P.24.05.52.2.07</v>
      </c>
      <c r="K5" s="292"/>
      <c r="L5" s="293"/>
      <c r="M5" s="313"/>
      <c r="N5" s="294" t="str">
        <f>'ListMKSmt-1'!D4</f>
        <v>P.24.05.52.2.08</v>
      </c>
      <c r="O5" s="294"/>
      <c r="P5" s="294"/>
      <c r="Q5" s="318"/>
      <c r="R5" s="295" t="str">
        <f>'ListMKSmt-1'!D5</f>
        <v>P.24.05.52.2.09</v>
      </c>
      <c r="S5" s="296"/>
      <c r="T5" s="297"/>
      <c r="U5" s="304"/>
      <c r="V5" s="298" t="str">
        <f>'ListMKSmt-1'!D6</f>
        <v>P.24.05.52.2.10</v>
      </c>
      <c r="W5" s="299"/>
      <c r="X5" s="307"/>
      <c r="Y5" s="258" t="str">
        <f>'ListMKSmt-1'!D7</f>
        <v>U.24.05.52.2.04</v>
      </c>
      <c r="Z5" s="259"/>
      <c r="AA5" s="247"/>
      <c r="AB5" s="204" t="str">
        <f>'ListMKSmt-1'!D8</f>
        <v>U.24.05.52.2.05</v>
      </c>
      <c r="AC5" s="301"/>
      <c r="AE5" s="286"/>
      <c r="AF5" s="287"/>
      <c r="AG5" s="286"/>
      <c r="AH5" s="287"/>
      <c r="AI5" s="286"/>
      <c r="AJ5" s="287"/>
      <c r="AK5" s="286"/>
      <c r="AL5" s="287"/>
      <c r="AM5" s="286"/>
      <c r="AN5" s="287"/>
      <c r="AO5" s="286"/>
      <c r="AP5" s="287"/>
      <c r="AQ5" s="286"/>
      <c r="AR5" s="287"/>
      <c r="AS5" s="286"/>
      <c r="AT5" s="287"/>
      <c r="AU5" s="286"/>
      <c r="AV5" s="287"/>
      <c r="AW5" s="286"/>
      <c r="AX5" s="287"/>
      <c r="AY5" s="286"/>
      <c r="AZ5" s="287"/>
      <c r="BA5" s="286"/>
      <c r="BB5" s="287"/>
      <c r="BC5" s="286"/>
      <c r="BD5" s="287"/>
      <c r="BE5" s="286"/>
      <c r="BF5" s="287"/>
    </row>
    <row r="6" spans="1:172">
      <c r="D6" s="288" t="str">
        <f>'ListMKSmt-1'!E2</f>
        <v>Akuntansi Pengantar 2</v>
      </c>
      <c r="E6" s="289"/>
      <c r="F6" s="289"/>
      <c r="G6" s="289"/>
      <c r="H6" s="290"/>
      <c r="I6" s="310"/>
      <c r="J6" s="291" t="str">
        <f>'ListMKSmt-1'!E3</f>
        <v>Perpajakan 2</v>
      </c>
      <c r="K6" s="292"/>
      <c r="L6" s="293"/>
      <c r="M6" s="313"/>
      <c r="N6" s="320" t="str">
        <f>'ListMKSmt-1'!E4</f>
        <v>Akuntansi Sektor Publik</v>
      </c>
      <c r="O6" s="321"/>
      <c r="P6" s="322"/>
      <c r="Q6" s="318"/>
      <c r="R6" s="295" t="str">
        <f>'ListMKSmt-1'!E5</f>
        <v>Akuntansi Perbankan</v>
      </c>
      <c r="S6" s="296"/>
      <c r="T6" s="297"/>
      <c r="U6" s="304"/>
      <c r="V6" s="298" t="str">
        <f>'ListMKSmt-1'!E6</f>
        <v>Akuntansi Biaya</v>
      </c>
      <c r="W6" s="299"/>
      <c r="X6" s="307"/>
      <c r="Y6" s="258" t="str">
        <f>'ListMKSmt-1'!E7</f>
        <v>Pancasila</v>
      </c>
      <c r="Z6" s="259"/>
      <c r="AA6" s="247"/>
      <c r="AB6" s="204" t="str">
        <f>'ListMKSmt-1'!E8</f>
        <v>Bahasa Indonesia</v>
      </c>
      <c r="AC6" s="301"/>
      <c r="AE6" s="57" t="s">
        <v>132</v>
      </c>
      <c r="AF6" s="57"/>
      <c r="AG6" s="57" t="s">
        <v>133</v>
      </c>
      <c r="AH6" s="57"/>
      <c r="AI6" s="57" t="s">
        <v>134</v>
      </c>
      <c r="AJ6" s="57"/>
      <c r="AK6" s="57" t="s">
        <v>135</v>
      </c>
      <c r="AL6" s="57"/>
      <c r="AM6" s="57"/>
      <c r="AN6" s="57"/>
      <c r="AO6" s="57"/>
      <c r="AP6" s="57"/>
      <c r="AQ6" s="57"/>
      <c r="AR6" s="57"/>
      <c r="AS6" s="57"/>
      <c r="AT6" s="57"/>
      <c r="AU6" s="57" t="s">
        <v>136</v>
      </c>
      <c r="AV6" s="57"/>
      <c r="AW6" s="57" t="s">
        <v>137</v>
      </c>
      <c r="AX6" s="57"/>
      <c r="AY6" s="57"/>
      <c r="AZ6" s="57"/>
      <c r="BA6" s="57" t="s">
        <v>138</v>
      </c>
      <c r="BB6" s="57"/>
      <c r="BC6" s="57" t="s">
        <v>139</v>
      </c>
      <c r="BD6" s="57"/>
      <c r="BE6" s="57" t="s">
        <v>140</v>
      </c>
      <c r="BF6" s="57"/>
      <c r="BI6" s="270" t="s">
        <v>348</v>
      </c>
      <c r="BJ6" s="271"/>
      <c r="BK6" s="271"/>
      <c r="BL6" s="271"/>
      <c r="BM6" s="271"/>
      <c r="BN6" s="271"/>
      <c r="BO6" s="270" t="s">
        <v>349</v>
      </c>
      <c r="BP6" s="271"/>
      <c r="BQ6" s="271"/>
      <c r="BR6" s="271"/>
      <c r="BS6" s="271"/>
      <c r="BT6" s="271"/>
      <c r="BU6" s="271"/>
      <c r="BV6" s="271"/>
      <c r="BW6" s="272"/>
      <c r="BX6" s="199"/>
      <c r="BY6" s="270" t="s">
        <v>134</v>
      </c>
      <c r="BZ6" s="271"/>
      <c r="CA6" s="271"/>
      <c r="CB6" s="271"/>
      <c r="CC6" s="271"/>
      <c r="CD6" s="272"/>
      <c r="CE6" s="270" t="s">
        <v>135</v>
      </c>
      <c r="CF6" s="271"/>
      <c r="CG6" s="271"/>
      <c r="CH6" s="272"/>
      <c r="CI6" s="270"/>
      <c r="CJ6" s="271"/>
      <c r="CK6" s="271"/>
      <c r="CL6" s="271"/>
      <c r="CM6" s="271"/>
      <c r="CN6" s="271"/>
      <c r="CO6" s="271"/>
      <c r="CP6" s="271"/>
      <c r="CQ6" s="271"/>
      <c r="CR6" s="271"/>
      <c r="CS6" s="271"/>
      <c r="CT6" s="271"/>
      <c r="CU6" s="271"/>
      <c r="CV6" s="271"/>
      <c r="CW6" s="271"/>
      <c r="CX6" s="272"/>
      <c r="CY6" s="270"/>
      <c r="CZ6" s="271"/>
      <c r="DA6" s="271"/>
      <c r="DB6" s="271"/>
      <c r="DC6" s="271"/>
      <c r="DD6" s="271"/>
      <c r="DE6" s="271"/>
      <c r="DF6" s="272"/>
      <c r="DG6" s="270"/>
      <c r="DH6" s="271"/>
      <c r="DI6" s="271"/>
      <c r="DJ6" s="271"/>
      <c r="DK6" s="271"/>
      <c r="DL6" s="271"/>
      <c r="DM6" s="271"/>
      <c r="DN6" s="271"/>
      <c r="DO6" s="271"/>
      <c r="DP6" s="271"/>
      <c r="DQ6" s="271"/>
      <c r="DR6" s="272"/>
      <c r="DS6" s="270"/>
      <c r="DT6" s="271"/>
      <c r="DU6" s="271"/>
      <c r="DV6" s="271"/>
      <c r="DW6" s="271"/>
      <c r="DX6" s="272"/>
      <c r="DY6" s="270" t="s">
        <v>136</v>
      </c>
      <c r="DZ6" s="271"/>
      <c r="EA6" s="271"/>
      <c r="EB6" s="272"/>
      <c r="EC6" s="270" t="s">
        <v>352</v>
      </c>
      <c r="ED6" s="271"/>
      <c r="EE6" s="271"/>
      <c r="EF6" s="271"/>
      <c r="EG6" s="271"/>
      <c r="EH6" s="271"/>
      <c r="EI6" s="271"/>
      <c r="EJ6" s="271"/>
      <c r="EK6" s="271"/>
      <c r="EL6" s="272"/>
      <c r="EM6" s="270" t="s">
        <v>353</v>
      </c>
      <c r="EN6" s="271"/>
      <c r="EO6" s="271"/>
      <c r="EP6" s="271"/>
      <c r="EQ6" s="271"/>
      <c r="ER6" s="271"/>
      <c r="ES6" s="271"/>
      <c r="ET6" s="271"/>
      <c r="EU6" s="271"/>
      <c r="EV6" s="272"/>
      <c r="EW6" s="270" t="s">
        <v>138</v>
      </c>
      <c r="EX6" s="271"/>
      <c r="EY6" s="271"/>
      <c r="EZ6" s="271"/>
      <c r="FA6" s="271"/>
      <c r="FB6" s="271"/>
      <c r="FC6" s="271"/>
      <c r="FD6" s="271"/>
      <c r="FE6" s="271"/>
      <c r="FF6" s="272"/>
      <c r="FG6" s="263" t="s">
        <v>141</v>
      </c>
      <c r="FH6" s="269"/>
      <c r="FI6" s="269"/>
      <c r="FJ6" s="264"/>
      <c r="FK6" s="268" t="s">
        <v>140</v>
      </c>
      <c r="FL6" s="268"/>
      <c r="FM6" s="268"/>
      <c r="FN6" s="268"/>
    </row>
    <row r="7" spans="1:172" ht="14.5" customHeight="1">
      <c r="D7" s="160" t="str">
        <f>'MK1-TM'!D15</f>
        <v>CPL02</v>
      </c>
      <c r="E7" s="160" t="str">
        <f>'MK1-TM'!E15</f>
        <v>CPL02</v>
      </c>
      <c r="F7" s="160" t="str">
        <f>'MK1-TM'!F15</f>
        <v>CPL02</v>
      </c>
      <c r="G7" s="160" t="str">
        <f>'MK1-TM'!G15</f>
        <v>CPL02</v>
      </c>
      <c r="H7" s="160" t="str">
        <f>'MK1-TM'!H15</f>
        <v>CPL02</v>
      </c>
      <c r="I7" s="310"/>
      <c r="J7" s="161" t="str">
        <f>'MK2-TO'!D15</f>
        <v>CPL10</v>
      </c>
      <c r="K7" s="161" t="str">
        <f>'MK2-TO'!E15</f>
        <v>CPL10</v>
      </c>
      <c r="L7" s="161" t="str">
        <f>'MK2-TO'!F15</f>
        <v>CPL11</v>
      </c>
      <c r="M7" s="313"/>
      <c r="N7" s="58" t="str">
        <f>'MK3-PSTI'!D15</f>
        <v>CPL02</v>
      </c>
      <c r="O7" s="203" t="str">
        <f>'MK3-PSTI'!E15</f>
        <v>CPL02</v>
      </c>
      <c r="P7" s="203" t="str">
        <f>'MK3-PSTI'!F15</f>
        <v>CPL02</v>
      </c>
      <c r="Q7" s="318"/>
      <c r="R7" s="59" t="str">
        <f>'MK4-L&amp;A'!D15</f>
        <v>CPL02</v>
      </c>
      <c r="S7" s="59" t="str">
        <f>'MK4-L&amp;A'!E15</f>
        <v>CPL02</v>
      </c>
      <c r="T7" s="59" t="str">
        <f>'MK4-L&amp;A'!F15</f>
        <v>CPL02</v>
      </c>
      <c r="U7" s="304"/>
      <c r="V7" s="60" t="str">
        <f>'MK5-BP'!D15</f>
        <v>CPL04</v>
      </c>
      <c r="W7" s="60" t="str">
        <f>'MK5-BP'!E15</f>
        <v>CPL04</v>
      </c>
      <c r="X7" s="307"/>
      <c r="Y7" s="36" t="str">
        <f>'MK7-MBD'!D14</f>
        <v>CPL01</v>
      </c>
      <c r="Z7" s="138" t="str">
        <f>'MK7-MBD'!E14</f>
        <v>CPL1</v>
      </c>
      <c r="AA7" s="247"/>
      <c r="AB7" s="61" t="str">
        <f>MK8_BID!D15</f>
        <v>CPL01</v>
      </c>
      <c r="AC7" s="301"/>
      <c r="AE7" s="62" t="s">
        <v>93</v>
      </c>
      <c r="AF7" s="279" t="s">
        <v>142</v>
      </c>
      <c r="AG7" s="62" t="s">
        <v>117</v>
      </c>
      <c r="AH7" s="278" t="s">
        <v>142</v>
      </c>
      <c r="AI7" s="62" t="s">
        <v>107</v>
      </c>
      <c r="AJ7" s="278" t="s">
        <v>142</v>
      </c>
      <c r="AK7" s="62" t="s">
        <v>106</v>
      </c>
      <c r="AL7" s="278" t="s">
        <v>142</v>
      </c>
      <c r="AM7" s="62" t="s">
        <v>143</v>
      </c>
      <c r="AN7" s="278" t="s">
        <v>142</v>
      </c>
      <c r="AO7" s="62" t="s">
        <v>144</v>
      </c>
      <c r="AP7" s="278" t="s">
        <v>142</v>
      </c>
      <c r="AQ7" s="62" t="s">
        <v>145</v>
      </c>
      <c r="AR7" s="278" t="s">
        <v>142</v>
      </c>
      <c r="AS7" s="62" t="s">
        <v>146</v>
      </c>
      <c r="AT7" s="278" t="s">
        <v>142</v>
      </c>
      <c r="AU7" s="62" t="s">
        <v>113</v>
      </c>
      <c r="AV7" s="278" t="s">
        <v>142</v>
      </c>
      <c r="AW7" s="62" t="s">
        <v>120</v>
      </c>
      <c r="AX7" s="278" t="s">
        <v>142</v>
      </c>
      <c r="AY7" s="62" t="s">
        <v>147</v>
      </c>
      <c r="AZ7" s="278" t="s">
        <v>142</v>
      </c>
      <c r="BA7" s="62" t="s">
        <v>121</v>
      </c>
      <c r="BB7" s="278" t="s">
        <v>142</v>
      </c>
      <c r="BC7" s="62" t="s">
        <v>94</v>
      </c>
      <c r="BD7" s="278" t="s">
        <v>142</v>
      </c>
      <c r="BE7" s="62" t="s">
        <v>122</v>
      </c>
      <c r="BF7" s="279" t="s">
        <v>142</v>
      </c>
      <c r="BI7" s="270" t="s">
        <v>93</v>
      </c>
      <c r="BJ7" s="271"/>
      <c r="BK7" s="271"/>
      <c r="BL7" s="271"/>
      <c r="BM7" s="271"/>
      <c r="BN7" s="271"/>
      <c r="BO7" s="270" t="s">
        <v>117</v>
      </c>
      <c r="BP7" s="271"/>
      <c r="BQ7" s="271"/>
      <c r="BR7" s="271"/>
      <c r="BS7" s="271"/>
      <c r="BT7" s="271"/>
      <c r="BU7" s="271"/>
      <c r="BV7" s="271"/>
      <c r="BW7" s="272"/>
      <c r="BX7" s="199"/>
      <c r="BY7" s="270" t="s">
        <v>107</v>
      </c>
      <c r="BZ7" s="271"/>
      <c r="CA7" s="271"/>
      <c r="CB7" s="271"/>
      <c r="CC7" s="271"/>
      <c r="CD7" s="272"/>
      <c r="CE7" s="270" t="s">
        <v>106</v>
      </c>
      <c r="CF7" s="271"/>
      <c r="CG7" s="271"/>
      <c r="CH7" s="272"/>
      <c r="CI7" s="270" t="s">
        <v>143</v>
      </c>
      <c r="CJ7" s="271"/>
      <c r="CK7" s="271"/>
      <c r="CL7" s="271"/>
      <c r="CM7" s="271"/>
      <c r="CN7" s="271"/>
      <c r="CO7" s="271"/>
      <c r="CP7" s="271"/>
      <c r="CQ7" s="271"/>
      <c r="CR7" s="271"/>
      <c r="CS7" s="271"/>
      <c r="CT7" s="271"/>
      <c r="CU7" s="271"/>
      <c r="CV7" s="271"/>
      <c r="CW7" s="271"/>
      <c r="CX7" s="272"/>
      <c r="CY7" s="270" t="s">
        <v>144</v>
      </c>
      <c r="CZ7" s="271"/>
      <c r="DA7" s="271"/>
      <c r="DB7" s="271"/>
      <c r="DC7" s="271"/>
      <c r="DD7" s="271"/>
      <c r="DE7" s="271"/>
      <c r="DF7" s="272"/>
      <c r="DG7" s="270" t="s">
        <v>145</v>
      </c>
      <c r="DH7" s="271"/>
      <c r="DI7" s="271"/>
      <c r="DJ7" s="271"/>
      <c r="DK7" s="271"/>
      <c r="DL7" s="271"/>
      <c r="DM7" s="271"/>
      <c r="DN7" s="271"/>
      <c r="DO7" s="271"/>
      <c r="DP7" s="271"/>
      <c r="DQ7" s="271"/>
      <c r="DR7" s="272"/>
      <c r="DS7" s="270" t="s">
        <v>146</v>
      </c>
      <c r="DT7" s="271"/>
      <c r="DU7" s="271"/>
      <c r="DV7" s="271"/>
      <c r="DW7" s="271"/>
      <c r="DX7" s="272"/>
      <c r="DY7" s="270" t="s">
        <v>113</v>
      </c>
      <c r="DZ7" s="271"/>
      <c r="EA7" s="271"/>
      <c r="EB7" s="272"/>
      <c r="EC7" s="270" t="s">
        <v>120</v>
      </c>
      <c r="ED7" s="271"/>
      <c r="EE7" s="271"/>
      <c r="EF7" s="271"/>
      <c r="EG7" s="271"/>
      <c r="EH7" s="271"/>
      <c r="EI7" s="271"/>
      <c r="EJ7" s="271"/>
      <c r="EK7" s="271"/>
      <c r="EL7" s="272"/>
      <c r="EM7" s="270" t="s">
        <v>147</v>
      </c>
      <c r="EN7" s="271"/>
      <c r="EO7" s="271"/>
      <c r="EP7" s="271"/>
      <c r="EQ7" s="271"/>
      <c r="ER7" s="271"/>
      <c r="ES7" s="271"/>
      <c r="ET7" s="271"/>
      <c r="EU7" s="271"/>
      <c r="EV7" s="272"/>
      <c r="EW7" s="270" t="s">
        <v>121</v>
      </c>
      <c r="EX7" s="271"/>
      <c r="EY7" s="271"/>
      <c r="EZ7" s="271"/>
      <c r="FA7" s="271"/>
      <c r="FB7" s="271"/>
      <c r="FC7" s="271"/>
      <c r="FD7" s="271"/>
      <c r="FE7" s="271"/>
      <c r="FF7" s="272"/>
      <c r="FG7" s="263" t="s">
        <v>94</v>
      </c>
      <c r="FH7" s="269"/>
      <c r="FI7" s="269"/>
      <c r="FJ7" s="264"/>
      <c r="FK7" s="268" t="s">
        <v>122</v>
      </c>
      <c r="FL7" s="268"/>
      <c r="FM7" s="268"/>
      <c r="FN7" s="268"/>
    </row>
    <row r="8" spans="1:172">
      <c r="D8" s="160" t="str">
        <f>'MK1-TM'!D16</f>
        <v>CPMK021</v>
      </c>
      <c r="E8" s="160" t="str">
        <f>'MK1-TM'!E16</f>
        <v>CPMK022</v>
      </c>
      <c r="F8" s="160" t="str">
        <f>'MK1-TM'!F16</f>
        <v>CPMK023</v>
      </c>
      <c r="G8" s="160" t="str">
        <f>'MK1-TM'!G16</f>
        <v>CPMK024</v>
      </c>
      <c r="H8" s="160" t="str">
        <f>'MK1-TM'!H16</f>
        <v>CPMK025</v>
      </c>
      <c r="I8" s="310"/>
      <c r="J8" s="161" t="str">
        <f>'MK2-TO'!D16</f>
        <v>CPMK101</v>
      </c>
      <c r="K8" s="161" t="str">
        <f>'MK2-TO'!E16</f>
        <v>CPMK104</v>
      </c>
      <c r="L8" s="161" t="str">
        <f>'MK2-TO'!F16</f>
        <v>CPMK111</v>
      </c>
      <c r="M8" s="313"/>
      <c r="N8" s="58" t="str">
        <f>'MK3-PSTI'!D16</f>
        <v>CPMK21</v>
      </c>
      <c r="O8" s="203" t="str">
        <f>'MK3-PSTI'!E16</f>
        <v>CPMK24</v>
      </c>
      <c r="P8" s="203" t="str">
        <f>'MK3-PSTI'!F16</f>
        <v>CPMK25</v>
      </c>
      <c r="Q8" s="318"/>
      <c r="R8" s="59" t="str">
        <f>'MK4-L&amp;A'!D16</f>
        <v>CPMK23</v>
      </c>
      <c r="S8" s="59" t="str">
        <f>'MK4-L&amp;A'!E16</f>
        <v>CPMK24</v>
      </c>
      <c r="T8" s="59" t="str">
        <f>'MK4-L&amp;A'!F16</f>
        <v>CPMK25</v>
      </c>
      <c r="U8" s="304"/>
      <c r="V8" s="60" t="str">
        <f>'MK5-BP'!D16</f>
        <v>CPMK41</v>
      </c>
      <c r="W8" s="60" t="str">
        <f>'MK5-BP'!E16</f>
        <v>CPMK42</v>
      </c>
      <c r="X8" s="307"/>
      <c r="Y8" s="138" t="str">
        <f>'MK7-MBD'!D15</f>
        <v>CPMK11</v>
      </c>
      <c r="Z8" s="138" t="str">
        <f>'MK7-MBD'!E15</f>
        <v>CPMK12</v>
      </c>
      <c r="AA8" s="247"/>
      <c r="AB8" s="61" t="str">
        <f>MK8_BID!D16</f>
        <v>CPMK12</v>
      </c>
      <c r="AC8" s="301"/>
      <c r="AD8" s="35" t="s">
        <v>347</v>
      </c>
      <c r="AE8" s="63">
        <v>215</v>
      </c>
      <c r="AF8" s="280"/>
      <c r="AG8" s="63" t="e">
        <f>#REF!</f>
        <v>#REF!</v>
      </c>
      <c r="AH8" s="278"/>
      <c r="AI8" s="63">
        <f>R9+V9</f>
        <v>68</v>
      </c>
      <c r="AJ8" s="278"/>
      <c r="AK8" s="63" t="e">
        <f>#REF!</f>
        <v>#REF!</v>
      </c>
      <c r="AL8" s="278"/>
      <c r="AM8" s="63"/>
      <c r="AN8" s="278"/>
      <c r="AO8" s="63"/>
      <c r="AP8" s="278"/>
      <c r="AQ8" s="63"/>
      <c r="AR8" s="278"/>
      <c r="AS8" s="63"/>
      <c r="AT8" s="278"/>
      <c r="AU8" s="63">
        <f>T9+W9</f>
        <v>99</v>
      </c>
      <c r="AV8" s="278"/>
      <c r="AW8" s="63" t="e">
        <f>AB9+#REF!+#REF!</f>
        <v>#REF!</v>
      </c>
      <c r="AX8" s="278"/>
      <c r="AY8" s="63"/>
      <c r="AZ8" s="278"/>
      <c r="BA8" s="63" t="e">
        <f>#REF!+#REF!+#REF!</f>
        <v>#REF!</v>
      </c>
      <c r="BB8" s="278"/>
      <c r="BC8" s="63">
        <f>H9+L9+P9+Z9</f>
        <v>163</v>
      </c>
      <c r="BD8" s="278"/>
      <c r="BE8" s="63" t="e">
        <f>#REF!+#REF!+#REF!</f>
        <v>#REF!</v>
      </c>
      <c r="BF8" s="280"/>
      <c r="BI8" s="4" t="s">
        <v>108</v>
      </c>
      <c r="BJ8" s="273" t="s">
        <v>175</v>
      </c>
      <c r="BK8" s="4" t="s">
        <v>104</v>
      </c>
      <c r="BL8" s="273" t="s">
        <v>175</v>
      </c>
      <c r="BM8" s="4" t="s">
        <v>118</v>
      </c>
      <c r="BN8" s="273" t="s">
        <v>175</v>
      </c>
      <c r="BO8" s="4" t="s">
        <v>119</v>
      </c>
      <c r="BP8" s="273" t="s">
        <v>175</v>
      </c>
      <c r="BQ8" s="73" t="s">
        <v>151</v>
      </c>
      <c r="BR8" s="273" t="s">
        <v>175</v>
      </c>
      <c r="BS8" s="4" t="s">
        <v>152</v>
      </c>
      <c r="BT8" s="273" t="s">
        <v>175</v>
      </c>
      <c r="BU8" s="73" t="s">
        <v>153</v>
      </c>
      <c r="BV8" s="273" t="s">
        <v>175</v>
      </c>
      <c r="BW8" s="198" t="s">
        <v>323</v>
      </c>
      <c r="BX8" s="201"/>
      <c r="BY8" s="4" t="s">
        <v>110</v>
      </c>
      <c r="BZ8" s="273" t="s">
        <v>175</v>
      </c>
      <c r="CA8" s="4" t="s">
        <v>116</v>
      </c>
      <c r="CB8" s="273" t="s">
        <v>175</v>
      </c>
      <c r="CC8" s="4" t="s">
        <v>114</v>
      </c>
      <c r="CD8" s="273" t="s">
        <v>175</v>
      </c>
      <c r="CE8" s="4" t="s">
        <v>109</v>
      </c>
      <c r="CF8" s="273" t="s">
        <v>175</v>
      </c>
      <c r="CG8" s="4" t="s">
        <v>154</v>
      </c>
      <c r="CH8" s="273" t="s">
        <v>175</v>
      </c>
      <c r="CI8" s="4" t="s">
        <v>155</v>
      </c>
      <c r="CJ8" s="273" t="s">
        <v>175</v>
      </c>
      <c r="CK8" s="162" t="s">
        <v>156</v>
      </c>
      <c r="CL8" s="273" t="s">
        <v>175</v>
      </c>
      <c r="CM8" s="162" t="s">
        <v>275</v>
      </c>
      <c r="CN8" s="273" t="s">
        <v>175</v>
      </c>
      <c r="CO8" s="162" t="s">
        <v>276</v>
      </c>
      <c r="CP8" s="273" t="s">
        <v>175</v>
      </c>
      <c r="CQ8" s="185" t="s">
        <v>277</v>
      </c>
      <c r="CR8" s="273" t="s">
        <v>175</v>
      </c>
      <c r="CS8" s="162" t="s">
        <v>278</v>
      </c>
      <c r="CT8" s="273" t="s">
        <v>175</v>
      </c>
      <c r="CU8" s="162" t="s">
        <v>279</v>
      </c>
      <c r="CV8" s="273" t="s">
        <v>175</v>
      </c>
      <c r="CW8" s="4" t="s">
        <v>280</v>
      </c>
      <c r="CX8" s="273" t="s">
        <v>175</v>
      </c>
      <c r="CY8" s="4" t="s">
        <v>157</v>
      </c>
      <c r="CZ8" s="273" t="s">
        <v>175</v>
      </c>
      <c r="DA8" s="4" t="s">
        <v>158</v>
      </c>
      <c r="DB8" s="273" t="s">
        <v>175</v>
      </c>
      <c r="DC8" s="4" t="s">
        <v>159</v>
      </c>
      <c r="DD8" s="273" t="s">
        <v>175</v>
      </c>
      <c r="DE8" s="4" t="s">
        <v>160</v>
      </c>
      <c r="DF8" s="273" t="s">
        <v>175</v>
      </c>
      <c r="DG8" s="4" t="s">
        <v>161</v>
      </c>
      <c r="DH8" s="273" t="s">
        <v>175</v>
      </c>
      <c r="DI8" s="4" t="s">
        <v>162</v>
      </c>
      <c r="DJ8" s="273" t="s">
        <v>175</v>
      </c>
      <c r="DK8" s="62" t="s">
        <v>163</v>
      </c>
      <c r="DL8" s="273" t="s">
        <v>175</v>
      </c>
      <c r="DM8" s="62" t="s">
        <v>281</v>
      </c>
      <c r="DN8" s="273" t="s">
        <v>175</v>
      </c>
      <c r="DO8" s="62" t="s">
        <v>282</v>
      </c>
      <c r="DP8" s="273" t="s">
        <v>175</v>
      </c>
      <c r="DQ8" s="4" t="s">
        <v>283</v>
      </c>
      <c r="DR8" s="273" t="s">
        <v>175</v>
      </c>
      <c r="DS8" s="4" t="s">
        <v>164</v>
      </c>
      <c r="DT8" s="282" t="s">
        <v>175</v>
      </c>
      <c r="DU8" s="62" t="s">
        <v>165</v>
      </c>
      <c r="DV8" s="164" t="s">
        <v>175</v>
      </c>
      <c r="DW8" s="4" t="s">
        <v>284</v>
      </c>
      <c r="DX8" s="273" t="s">
        <v>175</v>
      </c>
      <c r="DY8" s="4" t="s">
        <v>148</v>
      </c>
      <c r="DZ8" s="273" t="s">
        <v>175</v>
      </c>
      <c r="EA8" s="4" t="s">
        <v>115</v>
      </c>
      <c r="EB8" s="273" t="s">
        <v>175</v>
      </c>
      <c r="EC8" s="4" t="s">
        <v>123</v>
      </c>
      <c r="ED8" s="273" t="s">
        <v>175</v>
      </c>
      <c r="EE8" s="180" t="s">
        <v>166</v>
      </c>
      <c r="EF8" s="162" t="s">
        <v>175</v>
      </c>
      <c r="EG8" s="162" t="s">
        <v>258</v>
      </c>
      <c r="EH8" s="162" t="s">
        <v>175</v>
      </c>
      <c r="EI8" s="162" t="s">
        <v>259</v>
      </c>
      <c r="EJ8" s="162" t="s">
        <v>175</v>
      </c>
      <c r="EK8" s="4" t="s">
        <v>286</v>
      </c>
      <c r="EL8" s="273" t="s">
        <v>175</v>
      </c>
      <c r="EM8" s="4" t="s">
        <v>167</v>
      </c>
      <c r="EN8" s="273" t="s">
        <v>175</v>
      </c>
      <c r="EO8" s="162" t="s">
        <v>168</v>
      </c>
      <c r="EP8" s="162" t="s">
        <v>175</v>
      </c>
      <c r="EQ8" s="162" t="s">
        <v>287</v>
      </c>
      <c r="ER8" s="162" t="s">
        <v>175</v>
      </c>
      <c r="ES8" s="162" t="s">
        <v>261</v>
      </c>
      <c r="ET8" s="162" t="s">
        <v>175</v>
      </c>
      <c r="EU8" s="4" t="s">
        <v>262</v>
      </c>
      <c r="EV8" s="273" t="s">
        <v>175</v>
      </c>
      <c r="EW8" s="4" t="s">
        <v>124</v>
      </c>
      <c r="EX8" s="273" t="s">
        <v>175</v>
      </c>
      <c r="EY8" s="162" t="s">
        <v>129</v>
      </c>
      <c r="EZ8" s="162" t="s">
        <v>175</v>
      </c>
      <c r="FA8" s="162" t="s">
        <v>267</v>
      </c>
      <c r="FB8" s="162" t="s">
        <v>175</v>
      </c>
      <c r="FC8" s="162" t="s">
        <v>288</v>
      </c>
      <c r="FD8" s="162" t="s">
        <v>175</v>
      </c>
      <c r="FE8" s="4" t="s">
        <v>289</v>
      </c>
      <c r="FF8" s="273" t="s">
        <v>175</v>
      </c>
      <c r="FG8" s="84" t="s">
        <v>96</v>
      </c>
      <c r="FH8" s="275" t="s">
        <v>175</v>
      </c>
      <c r="FI8" s="84" t="s">
        <v>169</v>
      </c>
      <c r="FJ8" s="275" t="s">
        <v>175</v>
      </c>
      <c r="FK8" s="84" t="s">
        <v>125</v>
      </c>
      <c r="FL8" s="275" t="s">
        <v>175</v>
      </c>
      <c r="FM8" s="84" t="s">
        <v>149</v>
      </c>
      <c r="FN8" s="275" t="s">
        <v>175</v>
      </c>
    </row>
    <row r="9" spans="1:172">
      <c r="C9" s="64" t="e">
        <f>SUM(D9,H9,J9,L9,N9,#REF!,P9,R9,T9,V9,W9,Y9,#REF!,Z9,AB9,#REF!,#REF!,#REF!,#REF!,#REF!,#REF!,#REF!,#REF!)</f>
        <v>#REF!</v>
      </c>
      <c r="D9" s="160">
        <f>'MK1-TM'!D17</f>
        <v>21</v>
      </c>
      <c r="E9" s="160">
        <f>'MK1-TM'!E17</f>
        <v>22</v>
      </c>
      <c r="F9" s="160">
        <f>'MK1-TM'!F17</f>
        <v>23</v>
      </c>
      <c r="G9" s="160">
        <f>'MK1-TM'!G17</f>
        <v>24</v>
      </c>
      <c r="H9" s="160">
        <f>'MK1-TM'!H17</f>
        <v>25</v>
      </c>
      <c r="I9" s="311"/>
      <c r="J9" s="161">
        <f>'MK2-TO'!D17</f>
        <v>16</v>
      </c>
      <c r="K9" s="161">
        <f>'MK2-TO'!E17</f>
        <v>45</v>
      </c>
      <c r="L9" s="161">
        <f>'MK2-TO'!F17</f>
        <v>39</v>
      </c>
      <c r="M9" s="314"/>
      <c r="N9" s="58">
        <f>'MK3-PSTI'!D17</f>
        <v>17</v>
      </c>
      <c r="O9" s="203">
        <f>'MK3-PSTI'!E17</f>
        <v>34</v>
      </c>
      <c r="P9" s="203">
        <f>'MK3-PSTI'!F17</f>
        <v>49</v>
      </c>
      <c r="Q9" s="319"/>
      <c r="R9" s="59">
        <f>'MK4-L&amp;A'!D17</f>
        <v>18</v>
      </c>
      <c r="S9" s="59">
        <f>'MK4-L&amp;A'!E17</f>
        <v>33</v>
      </c>
      <c r="T9" s="59">
        <f>'MK4-L&amp;A'!F17</f>
        <v>49</v>
      </c>
      <c r="U9" s="305"/>
      <c r="V9" s="60">
        <f>'MK5-BP'!D17</f>
        <v>50</v>
      </c>
      <c r="W9" s="60">
        <f>'MK5-BP'!E17</f>
        <v>50</v>
      </c>
      <c r="X9" s="308"/>
      <c r="Y9" s="138">
        <f>'MK7-MBD'!D16</f>
        <v>50</v>
      </c>
      <c r="Z9" s="138">
        <f>'MK7-MBD'!E16</f>
        <v>50</v>
      </c>
      <c r="AA9" s="248"/>
      <c r="AB9" s="61">
        <f>MK8_BID!D17</f>
        <v>100</v>
      </c>
      <c r="AC9" s="302"/>
      <c r="AE9" s="65"/>
      <c r="AF9" s="281"/>
      <c r="AG9" s="65"/>
      <c r="AH9" s="278"/>
      <c r="AI9" s="65"/>
      <c r="AJ9" s="278"/>
      <c r="AK9" s="65"/>
      <c r="AL9" s="278"/>
      <c r="AM9" s="65"/>
      <c r="AN9" s="278"/>
      <c r="AO9" s="65"/>
      <c r="AP9" s="278"/>
      <c r="AQ9" s="65"/>
      <c r="AR9" s="278"/>
      <c r="AS9" s="65"/>
      <c r="AT9" s="278"/>
      <c r="AU9" s="65"/>
      <c r="AV9" s="278"/>
      <c r="AW9" s="65"/>
      <c r="AX9" s="278"/>
      <c r="AY9" s="65"/>
      <c r="AZ9" s="278"/>
      <c r="BA9" s="65"/>
      <c r="BB9" s="278"/>
      <c r="BC9" s="65"/>
      <c r="BD9" s="278"/>
      <c r="BE9" s="65"/>
      <c r="BF9" s="281"/>
      <c r="BI9" s="4">
        <f>Y9</f>
        <v>50</v>
      </c>
      <c r="BJ9" s="274"/>
      <c r="BK9" s="4">
        <f>Z9+AB9</f>
        <v>150</v>
      </c>
      <c r="BL9" s="274"/>
      <c r="BM9" s="4"/>
      <c r="BN9" s="274"/>
      <c r="BO9" s="4">
        <f>D9+N9</f>
        <v>38</v>
      </c>
      <c r="BP9" s="274"/>
      <c r="BQ9" s="73">
        <f>E9</f>
        <v>22</v>
      </c>
      <c r="BR9" s="274"/>
      <c r="BS9" s="4">
        <f>F9+R9</f>
        <v>41</v>
      </c>
      <c r="BT9" s="274"/>
      <c r="BU9" s="73">
        <f>G9+O9+S9</f>
        <v>91</v>
      </c>
      <c r="BV9" s="274"/>
      <c r="BW9" s="62">
        <f>H9+P9+T9</f>
        <v>123</v>
      </c>
      <c r="BX9" s="202"/>
      <c r="BY9" s="4"/>
      <c r="BZ9" s="274"/>
      <c r="CA9" s="4"/>
      <c r="CB9" s="274"/>
      <c r="CC9" s="4"/>
      <c r="CD9" s="274"/>
      <c r="CE9" s="4">
        <f>V9</f>
        <v>50</v>
      </c>
      <c r="CF9" s="274"/>
      <c r="CG9" s="4">
        <f>W9</f>
        <v>50</v>
      </c>
      <c r="CH9" s="274"/>
      <c r="CI9" s="4"/>
      <c r="CJ9" s="274"/>
      <c r="CK9" s="163"/>
      <c r="CL9" s="274"/>
      <c r="CM9" s="163"/>
      <c r="CN9" s="274"/>
      <c r="CO9" s="163"/>
      <c r="CP9" s="274"/>
      <c r="CQ9" s="186">
        <f>R9</f>
        <v>18</v>
      </c>
      <c r="CR9" s="274"/>
      <c r="CS9" s="163">
        <v>50</v>
      </c>
      <c r="CT9" s="274"/>
      <c r="CU9" s="163"/>
      <c r="CV9" s="274"/>
      <c r="CW9" s="4"/>
      <c r="CX9" s="274"/>
      <c r="CY9" s="4"/>
      <c r="CZ9" s="274"/>
      <c r="DA9" s="4"/>
      <c r="DB9" s="274"/>
      <c r="DC9" s="4"/>
      <c r="DD9" s="274"/>
      <c r="DE9" s="4"/>
      <c r="DF9" s="274"/>
      <c r="DG9" s="4"/>
      <c r="DH9" s="274"/>
      <c r="DI9" s="4"/>
      <c r="DJ9" s="274"/>
      <c r="DK9" s="163"/>
      <c r="DL9" s="274"/>
      <c r="DM9" s="163"/>
      <c r="DN9" s="274"/>
      <c r="DO9" s="163"/>
      <c r="DP9" s="274"/>
      <c r="DQ9" s="4"/>
      <c r="DR9" s="274"/>
      <c r="DS9" s="4">
        <v>50</v>
      </c>
      <c r="DT9" s="283"/>
      <c r="DU9" s="163"/>
      <c r="DV9" s="165"/>
      <c r="DW9" s="4"/>
      <c r="DX9" s="274"/>
      <c r="DY9" s="4">
        <f>T9</f>
        <v>49</v>
      </c>
      <c r="DZ9" s="274"/>
      <c r="EA9" s="4"/>
      <c r="EB9" s="274"/>
      <c r="EC9" s="4">
        <f>J9</f>
        <v>16</v>
      </c>
      <c r="ED9" s="274"/>
      <c r="EE9" s="181">
        <v>16</v>
      </c>
      <c r="EF9" s="163"/>
      <c r="EG9" s="163"/>
      <c r="EH9" s="163"/>
      <c r="EI9" s="163">
        <f>K9</f>
        <v>45</v>
      </c>
      <c r="EJ9" s="163"/>
      <c r="EK9" s="4"/>
      <c r="EL9" s="274"/>
      <c r="EM9" s="4">
        <f>L9</f>
        <v>39</v>
      </c>
      <c r="EN9" s="274"/>
      <c r="EO9" s="163"/>
      <c r="EP9" s="163"/>
      <c r="EQ9" s="163"/>
      <c r="ER9" s="163"/>
      <c r="ES9" s="62">
        <f>V9</f>
        <v>50</v>
      </c>
      <c r="ET9" s="163"/>
      <c r="EU9" s="4">
        <f>W9</f>
        <v>50</v>
      </c>
      <c r="EV9" s="274"/>
      <c r="EW9" s="4"/>
      <c r="EX9" s="274"/>
      <c r="EY9" s="163"/>
      <c r="EZ9" s="163"/>
      <c r="FA9" s="163" t="e">
        <f>#REF!</f>
        <v>#REF!</v>
      </c>
      <c r="FB9" s="163"/>
      <c r="FC9" s="163"/>
      <c r="FD9" s="163"/>
      <c r="FE9" s="4"/>
      <c r="FF9" s="274"/>
      <c r="FG9" s="84">
        <f>H9+L9+P9+Z9</f>
        <v>163</v>
      </c>
      <c r="FH9" s="276"/>
      <c r="FI9" s="84"/>
      <c r="FJ9" s="276"/>
      <c r="FK9" s="84" t="e">
        <f>#REF!+#REF!</f>
        <v>#REF!</v>
      </c>
      <c r="FL9" s="276"/>
      <c r="FM9" s="84" t="e">
        <f>#REF!</f>
        <v>#REF!</v>
      </c>
      <c r="FN9" s="276"/>
      <c r="FO9" s="169" t="e">
        <f>SUM(BI9:FM9)</f>
        <v>#REF!</v>
      </c>
    </row>
    <row r="10" spans="1:172">
      <c r="A10" s="1" t="s">
        <v>0</v>
      </c>
      <c r="B10" s="1" t="s">
        <v>1</v>
      </c>
      <c r="C10" s="1" t="s">
        <v>2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I10" s="84"/>
      <c r="BJ10" s="91"/>
      <c r="BK10" s="84"/>
      <c r="BL10" s="84"/>
      <c r="BM10" s="84"/>
      <c r="BN10" s="84"/>
      <c r="BO10" s="84"/>
      <c r="BP10" s="84"/>
      <c r="BQ10" s="170"/>
      <c r="BR10" s="84"/>
      <c r="BS10" s="84"/>
      <c r="BT10" s="84"/>
      <c r="BU10" s="170"/>
      <c r="BV10" s="84"/>
      <c r="BW10" s="84"/>
      <c r="BX10" s="84"/>
      <c r="BY10" s="84"/>
      <c r="BZ10" s="84"/>
      <c r="CA10" s="84"/>
      <c r="CB10" s="84"/>
      <c r="CC10" s="84"/>
      <c r="CD10" s="84"/>
      <c r="CE10" s="84"/>
      <c r="CF10" s="84"/>
      <c r="CG10" s="84"/>
      <c r="CH10" s="84"/>
      <c r="CI10" s="84"/>
      <c r="CJ10" s="84"/>
      <c r="CK10" s="84"/>
      <c r="CL10" s="84"/>
      <c r="CM10" s="84"/>
      <c r="CN10" s="84"/>
      <c r="CO10" s="84"/>
      <c r="CP10" s="84"/>
      <c r="CQ10" s="170"/>
      <c r="CR10" s="84"/>
      <c r="CS10" s="84"/>
      <c r="CT10" s="84"/>
      <c r="CU10" s="84"/>
      <c r="CV10" s="84"/>
      <c r="CW10" s="84"/>
      <c r="CX10" s="84"/>
      <c r="CY10" s="84"/>
      <c r="CZ10" s="84"/>
      <c r="DA10" s="84"/>
      <c r="DB10" s="84"/>
      <c r="DC10" s="84"/>
      <c r="DD10" s="84"/>
      <c r="DE10" s="84"/>
      <c r="DF10" s="84"/>
      <c r="DG10" s="84"/>
      <c r="DH10" s="84"/>
      <c r="DI10" s="84"/>
      <c r="DJ10" s="84"/>
      <c r="DK10" s="84"/>
      <c r="DL10" s="84"/>
      <c r="DM10" s="84"/>
      <c r="DN10" s="84"/>
      <c r="DO10" s="84"/>
      <c r="DP10" s="84"/>
      <c r="DQ10" s="84"/>
      <c r="DR10" s="84"/>
      <c r="DS10" s="84"/>
      <c r="DT10" s="166"/>
      <c r="DU10" s="84"/>
      <c r="DV10" s="84"/>
      <c r="DW10" s="84"/>
      <c r="DX10" s="84"/>
      <c r="DY10" s="84"/>
      <c r="DZ10" s="84"/>
      <c r="EA10" s="84"/>
      <c r="EB10" s="84"/>
      <c r="EC10" s="84"/>
      <c r="ED10" s="84"/>
      <c r="EE10" s="182"/>
      <c r="EF10" s="84"/>
      <c r="EG10" s="84"/>
      <c r="EH10" s="84"/>
      <c r="EI10" s="84"/>
      <c r="EJ10" s="84"/>
      <c r="EK10" s="84"/>
      <c r="EL10" s="84"/>
      <c r="EM10" s="84"/>
      <c r="EN10" s="84"/>
      <c r="EO10" s="84"/>
      <c r="EP10" s="84"/>
      <c r="EQ10" s="84"/>
      <c r="ER10" s="84"/>
      <c r="ES10" s="84"/>
      <c r="ET10" s="84"/>
      <c r="EU10" s="84"/>
      <c r="EV10" s="84"/>
      <c r="EW10" s="84"/>
      <c r="EX10" s="84"/>
      <c r="EY10" s="84"/>
      <c r="EZ10" s="84"/>
      <c r="FA10" s="84"/>
      <c r="FB10" s="84"/>
      <c r="FC10" s="84"/>
      <c r="FD10" s="84"/>
      <c r="FE10" s="84"/>
      <c r="FF10" s="84"/>
      <c r="FG10" s="84"/>
      <c r="FH10" s="84"/>
      <c r="FI10" s="84"/>
      <c r="FJ10" s="84"/>
      <c r="FK10" s="84"/>
      <c r="FL10" s="84"/>
      <c r="FM10" s="84"/>
      <c r="FN10" s="84"/>
    </row>
    <row r="11" spans="1:172">
      <c r="A11" s="108">
        <v>1</v>
      </c>
      <c r="B11" s="109" t="s">
        <v>187</v>
      </c>
      <c r="C11" s="109" t="s">
        <v>188</v>
      </c>
      <c r="D11" s="66">
        <f>'MK1-TM'!D19</f>
        <v>89.75</v>
      </c>
      <c r="E11" s="66">
        <f>'MK1-TM'!E19</f>
        <v>89.73</v>
      </c>
      <c r="F11" s="66">
        <f>'MK1-TM'!F19</f>
        <v>90.3</v>
      </c>
      <c r="G11" s="66">
        <f>'MK1-TM'!G19</f>
        <v>60.95</v>
      </c>
      <c r="H11" s="66">
        <f>'MK1-TM'!H19</f>
        <v>61.96</v>
      </c>
      <c r="I11" s="66">
        <f>IFERROR((D11*($D$9/100))+(E11*($E$9/100))+(F11*($F$9/100))+(G11*($G$9/100))+(H11*($H$9/100)),"")</f>
        <v>89.475099999999998</v>
      </c>
      <c r="J11" s="83">
        <f>'MK2-TO'!D19</f>
        <v>71.88</v>
      </c>
      <c r="K11" s="83">
        <f>'MK2-TO'!E19</f>
        <v>70.56</v>
      </c>
      <c r="L11" s="83">
        <f>'MK2-TO'!F19</f>
        <v>75.64</v>
      </c>
      <c r="M11" s="83">
        <f>IFERROR((J11*($J$9/100))+(K11*($K$9/100)+(L11*($L$9/100))),"")</f>
        <v>72.752400000000009</v>
      </c>
      <c r="N11" s="67">
        <f>'MK3-PSTI'!D19</f>
        <v>80.59</v>
      </c>
      <c r="O11" s="67">
        <f>'MK3-PSTI'!E19</f>
        <v>78.09</v>
      </c>
      <c r="P11" s="67">
        <f>'MK3-PSTI'!F19</f>
        <v>78.06</v>
      </c>
      <c r="Q11" s="67">
        <f>IFERROR((N11*($N$9/100))+(O11*($O$9/100))+(P11*($P$9/100)),"")</f>
        <v>78.50030000000001</v>
      </c>
      <c r="R11" s="68">
        <f>IF('MK4-L&amp;A'!D19="","",'MK4-L&amp;A'!D19)</f>
        <v>86.11</v>
      </c>
      <c r="S11" s="68">
        <f>'MK4-L&amp;A'!E19</f>
        <v>83.33</v>
      </c>
      <c r="T11" s="68">
        <f>'MK4-L&amp;A'!F19</f>
        <v>83.67</v>
      </c>
      <c r="U11" s="68">
        <f>IFERROR((R11*($R$9/100))+(S11*($S$9/100))+(T11*($T$9/100)),"")</f>
        <v>83.997</v>
      </c>
      <c r="V11" s="69">
        <f>'MK5-BP'!D19</f>
        <v>69.2</v>
      </c>
      <c r="W11" s="69">
        <f>'MK5-BP'!E19</f>
        <v>68.2</v>
      </c>
      <c r="X11" s="69">
        <f>IFERROR((V11*($V$9/100))+(W11*($W$9/100)),"")</f>
        <v>68.7</v>
      </c>
      <c r="Y11" s="37">
        <f>IF('MK7-MBD'!D18="","",'MK7-MBD'!D18)</f>
        <v>82.55</v>
      </c>
      <c r="Z11" s="37">
        <f>IF('MK7-MBD'!E18="","",'MK7-MBD'!E18)</f>
        <v>82.55</v>
      </c>
      <c r="AA11" s="37">
        <f>IFERROR((Y11*($V$9/100))+(Z11*($W$9/100)),"")</f>
        <v>82.55</v>
      </c>
      <c r="AB11" s="70">
        <f>IF(MK8_BID!D19="","",MK8_BID!D19)</f>
        <v>81.400000000000006</v>
      </c>
      <c r="AC11" s="70">
        <f>IFERROR((AB11*($AB$9/100)),"")</f>
        <v>81.400000000000006</v>
      </c>
      <c r="AE11" s="71">
        <f t="shared" ref="AE11:AE19" si="0">IFERROR((D11*($D$9/100)+J11*($J$9/100)+N11*($N$9/100)+Y11*($Y$9/100)),"")</f>
        <v>85.323599999999999</v>
      </c>
      <c r="AF11" s="72">
        <f>IFERROR(AE11/$AE$8*100,"")</f>
        <v>39.685395348837211</v>
      </c>
      <c r="AG11" s="71"/>
      <c r="AH11" s="72"/>
      <c r="AI11" s="71"/>
      <c r="AJ11" s="72"/>
      <c r="AK11" s="71" t="str">
        <f>IFERROR((#REF!*(#REF!/100)),"")</f>
        <v/>
      </c>
      <c r="AL11" s="72" t="str">
        <f>IFERROR(AK11/$AK$8*100,"")</f>
        <v/>
      </c>
      <c r="AM11" s="72"/>
      <c r="AN11" s="72"/>
      <c r="AO11" s="72"/>
      <c r="AP11" s="72"/>
      <c r="AQ11" s="72"/>
      <c r="AR11" s="72"/>
      <c r="AS11" s="72"/>
      <c r="AT11" s="72"/>
      <c r="AU11" s="71"/>
      <c r="AV11" s="72"/>
      <c r="AW11" s="71"/>
      <c r="AX11" s="72"/>
      <c r="AY11" s="72"/>
      <c r="AZ11" s="72"/>
      <c r="BA11" s="71"/>
      <c r="BB11" s="72"/>
      <c r="BC11" s="71">
        <f t="shared" ref="BC11:BC19" si="1">IFERROR((H11*($H$9/100)+L11*($L$9/100)+P11*($P$9/100)+Z11*($Z$9/100)),"")</f>
        <v>124.51400000000001</v>
      </c>
      <c r="BD11" s="72">
        <f>IFERROR(BC11/$BC$8*100,"")</f>
        <v>76.388957055214732</v>
      </c>
      <c r="BE11" s="2"/>
      <c r="BF11" s="71"/>
      <c r="BI11" s="4">
        <f>IF(Y11="","",IFERROR(Y11*($Y$9/100),""))</f>
        <v>41.274999999999999</v>
      </c>
      <c r="BJ11" s="81">
        <f>IF(BI11="","",BI11/$BI$9)</f>
        <v>0.82550000000000001</v>
      </c>
      <c r="BK11" s="4">
        <f>IFERROR(IF(Z11="","",IFERROR(Z11*($Z$9/100),""))+IF(AB11="","",IFERROR(AB11*($AB$9/100),"")),"")</f>
        <v>122.67500000000001</v>
      </c>
      <c r="BL11" s="81">
        <f>IF(BK11="","",BK11/$BK$9)</f>
        <v>0.81783333333333341</v>
      </c>
      <c r="BM11" s="73"/>
      <c r="BN11" s="81" t="str">
        <f>IF(BM11="","",BM11/$BM$9)</f>
        <v/>
      </c>
      <c r="BO11" s="73">
        <f>IFERROR(IF(D11="","",IFERROR(D11*($D$9/100),""))+IF(N11="","",IFERROR(N11*($N$9/100),"")),"")</f>
        <v>32.547800000000002</v>
      </c>
      <c r="BP11" s="81">
        <f>IF(BO11="","",BO11/$BO$9)</f>
        <v>0.85652105263157896</v>
      </c>
      <c r="BQ11" s="73">
        <f>IF(E11="","",IFERROR(E11*($E$9/100),""))</f>
        <v>19.740600000000001</v>
      </c>
      <c r="BR11" s="79">
        <f>IF(BQ11="","",BQ11/$BQ$9)</f>
        <v>0.89729999999999999</v>
      </c>
      <c r="BS11" s="73">
        <f>IFERROR(IF(F11="","",IFERROR(F11*($F$9/100),""))+IF(R11="","",IFERROR(R11*($R$9/100),"")),"")</f>
        <v>36.268799999999999</v>
      </c>
      <c r="BT11" s="79">
        <f>IF(BS11="","",BS11/$BS$9)</f>
        <v>0.88460487804878041</v>
      </c>
      <c r="BU11" s="73">
        <f>IFERROR(IF(G11="","",IFERROR(G11*($G$9/100),""))+IF(O11="","",IFERROR(O11*($O$9/100),""))+IF(S11="","",IFERROR(S11*($S$9/100),"")),"")</f>
        <v>68.677500000000009</v>
      </c>
      <c r="BV11" s="79">
        <f>IF(BU11="","",BU11/$BU$9)</f>
        <v>0.75469780219780225</v>
      </c>
      <c r="BW11" s="184">
        <f>IFERROR(IF(H11="","",IFERROR(H11*($H$9/100),""))+IF(P11="","",IFERROR(P11*($P$9/100),""))+IF(T11="","",IFERROR(T11*($T$9/100),"")),"")</f>
        <v>94.737700000000004</v>
      </c>
      <c r="BX11" s="79">
        <f>IF(BW11="","",BW11/$BW$9)</f>
        <v>0.77022520325203259</v>
      </c>
      <c r="BY11" s="4"/>
      <c r="BZ11" s="4"/>
      <c r="CA11" s="73"/>
      <c r="CB11" s="81" t="str">
        <f>IF(CA11="","",CA11/$CA$9)</f>
        <v/>
      </c>
      <c r="CC11" s="73"/>
      <c r="CD11" s="81"/>
      <c r="CE11" s="73">
        <f>IF(V11="","",IFERROR(V11*($V$9/100),""))</f>
        <v>34.6</v>
      </c>
      <c r="CF11" s="81">
        <f>IF(CE11="","",CE11/$CE$9)</f>
        <v>0.69200000000000006</v>
      </c>
      <c r="CG11" s="4">
        <f>IF(W11="","",IFERROR(W11*($W$9/100),""))</f>
        <v>34.1</v>
      </c>
      <c r="CH11" s="79">
        <f>IF(CG11="","",CG11/$CG$9)</f>
        <v>0.68200000000000005</v>
      </c>
      <c r="CI11" s="4"/>
      <c r="CJ11" s="4"/>
      <c r="CK11" s="4"/>
      <c r="CL11" s="4"/>
      <c r="CM11" s="4"/>
      <c r="CN11" s="4"/>
      <c r="CO11" s="4"/>
      <c r="CP11" s="4"/>
      <c r="CQ11" s="73"/>
      <c r="CR11" s="79" t="str">
        <f>IF(CQ11="","",CQ11/$CQ$9)</f>
        <v/>
      </c>
      <c r="CS11" s="4"/>
      <c r="CT11" s="79" t="str">
        <f>IF(CS11="","",CS11/$CS$9)</f>
        <v/>
      </c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/>
      <c r="DL11" s="4"/>
      <c r="DM11" s="4"/>
      <c r="DN11" s="4"/>
      <c r="DO11" s="4"/>
      <c r="DP11" s="4"/>
      <c r="DQ11" s="4"/>
      <c r="DR11" s="4"/>
      <c r="DS11" s="73"/>
      <c r="DT11" s="79" t="str">
        <f>IF(DS11="","",DS11/$DS$9)</f>
        <v/>
      </c>
      <c r="DU11" s="4"/>
      <c r="DV11" s="4"/>
      <c r="DW11" s="4"/>
      <c r="DX11" s="4"/>
      <c r="DY11" s="73"/>
      <c r="DZ11" s="81" t="str">
        <f>IF(DY11="","",DY11/$DY$9)</f>
        <v/>
      </c>
      <c r="EA11" s="73"/>
      <c r="EB11" s="81"/>
      <c r="EC11" s="73">
        <f>IF(J11="","",IFERROR(J11*($J$9/100),""))</f>
        <v>11.5008</v>
      </c>
      <c r="ED11" s="81">
        <f>IF(EC11="","",EC11/$EC$9)</f>
        <v>0.71879999999999999</v>
      </c>
      <c r="EE11" s="72"/>
      <c r="EF11" s="81" t="str">
        <f>IF(EE11="","",EE11/$EE$9)</f>
        <v/>
      </c>
      <c r="EG11" s="183"/>
      <c r="EH11" s="81" t="str">
        <f>IF(EG11="","",EG11/$EG$9)</f>
        <v/>
      </c>
      <c r="EI11" s="72">
        <f>IF(K11="","",IFERROR(K11*($K$9/100),""))</f>
        <v>31.752000000000002</v>
      </c>
      <c r="EJ11" s="81">
        <f>IF(EI11="","",EI11/$EI$9)</f>
        <v>0.7056</v>
      </c>
      <c r="EK11" s="4"/>
      <c r="EL11" s="4"/>
      <c r="EM11" s="73">
        <f>IF(L11="","",IFERROR(L11*($L$9/100),""))</f>
        <v>29.499600000000001</v>
      </c>
      <c r="EN11" s="79">
        <f>IF(EM11="","",EM11/$EM$9)</f>
        <v>0.75640000000000007</v>
      </c>
      <c r="EO11" s="4"/>
      <c r="EP11" s="4"/>
      <c r="EQ11" s="4"/>
      <c r="ER11" s="4"/>
      <c r="ES11" s="4"/>
      <c r="ET11" s="79" t="str">
        <f>IF(ES11="","",ES11/$ES$9)</f>
        <v/>
      </c>
      <c r="EU11" s="4"/>
      <c r="EV11" s="79" t="str">
        <f>IF(EU11="","",EU11/$EU$9)</f>
        <v/>
      </c>
      <c r="EW11" s="73" t="str">
        <f>IFERROR(IF(#REF!="","",IFERROR(#REF!*(#REF!/100),"")),"")</f>
        <v/>
      </c>
      <c r="EX11" s="81" t="str">
        <f>IF(EW11="","",EW11/$EW$9)</f>
        <v/>
      </c>
      <c r="EY11" s="72"/>
      <c r="EZ11" s="81"/>
      <c r="FA11" s="72"/>
      <c r="FB11" s="81"/>
      <c r="FC11" s="81"/>
      <c r="FD11" s="81"/>
      <c r="FE11" s="73" t="str">
        <f>IFERROR(IF(#REF!="","",IFERROR(#REF!*(#REF!/100),""))+IF(#REF!="","",IFERROR(#REF!*(#REF!/100),"")),"")</f>
        <v/>
      </c>
      <c r="FF11" s="81" t="str">
        <f>IF(FE11="","",FE11/$FE$9)</f>
        <v/>
      </c>
      <c r="FG11" s="170">
        <f t="shared" ref="FG11:FG19" si="2">IFERROR(IF(H11="","",IFERROR(H11*($H$9/100),""))+IF(L11="","",IFERROR(L11*($L$9/100),""))+IF(P11="","",IFERROR(P11*($P$9/100),""))+IF(Z11="","",IFERROR(Z11*($Z$9/100),"")),"")</f>
        <v>124.51400000000001</v>
      </c>
      <c r="FH11" s="171">
        <f>IF(FG11="","",FG11/$FG$9)</f>
        <v>0.76388957055214735</v>
      </c>
      <c r="FI11" s="84"/>
      <c r="FJ11" s="84"/>
      <c r="FK11" s="170" t="str">
        <f>IFERROR(IF(#REF!="","",IFERROR(#REF!*(#REF!/100),""))+IF(#REF!="","",IFERROR(#REF!*(#REF!/100),"")),"")</f>
        <v/>
      </c>
      <c r="FL11" s="171" t="str">
        <f>IF(FK11="","",FK11/$FK$9)</f>
        <v/>
      </c>
      <c r="FM11" s="170" t="str">
        <f>IFERROR(IF(#REF!="","",IFERROR(#REF!*(#REF!/100),"")),"")</f>
        <v/>
      </c>
      <c r="FN11" s="171" t="str">
        <f>IF(FM11="","",FM11/$FM$9)</f>
        <v/>
      </c>
      <c r="FO11" s="169">
        <f t="shared" ref="FO11:FO19" si="3">SUM(BI11:FM11)</f>
        <v>692.01417184001582</v>
      </c>
      <c r="FP11" s="93" t="e">
        <f>FO11/$FO$9</f>
        <v>#REF!</v>
      </c>
    </row>
    <row r="12" spans="1:172">
      <c r="A12" s="108">
        <v>2</v>
      </c>
      <c r="B12" s="109" t="s">
        <v>189</v>
      </c>
      <c r="C12" s="109" t="s">
        <v>357</v>
      </c>
      <c r="D12" s="66">
        <f>'MK1-TM'!D20</f>
        <v>92.5</v>
      </c>
      <c r="E12" s="66">
        <f>'MK1-TM'!E20</f>
        <v>93</v>
      </c>
      <c r="F12" s="66">
        <f>'MK1-TM'!F20</f>
        <v>92.25</v>
      </c>
      <c r="G12" s="66">
        <f>'MK1-TM'!G20</f>
        <v>80.91</v>
      </c>
      <c r="H12" s="66">
        <f>'MK1-TM'!H20</f>
        <v>82.96</v>
      </c>
      <c r="I12" s="66">
        <f t="shared" ref="I12:I46" si="4">IFERROR((D12*($D$9/100))+(E12*($E$9/100))+(F12*($F$9/100))+(G12*($G$9/100))+(H12*($H$9/100)),"")</f>
        <v>101.26090000000001</v>
      </c>
      <c r="J12" s="83">
        <f>'MK2-TO'!D20</f>
        <v>83.75</v>
      </c>
      <c r="K12" s="83">
        <f>'MK2-TO'!E20</f>
        <v>80.22</v>
      </c>
      <c r="L12" s="83">
        <f>'MK2-TO'!F20</f>
        <v>74.62</v>
      </c>
      <c r="M12" s="83">
        <f t="shared" ref="M12:M46" si="5">IFERROR((J12*($J$9/100))+(K12*($K$9/100)+(L12*($L$9/100))),"")</f>
        <v>78.600800000000021</v>
      </c>
      <c r="N12" s="67">
        <f>'MK3-PSTI'!D20</f>
        <v>77.06</v>
      </c>
      <c r="O12" s="67">
        <f>'MK3-PSTI'!E20</f>
        <v>73.97</v>
      </c>
      <c r="P12" s="67">
        <f>'MK3-PSTI'!F20</f>
        <v>79.180000000000007</v>
      </c>
      <c r="Q12" s="67">
        <f t="shared" ref="Q12:Q46" si="6">IFERROR((N12*($N$9/100))+(O12*($O$9/100))+(P12*($P$9/100)),"")</f>
        <v>77.048200000000008</v>
      </c>
      <c r="R12" s="68">
        <f>IF('MK4-L&amp;A'!D20="","",'MK4-L&amp;A'!D20)</f>
        <v>91.67</v>
      </c>
      <c r="S12" s="68">
        <f>'MK4-L&amp;A'!E20</f>
        <v>90.91</v>
      </c>
      <c r="T12" s="68">
        <f>'MK4-L&amp;A'!F20</f>
        <v>90.82</v>
      </c>
      <c r="U12" s="68">
        <f t="shared" ref="U12:U46" si="7">IFERROR((R12*($R$9/100))+(S12*($S$9/100))+(T12*($T$9/100)),"")</f>
        <v>91.002700000000004</v>
      </c>
      <c r="V12" s="69">
        <f>'MK5-BP'!D20</f>
        <v>82</v>
      </c>
      <c r="W12" s="69">
        <f>'MK5-BP'!E20</f>
        <v>82</v>
      </c>
      <c r="X12" s="69">
        <f t="shared" ref="X12:X46" si="8">IFERROR((V12*($V$9/100))+(W12*($W$9/100)),"")</f>
        <v>82</v>
      </c>
      <c r="Y12" s="37">
        <f>IF('MK7-MBD'!D19="","",'MK7-MBD'!D19)</f>
        <v>83.6</v>
      </c>
      <c r="Z12" s="37">
        <f>IF('MK7-MBD'!E19="","",'MK7-MBD'!E19)</f>
        <v>83.6</v>
      </c>
      <c r="AA12" s="37">
        <f t="shared" ref="AA12:AA46" si="9">IFERROR((Y12*($V$9/100))+(Z12*($W$9/100)),"")</f>
        <v>83.6</v>
      </c>
      <c r="AB12" s="70">
        <f>IF(MK8_BID!D20="","",MK8_BID!D20)</f>
        <v>76.900000000000006</v>
      </c>
      <c r="AC12" s="70">
        <f t="shared" ref="AC12:AC46" si="10">IFERROR((AB12*($AB$9/100)),"")</f>
        <v>76.900000000000006</v>
      </c>
      <c r="AE12" s="71">
        <f t="shared" si="0"/>
        <v>87.725200000000001</v>
      </c>
      <c r="AF12" s="72">
        <f>IFERROR(AE12/$AE$8*100,"")</f>
        <v>40.802418604651166</v>
      </c>
      <c r="AG12" s="71" t="str">
        <f>IFERROR((#REF!*(#REF!/100)),"")</f>
        <v/>
      </c>
      <c r="AH12" s="72" t="str">
        <f t="shared" ref="AH12:AH46" si="11">IFERROR(AG12/$AG$8*100,"")</f>
        <v/>
      </c>
      <c r="AI12" s="71">
        <f t="shared" ref="AI12:AI19" si="12">IFERROR((R12*($R$9/100)+V12*($V$9/100)),"")</f>
        <v>57.500599999999999</v>
      </c>
      <c r="AJ12" s="72">
        <f t="shared" ref="AJ12:AJ45" si="13">IFERROR(AI12/$AI$8*100,"")</f>
        <v>84.559705882352944</v>
      </c>
      <c r="AK12" s="71" t="str">
        <f>IFERROR((#REF!*(#REF!/100)),"")</f>
        <v/>
      </c>
      <c r="AL12" s="72" t="str">
        <f t="shared" ref="AL12:AL46" si="14">IFERROR(AK12/$AK$8*100,"")</f>
        <v/>
      </c>
      <c r="AM12" s="72"/>
      <c r="AN12" s="72"/>
      <c r="AO12" s="72"/>
      <c r="AP12" s="72"/>
      <c r="AQ12" s="72"/>
      <c r="AR12" s="72"/>
      <c r="AS12" s="72"/>
      <c r="AT12" s="72"/>
      <c r="AU12" s="71">
        <f t="shared" ref="AU12:AU19" si="15">IFERROR((T12*($T$9/100)+W12*($W$9/100)),"")</f>
        <v>85.501800000000003</v>
      </c>
      <c r="AV12" s="72">
        <f>IFERROR(AU12/$AU$8*100,"")</f>
        <v>86.36545454545454</v>
      </c>
      <c r="AW12" s="71" t="str">
        <f>IFERROR((AB12*($AB$9/100)+#REF!*(#REF!/100)+#REF!*(#REF!/100)),"")</f>
        <v/>
      </c>
      <c r="AX12" s="72" t="str">
        <f t="shared" ref="AX12:AX46" si="16">IFERROR(AW12/$AW$8*100,"")</f>
        <v/>
      </c>
      <c r="AY12" s="72"/>
      <c r="AZ12" s="72"/>
      <c r="BA12" s="71" t="str">
        <f>IFERROR((#REF!*(#REF!/100)+#REF!*(#REF!/100)+#REF!*(#REF!/100)),"")</f>
        <v/>
      </c>
      <c r="BB12" s="72" t="str">
        <f>IFERROR(BA12/$BA$8*100,"")</f>
        <v/>
      </c>
      <c r="BC12" s="71">
        <f t="shared" si="1"/>
        <v>130.44</v>
      </c>
      <c r="BD12" s="72">
        <f>IFERROR(BC12/$BC$8*100,"")</f>
        <v>80.024539877300612</v>
      </c>
      <c r="BE12" s="2" t="str">
        <f>IFERROR((#REF!*(#REF!/100)+(#REF!*(#REF!/100))+(#REF!*(#REF!/100))),"")</f>
        <v/>
      </c>
      <c r="BF12" s="71" t="str">
        <f>IFERROR(BE12/$BE$8*100,"")</f>
        <v/>
      </c>
      <c r="BI12" s="4">
        <f t="shared" ref="BI12:BI46" si="17">IF(Y12="","",IFERROR(Y12*($Y$9/100),""))</f>
        <v>41.8</v>
      </c>
      <c r="BJ12" s="81">
        <f>IF(BI12="","",BI12/$BI$9)</f>
        <v>0.83599999999999997</v>
      </c>
      <c r="BK12" s="4">
        <f t="shared" ref="BK12:BK46" si="18">IFERROR(IF(Z12="","",IFERROR(Z12*($Z$9/100),""))+IF(AB12="","",IFERROR(AB12*($AB$9/100),"")),"")</f>
        <v>118.7</v>
      </c>
      <c r="BL12" s="81">
        <f>IF(BK12="","",BK12/$BK$9)</f>
        <v>0.79133333333333333</v>
      </c>
      <c r="BM12" s="73"/>
      <c r="BN12" s="81" t="str">
        <f>IF(BM12="","",BM12/$BM$9)</f>
        <v/>
      </c>
      <c r="BO12" s="73">
        <f t="shared" ref="BO12:BO44" si="19">IFERROR(IF(D12="","",IFERROR(D12*($D$9/100),""))+IF(N12="","",IFERROR(N12*($N$9/100),"")),"")</f>
        <v>32.525199999999998</v>
      </c>
      <c r="BP12" s="81">
        <f t="shared" ref="BP12:BP44" si="20">IF(BO12="","",BO12/$BO$9)</f>
        <v>0.85592631578947365</v>
      </c>
      <c r="BQ12" s="73">
        <f t="shared" ref="BQ12:BQ44" si="21">IF(E12="","",IFERROR(E12*($E$9/100),""))</f>
        <v>20.46</v>
      </c>
      <c r="BR12" s="79">
        <f t="shared" ref="BR12:BR44" si="22">IF(BQ12="","",BQ12/$BQ$9)</f>
        <v>0.93</v>
      </c>
      <c r="BS12" s="73">
        <f>IFERROR(IF(F12="","",IFERROR(F12*($F$9/100),""))+IF(R12="","",IFERROR(R12*($R$9/100),"")),"")</f>
        <v>37.7181</v>
      </c>
      <c r="BT12" s="79">
        <f t="shared" ref="BT12:BT44" si="23">IF(BS12="","",BS12/$BS$9)</f>
        <v>0.91995365853658539</v>
      </c>
      <c r="BU12" s="73">
        <f t="shared" ref="BU12:BU44" si="24">IFERROR(IF(G12="","",IFERROR(G12*($G$9/100),""))+IF(O12="","",IFERROR(O12*($O$9/100),""))+IF(S12="","",IFERROR(S12*($S$9/100),"")),"")</f>
        <v>74.5685</v>
      </c>
      <c r="BV12" s="79">
        <f t="shared" ref="BV12:BV44" si="25">IF(BU12="","",BU12/$BU$9)</f>
        <v>0.81943406593406598</v>
      </c>
      <c r="BW12" s="184">
        <f t="shared" ref="BW12:BW44" si="26">IFERROR(IF(H12="","",IFERROR(H12*($H$9/100),""))+IF(P12="","",IFERROR(P12*($P$9/100),""))+IF(T12="","",IFERROR(T12*($T$9/100),"")),"")</f>
        <v>104.03999999999999</v>
      </c>
      <c r="BX12" s="79">
        <f t="shared" ref="BX12:BX44" si="27">IF(BW12="","",BW12/$BW$9)</f>
        <v>0.84585365853658534</v>
      </c>
      <c r="BY12" s="4"/>
      <c r="BZ12" s="4"/>
      <c r="CA12" s="73"/>
      <c r="CB12" s="81" t="str">
        <f t="shared" ref="CB12:CB46" si="28">IF(CA12="","",CA12/$CA$9)</f>
        <v/>
      </c>
      <c r="CC12" s="73"/>
      <c r="CD12" s="81"/>
      <c r="CE12" s="73">
        <f t="shared" ref="CE12:CE44" si="29">IF(V12="","",IFERROR(V12*($V$9/100),""))</f>
        <v>41</v>
      </c>
      <c r="CF12" s="81">
        <f t="shared" ref="CF12:CF38" si="30">IF(CE12="","",CE12/$CE$9)</f>
        <v>0.82</v>
      </c>
      <c r="CG12" s="4">
        <f t="shared" ref="CG12:CG44" si="31">IF(W12="","",IFERROR(W12*($W$9/100),""))</f>
        <v>41</v>
      </c>
      <c r="CH12" s="79">
        <f t="shared" ref="CH12:CH46" si="32">IF(CG12="","",CG12/$CG$9)</f>
        <v>0.82</v>
      </c>
      <c r="CI12" s="4"/>
      <c r="CJ12" s="4"/>
      <c r="CK12" s="4"/>
      <c r="CL12" s="4"/>
      <c r="CM12" s="4"/>
      <c r="CN12" s="4"/>
      <c r="CO12" s="4"/>
      <c r="CP12" s="4"/>
      <c r="CQ12" s="73"/>
      <c r="CR12" s="79" t="str">
        <f t="shared" ref="CR12:CR57" si="33">IF(CQ12="","",CQ12/$CQ$9)</f>
        <v/>
      </c>
      <c r="CS12" s="4"/>
      <c r="CT12" s="79" t="str">
        <f t="shared" ref="CT12:CT57" si="34">IF(CS12="","",CS12/$CS$9)</f>
        <v/>
      </c>
      <c r="CU12" s="4"/>
      <c r="CV12" s="4"/>
      <c r="CW12" s="4"/>
      <c r="CX12" s="4"/>
      <c r="CY12" s="4"/>
      <c r="CZ12" s="4"/>
      <c r="DA12" s="4"/>
      <c r="DB12" s="4"/>
      <c r="DC12" s="4"/>
      <c r="DD12" s="4"/>
      <c r="DE12" s="4"/>
      <c r="DF12" s="4"/>
      <c r="DG12" s="4"/>
      <c r="DH12" s="4"/>
      <c r="DI12" s="4"/>
      <c r="DJ12" s="4"/>
      <c r="DK12" s="4"/>
      <c r="DL12" s="4"/>
      <c r="DM12" s="4"/>
      <c r="DN12" s="4"/>
      <c r="DO12" s="4"/>
      <c r="DP12" s="4"/>
      <c r="DQ12" s="4"/>
      <c r="DR12" s="4"/>
      <c r="DS12" s="73"/>
      <c r="DT12" s="79" t="str">
        <f t="shared" ref="DT12:DT58" si="35">IF(DS12="","",DS12/$DS$9)</f>
        <v/>
      </c>
      <c r="DU12" s="4"/>
      <c r="DV12" s="4"/>
      <c r="DW12" s="4"/>
      <c r="DX12" s="4"/>
      <c r="DY12" s="73"/>
      <c r="DZ12" s="81" t="str">
        <f t="shared" ref="DZ12:DZ46" si="36">IF(DY12="","",DY12/$DY$9)</f>
        <v/>
      </c>
      <c r="EA12" s="73"/>
      <c r="EB12" s="81"/>
      <c r="EC12" s="73">
        <f t="shared" ref="EC12:EC36" si="37">IF(J12="","",IFERROR(J12*($J$9/100),""))</f>
        <v>13.4</v>
      </c>
      <c r="ED12" s="81">
        <f t="shared" ref="ED12:ED44" si="38">IF(EC12="","",EC12/$EC$9)</f>
        <v>0.83750000000000002</v>
      </c>
      <c r="EE12" s="72"/>
      <c r="EF12" s="81" t="str">
        <f t="shared" ref="EF12:EF58" si="39">IF(EE12="","",EE12/$EE$9)</f>
        <v/>
      </c>
      <c r="EG12" s="183"/>
      <c r="EH12" s="81" t="str">
        <f t="shared" ref="EH12:EH57" si="40">IF(EG12="","",EG12/$EG$9)</f>
        <v/>
      </c>
      <c r="EI12" s="72">
        <f t="shared" ref="EI12:EI35" si="41">IF(K12="","",IFERROR(K12*($K$9/100),""))</f>
        <v>36.099000000000004</v>
      </c>
      <c r="EJ12" s="81">
        <f t="shared" ref="EJ12:EJ44" si="42">IF(EI12="","",EI12/$EI$9)</f>
        <v>0.80220000000000014</v>
      </c>
      <c r="EK12" s="4"/>
      <c r="EL12" s="4"/>
      <c r="EM12" s="73">
        <f t="shared" ref="EM12:EM35" si="43">IF(L12="","",IFERROR(L12*($L$9/100),""))</f>
        <v>29.101800000000004</v>
      </c>
      <c r="EN12" s="79">
        <f t="shared" ref="EN12:EN44" si="44">IF(EM12="","",EM12/$EM$9)</f>
        <v>0.74620000000000009</v>
      </c>
      <c r="EO12" s="4"/>
      <c r="EP12" s="4" t="str">
        <f t="shared" ref="EP12:EP60" si="45">IF(EO12="","",EO12/$EO$9)</f>
        <v/>
      </c>
      <c r="EQ12" s="4"/>
      <c r="ER12" s="4"/>
      <c r="ES12" s="4"/>
      <c r="ET12" s="79" t="str">
        <f t="shared" ref="ET12:ET57" si="46">IF(ES12="","",ES12/$ES$9)</f>
        <v/>
      </c>
      <c r="EU12" s="4"/>
      <c r="EV12" s="79" t="str">
        <f t="shared" ref="EV12:EV57" si="47">IF(EU12="","",EU12/$EU$9)</f>
        <v/>
      </c>
      <c r="EW12" s="73" t="str">
        <f>IFERROR(IF(#REF!="","",IFERROR(#REF!*(#REF!/100),"")),"")</f>
        <v/>
      </c>
      <c r="EX12" s="81" t="str">
        <f t="shared" ref="EX12:EX46" si="48">IF(EW12="","",EW12/$EW$9)</f>
        <v/>
      </c>
      <c r="EY12" s="72"/>
      <c r="EZ12" s="81"/>
      <c r="FA12" s="72"/>
      <c r="FB12" s="81"/>
      <c r="FC12" s="81"/>
      <c r="FD12" s="81"/>
      <c r="FE12" s="73" t="str">
        <f>IFERROR(IF(#REF!="","",IFERROR(#REF!*(#REF!/100),""))+IF(#REF!="","",IFERROR(#REF!*(#REF!/100),"")),"")</f>
        <v/>
      </c>
      <c r="FF12" s="81" t="str">
        <f t="shared" ref="FF12:FF46" si="49">IF(FE12="","",FE12/$FE$9)</f>
        <v/>
      </c>
      <c r="FG12" s="170">
        <f t="shared" si="2"/>
        <v>130.44</v>
      </c>
      <c r="FH12" s="171">
        <f t="shared" ref="FH12:FH46" si="50">IF(FG12="","",FG12/$FG$9)</f>
        <v>0.80024539877300616</v>
      </c>
      <c r="FI12" s="84"/>
      <c r="FJ12" s="84"/>
      <c r="FK12" s="170" t="str">
        <f>IFERROR(IF(#REF!="","",IFERROR(#REF!*(#REF!/100),""))+IF(#REF!="","",IFERROR(#REF!*(#REF!/100),"")),"")</f>
        <v/>
      </c>
      <c r="FL12" s="171" t="str">
        <f t="shared" ref="FL12:FL46" si="51">IF(FK12="","",FK12/$FK$9)</f>
        <v/>
      </c>
      <c r="FM12" s="170" t="str">
        <f>IFERROR(IF(#REF!="","",IFERROR(#REF!*(#REF!/100),"")),"")</f>
        <v/>
      </c>
      <c r="FN12" s="171" t="str">
        <f t="shared" ref="FN12:FN46" si="52">IF(FM12="","",FM12/$FM$9)</f>
        <v/>
      </c>
      <c r="FO12" s="169">
        <f t="shared" si="3"/>
        <v>731.67724643090321</v>
      </c>
      <c r="FP12" s="93" t="e">
        <f t="shared" ref="FP12:FP45" si="53">FO12/$FO$9</f>
        <v>#REF!</v>
      </c>
    </row>
    <row r="13" spans="1:172">
      <c r="A13" s="108">
        <v>3</v>
      </c>
      <c r="B13" s="109" t="s">
        <v>191</v>
      </c>
      <c r="C13" s="109" t="s">
        <v>192</v>
      </c>
      <c r="D13" s="66">
        <f>'MK1-TM'!D21</f>
        <v>75.63</v>
      </c>
      <c r="E13" s="66">
        <f>'MK1-TM'!E21</f>
        <v>74.67</v>
      </c>
      <c r="F13" s="66">
        <f>'MK1-TM'!F21</f>
        <v>72.25</v>
      </c>
      <c r="G13" s="66">
        <f>'MK1-TM'!G21</f>
        <v>66.819999999999993</v>
      </c>
      <c r="H13" s="66">
        <f>'MK1-TM'!H21</f>
        <v>67.59</v>
      </c>
      <c r="I13" s="66">
        <f t="shared" si="4"/>
        <v>81.861500000000007</v>
      </c>
      <c r="J13" s="83">
        <f>'MK2-TO'!D21</f>
        <v>68.75</v>
      </c>
      <c r="K13" s="83">
        <f>'MK2-TO'!E21</f>
        <v>65.56</v>
      </c>
      <c r="L13" s="83">
        <f>'MK2-TO'!F21</f>
        <v>67.95</v>
      </c>
      <c r="M13" s="83">
        <f t="shared" si="5"/>
        <v>67.002499999999998</v>
      </c>
      <c r="N13" s="67">
        <f>'MK3-PSTI'!D21</f>
        <v>76.47</v>
      </c>
      <c r="O13" s="67">
        <f>'MK3-PSTI'!E21</f>
        <v>73.53</v>
      </c>
      <c r="P13" s="67">
        <f>'MK3-PSTI'!F21</f>
        <v>74.08</v>
      </c>
      <c r="Q13" s="67">
        <f t="shared" si="6"/>
        <v>74.299300000000002</v>
      </c>
      <c r="R13" s="68">
        <f>IF('MK4-L&amp;A'!D21="","",'MK4-L&amp;A'!D21)</f>
        <v>86.11</v>
      </c>
      <c r="S13" s="68">
        <f>'MK4-L&amp;A'!E21</f>
        <v>83.33</v>
      </c>
      <c r="T13" s="68">
        <f>'MK4-L&amp;A'!F21</f>
        <v>80.099999999999994</v>
      </c>
      <c r="U13" s="68">
        <f t="shared" si="7"/>
        <v>82.247699999999995</v>
      </c>
      <c r="V13" s="69">
        <f>'MK5-BP'!D21</f>
        <v>68.099999999999994</v>
      </c>
      <c r="W13" s="69">
        <f>'MK5-BP'!E21</f>
        <v>67.599999999999994</v>
      </c>
      <c r="X13" s="69">
        <f t="shared" si="8"/>
        <v>67.849999999999994</v>
      </c>
      <c r="Y13" s="37">
        <f>IF('MK7-MBD'!D20="","",'MK7-MBD'!D20)</f>
        <v>90.5</v>
      </c>
      <c r="Z13" s="37">
        <f>IF('MK7-MBD'!E20="","",'MK7-MBD'!E20)</f>
        <v>90.5</v>
      </c>
      <c r="AA13" s="37">
        <f t="shared" si="9"/>
        <v>90.5</v>
      </c>
      <c r="AB13" s="70">
        <f>IF(MK8_BID!D21="","",MK8_BID!D21)</f>
        <v>76.900000000000006</v>
      </c>
      <c r="AC13" s="70">
        <f t="shared" si="10"/>
        <v>76.900000000000006</v>
      </c>
      <c r="AE13" s="71">
        <f t="shared" si="0"/>
        <v>85.132199999999997</v>
      </c>
      <c r="AF13" s="72">
        <f t="shared" ref="AF13:AF46" si="54">IFERROR(AE13/$AE$8*100,"")</f>
        <v>39.596372093023255</v>
      </c>
      <c r="AG13" s="71" t="str">
        <f>IFERROR((#REF!*(#REF!/100)),"")</f>
        <v/>
      </c>
      <c r="AH13" s="72" t="str">
        <f t="shared" si="11"/>
        <v/>
      </c>
      <c r="AI13" s="71">
        <f t="shared" si="12"/>
        <v>49.549799999999998</v>
      </c>
      <c r="AJ13" s="72">
        <f t="shared" si="13"/>
        <v>72.867352941176463</v>
      </c>
      <c r="AK13" s="71" t="str">
        <f>IFERROR((#REF!*(#REF!/100)),"")</f>
        <v/>
      </c>
      <c r="AL13" s="72" t="str">
        <f t="shared" si="14"/>
        <v/>
      </c>
      <c r="AM13" s="72"/>
      <c r="AN13" s="72"/>
      <c r="AO13" s="72"/>
      <c r="AP13" s="72"/>
      <c r="AQ13" s="72"/>
      <c r="AR13" s="72"/>
      <c r="AS13" s="72"/>
      <c r="AT13" s="72"/>
      <c r="AU13" s="71">
        <f t="shared" si="15"/>
        <v>73.048999999999992</v>
      </c>
      <c r="AV13" s="72">
        <f t="shared" ref="AV13:AV45" si="55">IFERROR(AU13/$AU$8*100,"")</f>
        <v>73.786868686868672</v>
      </c>
      <c r="AW13" s="71" t="str">
        <f>IFERROR((AB13*($AB$9/100)+#REF!*(#REF!/100)+#REF!*(#REF!/100)),"")</f>
        <v/>
      </c>
      <c r="AX13" s="72" t="str">
        <f t="shared" si="16"/>
        <v/>
      </c>
      <c r="AY13" s="72"/>
      <c r="AZ13" s="72"/>
      <c r="BA13" s="71" t="str">
        <f>IFERROR((#REF!*(#REF!/100)+#REF!*(#REF!/100)+#REF!*(#REF!/100)),"")</f>
        <v/>
      </c>
      <c r="BB13" s="72" t="str">
        <f t="shared" ref="BB13:BB46" si="56">IFERROR(BA13/$BA$8*100,"")</f>
        <v/>
      </c>
      <c r="BC13" s="71">
        <f t="shared" si="1"/>
        <v>124.94720000000001</v>
      </c>
      <c r="BD13" s="72">
        <f t="shared" ref="BD13:BD46" si="57">IFERROR(BC13/$BC$8*100,"")</f>
        <v>76.65472392638037</v>
      </c>
      <c r="BE13" s="2" t="str">
        <f>IFERROR((#REF!*(#REF!/100)+(#REF!*(#REF!/100))+(#REF!*(#REF!/100))),"")</f>
        <v/>
      </c>
      <c r="BF13" s="71" t="str">
        <f t="shared" ref="BF13:BF46" si="58">IFERROR(BE13/$BE$8*100,"")</f>
        <v/>
      </c>
      <c r="BI13" s="4">
        <f t="shared" si="17"/>
        <v>45.25</v>
      </c>
      <c r="BJ13" s="81">
        <f t="shared" ref="BJ13:BJ46" si="59">IF(BI13="","",BI13/$BI$9)</f>
        <v>0.90500000000000003</v>
      </c>
      <c r="BK13" s="4">
        <f t="shared" si="18"/>
        <v>122.15</v>
      </c>
      <c r="BL13" s="81">
        <f t="shared" ref="BL13:BL46" si="60">IF(BK13="","",BK13/$BK$9)</f>
        <v>0.81433333333333335</v>
      </c>
      <c r="BM13" s="73"/>
      <c r="BN13" s="81" t="str">
        <f t="shared" ref="BN13:BN46" si="61">IF(BM13="","",BM13/$BM$9)</f>
        <v/>
      </c>
      <c r="BO13" s="73">
        <f t="shared" si="19"/>
        <v>28.882199999999997</v>
      </c>
      <c r="BP13" s="81">
        <f t="shared" si="20"/>
        <v>0.76005789473684204</v>
      </c>
      <c r="BQ13" s="73">
        <f t="shared" si="21"/>
        <v>16.427400000000002</v>
      </c>
      <c r="BR13" s="79">
        <f t="shared" si="22"/>
        <v>0.74670000000000014</v>
      </c>
      <c r="BS13" s="73">
        <f>IFERROR(IF(F13="","",IFERROR(F13*($F$9/100),""))+IF(R13="","",IFERROR(R13*($R$9/100),"")),"")</f>
        <v>32.1173</v>
      </c>
      <c r="BT13" s="79">
        <f t="shared" si="23"/>
        <v>0.78334878048780487</v>
      </c>
      <c r="BU13" s="73">
        <f t="shared" si="24"/>
        <v>68.535899999999998</v>
      </c>
      <c r="BV13" s="79">
        <f t="shared" si="25"/>
        <v>0.75314175824175822</v>
      </c>
      <c r="BW13" s="184">
        <f t="shared" si="26"/>
        <v>92.445699999999988</v>
      </c>
      <c r="BX13" s="79">
        <f t="shared" si="27"/>
        <v>0.75159105691056904</v>
      </c>
      <c r="BY13" s="4"/>
      <c r="BZ13" s="4"/>
      <c r="CA13" s="73"/>
      <c r="CB13" s="81" t="str">
        <f t="shared" si="28"/>
        <v/>
      </c>
      <c r="CC13" s="73"/>
      <c r="CD13" s="81"/>
      <c r="CE13" s="73">
        <f t="shared" si="29"/>
        <v>34.049999999999997</v>
      </c>
      <c r="CF13" s="81">
        <f t="shared" si="30"/>
        <v>0.68099999999999994</v>
      </c>
      <c r="CG13" s="4">
        <f t="shared" si="31"/>
        <v>33.799999999999997</v>
      </c>
      <c r="CH13" s="79">
        <f t="shared" si="32"/>
        <v>0.67599999999999993</v>
      </c>
      <c r="CI13" s="4"/>
      <c r="CJ13" s="4"/>
      <c r="CK13" s="4"/>
      <c r="CL13" s="4"/>
      <c r="CM13" s="4"/>
      <c r="CN13" s="4"/>
      <c r="CO13" s="4"/>
      <c r="CP13" s="4"/>
      <c r="CQ13" s="73"/>
      <c r="CR13" s="79" t="str">
        <f t="shared" si="33"/>
        <v/>
      </c>
      <c r="CS13" s="4"/>
      <c r="CT13" s="79" t="str">
        <f t="shared" si="34"/>
        <v/>
      </c>
      <c r="CU13" s="4"/>
      <c r="CV13" s="4"/>
      <c r="CW13" s="4"/>
      <c r="CX13" s="4"/>
      <c r="CY13" s="4"/>
      <c r="CZ13" s="4"/>
      <c r="DA13" s="4"/>
      <c r="DB13" s="4"/>
      <c r="DC13" s="4"/>
      <c r="DD13" s="4"/>
      <c r="DE13" s="4"/>
      <c r="DF13" s="4"/>
      <c r="DG13" s="4"/>
      <c r="DH13" s="4"/>
      <c r="DI13" s="4"/>
      <c r="DJ13" s="4"/>
      <c r="DK13" s="4"/>
      <c r="DL13" s="4"/>
      <c r="DM13" s="4"/>
      <c r="DN13" s="4"/>
      <c r="DO13" s="4"/>
      <c r="DP13" s="4"/>
      <c r="DQ13" s="4"/>
      <c r="DR13" s="4"/>
      <c r="DS13" s="73"/>
      <c r="DT13" s="79" t="str">
        <f t="shared" si="35"/>
        <v/>
      </c>
      <c r="DU13" s="4"/>
      <c r="DV13" s="4"/>
      <c r="DW13" s="4"/>
      <c r="DX13" s="4"/>
      <c r="DY13" s="73"/>
      <c r="DZ13" s="81" t="str">
        <f t="shared" si="36"/>
        <v/>
      </c>
      <c r="EA13" s="73"/>
      <c r="EB13" s="81"/>
      <c r="EC13" s="73">
        <f t="shared" si="37"/>
        <v>11</v>
      </c>
      <c r="ED13" s="81">
        <f t="shared" si="38"/>
        <v>0.6875</v>
      </c>
      <c r="EE13" s="72"/>
      <c r="EF13" s="81" t="str">
        <f t="shared" si="39"/>
        <v/>
      </c>
      <c r="EG13" s="183"/>
      <c r="EH13" s="81" t="str">
        <f t="shared" si="40"/>
        <v/>
      </c>
      <c r="EI13" s="72">
        <f t="shared" si="41"/>
        <v>29.502000000000002</v>
      </c>
      <c r="EJ13" s="81">
        <f t="shared" si="42"/>
        <v>0.65560000000000007</v>
      </c>
      <c r="EK13" s="4"/>
      <c r="EL13" s="4"/>
      <c r="EM13" s="73">
        <f t="shared" si="43"/>
        <v>26.500500000000002</v>
      </c>
      <c r="EN13" s="79">
        <f t="shared" si="44"/>
        <v>0.6795000000000001</v>
      </c>
      <c r="EO13" s="4"/>
      <c r="EP13" s="4" t="str">
        <f t="shared" si="45"/>
        <v/>
      </c>
      <c r="EQ13" s="4"/>
      <c r="ER13" s="4"/>
      <c r="ES13" s="4"/>
      <c r="ET13" s="79" t="str">
        <f t="shared" si="46"/>
        <v/>
      </c>
      <c r="EU13" s="4"/>
      <c r="EV13" s="79" t="str">
        <f t="shared" si="47"/>
        <v/>
      </c>
      <c r="EW13" s="73" t="str">
        <f>IFERROR(IF(#REF!="","",IFERROR(#REF!*(#REF!/100),"")),"")</f>
        <v/>
      </c>
      <c r="EX13" s="81" t="str">
        <f t="shared" si="48"/>
        <v/>
      </c>
      <c r="EY13" s="72"/>
      <c r="EZ13" s="81"/>
      <c r="FA13" s="72"/>
      <c r="FB13" s="81"/>
      <c r="FC13" s="81"/>
      <c r="FD13" s="81"/>
      <c r="FE13" s="73" t="str">
        <f>IFERROR(IF(#REF!="","",IFERROR(#REF!*(#REF!/100),""))+IF(#REF!="","",IFERROR(#REF!*(#REF!/100),"")),"")</f>
        <v/>
      </c>
      <c r="FF13" s="81" t="str">
        <f t="shared" si="49"/>
        <v/>
      </c>
      <c r="FG13" s="170">
        <f t="shared" si="2"/>
        <v>124.94720000000001</v>
      </c>
      <c r="FH13" s="171">
        <f t="shared" si="50"/>
        <v>0.76654723926380375</v>
      </c>
      <c r="FI13" s="84"/>
      <c r="FJ13" s="84"/>
      <c r="FK13" s="170" t="str">
        <f>IFERROR(IF(#REF!="","",IFERROR(#REF!*(#REF!/100),""))+IF(#REF!="","",IFERROR(#REF!*(#REF!/100),"")),"")</f>
        <v/>
      </c>
      <c r="FL13" s="171" t="str">
        <f t="shared" si="51"/>
        <v/>
      </c>
      <c r="FM13" s="170" t="str">
        <f>IFERROR(IF(#REF!="","",IFERROR(#REF!*(#REF!/100),"")),"")</f>
        <v/>
      </c>
      <c r="FN13" s="171" t="str">
        <f t="shared" si="52"/>
        <v/>
      </c>
      <c r="FO13" s="169">
        <f t="shared" si="3"/>
        <v>675.26852006297406</v>
      </c>
      <c r="FP13" s="93" t="e">
        <f t="shared" si="53"/>
        <v>#REF!</v>
      </c>
    </row>
    <row r="14" spans="1:172">
      <c r="A14" s="108">
        <v>4</v>
      </c>
      <c r="B14" s="109" t="s">
        <v>193</v>
      </c>
      <c r="C14" s="109" t="s">
        <v>194</v>
      </c>
      <c r="D14" s="66">
        <f>'MK1-TM'!D22</f>
        <v>62.88</v>
      </c>
      <c r="E14" s="66">
        <f>'MK1-TM'!E22</f>
        <v>61.4</v>
      </c>
      <c r="F14" s="66">
        <f>'MK1-TM'!F22</f>
        <v>58.3</v>
      </c>
      <c r="G14" s="66">
        <f>'MK1-TM'!G22</f>
        <v>65.95</v>
      </c>
      <c r="H14" s="66">
        <f>'MK1-TM'!H22</f>
        <v>67.33</v>
      </c>
      <c r="I14" s="66">
        <f t="shared" si="4"/>
        <v>72.782299999999992</v>
      </c>
      <c r="J14" s="83">
        <f>'MK2-TO'!D22</f>
        <v>67.5</v>
      </c>
      <c r="K14" s="83">
        <f>'MK2-TO'!E22</f>
        <v>64.89</v>
      </c>
      <c r="L14" s="83">
        <f>'MK2-TO'!F22</f>
        <v>67.95</v>
      </c>
      <c r="M14" s="83">
        <f t="shared" si="5"/>
        <v>66.501000000000005</v>
      </c>
      <c r="N14" s="67">
        <f>'MK3-PSTI'!D22</f>
        <v>64.47</v>
      </c>
      <c r="O14" s="67">
        <f>'MK3-PSTI'!E22</f>
        <v>58.65</v>
      </c>
      <c r="P14" s="67">
        <f>'MK3-PSTI'!F22</f>
        <v>73.47</v>
      </c>
      <c r="Q14" s="67">
        <f t="shared" si="6"/>
        <v>66.901200000000003</v>
      </c>
      <c r="R14" s="68">
        <f>IF('MK4-L&amp;A'!D22="","",'MK4-L&amp;A'!D22)</f>
        <v>85.11</v>
      </c>
      <c r="S14" s="68">
        <f>'MK4-L&amp;A'!E22</f>
        <v>82.79</v>
      </c>
      <c r="T14" s="68">
        <f>'MK4-L&amp;A'!F22</f>
        <v>90.33</v>
      </c>
      <c r="U14" s="68">
        <f t="shared" si="7"/>
        <v>86.902199999999993</v>
      </c>
      <c r="V14" s="69">
        <f>'MK5-BP'!D22</f>
        <v>66.2</v>
      </c>
      <c r="W14" s="69">
        <f>'MK5-BP'!E22</f>
        <v>66.2</v>
      </c>
      <c r="X14" s="69">
        <f t="shared" si="8"/>
        <v>66.2</v>
      </c>
      <c r="Y14" s="37">
        <f>IF('MK7-MBD'!D21="","",'MK7-MBD'!D21)</f>
        <v>82.2</v>
      </c>
      <c r="Z14" s="37">
        <f>IF('MK7-MBD'!E21="","",'MK7-MBD'!E21)</f>
        <v>82.2</v>
      </c>
      <c r="AA14" s="37">
        <f t="shared" si="9"/>
        <v>82.2</v>
      </c>
      <c r="AB14" s="70">
        <f>IF(MK8_BID!D22="","",MK8_BID!D22)</f>
        <v>81.400000000000006</v>
      </c>
      <c r="AC14" s="70">
        <f t="shared" si="10"/>
        <v>81.400000000000006</v>
      </c>
      <c r="AE14" s="71">
        <f t="shared" si="0"/>
        <v>76.064700000000016</v>
      </c>
      <c r="AF14" s="72">
        <f t="shared" si="54"/>
        <v>35.378930232558147</v>
      </c>
      <c r="AG14" s="71" t="str">
        <f>IFERROR((#REF!*(#REF!/100)),"")</f>
        <v/>
      </c>
      <c r="AH14" s="72" t="str">
        <f t="shared" si="11"/>
        <v/>
      </c>
      <c r="AI14" s="71">
        <f t="shared" si="12"/>
        <v>48.419800000000002</v>
      </c>
      <c r="AJ14" s="72">
        <f t="shared" si="13"/>
        <v>71.20558823529413</v>
      </c>
      <c r="AK14" s="71" t="str">
        <f>IFERROR((#REF!*(#REF!/100)),"")</f>
        <v/>
      </c>
      <c r="AL14" s="72" t="str">
        <f t="shared" si="14"/>
        <v/>
      </c>
      <c r="AM14" s="72"/>
      <c r="AN14" s="72"/>
      <c r="AO14" s="72"/>
      <c r="AP14" s="72"/>
      <c r="AQ14" s="72"/>
      <c r="AR14" s="72"/>
      <c r="AS14" s="72"/>
      <c r="AT14" s="72"/>
      <c r="AU14" s="71">
        <f t="shared" si="15"/>
        <v>77.361699999999999</v>
      </c>
      <c r="AV14" s="72">
        <f t="shared" si="55"/>
        <v>78.143131313131306</v>
      </c>
      <c r="AW14" s="71" t="str">
        <f>IFERROR((AB14*($AB$9/100)+#REF!*(#REF!/100)+#REF!*(#REF!/100)),"")</f>
        <v/>
      </c>
      <c r="AX14" s="72" t="str">
        <f t="shared" si="16"/>
        <v/>
      </c>
      <c r="AY14" s="72"/>
      <c r="AZ14" s="72"/>
      <c r="BA14" s="71" t="str">
        <f>IFERROR((#REF!*(#REF!/100)+#REF!*(#REF!/100)+#REF!*(#REF!/100)),"")</f>
        <v/>
      </c>
      <c r="BB14" s="72" t="str">
        <f t="shared" si="56"/>
        <v/>
      </c>
      <c r="BC14" s="71">
        <f t="shared" si="1"/>
        <v>120.4333</v>
      </c>
      <c r="BD14" s="72">
        <f t="shared" si="57"/>
        <v>73.885460122699385</v>
      </c>
      <c r="BE14" s="2" t="str">
        <f>IFERROR((#REF!*(#REF!/100)+#REF!*(#REF!/100)+#REF!*(#REF!/100)),"")</f>
        <v/>
      </c>
      <c r="BF14" s="71" t="str">
        <f t="shared" si="58"/>
        <v/>
      </c>
      <c r="BI14" s="4">
        <f t="shared" si="17"/>
        <v>41.1</v>
      </c>
      <c r="BJ14" s="81">
        <f t="shared" si="59"/>
        <v>0.82200000000000006</v>
      </c>
      <c r="BK14" s="4">
        <f t="shared" si="18"/>
        <v>122.5</v>
      </c>
      <c r="BL14" s="81">
        <f t="shared" si="60"/>
        <v>0.81666666666666665</v>
      </c>
      <c r="BM14" s="73"/>
      <c r="BN14" s="81" t="str">
        <f t="shared" si="61"/>
        <v/>
      </c>
      <c r="BO14" s="73">
        <f t="shared" si="19"/>
        <v>24.164700000000003</v>
      </c>
      <c r="BP14" s="81">
        <f t="shared" si="20"/>
        <v>0.6359131578947369</v>
      </c>
      <c r="BQ14" s="73">
        <f t="shared" si="21"/>
        <v>13.507999999999999</v>
      </c>
      <c r="BR14" s="79">
        <f t="shared" si="22"/>
        <v>0.61399999999999999</v>
      </c>
      <c r="BS14" s="73">
        <f t="shared" ref="BS14:BS44" si="62">IFERROR(IF(F14="","",IFERROR(F14*($F$9/100),""))+IF(R14="","",IFERROR(R14*($R$9/100),"")),"")</f>
        <v>28.7288</v>
      </c>
      <c r="BT14" s="79">
        <f t="shared" si="23"/>
        <v>0.70070243902439022</v>
      </c>
      <c r="BU14" s="73">
        <f t="shared" si="24"/>
        <v>63.089700000000008</v>
      </c>
      <c r="BV14" s="79">
        <f t="shared" si="25"/>
        <v>0.69329340659340666</v>
      </c>
      <c r="BW14" s="184">
        <f t="shared" si="26"/>
        <v>97.094499999999982</v>
      </c>
      <c r="BX14" s="79">
        <f t="shared" si="27"/>
        <v>0.78938617886178852</v>
      </c>
      <c r="BY14" s="4"/>
      <c r="BZ14" s="4"/>
      <c r="CA14" s="73"/>
      <c r="CB14" s="81" t="str">
        <f t="shared" si="28"/>
        <v/>
      </c>
      <c r="CC14" s="73"/>
      <c r="CD14" s="81"/>
      <c r="CE14" s="73">
        <f t="shared" si="29"/>
        <v>33.1</v>
      </c>
      <c r="CF14" s="81">
        <f t="shared" si="30"/>
        <v>0.66200000000000003</v>
      </c>
      <c r="CG14" s="4">
        <f t="shared" si="31"/>
        <v>33.1</v>
      </c>
      <c r="CH14" s="79">
        <f t="shared" si="32"/>
        <v>0.66200000000000003</v>
      </c>
      <c r="CI14" s="4"/>
      <c r="CJ14" s="4"/>
      <c r="CK14" s="4"/>
      <c r="CL14" s="4"/>
      <c r="CM14" s="4"/>
      <c r="CN14" s="4"/>
      <c r="CO14" s="4"/>
      <c r="CP14" s="4"/>
      <c r="CQ14" s="73"/>
      <c r="CR14" s="79" t="str">
        <f t="shared" si="33"/>
        <v/>
      </c>
      <c r="CS14" s="4"/>
      <c r="CT14" s="79" t="str">
        <f t="shared" si="34"/>
        <v/>
      </c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4"/>
      <c r="DL14" s="4"/>
      <c r="DM14" s="4"/>
      <c r="DN14" s="4"/>
      <c r="DO14" s="4"/>
      <c r="DP14" s="4"/>
      <c r="DQ14" s="4"/>
      <c r="DR14" s="4"/>
      <c r="DS14" s="73"/>
      <c r="DT14" s="79" t="str">
        <f t="shared" si="35"/>
        <v/>
      </c>
      <c r="DU14" s="4"/>
      <c r="DV14" s="4"/>
      <c r="DW14" s="4"/>
      <c r="DX14" s="4"/>
      <c r="DY14" s="73"/>
      <c r="DZ14" s="81" t="str">
        <f t="shared" si="36"/>
        <v/>
      </c>
      <c r="EA14" s="73"/>
      <c r="EB14" s="81"/>
      <c r="EC14" s="73">
        <f t="shared" si="37"/>
        <v>10.8</v>
      </c>
      <c r="ED14" s="81">
        <f t="shared" si="38"/>
        <v>0.67500000000000004</v>
      </c>
      <c r="EE14" s="72"/>
      <c r="EF14" s="81" t="str">
        <f t="shared" si="39"/>
        <v/>
      </c>
      <c r="EG14" s="183"/>
      <c r="EH14" s="81" t="str">
        <f t="shared" si="40"/>
        <v/>
      </c>
      <c r="EI14" s="72">
        <f t="shared" si="41"/>
        <v>29.200500000000002</v>
      </c>
      <c r="EJ14" s="81">
        <f t="shared" si="42"/>
        <v>0.64890000000000003</v>
      </c>
      <c r="EK14" s="4"/>
      <c r="EL14" s="4"/>
      <c r="EM14" s="73">
        <f t="shared" si="43"/>
        <v>26.500500000000002</v>
      </c>
      <c r="EN14" s="79">
        <f t="shared" si="44"/>
        <v>0.6795000000000001</v>
      </c>
      <c r="EO14" s="4"/>
      <c r="EP14" s="4" t="str">
        <f t="shared" si="45"/>
        <v/>
      </c>
      <c r="EQ14" s="4"/>
      <c r="ER14" s="4"/>
      <c r="ES14" s="4"/>
      <c r="ET14" s="79" t="str">
        <f t="shared" si="46"/>
        <v/>
      </c>
      <c r="EU14" s="4"/>
      <c r="EV14" s="79" t="str">
        <f t="shared" si="47"/>
        <v/>
      </c>
      <c r="EW14" s="73" t="str">
        <f>IFERROR(IF(#REF!="","",IFERROR(#REF!*(#REF!/100),"")),"")</f>
        <v/>
      </c>
      <c r="EX14" s="81" t="str">
        <f t="shared" si="48"/>
        <v/>
      </c>
      <c r="EY14" s="72"/>
      <c r="EZ14" s="81"/>
      <c r="FA14" s="72"/>
      <c r="FB14" s="81"/>
      <c r="FC14" s="81"/>
      <c r="FD14" s="81"/>
      <c r="FE14" s="73" t="str">
        <f>IFERROR(IF(#REF!="","",IFERROR(#REF!*(#REF!/100),""))+IF(#REF!="","",IFERROR(#REF!*(#REF!/100),"")),"")</f>
        <v/>
      </c>
      <c r="FF14" s="81" t="str">
        <f t="shared" si="49"/>
        <v/>
      </c>
      <c r="FG14" s="170">
        <f t="shared" si="2"/>
        <v>120.4333</v>
      </c>
      <c r="FH14" s="171">
        <f t="shared" si="50"/>
        <v>0.73885460122699387</v>
      </c>
      <c r="FI14" s="84"/>
      <c r="FJ14" s="84"/>
      <c r="FK14" s="170" t="str">
        <f>IFERROR(IF(#REF!="","",IFERROR(#REF!*(#REF!/100),""))+IF(#REF!="","",IFERROR(#REF!*(#REF!/100),"")),"")</f>
        <v/>
      </c>
      <c r="FL14" s="171" t="str">
        <f t="shared" si="51"/>
        <v/>
      </c>
      <c r="FM14" s="170" t="str">
        <f>IFERROR(IF(#REF!="","",IFERROR(#REF!*(#REF!/100),"")),"")</f>
        <v/>
      </c>
      <c r="FN14" s="171" t="str">
        <f t="shared" si="52"/>
        <v/>
      </c>
      <c r="FO14" s="169">
        <f t="shared" si="3"/>
        <v>652.45821645026797</v>
      </c>
      <c r="FP14" s="93" t="e">
        <f t="shared" si="53"/>
        <v>#REF!</v>
      </c>
    </row>
    <row r="15" spans="1:172">
      <c r="A15" s="108">
        <v>5</v>
      </c>
      <c r="B15" s="109" t="s">
        <v>195</v>
      </c>
      <c r="C15" s="109" t="s">
        <v>196</v>
      </c>
      <c r="D15" s="66">
        <f>'MK1-TM'!D23</f>
        <v>76.88</v>
      </c>
      <c r="E15" s="66">
        <f>'MK1-TM'!E23</f>
        <v>76</v>
      </c>
      <c r="F15" s="66">
        <f>'MK1-TM'!F23</f>
        <v>74.25</v>
      </c>
      <c r="G15" s="66">
        <f>'MK1-TM'!G23</f>
        <v>65.45</v>
      </c>
      <c r="H15" s="66">
        <f>'MK1-TM'!H23</f>
        <v>66.11</v>
      </c>
      <c r="I15" s="66">
        <f t="shared" si="4"/>
        <v>82.177800000000005</v>
      </c>
      <c r="J15" s="83">
        <f>'MK2-TO'!D23</f>
        <v>68.75</v>
      </c>
      <c r="K15" s="83">
        <f>'MK2-TO'!E23</f>
        <v>65.56</v>
      </c>
      <c r="L15" s="83">
        <f>'MK2-TO'!F23</f>
        <v>67.95</v>
      </c>
      <c r="M15" s="83">
        <f t="shared" si="5"/>
        <v>67.002499999999998</v>
      </c>
      <c r="N15" s="67">
        <f>'MK3-PSTI'!D23</f>
        <v>70.59</v>
      </c>
      <c r="O15" s="67">
        <f>'MK3-PSTI'!E23</f>
        <v>66.180000000000007</v>
      </c>
      <c r="P15" s="67">
        <f>'MK3-PSTI'!F23</f>
        <v>79.39</v>
      </c>
      <c r="Q15" s="67">
        <f t="shared" si="6"/>
        <v>73.402600000000007</v>
      </c>
      <c r="R15" s="68">
        <f>IF('MK4-L&amp;A'!D23="","",'MK4-L&amp;A'!D23)</f>
        <v>86.11</v>
      </c>
      <c r="S15" s="68">
        <f>'MK4-L&amp;A'!E23</f>
        <v>83.33</v>
      </c>
      <c r="T15" s="68">
        <f>'MK4-L&amp;A'!F23</f>
        <v>90.82</v>
      </c>
      <c r="U15" s="68">
        <f t="shared" si="7"/>
        <v>87.500499999999988</v>
      </c>
      <c r="V15" s="69">
        <f>'MK5-BP'!D23</f>
        <v>76.7</v>
      </c>
      <c r="W15" s="69">
        <f>'MK5-BP'!E23</f>
        <v>75.5</v>
      </c>
      <c r="X15" s="69">
        <f t="shared" si="8"/>
        <v>76.099999999999994</v>
      </c>
      <c r="Y15" s="37">
        <f>IF('MK7-MBD'!D22="","",'MK7-MBD'!D22)</f>
        <v>83.25</v>
      </c>
      <c r="Z15" s="37">
        <f>IF('MK7-MBD'!E22="","",'MK7-MBD'!E22)</f>
        <v>83.25</v>
      </c>
      <c r="AA15" s="37">
        <f t="shared" si="9"/>
        <v>83.25</v>
      </c>
      <c r="AB15" s="70">
        <f>IF(MK8_BID!D23="","",MK8_BID!D23)</f>
        <v>76.900000000000006</v>
      </c>
      <c r="AC15" s="70">
        <f t="shared" si="10"/>
        <v>76.900000000000006</v>
      </c>
      <c r="AE15" s="71">
        <f t="shared" si="0"/>
        <v>80.770099999999999</v>
      </c>
      <c r="AF15" s="72">
        <f t="shared" si="54"/>
        <v>37.567488372093024</v>
      </c>
      <c r="AG15" s="71" t="str">
        <f>IFERROR((#REF!*(#REF!/100)),"")</f>
        <v/>
      </c>
      <c r="AH15" s="72" t="str">
        <f t="shared" si="11"/>
        <v/>
      </c>
      <c r="AI15" s="71">
        <f t="shared" si="12"/>
        <v>53.849800000000002</v>
      </c>
      <c r="AJ15" s="72">
        <f t="shared" si="13"/>
        <v>79.190882352941188</v>
      </c>
      <c r="AK15" s="71" t="str">
        <f>IFERROR((#REF!*(#REF!/100)),"")</f>
        <v/>
      </c>
      <c r="AL15" s="72" t="str">
        <f t="shared" si="14"/>
        <v/>
      </c>
      <c r="AM15" s="72"/>
      <c r="AN15" s="72"/>
      <c r="AO15" s="72"/>
      <c r="AP15" s="72"/>
      <c r="AQ15" s="72"/>
      <c r="AR15" s="72"/>
      <c r="AS15" s="72"/>
      <c r="AT15" s="72"/>
      <c r="AU15" s="71">
        <f t="shared" si="15"/>
        <v>82.251800000000003</v>
      </c>
      <c r="AV15" s="72">
        <f t="shared" si="55"/>
        <v>83.082626262626263</v>
      </c>
      <c r="AW15" s="71" t="str">
        <f>IFERROR((AB15*($AB$9/100)+#REF!*(#REF!/100)+#REF!*(#REF!/100)),"")</f>
        <v/>
      </c>
      <c r="AX15" s="72" t="str">
        <f t="shared" si="16"/>
        <v/>
      </c>
      <c r="AY15" s="72"/>
      <c r="AZ15" s="72"/>
      <c r="BA15" s="71" t="str">
        <f>IFERROR((#REF!*(#REF!/100)+#REF!*(#REF!/100)+#REF!*(#REF!/100)),"")</f>
        <v/>
      </c>
      <c r="BB15" s="72" t="str">
        <f t="shared" si="56"/>
        <v/>
      </c>
      <c r="BC15" s="71">
        <f t="shared" si="1"/>
        <v>123.55410000000001</v>
      </c>
      <c r="BD15" s="72">
        <f t="shared" si="57"/>
        <v>75.800061349693266</v>
      </c>
      <c r="BE15" s="2" t="str">
        <f>IFERROR((#REF!*(#REF!/100)+#REF!*(#REF!/100)+#REF!*(#REF!/100)),"")</f>
        <v/>
      </c>
      <c r="BF15" s="71" t="str">
        <f t="shared" si="58"/>
        <v/>
      </c>
      <c r="BI15" s="4">
        <f t="shared" si="17"/>
        <v>41.625</v>
      </c>
      <c r="BJ15" s="81">
        <f t="shared" si="59"/>
        <v>0.83250000000000002</v>
      </c>
      <c r="BK15" s="4">
        <f t="shared" si="18"/>
        <v>118.52500000000001</v>
      </c>
      <c r="BL15" s="81">
        <f t="shared" si="60"/>
        <v>0.79016666666666668</v>
      </c>
      <c r="BM15" s="73"/>
      <c r="BN15" s="81" t="str">
        <f t="shared" si="61"/>
        <v/>
      </c>
      <c r="BO15" s="73">
        <f t="shared" si="19"/>
        <v>28.145099999999999</v>
      </c>
      <c r="BP15" s="81">
        <f t="shared" si="20"/>
        <v>0.74066052631578949</v>
      </c>
      <c r="BQ15" s="73">
        <f t="shared" si="21"/>
        <v>16.72</v>
      </c>
      <c r="BR15" s="79">
        <f t="shared" si="22"/>
        <v>0.7599999999999999</v>
      </c>
      <c r="BS15" s="73">
        <f t="shared" si="62"/>
        <v>32.577300000000001</v>
      </c>
      <c r="BT15" s="79">
        <f t="shared" si="23"/>
        <v>0.79456829268292684</v>
      </c>
      <c r="BU15" s="73">
        <f t="shared" si="24"/>
        <v>65.708100000000002</v>
      </c>
      <c r="BV15" s="79">
        <f t="shared" si="25"/>
        <v>0.72206703296703301</v>
      </c>
      <c r="BW15" s="184">
        <f t="shared" si="26"/>
        <v>99.930399999999992</v>
      </c>
      <c r="BX15" s="79">
        <f t="shared" si="27"/>
        <v>0.81244227642276412</v>
      </c>
      <c r="BY15" s="4"/>
      <c r="BZ15" s="4"/>
      <c r="CA15" s="73"/>
      <c r="CB15" s="81" t="str">
        <f t="shared" si="28"/>
        <v/>
      </c>
      <c r="CC15" s="73"/>
      <c r="CD15" s="81"/>
      <c r="CE15" s="73">
        <f t="shared" si="29"/>
        <v>38.35</v>
      </c>
      <c r="CF15" s="81">
        <f t="shared" si="30"/>
        <v>0.76700000000000002</v>
      </c>
      <c r="CG15" s="4">
        <f t="shared" si="31"/>
        <v>37.75</v>
      </c>
      <c r="CH15" s="79">
        <f t="shared" si="32"/>
        <v>0.755</v>
      </c>
      <c r="CI15" s="4"/>
      <c r="CJ15" s="4"/>
      <c r="CK15" s="4"/>
      <c r="CL15" s="4"/>
      <c r="CM15" s="4"/>
      <c r="CN15" s="4"/>
      <c r="CO15" s="4"/>
      <c r="CP15" s="4"/>
      <c r="CQ15" s="73"/>
      <c r="CR15" s="79" t="str">
        <f t="shared" si="33"/>
        <v/>
      </c>
      <c r="CS15" s="4"/>
      <c r="CT15" s="79" t="str">
        <f t="shared" si="34"/>
        <v/>
      </c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4"/>
      <c r="DS15" s="73"/>
      <c r="DT15" s="79" t="str">
        <f t="shared" si="35"/>
        <v/>
      </c>
      <c r="DU15" s="4"/>
      <c r="DV15" s="4"/>
      <c r="DW15" s="4"/>
      <c r="DX15" s="4"/>
      <c r="DY15" s="73"/>
      <c r="DZ15" s="81" t="str">
        <f t="shared" si="36"/>
        <v/>
      </c>
      <c r="EA15" s="73"/>
      <c r="EB15" s="81"/>
      <c r="EC15" s="73">
        <f t="shared" si="37"/>
        <v>11</v>
      </c>
      <c r="ED15" s="81">
        <f t="shared" si="38"/>
        <v>0.6875</v>
      </c>
      <c r="EE15" s="72"/>
      <c r="EF15" s="81" t="str">
        <f t="shared" si="39"/>
        <v/>
      </c>
      <c r="EG15" s="183"/>
      <c r="EH15" s="81" t="str">
        <f t="shared" si="40"/>
        <v/>
      </c>
      <c r="EI15" s="72">
        <f t="shared" si="41"/>
        <v>29.502000000000002</v>
      </c>
      <c r="EJ15" s="81">
        <f t="shared" si="42"/>
        <v>0.65560000000000007</v>
      </c>
      <c r="EK15" s="4"/>
      <c r="EL15" s="4"/>
      <c r="EM15" s="73">
        <f t="shared" si="43"/>
        <v>26.500500000000002</v>
      </c>
      <c r="EN15" s="79">
        <f t="shared" si="44"/>
        <v>0.6795000000000001</v>
      </c>
      <c r="EO15" s="4"/>
      <c r="EP15" s="4" t="str">
        <f t="shared" si="45"/>
        <v/>
      </c>
      <c r="EQ15" s="4"/>
      <c r="ER15" s="4"/>
      <c r="ES15" s="4"/>
      <c r="ET15" s="79" t="str">
        <f t="shared" si="46"/>
        <v/>
      </c>
      <c r="EU15" s="4"/>
      <c r="EV15" s="79" t="str">
        <f t="shared" si="47"/>
        <v/>
      </c>
      <c r="EW15" s="73" t="str">
        <f>IFERROR(IF(#REF!="","",IFERROR(#REF!*(#REF!/100),"")),"")</f>
        <v/>
      </c>
      <c r="EX15" s="81" t="str">
        <f t="shared" si="48"/>
        <v/>
      </c>
      <c r="EY15" s="72"/>
      <c r="EZ15" s="81"/>
      <c r="FA15" s="72"/>
      <c r="FB15" s="81"/>
      <c r="FC15" s="81"/>
      <c r="FD15" s="81"/>
      <c r="FE15" s="73" t="str">
        <f>IFERROR(IF(#REF!="","",IFERROR(#REF!*(#REF!/100),""))+IF(#REF!="","",IFERROR(#REF!*(#REF!/100),"")),"")</f>
        <v/>
      </c>
      <c r="FF15" s="81" t="str">
        <f t="shared" si="49"/>
        <v/>
      </c>
      <c r="FG15" s="170">
        <f t="shared" si="2"/>
        <v>123.55410000000001</v>
      </c>
      <c r="FH15" s="171">
        <f t="shared" si="50"/>
        <v>0.7580006134969326</v>
      </c>
      <c r="FI15" s="84"/>
      <c r="FJ15" s="84"/>
      <c r="FK15" s="170" t="str">
        <f>IFERROR(IF(#REF!="","",IFERROR(#REF!*(#REF!/100),""))+IF(#REF!="","",IFERROR(#REF!*(#REF!/100),"")),"")</f>
        <v/>
      </c>
      <c r="FL15" s="171" t="str">
        <f t="shared" si="51"/>
        <v/>
      </c>
      <c r="FM15" s="170" t="str">
        <f>IFERROR(IF(#REF!="","",IFERROR(#REF!*(#REF!/100),"")),"")</f>
        <v/>
      </c>
      <c r="FN15" s="171" t="str">
        <f t="shared" si="52"/>
        <v/>
      </c>
      <c r="FO15" s="169">
        <f t="shared" si="3"/>
        <v>679.6425054085521</v>
      </c>
      <c r="FP15" s="93" t="e">
        <f t="shared" si="53"/>
        <v>#REF!</v>
      </c>
    </row>
    <row r="16" spans="1:172">
      <c r="A16" s="108">
        <v>6</v>
      </c>
      <c r="B16" s="109" t="s">
        <v>197</v>
      </c>
      <c r="C16" s="109" t="s">
        <v>198</v>
      </c>
      <c r="D16" s="66">
        <f>'MK1-TM'!D24</f>
        <v>45.38</v>
      </c>
      <c r="E16" s="66">
        <f>'MK1-TM'!E24</f>
        <v>42.4</v>
      </c>
      <c r="F16" s="66">
        <f>'MK1-TM'!F24</f>
        <v>37.049999999999997</v>
      </c>
      <c r="G16" s="66">
        <f>'MK1-TM'!G24</f>
        <v>54.14</v>
      </c>
      <c r="H16" s="66">
        <f>'MK1-TM'!H24</f>
        <v>54.56</v>
      </c>
      <c r="I16" s="66">
        <f t="shared" si="4"/>
        <v>54.012899999999995</v>
      </c>
      <c r="J16" s="83">
        <f>'MK2-TO'!D24</f>
        <v>80</v>
      </c>
      <c r="K16" s="83">
        <f>'MK2-TO'!E24</f>
        <v>75.56</v>
      </c>
      <c r="L16" s="83">
        <f>'MK2-TO'!F24</f>
        <v>68.209999999999994</v>
      </c>
      <c r="M16" s="83">
        <f t="shared" si="5"/>
        <v>73.403899999999993</v>
      </c>
      <c r="N16" s="67">
        <f>'MK3-PSTI'!D24</f>
        <v>74.12</v>
      </c>
      <c r="O16" s="67">
        <f>'MK3-PSTI'!E24</f>
        <v>70.290000000000006</v>
      </c>
      <c r="P16" s="67">
        <f>'MK3-PSTI'!F24</f>
        <v>75.099999999999994</v>
      </c>
      <c r="Q16" s="67">
        <f t="shared" si="6"/>
        <v>73.298000000000002</v>
      </c>
      <c r="R16" s="68">
        <f>IF('MK4-L&amp;A'!D24="","",'MK4-L&amp;A'!D24)</f>
        <v>86.11</v>
      </c>
      <c r="S16" s="68">
        <f>'MK4-L&amp;A'!E24</f>
        <v>83.33</v>
      </c>
      <c r="T16" s="68">
        <f>'MK4-L&amp;A'!F24</f>
        <v>62.24</v>
      </c>
      <c r="U16" s="68">
        <f t="shared" si="7"/>
        <v>73.496300000000005</v>
      </c>
      <c r="V16" s="69">
        <f>'MK5-BP'!D24</f>
        <v>68.8</v>
      </c>
      <c r="W16" s="69">
        <f>'MK5-BP'!E24</f>
        <v>67.5</v>
      </c>
      <c r="X16" s="69">
        <f t="shared" si="8"/>
        <v>68.150000000000006</v>
      </c>
      <c r="Y16" s="37">
        <f>IF('MK7-MBD'!D23="","",'MK7-MBD'!D23)</f>
        <v>83.15</v>
      </c>
      <c r="Z16" s="37">
        <f>IF('MK7-MBD'!E23="","",'MK7-MBD'!E23)</f>
        <v>83.15</v>
      </c>
      <c r="AA16" s="37">
        <f t="shared" si="9"/>
        <v>83.15</v>
      </c>
      <c r="AB16" s="70">
        <f>IF(MK8_BID!D24="","",MK8_BID!D24)</f>
        <v>85.9</v>
      </c>
      <c r="AC16" s="70">
        <f t="shared" si="10"/>
        <v>85.9</v>
      </c>
      <c r="AE16" s="71">
        <f t="shared" si="0"/>
        <v>76.505200000000002</v>
      </c>
      <c r="AF16" s="72">
        <f t="shared" si="54"/>
        <v>35.583813953488374</v>
      </c>
      <c r="AG16" s="71" t="str">
        <f>IFERROR((#REF!*(#REF!/100)),"")</f>
        <v/>
      </c>
      <c r="AH16" s="72" t="str">
        <f t="shared" si="11"/>
        <v/>
      </c>
      <c r="AI16" s="71">
        <f t="shared" si="12"/>
        <v>49.899799999999999</v>
      </c>
      <c r="AJ16" s="72">
        <f t="shared" si="13"/>
        <v>73.382058823529405</v>
      </c>
      <c r="AK16" s="71" t="str">
        <f>IFERROR((#REF!*(#REF!/100)),"")</f>
        <v/>
      </c>
      <c r="AL16" s="72" t="str">
        <f t="shared" si="14"/>
        <v/>
      </c>
      <c r="AM16" s="72"/>
      <c r="AN16" s="72"/>
      <c r="AO16" s="72"/>
      <c r="AP16" s="72"/>
      <c r="AQ16" s="72"/>
      <c r="AR16" s="72"/>
      <c r="AS16" s="72"/>
      <c r="AT16" s="72"/>
      <c r="AU16" s="71">
        <f t="shared" si="15"/>
        <v>64.247600000000006</v>
      </c>
      <c r="AV16" s="72">
        <f t="shared" si="55"/>
        <v>64.89656565656567</v>
      </c>
      <c r="AW16" s="71" t="str">
        <f>IFERROR((AB16*($AB$9/100)+#REF!*(#REF!/100)+#REF!*(#REF!/100)),"")</f>
        <v/>
      </c>
      <c r="AX16" s="72" t="str">
        <f t="shared" si="16"/>
        <v/>
      </c>
      <c r="AY16" s="72"/>
      <c r="AZ16" s="72"/>
      <c r="BA16" s="71" t="str">
        <f>IFERROR((#REF!*(#REF!/100)+#REF!*(#REF!/100)+#REF!*(#REF!/100)),"")</f>
        <v/>
      </c>
      <c r="BB16" s="72" t="str">
        <f t="shared" si="56"/>
        <v/>
      </c>
      <c r="BC16" s="71">
        <f t="shared" si="1"/>
        <v>118.6159</v>
      </c>
      <c r="BD16" s="72">
        <f t="shared" si="57"/>
        <v>72.770490797546003</v>
      </c>
      <c r="BE16" s="2" t="str">
        <f>IFERROR((#REF!*(#REF!/100)+#REF!*(#REF!/100)+#REF!*(#REF!/100)),"")</f>
        <v/>
      </c>
      <c r="BF16" s="71" t="str">
        <f t="shared" si="58"/>
        <v/>
      </c>
      <c r="BI16" s="4">
        <f t="shared" si="17"/>
        <v>41.575000000000003</v>
      </c>
      <c r="BJ16" s="81">
        <f t="shared" si="59"/>
        <v>0.83150000000000002</v>
      </c>
      <c r="BK16" s="4">
        <f t="shared" si="18"/>
        <v>127.47500000000001</v>
      </c>
      <c r="BL16" s="81">
        <f t="shared" si="60"/>
        <v>0.84983333333333344</v>
      </c>
      <c r="BM16" s="73"/>
      <c r="BN16" s="81" t="str">
        <f t="shared" si="61"/>
        <v/>
      </c>
      <c r="BO16" s="73">
        <f t="shared" si="19"/>
        <v>22.130200000000002</v>
      </c>
      <c r="BP16" s="81">
        <f t="shared" si="20"/>
        <v>0.58237368421052638</v>
      </c>
      <c r="BQ16" s="73">
        <f t="shared" si="21"/>
        <v>9.3279999999999994</v>
      </c>
      <c r="BR16" s="79">
        <f t="shared" si="22"/>
        <v>0.42399999999999999</v>
      </c>
      <c r="BS16" s="73">
        <f t="shared" si="62"/>
        <v>24.021299999999997</v>
      </c>
      <c r="BT16" s="79">
        <f t="shared" si="23"/>
        <v>0.58588536585365847</v>
      </c>
      <c r="BU16" s="73">
        <f t="shared" si="24"/>
        <v>64.391099999999994</v>
      </c>
      <c r="BV16" s="79">
        <f t="shared" si="25"/>
        <v>0.70759450549450542</v>
      </c>
      <c r="BW16" s="184">
        <f t="shared" si="26"/>
        <v>80.936599999999999</v>
      </c>
      <c r="BX16" s="79">
        <f t="shared" si="27"/>
        <v>0.65802113821138208</v>
      </c>
      <c r="BY16" s="4"/>
      <c r="BZ16" s="4"/>
      <c r="CA16" s="73"/>
      <c r="CB16" s="81" t="str">
        <f t="shared" si="28"/>
        <v/>
      </c>
      <c r="CC16" s="73"/>
      <c r="CD16" s="81"/>
      <c r="CE16" s="73">
        <f t="shared" si="29"/>
        <v>34.4</v>
      </c>
      <c r="CF16" s="81">
        <f t="shared" si="30"/>
        <v>0.68799999999999994</v>
      </c>
      <c r="CG16" s="4">
        <f t="shared" si="31"/>
        <v>33.75</v>
      </c>
      <c r="CH16" s="79">
        <f t="shared" si="32"/>
        <v>0.67500000000000004</v>
      </c>
      <c r="CI16" s="4"/>
      <c r="CJ16" s="4"/>
      <c r="CK16" s="4"/>
      <c r="CL16" s="4"/>
      <c r="CM16" s="4"/>
      <c r="CN16" s="4"/>
      <c r="CO16" s="4"/>
      <c r="CP16" s="4"/>
      <c r="CQ16" s="73"/>
      <c r="CR16" s="79" t="str">
        <f t="shared" si="33"/>
        <v/>
      </c>
      <c r="CS16" s="4"/>
      <c r="CT16" s="79" t="str">
        <f t="shared" si="34"/>
        <v/>
      </c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4"/>
      <c r="DL16" s="4"/>
      <c r="DM16" s="4"/>
      <c r="DN16" s="4"/>
      <c r="DO16" s="4"/>
      <c r="DP16" s="4"/>
      <c r="DQ16" s="4"/>
      <c r="DR16" s="4"/>
      <c r="DS16" s="73"/>
      <c r="DT16" s="79" t="str">
        <f t="shared" si="35"/>
        <v/>
      </c>
      <c r="DU16" s="4"/>
      <c r="DV16" s="4"/>
      <c r="DW16" s="4"/>
      <c r="DX16" s="4"/>
      <c r="DY16" s="73"/>
      <c r="DZ16" s="81" t="str">
        <f t="shared" si="36"/>
        <v/>
      </c>
      <c r="EA16" s="73"/>
      <c r="EB16" s="81"/>
      <c r="EC16" s="73">
        <f t="shared" si="37"/>
        <v>12.8</v>
      </c>
      <c r="ED16" s="81">
        <f t="shared" si="38"/>
        <v>0.8</v>
      </c>
      <c r="EE16" s="72"/>
      <c r="EF16" s="81" t="str">
        <f t="shared" si="39"/>
        <v/>
      </c>
      <c r="EG16" s="183"/>
      <c r="EH16" s="81" t="str">
        <f t="shared" si="40"/>
        <v/>
      </c>
      <c r="EI16" s="72">
        <f t="shared" si="41"/>
        <v>34.002000000000002</v>
      </c>
      <c r="EJ16" s="81">
        <f t="shared" si="42"/>
        <v>0.75560000000000005</v>
      </c>
      <c r="EK16" s="4"/>
      <c r="EL16" s="4"/>
      <c r="EM16" s="73">
        <f t="shared" si="43"/>
        <v>26.601899999999997</v>
      </c>
      <c r="EN16" s="79">
        <f t="shared" si="44"/>
        <v>0.68209999999999993</v>
      </c>
      <c r="EO16" s="4"/>
      <c r="EP16" s="4" t="str">
        <f t="shared" si="45"/>
        <v/>
      </c>
      <c r="EQ16" s="4"/>
      <c r="ER16" s="4"/>
      <c r="ES16" s="4"/>
      <c r="ET16" s="79" t="str">
        <f t="shared" si="46"/>
        <v/>
      </c>
      <c r="EU16" s="4"/>
      <c r="EV16" s="79" t="str">
        <f t="shared" si="47"/>
        <v/>
      </c>
      <c r="EW16" s="73" t="str">
        <f>IFERROR(IF(#REF!="","",IFERROR(#REF!*(#REF!/100),"")),"")</f>
        <v/>
      </c>
      <c r="EX16" s="81" t="str">
        <f t="shared" si="48"/>
        <v/>
      </c>
      <c r="EY16" s="72"/>
      <c r="EZ16" s="81"/>
      <c r="FA16" s="72"/>
      <c r="FB16" s="81"/>
      <c r="FC16" s="81"/>
      <c r="FD16" s="81"/>
      <c r="FE16" s="73" t="str">
        <f>IFERROR(IF(#REF!="","",IFERROR(#REF!*(#REF!/100),""))+IF(#REF!="","",IFERROR(#REF!*(#REF!/100),"")),"")</f>
        <v/>
      </c>
      <c r="FF16" s="81" t="str">
        <f t="shared" si="49"/>
        <v/>
      </c>
      <c r="FG16" s="170">
        <f t="shared" si="2"/>
        <v>118.6159</v>
      </c>
      <c r="FH16" s="171">
        <f t="shared" si="50"/>
        <v>0.72770490797546006</v>
      </c>
      <c r="FI16" s="84"/>
      <c r="FJ16" s="84"/>
      <c r="FK16" s="170" t="str">
        <f>IFERROR(IF(#REF!="","",IFERROR(#REF!*(#REF!/100),""))+IF(#REF!="","",IFERROR(#REF!*(#REF!/100),"")),"")</f>
        <v/>
      </c>
      <c r="FL16" s="171" t="str">
        <f t="shared" si="51"/>
        <v/>
      </c>
      <c r="FM16" s="170" t="str">
        <f>IFERROR(IF(#REF!="","",IFERROR(#REF!*(#REF!/100),"")),"")</f>
        <v/>
      </c>
      <c r="FN16" s="171" t="str">
        <f t="shared" si="52"/>
        <v/>
      </c>
      <c r="FO16" s="169">
        <f t="shared" si="3"/>
        <v>638.99461293507886</v>
      </c>
      <c r="FP16" s="93" t="e">
        <f t="shared" si="53"/>
        <v>#REF!</v>
      </c>
    </row>
    <row r="17" spans="1:172">
      <c r="A17" s="108">
        <v>7</v>
      </c>
      <c r="B17" s="109" t="s">
        <v>199</v>
      </c>
      <c r="C17" s="109" t="s">
        <v>200</v>
      </c>
      <c r="D17" s="66">
        <f>'MK1-TM'!D25</f>
        <v>89.38</v>
      </c>
      <c r="E17" s="66">
        <f>'MK1-TM'!E25</f>
        <v>89.33</v>
      </c>
      <c r="F17" s="66">
        <f>'MK1-TM'!F25</f>
        <v>89.25</v>
      </c>
      <c r="G17" s="66">
        <f>'MK1-TM'!G25</f>
        <v>78.180000000000007</v>
      </c>
      <c r="H17" s="66">
        <f>'MK1-TM'!H25</f>
        <v>80</v>
      </c>
      <c r="I17" s="66">
        <f t="shared" si="4"/>
        <v>97.713099999999997</v>
      </c>
      <c r="J17" s="83">
        <f>'MK2-TO'!D25</f>
        <v>85.63</v>
      </c>
      <c r="K17" s="83">
        <f>'MK2-TO'!E25</f>
        <v>86.78</v>
      </c>
      <c r="L17" s="83">
        <f>'MK2-TO'!F25</f>
        <v>88.46</v>
      </c>
      <c r="M17" s="83">
        <f t="shared" si="5"/>
        <v>87.251199999999997</v>
      </c>
      <c r="N17" s="67">
        <f>'MK3-PSTI'!D25</f>
        <v>86.71</v>
      </c>
      <c r="O17" s="67">
        <f>'MK3-PSTI'!E25</f>
        <v>85.62</v>
      </c>
      <c r="P17" s="67">
        <f>'MK3-PSTI'!F25</f>
        <v>82.35</v>
      </c>
      <c r="Q17" s="67">
        <f t="shared" si="6"/>
        <v>84.203000000000003</v>
      </c>
      <c r="R17" s="68">
        <f>IF('MK4-L&amp;A'!D25="","",'MK4-L&amp;A'!D25)</f>
        <v>91.67</v>
      </c>
      <c r="S17" s="68">
        <f>'MK4-L&amp;A'!E25</f>
        <v>90.91</v>
      </c>
      <c r="T17" s="68">
        <f>'MK4-L&amp;A'!F25</f>
        <v>80.099999999999994</v>
      </c>
      <c r="U17" s="68">
        <f t="shared" si="7"/>
        <v>85.749899999999997</v>
      </c>
      <c r="V17" s="69">
        <f>'MK5-BP'!D25</f>
        <v>88.9</v>
      </c>
      <c r="W17" s="69">
        <f>'MK5-BP'!E25</f>
        <v>88.1</v>
      </c>
      <c r="X17" s="69">
        <f t="shared" si="8"/>
        <v>88.5</v>
      </c>
      <c r="Y17" s="37">
        <f>IF('MK7-MBD'!D24="","",'MK7-MBD'!D24)</f>
        <v>85.7</v>
      </c>
      <c r="Z17" s="37">
        <f>IF('MK7-MBD'!E24="","",'MK7-MBD'!E24)</f>
        <v>85.7</v>
      </c>
      <c r="AA17" s="37">
        <f t="shared" si="9"/>
        <v>85.7</v>
      </c>
      <c r="AB17" s="70">
        <f>IF(MK8_BID!D25="","",MK8_BID!D25)</f>
        <v>90.15</v>
      </c>
      <c r="AC17" s="70">
        <f t="shared" si="10"/>
        <v>90.15</v>
      </c>
      <c r="AE17" s="71">
        <f t="shared" si="0"/>
        <v>90.061299999999989</v>
      </c>
      <c r="AF17" s="72">
        <f t="shared" si="54"/>
        <v>41.888976744186039</v>
      </c>
      <c r="AG17" s="71"/>
      <c r="AH17" s="72"/>
      <c r="AI17" s="71">
        <f t="shared" si="12"/>
        <v>60.950600000000001</v>
      </c>
      <c r="AJ17" s="72">
        <f t="shared" si="13"/>
        <v>89.633235294117654</v>
      </c>
      <c r="AK17" s="71" t="str">
        <f>IFERROR((#REF!*(#REF!/100)),"")</f>
        <v/>
      </c>
      <c r="AL17" s="72" t="str">
        <f t="shared" si="14"/>
        <v/>
      </c>
      <c r="AM17" s="72"/>
      <c r="AN17" s="72"/>
      <c r="AO17" s="72"/>
      <c r="AP17" s="72"/>
      <c r="AQ17" s="72"/>
      <c r="AR17" s="72"/>
      <c r="AS17" s="72"/>
      <c r="AT17" s="72"/>
      <c r="AU17" s="71">
        <f t="shared" si="15"/>
        <v>83.298999999999992</v>
      </c>
      <c r="AV17" s="72">
        <f t="shared" si="55"/>
        <v>84.140404040404036</v>
      </c>
      <c r="AW17" s="71" t="str">
        <f>IFERROR((AB17*($AB$9/100)+#REF!*(#REF!/100)+#REF!*(#REF!/100)),"")</f>
        <v/>
      </c>
      <c r="AX17" s="72" t="str">
        <f t="shared" si="16"/>
        <v/>
      </c>
      <c r="AY17" s="72"/>
      <c r="AZ17" s="72"/>
      <c r="BA17" s="71" t="str">
        <f>IFERROR((#REF!*(#REF!/100)+#REF!*(#REF!/100)+#REF!*(#REF!/100)),"")</f>
        <v/>
      </c>
      <c r="BB17" s="72" t="str">
        <f t="shared" si="56"/>
        <v/>
      </c>
      <c r="BC17" s="71">
        <f t="shared" si="1"/>
        <v>137.70089999999999</v>
      </c>
      <c r="BD17" s="72">
        <f t="shared" si="57"/>
        <v>84.479079754601216</v>
      </c>
      <c r="BE17" s="2" t="str">
        <f>IFERROR((#REF!*(#REF!/100)+#REF!*(#REF!/100)+#REF!*(#REF!/100)),"")</f>
        <v/>
      </c>
      <c r="BF17" s="71" t="str">
        <f t="shared" si="58"/>
        <v/>
      </c>
      <c r="BI17" s="4">
        <f t="shared" si="17"/>
        <v>42.85</v>
      </c>
      <c r="BJ17" s="81">
        <f t="shared" si="59"/>
        <v>0.85699999999999998</v>
      </c>
      <c r="BK17" s="4">
        <f t="shared" si="18"/>
        <v>133</v>
      </c>
      <c r="BL17" s="81">
        <f t="shared" si="60"/>
        <v>0.88666666666666671</v>
      </c>
      <c r="BM17" s="73"/>
      <c r="BN17" s="81" t="str">
        <f t="shared" si="61"/>
        <v/>
      </c>
      <c r="BO17" s="73">
        <f t="shared" si="19"/>
        <v>33.5105</v>
      </c>
      <c r="BP17" s="81">
        <f t="shared" si="20"/>
        <v>0.88185526315789475</v>
      </c>
      <c r="BQ17" s="73">
        <f t="shared" si="21"/>
        <v>19.6526</v>
      </c>
      <c r="BR17" s="79">
        <f t="shared" si="22"/>
        <v>0.89329999999999998</v>
      </c>
      <c r="BS17" s="73">
        <f t="shared" si="62"/>
        <v>37.028099999999995</v>
      </c>
      <c r="BT17" s="79">
        <f t="shared" si="23"/>
        <v>0.90312439024390234</v>
      </c>
      <c r="BU17" s="73">
        <f t="shared" si="24"/>
        <v>77.874300000000005</v>
      </c>
      <c r="BV17" s="79">
        <f t="shared" si="25"/>
        <v>0.85576153846153857</v>
      </c>
      <c r="BW17" s="184">
        <f t="shared" si="26"/>
        <v>99.600499999999982</v>
      </c>
      <c r="BX17" s="79">
        <f t="shared" si="27"/>
        <v>0.80976016260162587</v>
      </c>
      <c r="BY17" s="4"/>
      <c r="BZ17" s="4"/>
      <c r="CA17" s="73"/>
      <c r="CB17" s="81" t="str">
        <f t="shared" si="28"/>
        <v/>
      </c>
      <c r="CC17" s="73"/>
      <c r="CD17" s="81"/>
      <c r="CE17" s="73">
        <f t="shared" si="29"/>
        <v>44.45</v>
      </c>
      <c r="CF17" s="81">
        <f t="shared" si="30"/>
        <v>0.88900000000000001</v>
      </c>
      <c r="CG17" s="4">
        <f t="shared" si="31"/>
        <v>44.05</v>
      </c>
      <c r="CH17" s="79">
        <f t="shared" si="32"/>
        <v>0.88099999999999989</v>
      </c>
      <c r="CI17" s="4"/>
      <c r="CJ17" s="4"/>
      <c r="CK17" s="4"/>
      <c r="CL17" s="4"/>
      <c r="CM17" s="4"/>
      <c r="CN17" s="4"/>
      <c r="CO17" s="4"/>
      <c r="CP17" s="4"/>
      <c r="CQ17" s="73"/>
      <c r="CR17" s="79" t="str">
        <f t="shared" si="33"/>
        <v/>
      </c>
      <c r="CS17" s="4"/>
      <c r="CT17" s="79" t="str">
        <f t="shared" si="34"/>
        <v/>
      </c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73"/>
      <c r="DT17" s="79" t="str">
        <f t="shared" si="35"/>
        <v/>
      </c>
      <c r="DU17" s="4"/>
      <c r="DV17" s="4"/>
      <c r="DW17" s="4"/>
      <c r="DX17" s="4"/>
      <c r="DY17" s="73"/>
      <c r="DZ17" s="81" t="str">
        <f t="shared" si="36"/>
        <v/>
      </c>
      <c r="EA17" s="73"/>
      <c r="EB17" s="81"/>
      <c r="EC17" s="73">
        <f t="shared" si="37"/>
        <v>13.700799999999999</v>
      </c>
      <c r="ED17" s="81">
        <f t="shared" si="38"/>
        <v>0.85629999999999995</v>
      </c>
      <c r="EE17" s="72"/>
      <c r="EF17" s="81" t="str">
        <f t="shared" si="39"/>
        <v/>
      </c>
      <c r="EG17" s="183"/>
      <c r="EH17" s="81" t="str">
        <f t="shared" si="40"/>
        <v/>
      </c>
      <c r="EI17" s="72">
        <f t="shared" si="41"/>
        <v>39.051000000000002</v>
      </c>
      <c r="EJ17" s="81">
        <f t="shared" si="42"/>
        <v>0.86780000000000002</v>
      </c>
      <c r="EK17" s="4"/>
      <c r="EL17" s="4"/>
      <c r="EM17" s="73">
        <f t="shared" si="43"/>
        <v>34.499400000000001</v>
      </c>
      <c r="EN17" s="79">
        <f t="shared" si="44"/>
        <v>0.88460000000000005</v>
      </c>
      <c r="EO17" s="4"/>
      <c r="EP17" s="4" t="str">
        <f t="shared" si="45"/>
        <v/>
      </c>
      <c r="EQ17" s="4"/>
      <c r="ER17" s="4"/>
      <c r="ES17" s="4"/>
      <c r="ET17" s="79" t="str">
        <f t="shared" si="46"/>
        <v/>
      </c>
      <c r="EU17" s="4"/>
      <c r="EV17" s="79" t="str">
        <f t="shared" si="47"/>
        <v/>
      </c>
      <c r="EW17" s="73"/>
      <c r="EX17" s="81" t="str">
        <f t="shared" si="48"/>
        <v/>
      </c>
      <c r="EY17" s="72"/>
      <c r="EZ17" s="81"/>
      <c r="FA17" s="72"/>
      <c r="FB17" s="81"/>
      <c r="FC17" s="81"/>
      <c r="FD17" s="81"/>
      <c r="FE17" s="73"/>
      <c r="FF17" s="81" t="str">
        <f t="shared" si="49"/>
        <v/>
      </c>
      <c r="FG17" s="170">
        <f t="shared" si="2"/>
        <v>137.70089999999999</v>
      </c>
      <c r="FH17" s="171">
        <f t="shared" si="50"/>
        <v>0.84479079754601216</v>
      </c>
      <c r="FI17" s="84"/>
      <c r="FJ17" s="84"/>
      <c r="FK17" s="170" t="str">
        <f>IFERROR(IF(#REF!="","",IFERROR(#REF!*(#REF!/100),""))+IF(#REF!="","",IFERROR(#REF!*(#REF!/100),"")),"")</f>
        <v/>
      </c>
      <c r="FL17" s="171" t="str">
        <f t="shared" si="51"/>
        <v/>
      </c>
      <c r="FM17" s="170" t="str">
        <f>IFERROR(IF(#REF!="","",IFERROR(#REF!*(#REF!/100),"")),"")</f>
        <v/>
      </c>
      <c r="FN17" s="171" t="str">
        <f t="shared" si="52"/>
        <v/>
      </c>
      <c r="FO17" s="169">
        <f t="shared" si="3"/>
        <v>768.27905881867764</v>
      </c>
      <c r="FP17" s="93" t="e">
        <f t="shared" si="53"/>
        <v>#REF!</v>
      </c>
    </row>
    <row r="18" spans="1:172">
      <c r="A18" s="108">
        <v>8</v>
      </c>
      <c r="B18" s="109" t="s">
        <v>201</v>
      </c>
      <c r="C18" s="109" t="s">
        <v>202</v>
      </c>
      <c r="D18" s="66">
        <f>'MK1-TM'!D26</f>
        <v>70.38</v>
      </c>
      <c r="E18" s="66">
        <f>'MK1-TM'!E26</f>
        <v>69.069999999999993</v>
      </c>
      <c r="F18" s="66">
        <f>'MK1-TM'!F26</f>
        <v>65.150000000000006</v>
      </c>
      <c r="G18" s="66">
        <f>'MK1-TM'!G26</f>
        <v>62.05</v>
      </c>
      <c r="H18" s="66">
        <f>'MK1-TM'!H26</f>
        <v>62.41</v>
      </c>
      <c r="I18" s="66">
        <f t="shared" si="4"/>
        <v>75.454199999999986</v>
      </c>
      <c r="J18" s="83">
        <f>'MK2-TO'!D26</f>
        <v>75</v>
      </c>
      <c r="K18" s="83">
        <f>'MK2-TO'!E26</f>
        <v>71.11</v>
      </c>
      <c r="L18" s="83">
        <f>'MK2-TO'!F26</f>
        <v>68.209999999999994</v>
      </c>
      <c r="M18" s="83">
        <f t="shared" si="5"/>
        <v>70.601399999999998</v>
      </c>
      <c r="N18" s="67">
        <f>'MK3-PSTI'!D26</f>
        <v>80.94</v>
      </c>
      <c r="O18" s="67">
        <f>'MK3-PSTI'!E26</f>
        <v>79.239999999999995</v>
      </c>
      <c r="P18" s="67">
        <f>'MK3-PSTI'!F26</f>
        <v>74.59</v>
      </c>
      <c r="Q18" s="67">
        <f t="shared" si="6"/>
        <v>77.250500000000002</v>
      </c>
      <c r="R18" s="68">
        <f>IF('MK4-L&amp;A'!D26="","",'MK4-L&amp;A'!D26)</f>
        <v>86.11</v>
      </c>
      <c r="S18" s="68">
        <f>'MK4-L&amp;A'!E26</f>
        <v>83.33</v>
      </c>
      <c r="T18" s="68">
        <f>'MK4-L&amp;A'!F26</f>
        <v>87.24</v>
      </c>
      <c r="U18" s="68">
        <f t="shared" si="7"/>
        <v>85.746299999999991</v>
      </c>
      <c r="V18" s="69">
        <f>'MK5-BP'!D26</f>
        <v>71.599999999999994</v>
      </c>
      <c r="W18" s="69">
        <f>'MK5-BP'!E26</f>
        <v>71.599999999999994</v>
      </c>
      <c r="X18" s="69">
        <f t="shared" si="8"/>
        <v>71.599999999999994</v>
      </c>
      <c r="Y18" s="37">
        <f>IF('MK7-MBD'!D25="","",'MK7-MBD'!D25)</f>
        <v>77.900000000000006</v>
      </c>
      <c r="Z18" s="37">
        <f>IF('MK7-MBD'!E25="","",'MK7-MBD'!E25)</f>
        <v>77.900000000000006</v>
      </c>
      <c r="AA18" s="37">
        <f t="shared" si="9"/>
        <v>77.900000000000006</v>
      </c>
      <c r="AB18" s="70">
        <f>IF(MK8_BID!D26="","",MK8_BID!D26)</f>
        <v>81.400000000000006</v>
      </c>
      <c r="AC18" s="70">
        <f t="shared" si="10"/>
        <v>81.400000000000006</v>
      </c>
      <c r="AE18" s="71">
        <f t="shared" si="0"/>
        <v>79.489599999999996</v>
      </c>
      <c r="AF18" s="72">
        <f t="shared" si="54"/>
        <v>36.971906976744187</v>
      </c>
      <c r="AG18" s="71" t="str">
        <f>IFERROR((#REF!*(#REF!/100)),"")</f>
        <v/>
      </c>
      <c r="AH18" s="72" t="str">
        <f t="shared" si="11"/>
        <v/>
      </c>
      <c r="AI18" s="71">
        <f t="shared" si="12"/>
        <v>51.299799999999998</v>
      </c>
      <c r="AJ18" s="72">
        <f t="shared" si="13"/>
        <v>75.440882352941173</v>
      </c>
      <c r="AK18" s="71" t="str">
        <f>IFERROR((#REF!*(#REF!/100)),"")</f>
        <v/>
      </c>
      <c r="AL18" s="72" t="str">
        <f t="shared" si="14"/>
        <v/>
      </c>
      <c r="AM18" s="72"/>
      <c r="AN18" s="72"/>
      <c r="AO18" s="72"/>
      <c r="AP18" s="72"/>
      <c r="AQ18" s="72"/>
      <c r="AR18" s="72"/>
      <c r="AS18" s="72"/>
      <c r="AT18" s="72"/>
      <c r="AU18" s="71">
        <f t="shared" si="15"/>
        <v>78.547599999999989</v>
      </c>
      <c r="AV18" s="72">
        <f t="shared" si="55"/>
        <v>79.341010101010085</v>
      </c>
      <c r="AW18" s="71" t="str">
        <f>IFERROR((AB18*($AB$9/100)+#REF!*(#REF!/100)+#REF!*(#REF!/100)),"")</f>
        <v/>
      </c>
      <c r="AX18" s="72" t="str">
        <f t="shared" si="16"/>
        <v/>
      </c>
      <c r="AY18" s="72"/>
      <c r="AZ18" s="72"/>
      <c r="BA18" s="71" t="str">
        <f>IFERROR((#REF!*(#REF!/100)+#REF!*(#REF!/100)+#REF!*(#REF!/100)),"")</f>
        <v/>
      </c>
      <c r="BB18" s="72" t="str">
        <f t="shared" si="56"/>
        <v/>
      </c>
      <c r="BC18" s="71">
        <f t="shared" si="1"/>
        <v>117.70350000000001</v>
      </c>
      <c r="BD18" s="72">
        <f t="shared" si="57"/>
        <v>72.210736196319019</v>
      </c>
      <c r="BE18" s="2" t="str">
        <f>IFERROR((#REF!*(#REF!/100)+#REF!*(#REF!/100)+#REF!*(#REF!/100)),"")</f>
        <v/>
      </c>
      <c r="BF18" s="71" t="str">
        <f t="shared" si="58"/>
        <v/>
      </c>
      <c r="BI18" s="4">
        <f t="shared" si="17"/>
        <v>38.950000000000003</v>
      </c>
      <c r="BJ18" s="81">
        <f t="shared" si="59"/>
        <v>0.77900000000000003</v>
      </c>
      <c r="BK18" s="4">
        <f t="shared" si="18"/>
        <v>120.35000000000001</v>
      </c>
      <c r="BL18" s="81">
        <f t="shared" si="60"/>
        <v>0.80233333333333334</v>
      </c>
      <c r="BM18" s="73"/>
      <c r="BN18" s="81" t="str">
        <f t="shared" si="61"/>
        <v/>
      </c>
      <c r="BO18" s="73">
        <f t="shared" si="19"/>
        <v>28.5396</v>
      </c>
      <c r="BP18" s="81">
        <f t="shared" si="20"/>
        <v>0.75104210526315784</v>
      </c>
      <c r="BQ18" s="73">
        <f t="shared" si="21"/>
        <v>15.195399999999999</v>
      </c>
      <c r="BR18" s="79">
        <f t="shared" si="22"/>
        <v>0.69069999999999998</v>
      </c>
      <c r="BS18" s="73">
        <f t="shared" si="62"/>
        <v>30.484300000000001</v>
      </c>
      <c r="BT18" s="79">
        <f t="shared" si="23"/>
        <v>0.74351951219512202</v>
      </c>
      <c r="BU18" s="73">
        <f t="shared" si="24"/>
        <v>69.33250000000001</v>
      </c>
      <c r="BV18" s="79">
        <f t="shared" si="25"/>
        <v>0.76189560439560455</v>
      </c>
      <c r="BW18" s="184">
        <f t="shared" si="26"/>
        <v>94.899200000000008</v>
      </c>
      <c r="BX18" s="79">
        <f t="shared" si="27"/>
        <v>0.77153821138211387</v>
      </c>
      <c r="BY18" s="4"/>
      <c r="BZ18" s="4"/>
      <c r="CA18" s="73"/>
      <c r="CB18" s="81" t="str">
        <f t="shared" si="28"/>
        <v/>
      </c>
      <c r="CC18" s="73"/>
      <c r="CD18" s="81"/>
      <c r="CE18" s="73">
        <f t="shared" si="29"/>
        <v>35.799999999999997</v>
      </c>
      <c r="CF18" s="81">
        <f t="shared" si="30"/>
        <v>0.71599999999999997</v>
      </c>
      <c r="CG18" s="4">
        <f t="shared" si="31"/>
        <v>35.799999999999997</v>
      </c>
      <c r="CH18" s="79">
        <f t="shared" si="32"/>
        <v>0.71599999999999997</v>
      </c>
      <c r="CI18" s="4"/>
      <c r="CJ18" s="4"/>
      <c r="CK18" s="4"/>
      <c r="CL18" s="4"/>
      <c r="CM18" s="4"/>
      <c r="CN18" s="4"/>
      <c r="CO18" s="4"/>
      <c r="CP18" s="4"/>
      <c r="CQ18" s="73"/>
      <c r="CR18" s="79" t="str">
        <f t="shared" si="33"/>
        <v/>
      </c>
      <c r="CS18" s="4"/>
      <c r="CT18" s="79" t="str">
        <f t="shared" si="34"/>
        <v/>
      </c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4"/>
      <c r="DL18" s="4"/>
      <c r="DM18" s="4"/>
      <c r="DN18" s="4"/>
      <c r="DO18" s="4"/>
      <c r="DP18" s="4"/>
      <c r="DQ18" s="4"/>
      <c r="DR18" s="4"/>
      <c r="DS18" s="73"/>
      <c r="DT18" s="79" t="str">
        <f t="shared" si="35"/>
        <v/>
      </c>
      <c r="DU18" s="4"/>
      <c r="DV18" s="4"/>
      <c r="DW18" s="4"/>
      <c r="DX18" s="4"/>
      <c r="DY18" s="73"/>
      <c r="DZ18" s="81" t="str">
        <f t="shared" si="36"/>
        <v/>
      </c>
      <c r="EA18" s="73"/>
      <c r="EB18" s="81"/>
      <c r="EC18" s="73">
        <f t="shared" si="37"/>
        <v>12</v>
      </c>
      <c r="ED18" s="81">
        <f t="shared" si="38"/>
        <v>0.75</v>
      </c>
      <c r="EE18" s="72"/>
      <c r="EF18" s="81" t="str">
        <f t="shared" si="39"/>
        <v/>
      </c>
      <c r="EG18" s="183"/>
      <c r="EH18" s="81" t="str">
        <f t="shared" si="40"/>
        <v/>
      </c>
      <c r="EI18" s="72">
        <f t="shared" si="41"/>
        <v>31.999500000000001</v>
      </c>
      <c r="EJ18" s="81">
        <f t="shared" si="42"/>
        <v>0.71110000000000007</v>
      </c>
      <c r="EK18" s="4"/>
      <c r="EL18" s="4"/>
      <c r="EM18" s="73">
        <f t="shared" si="43"/>
        <v>26.601899999999997</v>
      </c>
      <c r="EN18" s="79">
        <f t="shared" si="44"/>
        <v>0.68209999999999993</v>
      </c>
      <c r="EO18" s="4"/>
      <c r="EP18" s="4" t="str">
        <f t="shared" si="45"/>
        <v/>
      </c>
      <c r="EQ18" s="4"/>
      <c r="ER18" s="4"/>
      <c r="ES18" s="4"/>
      <c r="ET18" s="79" t="str">
        <f t="shared" si="46"/>
        <v/>
      </c>
      <c r="EU18" s="4"/>
      <c r="EV18" s="79" t="str">
        <f t="shared" si="47"/>
        <v/>
      </c>
      <c r="EW18" s="73" t="str">
        <f>IFERROR(IF(#REF!="","",IFERROR(#REF!*(#REF!/100),"")),"")</f>
        <v/>
      </c>
      <c r="EX18" s="81" t="str">
        <f t="shared" si="48"/>
        <v/>
      </c>
      <c r="EY18" s="72"/>
      <c r="EZ18" s="81"/>
      <c r="FA18" s="72"/>
      <c r="FB18" s="81"/>
      <c r="FC18" s="81"/>
      <c r="FD18" s="81"/>
      <c r="FE18" s="73" t="str">
        <f>IFERROR(IF(#REF!="","",IFERROR(#REF!*(#REF!/100),""))+IF(#REF!="","",IFERROR(#REF!*(#REF!/100),"")),"")</f>
        <v/>
      </c>
      <c r="FF18" s="81" t="str">
        <f t="shared" si="49"/>
        <v/>
      </c>
      <c r="FG18" s="170">
        <f t="shared" si="2"/>
        <v>117.70350000000001</v>
      </c>
      <c r="FH18" s="171">
        <f t="shared" si="50"/>
        <v>0.72210736196319025</v>
      </c>
      <c r="FI18" s="84"/>
      <c r="FJ18" s="84"/>
      <c r="FK18" s="170" t="str">
        <f>IFERROR(IF(#REF!="","",IFERROR(#REF!*(#REF!/100),""))+IF(#REF!="","",IFERROR(#REF!*(#REF!/100),"")),"")</f>
        <v/>
      </c>
      <c r="FL18" s="171" t="str">
        <f t="shared" si="51"/>
        <v/>
      </c>
      <c r="FM18" s="170" t="str">
        <f>IFERROR(IF(#REF!="","",IFERROR(#REF!*(#REF!/100),"")),"")</f>
        <v/>
      </c>
      <c r="FN18" s="171" t="str">
        <f t="shared" si="52"/>
        <v/>
      </c>
      <c r="FO18" s="169">
        <f t="shared" si="3"/>
        <v>667.25323612853242</v>
      </c>
      <c r="FP18" s="93" t="e">
        <f t="shared" si="53"/>
        <v>#REF!</v>
      </c>
    </row>
    <row r="19" spans="1:172">
      <c r="A19" s="108">
        <v>9</v>
      </c>
      <c r="B19" s="109" t="s">
        <v>203</v>
      </c>
      <c r="C19" s="109" t="s">
        <v>204</v>
      </c>
      <c r="D19" s="66">
        <f>'MK1-TM'!D27</f>
        <v>53</v>
      </c>
      <c r="E19" s="66">
        <f>'MK1-TM'!E27</f>
        <v>50.2</v>
      </c>
      <c r="F19" s="66">
        <f>'MK1-TM'!F27</f>
        <v>45.65</v>
      </c>
      <c r="G19" s="66">
        <f>'MK1-TM'!G27</f>
        <v>48.32</v>
      </c>
      <c r="H19" s="66">
        <f>'MK1-TM'!H27</f>
        <v>47.93</v>
      </c>
      <c r="I19" s="66">
        <f t="shared" si="4"/>
        <v>56.252800000000001</v>
      </c>
      <c r="J19" s="83">
        <f>'MK2-TO'!D27</f>
        <v>78.13</v>
      </c>
      <c r="K19" s="83">
        <f>'MK2-TO'!E27</f>
        <v>76.11</v>
      </c>
      <c r="L19" s="83">
        <f>'MK2-TO'!F27</f>
        <v>74.36</v>
      </c>
      <c r="M19" s="83">
        <f t="shared" si="5"/>
        <v>75.750699999999995</v>
      </c>
      <c r="N19" s="67">
        <f>'MK3-PSTI'!D27</f>
        <v>78.47</v>
      </c>
      <c r="O19" s="67">
        <f>'MK3-PSTI'!E27</f>
        <v>75.03</v>
      </c>
      <c r="P19" s="67">
        <f>'MK3-PSTI'!F27</f>
        <v>74.180000000000007</v>
      </c>
      <c r="Q19" s="67">
        <f t="shared" si="6"/>
        <v>75.198300000000003</v>
      </c>
      <c r="R19" s="68">
        <f>IF('MK4-L&amp;A'!D27="","",'MK4-L&amp;A'!D27)</f>
        <v>91.67</v>
      </c>
      <c r="S19" s="68">
        <f>'MK4-L&amp;A'!E27</f>
        <v>90.91</v>
      </c>
      <c r="T19" s="68">
        <f>'MK4-L&amp;A'!F27</f>
        <v>80.099999999999994</v>
      </c>
      <c r="U19" s="68">
        <f t="shared" si="7"/>
        <v>85.749899999999997</v>
      </c>
      <c r="V19" s="69">
        <f>'MK5-BP'!D27</f>
        <v>69.5</v>
      </c>
      <c r="W19" s="69">
        <f>'MK5-BP'!E27</f>
        <v>68.7</v>
      </c>
      <c r="X19" s="69">
        <f t="shared" si="8"/>
        <v>69.099999999999994</v>
      </c>
      <c r="Y19" s="37">
        <f>IF('MK7-MBD'!D26="","",'MK7-MBD'!D26)</f>
        <v>84.5</v>
      </c>
      <c r="Z19" s="37">
        <f>IF('MK7-MBD'!E26="","",'MK7-MBD'!E26)</f>
        <v>84.5</v>
      </c>
      <c r="AA19" s="37">
        <f t="shared" si="9"/>
        <v>84.5</v>
      </c>
      <c r="AB19" s="70">
        <f>IF(MK8_BID!D27="","",MK8_BID!D27)</f>
        <v>81.400000000000006</v>
      </c>
      <c r="AC19" s="70">
        <f t="shared" si="10"/>
        <v>81.400000000000006</v>
      </c>
      <c r="AE19" s="71">
        <f t="shared" si="0"/>
        <v>79.220699999999994</v>
      </c>
      <c r="AF19" s="72">
        <f t="shared" si="54"/>
        <v>36.846837209302322</v>
      </c>
      <c r="AG19" s="71" t="str">
        <f>IFERROR((#REF!*(#REF!/100)),"")</f>
        <v/>
      </c>
      <c r="AH19" s="72" t="str">
        <f t="shared" si="11"/>
        <v/>
      </c>
      <c r="AI19" s="71">
        <f t="shared" si="12"/>
        <v>51.250599999999999</v>
      </c>
      <c r="AJ19" s="72">
        <f t="shared" si="13"/>
        <v>75.368529411764712</v>
      </c>
      <c r="AK19" s="71" t="str">
        <f>IFERROR((#REF!*(#REF!/100)),"")</f>
        <v/>
      </c>
      <c r="AL19" s="72" t="str">
        <f t="shared" si="14"/>
        <v/>
      </c>
      <c r="AM19" s="72"/>
      <c r="AN19" s="72"/>
      <c r="AO19" s="72"/>
      <c r="AP19" s="72"/>
      <c r="AQ19" s="72"/>
      <c r="AR19" s="72"/>
      <c r="AS19" s="72"/>
      <c r="AT19" s="72"/>
      <c r="AU19" s="71">
        <f t="shared" si="15"/>
        <v>73.59899999999999</v>
      </c>
      <c r="AV19" s="72">
        <f t="shared" si="55"/>
        <v>74.342424242424229</v>
      </c>
      <c r="AW19" s="71" t="str">
        <f>IFERROR((AB19*($AB$9/100)+#REF!*(#REF!/100)+#REF!*(#REF!/100)),"")</f>
        <v/>
      </c>
      <c r="AX19" s="72" t="str">
        <f t="shared" si="16"/>
        <v/>
      </c>
      <c r="AY19" s="72"/>
      <c r="AZ19" s="72"/>
      <c r="BA19" s="71" t="str">
        <f>IFERROR((#REF!*(#REF!/100)+#REF!*(#REF!/100)+#REF!*(#REF!/100)),"")</f>
        <v/>
      </c>
      <c r="BB19" s="72" t="str">
        <f t="shared" si="56"/>
        <v/>
      </c>
      <c r="BC19" s="71">
        <f t="shared" si="1"/>
        <v>119.58110000000001</v>
      </c>
      <c r="BD19" s="72">
        <f t="shared" si="57"/>
        <v>73.362638036809827</v>
      </c>
      <c r="BE19" s="2" t="str">
        <f>IFERROR((#REF!*(#REF!/100)+#REF!*(#REF!/100)+#REF!*(#REF!/100)),"")</f>
        <v/>
      </c>
      <c r="BF19" s="71" t="str">
        <f t="shared" si="58"/>
        <v/>
      </c>
      <c r="BI19" s="4">
        <f t="shared" si="17"/>
        <v>42.25</v>
      </c>
      <c r="BJ19" s="81">
        <f t="shared" si="59"/>
        <v>0.84499999999999997</v>
      </c>
      <c r="BK19" s="4">
        <f t="shared" si="18"/>
        <v>123.65</v>
      </c>
      <c r="BL19" s="81">
        <f t="shared" si="60"/>
        <v>0.82433333333333336</v>
      </c>
      <c r="BM19" s="73"/>
      <c r="BN19" s="81" t="str">
        <f t="shared" si="61"/>
        <v/>
      </c>
      <c r="BO19" s="73">
        <f t="shared" si="19"/>
        <v>24.469899999999999</v>
      </c>
      <c r="BP19" s="81">
        <f t="shared" si="20"/>
        <v>0.64394473684210529</v>
      </c>
      <c r="BQ19" s="73">
        <f t="shared" si="21"/>
        <v>11.044</v>
      </c>
      <c r="BR19" s="79">
        <f t="shared" si="22"/>
        <v>0.502</v>
      </c>
      <c r="BS19" s="73">
        <f t="shared" si="62"/>
        <v>27.000099999999996</v>
      </c>
      <c r="BT19" s="79">
        <f t="shared" si="23"/>
        <v>0.65853902439024381</v>
      </c>
      <c r="BU19" s="73">
        <f t="shared" si="24"/>
        <v>67.107299999999995</v>
      </c>
      <c r="BV19" s="79">
        <f t="shared" si="25"/>
        <v>0.73744285714285707</v>
      </c>
      <c r="BW19" s="184">
        <f t="shared" si="26"/>
        <v>87.579700000000003</v>
      </c>
      <c r="BX19" s="79">
        <f t="shared" si="27"/>
        <v>0.71203008130081302</v>
      </c>
      <c r="BY19" s="4"/>
      <c r="BZ19" s="4"/>
      <c r="CA19" s="73"/>
      <c r="CB19" s="81" t="str">
        <f t="shared" si="28"/>
        <v/>
      </c>
      <c r="CC19" s="73"/>
      <c r="CD19" s="81"/>
      <c r="CE19" s="73">
        <f t="shared" si="29"/>
        <v>34.75</v>
      </c>
      <c r="CF19" s="81">
        <f t="shared" si="30"/>
        <v>0.69499999999999995</v>
      </c>
      <c r="CG19" s="4">
        <f t="shared" si="31"/>
        <v>34.35</v>
      </c>
      <c r="CH19" s="79">
        <f t="shared" si="32"/>
        <v>0.68700000000000006</v>
      </c>
      <c r="CI19" s="4"/>
      <c r="CJ19" s="4"/>
      <c r="CK19" s="4"/>
      <c r="CL19" s="4"/>
      <c r="CM19" s="4"/>
      <c r="CN19" s="4"/>
      <c r="CO19" s="4"/>
      <c r="CP19" s="4"/>
      <c r="CQ19" s="73"/>
      <c r="CR19" s="79" t="str">
        <f t="shared" si="33"/>
        <v/>
      </c>
      <c r="CS19" s="4"/>
      <c r="CT19" s="79" t="str">
        <f t="shared" si="34"/>
        <v/>
      </c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4"/>
      <c r="DK19" s="4"/>
      <c r="DL19" s="4"/>
      <c r="DM19" s="4"/>
      <c r="DN19" s="4"/>
      <c r="DO19" s="4"/>
      <c r="DP19" s="4"/>
      <c r="DQ19" s="4"/>
      <c r="DR19" s="4"/>
      <c r="DS19" s="73"/>
      <c r="DT19" s="79" t="str">
        <f t="shared" si="35"/>
        <v/>
      </c>
      <c r="DU19" s="4"/>
      <c r="DV19" s="4"/>
      <c r="DW19" s="4"/>
      <c r="DX19" s="4"/>
      <c r="DY19" s="73"/>
      <c r="DZ19" s="81" t="str">
        <f t="shared" si="36"/>
        <v/>
      </c>
      <c r="EA19" s="73"/>
      <c r="EB19" s="81"/>
      <c r="EC19" s="73">
        <f t="shared" si="37"/>
        <v>12.5008</v>
      </c>
      <c r="ED19" s="81">
        <f t="shared" si="38"/>
        <v>0.78129999999999999</v>
      </c>
      <c r="EE19" s="72"/>
      <c r="EF19" s="81" t="str">
        <f t="shared" si="39"/>
        <v/>
      </c>
      <c r="EG19" s="183"/>
      <c r="EH19" s="81" t="str">
        <f t="shared" si="40"/>
        <v/>
      </c>
      <c r="EI19" s="72">
        <f t="shared" si="41"/>
        <v>34.249499999999998</v>
      </c>
      <c r="EJ19" s="81">
        <f t="shared" si="42"/>
        <v>0.7611</v>
      </c>
      <c r="EK19" s="4"/>
      <c r="EL19" s="4"/>
      <c r="EM19" s="73">
        <f t="shared" si="43"/>
        <v>29.000399999999999</v>
      </c>
      <c r="EN19" s="79">
        <f t="shared" si="44"/>
        <v>0.74359999999999993</v>
      </c>
      <c r="EO19" s="4"/>
      <c r="EP19" s="4" t="str">
        <f t="shared" si="45"/>
        <v/>
      </c>
      <c r="EQ19" s="4"/>
      <c r="ER19" s="4"/>
      <c r="ES19" s="4"/>
      <c r="ET19" s="79" t="str">
        <f t="shared" si="46"/>
        <v/>
      </c>
      <c r="EU19" s="4"/>
      <c r="EV19" s="79" t="str">
        <f t="shared" si="47"/>
        <v/>
      </c>
      <c r="EW19" s="73" t="str">
        <f>IFERROR(IF(#REF!="","",IFERROR(#REF!*(#REF!/100),"")),"")</f>
        <v/>
      </c>
      <c r="EX19" s="81" t="str">
        <f t="shared" si="48"/>
        <v/>
      </c>
      <c r="EY19" s="72"/>
      <c r="EZ19" s="81"/>
      <c r="FA19" s="72"/>
      <c r="FB19" s="81"/>
      <c r="FC19" s="81"/>
      <c r="FD19" s="81"/>
      <c r="FE19" s="73" t="str">
        <f>IFERROR(IF(#REF!="","",IFERROR(#REF!*(#REF!/100),""))+IF(#REF!="","",IFERROR(#REF!*(#REF!/100),"")),"")</f>
        <v/>
      </c>
      <c r="FF19" s="81" t="str">
        <f t="shared" si="49"/>
        <v/>
      </c>
      <c r="FG19" s="170">
        <f t="shared" si="2"/>
        <v>119.58110000000001</v>
      </c>
      <c r="FH19" s="171">
        <f t="shared" si="50"/>
        <v>0.73362638036809824</v>
      </c>
      <c r="FI19" s="84"/>
      <c r="FJ19" s="84"/>
      <c r="FK19" s="170" t="str">
        <f>IFERROR(IF(#REF!="","",IFERROR(#REF!*(#REF!/100),""))+IF(#REF!="","",IFERROR(#REF!*(#REF!/100),"")),"")</f>
        <v/>
      </c>
      <c r="FL19" s="171" t="str">
        <f t="shared" si="51"/>
        <v/>
      </c>
      <c r="FM19" s="170" t="str">
        <f>IFERROR(IF(#REF!="","",IFERROR(#REF!*(#REF!/100),"")),"")</f>
        <v/>
      </c>
      <c r="FN19" s="171" t="str">
        <f t="shared" si="52"/>
        <v/>
      </c>
      <c r="FO19" s="169">
        <f t="shared" si="3"/>
        <v>656.8577164133776</v>
      </c>
      <c r="FP19" s="93" t="e">
        <f t="shared" si="53"/>
        <v>#REF!</v>
      </c>
    </row>
    <row r="20" spans="1:172">
      <c r="A20" s="108">
        <v>10</v>
      </c>
      <c r="B20" s="109" t="s">
        <v>205</v>
      </c>
      <c r="C20" s="109" t="s">
        <v>206</v>
      </c>
      <c r="D20" s="66">
        <f>'MK1-TM'!D28</f>
        <v>85.63</v>
      </c>
      <c r="E20" s="66">
        <f>'MK1-TM'!E28</f>
        <v>85.67</v>
      </c>
      <c r="F20" s="66">
        <f>'MK1-TM'!F28</f>
        <v>83.5</v>
      </c>
      <c r="G20" s="66">
        <f>'MK1-TM'!G28</f>
        <v>55.68</v>
      </c>
      <c r="H20" s="66">
        <f>'MK1-TM'!H28</f>
        <v>55.56</v>
      </c>
      <c r="I20" s="66">
        <f t="shared" si="4"/>
        <v>83.287899999999993</v>
      </c>
      <c r="J20" s="83">
        <f>'MK2-TO'!D28</f>
        <v>82.5</v>
      </c>
      <c r="K20" s="83">
        <f>'MK2-TO'!E28</f>
        <v>81.78</v>
      </c>
      <c r="L20" s="83">
        <f>'MK2-TO'!F28</f>
        <v>85.26</v>
      </c>
      <c r="M20" s="83">
        <f t="shared" si="5"/>
        <v>83.252400000000009</v>
      </c>
      <c r="N20" s="67">
        <f>'MK3-PSTI'!D28</f>
        <v>86.12</v>
      </c>
      <c r="O20" s="67">
        <f>'MK3-PSTI'!E28</f>
        <v>83.71</v>
      </c>
      <c r="P20" s="67">
        <f>'MK3-PSTI'!F28</f>
        <v>80.92</v>
      </c>
      <c r="Q20" s="67">
        <f t="shared" si="6"/>
        <v>82.752600000000001</v>
      </c>
      <c r="R20" s="68">
        <f>IF('MK4-L&amp;A'!D28="","",'MK4-L&amp;A'!D28)</f>
        <v>91.67</v>
      </c>
      <c r="S20" s="68">
        <f>'MK4-L&amp;A'!E28</f>
        <v>90.91</v>
      </c>
      <c r="T20" s="68">
        <f>'MK4-L&amp;A'!F28</f>
        <v>80.099999999999994</v>
      </c>
      <c r="U20" s="68">
        <f t="shared" si="7"/>
        <v>85.749899999999997</v>
      </c>
      <c r="V20" s="69">
        <f>'MK5-BP'!D28</f>
        <v>73.7</v>
      </c>
      <c r="W20" s="69">
        <f>'MK5-BP'!E28</f>
        <v>73</v>
      </c>
      <c r="X20" s="69">
        <f t="shared" si="8"/>
        <v>73.349999999999994</v>
      </c>
      <c r="Y20" s="37">
        <f>IF('MK7-MBD'!D27="","",'MK7-MBD'!D27)</f>
        <v>94.15</v>
      </c>
      <c r="Z20" s="37">
        <f>IF('MK7-MBD'!E27="","",'MK7-MBD'!E27)</f>
        <v>94.15</v>
      </c>
      <c r="AA20" s="37">
        <f t="shared" si="9"/>
        <v>94.15</v>
      </c>
      <c r="AB20" s="70">
        <f>IF(MK8_BID!D28="","",MK8_BID!D28)</f>
        <v>88.5</v>
      </c>
      <c r="AC20" s="70">
        <f t="shared" si="10"/>
        <v>88.5</v>
      </c>
      <c r="AE20" s="71"/>
      <c r="AF20" s="72"/>
      <c r="AG20" s="71"/>
      <c r="AH20" s="72"/>
      <c r="AI20" s="71"/>
      <c r="AJ20" s="72"/>
      <c r="AK20" s="71"/>
      <c r="AL20" s="72"/>
      <c r="AM20" s="72"/>
      <c r="AN20" s="72"/>
      <c r="AO20" s="72"/>
      <c r="AP20" s="72"/>
      <c r="AQ20" s="72"/>
      <c r="AR20" s="72"/>
      <c r="AS20" s="72"/>
      <c r="AT20" s="72"/>
      <c r="AU20" s="71"/>
      <c r="AV20" s="72"/>
      <c r="AW20" s="71"/>
      <c r="AX20" s="72"/>
      <c r="AY20" s="72"/>
      <c r="AZ20" s="72"/>
      <c r="BA20" s="71"/>
      <c r="BB20" s="72"/>
      <c r="BC20" s="71"/>
      <c r="BD20" s="72"/>
      <c r="BE20" s="131"/>
      <c r="BF20" s="71"/>
      <c r="BI20" s="4">
        <f t="shared" si="17"/>
        <v>47.075000000000003</v>
      </c>
      <c r="BJ20" s="81">
        <f t="shared" si="59"/>
        <v>0.9415</v>
      </c>
      <c r="BK20" s="4">
        <f t="shared" si="18"/>
        <v>135.57499999999999</v>
      </c>
      <c r="BL20" s="81">
        <f t="shared" si="60"/>
        <v>0.90383333333333327</v>
      </c>
      <c r="BM20" s="73"/>
      <c r="BN20" s="81" t="str">
        <f t="shared" si="61"/>
        <v/>
      </c>
      <c r="BO20" s="73">
        <f t="shared" si="19"/>
        <v>32.622700000000002</v>
      </c>
      <c r="BP20" s="81">
        <f t="shared" si="20"/>
        <v>0.85849210526315789</v>
      </c>
      <c r="BQ20" s="73">
        <f t="shared" si="21"/>
        <v>18.8474</v>
      </c>
      <c r="BR20" s="79">
        <f t="shared" si="22"/>
        <v>0.85670000000000002</v>
      </c>
      <c r="BS20" s="73">
        <f t="shared" si="62"/>
        <v>35.705600000000004</v>
      </c>
      <c r="BT20" s="79">
        <f t="shared" si="23"/>
        <v>0.87086829268292698</v>
      </c>
      <c r="BU20" s="73">
        <f t="shared" si="24"/>
        <v>71.8249</v>
      </c>
      <c r="BV20" s="79">
        <f t="shared" si="25"/>
        <v>0.78928461538461536</v>
      </c>
      <c r="BW20" s="184">
        <f t="shared" si="26"/>
        <v>92.789799999999985</v>
      </c>
      <c r="BX20" s="79">
        <f t="shared" si="27"/>
        <v>0.75438861788617873</v>
      </c>
      <c r="BY20" s="4"/>
      <c r="BZ20" s="4"/>
      <c r="CA20" s="73"/>
      <c r="CB20" s="81"/>
      <c r="CC20" s="73"/>
      <c r="CD20" s="81"/>
      <c r="CE20" s="73">
        <f t="shared" si="29"/>
        <v>36.85</v>
      </c>
      <c r="CF20" s="81">
        <f t="shared" si="30"/>
        <v>0.73699999999999999</v>
      </c>
      <c r="CG20" s="4">
        <f t="shared" si="31"/>
        <v>36.5</v>
      </c>
      <c r="CH20" s="79">
        <f t="shared" si="32"/>
        <v>0.73</v>
      </c>
      <c r="CI20" s="4"/>
      <c r="CJ20" s="4"/>
      <c r="CK20" s="4"/>
      <c r="CL20" s="4"/>
      <c r="CM20" s="4"/>
      <c r="CN20" s="4"/>
      <c r="CO20" s="4"/>
      <c r="CP20" s="4"/>
      <c r="CQ20" s="73"/>
      <c r="CR20" s="79" t="str">
        <f t="shared" si="33"/>
        <v/>
      </c>
      <c r="CS20" s="4"/>
      <c r="CT20" s="79" t="str">
        <f t="shared" si="34"/>
        <v/>
      </c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4"/>
      <c r="DL20" s="4"/>
      <c r="DM20" s="4"/>
      <c r="DN20" s="4"/>
      <c r="DO20" s="4"/>
      <c r="DP20" s="4"/>
      <c r="DQ20" s="4"/>
      <c r="DR20" s="4"/>
      <c r="DS20" s="73"/>
      <c r="DT20" s="79" t="str">
        <f t="shared" si="35"/>
        <v/>
      </c>
      <c r="DU20" s="4"/>
      <c r="DV20" s="4"/>
      <c r="DW20" s="4"/>
      <c r="DX20" s="4"/>
      <c r="DY20" s="73"/>
      <c r="DZ20" s="81" t="str">
        <f t="shared" si="36"/>
        <v/>
      </c>
      <c r="EA20" s="73"/>
      <c r="EB20" s="81"/>
      <c r="EC20" s="73">
        <f t="shared" si="37"/>
        <v>13.200000000000001</v>
      </c>
      <c r="ED20" s="81">
        <f t="shared" si="38"/>
        <v>0.82500000000000007</v>
      </c>
      <c r="EE20" s="72"/>
      <c r="EF20" s="81" t="str">
        <f t="shared" si="39"/>
        <v/>
      </c>
      <c r="EG20" s="183"/>
      <c r="EH20" s="81" t="str">
        <f t="shared" si="40"/>
        <v/>
      </c>
      <c r="EI20" s="72">
        <f t="shared" si="41"/>
        <v>36.801000000000002</v>
      </c>
      <c r="EJ20" s="81">
        <f t="shared" si="42"/>
        <v>0.81780000000000008</v>
      </c>
      <c r="EK20" s="4"/>
      <c r="EL20" s="4"/>
      <c r="EM20" s="73">
        <f t="shared" si="43"/>
        <v>33.251400000000004</v>
      </c>
      <c r="EN20" s="79">
        <f t="shared" si="44"/>
        <v>0.85260000000000014</v>
      </c>
      <c r="EO20" s="4"/>
      <c r="EP20" s="4" t="str">
        <f t="shared" si="45"/>
        <v/>
      </c>
      <c r="EQ20" s="4"/>
      <c r="ER20" s="4"/>
      <c r="ES20" s="4"/>
      <c r="ET20" s="79" t="str">
        <f t="shared" si="46"/>
        <v/>
      </c>
      <c r="EU20" s="4"/>
      <c r="EV20" s="79" t="str">
        <f t="shared" si="47"/>
        <v/>
      </c>
      <c r="EW20" s="73"/>
      <c r="EX20" s="81"/>
      <c r="EY20" s="72"/>
      <c r="EZ20" s="81"/>
      <c r="FA20" s="72"/>
      <c r="FB20" s="81"/>
      <c r="FC20" s="81"/>
      <c r="FD20" s="81"/>
      <c r="FE20" s="73"/>
      <c r="FF20" s="81"/>
      <c r="FG20" s="170"/>
      <c r="FH20" s="171"/>
      <c r="FI20" s="84"/>
      <c r="FJ20" s="84"/>
      <c r="FK20" s="170"/>
      <c r="FL20" s="171"/>
      <c r="FM20" s="170"/>
      <c r="FN20" s="171"/>
      <c r="FP20" s="93"/>
    </row>
    <row r="21" spans="1:172">
      <c r="A21" s="108">
        <v>11</v>
      </c>
      <c r="B21" s="109" t="s">
        <v>255</v>
      </c>
      <c r="C21" s="109" t="s">
        <v>256</v>
      </c>
      <c r="D21" s="66">
        <f>'MK1-TM'!D29</f>
        <v>18.88</v>
      </c>
      <c r="E21" s="66">
        <f>'MK1-TM'!E29</f>
        <v>20.13</v>
      </c>
      <c r="F21" s="66">
        <f>'MK1-TM'!F29</f>
        <v>10.35</v>
      </c>
      <c r="G21" s="66">
        <f>'MK1-TM'!G29</f>
        <v>5.09</v>
      </c>
      <c r="H21" s="66">
        <f>'MK1-TM'!H29</f>
        <v>2.0699999999999998</v>
      </c>
      <c r="I21" s="66">
        <f t="shared" si="4"/>
        <v>12.513</v>
      </c>
      <c r="J21" s="83">
        <f>'MK2-TO'!D29</f>
        <v>71.88</v>
      </c>
      <c r="K21" s="83">
        <f>'MK2-TO'!E29</f>
        <v>55</v>
      </c>
      <c r="L21" s="83">
        <f>'MK2-TO'!F29</f>
        <v>10.26</v>
      </c>
      <c r="M21" s="83">
        <f t="shared" si="5"/>
        <v>40.252200000000002</v>
      </c>
      <c r="N21" s="67">
        <f>'MK3-PSTI'!D29</f>
        <v>70.59</v>
      </c>
      <c r="O21" s="67">
        <f>'MK3-PSTI'!E29</f>
        <v>66.180000000000007</v>
      </c>
      <c r="P21" s="67">
        <f>'MK3-PSTI'!F29</f>
        <v>15.82</v>
      </c>
      <c r="Q21" s="67">
        <f t="shared" si="6"/>
        <v>42.25330000000001</v>
      </c>
      <c r="R21" s="68">
        <f>IF('MK4-L&amp;A'!D29="","",'MK4-L&amp;A'!D29)</f>
        <v>86.11</v>
      </c>
      <c r="S21" s="68">
        <f>'MK4-L&amp;A'!E29</f>
        <v>83.33</v>
      </c>
      <c r="T21" s="68">
        <f>'MK4-L&amp;A'!F29</f>
        <v>26.53</v>
      </c>
      <c r="U21" s="68">
        <f t="shared" si="7"/>
        <v>55.998400000000004</v>
      </c>
      <c r="V21" s="69">
        <f>'MK5-BP'!D29</f>
        <v>14.3</v>
      </c>
      <c r="W21" s="69">
        <f>'MK5-BP'!E29</f>
        <v>6.3</v>
      </c>
      <c r="X21" s="69">
        <f t="shared" si="8"/>
        <v>10.3</v>
      </c>
      <c r="Y21" s="37">
        <f>IF('MK7-MBD'!D28="","",'MK7-MBD'!D28)</f>
        <v>0</v>
      </c>
      <c r="Z21" s="37">
        <f>IF('MK7-MBD'!E28="","",'MK7-MBD'!E28)</f>
        <v>0</v>
      </c>
      <c r="AA21" s="37">
        <f t="shared" si="9"/>
        <v>0</v>
      </c>
      <c r="AB21" s="70">
        <f>IF(MK8_BID!D29="","",MK8_BID!D29)</f>
        <v>81.400000000000006</v>
      </c>
      <c r="AC21" s="70">
        <f t="shared" si="10"/>
        <v>81.400000000000006</v>
      </c>
      <c r="AE21" s="71"/>
      <c r="AF21" s="72"/>
      <c r="AG21" s="71"/>
      <c r="AH21" s="72"/>
      <c r="AI21" s="71"/>
      <c r="AJ21" s="72"/>
      <c r="AK21" s="71"/>
      <c r="AL21" s="72"/>
      <c r="AM21" s="72"/>
      <c r="AN21" s="72"/>
      <c r="AO21" s="72"/>
      <c r="AP21" s="72"/>
      <c r="AQ21" s="72"/>
      <c r="AR21" s="72"/>
      <c r="AS21" s="72"/>
      <c r="AT21" s="72"/>
      <c r="AU21" s="71"/>
      <c r="AV21" s="72"/>
      <c r="AW21" s="71"/>
      <c r="AX21" s="72"/>
      <c r="AY21" s="72"/>
      <c r="AZ21" s="72"/>
      <c r="BA21" s="71"/>
      <c r="BB21" s="72"/>
      <c r="BC21" s="71"/>
      <c r="BD21" s="72"/>
      <c r="BE21" s="131"/>
      <c r="BF21" s="71"/>
      <c r="BI21" s="4">
        <f t="shared" si="17"/>
        <v>0</v>
      </c>
      <c r="BJ21" s="81">
        <f t="shared" si="59"/>
        <v>0</v>
      </c>
      <c r="BK21" s="4">
        <f t="shared" si="18"/>
        <v>81.400000000000006</v>
      </c>
      <c r="BL21" s="81">
        <f t="shared" si="60"/>
        <v>0.54266666666666674</v>
      </c>
      <c r="BM21" s="73"/>
      <c r="BN21" s="81" t="str">
        <f t="shared" si="61"/>
        <v/>
      </c>
      <c r="BO21" s="73">
        <f t="shared" si="19"/>
        <v>15.9651</v>
      </c>
      <c r="BP21" s="81">
        <f t="shared" si="20"/>
        <v>0.42013421052631578</v>
      </c>
      <c r="BQ21" s="73">
        <f t="shared" si="21"/>
        <v>4.4285999999999994</v>
      </c>
      <c r="BR21" s="79">
        <f t="shared" si="22"/>
        <v>0.20129999999999998</v>
      </c>
      <c r="BS21" s="73">
        <f t="shared" si="62"/>
        <v>17.880299999999998</v>
      </c>
      <c r="BT21" s="79">
        <f t="shared" si="23"/>
        <v>0.43610487804878045</v>
      </c>
      <c r="BU21" s="73">
        <f t="shared" si="24"/>
        <v>51.221699999999998</v>
      </c>
      <c r="BV21" s="79">
        <f t="shared" si="25"/>
        <v>0.56287582417582416</v>
      </c>
      <c r="BW21" s="184">
        <f t="shared" si="26"/>
        <v>21.268999999999998</v>
      </c>
      <c r="BX21" s="79">
        <f t="shared" si="27"/>
        <v>0.17291869918699185</v>
      </c>
      <c r="BY21" s="4"/>
      <c r="BZ21" s="4"/>
      <c r="CA21" s="73"/>
      <c r="CB21" s="81"/>
      <c r="CC21" s="73"/>
      <c r="CD21" s="81"/>
      <c r="CE21" s="73">
        <f t="shared" si="29"/>
        <v>7.15</v>
      </c>
      <c r="CF21" s="81">
        <f t="shared" si="30"/>
        <v>0.14300000000000002</v>
      </c>
      <c r="CG21" s="4">
        <f t="shared" si="31"/>
        <v>3.15</v>
      </c>
      <c r="CH21" s="79">
        <f t="shared" si="32"/>
        <v>6.3E-2</v>
      </c>
      <c r="CI21" s="4"/>
      <c r="CJ21" s="4"/>
      <c r="CK21" s="4"/>
      <c r="CL21" s="4"/>
      <c r="CM21" s="4"/>
      <c r="CN21" s="4"/>
      <c r="CO21" s="4"/>
      <c r="CP21" s="4"/>
      <c r="CQ21" s="73"/>
      <c r="CR21" s="79" t="str">
        <f t="shared" si="33"/>
        <v/>
      </c>
      <c r="CS21" s="4"/>
      <c r="CT21" s="79" t="str">
        <f t="shared" si="34"/>
        <v/>
      </c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4"/>
      <c r="DL21" s="4"/>
      <c r="DM21" s="4"/>
      <c r="DN21" s="4"/>
      <c r="DO21" s="4"/>
      <c r="DP21" s="4"/>
      <c r="DQ21" s="4"/>
      <c r="DR21" s="4"/>
      <c r="DS21" s="73"/>
      <c r="DT21" s="79" t="str">
        <f t="shared" si="35"/>
        <v/>
      </c>
      <c r="DU21" s="4"/>
      <c r="DV21" s="4"/>
      <c r="DW21" s="4"/>
      <c r="DX21" s="4"/>
      <c r="DY21" s="73"/>
      <c r="DZ21" s="81" t="str">
        <f t="shared" si="36"/>
        <v/>
      </c>
      <c r="EA21" s="73"/>
      <c r="EB21" s="81"/>
      <c r="EC21" s="73">
        <f t="shared" si="37"/>
        <v>11.5008</v>
      </c>
      <c r="ED21" s="81">
        <f t="shared" si="38"/>
        <v>0.71879999999999999</v>
      </c>
      <c r="EE21" s="72"/>
      <c r="EF21" s="81" t="str">
        <f t="shared" si="39"/>
        <v/>
      </c>
      <c r="EG21" s="183"/>
      <c r="EH21" s="81" t="str">
        <f t="shared" si="40"/>
        <v/>
      </c>
      <c r="EI21" s="72">
        <f t="shared" si="41"/>
        <v>24.75</v>
      </c>
      <c r="EJ21" s="81">
        <f t="shared" si="42"/>
        <v>0.55000000000000004</v>
      </c>
      <c r="EK21" s="4"/>
      <c r="EL21" s="4"/>
      <c r="EM21" s="73">
        <f t="shared" si="43"/>
        <v>4.0014000000000003</v>
      </c>
      <c r="EN21" s="79">
        <f t="shared" si="44"/>
        <v>0.10260000000000001</v>
      </c>
      <c r="EO21" s="4"/>
      <c r="EP21" s="4" t="str">
        <f t="shared" si="45"/>
        <v/>
      </c>
      <c r="EQ21" s="4"/>
      <c r="ER21" s="4"/>
      <c r="ES21" s="4"/>
      <c r="ET21" s="79" t="str">
        <f t="shared" si="46"/>
        <v/>
      </c>
      <c r="EU21" s="4"/>
      <c r="EV21" s="79" t="str">
        <f t="shared" si="47"/>
        <v/>
      </c>
      <c r="EW21" s="73"/>
      <c r="EX21" s="81"/>
      <c r="EY21" s="72"/>
      <c r="EZ21" s="81"/>
      <c r="FA21" s="72"/>
      <c r="FB21" s="81"/>
      <c r="FC21" s="81"/>
      <c r="FD21" s="81"/>
      <c r="FE21" s="73"/>
      <c r="FF21" s="81"/>
      <c r="FG21" s="170"/>
      <c r="FH21" s="171"/>
      <c r="FI21" s="84"/>
      <c r="FJ21" s="84"/>
      <c r="FK21" s="170"/>
      <c r="FL21" s="171"/>
      <c r="FM21" s="170"/>
      <c r="FN21" s="171"/>
      <c r="FP21" s="93"/>
    </row>
    <row r="22" spans="1:172">
      <c r="A22" s="108">
        <v>12</v>
      </c>
      <c r="B22" s="109" t="s">
        <v>207</v>
      </c>
      <c r="C22" s="109" t="s">
        <v>208</v>
      </c>
      <c r="D22" s="66">
        <f>'MK1-TM'!D30</f>
        <v>89.13</v>
      </c>
      <c r="E22" s="66">
        <f>'MK1-TM'!E30</f>
        <v>89.07</v>
      </c>
      <c r="F22" s="66">
        <f>'MK1-TM'!F30</f>
        <v>87.65</v>
      </c>
      <c r="G22" s="66">
        <f>'MK1-TM'!G30</f>
        <v>62.5</v>
      </c>
      <c r="H22" s="66">
        <f>'MK1-TM'!H30</f>
        <v>62.96</v>
      </c>
      <c r="I22" s="66">
        <f t="shared" si="4"/>
        <v>89.212199999999982</v>
      </c>
      <c r="J22" s="83">
        <f>'MK2-TO'!D30</f>
        <v>82.5</v>
      </c>
      <c r="K22" s="83">
        <f>'MK2-TO'!E30</f>
        <v>81.78</v>
      </c>
      <c r="L22" s="83">
        <f>'MK2-TO'!F30</f>
        <v>85.26</v>
      </c>
      <c r="M22" s="83">
        <f t="shared" si="5"/>
        <v>83.252400000000009</v>
      </c>
      <c r="N22" s="67">
        <f>'MK3-PSTI'!D30</f>
        <v>89.06</v>
      </c>
      <c r="O22" s="67">
        <f>'MK3-PSTI'!E30</f>
        <v>87.38</v>
      </c>
      <c r="P22" s="67">
        <f>'MK3-PSTI'!F30</f>
        <v>87.35</v>
      </c>
      <c r="Q22" s="67">
        <f t="shared" si="6"/>
        <v>87.650900000000007</v>
      </c>
      <c r="R22" s="68">
        <f>IF('MK4-L&amp;A'!D30="","",'MK4-L&amp;A'!D30)</f>
        <v>91.67</v>
      </c>
      <c r="S22" s="68">
        <f>'MK4-L&amp;A'!E30</f>
        <v>90.91</v>
      </c>
      <c r="T22" s="68">
        <f>'MK4-L&amp;A'!F30</f>
        <v>80.099999999999994</v>
      </c>
      <c r="U22" s="68">
        <f t="shared" si="7"/>
        <v>85.749899999999997</v>
      </c>
      <c r="V22" s="69">
        <f>'MK5-BP'!D30</f>
        <v>82.9</v>
      </c>
      <c r="W22" s="69">
        <f>'MK5-BP'!E30</f>
        <v>82.9</v>
      </c>
      <c r="X22" s="69">
        <f t="shared" si="8"/>
        <v>82.9</v>
      </c>
      <c r="Y22" s="37">
        <f>IF('MK7-MBD'!D29="","",'MK7-MBD'!D29)</f>
        <v>94.15</v>
      </c>
      <c r="Z22" s="37">
        <f>IF('MK7-MBD'!E29="","",'MK7-MBD'!E29)</f>
        <v>94.15</v>
      </c>
      <c r="AA22" s="37">
        <f t="shared" si="9"/>
        <v>94.15</v>
      </c>
      <c r="AB22" s="70">
        <f>IF(MK8_BID!D30="","",MK8_BID!D30)</f>
        <v>90.4</v>
      </c>
      <c r="AC22" s="70">
        <f t="shared" si="10"/>
        <v>90.4</v>
      </c>
      <c r="AE22" s="71"/>
      <c r="AF22" s="72"/>
      <c r="AG22" s="71"/>
      <c r="AH22" s="72"/>
      <c r="AI22" s="71"/>
      <c r="AJ22" s="72"/>
      <c r="AK22" s="71"/>
      <c r="AL22" s="72"/>
      <c r="AM22" s="72"/>
      <c r="AN22" s="72"/>
      <c r="AO22" s="72"/>
      <c r="AP22" s="72"/>
      <c r="AQ22" s="72"/>
      <c r="AR22" s="72"/>
      <c r="AS22" s="72"/>
      <c r="AT22" s="72"/>
      <c r="AU22" s="71"/>
      <c r="AV22" s="72"/>
      <c r="AW22" s="71"/>
      <c r="AX22" s="72"/>
      <c r="AY22" s="72"/>
      <c r="AZ22" s="72"/>
      <c r="BA22" s="71"/>
      <c r="BB22" s="72"/>
      <c r="BC22" s="71"/>
      <c r="BD22" s="72"/>
      <c r="BE22" s="131"/>
      <c r="BF22" s="71"/>
      <c r="BI22" s="4">
        <f t="shared" si="17"/>
        <v>47.075000000000003</v>
      </c>
      <c r="BJ22" s="81">
        <f t="shared" si="59"/>
        <v>0.9415</v>
      </c>
      <c r="BK22" s="4">
        <f t="shared" si="18"/>
        <v>137.47500000000002</v>
      </c>
      <c r="BL22" s="81">
        <f t="shared" si="60"/>
        <v>0.9165000000000002</v>
      </c>
      <c r="BM22" s="73"/>
      <c r="BN22" s="81" t="str">
        <f t="shared" si="61"/>
        <v/>
      </c>
      <c r="BO22" s="73">
        <f t="shared" si="19"/>
        <v>33.857500000000002</v>
      </c>
      <c r="BP22" s="81">
        <f t="shared" si="20"/>
        <v>0.89098684210526324</v>
      </c>
      <c r="BQ22" s="73">
        <f t="shared" si="21"/>
        <v>19.595399999999998</v>
      </c>
      <c r="BR22" s="79">
        <f t="shared" si="22"/>
        <v>0.89069999999999994</v>
      </c>
      <c r="BS22" s="73">
        <f t="shared" si="62"/>
        <v>36.6601</v>
      </c>
      <c r="BT22" s="79">
        <f t="shared" si="23"/>
        <v>0.89414878048780488</v>
      </c>
      <c r="BU22" s="73">
        <f t="shared" si="24"/>
        <v>74.709499999999991</v>
      </c>
      <c r="BV22" s="79">
        <f t="shared" si="25"/>
        <v>0.82098351648351642</v>
      </c>
      <c r="BW22" s="184">
        <f t="shared" si="26"/>
        <v>97.790499999999994</v>
      </c>
      <c r="BX22" s="79">
        <f t="shared" si="27"/>
        <v>0.79504471544715438</v>
      </c>
      <c r="BY22" s="4"/>
      <c r="BZ22" s="4"/>
      <c r="CA22" s="73"/>
      <c r="CB22" s="81"/>
      <c r="CC22" s="73"/>
      <c r="CD22" s="81"/>
      <c r="CE22" s="73">
        <f t="shared" si="29"/>
        <v>41.45</v>
      </c>
      <c r="CF22" s="81">
        <f t="shared" si="30"/>
        <v>0.82900000000000007</v>
      </c>
      <c r="CG22" s="4">
        <f t="shared" si="31"/>
        <v>41.45</v>
      </c>
      <c r="CH22" s="79">
        <f t="shared" si="32"/>
        <v>0.82900000000000007</v>
      </c>
      <c r="CI22" s="4"/>
      <c r="CJ22" s="4"/>
      <c r="CK22" s="4"/>
      <c r="CL22" s="4"/>
      <c r="CM22" s="4"/>
      <c r="CN22" s="4"/>
      <c r="CO22" s="4"/>
      <c r="CP22" s="4"/>
      <c r="CQ22" s="73"/>
      <c r="CR22" s="79" t="str">
        <f t="shared" si="33"/>
        <v/>
      </c>
      <c r="CS22" s="4"/>
      <c r="CT22" s="79" t="str">
        <f t="shared" si="34"/>
        <v/>
      </c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4"/>
      <c r="DL22" s="4"/>
      <c r="DM22" s="4"/>
      <c r="DN22" s="4"/>
      <c r="DO22" s="4"/>
      <c r="DP22" s="4"/>
      <c r="DQ22" s="4"/>
      <c r="DR22" s="4"/>
      <c r="DS22" s="73"/>
      <c r="DT22" s="79" t="str">
        <f t="shared" si="35"/>
        <v/>
      </c>
      <c r="DU22" s="4"/>
      <c r="DV22" s="4"/>
      <c r="DW22" s="4"/>
      <c r="DX22" s="4"/>
      <c r="DY22" s="73"/>
      <c r="DZ22" s="81" t="str">
        <f t="shared" si="36"/>
        <v/>
      </c>
      <c r="EA22" s="73"/>
      <c r="EB22" s="81"/>
      <c r="EC22" s="73">
        <f t="shared" si="37"/>
        <v>13.200000000000001</v>
      </c>
      <c r="ED22" s="81">
        <f t="shared" si="38"/>
        <v>0.82500000000000007</v>
      </c>
      <c r="EE22" s="72"/>
      <c r="EF22" s="81" t="str">
        <f t="shared" si="39"/>
        <v/>
      </c>
      <c r="EG22" s="183"/>
      <c r="EH22" s="81" t="str">
        <f t="shared" si="40"/>
        <v/>
      </c>
      <c r="EI22" s="72">
        <f t="shared" si="41"/>
        <v>36.801000000000002</v>
      </c>
      <c r="EJ22" s="81">
        <f t="shared" si="42"/>
        <v>0.81780000000000008</v>
      </c>
      <c r="EK22" s="4"/>
      <c r="EL22" s="4"/>
      <c r="EM22" s="73">
        <f t="shared" si="43"/>
        <v>33.251400000000004</v>
      </c>
      <c r="EN22" s="79">
        <f t="shared" si="44"/>
        <v>0.85260000000000014</v>
      </c>
      <c r="EO22" s="4"/>
      <c r="EP22" s="4" t="str">
        <f t="shared" si="45"/>
        <v/>
      </c>
      <c r="EQ22" s="4"/>
      <c r="ER22" s="4"/>
      <c r="ES22" s="4"/>
      <c r="ET22" s="79" t="str">
        <f t="shared" si="46"/>
        <v/>
      </c>
      <c r="EU22" s="4"/>
      <c r="EV22" s="79" t="str">
        <f t="shared" si="47"/>
        <v/>
      </c>
      <c r="EW22" s="73"/>
      <c r="EX22" s="81"/>
      <c r="EY22" s="72"/>
      <c r="EZ22" s="81"/>
      <c r="FA22" s="72"/>
      <c r="FB22" s="81"/>
      <c r="FC22" s="81"/>
      <c r="FD22" s="81"/>
      <c r="FE22" s="73"/>
      <c r="FF22" s="81"/>
      <c r="FG22" s="170"/>
      <c r="FH22" s="171"/>
      <c r="FI22" s="84"/>
      <c r="FJ22" s="84"/>
      <c r="FK22" s="170"/>
      <c r="FL22" s="171"/>
      <c r="FM22" s="170"/>
      <c r="FN22" s="171"/>
      <c r="FP22" s="93"/>
    </row>
    <row r="23" spans="1:172">
      <c r="A23" s="108">
        <v>13</v>
      </c>
      <c r="B23" s="109" t="s">
        <v>209</v>
      </c>
      <c r="C23" s="109" t="s">
        <v>210</v>
      </c>
      <c r="D23" s="66">
        <f>'MK1-TM'!D31</f>
        <v>12.5</v>
      </c>
      <c r="E23" s="66">
        <f>'MK1-TM'!E31</f>
        <v>13.33</v>
      </c>
      <c r="F23" s="66">
        <f>'MK1-TM'!F31</f>
        <v>13.75</v>
      </c>
      <c r="G23" s="66">
        <f>'MK1-TM'!G31</f>
        <v>18.18</v>
      </c>
      <c r="H23" s="66">
        <f>'MK1-TM'!H31</f>
        <v>19.440000000000001</v>
      </c>
      <c r="I23" s="66">
        <f t="shared" si="4"/>
        <v>17.943300000000001</v>
      </c>
      <c r="J23" s="83">
        <f>'MK2-TO'!D31</f>
        <v>56.13</v>
      </c>
      <c r="K23" s="83">
        <f>'MK2-TO'!E31</f>
        <v>53.69</v>
      </c>
      <c r="L23" s="83">
        <f>'MK2-TO'!F31</f>
        <v>46.82</v>
      </c>
      <c r="M23" s="83">
        <f t="shared" si="5"/>
        <v>51.4011</v>
      </c>
      <c r="N23" s="67">
        <f>'MK3-PSTI'!D31</f>
        <v>63.76</v>
      </c>
      <c r="O23" s="67">
        <f>'MK3-PSTI'!E31</f>
        <v>58.12</v>
      </c>
      <c r="P23" s="67">
        <f>'MK3-PSTI'!F31</f>
        <v>43.88</v>
      </c>
      <c r="Q23" s="67">
        <f t="shared" si="6"/>
        <v>52.101200000000006</v>
      </c>
      <c r="R23" s="68">
        <f>IF('MK4-L&amp;A'!D31="","",'MK4-L&amp;A'!D31)</f>
        <v>36.5</v>
      </c>
      <c r="S23" s="68">
        <f>'MK4-L&amp;A'!E31</f>
        <v>19.91</v>
      </c>
      <c r="T23" s="68">
        <f>'MK4-L&amp;A'!F31</f>
        <v>52.57</v>
      </c>
      <c r="U23" s="68">
        <f t="shared" si="7"/>
        <v>38.8996</v>
      </c>
      <c r="V23" s="69">
        <f>'MK5-BP'!D31</f>
        <v>50.6</v>
      </c>
      <c r="W23" s="69">
        <f>'MK5-BP'!E31</f>
        <v>50.6</v>
      </c>
      <c r="X23" s="69">
        <f t="shared" si="8"/>
        <v>50.6</v>
      </c>
      <c r="Y23" s="37">
        <f>IF('MK7-MBD'!D30="","",'MK7-MBD'!D30)</f>
        <v>65.599999999999994</v>
      </c>
      <c r="Z23" s="37">
        <f>IF('MK7-MBD'!E30="","",'MK7-MBD'!E30)</f>
        <v>65.599999999999994</v>
      </c>
      <c r="AA23" s="37">
        <f t="shared" si="9"/>
        <v>65.599999999999994</v>
      </c>
      <c r="AB23" s="70">
        <f>IF(MK8_BID!D31="","",MK8_BID!D31)</f>
        <v>71.5</v>
      </c>
      <c r="AC23" s="70">
        <f t="shared" si="10"/>
        <v>71.5</v>
      </c>
      <c r="AE23" s="71"/>
      <c r="AF23" s="72"/>
      <c r="AG23" s="71"/>
      <c r="AH23" s="72"/>
      <c r="AI23" s="71"/>
      <c r="AJ23" s="72"/>
      <c r="AK23" s="71"/>
      <c r="AL23" s="72"/>
      <c r="AM23" s="72"/>
      <c r="AN23" s="72"/>
      <c r="AO23" s="72"/>
      <c r="AP23" s="72"/>
      <c r="AQ23" s="72"/>
      <c r="AR23" s="72"/>
      <c r="AS23" s="72"/>
      <c r="AT23" s="72"/>
      <c r="AU23" s="71"/>
      <c r="AV23" s="72"/>
      <c r="AW23" s="71"/>
      <c r="AX23" s="72"/>
      <c r="AY23" s="72"/>
      <c r="AZ23" s="72"/>
      <c r="BA23" s="71"/>
      <c r="BB23" s="72"/>
      <c r="BC23" s="71"/>
      <c r="BD23" s="72"/>
      <c r="BE23" s="131"/>
      <c r="BF23" s="71"/>
      <c r="BI23" s="4">
        <f t="shared" si="17"/>
        <v>32.799999999999997</v>
      </c>
      <c r="BJ23" s="81">
        <f t="shared" si="59"/>
        <v>0.65599999999999992</v>
      </c>
      <c r="BK23" s="4">
        <f t="shared" si="18"/>
        <v>104.3</v>
      </c>
      <c r="BL23" s="81">
        <f t="shared" si="60"/>
        <v>0.69533333333333336</v>
      </c>
      <c r="BM23" s="73"/>
      <c r="BN23" s="81" t="str">
        <f t="shared" si="61"/>
        <v/>
      </c>
      <c r="BO23" s="73">
        <f t="shared" si="19"/>
        <v>13.4642</v>
      </c>
      <c r="BP23" s="81">
        <f t="shared" si="20"/>
        <v>0.35432105263157893</v>
      </c>
      <c r="BQ23" s="73">
        <f t="shared" si="21"/>
        <v>2.9325999999999999</v>
      </c>
      <c r="BR23" s="79">
        <f t="shared" si="22"/>
        <v>0.1333</v>
      </c>
      <c r="BS23" s="73">
        <f t="shared" si="62"/>
        <v>9.7324999999999999</v>
      </c>
      <c r="BT23" s="79">
        <f t="shared" si="23"/>
        <v>0.23737804878048779</v>
      </c>
      <c r="BU23" s="73">
        <f t="shared" si="24"/>
        <v>30.694299999999998</v>
      </c>
      <c r="BV23" s="79">
        <f t="shared" si="25"/>
        <v>0.33729999999999999</v>
      </c>
      <c r="BW23" s="184">
        <f t="shared" si="26"/>
        <v>52.1205</v>
      </c>
      <c r="BX23" s="79">
        <f t="shared" si="27"/>
        <v>0.42374390243902438</v>
      </c>
      <c r="BY23" s="4"/>
      <c r="BZ23" s="4"/>
      <c r="CA23" s="73"/>
      <c r="CB23" s="81"/>
      <c r="CC23" s="73"/>
      <c r="CD23" s="81"/>
      <c r="CE23" s="73">
        <f t="shared" si="29"/>
        <v>25.3</v>
      </c>
      <c r="CF23" s="81">
        <f t="shared" si="30"/>
        <v>0.50600000000000001</v>
      </c>
      <c r="CG23" s="4">
        <f t="shared" si="31"/>
        <v>25.3</v>
      </c>
      <c r="CH23" s="79">
        <f t="shared" si="32"/>
        <v>0.50600000000000001</v>
      </c>
      <c r="CI23" s="4"/>
      <c r="CJ23" s="4"/>
      <c r="CK23" s="4"/>
      <c r="CL23" s="4"/>
      <c r="CM23" s="4"/>
      <c r="CN23" s="4"/>
      <c r="CO23" s="4"/>
      <c r="CP23" s="4"/>
      <c r="CQ23" s="73"/>
      <c r="CR23" s="79" t="str">
        <f t="shared" si="33"/>
        <v/>
      </c>
      <c r="CS23" s="4"/>
      <c r="CT23" s="79" t="str">
        <f t="shared" si="34"/>
        <v/>
      </c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4"/>
      <c r="DL23" s="4"/>
      <c r="DM23" s="4"/>
      <c r="DN23" s="4"/>
      <c r="DO23" s="4"/>
      <c r="DP23" s="4"/>
      <c r="DQ23" s="4"/>
      <c r="DR23" s="4"/>
      <c r="DS23" s="73"/>
      <c r="DT23" s="79" t="str">
        <f t="shared" si="35"/>
        <v/>
      </c>
      <c r="DU23" s="4"/>
      <c r="DV23" s="4"/>
      <c r="DW23" s="4"/>
      <c r="DX23" s="4"/>
      <c r="DY23" s="73"/>
      <c r="DZ23" s="81" t="str">
        <f t="shared" si="36"/>
        <v/>
      </c>
      <c r="EA23" s="73"/>
      <c r="EB23" s="81"/>
      <c r="EC23" s="73">
        <f t="shared" si="37"/>
        <v>8.9808000000000003</v>
      </c>
      <c r="ED23" s="81">
        <f t="shared" si="38"/>
        <v>0.56130000000000002</v>
      </c>
      <c r="EE23" s="72"/>
      <c r="EF23" s="81" t="str">
        <f t="shared" si="39"/>
        <v/>
      </c>
      <c r="EG23" s="183"/>
      <c r="EH23" s="81" t="str">
        <f t="shared" si="40"/>
        <v/>
      </c>
      <c r="EI23" s="72">
        <f t="shared" si="41"/>
        <v>24.160499999999999</v>
      </c>
      <c r="EJ23" s="81">
        <f t="shared" si="42"/>
        <v>0.53689999999999993</v>
      </c>
      <c r="EK23" s="4"/>
      <c r="EL23" s="4"/>
      <c r="EM23" s="73">
        <f t="shared" si="43"/>
        <v>18.259800000000002</v>
      </c>
      <c r="EN23" s="79">
        <f t="shared" si="44"/>
        <v>0.46820000000000006</v>
      </c>
      <c r="EO23" s="4"/>
      <c r="EP23" s="4" t="str">
        <f t="shared" si="45"/>
        <v/>
      </c>
      <c r="EQ23" s="4"/>
      <c r="ER23" s="4"/>
      <c r="ES23" s="4"/>
      <c r="ET23" s="79" t="str">
        <f t="shared" si="46"/>
        <v/>
      </c>
      <c r="EU23" s="4"/>
      <c r="EV23" s="79" t="str">
        <f t="shared" si="47"/>
        <v/>
      </c>
      <c r="EW23" s="73"/>
      <c r="EX23" s="81"/>
      <c r="EY23" s="72"/>
      <c r="EZ23" s="81"/>
      <c r="FA23" s="72"/>
      <c r="FB23" s="81"/>
      <c r="FC23" s="81"/>
      <c r="FD23" s="81"/>
      <c r="FE23" s="73"/>
      <c r="FF23" s="81"/>
      <c r="FG23" s="170"/>
      <c r="FH23" s="171"/>
      <c r="FI23" s="84"/>
      <c r="FJ23" s="84"/>
      <c r="FK23" s="170"/>
      <c r="FL23" s="171"/>
      <c r="FM23" s="170"/>
      <c r="FN23" s="171"/>
      <c r="FP23" s="93"/>
    </row>
    <row r="24" spans="1:172">
      <c r="A24" s="108">
        <v>14</v>
      </c>
      <c r="B24" s="109" t="s">
        <v>211</v>
      </c>
      <c r="C24" s="109" t="s">
        <v>212</v>
      </c>
      <c r="D24" s="66">
        <f>'MK1-TM'!D32</f>
        <v>78.13</v>
      </c>
      <c r="E24" s="66">
        <f>'MK1-TM'!E32</f>
        <v>77.67</v>
      </c>
      <c r="F24" s="66">
        <f>'MK1-TM'!F32</f>
        <v>75.5</v>
      </c>
      <c r="G24" s="66">
        <f>'MK1-TM'!G32</f>
        <v>48.86</v>
      </c>
      <c r="H24" s="66">
        <f>'MK1-TM'!H32</f>
        <v>48.15</v>
      </c>
      <c r="I24" s="66">
        <f t="shared" si="4"/>
        <v>74.623599999999996</v>
      </c>
      <c r="J24" s="83">
        <f>'MK2-TO'!D32</f>
        <v>82.5</v>
      </c>
      <c r="K24" s="83">
        <f>'MK2-TO'!E32</f>
        <v>79.56</v>
      </c>
      <c r="L24" s="83">
        <f>'MK2-TO'!F32</f>
        <v>76.28</v>
      </c>
      <c r="M24" s="83">
        <f t="shared" si="5"/>
        <v>78.751199999999997</v>
      </c>
      <c r="N24" s="67">
        <f>'MK3-PSTI'!D32</f>
        <v>80.239999999999995</v>
      </c>
      <c r="O24" s="67">
        <f>'MK3-PSTI'!E32</f>
        <v>77.819999999999993</v>
      </c>
      <c r="P24" s="67">
        <f>'MK3-PSTI'!F32</f>
        <v>74.69</v>
      </c>
      <c r="Q24" s="67">
        <f t="shared" si="6"/>
        <v>76.697699999999998</v>
      </c>
      <c r="R24" s="68">
        <f>IF('MK4-L&amp;A'!D32="","",'MK4-L&amp;A'!D32)</f>
        <v>86.11</v>
      </c>
      <c r="S24" s="68">
        <f>'MK4-L&amp;A'!E32</f>
        <v>83.33</v>
      </c>
      <c r="T24" s="68">
        <f>'MK4-L&amp;A'!F32</f>
        <v>80.099999999999994</v>
      </c>
      <c r="U24" s="68">
        <f t="shared" si="7"/>
        <v>82.247699999999995</v>
      </c>
      <c r="V24" s="69">
        <f>'MK5-BP'!D32</f>
        <v>82.9</v>
      </c>
      <c r="W24" s="69">
        <f>'MK5-BP'!E32</f>
        <v>82.2</v>
      </c>
      <c r="X24" s="69">
        <f t="shared" si="8"/>
        <v>82.550000000000011</v>
      </c>
      <c r="Y24" s="37">
        <f>IF('MK7-MBD'!D31="","",'MK7-MBD'!D31)</f>
        <v>84.55</v>
      </c>
      <c r="Z24" s="37">
        <f>IF('MK7-MBD'!E31="","",'MK7-MBD'!E31)</f>
        <v>84.55</v>
      </c>
      <c r="AA24" s="37">
        <f t="shared" si="9"/>
        <v>84.55</v>
      </c>
      <c r="AB24" s="70">
        <f>IF(MK8_BID!D32="","",MK8_BID!D32)</f>
        <v>85.9</v>
      </c>
      <c r="AC24" s="70">
        <f t="shared" si="10"/>
        <v>85.9</v>
      </c>
      <c r="AE24" s="71"/>
      <c r="AF24" s="72"/>
      <c r="AG24" s="71"/>
      <c r="AH24" s="72"/>
      <c r="AI24" s="71"/>
      <c r="AJ24" s="72"/>
      <c r="AK24" s="71"/>
      <c r="AL24" s="72"/>
      <c r="AM24" s="72"/>
      <c r="AN24" s="72"/>
      <c r="AO24" s="72"/>
      <c r="AP24" s="72"/>
      <c r="AQ24" s="72"/>
      <c r="AR24" s="72"/>
      <c r="AS24" s="72"/>
      <c r="AT24" s="72"/>
      <c r="AU24" s="71"/>
      <c r="AV24" s="72"/>
      <c r="AW24" s="71"/>
      <c r="AX24" s="72"/>
      <c r="AY24" s="72"/>
      <c r="AZ24" s="72"/>
      <c r="BA24" s="71"/>
      <c r="BB24" s="72"/>
      <c r="BC24" s="71"/>
      <c r="BD24" s="72"/>
      <c r="BE24" s="131"/>
      <c r="BF24" s="71"/>
      <c r="BI24" s="4">
        <f t="shared" si="17"/>
        <v>42.274999999999999</v>
      </c>
      <c r="BJ24" s="81">
        <f t="shared" si="59"/>
        <v>0.84549999999999992</v>
      </c>
      <c r="BK24" s="4">
        <f t="shared" si="18"/>
        <v>128.17500000000001</v>
      </c>
      <c r="BL24" s="81">
        <f t="shared" si="60"/>
        <v>0.85450000000000004</v>
      </c>
      <c r="BM24" s="73"/>
      <c r="BN24" s="81" t="str">
        <f t="shared" si="61"/>
        <v/>
      </c>
      <c r="BO24" s="73">
        <f t="shared" si="19"/>
        <v>30.048099999999998</v>
      </c>
      <c r="BP24" s="81">
        <f t="shared" si="20"/>
        <v>0.79073947368421049</v>
      </c>
      <c r="BQ24" s="73">
        <f t="shared" si="21"/>
        <v>17.087399999999999</v>
      </c>
      <c r="BR24" s="79">
        <f t="shared" si="22"/>
        <v>0.77669999999999995</v>
      </c>
      <c r="BS24" s="73">
        <f t="shared" si="62"/>
        <v>32.864800000000002</v>
      </c>
      <c r="BT24" s="79">
        <f t="shared" si="23"/>
        <v>0.80158048780487812</v>
      </c>
      <c r="BU24" s="73">
        <f t="shared" si="24"/>
        <v>65.684100000000001</v>
      </c>
      <c r="BV24" s="79">
        <f t="shared" si="25"/>
        <v>0.72180329670329668</v>
      </c>
      <c r="BW24" s="184">
        <f t="shared" si="26"/>
        <v>87.884599999999992</v>
      </c>
      <c r="BX24" s="79">
        <f t="shared" si="27"/>
        <v>0.7145089430894308</v>
      </c>
      <c r="BY24" s="4"/>
      <c r="BZ24" s="4"/>
      <c r="CA24" s="73"/>
      <c r="CB24" s="81"/>
      <c r="CC24" s="73"/>
      <c r="CD24" s="81"/>
      <c r="CE24" s="73">
        <f t="shared" si="29"/>
        <v>41.45</v>
      </c>
      <c r="CF24" s="81">
        <f t="shared" si="30"/>
        <v>0.82900000000000007</v>
      </c>
      <c r="CG24" s="4">
        <f t="shared" si="31"/>
        <v>41.1</v>
      </c>
      <c r="CH24" s="79">
        <f t="shared" si="32"/>
        <v>0.82200000000000006</v>
      </c>
      <c r="CI24" s="4"/>
      <c r="CJ24" s="4"/>
      <c r="CK24" s="4"/>
      <c r="CL24" s="4"/>
      <c r="CM24" s="4"/>
      <c r="CN24" s="4"/>
      <c r="CO24" s="4"/>
      <c r="CP24" s="4"/>
      <c r="CQ24" s="73"/>
      <c r="CR24" s="79" t="str">
        <f t="shared" si="33"/>
        <v/>
      </c>
      <c r="CS24" s="4"/>
      <c r="CT24" s="79" t="str">
        <f t="shared" si="34"/>
        <v/>
      </c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4"/>
      <c r="DS24" s="73"/>
      <c r="DT24" s="79" t="str">
        <f t="shared" si="35"/>
        <v/>
      </c>
      <c r="DU24" s="4"/>
      <c r="DV24" s="4"/>
      <c r="DW24" s="4"/>
      <c r="DX24" s="4"/>
      <c r="DY24" s="73"/>
      <c r="DZ24" s="81" t="str">
        <f t="shared" si="36"/>
        <v/>
      </c>
      <c r="EA24" s="73"/>
      <c r="EB24" s="81"/>
      <c r="EC24" s="73">
        <f t="shared" si="37"/>
        <v>13.200000000000001</v>
      </c>
      <c r="ED24" s="81">
        <f t="shared" si="38"/>
        <v>0.82500000000000007</v>
      </c>
      <c r="EE24" s="72"/>
      <c r="EF24" s="81" t="str">
        <f t="shared" si="39"/>
        <v/>
      </c>
      <c r="EG24" s="183"/>
      <c r="EH24" s="81" t="str">
        <f t="shared" si="40"/>
        <v/>
      </c>
      <c r="EI24" s="72">
        <f t="shared" si="41"/>
        <v>35.802</v>
      </c>
      <c r="EJ24" s="81">
        <f t="shared" si="42"/>
        <v>0.79559999999999997</v>
      </c>
      <c r="EK24" s="4"/>
      <c r="EL24" s="4"/>
      <c r="EM24" s="73">
        <f t="shared" si="43"/>
        <v>29.749200000000002</v>
      </c>
      <c r="EN24" s="79">
        <f t="shared" si="44"/>
        <v>0.76280000000000003</v>
      </c>
      <c r="EO24" s="4"/>
      <c r="EP24" s="4" t="str">
        <f t="shared" si="45"/>
        <v/>
      </c>
      <c r="EQ24" s="4"/>
      <c r="ER24" s="4"/>
      <c r="ES24" s="4"/>
      <c r="ET24" s="79" t="str">
        <f t="shared" si="46"/>
        <v/>
      </c>
      <c r="EU24" s="4"/>
      <c r="EV24" s="79" t="str">
        <f t="shared" si="47"/>
        <v/>
      </c>
      <c r="EW24" s="73"/>
      <c r="EX24" s="81"/>
      <c r="EY24" s="72"/>
      <c r="EZ24" s="81"/>
      <c r="FA24" s="72"/>
      <c r="FB24" s="81"/>
      <c r="FC24" s="81"/>
      <c r="FD24" s="81"/>
      <c r="FE24" s="73"/>
      <c r="FF24" s="81"/>
      <c r="FG24" s="170"/>
      <c r="FH24" s="171"/>
      <c r="FI24" s="84"/>
      <c r="FJ24" s="84"/>
      <c r="FK24" s="170"/>
      <c r="FL24" s="171"/>
      <c r="FM24" s="170"/>
      <c r="FN24" s="171"/>
      <c r="FP24" s="93"/>
    </row>
    <row r="25" spans="1:172">
      <c r="A25" s="108">
        <v>15</v>
      </c>
      <c r="B25" s="109" t="s">
        <v>213</v>
      </c>
      <c r="C25" s="109" t="s">
        <v>214</v>
      </c>
      <c r="D25" s="66">
        <f>'MK1-TM'!D33</f>
        <v>91.25</v>
      </c>
      <c r="E25" s="66">
        <f>'MK1-TM'!E33</f>
        <v>91.33</v>
      </c>
      <c r="F25" s="66">
        <f>'MK1-TM'!F33</f>
        <v>90</v>
      </c>
      <c r="G25" s="66">
        <f>'MK1-TM'!G33</f>
        <v>78.180000000000007</v>
      </c>
      <c r="H25" s="66">
        <f>'MK1-TM'!H33</f>
        <v>80</v>
      </c>
      <c r="I25" s="66">
        <f t="shared" si="4"/>
        <v>98.718299999999999</v>
      </c>
      <c r="J25" s="83">
        <f>'MK2-TO'!D33</f>
        <v>78.13</v>
      </c>
      <c r="K25" s="83">
        <f>'MK2-TO'!E33</f>
        <v>79.44</v>
      </c>
      <c r="L25" s="83">
        <f>'MK2-TO'!F33</f>
        <v>84.87</v>
      </c>
      <c r="M25" s="83">
        <f t="shared" si="5"/>
        <v>81.348099999999988</v>
      </c>
      <c r="N25" s="67">
        <f>'MK3-PSTI'!D33</f>
        <v>85.53</v>
      </c>
      <c r="O25" s="67">
        <f>'MK3-PSTI'!E33</f>
        <v>83.85</v>
      </c>
      <c r="P25" s="67">
        <f>'MK3-PSTI'!F33</f>
        <v>87.35</v>
      </c>
      <c r="Q25" s="67">
        <f t="shared" si="6"/>
        <v>85.8506</v>
      </c>
      <c r="R25" s="68">
        <f>IF('MK4-L&amp;A'!D33="","",'MK4-L&amp;A'!D33)</f>
        <v>91.67</v>
      </c>
      <c r="S25" s="68">
        <f>'MK4-L&amp;A'!E33</f>
        <v>90.91</v>
      </c>
      <c r="T25" s="68">
        <f>'MK4-L&amp;A'!F33</f>
        <v>90.82</v>
      </c>
      <c r="U25" s="68">
        <f t="shared" si="7"/>
        <v>91.002700000000004</v>
      </c>
      <c r="V25" s="69">
        <f>'MK5-BP'!D33</f>
        <v>77.900000000000006</v>
      </c>
      <c r="W25" s="69">
        <f>'MK5-BP'!E33</f>
        <v>76.5</v>
      </c>
      <c r="X25" s="69">
        <f t="shared" si="8"/>
        <v>77.2</v>
      </c>
      <c r="Y25" s="37">
        <f>IF('MK7-MBD'!D32="","",'MK7-MBD'!D32)</f>
        <v>94.75</v>
      </c>
      <c r="Z25" s="37">
        <f>IF('MK7-MBD'!E32="","",'MK7-MBD'!E32)</f>
        <v>94.75</v>
      </c>
      <c r="AA25" s="37">
        <f t="shared" si="9"/>
        <v>94.75</v>
      </c>
      <c r="AB25" s="70">
        <f>IF(MK8_BID!D33="","",MK8_BID!D33)</f>
        <v>81.400000000000006</v>
      </c>
      <c r="AC25" s="70">
        <f t="shared" si="10"/>
        <v>81.400000000000006</v>
      </c>
      <c r="AE25" s="71"/>
      <c r="AF25" s="72"/>
      <c r="AG25" s="71"/>
      <c r="AH25" s="72"/>
      <c r="AI25" s="71"/>
      <c r="AJ25" s="72"/>
      <c r="AK25" s="71"/>
      <c r="AL25" s="72"/>
      <c r="AM25" s="72"/>
      <c r="AN25" s="72"/>
      <c r="AO25" s="72"/>
      <c r="AP25" s="72"/>
      <c r="AQ25" s="72"/>
      <c r="AR25" s="72"/>
      <c r="AS25" s="72"/>
      <c r="AT25" s="72"/>
      <c r="AU25" s="71"/>
      <c r="AV25" s="72"/>
      <c r="AW25" s="71"/>
      <c r="AX25" s="72"/>
      <c r="AY25" s="72"/>
      <c r="AZ25" s="72"/>
      <c r="BA25" s="71"/>
      <c r="BB25" s="72"/>
      <c r="BC25" s="71"/>
      <c r="BD25" s="72"/>
      <c r="BE25" s="131"/>
      <c r="BF25" s="71"/>
      <c r="BI25" s="4">
        <f t="shared" si="17"/>
        <v>47.375</v>
      </c>
      <c r="BJ25" s="81">
        <f t="shared" si="59"/>
        <v>0.94750000000000001</v>
      </c>
      <c r="BK25" s="4">
        <f t="shared" si="18"/>
        <v>128.77500000000001</v>
      </c>
      <c r="BL25" s="81">
        <f t="shared" si="60"/>
        <v>0.85850000000000004</v>
      </c>
      <c r="BM25" s="73"/>
      <c r="BN25" s="81" t="str">
        <f t="shared" si="61"/>
        <v/>
      </c>
      <c r="BO25" s="73">
        <f t="shared" si="19"/>
        <v>33.702599999999997</v>
      </c>
      <c r="BP25" s="81">
        <f t="shared" si="20"/>
        <v>0.88691052631578937</v>
      </c>
      <c r="BQ25" s="73">
        <f t="shared" si="21"/>
        <v>20.092600000000001</v>
      </c>
      <c r="BR25" s="79">
        <f t="shared" si="22"/>
        <v>0.9133</v>
      </c>
      <c r="BS25" s="73">
        <f t="shared" si="62"/>
        <v>37.200599999999994</v>
      </c>
      <c r="BT25" s="79">
        <f t="shared" si="23"/>
        <v>0.90733170731707302</v>
      </c>
      <c r="BU25" s="73">
        <f t="shared" si="24"/>
        <v>77.272499999999994</v>
      </c>
      <c r="BV25" s="79">
        <f t="shared" si="25"/>
        <v>0.84914835164835156</v>
      </c>
      <c r="BW25" s="184">
        <f t="shared" si="26"/>
        <v>107.30329999999999</v>
      </c>
      <c r="BX25" s="79">
        <f t="shared" si="27"/>
        <v>0.8723845528455284</v>
      </c>
      <c r="BY25" s="4"/>
      <c r="BZ25" s="4"/>
      <c r="CA25" s="73"/>
      <c r="CB25" s="81"/>
      <c r="CC25" s="73"/>
      <c r="CD25" s="81"/>
      <c r="CE25" s="73">
        <f t="shared" si="29"/>
        <v>38.950000000000003</v>
      </c>
      <c r="CF25" s="81">
        <f t="shared" si="30"/>
        <v>0.77900000000000003</v>
      </c>
      <c r="CG25" s="4">
        <f t="shared" si="31"/>
        <v>38.25</v>
      </c>
      <c r="CH25" s="79">
        <f t="shared" si="32"/>
        <v>0.76500000000000001</v>
      </c>
      <c r="CI25" s="4"/>
      <c r="CJ25" s="4"/>
      <c r="CK25" s="4"/>
      <c r="CL25" s="4"/>
      <c r="CM25" s="4"/>
      <c r="CN25" s="4"/>
      <c r="CO25" s="4"/>
      <c r="CP25" s="4"/>
      <c r="CQ25" s="73"/>
      <c r="CR25" s="79" t="str">
        <f t="shared" si="33"/>
        <v/>
      </c>
      <c r="CS25" s="4"/>
      <c r="CT25" s="79" t="str">
        <f t="shared" si="34"/>
        <v/>
      </c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73"/>
      <c r="DT25" s="79" t="str">
        <f t="shared" si="35"/>
        <v/>
      </c>
      <c r="DU25" s="4"/>
      <c r="DV25" s="4"/>
      <c r="DW25" s="4"/>
      <c r="DX25" s="4"/>
      <c r="DY25" s="73"/>
      <c r="DZ25" s="81" t="str">
        <f t="shared" si="36"/>
        <v/>
      </c>
      <c r="EA25" s="73"/>
      <c r="EB25" s="81"/>
      <c r="EC25" s="73">
        <f t="shared" si="37"/>
        <v>12.5008</v>
      </c>
      <c r="ED25" s="81">
        <f t="shared" si="38"/>
        <v>0.78129999999999999</v>
      </c>
      <c r="EE25" s="72"/>
      <c r="EF25" s="81" t="str">
        <f t="shared" si="39"/>
        <v/>
      </c>
      <c r="EG25" s="183"/>
      <c r="EH25" s="81" t="str">
        <f t="shared" si="40"/>
        <v/>
      </c>
      <c r="EI25" s="72">
        <f t="shared" si="41"/>
        <v>35.747999999999998</v>
      </c>
      <c r="EJ25" s="81">
        <f t="shared" si="42"/>
        <v>0.7944</v>
      </c>
      <c r="EK25" s="4"/>
      <c r="EL25" s="4"/>
      <c r="EM25" s="73">
        <f t="shared" si="43"/>
        <v>33.099299999999999</v>
      </c>
      <c r="EN25" s="79">
        <f t="shared" si="44"/>
        <v>0.84870000000000001</v>
      </c>
      <c r="EO25" s="4"/>
      <c r="EP25" s="4" t="str">
        <f t="shared" si="45"/>
        <v/>
      </c>
      <c r="EQ25" s="4"/>
      <c r="ER25" s="4"/>
      <c r="ES25" s="4"/>
      <c r="ET25" s="79" t="str">
        <f t="shared" si="46"/>
        <v/>
      </c>
      <c r="EU25" s="4"/>
      <c r="EV25" s="79" t="str">
        <f t="shared" si="47"/>
        <v/>
      </c>
      <c r="EW25" s="73"/>
      <c r="EX25" s="81"/>
      <c r="EY25" s="72"/>
      <c r="EZ25" s="81"/>
      <c r="FA25" s="72"/>
      <c r="FB25" s="81"/>
      <c r="FC25" s="81"/>
      <c r="FD25" s="81"/>
      <c r="FE25" s="73"/>
      <c r="FF25" s="81"/>
      <c r="FG25" s="170"/>
      <c r="FH25" s="171"/>
      <c r="FI25" s="84"/>
      <c r="FJ25" s="84"/>
      <c r="FK25" s="170"/>
      <c r="FL25" s="171"/>
      <c r="FM25" s="170"/>
      <c r="FN25" s="171"/>
      <c r="FP25" s="93"/>
    </row>
    <row r="26" spans="1:172">
      <c r="A26" s="108">
        <v>16</v>
      </c>
      <c r="B26" s="109" t="s">
        <v>215</v>
      </c>
      <c r="C26" s="109" t="s">
        <v>216</v>
      </c>
      <c r="D26" s="66">
        <f>'MK1-TM'!D34</f>
        <v>85.38</v>
      </c>
      <c r="E26" s="66">
        <f>'MK1-TM'!E34</f>
        <v>85.4</v>
      </c>
      <c r="F26" s="66">
        <f>'MK1-TM'!F34</f>
        <v>83.4</v>
      </c>
      <c r="G26" s="66">
        <f>'MK1-TM'!G34</f>
        <v>55.68</v>
      </c>
      <c r="H26" s="66">
        <f>'MK1-TM'!H34</f>
        <v>55.56</v>
      </c>
      <c r="I26" s="66">
        <f t="shared" si="4"/>
        <v>83.153000000000006</v>
      </c>
      <c r="J26" s="83">
        <f>'MK2-TO'!D34</f>
        <v>79.38</v>
      </c>
      <c r="K26" s="83">
        <f>'MK2-TO'!E34</f>
        <v>77.89</v>
      </c>
      <c r="L26" s="83">
        <f>'MK2-TO'!F34</f>
        <v>78.459999999999994</v>
      </c>
      <c r="M26" s="83">
        <f t="shared" si="5"/>
        <v>78.350700000000003</v>
      </c>
      <c r="N26" s="67">
        <f>'MK3-PSTI'!D34</f>
        <v>83.76</v>
      </c>
      <c r="O26" s="67">
        <f>'MK3-PSTI'!E34</f>
        <v>81.94</v>
      </c>
      <c r="P26" s="67">
        <f>'MK3-PSTI'!F34</f>
        <v>81.33</v>
      </c>
      <c r="Q26" s="67">
        <f t="shared" si="6"/>
        <v>81.950500000000005</v>
      </c>
      <c r="R26" s="68">
        <f>IF('MK4-L&amp;A'!D34="","",'MK4-L&amp;A'!D34)</f>
        <v>91.67</v>
      </c>
      <c r="S26" s="68">
        <f>'MK4-L&amp;A'!E34</f>
        <v>90.91</v>
      </c>
      <c r="T26" s="68">
        <f>'MK4-L&amp;A'!F34</f>
        <v>83.67</v>
      </c>
      <c r="U26" s="68">
        <f t="shared" si="7"/>
        <v>87.499200000000002</v>
      </c>
      <c r="V26" s="69">
        <f>'MK5-BP'!D34</f>
        <v>72.8</v>
      </c>
      <c r="W26" s="69">
        <f>'MK5-BP'!E34</f>
        <v>69.7</v>
      </c>
      <c r="X26" s="69">
        <f t="shared" si="8"/>
        <v>71.25</v>
      </c>
      <c r="Y26" s="37">
        <f>IF('MK7-MBD'!D33="","",'MK7-MBD'!D33)</f>
        <v>84.8</v>
      </c>
      <c r="Z26" s="37">
        <f>IF('MK7-MBD'!E33="","",'MK7-MBD'!E33)</f>
        <v>84.8</v>
      </c>
      <c r="AA26" s="37">
        <f t="shared" si="9"/>
        <v>84.8</v>
      </c>
      <c r="AB26" s="70">
        <f>IF(MK8_BID!D34="","",MK8_BID!D34)</f>
        <v>81.400000000000006</v>
      </c>
      <c r="AC26" s="70">
        <f t="shared" si="10"/>
        <v>81.400000000000006</v>
      </c>
      <c r="AE26" s="71"/>
      <c r="AF26" s="72"/>
      <c r="AG26" s="71"/>
      <c r="AH26" s="72"/>
      <c r="AI26" s="71"/>
      <c r="AJ26" s="72"/>
      <c r="AK26" s="71"/>
      <c r="AL26" s="72"/>
      <c r="AM26" s="72"/>
      <c r="AN26" s="72"/>
      <c r="AO26" s="72"/>
      <c r="AP26" s="72"/>
      <c r="AQ26" s="72"/>
      <c r="AR26" s="72"/>
      <c r="AS26" s="72"/>
      <c r="AT26" s="72"/>
      <c r="AU26" s="71"/>
      <c r="AV26" s="72"/>
      <c r="AW26" s="71"/>
      <c r="AX26" s="72"/>
      <c r="AY26" s="72"/>
      <c r="AZ26" s="72"/>
      <c r="BA26" s="71"/>
      <c r="BB26" s="72"/>
      <c r="BC26" s="71"/>
      <c r="BD26" s="72"/>
      <c r="BE26" s="131"/>
      <c r="BF26" s="71"/>
      <c r="BI26" s="4">
        <f t="shared" si="17"/>
        <v>42.4</v>
      </c>
      <c r="BJ26" s="81">
        <f t="shared" si="59"/>
        <v>0.84799999999999998</v>
      </c>
      <c r="BK26" s="4">
        <f t="shared" si="18"/>
        <v>123.80000000000001</v>
      </c>
      <c r="BL26" s="81">
        <f t="shared" si="60"/>
        <v>0.82533333333333336</v>
      </c>
      <c r="BM26" s="73"/>
      <c r="BN26" s="81" t="str">
        <f t="shared" si="61"/>
        <v/>
      </c>
      <c r="BO26" s="73">
        <f t="shared" si="19"/>
        <v>32.168999999999997</v>
      </c>
      <c r="BP26" s="81">
        <f t="shared" si="20"/>
        <v>0.84655263157894733</v>
      </c>
      <c r="BQ26" s="73">
        <f t="shared" si="21"/>
        <v>18.788</v>
      </c>
      <c r="BR26" s="79">
        <f t="shared" si="22"/>
        <v>0.85399999999999998</v>
      </c>
      <c r="BS26" s="73">
        <f t="shared" si="62"/>
        <v>35.682600000000001</v>
      </c>
      <c r="BT26" s="79">
        <f t="shared" si="23"/>
        <v>0.87030731707317077</v>
      </c>
      <c r="BU26" s="73">
        <f t="shared" si="24"/>
        <v>71.223100000000002</v>
      </c>
      <c r="BV26" s="79">
        <f t="shared" si="25"/>
        <v>0.78267142857142857</v>
      </c>
      <c r="BW26" s="184">
        <f t="shared" si="26"/>
        <v>94.740000000000009</v>
      </c>
      <c r="BX26" s="79">
        <f t="shared" si="27"/>
        <v>0.77024390243902452</v>
      </c>
      <c r="BY26" s="4"/>
      <c r="BZ26" s="4"/>
      <c r="CA26" s="73"/>
      <c r="CB26" s="81"/>
      <c r="CC26" s="73"/>
      <c r="CD26" s="81"/>
      <c r="CE26" s="73">
        <f t="shared" si="29"/>
        <v>36.4</v>
      </c>
      <c r="CF26" s="81">
        <f t="shared" si="30"/>
        <v>0.72799999999999998</v>
      </c>
      <c r="CG26" s="4">
        <f t="shared" si="31"/>
        <v>34.85</v>
      </c>
      <c r="CH26" s="79">
        <f t="shared" si="32"/>
        <v>0.69700000000000006</v>
      </c>
      <c r="CI26" s="4"/>
      <c r="CJ26" s="4"/>
      <c r="CK26" s="4"/>
      <c r="CL26" s="4"/>
      <c r="CM26" s="4"/>
      <c r="CN26" s="4"/>
      <c r="CO26" s="4"/>
      <c r="CP26" s="4"/>
      <c r="CQ26" s="73"/>
      <c r="CR26" s="79" t="str">
        <f t="shared" si="33"/>
        <v/>
      </c>
      <c r="CS26" s="4"/>
      <c r="CT26" s="79" t="str">
        <f t="shared" si="34"/>
        <v/>
      </c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73"/>
      <c r="DT26" s="79" t="str">
        <f t="shared" si="35"/>
        <v/>
      </c>
      <c r="DU26" s="4"/>
      <c r="DV26" s="4"/>
      <c r="DW26" s="4"/>
      <c r="DX26" s="4"/>
      <c r="DY26" s="73"/>
      <c r="DZ26" s="81" t="str">
        <f t="shared" si="36"/>
        <v/>
      </c>
      <c r="EA26" s="73"/>
      <c r="EB26" s="81"/>
      <c r="EC26" s="73">
        <f t="shared" si="37"/>
        <v>12.700799999999999</v>
      </c>
      <c r="ED26" s="81">
        <f t="shared" si="38"/>
        <v>0.79379999999999995</v>
      </c>
      <c r="EE26" s="72"/>
      <c r="EF26" s="81" t="str">
        <f t="shared" si="39"/>
        <v/>
      </c>
      <c r="EG26" s="183"/>
      <c r="EH26" s="81" t="str">
        <f t="shared" si="40"/>
        <v/>
      </c>
      <c r="EI26" s="72">
        <f t="shared" si="41"/>
        <v>35.0505</v>
      </c>
      <c r="EJ26" s="81">
        <f t="shared" si="42"/>
        <v>0.77890000000000004</v>
      </c>
      <c r="EK26" s="4"/>
      <c r="EL26" s="4"/>
      <c r="EM26" s="73">
        <f t="shared" si="43"/>
        <v>30.599399999999999</v>
      </c>
      <c r="EN26" s="79">
        <f t="shared" si="44"/>
        <v>0.78459999999999996</v>
      </c>
      <c r="EO26" s="4"/>
      <c r="EP26" s="4" t="str">
        <f t="shared" si="45"/>
        <v/>
      </c>
      <c r="EQ26" s="4"/>
      <c r="ER26" s="4"/>
      <c r="ES26" s="4"/>
      <c r="ET26" s="79" t="str">
        <f t="shared" si="46"/>
        <v/>
      </c>
      <c r="EU26" s="4"/>
      <c r="EV26" s="79" t="str">
        <f t="shared" si="47"/>
        <v/>
      </c>
      <c r="EW26" s="73"/>
      <c r="EX26" s="81"/>
      <c r="EY26" s="72"/>
      <c r="EZ26" s="81"/>
      <c r="FA26" s="72"/>
      <c r="FB26" s="81"/>
      <c r="FC26" s="81"/>
      <c r="FD26" s="81"/>
      <c r="FE26" s="73"/>
      <c r="FF26" s="81"/>
      <c r="FG26" s="170"/>
      <c r="FH26" s="171"/>
      <c r="FI26" s="84"/>
      <c r="FJ26" s="84"/>
      <c r="FK26" s="170"/>
      <c r="FL26" s="171"/>
      <c r="FM26" s="170"/>
      <c r="FN26" s="171"/>
      <c r="FP26" s="93"/>
    </row>
    <row r="27" spans="1:172">
      <c r="A27" s="108">
        <v>17</v>
      </c>
      <c r="B27" s="109" t="s">
        <v>217</v>
      </c>
      <c r="C27" s="109" t="s">
        <v>218</v>
      </c>
      <c r="D27" s="66">
        <f>'MK1-TM'!D35</f>
        <v>71.25</v>
      </c>
      <c r="E27" s="66">
        <f>'MK1-TM'!E35</f>
        <v>70.33</v>
      </c>
      <c r="F27" s="66">
        <f>'MK1-TM'!F35</f>
        <v>67.25</v>
      </c>
      <c r="G27" s="66">
        <f>'MK1-TM'!G35</f>
        <v>48.86</v>
      </c>
      <c r="H27" s="66">
        <f>'MK1-TM'!H35</f>
        <v>48.15</v>
      </c>
      <c r="I27" s="66">
        <f t="shared" si="4"/>
        <v>69.666499999999999</v>
      </c>
      <c r="J27" s="83">
        <f>'MK2-TO'!D35</f>
        <v>78.13</v>
      </c>
      <c r="K27" s="83">
        <f>'MK2-TO'!E35</f>
        <v>78.33</v>
      </c>
      <c r="L27" s="83">
        <f>'MK2-TO'!F35</f>
        <v>81.03</v>
      </c>
      <c r="M27" s="83">
        <f t="shared" si="5"/>
        <v>79.350999999999999</v>
      </c>
      <c r="N27" s="67">
        <f>'MK3-PSTI'!D35</f>
        <v>76.709999999999994</v>
      </c>
      <c r="O27" s="67">
        <f>'MK3-PSTI'!E35</f>
        <v>73.709999999999994</v>
      </c>
      <c r="P27" s="67">
        <f>'MK3-PSTI'!F35</f>
        <v>69.900000000000006</v>
      </c>
      <c r="Q27" s="67">
        <f t="shared" si="6"/>
        <v>72.353100000000012</v>
      </c>
      <c r="R27" s="68">
        <f>IF('MK4-L&amp;A'!D35="","",'MK4-L&amp;A'!D35)</f>
        <v>91.67</v>
      </c>
      <c r="S27" s="68">
        <f>'MK4-L&amp;A'!E35</f>
        <v>90.91</v>
      </c>
      <c r="T27" s="68">
        <f>'MK4-L&amp;A'!F35</f>
        <v>69.39</v>
      </c>
      <c r="U27" s="68">
        <f t="shared" si="7"/>
        <v>80.50200000000001</v>
      </c>
      <c r="V27" s="69">
        <f>'MK5-BP'!D35</f>
        <v>69.3</v>
      </c>
      <c r="W27" s="69">
        <f>'MK5-BP'!E35</f>
        <v>68.599999999999994</v>
      </c>
      <c r="X27" s="69">
        <f t="shared" si="8"/>
        <v>68.949999999999989</v>
      </c>
      <c r="Y27" s="37">
        <f>IF('MK7-MBD'!D34="","",'MK7-MBD'!D34)</f>
        <v>83.5</v>
      </c>
      <c r="Z27" s="37">
        <f>IF('MK7-MBD'!E34="","",'MK7-MBD'!E34)</f>
        <v>83.5</v>
      </c>
      <c r="AA27" s="37">
        <f t="shared" si="9"/>
        <v>83.5</v>
      </c>
      <c r="AB27" s="70">
        <f>IF(MK8_BID!D35="","",MK8_BID!D35)</f>
        <v>81.400000000000006</v>
      </c>
      <c r="AC27" s="70">
        <f t="shared" si="10"/>
        <v>81.400000000000006</v>
      </c>
      <c r="AE27" s="71"/>
      <c r="AF27" s="72"/>
      <c r="AG27" s="71"/>
      <c r="AH27" s="72"/>
      <c r="AI27" s="71"/>
      <c r="AJ27" s="72"/>
      <c r="AK27" s="71"/>
      <c r="AL27" s="72"/>
      <c r="AM27" s="72"/>
      <c r="AN27" s="72"/>
      <c r="AO27" s="72"/>
      <c r="AP27" s="72"/>
      <c r="AQ27" s="72"/>
      <c r="AR27" s="72"/>
      <c r="AS27" s="72"/>
      <c r="AT27" s="72"/>
      <c r="AU27" s="71"/>
      <c r="AV27" s="72"/>
      <c r="AW27" s="71"/>
      <c r="AX27" s="72"/>
      <c r="AY27" s="72"/>
      <c r="AZ27" s="72"/>
      <c r="BA27" s="71"/>
      <c r="BB27" s="72"/>
      <c r="BC27" s="71"/>
      <c r="BD27" s="72"/>
      <c r="BE27" s="131"/>
      <c r="BF27" s="71"/>
      <c r="BI27" s="4">
        <f t="shared" si="17"/>
        <v>41.75</v>
      </c>
      <c r="BJ27" s="81">
        <f t="shared" si="59"/>
        <v>0.83499999999999996</v>
      </c>
      <c r="BK27" s="4">
        <f t="shared" si="18"/>
        <v>123.15</v>
      </c>
      <c r="BL27" s="81">
        <f t="shared" si="60"/>
        <v>0.82100000000000006</v>
      </c>
      <c r="BM27" s="73"/>
      <c r="BN27" s="81" t="str">
        <f t="shared" si="61"/>
        <v/>
      </c>
      <c r="BO27" s="73">
        <f t="shared" si="19"/>
        <v>28.0032</v>
      </c>
      <c r="BP27" s="81">
        <f t="shared" si="20"/>
        <v>0.73692631578947365</v>
      </c>
      <c r="BQ27" s="73">
        <f t="shared" si="21"/>
        <v>15.4726</v>
      </c>
      <c r="BR27" s="79">
        <f t="shared" si="22"/>
        <v>0.70330000000000004</v>
      </c>
      <c r="BS27" s="73">
        <f t="shared" si="62"/>
        <v>31.9681</v>
      </c>
      <c r="BT27" s="79">
        <f t="shared" si="23"/>
        <v>0.77970975609756099</v>
      </c>
      <c r="BU27" s="73">
        <f t="shared" si="24"/>
        <v>66.7881</v>
      </c>
      <c r="BV27" s="79">
        <f t="shared" si="25"/>
        <v>0.73393516483516485</v>
      </c>
      <c r="BW27" s="184">
        <f t="shared" si="26"/>
        <v>80.289600000000007</v>
      </c>
      <c r="BX27" s="79">
        <f t="shared" si="27"/>
        <v>0.65276097560975621</v>
      </c>
      <c r="BY27" s="4"/>
      <c r="BZ27" s="4"/>
      <c r="CA27" s="73"/>
      <c r="CB27" s="81"/>
      <c r="CC27" s="73"/>
      <c r="CD27" s="81"/>
      <c r="CE27" s="73">
        <f t="shared" si="29"/>
        <v>34.65</v>
      </c>
      <c r="CF27" s="81">
        <f t="shared" si="30"/>
        <v>0.69299999999999995</v>
      </c>
      <c r="CG27" s="4">
        <f t="shared" si="31"/>
        <v>34.299999999999997</v>
      </c>
      <c r="CH27" s="79">
        <f t="shared" si="32"/>
        <v>0.68599999999999994</v>
      </c>
      <c r="CI27" s="4"/>
      <c r="CJ27" s="4"/>
      <c r="CK27" s="4"/>
      <c r="CL27" s="4"/>
      <c r="CM27" s="4"/>
      <c r="CN27" s="4"/>
      <c r="CO27" s="4"/>
      <c r="CP27" s="4"/>
      <c r="CQ27" s="73"/>
      <c r="CR27" s="79" t="str">
        <f t="shared" si="33"/>
        <v/>
      </c>
      <c r="CS27" s="4"/>
      <c r="CT27" s="79" t="str">
        <f t="shared" si="34"/>
        <v/>
      </c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4"/>
      <c r="DR27" s="4"/>
      <c r="DS27" s="73"/>
      <c r="DT27" s="79" t="str">
        <f t="shared" si="35"/>
        <v/>
      </c>
      <c r="DU27" s="4"/>
      <c r="DV27" s="4"/>
      <c r="DW27" s="4"/>
      <c r="DX27" s="4"/>
      <c r="DY27" s="73"/>
      <c r="DZ27" s="81" t="str">
        <f t="shared" si="36"/>
        <v/>
      </c>
      <c r="EA27" s="73"/>
      <c r="EB27" s="81"/>
      <c r="EC27" s="73">
        <f t="shared" si="37"/>
        <v>12.5008</v>
      </c>
      <c r="ED27" s="81">
        <f t="shared" si="38"/>
        <v>0.78129999999999999</v>
      </c>
      <c r="EE27" s="72"/>
      <c r="EF27" s="81" t="str">
        <f t="shared" si="39"/>
        <v/>
      </c>
      <c r="EG27" s="183"/>
      <c r="EH27" s="81" t="str">
        <f t="shared" si="40"/>
        <v/>
      </c>
      <c r="EI27" s="72">
        <f t="shared" si="41"/>
        <v>35.2485</v>
      </c>
      <c r="EJ27" s="81">
        <f t="shared" si="42"/>
        <v>0.7833</v>
      </c>
      <c r="EK27" s="4"/>
      <c r="EL27" s="4"/>
      <c r="EM27" s="73">
        <f t="shared" si="43"/>
        <v>31.601700000000001</v>
      </c>
      <c r="EN27" s="79">
        <f t="shared" si="44"/>
        <v>0.81030000000000002</v>
      </c>
      <c r="EO27" s="4"/>
      <c r="EP27" s="4" t="str">
        <f t="shared" si="45"/>
        <v/>
      </c>
      <c r="EQ27" s="4"/>
      <c r="ER27" s="4"/>
      <c r="ES27" s="4"/>
      <c r="ET27" s="79" t="str">
        <f t="shared" si="46"/>
        <v/>
      </c>
      <c r="EU27" s="4"/>
      <c r="EV27" s="79" t="str">
        <f t="shared" si="47"/>
        <v/>
      </c>
      <c r="EW27" s="73"/>
      <c r="EX27" s="81"/>
      <c r="EY27" s="72"/>
      <c r="EZ27" s="81"/>
      <c r="FA27" s="72"/>
      <c r="FB27" s="81"/>
      <c r="FC27" s="81"/>
      <c r="FD27" s="81"/>
      <c r="FE27" s="73"/>
      <c r="FF27" s="81"/>
      <c r="FG27" s="170"/>
      <c r="FH27" s="171"/>
      <c r="FI27" s="84"/>
      <c r="FJ27" s="84"/>
      <c r="FK27" s="170"/>
      <c r="FL27" s="171"/>
      <c r="FM27" s="170"/>
      <c r="FN27" s="171"/>
      <c r="FP27" s="93"/>
    </row>
    <row r="28" spans="1:172">
      <c r="A28" s="108">
        <v>18</v>
      </c>
      <c r="B28" s="109" t="s">
        <v>219</v>
      </c>
      <c r="C28" s="109" t="s">
        <v>220</v>
      </c>
      <c r="D28" s="66">
        <f>'MK1-TM'!D36</f>
        <v>78.5</v>
      </c>
      <c r="E28" s="66">
        <f>'MK1-TM'!E36</f>
        <v>78.069999999999993</v>
      </c>
      <c r="F28" s="66">
        <f>'MK1-TM'!F36</f>
        <v>77.55</v>
      </c>
      <c r="G28" s="66">
        <f>'MK1-TM'!G36</f>
        <v>54.14</v>
      </c>
      <c r="H28" s="66">
        <f>'MK1-TM'!H36</f>
        <v>54.56</v>
      </c>
      <c r="I28" s="66">
        <f t="shared" si="4"/>
        <v>78.130499999999998</v>
      </c>
      <c r="J28" s="83">
        <f>'MK2-TO'!D36</f>
        <v>75</v>
      </c>
      <c r="K28" s="83">
        <f>'MK2-TO'!E36</f>
        <v>74.44</v>
      </c>
      <c r="L28" s="83">
        <f>'MK2-TO'!F36</f>
        <v>78.849999999999994</v>
      </c>
      <c r="M28" s="83">
        <f t="shared" si="5"/>
        <v>76.249499999999998</v>
      </c>
      <c r="N28" s="67">
        <f>'MK3-PSTI'!D36</f>
        <v>82.59</v>
      </c>
      <c r="O28" s="67">
        <f>'MK3-PSTI'!E36</f>
        <v>80.47</v>
      </c>
      <c r="P28" s="67">
        <f>'MK3-PSTI'!F36</f>
        <v>82.55</v>
      </c>
      <c r="Q28" s="67">
        <f t="shared" si="6"/>
        <v>81.849600000000009</v>
      </c>
      <c r="R28" s="68">
        <f>IF('MK4-L&amp;A'!D36="","",'MK4-L&amp;A'!D36)</f>
        <v>86.11</v>
      </c>
      <c r="S28" s="68">
        <f>'MK4-L&amp;A'!E36</f>
        <v>83.33</v>
      </c>
      <c r="T28" s="68">
        <f>'MK4-L&amp;A'!F36</f>
        <v>62.24</v>
      </c>
      <c r="U28" s="68">
        <f t="shared" si="7"/>
        <v>73.496300000000005</v>
      </c>
      <c r="V28" s="69">
        <f>'MK5-BP'!D36</f>
        <v>77.7</v>
      </c>
      <c r="W28" s="69">
        <f>'MK5-BP'!E36</f>
        <v>77.599999999999994</v>
      </c>
      <c r="X28" s="69">
        <f t="shared" si="8"/>
        <v>77.650000000000006</v>
      </c>
      <c r="Y28" s="37">
        <f>IF('MK7-MBD'!D35="","",'MK7-MBD'!D35)</f>
        <v>93.4</v>
      </c>
      <c r="Z28" s="37">
        <f>IF('MK7-MBD'!E35="","",'MK7-MBD'!E35)</f>
        <v>93.4</v>
      </c>
      <c r="AA28" s="37">
        <f t="shared" si="9"/>
        <v>93.4</v>
      </c>
      <c r="AB28" s="70">
        <f>IF(MK8_BID!D36="","",MK8_BID!D36)</f>
        <v>85.55</v>
      </c>
      <c r="AC28" s="70">
        <f t="shared" si="10"/>
        <v>85.55</v>
      </c>
      <c r="AE28" s="71"/>
      <c r="AF28" s="72"/>
      <c r="AG28" s="71"/>
      <c r="AH28" s="72"/>
      <c r="AI28" s="71"/>
      <c r="AJ28" s="72"/>
      <c r="AK28" s="71"/>
      <c r="AL28" s="72"/>
      <c r="AM28" s="72"/>
      <c r="AN28" s="72"/>
      <c r="AO28" s="72"/>
      <c r="AP28" s="72"/>
      <c r="AQ28" s="72"/>
      <c r="AR28" s="72"/>
      <c r="AS28" s="72"/>
      <c r="AT28" s="72"/>
      <c r="AU28" s="71"/>
      <c r="AV28" s="72"/>
      <c r="AW28" s="71"/>
      <c r="AX28" s="72"/>
      <c r="AY28" s="72"/>
      <c r="AZ28" s="72"/>
      <c r="BA28" s="71"/>
      <c r="BB28" s="72"/>
      <c r="BC28" s="71"/>
      <c r="BD28" s="72"/>
      <c r="BE28" s="131"/>
      <c r="BF28" s="71"/>
      <c r="BI28" s="4">
        <f t="shared" si="17"/>
        <v>46.7</v>
      </c>
      <c r="BJ28" s="81">
        <f t="shared" si="59"/>
        <v>0.93400000000000005</v>
      </c>
      <c r="BK28" s="4">
        <f t="shared" si="18"/>
        <v>132.25</v>
      </c>
      <c r="BL28" s="81">
        <f t="shared" si="60"/>
        <v>0.88166666666666671</v>
      </c>
      <c r="BM28" s="73"/>
      <c r="BN28" s="81" t="str">
        <f t="shared" si="61"/>
        <v/>
      </c>
      <c r="BO28" s="73">
        <f t="shared" si="19"/>
        <v>30.525300000000001</v>
      </c>
      <c r="BP28" s="81">
        <f t="shared" si="20"/>
        <v>0.8032973684210527</v>
      </c>
      <c r="BQ28" s="73">
        <f t="shared" si="21"/>
        <v>17.1754</v>
      </c>
      <c r="BR28" s="79">
        <f t="shared" si="22"/>
        <v>0.78069999999999995</v>
      </c>
      <c r="BS28" s="73">
        <f t="shared" si="62"/>
        <v>33.336300000000001</v>
      </c>
      <c r="BT28" s="79">
        <f t="shared" si="23"/>
        <v>0.81308048780487807</v>
      </c>
      <c r="BU28" s="73">
        <f t="shared" si="24"/>
        <v>67.8523</v>
      </c>
      <c r="BV28" s="79">
        <f t="shared" si="25"/>
        <v>0.74562967032967031</v>
      </c>
      <c r="BW28" s="184">
        <f t="shared" si="26"/>
        <v>84.587100000000007</v>
      </c>
      <c r="BX28" s="79">
        <f t="shared" si="27"/>
        <v>0.68770000000000009</v>
      </c>
      <c r="BY28" s="4"/>
      <c r="BZ28" s="4"/>
      <c r="CA28" s="73"/>
      <c r="CB28" s="81"/>
      <c r="CC28" s="73"/>
      <c r="CD28" s="81"/>
      <c r="CE28" s="73">
        <f t="shared" si="29"/>
        <v>38.85</v>
      </c>
      <c r="CF28" s="81">
        <f t="shared" si="30"/>
        <v>0.77700000000000002</v>
      </c>
      <c r="CG28" s="4">
        <f t="shared" si="31"/>
        <v>38.799999999999997</v>
      </c>
      <c r="CH28" s="79">
        <f t="shared" si="32"/>
        <v>0.77599999999999991</v>
      </c>
      <c r="CI28" s="4"/>
      <c r="CJ28" s="4"/>
      <c r="CK28" s="4"/>
      <c r="CL28" s="4"/>
      <c r="CM28" s="4"/>
      <c r="CN28" s="4"/>
      <c r="CO28" s="4"/>
      <c r="CP28" s="4"/>
      <c r="CQ28" s="73"/>
      <c r="CR28" s="79" t="str">
        <f t="shared" si="33"/>
        <v/>
      </c>
      <c r="CS28" s="4"/>
      <c r="CT28" s="79" t="str">
        <f t="shared" si="34"/>
        <v/>
      </c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73"/>
      <c r="DT28" s="79" t="str">
        <f t="shared" si="35"/>
        <v/>
      </c>
      <c r="DU28" s="4"/>
      <c r="DV28" s="4"/>
      <c r="DW28" s="4"/>
      <c r="DX28" s="4"/>
      <c r="DY28" s="73"/>
      <c r="DZ28" s="81" t="str">
        <f t="shared" si="36"/>
        <v/>
      </c>
      <c r="EA28" s="73"/>
      <c r="EB28" s="81"/>
      <c r="EC28" s="73">
        <f t="shared" si="37"/>
        <v>12</v>
      </c>
      <c r="ED28" s="81">
        <f t="shared" si="38"/>
        <v>0.75</v>
      </c>
      <c r="EE28" s="72"/>
      <c r="EF28" s="81" t="str">
        <f t="shared" si="39"/>
        <v/>
      </c>
      <c r="EG28" s="183"/>
      <c r="EH28" s="81" t="str">
        <f t="shared" si="40"/>
        <v/>
      </c>
      <c r="EI28" s="72">
        <f t="shared" si="41"/>
        <v>33.497999999999998</v>
      </c>
      <c r="EJ28" s="81">
        <f t="shared" si="42"/>
        <v>0.74439999999999995</v>
      </c>
      <c r="EK28" s="4"/>
      <c r="EL28" s="4"/>
      <c r="EM28" s="73">
        <f t="shared" si="43"/>
        <v>30.7515</v>
      </c>
      <c r="EN28" s="79">
        <f t="shared" si="44"/>
        <v>0.78849999999999998</v>
      </c>
      <c r="EO28" s="4"/>
      <c r="EP28" s="4" t="str">
        <f t="shared" si="45"/>
        <v/>
      </c>
      <c r="EQ28" s="4"/>
      <c r="ER28" s="4"/>
      <c r="ES28" s="4"/>
      <c r="ET28" s="79" t="str">
        <f t="shared" si="46"/>
        <v/>
      </c>
      <c r="EU28" s="4"/>
      <c r="EV28" s="79" t="str">
        <f t="shared" si="47"/>
        <v/>
      </c>
      <c r="EW28" s="73"/>
      <c r="EX28" s="81"/>
      <c r="EY28" s="72"/>
      <c r="EZ28" s="81"/>
      <c r="FA28" s="72"/>
      <c r="FB28" s="81"/>
      <c r="FC28" s="81"/>
      <c r="FD28" s="81"/>
      <c r="FE28" s="73"/>
      <c r="FF28" s="81"/>
      <c r="FG28" s="170"/>
      <c r="FH28" s="171"/>
      <c r="FI28" s="84"/>
      <c r="FJ28" s="84"/>
      <c r="FK28" s="170"/>
      <c r="FL28" s="171"/>
      <c r="FM28" s="170"/>
      <c r="FN28" s="171"/>
      <c r="FP28" s="93"/>
    </row>
    <row r="29" spans="1:172">
      <c r="A29" s="108">
        <v>19</v>
      </c>
      <c r="B29" s="109" t="s">
        <v>221</v>
      </c>
      <c r="C29" s="109" t="s">
        <v>222</v>
      </c>
      <c r="D29" s="66">
        <f>'MK1-TM'!D37</f>
        <v>68.5</v>
      </c>
      <c r="E29" s="66">
        <f>'MK1-TM'!E37</f>
        <v>67.069999999999993</v>
      </c>
      <c r="F29" s="66">
        <f>'MK1-TM'!F37</f>
        <v>62.9</v>
      </c>
      <c r="G29" s="66">
        <f>'MK1-TM'!G37</f>
        <v>55.68</v>
      </c>
      <c r="H29" s="66">
        <f>'MK1-TM'!H37</f>
        <v>55.56</v>
      </c>
      <c r="I29" s="66">
        <f t="shared" si="4"/>
        <v>70.860600000000005</v>
      </c>
      <c r="J29" s="83">
        <f>'MK2-TO'!D37</f>
        <v>77.5</v>
      </c>
      <c r="K29" s="83">
        <f>'MK2-TO'!E37</f>
        <v>75.11</v>
      </c>
      <c r="L29" s="83">
        <f>'MK2-TO'!F37</f>
        <v>74.62</v>
      </c>
      <c r="M29" s="83">
        <f t="shared" si="5"/>
        <v>75.301300000000012</v>
      </c>
      <c r="N29" s="67">
        <f>'MK3-PSTI'!D37</f>
        <v>80.349999999999994</v>
      </c>
      <c r="O29" s="67">
        <f>'MK3-PSTI'!E37</f>
        <v>77.91</v>
      </c>
      <c r="P29" s="67">
        <f>'MK3-PSTI'!F37</f>
        <v>69.900000000000006</v>
      </c>
      <c r="Q29" s="67">
        <f t="shared" si="6"/>
        <v>74.399900000000002</v>
      </c>
      <c r="R29" s="68">
        <f>IF('MK4-L&amp;A'!D37="","",'MK4-L&amp;A'!D37)</f>
        <v>91.67</v>
      </c>
      <c r="S29" s="68">
        <f>'MK4-L&amp;A'!E37</f>
        <v>90.91</v>
      </c>
      <c r="T29" s="68">
        <f>'MK4-L&amp;A'!F37</f>
        <v>80.099999999999994</v>
      </c>
      <c r="U29" s="68">
        <f t="shared" si="7"/>
        <v>85.749899999999997</v>
      </c>
      <c r="V29" s="69">
        <f>'MK5-BP'!D37</f>
        <v>77.8</v>
      </c>
      <c r="W29" s="69">
        <f>'MK5-BP'!E37</f>
        <v>77</v>
      </c>
      <c r="X29" s="69">
        <f t="shared" si="8"/>
        <v>77.400000000000006</v>
      </c>
      <c r="Y29" s="37">
        <f>IF('MK7-MBD'!D36="","",'MK7-MBD'!D36)</f>
        <v>83.25</v>
      </c>
      <c r="Z29" s="37">
        <f>IF('MK7-MBD'!E36="","",'MK7-MBD'!E36)</f>
        <v>83.25</v>
      </c>
      <c r="AA29" s="37">
        <f t="shared" si="9"/>
        <v>83.25</v>
      </c>
      <c r="AB29" s="70">
        <f>IF(MK8_BID!D37="","",MK8_BID!D37)</f>
        <v>86.95</v>
      </c>
      <c r="AC29" s="70">
        <f t="shared" si="10"/>
        <v>86.95</v>
      </c>
      <c r="AE29" s="71"/>
      <c r="AF29" s="72"/>
      <c r="AG29" s="71"/>
      <c r="AH29" s="72"/>
      <c r="AI29" s="71"/>
      <c r="AJ29" s="72"/>
      <c r="AK29" s="71"/>
      <c r="AL29" s="72"/>
      <c r="AM29" s="72"/>
      <c r="AN29" s="72"/>
      <c r="AO29" s="72"/>
      <c r="AP29" s="72"/>
      <c r="AQ29" s="72"/>
      <c r="AR29" s="72"/>
      <c r="AS29" s="72"/>
      <c r="AT29" s="72"/>
      <c r="AU29" s="71"/>
      <c r="AV29" s="72"/>
      <c r="AW29" s="71"/>
      <c r="AX29" s="72"/>
      <c r="AY29" s="72"/>
      <c r="AZ29" s="72"/>
      <c r="BA29" s="71"/>
      <c r="BB29" s="72"/>
      <c r="BC29" s="71"/>
      <c r="BD29" s="72"/>
      <c r="BE29" s="131"/>
      <c r="BF29" s="71"/>
      <c r="BI29" s="4">
        <f t="shared" si="17"/>
        <v>41.625</v>
      </c>
      <c r="BJ29" s="81">
        <f t="shared" si="59"/>
        <v>0.83250000000000002</v>
      </c>
      <c r="BK29" s="4">
        <f t="shared" si="18"/>
        <v>128.57499999999999</v>
      </c>
      <c r="BL29" s="81">
        <f t="shared" si="60"/>
        <v>0.85716666666666663</v>
      </c>
      <c r="BM29" s="73"/>
      <c r="BN29" s="81" t="str">
        <f t="shared" si="61"/>
        <v/>
      </c>
      <c r="BO29" s="73">
        <f t="shared" si="19"/>
        <v>28.044499999999999</v>
      </c>
      <c r="BP29" s="81">
        <f t="shared" si="20"/>
        <v>0.73801315789473687</v>
      </c>
      <c r="BQ29" s="73">
        <f t="shared" si="21"/>
        <v>14.755399999999998</v>
      </c>
      <c r="BR29" s="79">
        <f t="shared" si="22"/>
        <v>0.67069999999999996</v>
      </c>
      <c r="BS29" s="73">
        <f t="shared" si="62"/>
        <v>30.967599999999997</v>
      </c>
      <c r="BT29" s="79">
        <f t="shared" si="23"/>
        <v>0.75530731707317067</v>
      </c>
      <c r="BU29" s="73">
        <f t="shared" si="24"/>
        <v>69.852899999999991</v>
      </c>
      <c r="BV29" s="79">
        <f t="shared" si="25"/>
        <v>0.76761428571428558</v>
      </c>
      <c r="BW29" s="184">
        <f t="shared" si="26"/>
        <v>87.39</v>
      </c>
      <c r="BX29" s="79">
        <f t="shared" si="27"/>
        <v>0.71048780487804875</v>
      </c>
      <c r="BY29" s="4"/>
      <c r="BZ29" s="4"/>
      <c r="CA29" s="73"/>
      <c r="CB29" s="81"/>
      <c r="CC29" s="73"/>
      <c r="CD29" s="81"/>
      <c r="CE29" s="73">
        <f t="shared" si="29"/>
        <v>38.9</v>
      </c>
      <c r="CF29" s="81">
        <f t="shared" si="30"/>
        <v>0.77800000000000002</v>
      </c>
      <c r="CG29" s="4">
        <f t="shared" si="31"/>
        <v>38.5</v>
      </c>
      <c r="CH29" s="79">
        <f t="shared" si="32"/>
        <v>0.77</v>
      </c>
      <c r="CI29" s="4"/>
      <c r="CJ29" s="4"/>
      <c r="CK29" s="4"/>
      <c r="CL29" s="4"/>
      <c r="CM29" s="4"/>
      <c r="CN29" s="4"/>
      <c r="CO29" s="4"/>
      <c r="CP29" s="4"/>
      <c r="CQ29" s="73"/>
      <c r="CR29" s="79" t="str">
        <f t="shared" si="33"/>
        <v/>
      </c>
      <c r="CS29" s="4"/>
      <c r="CT29" s="79" t="str">
        <f t="shared" si="34"/>
        <v/>
      </c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73"/>
      <c r="DT29" s="79" t="str">
        <f t="shared" si="35"/>
        <v/>
      </c>
      <c r="DU29" s="4"/>
      <c r="DV29" s="4"/>
      <c r="DW29" s="4"/>
      <c r="DX29" s="4"/>
      <c r="DY29" s="73"/>
      <c r="DZ29" s="81" t="str">
        <f t="shared" si="36"/>
        <v/>
      </c>
      <c r="EA29" s="73"/>
      <c r="EB29" s="81"/>
      <c r="EC29" s="73">
        <f t="shared" si="37"/>
        <v>12.4</v>
      </c>
      <c r="ED29" s="81">
        <f t="shared" si="38"/>
        <v>0.77500000000000002</v>
      </c>
      <c r="EE29" s="72"/>
      <c r="EF29" s="81" t="str">
        <f t="shared" si="39"/>
        <v/>
      </c>
      <c r="EG29" s="183"/>
      <c r="EH29" s="81" t="str">
        <f t="shared" si="40"/>
        <v/>
      </c>
      <c r="EI29" s="72">
        <f t="shared" si="41"/>
        <v>33.799500000000002</v>
      </c>
      <c r="EJ29" s="81">
        <f t="shared" si="42"/>
        <v>0.75109999999999999</v>
      </c>
      <c r="EK29" s="4"/>
      <c r="EL29" s="4"/>
      <c r="EM29" s="73">
        <f t="shared" si="43"/>
        <v>29.101800000000004</v>
      </c>
      <c r="EN29" s="79">
        <f t="shared" si="44"/>
        <v>0.74620000000000009</v>
      </c>
      <c r="EO29" s="4"/>
      <c r="EP29" s="4" t="str">
        <f t="shared" si="45"/>
        <v/>
      </c>
      <c r="EQ29" s="4"/>
      <c r="ER29" s="4"/>
      <c r="ES29" s="4"/>
      <c r="ET29" s="79" t="str">
        <f t="shared" si="46"/>
        <v/>
      </c>
      <c r="EU29" s="4"/>
      <c r="EV29" s="79" t="str">
        <f t="shared" si="47"/>
        <v/>
      </c>
      <c r="EW29" s="73"/>
      <c r="EX29" s="81"/>
      <c r="EY29" s="72"/>
      <c r="EZ29" s="81"/>
      <c r="FA29" s="72"/>
      <c r="FB29" s="81"/>
      <c r="FC29" s="81"/>
      <c r="FD29" s="81"/>
      <c r="FE29" s="73"/>
      <c r="FF29" s="81"/>
      <c r="FG29" s="170"/>
      <c r="FH29" s="171"/>
      <c r="FI29" s="84"/>
      <c r="FJ29" s="84"/>
      <c r="FK29" s="170"/>
      <c r="FL29" s="171"/>
      <c r="FM29" s="170"/>
      <c r="FN29" s="171"/>
      <c r="FP29" s="93"/>
    </row>
    <row r="30" spans="1:172">
      <c r="A30" s="108">
        <v>20</v>
      </c>
      <c r="B30" s="109" t="s">
        <v>223</v>
      </c>
      <c r="C30" s="109" t="s">
        <v>224</v>
      </c>
      <c r="D30" s="66">
        <f>'MK1-TM'!D38</f>
        <v>76.13</v>
      </c>
      <c r="E30" s="66">
        <f>'MK1-TM'!E38</f>
        <v>75.2</v>
      </c>
      <c r="F30" s="66">
        <f>'MK1-TM'!F38</f>
        <v>73.650000000000006</v>
      </c>
      <c r="G30" s="66">
        <f>'MK1-TM'!G38</f>
        <v>51.27</v>
      </c>
      <c r="H30" s="66">
        <f>'MK1-TM'!H38</f>
        <v>51.07</v>
      </c>
      <c r="I30" s="66">
        <f t="shared" si="4"/>
        <v>74.54310000000001</v>
      </c>
      <c r="J30" s="83">
        <f>'MK2-TO'!D38</f>
        <v>68.75</v>
      </c>
      <c r="K30" s="83">
        <f>'MK2-TO'!E38</f>
        <v>69.56</v>
      </c>
      <c r="L30" s="83">
        <f>'MK2-TO'!F38</f>
        <v>79.489999999999995</v>
      </c>
      <c r="M30" s="83">
        <f t="shared" si="5"/>
        <v>73.303100000000001</v>
      </c>
      <c r="N30" s="67">
        <f>'MK3-PSTI'!D38</f>
        <v>70.349999999999994</v>
      </c>
      <c r="O30" s="67">
        <f>'MK3-PSTI'!E38</f>
        <v>66</v>
      </c>
      <c r="P30" s="67">
        <f>'MK3-PSTI'!F38</f>
        <v>74.08</v>
      </c>
      <c r="Q30" s="67">
        <f t="shared" si="6"/>
        <v>70.698700000000002</v>
      </c>
      <c r="R30" s="68">
        <f>IF('MK4-L&amp;A'!D38="","",'MK4-L&amp;A'!D38)</f>
        <v>86.11</v>
      </c>
      <c r="S30" s="68">
        <f>'MK4-L&amp;A'!E38</f>
        <v>83.33</v>
      </c>
      <c r="T30" s="68">
        <f>'MK4-L&amp;A'!F38</f>
        <v>90.82</v>
      </c>
      <c r="U30" s="68">
        <f t="shared" si="7"/>
        <v>87.500499999999988</v>
      </c>
      <c r="V30" s="69">
        <f>'MK5-BP'!D38</f>
        <v>82</v>
      </c>
      <c r="W30" s="69">
        <f>'MK5-BP'!E38</f>
        <v>82</v>
      </c>
      <c r="X30" s="69">
        <f t="shared" si="8"/>
        <v>82</v>
      </c>
      <c r="Y30" s="37">
        <f>IF('MK7-MBD'!D37="","",'MK7-MBD'!D37)</f>
        <v>77.900000000000006</v>
      </c>
      <c r="Z30" s="37">
        <f>IF('MK7-MBD'!E37="","",'MK7-MBD'!E37)</f>
        <v>77.900000000000006</v>
      </c>
      <c r="AA30" s="37">
        <f t="shared" si="9"/>
        <v>77.900000000000006</v>
      </c>
      <c r="AB30" s="70">
        <f>IF(MK8_BID!D38="","",MK8_BID!D38)</f>
        <v>81.400000000000006</v>
      </c>
      <c r="AC30" s="70">
        <f t="shared" si="10"/>
        <v>81.400000000000006</v>
      </c>
      <c r="AE30" s="71"/>
      <c r="AF30" s="72"/>
      <c r="AG30" s="71"/>
      <c r="AH30" s="72"/>
      <c r="AI30" s="71"/>
      <c r="AJ30" s="72"/>
      <c r="AK30" s="71"/>
      <c r="AL30" s="72"/>
      <c r="AM30" s="72"/>
      <c r="AN30" s="72"/>
      <c r="AO30" s="72"/>
      <c r="AP30" s="72"/>
      <c r="AQ30" s="72"/>
      <c r="AR30" s="72"/>
      <c r="AS30" s="72"/>
      <c r="AT30" s="72"/>
      <c r="AU30" s="71"/>
      <c r="AV30" s="72"/>
      <c r="AW30" s="71"/>
      <c r="AX30" s="72"/>
      <c r="AY30" s="72"/>
      <c r="AZ30" s="72"/>
      <c r="BA30" s="71"/>
      <c r="BB30" s="72"/>
      <c r="BC30" s="71"/>
      <c r="BD30" s="72"/>
      <c r="BE30" s="131"/>
      <c r="BF30" s="71"/>
      <c r="BI30" s="4">
        <f t="shared" si="17"/>
        <v>38.950000000000003</v>
      </c>
      <c r="BJ30" s="81">
        <f t="shared" si="59"/>
        <v>0.77900000000000003</v>
      </c>
      <c r="BK30" s="4">
        <f t="shared" si="18"/>
        <v>120.35000000000001</v>
      </c>
      <c r="BL30" s="81">
        <f t="shared" si="60"/>
        <v>0.80233333333333334</v>
      </c>
      <c r="BM30" s="73"/>
      <c r="BN30" s="81" t="str">
        <f t="shared" si="61"/>
        <v/>
      </c>
      <c r="BO30" s="73">
        <f t="shared" si="19"/>
        <v>27.946799999999996</v>
      </c>
      <c r="BP30" s="81">
        <f t="shared" si="20"/>
        <v>0.73544210526315779</v>
      </c>
      <c r="BQ30" s="73">
        <f t="shared" si="21"/>
        <v>16.544</v>
      </c>
      <c r="BR30" s="79">
        <f t="shared" si="22"/>
        <v>0.752</v>
      </c>
      <c r="BS30" s="73">
        <f t="shared" si="62"/>
        <v>32.439300000000003</v>
      </c>
      <c r="BT30" s="79">
        <f t="shared" si="23"/>
        <v>0.79120243902439036</v>
      </c>
      <c r="BU30" s="73">
        <f t="shared" si="24"/>
        <v>62.243699999999997</v>
      </c>
      <c r="BV30" s="79">
        <f t="shared" si="25"/>
        <v>0.68399670329670326</v>
      </c>
      <c r="BW30" s="184">
        <f t="shared" si="26"/>
        <v>93.5685</v>
      </c>
      <c r="BX30" s="79">
        <f t="shared" si="27"/>
        <v>0.76071951219512191</v>
      </c>
      <c r="BY30" s="4"/>
      <c r="BZ30" s="4"/>
      <c r="CA30" s="73"/>
      <c r="CB30" s="81"/>
      <c r="CC30" s="73"/>
      <c r="CD30" s="81"/>
      <c r="CE30" s="73">
        <f t="shared" si="29"/>
        <v>41</v>
      </c>
      <c r="CF30" s="81">
        <f t="shared" si="30"/>
        <v>0.82</v>
      </c>
      <c r="CG30" s="4">
        <f t="shared" si="31"/>
        <v>41</v>
      </c>
      <c r="CH30" s="79">
        <f t="shared" si="32"/>
        <v>0.82</v>
      </c>
      <c r="CI30" s="4"/>
      <c r="CJ30" s="4"/>
      <c r="CK30" s="4"/>
      <c r="CL30" s="4"/>
      <c r="CM30" s="4"/>
      <c r="CN30" s="4"/>
      <c r="CO30" s="4"/>
      <c r="CP30" s="4"/>
      <c r="CQ30" s="73"/>
      <c r="CR30" s="79" t="str">
        <f t="shared" si="33"/>
        <v/>
      </c>
      <c r="CS30" s="4"/>
      <c r="CT30" s="79" t="str">
        <f t="shared" si="34"/>
        <v/>
      </c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73"/>
      <c r="DT30" s="79" t="str">
        <f t="shared" si="35"/>
        <v/>
      </c>
      <c r="DU30" s="4"/>
      <c r="DV30" s="4"/>
      <c r="DW30" s="4"/>
      <c r="DX30" s="4"/>
      <c r="DY30" s="73"/>
      <c r="DZ30" s="81" t="str">
        <f t="shared" si="36"/>
        <v/>
      </c>
      <c r="EA30" s="73"/>
      <c r="EB30" s="81"/>
      <c r="EC30" s="73">
        <f t="shared" si="37"/>
        <v>11</v>
      </c>
      <c r="ED30" s="81">
        <f t="shared" si="38"/>
        <v>0.6875</v>
      </c>
      <c r="EE30" s="72"/>
      <c r="EF30" s="81" t="str">
        <f t="shared" si="39"/>
        <v/>
      </c>
      <c r="EG30" s="183"/>
      <c r="EH30" s="81" t="str">
        <f t="shared" si="40"/>
        <v/>
      </c>
      <c r="EI30" s="72">
        <f t="shared" si="41"/>
        <v>31.302000000000003</v>
      </c>
      <c r="EJ30" s="81">
        <f t="shared" si="42"/>
        <v>0.69560000000000011</v>
      </c>
      <c r="EK30" s="4"/>
      <c r="EL30" s="4"/>
      <c r="EM30" s="73">
        <f t="shared" si="43"/>
        <v>31.001099999999997</v>
      </c>
      <c r="EN30" s="79">
        <f t="shared" si="44"/>
        <v>0.79489999999999994</v>
      </c>
      <c r="EO30" s="4"/>
      <c r="EP30" s="4" t="str">
        <f t="shared" si="45"/>
        <v/>
      </c>
      <c r="EQ30" s="4"/>
      <c r="ER30" s="4"/>
      <c r="ES30" s="4"/>
      <c r="ET30" s="79" t="str">
        <f t="shared" si="46"/>
        <v/>
      </c>
      <c r="EU30" s="4"/>
      <c r="EV30" s="79" t="str">
        <f t="shared" si="47"/>
        <v/>
      </c>
      <c r="EW30" s="73"/>
      <c r="EX30" s="81"/>
      <c r="EY30" s="72"/>
      <c r="EZ30" s="81"/>
      <c r="FA30" s="72"/>
      <c r="FB30" s="81"/>
      <c r="FC30" s="81"/>
      <c r="FD30" s="81"/>
      <c r="FE30" s="73"/>
      <c r="FF30" s="81"/>
      <c r="FG30" s="170"/>
      <c r="FH30" s="171"/>
      <c r="FI30" s="84"/>
      <c r="FJ30" s="84"/>
      <c r="FK30" s="170"/>
      <c r="FL30" s="171"/>
      <c r="FM30" s="170"/>
      <c r="FN30" s="171"/>
      <c r="FP30" s="93"/>
    </row>
    <row r="31" spans="1:172" ht="13.5" customHeight="1">
      <c r="A31" s="108">
        <v>21</v>
      </c>
      <c r="B31" s="109" t="s">
        <v>225</v>
      </c>
      <c r="C31" s="109" t="s">
        <v>226</v>
      </c>
      <c r="D31" s="66">
        <f>'MK1-TM'!D39</f>
        <v>52.38</v>
      </c>
      <c r="E31" s="66">
        <f>'MK1-TM'!E39</f>
        <v>50.2</v>
      </c>
      <c r="F31" s="66">
        <f>'MK1-TM'!F39</f>
        <v>44.9</v>
      </c>
      <c r="G31" s="66">
        <f>'MK1-TM'!G39</f>
        <v>58.09</v>
      </c>
      <c r="H31" s="66">
        <f>'MK1-TM'!H39</f>
        <v>58.48</v>
      </c>
      <c r="I31" s="66">
        <f t="shared" si="4"/>
        <v>60.932400000000001</v>
      </c>
      <c r="J31" s="83">
        <f>'MK2-TO'!D39</f>
        <v>68.75</v>
      </c>
      <c r="K31" s="83">
        <f>'MK2-TO'!E39</f>
        <v>65.56</v>
      </c>
      <c r="L31" s="83">
        <f>'MK2-TO'!F39</f>
        <v>64.099999999999994</v>
      </c>
      <c r="M31" s="83">
        <f t="shared" si="5"/>
        <v>65.501000000000005</v>
      </c>
      <c r="N31" s="67">
        <f>'MK3-PSTI'!D39</f>
        <v>77.290000000000006</v>
      </c>
      <c r="O31" s="67">
        <f>'MK3-PSTI'!E39</f>
        <v>74.150000000000006</v>
      </c>
      <c r="P31" s="67">
        <f>'MK3-PSTI'!F39</f>
        <v>59.18</v>
      </c>
      <c r="Q31" s="67">
        <f t="shared" si="6"/>
        <v>67.348500000000001</v>
      </c>
      <c r="R31" s="68">
        <f>IF('MK4-L&amp;A'!D39="","",'MK4-L&amp;A'!D39)</f>
        <v>91.67</v>
      </c>
      <c r="S31" s="68">
        <f>'MK4-L&amp;A'!E39</f>
        <v>90.91</v>
      </c>
      <c r="T31" s="68">
        <f>'MK4-L&amp;A'!F39</f>
        <v>62.24</v>
      </c>
      <c r="U31" s="68">
        <f t="shared" si="7"/>
        <v>76.998500000000007</v>
      </c>
      <c r="V31" s="69">
        <f>'MK5-BP'!D39</f>
        <v>67.599999999999994</v>
      </c>
      <c r="W31" s="69">
        <f>'MK5-BP'!E39</f>
        <v>68.3</v>
      </c>
      <c r="X31" s="69">
        <f t="shared" si="8"/>
        <v>67.949999999999989</v>
      </c>
      <c r="Y31" s="37">
        <f>IF('MK7-MBD'!D38="","",'MK7-MBD'!D38)</f>
        <v>82.9</v>
      </c>
      <c r="Z31" s="37">
        <f>IF('MK7-MBD'!E38="","",'MK7-MBD'!E38)</f>
        <v>82.9</v>
      </c>
      <c r="AA31" s="37">
        <f t="shared" si="9"/>
        <v>82.9</v>
      </c>
      <c r="AB31" s="70">
        <f>IF(MK8_BID!D39="","",MK8_BID!D39)</f>
        <v>81.400000000000006</v>
      </c>
      <c r="AC31" s="70">
        <f t="shared" si="10"/>
        <v>81.400000000000006</v>
      </c>
      <c r="AE31" s="71"/>
      <c r="AF31" s="72"/>
      <c r="AG31" s="71"/>
      <c r="AH31" s="72"/>
      <c r="AI31" s="71"/>
      <c r="AJ31" s="72"/>
      <c r="AK31" s="71"/>
      <c r="AL31" s="72"/>
      <c r="AM31" s="72"/>
      <c r="AN31" s="72"/>
      <c r="AO31" s="72"/>
      <c r="AP31" s="72"/>
      <c r="AQ31" s="72"/>
      <c r="AR31" s="72"/>
      <c r="AS31" s="72"/>
      <c r="AT31" s="72"/>
      <c r="AU31" s="71"/>
      <c r="AV31" s="72"/>
      <c r="AW31" s="71"/>
      <c r="AX31" s="72"/>
      <c r="AY31" s="72"/>
      <c r="AZ31" s="72"/>
      <c r="BA31" s="71"/>
      <c r="BB31" s="72"/>
      <c r="BC31" s="71"/>
      <c r="BD31" s="72"/>
      <c r="BE31" s="131"/>
      <c r="BF31" s="71"/>
      <c r="BI31" s="4">
        <f t="shared" si="17"/>
        <v>41.45</v>
      </c>
      <c r="BJ31" s="81">
        <f t="shared" si="59"/>
        <v>0.82900000000000007</v>
      </c>
      <c r="BK31" s="4">
        <f t="shared" si="18"/>
        <v>122.85000000000001</v>
      </c>
      <c r="BL31" s="81">
        <f t="shared" si="60"/>
        <v>0.81900000000000006</v>
      </c>
      <c r="BM31" s="73"/>
      <c r="BN31" s="81" t="str">
        <f t="shared" si="61"/>
        <v/>
      </c>
      <c r="BO31" s="73">
        <f t="shared" si="19"/>
        <v>24.139100000000003</v>
      </c>
      <c r="BP31" s="81">
        <f t="shared" si="20"/>
        <v>0.63523947368421063</v>
      </c>
      <c r="BQ31" s="73">
        <f t="shared" si="21"/>
        <v>11.044</v>
      </c>
      <c r="BR31" s="79">
        <f t="shared" si="22"/>
        <v>0.502</v>
      </c>
      <c r="BS31" s="73">
        <f t="shared" si="62"/>
        <v>26.827599999999997</v>
      </c>
      <c r="BT31" s="79">
        <f t="shared" si="23"/>
        <v>0.65433170731707313</v>
      </c>
      <c r="BU31" s="73">
        <f t="shared" si="24"/>
        <v>69.152900000000002</v>
      </c>
      <c r="BV31" s="79">
        <f t="shared" si="25"/>
        <v>0.75992197802197803</v>
      </c>
      <c r="BW31" s="184">
        <f t="shared" si="26"/>
        <v>74.115800000000007</v>
      </c>
      <c r="BX31" s="79">
        <f t="shared" si="27"/>
        <v>0.60256747967479685</v>
      </c>
      <c r="BY31" s="4"/>
      <c r="BZ31" s="4"/>
      <c r="CA31" s="73"/>
      <c r="CB31" s="81"/>
      <c r="CC31" s="73"/>
      <c r="CD31" s="81"/>
      <c r="CE31" s="73">
        <f t="shared" si="29"/>
        <v>33.799999999999997</v>
      </c>
      <c r="CF31" s="81">
        <f t="shared" si="30"/>
        <v>0.67599999999999993</v>
      </c>
      <c r="CG31" s="4">
        <f t="shared" si="31"/>
        <v>34.15</v>
      </c>
      <c r="CH31" s="79">
        <f t="shared" si="32"/>
        <v>0.68299999999999994</v>
      </c>
      <c r="CI31" s="4"/>
      <c r="CJ31" s="4"/>
      <c r="CK31" s="4"/>
      <c r="CL31" s="4"/>
      <c r="CM31" s="4"/>
      <c r="CN31" s="4"/>
      <c r="CO31" s="4"/>
      <c r="CP31" s="4"/>
      <c r="CQ31" s="73"/>
      <c r="CR31" s="79" t="str">
        <f t="shared" si="33"/>
        <v/>
      </c>
      <c r="CS31" s="4"/>
      <c r="CT31" s="79" t="str">
        <f t="shared" si="34"/>
        <v/>
      </c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73"/>
      <c r="DT31" s="79" t="str">
        <f t="shared" si="35"/>
        <v/>
      </c>
      <c r="DU31" s="4"/>
      <c r="DV31" s="4"/>
      <c r="DW31" s="4"/>
      <c r="DX31" s="4"/>
      <c r="DY31" s="73"/>
      <c r="DZ31" s="81" t="str">
        <f t="shared" si="36"/>
        <v/>
      </c>
      <c r="EA31" s="73"/>
      <c r="EB31" s="81"/>
      <c r="EC31" s="73">
        <f t="shared" si="37"/>
        <v>11</v>
      </c>
      <c r="ED31" s="81">
        <f t="shared" si="38"/>
        <v>0.6875</v>
      </c>
      <c r="EE31" s="72"/>
      <c r="EF31" s="81" t="str">
        <f t="shared" si="39"/>
        <v/>
      </c>
      <c r="EG31" s="183"/>
      <c r="EH31" s="81" t="str">
        <f t="shared" si="40"/>
        <v/>
      </c>
      <c r="EI31" s="72">
        <f t="shared" si="41"/>
        <v>29.502000000000002</v>
      </c>
      <c r="EJ31" s="81">
        <f t="shared" si="42"/>
        <v>0.65560000000000007</v>
      </c>
      <c r="EK31" s="4"/>
      <c r="EL31" s="4"/>
      <c r="EM31" s="73">
        <f t="shared" si="43"/>
        <v>24.998999999999999</v>
      </c>
      <c r="EN31" s="79">
        <f t="shared" si="44"/>
        <v>0.64100000000000001</v>
      </c>
      <c r="EO31" s="4"/>
      <c r="EP31" s="4" t="str">
        <f t="shared" si="45"/>
        <v/>
      </c>
      <c r="EQ31" s="4"/>
      <c r="ER31" s="4"/>
      <c r="ES31" s="4"/>
      <c r="ET31" s="79" t="str">
        <f t="shared" si="46"/>
        <v/>
      </c>
      <c r="EU31" s="4"/>
      <c r="EV31" s="79" t="str">
        <f t="shared" si="47"/>
        <v/>
      </c>
      <c r="EW31" s="73"/>
      <c r="EX31" s="81"/>
      <c r="EY31" s="72"/>
      <c r="EZ31" s="81"/>
      <c r="FA31" s="72"/>
      <c r="FB31" s="81"/>
      <c r="FC31" s="81"/>
      <c r="FD31" s="81"/>
      <c r="FE31" s="73"/>
      <c r="FF31" s="81"/>
      <c r="FG31" s="170"/>
      <c r="FH31" s="171"/>
      <c r="FI31" s="84"/>
      <c r="FJ31" s="84"/>
      <c r="FK31" s="170"/>
      <c r="FL31" s="171"/>
      <c r="FM31" s="170"/>
      <c r="FN31" s="171"/>
      <c r="FP31" s="93"/>
    </row>
    <row r="32" spans="1:172">
      <c r="A32" s="108">
        <v>22</v>
      </c>
      <c r="B32" s="109" t="s">
        <v>227</v>
      </c>
      <c r="C32" s="109" t="s">
        <v>228</v>
      </c>
      <c r="D32" s="66">
        <f>'MK1-TM'!D40</f>
        <v>92.5</v>
      </c>
      <c r="E32" s="66">
        <f>'MK1-TM'!E40</f>
        <v>92.67</v>
      </c>
      <c r="F32" s="66">
        <f>'MK1-TM'!F40</f>
        <v>92.5</v>
      </c>
      <c r="G32" s="66">
        <f>'MK1-TM'!G40</f>
        <v>70.23</v>
      </c>
      <c r="H32" s="66">
        <f>'MK1-TM'!H40</f>
        <v>71.3</v>
      </c>
      <c r="I32" s="66">
        <f t="shared" si="4"/>
        <v>95.767600000000002</v>
      </c>
      <c r="J32" s="83">
        <f>'MK2-TO'!D40</f>
        <v>81.25</v>
      </c>
      <c r="K32" s="83">
        <f>'MK2-TO'!E40</f>
        <v>81.11</v>
      </c>
      <c r="L32" s="83">
        <f>'MK2-TO'!F40</f>
        <v>81.03</v>
      </c>
      <c r="M32" s="83">
        <f t="shared" si="5"/>
        <v>81.101200000000006</v>
      </c>
      <c r="N32" s="67">
        <f>'MK3-PSTI'!D40</f>
        <v>77.290000000000006</v>
      </c>
      <c r="O32" s="67">
        <f>'MK3-PSTI'!E40</f>
        <v>74.150000000000006</v>
      </c>
      <c r="P32" s="67">
        <f>'MK3-PSTI'!F40</f>
        <v>69.900000000000006</v>
      </c>
      <c r="Q32" s="67">
        <f t="shared" si="6"/>
        <v>72.601300000000009</v>
      </c>
      <c r="R32" s="68">
        <f>IF('MK4-L&amp;A'!D40="","",'MK4-L&amp;A'!D40)</f>
        <v>91.67</v>
      </c>
      <c r="S32" s="68">
        <f>'MK4-L&amp;A'!E40</f>
        <v>90.91</v>
      </c>
      <c r="T32" s="68">
        <f>'MK4-L&amp;A'!F40</f>
        <v>90.82</v>
      </c>
      <c r="U32" s="68">
        <f t="shared" si="7"/>
        <v>91.002700000000004</v>
      </c>
      <c r="V32" s="69">
        <f>'MK5-BP'!D40</f>
        <v>82</v>
      </c>
      <c r="W32" s="69">
        <f>'MK5-BP'!E40</f>
        <v>82</v>
      </c>
      <c r="X32" s="69">
        <f t="shared" si="8"/>
        <v>82</v>
      </c>
      <c r="Y32" s="37">
        <f>IF('MK7-MBD'!D39="","",'MK7-MBD'!D39)</f>
        <v>93.8</v>
      </c>
      <c r="Z32" s="37">
        <f>IF('MK7-MBD'!E39="","",'MK7-MBD'!E39)</f>
        <v>93.8</v>
      </c>
      <c r="AA32" s="37">
        <f t="shared" si="9"/>
        <v>93.8</v>
      </c>
      <c r="AB32" s="70">
        <f>IF(MK8_BID!D40="","",MK8_BID!D40)</f>
        <v>83</v>
      </c>
      <c r="AC32" s="70">
        <f t="shared" si="10"/>
        <v>83</v>
      </c>
      <c r="AE32" s="71"/>
      <c r="AF32" s="72"/>
      <c r="AG32" s="71"/>
      <c r="AH32" s="72"/>
      <c r="AI32" s="71"/>
      <c r="AJ32" s="72"/>
      <c r="AK32" s="71"/>
      <c r="AL32" s="72"/>
      <c r="AM32" s="72"/>
      <c r="AN32" s="72"/>
      <c r="AO32" s="72"/>
      <c r="AP32" s="72"/>
      <c r="AQ32" s="72"/>
      <c r="AR32" s="72"/>
      <c r="AS32" s="72"/>
      <c r="AT32" s="72"/>
      <c r="AU32" s="71"/>
      <c r="AV32" s="72"/>
      <c r="AW32" s="71"/>
      <c r="AX32" s="72"/>
      <c r="AY32" s="72"/>
      <c r="AZ32" s="72"/>
      <c r="BA32" s="71"/>
      <c r="BB32" s="72"/>
      <c r="BC32" s="71"/>
      <c r="BD32" s="72"/>
      <c r="BE32" s="131"/>
      <c r="BF32" s="71"/>
      <c r="BI32" s="4">
        <f t="shared" si="17"/>
        <v>46.9</v>
      </c>
      <c r="BJ32" s="81">
        <f t="shared" si="59"/>
        <v>0.93799999999999994</v>
      </c>
      <c r="BK32" s="4">
        <f t="shared" si="18"/>
        <v>129.9</v>
      </c>
      <c r="BL32" s="81">
        <f t="shared" si="60"/>
        <v>0.86599999999999999</v>
      </c>
      <c r="BM32" s="73"/>
      <c r="BN32" s="81" t="str">
        <f t="shared" si="61"/>
        <v/>
      </c>
      <c r="BO32" s="73">
        <f t="shared" si="19"/>
        <v>32.564300000000003</v>
      </c>
      <c r="BP32" s="81">
        <f t="shared" si="20"/>
        <v>0.85695526315789483</v>
      </c>
      <c r="BQ32" s="73">
        <f t="shared" si="21"/>
        <v>20.3874</v>
      </c>
      <c r="BR32" s="79">
        <f t="shared" si="22"/>
        <v>0.92669999999999997</v>
      </c>
      <c r="BS32" s="73">
        <f t="shared" si="62"/>
        <v>37.775599999999997</v>
      </c>
      <c r="BT32" s="79">
        <f t="shared" si="23"/>
        <v>0.92135609756097558</v>
      </c>
      <c r="BU32" s="73">
        <f t="shared" si="24"/>
        <v>72.066500000000005</v>
      </c>
      <c r="BV32" s="79">
        <f t="shared" si="25"/>
        <v>0.79193956043956049</v>
      </c>
      <c r="BW32" s="184">
        <f t="shared" si="26"/>
        <v>96.577799999999996</v>
      </c>
      <c r="BX32" s="79">
        <f t="shared" si="27"/>
        <v>0.7851853658536585</v>
      </c>
      <c r="BY32" s="4"/>
      <c r="BZ32" s="4"/>
      <c r="CA32" s="73"/>
      <c r="CB32" s="81"/>
      <c r="CC32" s="73"/>
      <c r="CD32" s="81"/>
      <c r="CE32" s="73">
        <f t="shared" si="29"/>
        <v>41</v>
      </c>
      <c r="CF32" s="81">
        <f t="shared" si="30"/>
        <v>0.82</v>
      </c>
      <c r="CG32" s="4">
        <f t="shared" si="31"/>
        <v>41</v>
      </c>
      <c r="CH32" s="79">
        <f t="shared" si="32"/>
        <v>0.82</v>
      </c>
      <c r="CI32" s="4"/>
      <c r="CJ32" s="4"/>
      <c r="CK32" s="4"/>
      <c r="CL32" s="4"/>
      <c r="CM32" s="4"/>
      <c r="CN32" s="4"/>
      <c r="CO32" s="4"/>
      <c r="CP32" s="4"/>
      <c r="CQ32" s="73"/>
      <c r="CR32" s="79" t="str">
        <f t="shared" si="33"/>
        <v/>
      </c>
      <c r="CS32" s="4"/>
      <c r="CT32" s="79" t="str">
        <f t="shared" si="34"/>
        <v/>
      </c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73"/>
      <c r="DT32" s="79" t="str">
        <f t="shared" si="35"/>
        <v/>
      </c>
      <c r="DU32" s="4"/>
      <c r="DV32" s="4"/>
      <c r="DW32" s="4"/>
      <c r="DX32" s="4"/>
      <c r="DY32" s="73"/>
      <c r="DZ32" s="81" t="str">
        <f t="shared" si="36"/>
        <v/>
      </c>
      <c r="EA32" s="73"/>
      <c r="EB32" s="81"/>
      <c r="EC32" s="73">
        <f t="shared" si="37"/>
        <v>13</v>
      </c>
      <c r="ED32" s="81">
        <f t="shared" si="38"/>
        <v>0.8125</v>
      </c>
      <c r="EE32" s="72"/>
      <c r="EF32" s="81" t="str">
        <f t="shared" si="39"/>
        <v/>
      </c>
      <c r="EG32" s="183"/>
      <c r="EH32" s="81" t="str">
        <f t="shared" si="40"/>
        <v/>
      </c>
      <c r="EI32" s="72">
        <f t="shared" si="41"/>
        <v>36.499499999999998</v>
      </c>
      <c r="EJ32" s="81">
        <f t="shared" si="42"/>
        <v>0.81109999999999993</v>
      </c>
      <c r="EK32" s="4"/>
      <c r="EL32" s="4"/>
      <c r="EM32" s="73">
        <f t="shared" si="43"/>
        <v>31.601700000000001</v>
      </c>
      <c r="EN32" s="79">
        <f t="shared" si="44"/>
        <v>0.81030000000000002</v>
      </c>
      <c r="EO32" s="4"/>
      <c r="EP32" s="4" t="str">
        <f t="shared" si="45"/>
        <v/>
      </c>
      <c r="EQ32" s="4"/>
      <c r="ER32" s="4"/>
      <c r="ES32" s="4"/>
      <c r="ET32" s="79" t="str">
        <f t="shared" si="46"/>
        <v/>
      </c>
      <c r="EU32" s="4"/>
      <c r="EV32" s="79" t="str">
        <f t="shared" si="47"/>
        <v/>
      </c>
      <c r="EW32" s="73"/>
      <c r="EX32" s="81"/>
      <c r="EY32" s="72"/>
      <c r="EZ32" s="81"/>
      <c r="FA32" s="72"/>
      <c r="FB32" s="81"/>
      <c r="FC32" s="81"/>
      <c r="FD32" s="81"/>
      <c r="FE32" s="73"/>
      <c r="FF32" s="81"/>
      <c r="FG32" s="170"/>
      <c r="FH32" s="171"/>
      <c r="FI32" s="84"/>
      <c r="FJ32" s="84"/>
      <c r="FK32" s="170"/>
      <c r="FL32" s="171"/>
      <c r="FM32" s="170"/>
      <c r="FN32" s="171"/>
      <c r="FP32" s="93"/>
    </row>
    <row r="33" spans="1:172">
      <c r="A33" s="108">
        <v>23</v>
      </c>
      <c r="B33" s="109" t="s">
        <v>229</v>
      </c>
      <c r="C33" s="109" t="s">
        <v>230</v>
      </c>
      <c r="D33" s="66">
        <f>'MK1-TM'!D41</f>
        <v>85.5</v>
      </c>
      <c r="E33" s="66">
        <f>'MK1-TM'!E41</f>
        <v>85.2</v>
      </c>
      <c r="F33" s="66">
        <f>'MK1-TM'!F41</f>
        <v>84.4</v>
      </c>
      <c r="G33" s="66">
        <f>'MK1-TM'!G41</f>
        <v>51.73</v>
      </c>
      <c r="H33" s="66">
        <f>'MK1-TM'!H41</f>
        <v>51.63</v>
      </c>
      <c r="I33" s="66">
        <f t="shared" si="4"/>
        <v>81.433700000000002</v>
      </c>
      <c r="J33" s="83">
        <f>'MK2-TO'!D41</f>
        <v>75</v>
      </c>
      <c r="K33" s="83">
        <f>'MK2-TO'!E41</f>
        <v>73.33</v>
      </c>
      <c r="L33" s="83">
        <f>'MK2-TO'!F41</f>
        <v>75</v>
      </c>
      <c r="M33" s="83">
        <f t="shared" si="5"/>
        <v>74.248500000000007</v>
      </c>
      <c r="N33" s="67">
        <f>'MK3-PSTI'!D41</f>
        <v>70.819999999999993</v>
      </c>
      <c r="O33" s="67">
        <f>'MK3-PSTI'!E41</f>
        <v>66.349999999999994</v>
      </c>
      <c r="P33" s="67">
        <f>'MK3-PSTI'!F41</f>
        <v>69.900000000000006</v>
      </c>
      <c r="Q33" s="67">
        <f t="shared" si="6"/>
        <v>68.849400000000003</v>
      </c>
      <c r="R33" s="68">
        <f>IF('MK4-L&amp;A'!D41="","",'MK4-L&amp;A'!D41)</f>
        <v>91.67</v>
      </c>
      <c r="S33" s="68">
        <f>'MK4-L&amp;A'!E41</f>
        <v>90.91</v>
      </c>
      <c r="T33" s="68">
        <f>'MK4-L&amp;A'!F41</f>
        <v>69.39</v>
      </c>
      <c r="U33" s="68">
        <f t="shared" si="7"/>
        <v>80.50200000000001</v>
      </c>
      <c r="V33" s="69">
        <f>'MK5-BP'!D41</f>
        <v>81.400000000000006</v>
      </c>
      <c r="W33" s="69">
        <f>'MK5-BP'!E41</f>
        <v>81.400000000000006</v>
      </c>
      <c r="X33" s="69">
        <f t="shared" si="8"/>
        <v>81.400000000000006</v>
      </c>
      <c r="Y33" s="37">
        <f>IF('MK7-MBD'!D40="","",'MK7-MBD'!D40)</f>
        <v>92.75</v>
      </c>
      <c r="Z33" s="37">
        <f>IF('MK7-MBD'!E40="","",'MK7-MBD'!E40)</f>
        <v>92.75</v>
      </c>
      <c r="AA33" s="37">
        <f t="shared" si="9"/>
        <v>92.75</v>
      </c>
      <c r="AB33" s="70">
        <f>IF(MK8_BID!D41="","",MK8_BID!D41)</f>
        <v>81.400000000000006</v>
      </c>
      <c r="AC33" s="70">
        <f t="shared" si="10"/>
        <v>81.400000000000006</v>
      </c>
      <c r="AE33" s="71"/>
      <c r="AF33" s="72"/>
      <c r="AG33" s="71"/>
      <c r="AH33" s="72"/>
      <c r="AI33" s="71"/>
      <c r="AJ33" s="72"/>
      <c r="AK33" s="71"/>
      <c r="AL33" s="72"/>
      <c r="AM33" s="72"/>
      <c r="AN33" s="72"/>
      <c r="AO33" s="72"/>
      <c r="AP33" s="72"/>
      <c r="AQ33" s="72"/>
      <c r="AR33" s="72"/>
      <c r="AS33" s="72"/>
      <c r="AT33" s="72"/>
      <c r="AU33" s="71"/>
      <c r="AV33" s="72"/>
      <c r="AW33" s="71"/>
      <c r="AX33" s="72"/>
      <c r="AY33" s="72"/>
      <c r="AZ33" s="72"/>
      <c r="BA33" s="71"/>
      <c r="BB33" s="72"/>
      <c r="BC33" s="71"/>
      <c r="BD33" s="72"/>
      <c r="BE33" s="131"/>
      <c r="BF33" s="71"/>
      <c r="BI33" s="4">
        <f t="shared" si="17"/>
        <v>46.375</v>
      </c>
      <c r="BJ33" s="81">
        <f t="shared" si="59"/>
        <v>0.92749999999999999</v>
      </c>
      <c r="BK33" s="4">
        <f t="shared" si="18"/>
        <v>127.77500000000001</v>
      </c>
      <c r="BL33" s="81">
        <f t="shared" si="60"/>
        <v>0.85183333333333333</v>
      </c>
      <c r="BM33" s="73"/>
      <c r="BN33" s="81" t="str">
        <f t="shared" si="61"/>
        <v/>
      </c>
      <c r="BO33" s="73">
        <f t="shared" si="19"/>
        <v>29.994399999999999</v>
      </c>
      <c r="BP33" s="81">
        <f t="shared" si="20"/>
        <v>0.78932631578947365</v>
      </c>
      <c r="BQ33" s="73">
        <f t="shared" si="21"/>
        <v>18.744</v>
      </c>
      <c r="BR33" s="79">
        <f t="shared" si="22"/>
        <v>0.85199999999999998</v>
      </c>
      <c r="BS33" s="73">
        <f t="shared" si="62"/>
        <v>35.912599999999998</v>
      </c>
      <c r="BT33" s="79">
        <f t="shared" si="23"/>
        <v>0.87591707317073164</v>
      </c>
      <c r="BU33" s="73">
        <f t="shared" si="24"/>
        <v>64.974499999999992</v>
      </c>
      <c r="BV33" s="79">
        <f t="shared" si="25"/>
        <v>0.71400549450549444</v>
      </c>
      <c r="BW33" s="184">
        <f t="shared" si="26"/>
        <v>81.159600000000012</v>
      </c>
      <c r="BX33" s="79">
        <f t="shared" si="27"/>
        <v>0.65983414634146353</v>
      </c>
      <c r="BY33" s="4"/>
      <c r="BZ33" s="4"/>
      <c r="CA33" s="73"/>
      <c r="CB33" s="81"/>
      <c r="CC33" s="73"/>
      <c r="CD33" s="81"/>
      <c r="CE33" s="73">
        <f t="shared" si="29"/>
        <v>40.700000000000003</v>
      </c>
      <c r="CF33" s="81">
        <f t="shared" si="30"/>
        <v>0.81400000000000006</v>
      </c>
      <c r="CG33" s="4">
        <f t="shared" si="31"/>
        <v>40.700000000000003</v>
      </c>
      <c r="CH33" s="79">
        <f t="shared" si="32"/>
        <v>0.81400000000000006</v>
      </c>
      <c r="CI33" s="4"/>
      <c r="CJ33" s="4"/>
      <c r="CK33" s="4"/>
      <c r="CL33" s="4"/>
      <c r="CM33" s="4"/>
      <c r="CN33" s="4"/>
      <c r="CO33" s="4"/>
      <c r="CP33" s="4"/>
      <c r="CQ33" s="73"/>
      <c r="CR33" s="79" t="str">
        <f t="shared" si="33"/>
        <v/>
      </c>
      <c r="CS33" s="4"/>
      <c r="CT33" s="79" t="str">
        <f t="shared" si="34"/>
        <v/>
      </c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73"/>
      <c r="DT33" s="79" t="str">
        <f t="shared" si="35"/>
        <v/>
      </c>
      <c r="DU33" s="4"/>
      <c r="DV33" s="4"/>
      <c r="DW33" s="4"/>
      <c r="DX33" s="4"/>
      <c r="DY33" s="73"/>
      <c r="DZ33" s="81" t="str">
        <f t="shared" si="36"/>
        <v/>
      </c>
      <c r="EA33" s="73"/>
      <c r="EB33" s="81"/>
      <c r="EC33" s="73">
        <f t="shared" si="37"/>
        <v>12</v>
      </c>
      <c r="ED33" s="81">
        <f t="shared" si="38"/>
        <v>0.75</v>
      </c>
      <c r="EE33" s="72"/>
      <c r="EF33" s="81" t="str">
        <f t="shared" si="39"/>
        <v/>
      </c>
      <c r="EG33" s="183"/>
      <c r="EH33" s="81" t="str">
        <f t="shared" si="40"/>
        <v/>
      </c>
      <c r="EI33" s="72">
        <f t="shared" si="41"/>
        <v>32.9985</v>
      </c>
      <c r="EJ33" s="81">
        <f t="shared" si="42"/>
        <v>0.73329999999999995</v>
      </c>
      <c r="EK33" s="4"/>
      <c r="EL33" s="4"/>
      <c r="EM33" s="73">
        <f t="shared" si="43"/>
        <v>29.25</v>
      </c>
      <c r="EN33" s="79">
        <f t="shared" si="44"/>
        <v>0.75</v>
      </c>
      <c r="EO33" s="4"/>
      <c r="EP33" s="4" t="str">
        <f t="shared" si="45"/>
        <v/>
      </c>
      <c r="EQ33" s="4"/>
      <c r="ER33" s="4"/>
      <c r="ES33" s="4"/>
      <c r="ET33" s="79" t="str">
        <f t="shared" si="46"/>
        <v/>
      </c>
      <c r="EU33" s="4"/>
      <c r="EV33" s="79" t="str">
        <f t="shared" si="47"/>
        <v/>
      </c>
      <c r="EW33" s="73"/>
      <c r="EX33" s="81"/>
      <c r="EY33" s="72"/>
      <c r="EZ33" s="81"/>
      <c r="FA33" s="72"/>
      <c r="FB33" s="81"/>
      <c r="FC33" s="81"/>
      <c r="FD33" s="81"/>
      <c r="FE33" s="73"/>
      <c r="FF33" s="81"/>
      <c r="FG33" s="170"/>
      <c r="FH33" s="171"/>
      <c r="FI33" s="84"/>
      <c r="FJ33" s="84"/>
      <c r="FK33" s="170"/>
      <c r="FL33" s="171"/>
      <c r="FM33" s="170"/>
      <c r="FN33" s="171"/>
      <c r="FP33" s="93"/>
    </row>
    <row r="34" spans="1:172">
      <c r="A34" s="108">
        <v>24</v>
      </c>
      <c r="B34" s="109" t="s">
        <v>293</v>
      </c>
      <c r="C34" s="109" t="s">
        <v>294</v>
      </c>
      <c r="D34" s="66">
        <f>'MK1-TM'!D42</f>
        <v>74.25</v>
      </c>
      <c r="E34" s="66">
        <f>'MK1-TM'!E42</f>
        <v>73.2</v>
      </c>
      <c r="F34" s="66">
        <f>'MK1-TM'!F42</f>
        <v>71.400000000000006</v>
      </c>
      <c r="G34" s="66">
        <f>'MK1-TM'!G42</f>
        <v>67.41</v>
      </c>
      <c r="H34" s="66">
        <f>'MK1-TM'!H42</f>
        <v>68.67</v>
      </c>
      <c r="I34" s="66">
        <f t="shared" si="4"/>
        <v>81.464399999999998</v>
      </c>
      <c r="J34" s="83">
        <f>'MK2-TO'!D42</f>
        <v>75</v>
      </c>
      <c r="K34" s="83">
        <f>'MK2-TO'!E42</f>
        <v>73.33</v>
      </c>
      <c r="L34" s="83">
        <f>'MK2-TO'!F42</f>
        <v>74.62</v>
      </c>
      <c r="M34" s="83">
        <f t="shared" si="5"/>
        <v>74.100300000000004</v>
      </c>
      <c r="N34" s="67">
        <f>'MK3-PSTI'!D42</f>
        <v>82.59</v>
      </c>
      <c r="O34" s="67">
        <f>'MK3-PSTI'!E42</f>
        <v>80.47</v>
      </c>
      <c r="P34" s="67">
        <f>'MK3-PSTI'!F42</f>
        <v>75.61</v>
      </c>
      <c r="Q34" s="67">
        <f t="shared" si="6"/>
        <v>78.448999999999998</v>
      </c>
      <c r="R34" s="68">
        <f>IF('MK4-L&amp;A'!D42="","",'MK4-L&amp;A'!D42)</f>
        <v>86.11</v>
      </c>
      <c r="S34" s="68">
        <f>'MK4-L&amp;A'!E42</f>
        <v>83.33</v>
      </c>
      <c r="T34" s="68">
        <f>'MK4-L&amp;A'!F42</f>
        <v>80.099999999999994</v>
      </c>
      <c r="U34" s="68">
        <f t="shared" si="7"/>
        <v>82.247699999999995</v>
      </c>
      <c r="V34" s="69">
        <f>'MK5-BP'!D42</f>
        <v>77.2</v>
      </c>
      <c r="W34" s="69">
        <f>'MK5-BP'!E42</f>
        <v>77.8</v>
      </c>
      <c r="X34" s="69">
        <f t="shared" si="8"/>
        <v>77.5</v>
      </c>
      <c r="Y34" s="37">
        <f>IF('MK7-MBD'!D41="","",'MK7-MBD'!D41)</f>
        <v>84.8</v>
      </c>
      <c r="Z34" s="37">
        <f>IF('MK7-MBD'!E41="","",'MK7-MBD'!E41)</f>
        <v>84.8</v>
      </c>
      <c r="AA34" s="37">
        <f t="shared" si="9"/>
        <v>84.8</v>
      </c>
      <c r="AB34" s="70">
        <f>IF(MK8_BID!D42="","",MK8_BID!D42)</f>
        <v>86</v>
      </c>
      <c r="AC34" s="70">
        <f t="shared" si="10"/>
        <v>86</v>
      </c>
      <c r="AE34" s="71"/>
      <c r="AF34" s="72"/>
      <c r="AG34" s="71"/>
      <c r="AH34" s="72"/>
      <c r="AI34" s="71"/>
      <c r="AJ34" s="72"/>
      <c r="AK34" s="71"/>
      <c r="AL34" s="72"/>
      <c r="AM34" s="72"/>
      <c r="AN34" s="72"/>
      <c r="AO34" s="72"/>
      <c r="AP34" s="72"/>
      <c r="AQ34" s="72"/>
      <c r="AR34" s="72"/>
      <c r="AS34" s="72"/>
      <c r="AT34" s="72"/>
      <c r="AU34" s="71"/>
      <c r="AV34" s="72"/>
      <c r="AW34" s="71"/>
      <c r="AX34" s="72"/>
      <c r="AY34" s="72"/>
      <c r="AZ34" s="72"/>
      <c r="BA34" s="71"/>
      <c r="BB34" s="72"/>
      <c r="BC34" s="71"/>
      <c r="BD34" s="72"/>
      <c r="BE34" s="205"/>
      <c r="BF34" s="71"/>
      <c r="BI34" s="4">
        <f t="shared" si="17"/>
        <v>42.4</v>
      </c>
      <c r="BJ34" s="81">
        <f t="shared" si="59"/>
        <v>0.84799999999999998</v>
      </c>
      <c r="BK34" s="4">
        <f t="shared" si="18"/>
        <v>128.4</v>
      </c>
      <c r="BL34" s="81">
        <f t="shared" si="60"/>
        <v>0.85599999999999998</v>
      </c>
      <c r="BM34" s="73"/>
      <c r="BN34" s="81"/>
      <c r="BO34" s="73">
        <f t="shared" si="19"/>
        <v>29.632800000000003</v>
      </c>
      <c r="BP34" s="81">
        <f t="shared" si="20"/>
        <v>0.77981052631578951</v>
      </c>
      <c r="BQ34" s="73">
        <f t="shared" si="21"/>
        <v>16.103999999999999</v>
      </c>
      <c r="BR34" s="79">
        <f t="shared" si="22"/>
        <v>0.73199999999999998</v>
      </c>
      <c r="BS34" s="73">
        <f t="shared" si="62"/>
        <v>31.921799999999998</v>
      </c>
      <c r="BT34" s="79">
        <f t="shared" si="23"/>
        <v>0.77858048780487799</v>
      </c>
      <c r="BU34" s="73">
        <f t="shared" si="24"/>
        <v>71.037100000000009</v>
      </c>
      <c r="BV34" s="79">
        <f t="shared" si="25"/>
        <v>0.78062747252747267</v>
      </c>
      <c r="BW34" s="184">
        <f t="shared" si="26"/>
        <v>93.465399999999988</v>
      </c>
      <c r="BX34" s="79">
        <f t="shared" si="27"/>
        <v>0.75988130081300809</v>
      </c>
      <c r="BY34" s="4"/>
      <c r="BZ34" s="4"/>
      <c r="CA34" s="73"/>
      <c r="CB34" s="81"/>
      <c r="CC34" s="73"/>
      <c r="CD34" s="81"/>
      <c r="CE34" s="73">
        <f t="shared" si="29"/>
        <v>38.6</v>
      </c>
      <c r="CF34" s="81">
        <f t="shared" si="30"/>
        <v>0.77200000000000002</v>
      </c>
      <c r="CG34" s="4">
        <f t="shared" si="31"/>
        <v>38.9</v>
      </c>
      <c r="CH34" s="79">
        <f t="shared" si="32"/>
        <v>0.77800000000000002</v>
      </c>
      <c r="CI34" s="4"/>
      <c r="CJ34" s="4"/>
      <c r="CK34" s="4"/>
      <c r="CL34" s="4"/>
      <c r="CM34" s="4"/>
      <c r="CN34" s="4"/>
      <c r="CO34" s="4"/>
      <c r="CP34" s="4"/>
      <c r="CQ34" s="73"/>
      <c r="CR34" s="79"/>
      <c r="CS34" s="4"/>
      <c r="CT34" s="79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73"/>
      <c r="DT34" s="79"/>
      <c r="DU34" s="4"/>
      <c r="DV34" s="4"/>
      <c r="DW34" s="4"/>
      <c r="DX34" s="4"/>
      <c r="DY34" s="73"/>
      <c r="DZ34" s="81"/>
      <c r="EA34" s="73"/>
      <c r="EB34" s="81"/>
      <c r="EC34" s="73">
        <f t="shared" si="37"/>
        <v>12</v>
      </c>
      <c r="ED34" s="81">
        <f t="shared" si="38"/>
        <v>0.75</v>
      </c>
      <c r="EE34" s="72"/>
      <c r="EF34" s="81"/>
      <c r="EG34" s="183"/>
      <c r="EH34" s="81"/>
      <c r="EI34" s="72">
        <f t="shared" si="41"/>
        <v>32.9985</v>
      </c>
      <c r="EJ34" s="81">
        <f t="shared" si="42"/>
        <v>0.73329999999999995</v>
      </c>
      <c r="EK34" s="4"/>
      <c r="EL34" s="4"/>
      <c r="EM34" s="73">
        <f t="shared" si="43"/>
        <v>29.101800000000004</v>
      </c>
      <c r="EN34" s="79">
        <f t="shared" si="44"/>
        <v>0.74620000000000009</v>
      </c>
      <c r="EO34" s="4"/>
      <c r="EP34" s="4"/>
      <c r="EQ34" s="4"/>
      <c r="ER34" s="4"/>
      <c r="ES34" s="4"/>
      <c r="ET34" s="79"/>
      <c r="EU34" s="4"/>
      <c r="EV34" s="79"/>
      <c r="EW34" s="73"/>
      <c r="EX34" s="81"/>
      <c r="EY34" s="72"/>
      <c r="EZ34" s="81"/>
      <c r="FA34" s="72"/>
      <c r="FB34" s="81"/>
      <c r="FC34" s="81"/>
      <c r="FD34" s="81"/>
      <c r="FE34" s="73"/>
      <c r="FF34" s="81"/>
      <c r="FG34" s="170"/>
      <c r="FH34" s="171"/>
      <c r="FI34" s="84"/>
      <c r="FJ34" s="84"/>
      <c r="FK34" s="170"/>
      <c r="FL34" s="171"/>
      <c r="FM34" s="170"/>
      <c r="FN34" s="171"/>
      <c r="FP34" s="93"/>
    </row>
    <row r="35" spans="1:172">
      <c r="A35" s="108">
        <v>25</v>
      </c>
      <c r="B35" s="109" t="s">
        <v>291</v>
      </c>
      <c r="C35" s="109" t="s">
        <v>292</v>
      </c>
      <c r="D35" s="66">
        <f>'MK1-TM'!D43</f>
        <v>61.63</v>
      </c>
      <c r="E35" s="66">
        <f>'MK1-TM'!E43</f>
        <v>59.73</v>
      </c>
      <c r="F35" s="66">
        <f>'MK1-TM'!F43</f>
        <v>56.05</v>
      </c>
      <c r="G35" s="66">
        <f>'MK1-TM'!G43</f>
        <v>37.549999999999997</v>
      </c>
      <c r="H35" s="66">
        <f>'MK1-TM'!H43</f>
        <v>36.590000000000003</v>
      </c>
      <c r="I35" s="66">
        <f t="shared" si="4"/>
        <v>57.133900000000004</v>
      </c>
      <c r="J35" s="83">
        <f>'MK2-TO'!D43</f>
        <v>66.25</v>
      </c>
      <c r="K35" s="83">
        <f>'MK2-TO'!E43</f>
        <v>68.67</v>
      </c>
      <c r="L35" s="83">
        <f>'MK2-TO'!F43</f>
        <v>81.03</v>
      </c>
      <c r="M35" s="83">
        <f t="shared" si="5"/>
        <v>73.103200000000001</v>
      </c>
      <c r="N35" s="67">
        <f>'MK3-PSTI'!D43</f>
        <v>70.59</v>
      </c>
      <c r="O35" s="67">
        <f>'MK3-PSTI'!E43</f>
        <v>66.180000000000007</v>
      </c>
      <c r="P35" s="67">
        <f>'MK3-PSTI'!F43</f>
        <v>73.47</v>
      </c>
      <c r="Q35" s="67">
        <f t="shared" si="6"/>
        <v>70.501800000000003</v>
      </c>
      <c r="R35" s="68">
        <f>IF('MK4-L&amp;A'!D43="","",'MK4-L&amp;A'!D43)</f>
        <v>86.11</v>
      </c>
      <c r="S35" s="68">
        <f>'MK4-L&amp;A'!E43</f>
        <v>83.33</v>
      </c>
      <c r="T35" s="68">
        <f>'MK4-L&amp;A'!F43</f>
        <v>62.24</v>
      </c>
      <c r="U35" s="68">
        <f t="shared" si="7"/>
        <v>73.496300000000005</v>
      </c>
      <c r="V35" s="69">
        <f>'MK5-BP'!D43</f>
        <v>69.3</v>
      </c>
      <c r="W35" s="69">
        <f>'MK5-BP'!E43</f>
        <v>68.900000000000006</v>
      </c>
      <c r="X35" s="69">
        <f t="shared" si="8"/>
        <v>69.099999999999994</v>
      </c>
      <c r="Y35" s="37">
        <f>IF('MK7-MBD'!D42="","",'MK7-MBD'!D42)</f>
        <v>83.4</v>
      </c>
      <c r="Z35" s="37">
        <f>IF('MK7-MBD'!E42="","",'MK7-MBD'!E42)</f>
        <v>83.4</v>
      </c>
      <c r="AA35" s="37">
        <f t="shared" si="9"/>
        <v>83.4</v>
      </c>
      <c r="AB35" s="70">
        <f>IF(MK8_BID!D43="","",MK8_BID!D43)</f>
        <v>87.55</v>
      </c>
      <c r="AC35" s="70">
        <f t="shared" si="10"/>
        <v>87.55</v>
      </c>
      <c r="AE35" s="71"/>
      <c r="AF35" s="72"/>
      <c r="AG35" s="71"/>
      <c r="AH35" s="72"/>
      <c r="AI35" s="71"/>
      <c r="AJ35" s="72"/>
      <c r="AK35" s="71"/>
      <c r="AL35" s="72"/>
      <c r="AM35" s="72"/>
      <c r="AN35" s="72"/>
      <c r="AO35" s="72"/>
      <c r="AP35" s="72"/>
      <c r="AQ35" s="72"/>
      <c r="AR35" s="72"/>
      <c r="AS35" s="72"/>
      <c r="AT35" s="72"/>
      <c r="AU35" s="71"/>
      <c r="AV35" s="72"/>
      <c r="AW35" s="71"/>
      <c r="AX35" s="72"/>
      <c r="AY35" s="72"/>
      <c r="AZ35" s="72"/>
      <c r="BA35" s="71"/>
      <c r="BB35" s="72"/>
      <c r="BC35" s="71"/>
      <c r="BD35" s="72"/>
      <c r="BE35" s="205"/>
      <c r="BF35" s="71"/>
      <c r="BI35" s="4">
        <f t="shared" si="17"/>
        <v>41.7</v>
      </c>
      <c r="BJ35" s="81">
        <f t="shared" si="59"/>
        <v>0.83400000000000007</v>
      </c>
      <c r="BK35" s="4">
        <f t="shared" si="18"/>
        <v>129.25</v>
      </c>
      <c r="BL35" s="81">
        <f t="shared" si="60"/>
        <v>0.86166666666666669</v>
      </c>
      <c r="BM35" s="73"/>
      <c r="BN35" s="81"/>
      <c r="BO35" s="73">
        <f t="shared" si="19"/>
        <v>24.942599999999999</v>
      </c>
      <c r="BP35" s="81">
        <f t="shared" si="20"/>
        <v>0.65638421052631579</v>
      </c>
      <c r="BQ35" s="73">
        <f t="shared" si="21"/>
        <v>13.140599999999999</v>
      </c>
      <c r="BR35" s="79">
        <f t="shared" si="22"/>
        <v>0.59729999999999994</v>
      </c>
      <c r="BS35" s="73">
        <f t="shared" si="62"/>
        <v>28.391300000000001</v>
      </c>
      <c r="BT35" s="79">
        <f t="shared" si="23"/>
        <v>0.6924707317073171</v>
      </c>
      <c r="BU35" s="73">
        <f t="shared" si="24"/>
        <v>59.012100000000004</v>
      </c>
      <c r="BV35" s="79">
        <f t="shared" si="25"/>
        <v>0.64848461538461544</v>
      </c>
      <c r="BW35" s="184">
        <f t="shared" si="26"/>
        <v>75.645399999999995</v>
      </c>
      <c r="BX35" s="79">
        <f t="shared" si="27"/>
        <v>0.61500325203252026</v>
      </c>
      <c r="BY35" s="4"/>
      <c r="BZ35" s="4"/>
      <c r="CA35" s="73"/>
      <c r="CB35" s="81"/>
      <c r="CC35" s="73"/>
      <c r="CD35" s="81"/>
      <c r="CE35" s="73">
        <f t="shared" si="29"/>
        <v>34.65</v>
      </c>
      <c r="CF35" s="81">
        <f t="shared" si="30"/>
        <v>0.69299999999999995</v>
      </c>
      <c r="CG35" s="4">
        <f t="shared" si="31"/>
        <v>34.450000000000003</v>
      </c>
      <c r="CH35" s="79">
        <f t="shared" si="32"/>
        <v>0.68900000000000006</v>
      </c>
      <c r="CI35" s="4"/>
      <c r="CJ35" s="4"/>
      <c r="CK35" s="4"/>
      <c r="CL35" s="4"/>
      <c r="CM35" s="4"/>
      <c r="CN35" s="4"/>
      <c r="CO35" s="4"/>
      <c r="CP35" s="4"/>
      <c r="CQ35" s="73"/>
      <c r="CR35" s="79"/>
      <c r="CS35" s="4"/>
      <c r="CT35" s="79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73"/>
      <c r="DT35" s="79"/>
      <c r="DU35" s="4"/>
      <c r="DV35" s="4"/>
      <c r="DW35" s="4"/>
      <c r="DX35" s="4"/>
      <c r="DY35" s="73"/>
      <c r="DZ35" s="81"/>
      <c r="EA35" s="73"/>
      <c r="EB35" s="81"/>
      <c r="EC35" s="73">
        <f>IF(J35="","",IFERROR(J35*($J$9/100),""))</f>
        <v>10.6</v>
      </c>
      <c r="ED35" s="81">
        <f t="shared" si="38"/>
        <v>0.66249999999999998</v>
      </c>
      <c r="EE35" s="72"/>
      <c r="EF35" s="81"/>
      <c r="EG35" s="183"/>
      <c r="EH35" s="81"/>
      <c r="EI35" s="72">
        <f t="shared" si="41"/>
        <v>30.901500000000002</v>
      </c>
      <c r="EJ35" s="81">
        <f t="shared" si="42"/>
        <v>0.68670000000000009</v>
      </c>
      <c r="EK35" s="4"/>
      <c r="EL35" s="4"/>
      <c r="EM35" s="73">
        <f t="shared" si="43"/>
        <v>31.601700000000001</v>
      </c>
      <c r="EN35" s="79">
        <f t="shared" si="44"/>
        <v>0.81030000000000002</v>
      </c>
      <c r="EO35" s="4"/>
      <c r="EP35" s="4"/>
      <c r="EQ35" s="4"/>
      <c r="ER35" s="4"/>
      <c r="ES35" s="4"/>
      <c r="ET35" s="79"/>
      <c r="EU35" s="4"/>
      <c r="EV35" s="79"/>
      <c r="EW35" s="73"/>
      <c r="EX35" s="81"/>
      <c r="EY35" s="72"/>
      <c r="EZ35" s="81"/>
      <c r="FA35" s="72"/>
      <c r="FB35" s="81"/>
      <c r="FC35" s="81"/>
      <c r="FD35" s="81"/>
      <c r="FE35" s="73"/>
      <c r="FF35" s="81"/>
      <c r="FG35" s="170"/>
      <c r="FH35" s="171"/>
      <c r="FI35" s="84"/>
      <c r="FJ35" s="84"/>
      <c r="FK35" s="170"/>
      <c r="FL35" s="171"/>
      <c r="FM35" s="170"/>
      <c r="FN35" s="171"/>
      <c r="FP35" s="93"/>
    </row>
    <row r="36" spans="1:172">
      <c r="A36" s="108">
        <v>26</v>
      </c>
      <c r="B36" s="109" t="s">
        <v>231</v>
      </c>
      <c r="C36" s="109" t="s">
        <v>257</v>
      </c>
      <c r="D36" s="66">
        <f>'MK1-TM'!D44</f>
        <v>80.88</v>
      </c>
      <c r="E36" s="66">
        <f>'MK1-TM'!E44</f>
        <v>81</v>
      </c>
      <c r="F36" s="66">
        <f>'MK1-TM'!F44</f>
        <v>80.930000000000007</v>
      </c>
      <c r="G36" s="66">
        <f>'MK1-TM'!G44</f>
        <v>81.59</v>
      </c>
      <c r="H36" s="66">
        <f>'MK1-TM'!H44</f>
        <v>81.260000000000005</v>
      </c>
      <c r="I36" s="66">
        <f t="shared" si="4"/>
        <v>93.315300000000008</v>
      </c>
      <c r="J36" s="83">
        <f>'MK2-TO'!D44</f>
        <v>83.75</v>
      </c>
      <c r="K36" s="83">
        <f>'MK2-TO'!E44</f>
        <v>83.14</v>
      </c>
      <c r="L36" s="83">
        <f>'MK2-TO'!F44</f>
        <v>82.69</v>
      </c>
      <c r="M36" s="83">
        <f t="shared" si="5"/>
        <v>83.062100000000015</v>
      </c>
      <c r="N36" s="67">
        <f>'MK3-PSTI'!D44</f>
        <v>83.75</v>
      </c>
      <c r="O36" s="67">
        <f>'MK3-PSTI'!E44</f>
        <v>83.14</v>
      </c>
      <c r="P36" s="67">
        <f>'MK3-PSTI'!F44</f>
        <v>82.69</v>
      </c>
      <c r="Q36" s="67">
        <f t="shared" si="6"/>
        <v>83.023200000000003</v>
      </c>
      <c r="R36" s="68">
        <f>IF('MK4-L&amp;A'!D44="","",'MK4-L&amp;A'!D44)</f>
        <v>89.44</v>
      </c>
      <c r="S36" s="68">
        <f>'MK4-L&amp;A'!E44</f>
        <v>89.85</v>
      </c>
      <c r="T36" s="68">
        <f>'MK4-L&amp;A'!F44</f>
        <v>94.9</v>
      </c>
      <c r="U36" s="68">
        <f t="shared" si="7"/>
        <v>92.250700000000009</v>
      </c>
      <c r="V36" s="69">
        <f>'MK5-BP'!D44</f>
        <v>81.400000000000006</v>
      </c>
      <c r="W36" s="69">
        <f>'MK5-BP'!E44</f>
        <v>61.9</v>
      </c>
      <c r="X36" s="69">
        <f t="shared" si="8"/>
        <v>71.650000000000006</v>
      </c>
      <c r="Y36" s="37">
        <f>IF('MK7-MBD'!D43="","",'MK7-MBD'!D43)</f>
        <v>75.25</v>
      </c>
      <c r="Z36" s="37">
        <f>IF('MK7-MBD'!E43="","",'MK7-MBD'!E43)</f>
        <v>75.25</v>
      </c>
      <c r="AA36" s="37">
        <f t="shared" si="9"/>
        <v>75.25</v>
      </c>
      <c r="AB36" s="70">
        <f>IF(MK8_BID!D44="","",MK8_BID!D44)</f>
        <v>80.900000000000006</v>
      </c>
      <c r="AC36" s="70">
        <f t="shared" si="10"/>
        <v>80.900000000000006</v>
      </c>
      <c r="AE36" s="71"/>
      <c r="AF36" s="72"/>
      <c r="AG36" s="71"/>
      <c r="AH36" s="72"/>
      <c r="AI36" s="71"/>
      <c r="AJ36" s="72"/>
      <c r="AK36" s="71"/>
      <c r="AL36" s="72"/>
      <c r="AM36" s="72"/>
      <c r="AN36" s="72"/>
      <c r="AO36" s="72"/>
      <c r="AP36" s="72"/>
      <c r="AQ36" s="72"/>
      <c r="AR36" s="72"/>
      <c r="AS36" s="72"/>
      <c r="AT36" s="72"/>
      <c r="AU36" s="71"/>
      <c r="AV36" s="72"/>
      <c r="AW36" s="71"/>
      <c r="AX36" s="72"/>
      <c r="AY36" s="72"/>
      <c r="AZ36" s="72"/>
      <c r="BA36" s="71"/>
      <c r="BB36" s="72"/>
      <c r="BC36" s="71"/>
      <c r="BD36" s="72"/>
      <c r="BE36" s="131"/>
      <c r="BF36" s="71"/>
      <c r="BI36" s="4">
        <f t="shared" si="17"/>
        <v>37.625</v>
      </c>
      <c r="BJ36" s="81">
        <f t="shared" si="59"/>
        <v>0.75249999999999995</v>
      </c>
      <c r="BK36" s="4">
        <f t="shared" si="18"/>
        <v>118.52500000000001</v>
      </c>
      <c r="BL36" s="81">
        <f t="shared" si="60"/>
        <v>0.79016666666666668</v>
      </c>
      <c r="BM36" s="73"/>
      <c r="BN36" s="81"/>
      <c r="BO36" s="73">
        <f t="shared" si="19"/>
        <v>31.222300000000001</v>
      </c>
      <c r="BP36" s="81">
        <f t="shared" si="20"/>
        <v>0.82163947368421053</v>
      </c>
      <c r="BQ36" s="73">
        <f t="shared" si="21"/>
        <v>17.82</v>
      </c>
      <c r="BR36" s="79">
        <f t="shared" si="22"/>
        <v>0.81</v>
      </c>
      <c r="BS36" s="73">
        <f t="shared" si="62"/>
        <v>34.713099999999997</v>
      </c>
      <c r="BT36" s="79">
        <f t="shared" si="23"/>
        <v>0.84666097560975606</v>
      </c>
      <c r="BU36" s="73">
        <f t="shared" si="24"/>
        <v>77.499700000000004</v>
      </c>
      <c r="BV36" s="79">
        <f t="shared" si="25"/>
        <v>0.85164505494505505</v>
      </c>
      <c r="BW36" s="184">
        <f t="shared" si="26"/>
        <v>107.33410000000001</v>
      </c>
      <c r="BX36" s="79">
        <f t="shared" si="27"/>
        <v>0.87263495934959356</v>
      </c>
      <c r="BY36" s="4"/>
      <c r="BZ36" s="4"/>
      <c r="CA36" s="73"/>
      <c r="CB36" s="81"/>
      <c r="CC36" s="73"/>
      <c r="CD36" s="81"/>
      <c r="CE36" s="73">
        <f t="shared" si="29"/>
        <v>40.700000000000003</v>
      </c>
      <c r="CF36" s="81">
        <f t="shared" si="30"/>
        <v>0.81400000000000006</v>
      </c>
      <c r="CG36" s="4">
        <f t="shared" si="31"/>
        <v>30.95</v>
      </c>
      <c r="CH36" s="79">
        <f t="shared" si="32"/>
        <v>0.61899999999999999</v>
      </c>
      <c r="CI36" s="4"/>
      <c r="CJ36" s="4"/>
      <c r="CK36" s="4"/>
      <c r="CL36" s="4"/>
      <c r="CM36" s="4"/>
      <c r="CN36" s="4"/>
      <c r="CO36" s="4"/>
      <c r="CP36" s="4"/>
      <c r="CQ36" s="73"/>
      <c r="CR36" s="79" t="str">
        <f t="shared" si="33"/>
        <v/>
      </c>
      <c r="CS36" s="4"/>
      <c r="CT36" s="79" t="str">
        <f t="shared" si="34"/>
        <v/>
      </c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73"/>
      <c r="DT36" s="79" t="str">
        <f t="shared" si="35"/>
        <v/>
      </c>
      <c r="DU36" s="4"/>
      <c r="DV36" s="4"/>
      <c r="DW36" s="4"/>
      <c r="DX36" s="4"/>
      <c r="DY36" s="73"/>
      <c r="DZ36" s="81" t="str">
        <f t="shared" si="36"/>
        <v/>
      </c>
      <c r="EA36" s="73"/>
      <c r="EB36" s="81"/>
      <c r="EC36" s="73">
        <f t="shared" si="37"/>
        <v>13.4</v>
      </c>
      <c r="ED36" s="81">
        <f t="shared" si="38"/>
        <v>0.83750000000000002</v>
      </c>
      <c r="EE36" s="72"/>
      <c r="EF36" s="81" t="str">
        <f t="shared" si="39"/>
        <v/>
      </c>
      <c r="EG36" s="183"/>
      <c r="EH36" s="81" t="str">
        <f t="shared" si="40"/>
        <v/>
      </c>
      <c r="EI36" s="72">
        <f t="shared" ref="EI36:EI44" si="63">IF(K24="","",IFERROR(K36*($K$9/100),""))</f>
        <v>37.413000000000004</v>
      </c>
      <c r="EJ36" s="81">
        <f t="shared" si="42"/>
        <v>0.83140000000000014</v>
      </c>
      <c r="EK36" s="4"/>
      <c r="EL36" s="4"/>
      <c r="EM36" s="73">
        <f t="shared" ref="EM36:EM44" si="64">IF(L24="","",IFERROR(L36*($L$9/100),""))</f>
        <v>32.249099999999999</v>
      </c>
      <c r="EN36" s="79">
        <f t="shared" si="44"/>
        <v>0.82689999999999997</v>
      </c>
      <c r="EO36" s="4"/>
      <c r="EP36" s="4" t="str">
        <f t="shared" si="45"/>
        <v/>
      </c>
      <c r="EQ36" s="4"/>
      <c r="ER36" s="4"/>
      <c r="ES36" s="4"/>
      <c r="ET36" s="79" t="str">
        <f t="shared" si="46"/>
        <v/>
      </c>
      <c r="EU36" s="4"/>
      <c r="EV36" s="79" t="str">
        <f t="shared" si="47"/>
        <v/>
      </c>
      <c r="EW36" s="73"/>
      <c r="EX36" s="81"/>
      <c r="EY36" s="72"/>
      <c r="EZ36" s="81"/>
      <c r="FA36" s="72"/>
      <c r="FB36" s="81"/>
      <c r="FC36" s="81"/>
      <c r="FD36" s="81"/>
      <c r="FE36" s="73"/>
      <c r="FF36" s="81"/>
      <c r="FG36" s="170"/>
      <c r="FH36" s="171"/>
      <c r="FI36" s="84"/>
      <c r="FJ36" s="84"/>
      <c r="FK36" s="170"/>
      <c r="FL36" s="171"/>
      <c r="FM36" s="170"/>
      <c r="FN36" s="171"/>
      <c r="FP36" s="93"/>
    </row>
    <row r="37" spans="1:172">
      <c r="A37" s="108">
        <v>27</v>
      </c>
      <c r="B37" s="109" t="s">
        <v>233</v>
      </c>
      <c r="C37" s="109" t="s">
        <v>234</v>
      </c>
      <c r="D37" s="66">
        <f>'MK1-TM'!D45</f>
        <v>78.88</v>
      </c>
      <c r="E37" s="66">
        <f>'MK1-TM'!E45</f>
        <v>79.13</v>
      </c>
      <c r="F37" s="66">
        <f>'MK1-TM'!F45</f>
        <v>79</v>
      </c>
      <c r="G37" s="66">
        <f>'MK1-TM'!G45</f>
        <v>74.41</v>
      </c>
      <c r="H37" s="66">
        <f>'MK1-TM'!H45</f>
        <v>73.150000000000006</v>
      </c>
      <c r="I37" s="66">
        <f t="shared" si="4"/>
        <v>88.289299999999997</v>
      </c>
      <c r="J37" s="83">
        <f>'MK2-TO'!D45</f>
        <v>90</v>
      </c>
      <c r="K37" s="83">
        <f>'MK2-TO'!E45</f>
        <v>90.29</v>
      </c>
      <c r="L37" s="83">
        <f>'MK2-TO'!F45</f>
        <v>82.69</v>
      </c>
      <c r="M37" s="83">
        <f t="shared" si="5"/>
        <v>87.279600000000016</v>
      </c>
      <c r="N37" s="67">
        <f>'MK3-PSTI'!D45</f>
        <v>90</v>
      </c>
      <c r="O37" s="67">
        <f>'MK3-PSTI'!E45</f>
        <v>90.29</v>
      </c>
      <c r="P37" s="67">
        <f>'MK3-PSTI'!F45</f>
        <v>82.69</v>
      </c>
      <c r="Q37" s="67">
        <f t="shared" si="6"/>
        <v>86.516700000000014</v>
      </c>
      <c r="R37" s="68">
        <f>IF('MK4-L&amp;A'!D45="","",'MK4-L&amp;A'!D45)</f>
        <v>86.67</v>
      </c>
      <c r="S37" s="68">
        <f>'MK4-L&amp;A'!E45</f>
        <v>86.06</v>
      </c>
      <c r="T37" s="68">
        <f>'MK4-L&amp;A'!F45</f>
        <v>94.9</v>
      </c>
      <c r="U37" s="68">
        <f t="shared" si="7"/>
        <v>90.501400000000004</v>
      </c>
      <c r="V37" s="69">
        <f>'MK5-BP'!D45</f>
        <v>84.9</v>
      </c>
      <c r="W37" s="69">
        <f>'MK5-BP'!E45</f>
        <v>76.900000000000006</v>
      </c>
      <c r="X37" s="69">
        <f t="shared" si="8"/>
        <v>80.900000000000006</v>
      </c>
      <c r="Y37" s="37">
        <f>IF('MK7-MBD'!D44="","",'MK7-MBD'!D44)</f>
        <v>86.5</v>
      </c>
      <c r="Z37" s="37">
        <f>IF('MK7-MBD'!E44="","",'MK7-MBD'!E44)</f>
        <v>86.5</v>
      </c>
      <c r="AA37" s="37">
        <f t="shared" si="9"/>
        <v>86.5</v>
      </c>
      <c r="AB37" s="70">
        <f>IF(MK8_BID!D45="","",MK8_BID!D45)</f>
        <v>88.65</v>
      </c>
      <c r="AC37" s="70">
        <f t="shared" si="10"/>
        <v>88.65</v>
      </c>
      <c r="AE37" s="71">
        <f t="shared" ref="AE37:AE46" si="65">IFERROR((D37*($D$9/100)+J37*($J$9/100)+N37*($N$9/100)+Y37*($Y$9/100)),"")</f>
        <v>89.514799999999994</v>
      </c>
      <c r="AF37" s="72">
        <f t="shared" si="54"/>
        <v>41.634790697674418</v>
      </c>
      <c r="AG37" s="71" t="str">
        <f>IFERROR((#REF!*(#REF!/100)),"")</f>
        <v/>
      </c>
      <c r="AH37" s="72" t="str">
        <f t="shared" si="11"/>
        <v/>
      </c>
      <c r="AI37" s="71">
        <f t="shared" ref="AI37:AI45" si="66">IFERROR((R37*($R$9/100)+V37*($V$9/100)),"")</f>
        <v>58.050600000000003</v>
      </c>
      <c r="AJ37" s="72">
        <f t="shared" si="13"/>
        <v>85.368529411764712</v>
      </c>
      <c r="AK37" s="71" t="str">
        <f>IFERROR((#REF!*(#REF!/100)),"")</f>
        <v/>
      </c>
      <c r="AL37" s="72" t="str">
        <f t="shared" si="14"/>
        <v/>
      </c>
      <c r="AM37" s="72"/>
      <c r="AN37" s="72"/>
      <c r="AO37" s="72"/>
      <c r="AP37" s="72"/>
      <c r="AQ37" s="72"/>
      <c r="AR37" s="72"/>
      <c r="AS37" s="72"/>
      <c r="AT37" s="72"/>
      <c r="AU37" s="71">
        <f t="shared" ref="AU37:AU45" si="67">IFERROR((T37*($T$9/100)+W37*($W$9/100)),"")</f>
        <v>84.951000000000008</v>
      </c>
      <c r="AV37" s="72">
        <f t="shared" si="55"/>
        <v>85.809090909090912</v>
      </c>
      <c r="AW37" s="71" t="str">
        <f>IFERROR((AB37*($AB$9/100)+#REF!*(#REF!/100)+#REF!*(#REF!/100)),"")</f>
        <v/>
      </c>
      <c r="AX37" s="72" t="str">
        <f t="shared" si="16"/>
        <v/>
      </c>
      <c r="AY37" s="72"/>
      <c r="AZ37" s="72"/>
      <c r="BA37" s="71" t="str">
        <f>IFERROR((#REF!*(#REF!/100)+#REF!*(#REF!/100)+#REF!*(#REF!/100)),"")</f>
        <v/>
      </c>
      <c r="BB37" s="72" t="str">
        <f t="shared" si="56"/>
        <v/>
      </c>
      <c r="BC37" s="71">
        <f t="shared" ref="BC37:BC46" si="68">IFERROR((H37*($H$9/100)+L37*($L$9/100)+P37*($P$9/100)+Z37*($Z$9/100)),"")</f>
        <v>134.3047</v>
      </c>
      <c r="BD37" s="72">
        <f t="shared" si="57"/>
        <v>82.395521472392645</v>
      </c>
      <c r="BE37" s="2" t="str">
        <f>IFERROR((#REF!*(#REF!/100)+#REF!*(#REF!/100)+#REF!*(#REF!/100)),"")</f>
        <v/>
      </c>
      <c r="BF37" s="71" t="str">
        <f t="shared" si="58"/>
        <v/>
      </c>
      <c r="BI37" s="4">
        <f t="shared" si="17"/>
        <v>43.25</v>
      </c>
      <c r="BJ37" s="81">
        <f t="shared" si="59"/>
        <v>0.86499999999999999</v>
      </c>
      <c r="BK37" s="4">
        <f t="shared" si="18"/>
        <v>131.9</v>
      </c>
      <c r="BL37" s="81">
        <f t="shared" si="60"/>
        <v>0.87933333333333341</v>
      </c>
      <c r="BM37" s="73"/>
      <c r="BN37" s="81"/>
      <c r="BO37" s="73">
        <f t="shared" si="19"/>
        <v>31.864799999999999</v>
      </c>
      <c r="BP37" s="81">
        <f t="shared" si="20"/>
        <v>0.8385473684210526</v>
      </c>
      <c r="BQ37" s="73">
        <f t="shared" si="21"/>
        <v>17.4086</v>
      </c>
      <c r="BR37" s="79">
        <f t="shared" si="22"/>
        <v>0.7913</v>
      </c>
      <c r="BS37" s="73">
        <f t="shared" si="62"/>
        <v>33.770600000000002</v>
      </c>
      <c r="BT37" s="79">
        <f t="shared" si="23"/>
        <v>0.82367317073170732</v>
      </c>
      <c r="BU37" s="73">
        <f t="shared" si="24"/>
        <v>76.956800000000001</v>
      </c>
      <c r="BV37" s="79">
        <f t="shared" si="25"/>
        <v>0.84567912087912089</v>
      </c>
      <c r="BW37" s="184">
        <f t="shared" si="26"/>
        <v>105.3066</v>
      </c>
      <c r="BX37" s="79">
        <f t="shared" si="27"/>
        <v>0.85615121951219519</v>
      </c>
      <c r="BY37" s="4"/>
      <c r="BZ37" s="4"/>
      <c r="CA37" s="73"/>
      <c r="CB37" s="81" t="str">
        <f t="shared" si="28"/>
        <v/>
      </c>
      <c r="CC37" s="73"/>
      <c r="CD37" s="81"/>
      <c r="CE37" s="73">
        <f t="shared" si="29"/>
        <v>42.45</v>
      </c>
      <c r="CF37" s="81">
        <f>IF(CE37="","",CE37/$CE$9)</f>
        <v>0.84900000000000009</v>
      </c>
      <c r="CG37" s="4">
        <f t="shared" si="31"/>
        <v>38.450000000000003</v>
      </c>
      <c r="CH37" s="79">
        <f t="shared" si="32"/>
        <v>0.76900000000000002</v>
      </c>
      <c r="CI37" s="4"/>
      <c r="CJ37" s="4"/>
      <c r="CK37" s="4"/>
      <c r="CL37" s="4"/>
      <c r="CM37" s="4"/>
      <c r="CN37" s="4"/>
      <c r="CO37" s="4"/>
      <c r="CP37" s="4"/>
      <c r="CQ37" s="73"/>
      <c r="CR37" s="79" t="str">
        <f t="shared" si="33"/>
        <v/>
      </c>
      <c r="CS37" s="4"/>
      <c r="CT37" s="79" t="str">
        <f t="shared" si="34"/>
        <v/>
      </c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73"/>
      <c r="DT37" s="79" t="str">
        <f t="shared" si="35"/>
        <v/>
      </c>
      <c r="DU37" s="4"/>
      <c r="DV37" s="4"/>
      <c r="DW37" s="4"/>
      <c r="DX37" s="4"/>
      <c r="DY37" s="73"/>
      <c r="DZ37" s="81" t="str">
        <f t="shared" si="36"/>
        <v/>
      </c>
      <c r="EA37" s="73"/>
      <c r="EB37" s="81"/>
      <c r="EC37" s="73">
        <f t="shared" ref="EC37:EC44" si="69">IF(J37="","",IFERROR(J37*($J$9/100),""))</f>
        <v>14.4</v>
      </c>
      <c r="ED37" s="81">
        <f t="shared" si="38"/>
        <v>0.9</v>
      </c>
      <c r="EE37" s="72"/>
      <c r="EF37" s="81" t="str">
        <f t="shared" si="39"/>
        <v/>
      </c>
      <c r="EG37" s="183"/>
      <c r="EH37" s="81" t="str">
        <f t="shared" si="40"/>
        <v/>
      </c>
      <c r="EI37" s="72">
        <f t="shared" si="63"/>
        <v>40.630500000000005</v>
      </c>
      <c r="EJ37" s="81">
        <f t="shared" si="42"/>
        <v>0.90290000000000015</v>
      </c>
      <c r="EK37" s="4"/>
      <c r="EL37" s="4"/>
      <c r="EM37" s="73">
        <f t="shared" si="64"/>
        <v>32.249099999999999</v>
      </c>
      <c r="EN37" s="79">
        <f t="shared" si="44"/>
        <v>0.82689999999999997</v>
      </c>
      <c r="EO37" s="4"/>
      <c r="EP37" s="4" t="str">
        <f t="shared" si="45"/>
        <v/>
      </c>
      <c r="EQ37" s="4"/>
      <c r="ER37" s="4"/>
      <c r="ES37" s="4"/>
      <c r="ET37" s="79" t="str">
        <f t="shared" si="46"/>
        <v/>
      </c>
      <c r="EU37" s="4"/>
      <c r="EV37" s="79" t="str">
        <f t="shared" si="47"/>
        <v/>
      </c>
      <c r="EW37" s="73" t="str">
        <f>IFERROR(IF(#REF!="","",IFERROR(#REF!*(#REF!/100),"")),"")</f>
        <v/>
      </c>
      <c r="EX37" s="81" t="str">
        <f t="shared" si="48"/>
        <v/>
      </c>
      <c r="EY37" s="72"/>
      <c r="EZ37" s="81"/>
      <c r="FA37" s="72"/>
      <c r="FB37" s="81"/>
      <c r="FC37" s="81"/>
      <c r="FD37" s="81"/>
      <c r="FE37" s="73" t="str">
        <f>IFERROR(IF(#REF!="","",IFERROR(#REF!*(#REF!/100),""))+IF(#REF!="","",IFERROR(#REF!*(#REF!/100),"")),"")</f>
        <v/>
      </c>
      <c r="FF37" s="81" t="str">
        <f t="shared" si="49"/>
        <v/>
      </c>
      <c r="FG37" s="170">
        <f t="shared" ref="FG37:FG45" si="70">IFERROR(IF(H37="","",IFERROR(H37*($H$9/100),""))+IF(L37="","",IFERROR(L37*($L$9/100),""))+IF(P37="","",IFERROR(P37*($P$9/100),""))+IF(Z37="","",IFERROR(Z37*($Z$9/100),"")),"")</f>
        <v>134.3047</v>
      </c>
      <c r="FH37" s="171">
        <f t="shared" si="50"/>
        <v>0.82395521472392641</v>
      </c>
      <c r="FI37" s="84"/>
      <c r="FJ37" s="84"/>
      <c r="FK37" s="170" t="str">
        <f>IFERROR(IF(#REF!="","",IFERROR(#REF!*(#REF!/100),""))+IF(#REF!="","",IFERROR(#REF!*(#REF!/100),"")),"")</f>
        <v/>
      </c>
      <c r="FL37" s="171" t="str">
        <f t="shared" si="51"/>
        <v/>
      </c>
      <c r="FM37" s="170" t="str">
        <f>IFERROR(IF(#REF!="","",IFERROR(#REF!*(#REF!/100),"")),"")</f>
        <v/>
      </c>
      <c r="FN37" s="171" t="str">
        <f t="shared" si="52"/>
        <v/>
      </c>
      <c r="FO37" s="169">
        <f t="shared" ref="FO37:FO45" si="71">SUM(BI37:FM37)</f>
        <v>753.91313942760132</v>
      </c>
      <c r="FP37" s="93" t="e">
        <f t="shared" si="53"/>
        <v>#REF!</v>
      </c>
    </row>
    <row r="38" spans="1:172">
      <c r="A38" s="108">
        <v>28</v>
      </c>
      <c r="B38" s="109" t="s">
        <v>235</v>
      </c>
      <c r="C38" s="109" t="s">
        <v>236</v>
      </c>
      <c r="D38" s="66">
        <f>'MK1-TM'!D46</f>
        <v>76.75</v>
      </c>
      <c r="E38" s="66">
        <f>'MK1-TM'!E46</f>
        <v>76.930000000000007</v>
      </c>
      <c r="F38" s="66">
        <f>'MK1-TM'!F46</f>
        <v>76.87</v>
      </c>
      <c r="G38" s="66">
        <f>'MK1-TM'!G46</f>
        <v>75.09</v>
      </c>
      <c r="H38" s="66">
        <f>'MK1-TM'!H46</f>
        <v>75.11</v>
      </c>
      <c r="I38" s="66">
        <f t="shared" si="4"/>
        <v>87.521300000000011</v>
      </c>
      <c r="J38" s="83">
        <f>'MK2-TO'!D46</f>
        <v>77.5</v>
      </c>
      <c r="K38" s="83">
        <f>'MK2-TO'!E46</f>
        <v>76</v>
      </c>
      <c r="L38" s="83">
        <f>'MK2-TO'!F46</f>
        <v>82.69</v>
      </c>
      <c r="M38" s="83">
        <f t="shared" si="5"/>
        <v>78.849100000000007</v>
      </c>
      <c r="N38" s="67">
        <f>'MK3-PSTI'!D46</f>
        <v>77.5</v>
      </c>
      <c r="O38" s="67">
        <f>'MK3-PSTI'!E46</f>
        <v>76</v>
      </c>
      <c r="P38" s="67">
        <f>'MK3-PSTI'!F46</f>
        <v>82.69</v>
      </c>
      <c r="Q38" s="67">
        <f t="shared" si="6"/>
        <v>79.53309999999999</v>
      </c>
      <c r="R38" s="68">
        <f>IF('MK4-L&amp;A'!D46="","",'MK4-L&amp;A'!D46)</f>
        <v>83.33</v>
      </c>
      <c r="S38" s="68">
        <f>'MK4-L&amp;A'!E46</f>
        <v>81.819999999999993</v>
      </c>
      <c r="T38" s="68">
        <f>'MK4-L&amp;A'!F46</f>
        <v>86.22</v>
      </c>
      <c r="U38" s="68">
        <f t="shared" si="7"/>
        <v>84.247799999999998</v>
      </c>
      <c r="V38" s="69">
        <f>'MK5-BP'!D46</f>
        <v>81.400000000000006</v>
      </c>
      <c r="W38" s="69">
        <f>'MK5-BP'!E46</f>
        <v>61.9</v>
      </c>
      <c r="X38" s="69">
        <f t="shared" si="8"/>
        <v>71.650000000000006</v>
      </c>
      <c r="Y38" s="37">
        <f>IF('MK7-MBD'!D45="","",'MK7-MBD'!D45)</f>
        <v>77.150000000000006</v>
      </c>
      <c r="Z38" s="37">
        <f>IF('MK7-MBD'!E45="","",'MK7-MBD'!E45)</f>
        <v>77.150000000000006</v>
      </c>
      <c r="AA38" s="37">
        <f t="shared" si="9"/>
        <v>77.150000000000006</v>
      </c>
      <c r="AB38" s="70">
        <f>IF(MK8_BID!D46="","",MK8_BID!D46)</f>
        <v>83</v>
      </c>
      <c r="AC38" s="70">
        <f t="shared" si="10"/>
        <v>83</v>
      </c>
      <c r="AE38" s="71">
        <f t="shared" si="65"/>
        <v>80.267499999999998</v>
      </c>
      <c r="AF38" s="72">
        <f t="shared" si="54"/>
        <v>37.333720930232559</v>
      </c>
      <c r="AG38" s="71" t="str">
        <f>IFERROR((#REF!*(#REF!/100)),"")</f>
        <v/>
      </c>
      <c r="AH38" s="72" t="str">
        <f t="shared" si="11"/>
        <v/>
      </c>
      <c r="AI38" s="71">
        <f t="shared" si="66"/>
        <v>55.699400000000004</v>
      </c>
      <c r="AJ38" s="72">
        <f t="shared" si="13"/>
        <v>81.910882352941186</v>
      </c>
      <c r="AK38" s="71" t="str">
        <f>IFERROR((#REF!*(#REF!/100)),"")</f>
        <v/>
      </c>
      <c r="AL38" s="72" t="str">
        <f t="shared" si="14"/>
        <v/>
      </c>
      <c r="AM38" s="72"/>
      <c r="AN38" s="72"/>
      <c r="AO38" s="72"/>
      <c r="AP38" s="72"/>
      <c r="AQ38" s="72"/>
      <c r="AR38" s="72"/>
      <c r="AS38" s="72"/>
      <c r="AT38" s="72"/>
      <c r="AU38" s="71">
        <f t="shared" si="67"/>
        <v>73.197800000000001</v>
      </c>
      <c r="AV38" s="72">
        <f t="shared" si="55"/>
        <v>73.937171717171722</v>
      </c>
      <c r="AW38" s="71" t="str">
        <f>IFERROR((AB38*($AB$9/100)+#REF!*(#REF!/100)+#REF!*(#REF!/100)),"")</f>
        <v/>
      </c>
      <c r="AX38" s="72" t="str">
        <f t="shared" si="16"/>
        <v/>
      </c>
      <c r="AY38" s="72"/>
      <c r="AZ38" s="72"/>
      <c r="BA38" s="71" t="str">
        <f>IFERROR((#REF!*(#REF!/100)+#REF!*(#REF!/100)+#REF!*(#REF!/100)),"")</f>
        <v/>
      </c>
      <c r="BB38" s="72" t="str">
        <f t="shared" si="56"/>
        <v/>
      </c>
      <c r="BC38" s="71">
        <f t="shared" si="68"/>
        <v>130.11970000000002</v>
      </c>
      <c r="BD38" s="72">
        <f t="shared" si="57"/>
        <v>79.828036809815956</v>
      </c>
      <c r="BE38" s="2" t="str">
        <f>IFERROR((#REF!*(#REF!/100)+#REF!*(#REF!/100)+#REF!*(#REF!/100)),"")</f>
        <v/>
      </c>
      <c r="BF38" s="71" t="str">
        <f t="shared" si="58"/>
        <v/>
      </c>
      <c r="BI38" s="4">
        <f t="shared" si="17"/>
        <v>38.575000000000003</v>
      </c>
      <c r="BJ38" s="81">
        <f t="shared" si="59"/>
        <v>0.77150000000000007</v>
      </c>
      <c r="BK38" s="4">
        <f t="shared" si="18"/>
        <v>121.575</v>
      </c>
      <c r="BL38" s="81">
        <f t="shared" si="60"/>
        <v>0.8105</v>
      </c>
      <c r="BM38" s="73"/>
      <c r="BN38" s="81"/>
      <c r="BO38" s="73">
        <f t="shared" si="19"/>
        <v>29.2925</v>
      </c>
      <c r="BP38" s="81">
        <f t="shared" si="20"/>
        <v>0.77085526315789477</v>
      </c>
      <c r="BQ38" s="73">
        <f t="shared" si="21"/>
        <v>16.924600000000002</v>
      </c>
      <c r="BR38" s="79">
        <f t="shared" si="22"/>
        <v>0.76930000000000009</v>
      </c>
      <c r="BS38" s="73">
        <f t="shared" si="62"/>
        <v>32.679500000000004</v>
      </c>
      <c r="BT38" s="79">
        <f t="shared" si="23"/>
        <v>0.79706097560975619</v>
      </c>
      <c r="BU38" s="73">
        <f t="shared" si="24"/>
        <v>70.862200000000001</v>
      </c>
      <c r="BV38" s="79">
        <f t="shared" si="25"/>
        <v>0.77870549450549453</v>
      </c>
      <c r="BW38" s="184">
        <f t="shared" si="26"/>
        <v>101.54339999999999</v>
      </c>
      <c r="BX38" s="79">
        <f t="shared" si="27"/>
        <v>0.82555609756097559</v>
      </c>
      <c r="BY38" s="4"/>
      <c r="BZ38" s="4"/>
      <c r="CA38" s="73"/>
      <c r="CB38" s="81" t="str">
        <f t="shared" si="28"/>
        <v/>
      </c>
      <c r="CC38" s="73"/>
      <c r="CD38" s="81"/>
      <c r="CE38" s="73">
        <f t="shared" si="29"/>
        <v>40.700000000000003</v>
      </c>
      <c r="CF38" s="81">
        <f t="shared" si="30"/>
        <v>0.81400000000000006</v>
      </c>
      <c r="CG38" s="4">
        <f t="shared" si="31"/>
        <v>30.95</v>
      </c>
      <c r="CH38" s="79">
        <f t="shared" si="32"/>
        <v>0.61899999999999999</v>
      </c>
      <c r="CI38" s="4"/>
      <c r="CJ38" s="4"/>
      <c r="CK38" s="4"/>
      <c r="CL38" s="4"/>
      <c r="CM38" s="4"/>
      <c r="CN38" s="4"/>
      <c r="CO38" s="4"/>
      <c r="CP38" s="4"/>
      <c r="CQ38" s="73"/>
      <c r="CR38" s="79" t="str">
        <f t="shared" si="33"/>
        <v/>
      </c>
      <c r="CS38" s="4"/>
      <c r="CT38" s="79" t="str">
        <f t="shared" si="34"/>
        <v/>
      </c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  <c r="DI38" s="4"/>
      <c r="DJ38" s="4"/>
      <c r="DK38" s="4"/>
      <c r="DL38" s="4"/>
      <c r="DM38" s="4"/>
      <c r="DN38" s="4"/>
      <c r="DO38" s="4"/>
      <c r="DP38" s="4"/>
      <c r="DQ38" s="4"/>
      <c r="DR38" s="4"/>
      <c r="DS38" s="73"/>
      <c r="DT38" s="79" t="str">
        <f t="shared" si="35"/>
        <v/>
      </c>
      <c r="DU38" s="4"/>
      <c r="DV38" s="4"/>
      <c r="DW38" s="4"/>
      <c r="DX38" s="4"/>
      <c r="DY38" s="73"/>
      <c r="DZ38" s="81" t="str">
        <f t="shared" si="36"/>
        <v/>
      </c>
      <c r="EA38" s="73"/>
      <c r="EB38" s="81"/>
      <c r="EC38" s="73">
        <f t="shared" si="69"/>
        <v>12.4</v>
      </c>
      <c r="ED38" s="81">
        <f t="shared" si="38"/>
        <v>0.77500000000000002</v>
      </c>
      <c r="EE38" s="72"/>
      <c r="EF38" s="81" t="str">
        <f t="shared" si="39"/>
        <v/>
      </c>
      <c r="EG38" s="183"/>
      <c r="EH38" s="81" t="str">
        <f t="shared" si="40"/>
        <v/>
      </c>
      <c r="EI38" s="72">
        <f t="shared" si="63"/>
        <v>34.200000000000003</v>
      </c>
      <c r="EJ38" s="81">
        <f t="shared" si="42"/>
        <v>0.76</v>
      </c>
      <c r="EK38" s="4"/>
      <c r="EL38" s="4"/>
      <c r="EM38" s="73">
        <f t="shared" si="64"/>
        <v>32.249099999999999</v>
      </c>
      <c r="EN38" s="79">
        <f t="shared" si="44"/>
        <v>0.82689999999999997</v>
      </c>
      <c r="EO38" s="4"/>
      <c r="EP38" s="4" t="str">
        <f t="shared" si="45"/>
        <v/>
      </c>
      <c r="EQ38" s="4"/>
      <c r="ER38" s="4"/>
      <c r="ES38" s="4"/>
      <c r="ET38" s="79" t="str">
        <f t="shared" si="46"/>
        <v/>
      </c>
      <c r="EU38" s="4"/>
      <c r="EV38" s="79" t="str">
        <f t="shared" si="47"/>
        <v/>
      </c>
      <c r="EW38" s="73" t="str">
        <f>IFERROR(IF(#REF!="","",IFERROR(#REF!*(#REF!/100),"")),"")</f>
        <v/>
      </c>
      <c r="EX38" s="81" t="str">
        <f t="shared" si="48"/>
        <v/>
      </c>
      <c r="EY38" s="72"/>
      <c r="EZ38" s="81"/>
      <c r="FA38" s="72"/>
      <c r="FB38" s="81"/>
      <c r="FC38" s="81"/>
      <c r="FD38" s="81"/>
      <c r="FE38" s="73" t="str">
        <f>IFERROR(IF(#REF!="","",IFERROR(#REF!*(#REF!/100),""))+IF(#REF!="","",IFERROR(#REF!*(#REF!/100),"")),"")</f>
        <v/>
      </c>
      <c r="FF38" s="81" t="str">
        <f t="shared" si="49"/>
        <v/>
      </c>
      <c r="FG38" s="170">
        <f t="shared" si="70"/>
        <v>130.11970000000002</v>
      </c>
      <c r="FH38" s="171">
        <f t="shared" si="50"/>
        <v>0.79828036809815961</v>
      </c>
      <c r="FI38" s="84"/>
      <c r="FJ38" s="84"/>
      <c r="FK38" s="170" t="str">
        <f>IFERROR(IF(#REF!="","",IFERROR(#REF!*(#REF!/100),""))+IF(#REF!="","",IFERROR(#REF!*(#REF!/100),"")),"")</f>
        <v/>
      </c>
      <c r="FL38" s="171" t="str">
        <f t="shared" si="51"/>
        <v/>
      </c>
      <c r="FM38" s="170" t="str">
        <f>IFERROR(IF(#REF!="","",IFERROR(#REF!*(#REF!/100),"")),"")</f>
        <v/>
      </c>
      <c r="FN38" s="171" t="str">
        <f t="shared" si="52"/>
        <v/>
      </c>
      <c r="FO38" s="169">
        <f t="shared" si="71"/>
        <v>702.18765819893247</v>
      </c>
      <c r="FP38" s="93" t="e">
        <f t="shared" si="53"/>
        <v>#REF!</v>
      </c>
    </row>
    <row r="39" spans="1:172">
      <c r="A39" s="108">
        <v>29</v>
      </c>
      <c r="B39" s="109" t="s">
        <v>237</v>
      </c>
      <c r="C39" s="109" t="s">
        <v>238</v>
      </c>
      <c r="D39" s="66">
        <f>'MK1-TM'!D47</f>
        <v>82.5</v>
      </c>
      <c r="E39" s="66">
        <f>'MK1-TM'!E47</f>
        <v>82.6</v>
      </c>
      <c r="F39" s="66">
        <f>'MK1-TM'!F47</f>
        <v>82.67</v>
      </c>
      <c r="G39" s="66">
        <f>'MK1-TM'!G47</f>
        <v>81.45</v>
      </c>
      <c r="H39" s="66">
        <f>'MK1-TM'!H47</f>
        <v>80.739999999999995</v>
      </c>
      <c r="I39" s="66">
        <f t="shared" si="4"/>
        <v>94.244100000000003</v>
      </c>
      <c r="J39" s="83">
        <f>'MK2-TO'!D47</f>
        <v>90</v>
      </c>
      <c r="K39" s="83">
        <f>'MK2-TO'!E47</f>
        <v>90.29</v>
      </c>
      <c r="L39" s="83">
        <f>'MK2-TO'!F47</f>
        <v>82.69</v>
      </c>
      <c r="M39" s="83">
        <f t="shared" si="5"/>
        <v>87.279600000000016</v>
      </c>
      <c r="N39" s="67">
        <f>'MK3-PSTI'!D47</f>
        <v>90</v>
      </c>
      <c r="O39" s="67">
        <f>'MK3-PSTI'!E47</f>
        <v>90.29</v>
      </c>
      <c r="P39" s="67">
        <f>'MK3-PSTI'!F47</f>
        <v>82.69</v>
      </c>
      <c r="Q39" s="67">
        <f t="shared" si="6"/>
        <v>86.516700000000014</v>
      </c>
      <c r="R39" s="68">
        <f>IF('MK4-L&amp;A'!D47="","",'MK4-L&amp;A'!D47)</f>
        <v>83.89</v>
      </c>
      <c r="S39" s="68">
        <f>'MK4-L&amp;A'!E47</f>
        <v>82.27</v>
      </c>
      <c r="T39" s="68">
        <f>'MK4-L&amp;A'!F47</f>
        <v>86.73</v>
      </c>
      <c r="U39" s="68">
        <f t="shared" si="7"/>
        <v>84.747</v>
      </c>
      <c r="V39" s="69">
        <f>'MK5-BP'!D47</f>
        <v>81.400000000000006</v>
      </c>
      <c r="W39" s="69">
        <f>'MK5-BP'!E47</f>
        <v>88.4</v>
      </c>
      <c r="X39" s="69">
        <f t="shared" si="8"/>
        <v>84.9</v>
      </c>
      <c r="Y39" s="37">
        <f>IF('MK7-MBD'!D46="","",'MK7-MBD'!D46)</f>
        <v>78.2</v>
      </c>
      <c r="Z39" s="37">
        <f>IF('MK7-MBD'!E46="","",'MK7-MBD'!E46)</f>
        <v>78.2</v>
      </c>
      <c r="AA39" s="37">
        <f t="shared" si="9"/>
        <v>78.2</v>
      </c>
      <c r="AB39" s="70">
        <f>IF(MK8_BID!D47="","",MK8_BID!D47)</f>
        <v>66.2</v>
      </c>
      <c r="AC39" s="70">
        <f t="shared" si="10"/>
        <v>66.2</v>
      </c>
      <c r="AE39" s="71">
        <f t="shared" si="65"/>
        <v>86.125</v>
      </c>
      <c r="AF39" s="72">
        <f t="shared" si="54"/>
        <v>40.058139534883722</v>
      </c>
      <c r="AG39" s="71" t="str">
        <f>IFERROR((#REF!*(#REF!/100)),"")</f>
        <v/>
      </c>
      <c r="AH39" s="72" t="str">
        <f t="shared" si="11"/>
        <v/>
      </c>
      <c r="AI39" s="71">
        <f t="shared" si="66"/>
        <v>55.800200000000004</v>
      </c>
      <c r="AJ39" s="72">
        <f t="shared" si="13"/>
        <v>82.059117647058827</v>
      </c>
      <c r="AK39" s="71" t="str">
        <f>IFERROR((#REF!*(#REF!/100)),"")</f>
        <v/>
      </c>
      <c r="AL39" s="72" t="str">
        <f t="shared" si="14"/>
        <v/>
      </c>
      <c r="AM39" s="72"/>
      <c r="AN39" s="72"/>
      <c r="AO39" s="72"/>
      <c r="AP39" s="72"/>
      <c r="AQ39" s="72"/>
      <c r="AR39" s="72"/>
      <c r="AS39" s="72"/>
      <c r="AT39" s="72"/>
      <c r="AU39" s="71">
        <f t="shared" si="67"/>
        <v>86.697699999999998</v>
      </c>
      <c r="AV39" s="72">
        <f t="shared" si="55"/>
        <v>87.573434343434343</v>
      </c>
      <c r="AW39" s="71" t="str">
        <f>IFERROR((AB39*($AB$9/100)+#REF!*(#REF!/100)+#REF!*(#REF!/100)),"")</f>
        <v/>
      </c>
      <c r="AX39" s="72" t="str">
        <f t="shared" si="16"/>
        <v/>
      </c>
      <c r="AY39" s="72"/>
      <c r="AZ39" s="72"/>
      <c r="BA39" s="71" t="str">
        <f>IFERROR((#REF!*(#REF!/100)+#REF!*(#REF!/100)+#REF!*(#REF!/100)),"")</f>
        <v/>
      </c>
      <c r="BB39" s="72" t="str">
        <f t="shared" si="56"/>
        <v/>
      </c>
      <c r="BC39" s="71">
        <f t="shared" si="68"/>
        <v>132.0522</v>
      </c>
      <c r="BD39" s="72">
        <f t="shared" si="57"/>
        <v>81.013619631901847</v>
      </c>
      <c r="BE39" s="2" t="str">
        <f>IFERROR((#REF!*(#REF!/100)+#REF!*(#REF!/100)+#REF!*(#REF!/100)),"")</f>
        <v/>
      </c>
      <c r="BF39" s="71" t="str">
        <f t="shared" si="58"/>
        <v/>
      </c>
      <c r="BI39" s="4">
        <f t="shared" si="17"/>
        <v>39.1</v>
      </c>
      <c r="BJ39" s="81">
        <f t="shared" si="59"/>
        <v>0.78200000000000003</v>
      </c>
      <c r="BK39" s="4">
        <f t="shared" si="18"/>
        <v>105.30000000000001</v>
      </c>
      <c r="BL39" s="81">
        <f t="shared" si="60"/>
        <v>0.70200000000000007</v>
      </c>
      <c r="BM39" s="73"/>
      <c r="BN39" s="81"/>
      <c r="BO39" s="73">
        <f t="shared" si="19"/>
        <v>32.625</v>
      </c>
      <c r="BP39" s="81">
        <f t="shared" si="20"/>
        <v>0.85855263157894735</v>
      </c>
      <c r="BQ39" s="73">
        <f t="shared" si="21"/>
        <v>18.172000000000001</v>
      </c>
      <c r="BR39" s="79">
        <f t="shared" si="22"/>
        <v>0.82600000000000007</v>
      </c>
      <c r="BS39" s="73">
        <f t="shared" si="62"/>
        <v>34.1143</v>
      </c>
      <c r="BT39" s="79">
        <f t="shared" si="23"/>
        <v>0.83205609756097565</v>
      </c>
      <c r="BU39" s="73">
        <f t="shared" si="24"/>
        <v>77.395700000000005</v>
      </c>
      <c r="BV39" s="79">
        <f t="shared" si="25"/>
        <v>0.85050219780219782</v>
      </c>
      <c r="BW39" s="184">
        <f t="shared" si="26"/>
        <v>103.20079999999999</v>
      </c>
      <c r="BX39" s="79">
        <f t="shared" si="27"/>
        <v>0.83903089430894295</v>
      </c>
      <c r="BY39" s="4"/>
      <c r="BZ39" s="4"/>
      <c r="CA39" s="73"/>
      <c r="CB39" s="81" t="str">
        <f t="shared" si="28"/>
        <v/>
      </c>
      <c r="CC39" s="73"/>
      <c r="CD39" s="81"/>
      <c r="CE39" s="73">
        <f t="shared" si="29"/>
        <v>40.700000000000003</v>
      </c>
      <c r="CF39" s="81">
        <f t="shared" ref="CF39:CF46" si="72">IF(CE39="","",CE39/$CE$9)</f>
        <v>0.81400000000000006</v>
      </c>
      <c r="CG39" s="4">
        <f t="shared" si="31"/>
        <v>44.2</v>
      </c>
      <c r="CH39" s="79">
        <f t="shared" si="32"/>
        <v>0.88400000000000001</v>
      </c>
      <c r="CI39" s="4"/>
      <c r="CJ39" s="4"/>
      <c r="CK39" s="4"/>
      <c r="CL39" s="4"/>
      <c r="CM39" s="4"/>
      <c r="CN39" s="4"/>
      <c r="CO39" s="4"/>
      <c r="CP39" s="4"/>
      <c r="CQ39" s="73"/>
      <c r="CR39" s="79" t="str">
        <f t="shared" si="33"/>
        <v/>
      </c>
      <c r="CS39" s="4"/>
      <c r="CT39" s="79" t="str">
        <f t="shared" si="34"/>
        <v/>
      </c>
      <c r="CU39" s="4"/>
      <c r="CV39" s="4"/>
      <c r="CW39" s="4"/>
      <c r="CX39" s="4"/>
      <c r="CY39" s="4"/>
      <c r="CZ39" s="4"/>
      <c r="DA39" s="4"/>
      <c r="DB39" s="4"/>
      <c r="DC39" s="4"/>
      <c r="DD39" s="4"/>
      <c r="DE39" s="4"/>
      <c r="DF39" s="4"/>
      <c r="DG39" s="4"/>
      <c r="DH39" s="4"/>
      <c r="DI39" s="4"/>
      <c r="DJ39" s="4"/>
      <c r="DK39" s="4"/>
      <c r="DL39" s="4"/>
      <c r="DM39" s="4"/>
      <c r="DN39" s="4"/>
      <c r="DO39" s="4"/>
      <c r="DP39" s="4"/>
      <c r="DQ39" s="4"/>
      <c r="DR39" s="4"/>
      <c r="DS39" s="73"/>
      <c r="DT39" s="79" t="str">
        <f t="shared" si="35"/>
        <v/>
      </c>
      <c r="DU39" s="4"/>
      <c r="DV39" s="4"/>
      <c r="DW39" s="4"/>
      <c r="DX39" s="4"/>
      <c r="DY39" s="73"/>
      <c r="DZ39" s="81" t="str">
        <f t="shared" si="36"/>
        <v/>
      </c>
      <c r="EA39" s="73"/>
      <c r="EB39" s="81"/>
      <c r="EC39" s="73">
        <f t="shared" si="69"/>
        <v>14.4</v>
      </c>
      <c r="ED39" s="81">
        <f t="shared" si="38"/>
        <v>0.9</v>
      </c>
      <c r="EE39" s="72"/>
      <c r="EF39" s="81" t="str">
        <f t="shared" si="39"/>
        <v/>
      </c>
      <c r="EG39" s="183"/>
      <c r="EH39" s="81" t="str">
        <f t="shared" si="40"/>
        <v/>
      </c>
      <c r="EI39" s="72">
        <f t="shared" si="63"/>
        <v>40.630500000000005</v>
      </c>
      <c r="EJ39" s="81">
        <f t="shared" si="42"/>
        <v>0.90290000000000015</v>
      </c>
      <c r="EK39" s="4"/>
      <c r="EL39" s="4"/>
      <c r="EM39" s="73">
        <f t="shared" si="64"/>
        <v>32.249099999999999</v>
      </c>
      <c r="EN39" s="79">
        <f t="shared" si="44"/>
        <v>0.82689999999999997</v>
      </c>
      <c r="EO39" s="4"/>
      <c r="EP39" s="4" t="str">
        <f t="shared" si="45"/>
        <v/>
      </c>
      <c r="EQ39" s="4"/>
      <c r="ER39" s="4"/>
      <c r="ES39" s="4"/>
      <c r="ET39" s="79" t="str">
        <f t="shared" si="46"/>
        <v/>
      </c>
      <c r="EU39" s="4"/>
      <c r="EV39" s="79" t="str">
        <f t="shared" si="47"/>
        <v/>
      </c>
      <c r="EW39" s="73" t="str">
        <f>IFERROR(IF(#REF!="","",IFERROR(#REF!*(#REF!/100),"")),"")</f>
        <v/>
      </c>
      <c r="EX39" s="81" t="str">
        <f t="shared" si="48"/>
        <v/>
      </c>
      <c r="EY39" s="72"/>
      <c r="EZ39" s="81"/>
      <c r="FA39" s="72"/>
      <c r="FB39" s="81"/>
      <c r="FC39" s="81"/>
      <c r="FD39" s="81"/>
      <c r="FE39" s="73" t="str">
        <f>IFERROR(IF(#REF!="","",IFERROR(#REF!*(#REF!/100),""))+IF(#REF!="","",IFERROR(#REF!*(#REF!/100),"")),"")</f>
        <v/>
      </c>
      <c r="FF39" s="81" t="str">
        <f t="shared" si="49"/>
        <v/>
      </c>
      <c r="FG39" s="170">
        <f t="shared" si="70"/>
        <v>132.0522</v>
      </c>
      <c r="FH39" s="171">
        <f t="shared" si="50"/>
        <v>0.81013619631901845</v>
      </c>
      <c r="FI39" s="84"/>
      <c r="FJ39" s="84"/>
      <c r="FK39" s="170" t="str">
        <f>IFERROR(IF(#REF!="","",IFERROR(#REF!*(#REF!/100),""))+IF(#REF!="","",IFERROR(#REF!*(#REF!/100),"")),"")</f>
        <v/>
      </c>
      <c r="FL39" s="171" t="str">
        <f t="shared" si="51"/>
        <v/>
      </c>
      <c r="FM39" s="170" t="str">
        <f>IFERROR(IF(#REF!="","",IFERROR(#REF!*(#REF!/100),"")),"")</f>
        <v/>
      </c>
      <c r="FN39" s="171" t="str">
        <f t="shared" si="52"/>
        <v/>
      </c>
      <c r="FO39" s="169">
        <f t="shared" si="71"/>
        <v>724.96767801757017</v>
      </c>
      <c r="FP39" s="93" t="e">
        <f t="shared" si="53"/>
        <v>#REF!</v>
      </c>
    </row>
    <row r="40" spans="1:172">
      <c r="A40" s="108">
        <v>30</v>
      </c>
      <c r="B40" s="109" t="s">
        <v>239</v>
      </c>
      <c r="C40" s="109" t="s">
        <v>240</v>
      </c>
      <c r="D40" s="66">
        <f>'MK1-TM'!D48</f>
        <v>39.25</v>
      </c>
      <c r="E40" s="66">
        <f>'MK1-TM'!E48</f>
        <v>41.2</v>
      </c>
      <c r="F40" s="66">
        <f>'MK1-TM'!F48</f>
        <v>41.2</v>
      </c>
      <c r="G40" s="66">
        <f>'MK1-TM'!G48</f>
        <v>6.27</v>
      </c>
      <c r="H40" s="66">
        <f>'MK1-TM'!H48</f>
        <v>3.85</v>
      </c>
      <c r="I40" s="66">
        <f t="shared" si="4"/>
        <v>29.249799999999997</v>
      </c>
      <c r="J40" s="83">
        <f>'MK2-TO'!D48</f>
        <v>90</v>
      </c>
      <c r="K40" s="83">
        <f>'MK2-TO'!E48</f>
        <v>90.29</v>
      </c>
      <c r="L40" s="83">
        <f>'MK2-TO'!F48</f>
        <v>31.41</v>
      </c>
      <c r="M40" s="83">
        <f t="shared" si="5"/>
        <v>67.280400000000014</v>
      </c>
      <c r="N40" s="67">
        <f>'MK3-PSTI'!D48</f>
        <v>90</v>
      </c>
      <c r="O40" s="67">
        <f>'MK3-PSTI'!E48</f>
        <v>90.29</v>
      </c>
      <c r="P40" s="67">
        <f>'MK3-PSTI'!F48</f>
        <v>31.41</v>
      </c>
      <c r="Q40" s="67">
        <f t="shared" si="6"/>
        <v>61.389500000000012</v>
      </c>
      <c r="R40" s="68">
        <f>IF('MK4-L&amp;A'!D48="","",'MK4-L&amp;A'!D48)</f>
        <v>83.89</v>
      </c>
      <c r="S40" s="68">
        <f>'MK4-L&amp;A'!E48</f>
        <v>82.27</v>
      </c>
      <c r="T40" s="68">
        <f>'MK4-L&amp;A'!F48</f>
        <v>86.73</v>
      </c>
      <c r="U40" s="68">
        <f t="shared" si="7"/>
        <v>84.747</v>
      </c>
      <c r="V40" s="69">
        <f>'MK5-BP'!D48</f>
        <v>81.400000000000006</v>
      </c>
      <c r="W40" s="69">
        <f>'MK5-BP'!E48</f>
        <v>9.4</v>
      </c>
      <c r="X40" s="69">
        <f t="shared" si="8"/>
        <v>45.400000000000006</v>
      </c>
      <c r="Y40" s="37">
        <f>IF('MK7-MBD'!D47="","",'MK7-MBD'!D47)</f>
        <v>46.1</v>
      </c>
      <c r="Z40" s="37">
        <f>IF('MK7-MBD'!E47="","",'MK7-MBD'!E47)</f>
        <v>46.1</v>
      </c>
      <c r="AA40" s="37">
        <f t="shared" si="9"/>
        <v>46.1</v>
      </c>
      <c r="AB40" s="70">
        <f>IF(MK8_BID!D48="","",MK8_BID!D48)</f>
        <v>55.8</v>
      </c>
      <c r="AC40" s="70">
        <f t="shared" si="10"/>
        <v>55.8</v>
      </c>
      <c r="AE40" s="71">
        <f t="shared" si="65"/>
        <v>60.992499999999993</v>
      </c>
      <c r="AF40" s="72">
        <f t="shared" si="54"/>
        <v>28.368604651162787</v>
      </c>
      <c r="AG40" s="71" t="str">
        <f>IFERROR((#REF!*(#REF!/100)),"")</f>
        <v/>
      </c>
      <c r="AH40" s="72" t="str">
        <f t="shared" si="11"/>
        <v/>
      </c>
      <c r="AI40" s="71">
        <f t="shared" si="66"/>
        <v>55.800200000000004</v>
      </c>
      <c r="AJ40" s="72">
        <f t="shared" si="13"/>
        <v>82.059117647058827</v>
      </c>
      <c r="AK40" s="71" t="str">
        <f>IFERROR((#REF!*(#REF!/100)),"")</f>
        <v/>
      </c>
      <c r="AL40" s="72" t="str">
        <f t="shared" si="14"/>
        <v/>
      </c>
      <c r="AM40" s="72"/>
      <c r="AN40" s="72"/>
      <c r="AO40" s="72"/>
      <c r="AP40" s="72"/>
      <c r="AQ40" s="72"/>
      <c r="AR40" s="72"/>
      <c r="AS40" s="72"/>
      <c r="AT40" s="72"/>
      <c r="AU40" s="71">
        <f t="shared" si="67"/>
        <v>47.197700000000005</v>
      </c>
      <c r="AV40" s="72">
        <f t="shared" si="55"/>
        <v>47.674444444444447</v>
      </c>
      <c r="AW40" s="71" t="str">
        <f>IFERROR((AB40*($AB$9/100)+#REF!*(#REF!/100)+#REF!*(#REF!/100)),"")</f>
        <v/>
      </c>
      <c r="AX40" s="72" t="str">
        <f t="shared" si="16"/>
        <v/>
      </c>
      <c r="AY40" s="72"/>
      <c r="AZ40" s="72"/>
      <c r="BA40" s="71" t="str">
        <f>IFERROR((#REF!*(#REF!/100)+#REF!*(#REF!/100)+#REF!*(#REF!/100)),"")</f>
        <v/>
      </c>
      <c r="BB40" s="72" t="str">
        <f t="shared" si="56"/>
        <v/>
      </c>
      <c r="BC40" s="71">
        <f t="shared" si="68"/>
        <v>51.653300000000002</v>
      </c>
      <c r="BD40" s="72">
        <f t="shared" si="57"/>
        <v>31.689141104294478</v>
      </c>
      <c r="BE40" s="2" t="str">
        <f>IFERROR((#REF!*(#REF!/100)+#REF!*(#REF!/100)+#REF!*(#REF!/100)),"")</f>
        <v/>
      </c>
      <c r="BF40" s="71" t="str">
        <f t="shared" si="58"/>
        <v/>
      </c>
      <c r="BI40" s="4">
        <f t="shared" si="17"/>
        <v>23.05</v>
      </c>
      <c r="BJ40" s="81">
        <f t="shared" si="59"/>
        <v>0.46100000000000002</v>
      </c>
      <c r="BK40" s="4">
        <f t="shared" si="18"/>
        <v>78.849999999999994</v>
      </c>
      <c r="BL40" s="81">
        <f t="shared" si="60"/>
        <v>0.52566666666666662</v>
      </c>
      <c r="BM40" s="73"/>
      <c r="BN40" s="81"/>
      <c r="BO40" s="73">
        <f t="shared" si="19"/>
        <v>23.5425</v>
      </c>
      <c r="BP40" s="81">
        <f t="shared" si="20"/>
        <v>0.61953947368421058</v>
      </c>
      <c r="BQ40" s="73">
        <f t="shared" si="21"/>
        <v>9.0640000000000001</v>
      </c>
      <c r="BR40" s="79">
        <f t="shared" si="22"/>
        <v>0.41199999999999998</v>
      </c>
      <c r="BS40" s="73">
        <f t="shared" si="62"/>
        <v>24.5762</v>
      </c>
      <c r="BT40" s="79">
        <f t="shared" si="23"/>
        <v>0.59941951219512191</v>
      </c>
      <c r="BU40" s="73">
        <f t="shared" si="24"/>
        <v>59.352500000000006</v>
      </c>
      <c r="BV40" s="79">
        <f t="shared" si="25"/>
        <v>0.65222527472527481</v>
      </c>
      <c r="BW40" s="184">
        <f t="shared" si="26"/>
        <v>58.851100000000002</v>
      </c>
      <c r="BX40" s="79">
        <f t="shared" si="27"/>
        <v>0.47846422764227642</v>
      </c>
      <c r="BY40" s="4"/>
      <c r="BZ40" s="4"/>
      <c r="CA40" s="73"/>
      <c r="CB40" s="81" t="str">
        <f t="shared" si="28"/>
        <v/>
      </c>
      <c r="CC40" s="73"/>
      <c r="CD40" s="81"/>
      <c r="CE40" s="73">
        <f t="shared" si="29"/>
        <v>40.700000000000003</v>
      </c>
      <c r="CF40" s="81">
        <f t="shared" si="72"/>
        <v>0.81400000000000006</v>
      </c>
      <c r="CG40" s="4">
        <f t="shared" si="31"/>
        <v>4.7</v>
      </c>
      <c r="CH40" s="79">
        <f t="shared" si="32"/>
        <v>9.4E-2</v>
      </c>
      <c r="CI40" s="4"/>
      <c r="CJ40" s="4"/>
      <c r="CK40" s="4"/>
      <c r="CL40" s="4"/>
      <c r="CM40" s="4"/>
      <c r="CN40" s="4"/>
      <c r="CO40" s="4"/>
      <c r="CP40" s="4"/>
      <c r="CQ40" s="73"/>
      <c r="CR40" s="79" t="str">
        <f t="shared" si="33"/>
        <v/>
      </c>
      <c r="CS40" s="4"/>
      <c r="CT40" s="79" t="str">
        <f t="shared" si="34"/>
        <v/>
      </c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4"/>
      <c r="DJ40" s="4"/>
      <c r="DK40" s="4"/>
      <c r="DL40" s="4"/>
      <c r="DM40" s="4"/>
      <c r="DN40" s="4"/>
      <c r="DO40" s="4"/>
      <c r="DP40" s="4"/>
      <c r="DQ40" s="4"/>
      <c r="DR40" s="4"/>
      <c r="DS40" s="73"/>
      <c r="DT40" s="79" t="str">
        <f t="shared" si="35"/>
        <v/>
      </c>
      <c r="DU40" s="4"/>
      <c r="DV40" s="4"/>
      <c r="DW40" s="4"/>
      <c r="DX40" s="4"/>
      <c r="DY40" s="73"/>
      <c r="DZ40" s="81" t="str">
        <f t="shared" si="36"/>
        <v/>
      </c>
      <c r="EA40" s="73"/>
      <c r="EB40" s="81"/>
      <c r="EC40" s="73">
        <f t="shared" si="69"/>
        <v>14.4</v>
      </c>
      <c r="ED40" s="81">
        <f t="shared" si="38"/>
        <v>0.9</v>
      </c>
      <c r="EE40" s="72"/>
      <c r="EF40" s="81" t="str">
        <f t="shared" si="39"/>
        <v/>
      </c>
      <c r="EG40" s="183"/>
      <c r="EH40" s="81" t="str">
        <f t="shared" si="40"/>
        <v/>
      </c>
      <c r="EI40" s="72">
        <f t="shared" si="63"/>
        <v>40.630500000000005</v>
      </c>
      <c r="EJ40" s="81">
        <f t="shared" si="42"/>
        <v>0.90290000000000015</v>
      </c>
      <c r="EK40" s="4"/>
      <c r="EL40" s="4"/>
      <c r="EM40" s="73">
        <f t="shared" si="64"/>
        <v>12.2499</v>
      </c>
      <c r="EN40" s="79">
        <f t="shared" si="44"/>
        <v>0.31409999999999999</v>
      </c>
      <c r="EO40" s="4"/>
      <c r="EP40" s="4" t="str">
        <f t="shared" si="45"/>
        <v/>
      </c>
      <c r="EQ40" s="4"/>
      <c r="ER40" s="4"/>
      <c r="ES40" s="4"/>
      <c r="ET40" s="79" t="str">
        <f t="shared" si="46"/>
        <v/>
      </c>
      <c r="EU40" s="4"/>
      <c r="EV40" s="79" t="str">
        <f t="shared" si="47"/>
        <v/>
      </c>
      <c r="EW40" s="73" t="str">
        <f>IFERROR(IF(#REF!="","",IFERROR(#REF!*(#REF!/100),"")),"")</f>
        <v/>
      </c>
      <c r="EX40" s="81" t="str">
        <f t="shared" si="48"/>
        <v/>
      </c>
      <c r="EY40" s="72"/>
      <c r="EZ40" s="81"/>
      <c r="FA40" s="72"/>
      <c r="FB40" s="81"/>
      <c r="FC40" s="81"/>
      <c r="FD40" s="81"/>
      <c r="FE40" s="73" t="str">
        <f>IFERROR(IF(#REF!="","",IFERROR(#REF!*(#REF!/100),""))+IF(#REF!="","",IFERROR(#REF!*(#REF!/100),"")),"")</f>
        <v/>
      </c>
      <c r="FF40" s="81" t="str">
        <f t="shared" si="49"/>
        <v/>
      </c>
      <c r="FG40" s="170">
        <f t="shared" si="70"/>
        <v>51.653300000000002</v>
      </c>
      <c r="FH40" s="171">
        <f t="shared" si="50"/>
        <v>0.31689141104294477</v>
      </c>
      <c r="FI40" s="84"/>
      <c r="FJ40" s="84"/>
      <c r="FK40" s="170" t="str">
        <f>IFERROR(IF(#REF!="","",IFERROR(#REF!*(#REF!/100),""))+IF(#REF!="","",IFERROR(#REF!*(#REF!/100),"")),"")</f>
        <v/>
      </c>
      <c r="FL40" s="171" t="str">
        <f t="shared" si="51"/>
        <v/>
      </c>
      <c r="FM40" s="170" t="str">
        <f>IFERROR(IF(#REF!="","",IFERROR(#REF!*(#REF!/100),"")),"")</f>
        <v/>
      </c>
      <c r="FN40" s="171" t="str">
        <f t="shared" si="52"/>
        <v/>
      </c>
      <c r="FO40" s="169">
        <f t="shared" si="71"/>
        <v>448.71020656595647</v>
      </c>
      <c r="FP40" s="93" t="e">
        <f t="shared" si="53"/>
        <v>#REF!</v>
      </c>
    </row>
    <row r="41" spans="1:172">
      <c r="A41" s="108">
        <v>31</v>
      </c>
      <c r="B41" s="109" t="s">
        <v>241</v>
      </c>
      <c r="C41" s="109" t="s">
        <v>242</v>
      </c>
      <c r="D41" s="66">
        <f>'MK1-TM'!D49</f>
        <v>92.25</v>
      </c>
      <c r="E41" s="66">
        <f>'MK1-TM'!E49</f>
        <v>92.4</v>
      </c>
      <c r="F41" s="66">
        <f>'MK1-TM'!F49</f>
        <v>92.53</v>
      </c>
      <c r="G41" s="66">
        <f>'MK1-TM'!G49</f>
        <v>90.5</v>
      </c>
      <c r="H41" s="66">
        <f>'MK1-TM'!H49</f>
        <v>90.04</v>
      </c>
      <c r="I41" s="66">
        <f t="shared" si="4"/>
        <v>105.21240000000002</v>
      </c>
      <c r="J41" s="83">
        <f>'MK2-TO'!D49</f>
        <v>90</v>
      </c>
      <c r="K41" s="83">
        <f>'MK2-TO'!E49</f>
        <v>90.29</v>
      </c>
      <c r="L41" s="83">
        <f>'MK2-TO'!F49</f>
        <v>82.69</v>
      </c>
      <c r="M41" s="83">
        <f t="shared" si="5"/>
        <v>87.279600000000016</v>
      </c>
      <c r="N41" s="67">
        <f>'MK3-PSTI'!D49</f>
        <v>90</v>
      </c>
      <c r="O41" s="67">
        <f>'MK3-PSTI'!E49</f>
        <v>90.29</v>
      </c>
      <c r="P41" s="67">
        <f>'MK3-PSTI'!F49</f>
        <v>82.69</v>
      </c>
      <c r="Q41" s="67">
        <f t="shared" si="6"/>
        <v>86.516700000000014</v>
      </c>
      <c r="R41" s="68">
        <f>IF('MK4-L&amp;A'!D49="","",'MK4-L&amp;A'!D49)</f>
        <v>93.61</v>
      </c>
      <c r="S41" s="68">
        <f>'MK4-L&amp;A'!E49</f>
        <v>94.39</v>
      </c>
      <c r="T41" s="68">
        <f>'MK4-L&amp;A'!F49</f>
        <v>99.49</v>
      </c>
      <c r="U41" s="68">
        <f t="shared" si="7"/>
        <v>96.748599999999996</v>
      </c>
      <c r="V41" s="69">
        <f>'MK5-BP'!D49</f>
        <v>92.4</v>
      </c>
      <c r="W41" s="69">
        <f>'MK5-BP'!E49</f>
        <v>90.4</v>
      </c>
      <c r="X41" s="69">
        <f t="shared" si="8"/>
        <v>91.4</v>
      </c>
      <c r="Y41" s="37">
        <f>IF('MK7-MBD'!D48="","",'MK7-MBD'!D48)</f>
        <v>85.9</v>
      </c>
      <c r="Z41" s="37">
        <f>IF('MK7-MBD'!E48="","",'MK7-MBD'!E48)</f>
        <v>85.9</v>
      </c>
      <c r="AA41" s="37">
        <f t="shared" si="9"/>
        <v>85.9</v>
      </c>
      <c r="AB41" s="70">
        <f>IF(MK8_BID!D49="","",MK8_BID!D49)</f>
        <v>89</v>
      </c>
      <c r="AC41" s="70">
        <f t="shared" si="10"/>
        <v>89</v>
      </c>
      <c r="AE41" s="71">
        <f t="shared" si="65"/>
        <v>92.022500000000008</v>
      </c>
      <c r="AF41" s="72">
        <f t="shared" si="54"/>
        <v>42.801162790697674</v>
      </c>
      <c r="AG41" s="71" t="str">
        <f>IFERROR((#REF!*(#REF!/100)),"")</f>
        <v/>
      </c>
      <c r="AH41" s="72" t="str">
        <f t="shared" si="11"/>
        <v/>
      </c>
      <c r="AI41" s="71">
        <f t="shared" si="66"/>
        <v>63.049800000000005</v>
      </c>
      <c r="AJ41" s="72">
        <f t="shared" si="13"/>
        <v>92.720294117647057</v>
      </c>
      <c r="AK41" s="71" t="str">
        <f>IFERROR((#REF!*(#REF!/100)),"")</f>
        <v/>
      </c>
      <c r="AL41" s="72" t="str">
        <f t="shared" si="14"/>
        <v/>
      </c>
      <c r="AM41" s="72"/>
      <c r="AN41" s="72"/>
      <c r="AO41" s="72"/>
      <c r="AP41" s="72"/>
      <c r="AQ41" s="72"/>
      <c r="AR41" s="72"/>
      <c r="AS41" s="72"/>
      <c r="AT41" s="72"/>
      <c r="AU41" s="71">
        <f t="shared" si="67"/>
        <v>93.950099999999992</v>
      </c>
      <c r="AV41" s="72">
        <f t="shared" si="55"/>
        <v>94.899090909090901</v>
      </c>
      <c r="AW41" s="71" t="str">
        <f>IFERROR((AB41*($AB$9/100)+#REF!*(#REF!/100)+#REF!*(#REF!/100)),"")</f>
        <v/>
      </c>
      <c r="AX41" s="72" t="str">
        <f t="shared" si="16"/>
        <v/>
      </c>
      <c r="AY41" s="72"/>
      <c r="AZ41" s="72"/>
      <c r="BA41" s="71" t="str">
        <f>IFERROR((#REF!*(#REF!/100)+#REF!*(#REF!/100)+#REF!*(#REF!/100)),"")</f>
        <v/>
      </c>
      <c r="BB41" s="72" t="str">
        <f t="shared" si="56"/>
        <v/>
      </c>
      <c r="BC41" s="71">
        <f t="shared" si="68"/>
        <v>138.22719999999998</v>
      </c>
      <c r="BD41" s="72">
        <f t="shared" si="57"/>
        <v>84.80196319018404</v>
      </c>
      <c r="BE41" s="2" t="str">
        <f>IFERROR((#REF!*(#REF!/100)+#REF!*(#REF!/100)+#REF!*(#REF!/100)),"")</f>
        <v/>
      </c>
      <c r="BF41" s="71" t="str">
        <f t="shared" si="58"/>
        <v/>
      </c>
      <c r="BI41" s="4">
        <f t="shared" si="17"/>
        <v>42.95</v>
      </c>
      <c r="BJ41" s="81">
        <f t="shared" si="59"/>
        <v>0.8590000000000001</v>
      </c>
      <c r="BK41" s="4">
        <f t="shared" si="18"/>
        <v>131.94999999999999</v>
      </c>
      <c r="BL41" s="81">
        <f t="shared" si="60"/>
        <v>0.8796666666666666</v>
      </c>
      <c r="BM41" s="73"/>
      <c r="BN41" s="81"/>
      <c r="BO41" s="73">
        <f t="shared" si="19"/>
        <v>34.672499999999999</v>
      </c>
      <c r="BP41" s="81">
        <f t="shared" si="20"/>
        <v>0.91243421052631579</v>
      </c>
      <c r="BQ41" s="73">
        <f t="shared" si="21"/>
        <v>20.328000000000003</v>
      </c>
      <c r="BR41" s="79">
        <f t="shared" si="22"/>
        <v>0.92400000000000015</v>
      </c>
      <c r="BS41" s="73">
        <f t="shared" si="62"/>
        <v>38.131699999999995</v>
      </c>
      <c r="BT41" s="79">
        <f t="shared" si="23"/>
        <v>0.93004146341463401</v>
      </c>
      <c r="BU41" s="73">
        <f t="shared" si="24"/>
        <v>83.567300000000003</v>
      </c>
      <c r="BV41" s="79">
        <f t="shared" si="25"/>
        <v>0.91832197802197801</v>
      </c>
      <c r="BW41" s="184">
        <f t="shared" si="26"/>
        <v>111.7782</v>
      </c>
      <c r="BX41" s="79">
        <f t="shared" si="27"/>
        <v>0.90876585365853657</v>
      </c>
      <c r="BY41" s="4"/>
      <c r="BZ41" s="4"/>
      <c r="CA41" s="73"/>
      <c r="CB41" s="81" t="str">
        <f t="shared" si="28"/>
        <v/>
      </c>
      <c r="CC41" s="73"/>
      <c r="CD41" s="81"/>
      <c r="CE41" s="73">
        <f t="shared" si="29"/>
        <v>46.2</v>
      </c>
      <c r="CF41" s="81">
        <f t="shared" si="72"/>
        <v>0.92400000000000004</v>
      </c>
      <c r="CG41" s="4">
        <f t="shared" si="31"/>
        <v>45.2</v>
      </c>
      <c r="CH41" s="79">
        <f t="shared" si="32"/>
        <v>0.90400000000000003</v>
      </c>
      <c r="CI41" s="4"/>
      <c r="CJ41" s="4"/>
      <c r="CK41" s="4"/>
      <c r="CL41" s="4"/>
      <c r="CM41" s="4"/>
      <c r="CN41" s="4"/>
      <c r="CO41" s="4"/>
      <c r="CP41" s="4"/>
      <c r="CQ41" s="73"/>
      <c r="CR41" s="79" t="str">
        <f t="shared" si="33"/>
        <v/>
      </c>
      <c r="CS41" s="4"/>
      <c r="CT41" s="79" t="str">
        <f t="shared" si="34"/>
        <v/>
      </c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4"/>
      <c r="DF41" s="4"/>
      <c r="DG41" s="4"/>
      <c r="DH41" s="4"/>
      <c r="DI41" s="4"/>
      <c r="DJ41" s="4"/>
      <c r="DK41" s="4"/>
      <c r="DL41" s="4"/>
      <c r="DM41" s="4"/>
      <c r="DN41" s="4"/>
      <c r="DO41" s="4"/>
      <c r="DP41" s="4"/>
      <c r="DQ41" s="4"/>
      <c r="DR41" s="4"/>
      <c r="DS41" s="73"/>
      <c r="DT41" s="79" t="str">
        <f t="shared" si="35"/>
        <v/>
      </c>
      <c r="DU41" s="4"/>
      <c r="DV41" s="4"/>
      <c r="DW41" s="4"/>
      <c r="DX41" s="4"/>
      <c r="DY41" s="73"/>
      <c r="DZ41" s="81" t="str">
        <f t="shared" si="36"/>
        <v/>
      </c>
      <c r="EA41" s="73"/>
      <c r="EB41" s="81"/>
      <c r="EC41" s="73">
        <f t="shared" si="69"/>
        <v>14.4</v>
      </c>
      <c r="ED41" s="81">
        <f t="shared" si="38"/>
        <v>0.9</v>
      </c>
      <c r="EE41" s="72"/>
      <c r="EF41" s="81" t="str">
        <f t="shared" si="39"/>
        <v/>
      </c>
      <c r="EG41" s="183"/>
      <c r="EH41" s="81" t="str">
        <f t="shared" si="40"/>
        <v/>
      </c>
      <c r="EI41" s="72">
        <f t="shared" si="63"/>
        <v>40.630500000000005</v>
      </c>
      <c r="EJ41" s="81">
        <f t="shared" si="42"/>
        <v>0.90290000000000015</v>
      </c>
      <c r="EK41" s="4"/>
      <c r="EL41" s="4"/>
      <c r="EM41" s="73">
        <f t="shared" si="64"/>
        <v>32.249099999999999</v>
      </c>
      <c r="EN41" s="79">
        <f t="shared" si="44"/>
        <v>0.82689999999999997</v>
      </c>
      <c r="EO41" s="4"/>
      <c r="EP41" s="4" t="str">
        <f t="shared" si="45"/>
        <v/>
      </c>
      <c r="EQ41" s="4"/>
      <c r="ER41" s="4"/>
      <c r="ES41" s="4"/>
      <c r="ET41" s="79" t="str">
        <f t="shared" si="46"/>
        <v/>
      </c>
      <c r="EU41" s="4"/>
      <c r="EV41" s="79" t="str">
        <f t="shared" si="47"/>
        <v/>
      </c>
      <c r="EW41" s="73" t="str">
        <f>IFERROR(IF(#REF!="","",IFERROR(#REF!*(#REF!/100),"")),"")</f>
        <v/>
      </c>
      <c r="EX41" s="81" t="str">
        <f t="shared" si="48"/>
        <v/>
      </c>
      <c r="EY41" s="72"/>
      <c r="EZ41" s="81"/>
      <c r="FA41" s="72"/>
      <c r="FB41" s="81"/>
      <c r="FC41" s="81"/>
      <c r="FD41" s="81"/>
      <c r="FE41" s="73" t="str">
        <f>IFERROR(IF(#REF!="","",IFERROR(#REF!*(#REF!/100),""))+IF(#REF!="","",IFERROR(#REF!*(#REF!/100),"")),"")</f>
        <v/>
      </c>
      <c r="FF41" s="81" t="str">
        <f t="shared" si="49"/>
        <v/>
      </c>
      <c r="FG41" s="170">
        <f t="shared" si="70"/>
        <v>138.22719999999998</v>
      </c>
      <c r="FH41" s="171">
        <f t="shared" si="50"/>
        <v>0.84801963190184038</v>
      </c>
      <c r="FI41" s="84"/>
      <c r="FJ41" s="84"/>
      <c r="FK41" s="170" t="str">
        <f>IFERROR(IF(#REF!="","",IFERROR(#REF!*(#REF!/100),""))+IF(#REF!="","",IFERROR(#REF!*(#REF!/100),"")),"")</f>
        <v/>
      </c>
      <c r="FL41" s="171" t="str">
        <f t="shared" si="51"/>
        <v/>
      </c>
      <c r="FM41" s="170" t="str">
        <f>IFERROR(IF(#REF!="","",IFERROR(#REF!*(#REF!/100),"")),"")</f>
        <v/>
      </c>
      <c r="FN41" s="171" t="str">
        <f t="shared" si="52"/>
        <v/>
      </c>
      <c r="FO41" s="169">
        <f t="shared" si="71"/>
        <v>791.92254980419</v>
      </c>
      <c r="FP41" s="93" t="e">
        <f t="shared" si="53"/>
        <v>#REF!</v>
      </c>
    </row>
    <row r="42" spans="1:172">
      <c r="A42" s="108">
        <v>32</v>
      </c>
      <c r="B42" s="109" t="s">
        <v>243</v>
      </c>
      <c r="C42" s="109" t="s">
        <v>244</v>
      </c>
      <c r="D42" s="66">
        <f>'MK1-TM'!D50</f>
        <v>89.63</v>
      </c>
      <c r="E42" s="66">
        <f>'MK1-TM'!E50</f>
        <v>89.8</v>
      </c>
      <c r="F42" s="66">
        <f>'MK1-TM'!F50</f>
        <v>89.6</v>
      </c>
      <c r="G42" s="66">
        <f>'MK1-TM'!G50</f>
        <v>90.05</v>
      </c>
      <c r="H42" s="66">
        <f>'MK1-TM'!H50</f>
        <v>89.41</v>
      </c>
      <c r="I42" s="66">
        <f t="shared" si="4"/>
        <v>103.1508</v>
      </c>
      <c r="J42" s="83">
        <f>'MK2-TO'!D50</f>
        <v>90</v>
      </c>
      <c r="K42" s="83">
        <f>'MK2-TO'!E50</f>
        <v>90.29</v>
      </c>
      <c r="L42" s="83">
        <f>'MK2-TO'!F50</f>
        <v>82.69</v>
      </c>
      <c r="M42" s="83">
        <f t="shared" si="5"/>
        <v>87.279600000000016</v>
      </c>
      <c r="N42" s="67">
        <f>'MK3-PSTI'!D50</f>
        <v>90</v>
      </c>
      <c r="O42" s="67">
        <f>'MK3-PSTI'!E50</f>
        <v>90.29</v>
      </c>
      <c r="P42" s="67">
        <f>'MK3-PSTI'!F50</f>
        <v>82.69</v>
      </c>
      <c r="Q42" s="67">
        <f t="shared" si="6"/>
        <v>86.516700000000014</v>
      </c>
      <c r="R42" s="68">
        <f>IF('MK4-L&amp;A'!D50="","",'MK4-L&amp;A'!D50)</f>
        <v>87.5</v>
      </c>
      <c r="S42" s="68">
        <f>'MK4-L&amp;A'!E50</f>
        <v>86.36</v>
      </c>
      <c r="T42" s="68">
        <f>'MK4-L&amp;A'!F50</f>
        <v>95.41</v>
      </c>
      <c r="U42" s="68">
        <f t="shared" si="7"/>
        <v>90.99969999999999</v>
      </c>
      <c r="V42" s="69">
        <f>'MK5-BP'!D50</f>
        <v>99.4</v>
      </c>
      <c r="W42" s="69">
        <f>'MK5-BP'!E50</f>
        <v>99.4</v>
      </c>
      <c r="X42" s="69">
        <f t="shared" si="8"/>
        <v>99.4</v>
      </c>
      <c r="Y42" s="37">
        <f>IF('MK7-MBD'!D49="","",'MK7-MBD'!D49)</f>
        <v>85.9</v>
      </c>
      <c r="Z42" s="37">
        <f>IF('MK7-MBD'!E49="","",'MK7-MBD'!E49)</f>
        <v>85.9</v>
      </c>
      <c r="AA42" s="37">
        <f t="shared" si="9"/>
        <v>85.9</v>
      </c>
      <c r="AB42" s="70">
        <f>IF(MK8_BID!D50="","",MK8_BID!D50)</f>
        <v>89.7</v>
      </c>
      <c r="AC42" s="70">
        <f t="shared" si="10"/>
        <v>89.7</v>
      </c>
      <c r="AE42" s="71">
        <f t="shared" si="65"/>
        <v>91.472300000000004</v>
      </c>
      <c r="AF42" s="72">
        <f t="shared" si="54"/>
        <v>42.545255813953489</v>
      </c>
      <c r="AG42" s="71" t="str">
        <f>IFERROR((#REF!*(#REF!/100)),"")</f>
        <v/>
      </c>
      <c r="AH42" s="72" t="str">
        <f t="shared" si="11"/>
        <v/>
      </c>
      <c r="AI42" s="71">
        <f t="shared" si="66"/>
        <v>65.45</v>
      </c>
      <c r="AJ42" s="72">
        <f t="shared" si="13"/>
        <v>96.25</v>
      </c>
      <c r="AK42" s="71" t="str">
        <f>IFERROR((#REF!*(#REF!/100)),"")</f>
        <v/>
      </c>
      <c r="AL42" s="72" t="str">
        <f t="shared" si="14"/>
        <v/>
      </c>
      <c r="AM42" s="72"/>
      <c r="AN42" s="72"/>
      <c r="AO42" s="72"/>
      <c r="AP42" s="72"/>
      <c r="AQ42" s="72"/>
      <c r="AR42" s="72"/>
      <c r="AS42" s="72"/>
      <c r="AT42" s="72"/>
      <c r="AU42" s="71">
        <f t="shared" si="67"/>
        <v>96.45089999999999</v>
      </c>
      <c r="AV42" s="72">
        <f t="shared" si="55"/>
        <v>97.425151515151512</v>
      </c>
      <c r="AW42" s="71" t="str">
        <f>IFERROR((AB42*($AB$9/100)+#REF!*(#REF!/100)+#REF!*(#REF!/100)),"")</f>
        <v/>
      </c>
      <c r="AX42" s="72" t="str">
        <f t="shared" si="16"/>
        <v/>
      </c>
      <c r="AY42" s="72"/>
      <c r="AZ42" s="72"/>
      <c r="BA42" s="71" t="str">
        <f>IFERROR((#REF!*(#REF!/100)+#REF!*(#REF!/100)+#REF!*(#REF!/100)),"")</f>
        <v/>
      </c>
      <c r="BB42" s="72" t="str">
        <f t="shared" si="56"/>
        <v/>
      </c>
      <c r="BC42" s="71">
        <f t="shared" si="68"/>
        <v>138.06970000000001</v>
      </c>
      <c r="BD42" s="72">
        <f t="shared" si="57"/>
        <v>84.705337423312884</v>
      </c>
      <c r="BE42" s="2" t="str">
        <f>IFERROR((#REF!*(#REF!/100)+#REF!*(#REF!/100)+#REF!*(#REF!/100)),"")</f>
        <v/>
      </c>
      <c r="BF42" s="71" t="str">
        <f t="shared" si="58"/>
        <v/>
      </c>
      <c r="BI42" s="4">
        <f t="shared" si="17"/>
        <v>42.95</v>
      </c>
      <c r="BJ42" s="81">
        <f t="shared" si="59"/>
        <v>0.8590000000000001</v>
      </c>
      <c r="BK42" s="4">
        <f t="shared" si="18"/>
        <v>132.65</v>
      </c>
      <c r="BL42" s="81">
        <f t="shared" si="60"/>
        <v>0.88433333333333342</v>
      </c>
      <c r="BM42" s="73"/>
      <c r="BN42" s="81"/>
      <c r="BO42" s="73">
        <f t="shared" si="19"/>
        <v>34.122299999999996</v>
      </c>
      <c r="BP42" s="81">
        <f t="shared" si="20"/>
        <v>0.89795526315789465</v>
      </c>
      <c r="BQ42" s="73">
        <f t="shared" si="21"/>
        <v>19.756</v>
      </c>
      <c r="BR42" s="79">
        <f t="shared" si="22"/>
        <v>0.89800000000000002</v>
      </c>
      <c r="BS42" s="73">
        <f t="shared" si="62"/>
        <v>36.358000000000004</v>
      </c>
      <c r="BT42" s="79">
        <f t="shared" si="23"/>
        <v>0.88678048780487817</v>
      </c>
      <c r="BU42" s="73">
        <f t="shared" si="24"/>
        <v>80.809400000000011</v>
      </c>
      <c r="BV42" s="79">
        <f t="shared" si="25"/>
        <v>0.88801538461538476</v>
      </c>
      <c r="BW42" s="184">
        <f t="shared" si="26"/>
        <v>109.6215</v>
      </c>
      <c r="BX42" s="79">
        <f t="shared" si="27"/>
        <v>0.89123170731707313</v>
      </c>
      <c r="BY42" s="4"/>
      <c r="BZ42" s="4"/>
      <c r="CA42" s="73"/>
      <c r="CB42" s="81" t="str">
        <f t="shared" si="28"/>
        <v/>
      </c>
      <c r="CC42" s="73"/>
      <c r="CD42" s="81"/>
      <c r="CE42" s="73">
        <f t="shared" si="29"/>
        <v>49.7</v>
      </c>
      <c r="CF42" s="81">
        <f t="shared" si="72"/>
        <v>0.99400000000000011</v>
      </c>
      <c r="CG42" s="4">
        <f t="shared" si="31"/>
        <v>49.7</v>
      </c>
      <c r="CH42" s="79">
        <f t="shared" si="32"/>
        <v>0.99400000000000011</v>
      </c>
      <c r="CI42" s="4"/>
      <c r="CJ42" s="4"/>
      <c r="CK42" s="4"/>
      <c r="CL42" s="4"/>
      <c r="CM42" s="4"/>
      <c r="CN42" s="4"/>
      <c r="CO42" s="4"/>
      <c r="CP42" s="4"/>
      <c r="CQ42" s="73"/>
      <c r="CR42" s="79" t="str">
        <f t="shared" si="33"/>
        <v/>
      </c>
      <c r="CS42" s="4"/>
      <c r="CT42" s="79" t="str">
        <f t="shared" si="34"/>
        <v/>
      </c>
      <c r="CU42" s="4"/>
      <c r="CV42" s="4"/>
      <c r="CW42" s="4"/>
      <c r="CX42" s="4"/>
      <c r="CY42" s="4"/>
      <c r="CZ42" s="4"/>
      <c r="DA42" s="4"/>
      <c r="DB42" s="4"/>
      <c r="DC42" s="4"/>
      <c r="DD42" s="4"/>
      <c r="DE42" s="4"/>
      <c r="DF42" s="4"/>
      <c r="DG42" s="4"/>
      <c r="DH42" s="4"/>
      <c r="DI42" s="4"/>
      <c r="DJ42" s="4"/>
      <c r="DK42" s="4"/>
      <c r="DL42" s="4"/>
      <c r="DM42" s="4"/>
      <c r="DN42" s="4"/>
      <c r="DO42" s="4"/>
      <c r="DP42" s="4"/>
      <c r="DQ42" s="4"/>
      <c r="DR42" s="4"/>
      <c r="DS42" s="73"/>
      <c r="DT42" s="79" t="str">
        <f t="shared" si="35"/>
        <v/>
      </c>
      <c r="DU42" s="4"/>
      <c r="DV42" s="4"/>
      <c r="DW42" s="4"/>
      <c r="DX42" s="4"/>
      <c r="DY42" s="73"/>
      <c r="DZ42" s="81" t="str">
        <f t="shared" si="36"/>
        <v/>
      </c>
      <c r="EA42" s="73"/>
      <c r="EB42" s="81"/>
      <c r="EC42" s="73">
        <f t="shared" si="69"/>
        <v>14.4</v>
      </c>
      <c r="ED42" s="81">
        <f t="shared" si="38"/>
        <v>0.9</v>
      </c>
      <c r="EE42" s="72"/>
      <c r="EF42" s="81" t="str">
        <f t="shared" si="39"/>
        <v/>
      </c>
      <c r="EG42" s="183"/>
      <c r="EH42" s="81" t="str">
        <f t="shared" si="40"/>
        <v/>
      </c>
      <c r="EI42" s="72">
        <f t="shared" si="63"/>
        <v>40.630500000000005</v>
      </c>
      <c r="EJ42" s="81">
        <f t="shared" si="42"/>
        <v>0.90290000000000015</v>
      </c>
      <c r="EK42" s="4"/>
      <c r="EL42" s="4"/>
      <c r="EM42" s="73">
        <f t="shared" si="64"/>
        <v>32.249099999999999</v>
      </c>
      <c r="EN42" s="79">
        <f t="shared" si="44"/>
        <v>0.82689999999999997</v>
      </c>
      <c r="EO42" s="4"/>
      <c r="EP42" s="4" t="str">
        <f t="shared" si="45"/>
        <v/>
      </c>
      <c r="EQ42" s="4"/>
      <c r="ER42" s="4"/>
      <c r="ES42" s="4"/>
      <c r="ET42" s="79" t="str">
        <f t="shared" si="46"/>
        <v/>
      </c>
      <c r="EU42" s="4"/>
      <c r="EV42" s="79" t="str">
        <f t="shared" si="47"/>
        <v/>
      </c>
      <c r="EW42" s="73" t="str">
        <f>IFERROR(IF(#REF!="","",IFERROR(#REF!*(#REF!/100),"")),"")</f>
        <v/>
      </c>
      <c r="EX42" s="81" t="str">
        <f t="shared" si="48"/>
        <v/>
      </c>
      <c r="EY42" s="72"/>
      <c r="EZ42" s="81"/>
      <c r="FA42" s="72"/>
      <c r="FB42" s="81"/>
      <c r="FC42" s="81"/>
      <c r="FD42" s="81"/>
      <c r="FE42" s="73" t="str">
        <f>IFERROR(IF(#REF!="","",IFERROR(#REF!*(#REF!/100),""))+IF(#REF!="","",IFERROR(#REF!*(#REF!/100),"")),"")</f>
        <v/>
      </c>
      <c r="FF42" s="81" t="str">
        <f t="shared" si="49"/>
        <v/>
      </c>
      <c r="FG42" s="170">
        <f t="shared" si="70"/>
        <v>138.06970000000001</v>
      </c>
      <c r="FH42" s="171">
        <f t="shared" si="50"/>
        <v>0.84705337423312888</v>
      </c>
      <c r="FI42" s="84"/>
      <c r="FJ42" s="84"/>
      <c r="FK42" s="170" t="str">
        <f>IFERROR(IF(#REF!="","",IFERROR(#REF!*(#REF!/100),""))+IF(#REF!="","",IFERROR(#REF!*(#REF!/100),"")),"")</f>
        <v/>
      </c>
      <c r="FL42" s="171" t="str">
        <f t="shared" si="51"/>
        <v/>
      </c>
      <c r="FM42" s="170" t="str">
        <f>IFERROR(IF(#REF!="","",IFERROR(#REF!*(#REF!/100),"")),"")</f>
        <v/>
      </c>
      <c r="FN42" s="171" t="str">
        <f t="shared" si="52"/>
        <v/>
      </c>
      <c r="FO42" s="169">
        <f t="shared" si="71"/>
        <v>792.68666955046183</v>
      </c>
      <c r="FP42" s="93" t="e">
        <f t="shared" si="53"/>
        <v>#REF!</v>
      </c>
    </row>
    <row r="43" spans="1:172">
      <c r="A43" s="108">
        <v>33</v>
      </c>
      <c r="B43" s="109" t="s">
        <v>245</v>
      </c>
      <c r="C43" s="109" t="s">
        <v>246</v>
      </c>
      <c r="D43" s="66">
        <f>'MK1-TM'!D51</f>
        <v>90.13</v>
      </c>
      <c r="E43" s="66">
        <f>'MK1-TM'!E51</f>
        <v>90.2</v>
      </c>
      <c r="F43" s="66">
        <f>'MK1-TM'!F51</f>
        <v>90.33</v>
      </c>
      <c r="G43" s="66">
        <f>'MK1-TM'!G51</f>
        <v>88.59</v>
      </c>
      <c r="H43" s="66">
        <f>'MK1-TM'!H51</f>
        <v>87.93</v>
      </c>
      <c r="I43" s="66">
        <f t="shared" si="4"/>
        <v>102.79129999999999</v>
      </c>
      <c r="J43" s="83">
        <f>'MK2-TO'!D51</f>
        <v>90</v>
      </c>
      <c r="K43" s="83">
        <f>'MK2-TO'!E51</f>
        <v>90.29</v>
      </c>
      <c r="L43" s="83">
        <f>'MK2-TO'!F51</f>
        <v>82.05</v>
      </c>
      <c r="M43" s="83">
        <f t="shared" si="5"/>
        <v>87.030000000000015</v>
      </c>
      <c r="N43" s="67">
        <f>'MK3-PSTI'!D51</f>
        <v>90</v>
      </c>
      <c r="O43" s="67">
        <f>'MK3-PSTI'!E51</f>
        <v>90.29</v>
      </c>
      <c r="P43" s="67">
        <f>'MK3-PSTI'!F51</f>
        <v>82.05</v>
      </c>
      <c r="Q43" s="67">
        <f t="shared" si="6"/>
        <v>86.203100000000006</v>
      </c>
      <c r="R43" s="68">
        <f>IF('MK4-L&amp;A'!D51="","",'MK4-L&amp;A'!D51)</f>
        <v>83.33</v>
      </c>
      <c r="S43" s="68">
        <f>'MK4-L&amp;A'!E51</f>
        <v>81.819999999999993</v>
      </c>
      <c r="T43" s="68">
        <f>'MK4-L&amp;A'!F51</f>
        <v>83.16</v>
      </c>
      <c r="U43" s="68">
        <f t="shared" si="7"/>
        <v>82.748400000000004</v>
      </c>
      <c r="V43" s="69">
        <f>'MK5-BP'!D51</f>
        <v>95.9</v>
      </c>
      <c r="W43" s="69">
        <f>'MK5-BP'!E51</f>
        <v>88.4</v>
      </c>
      <c r="X43" s="69">
        <f t="shared" si="8"/>
        <v>92.15</v>
      </c>
      <c r="Y43" s="37">
        <f>IF('MK7-MBD'!D50="","",'MK7-MBD'!D50)</f>
        <v>86.5</v>
      </c>
      <c r="Z43" s="37">
        <f>IF('MK7-MBD'!E50="","",'MK7-MBD'!E50)</f>
        <v>86.5</v>
      </c>
      <c r="AA43" s="37">
        <f t="shared" si="9"/>
        <v>86.5</v>
      </c>
      <c r="AB43" s="70">
        <f>IF(MK8_BID!D51="","",MK8_BID!D51)</f>
        <v>89.7</v>
      </c>
      <c r="AC43" s="70">
        <f t="shared" si="10"/>
        <v>89.7</v>
      </c>
      <c r="AE43" s="71">
        <f t="shared" si="65"/>
        <v>91.877300000000005</v>
      </c>
      <c r="AF43" s="72">
        <f t="shared" si="54"/>
        <v>42.733627906976743</v>
      </c>
      <c r="AG43" s="71" t="str">
        <f>IFERROR((#REF!*(#REF!/100)),"")</f>
        <v/>
      </c>
      <c r="AH43" s="72" t="str">
        <f t="shared" si="11"/>
        <v/>
      </c>
      <c r="AI43" s="71">
        <f t="shared" si="66"/>
        <v>62.949400000000004</v>
      </c>
      <c r="AJ43" s="72">
        <f t="shared" si="13"/>
        <v>92.572647058823534</v>
      </c>
      <c r="AK43" s="71" t="str">
        <f>IFERROR((#REF!*(#REF!/100)),"")</f>
        <v/>
      </c>
      <c r="AL43" s="72" t="str">
        <f t="shared" si="14"/>
        <v/>
      </c>
      <c r="AM43" s="72"/>
      <c r="AN43" s="72"/>
      <c r="AO43" s="72"/>
      <c r="AP43" s="72"/>
      <c r="AQ43" s="72"/>
      <c r="AR43" s="72"/>
      <c r="AS43" s="72"/>
      <c r="AT43" s="72"/>
      <c r="AU43" s="71">
        <f t="shared" si="67"/>
        <v>84.948399999999992</v>
      </c>
      <c r="AV43" s="72">
        <f t="shared" si="55"/>
        <v>85.806464646464647</v>
      </c>
      <c r="AW43" s="71" t="str">
        <f>IFERROR((AB43*($AB$9/100)+#REF!*(#REF!/100)+#REF!*(#REF!/100)),"")</f>
        <v/>
      </c>
      <c r="AX43" s="72" t="str">
        <f t="shared" si="16"/>
        <v/>
      </c>
      <c r="AY43" s="72"/>
      <c r="AZ43" s="72"/>
      <c r="BA43" s="71" t="str">
        <f>IFERROR((#REF!*(#REF!/100)+#REF!*(#REF!/100)+#REF!*(#REF!/100)),"")</f>
        <v/>
      </c>
      <c r="BB43" s="72" t="str">
        <f t="shared" si="56"/>
        <v/>
      </c>
      <c r="BC43" s="71">
        <f t="shared" si="68"/>
        <v>137.4365</v>
      </c>
      <c r="BD43" s="72">
        <f t="shared" si="57"/>
        <v>84.316871165644173</v>
      </c>
      <c r="BE43" s="2" t="str">
        <f>IFERROR((#REF!*(#REF!/100)+#REF!*(#REF!/100)+#REF!*(#REF!/100)),"")</f>
        <v/>
      </c>
      <c r="BF43" s="71" t="str">
        <f t="shared" si="58"/>
        <v/>
      </c>
      <c r="BI43" s="4">
        <f t="shared" si="17"/>
        <v>43.25</v>
      </c>
      <c r="BJ43" s="81">
        <f t="shared" si="59"/>
        <v>0.86499999999999999</v>
      </c>
      <c r="BK43" s="4">
        <f t="shared" si="18"/>
        <v>132.94999999999999</v>
      </c>
      <c r="BL43" s="81">
        <f t="shared" si="60"/>
        <v>0.88633333333333331</v>
      </c>
      <c r="BM43" s="73"/>
      <c r="BN43" s="81"/>
      <c r="BO43" s="73">
        <f t="shared" si="19"/>
        <v>34.2273</v>
      </c>
      <c r="BP43" s="81">
        <f t="shared" si="20"/>
        <v>0.90071842105263156</v>
      </c>
      <c r="BQ43" s="73">
        <f t="shared" si="21"/>
        <v>19.844000000000001</v>
      </c>
      <c r="BR43" s="79">
        <f t="shared" si="22"/>
        <v>0.90200000000000002</v>
      </c>
      <c r="BS43" s="73">
        <f t="shared" si="62"/>
        <v>35.775300000000001</v>
      </c>
      <c r="BT43" s="79">
        <f t="shared" si="23"/>
        <v>0.8725682926829269</v>
      </c>
      <c r="BU43" s="73">
        <f t="shared" si="24"/>
        <v>78.960800000000006</v>
      </c>
      <c r="BV43" s="79">
        <f t="shared" si="25"/>
        <v>0.86770109890109892</v>
      </c>
      <c r="BW43" s="184">
        <f t="shared" si="26"/>
        <v>102.93539999999999</v>
      </c>
      <c r="BX43" s="79">
        <f t="shared" si="27"/>
        <v>0.83687317073170719</v>
      </c>
      <c r="BY43" s="4"/>
      <c r="BZ43" s="4"/>
      <c r="CA43" s="73"/>
      <c r="CB43" s="81" t="str">
        <f t="shared" si="28"/>
        <v/>
      </c>
      <c r="CC43" s="73"/>
      <c r="CD43" s="81"/>
      <c r="CE43" s="73">
        <f t="shared" si="29"/>
        <v>47.95</v>
      </c>
      <c r="CF43" s="81">
        <f t="shared" si="72"/>
        <v>0.95900000000000007</v>
      </c>
      <c r="CG43" s="4">
        <f t="shared" si="31"/>
        <v>44.2</v>
      </c>
      <c r="CH43" s="79">
        <f t="shared" si="32"/>
        <v>0.88400000000000001</v>
      </c>
      <c r="CI43" s="4"/>
      <c r="CJ43" s="4"/>
      <c r="CK43" s="4"/>
      <c r="CL43" s="4"/>
      <c r="CM43" s="4"/>
      <c r="CN43" s="4"/>
      <c r="CO43" s="4"/>
      <c r="CP43" s="4"/>
      <c r="CQ43" s="73"/>
      <c r="CR43" s="79" t="str">
        <f t="shared" si="33"/>
        <v/>
      </c>
      <c r="CS43" s="4"/>
      <c r="CT43" s="79" t="str">
        <f t="shared" si="34"/>
        <v/>
      </c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  <c r="DJ43" s="4"/>
      <c r="DK43" s="4"/>
      <c r="DL43" s="4"/>
      <c r="DM43" s="4"/>
      <c r="DN43" s="4"/>
      <c r="DO43" s="4"/>
      <c r="DP43" s="4"/>
      <c r="DQ43" s="4"/>
      <c r="DR43" s="4"/>
      <c r="DS43" s="73"/>
      <c r="DT43" s="79" t="str">
        <f t="shared" si="35"/>
        <v/>
      </c>
      <c r="DU43" s="4"/>
      <c r="DV43" s="4"/>
      <c r="DW43" s="4"/>
      <c r="DX43" s="4"/>
      <c r="DY43" s="73"/>
      <c r="DZ43" s="81" t="str">
        <f t="shared" si="36"/>
        <v/>
      </c>
      <c r="EA43" s="73"/>
      <c r="EB43" s="81"/>
      <c r="EC43" s="73">
        <f t="shared" si="69"/>
        <v>14.4</v>
      </c>
      <c r="ED43" s="81">
        <f t="shared" si="38"/>
        <v>0.9</v>
      </c>
      <c r="EE43" s="72"/>
      <c r="EF43" s="81" t="str">
        <f t="shared" si="39"/>
        <v/>
      </c>
      <c r="EG43" s="183"/>
      <c r="EH43" s="81" t="str">
        <f t="shared" si="40"/>
        <v/>
      </c>
      <c r="EI43" s="72">
        <f t="shared" si="63"/>
        <v>40.630500000000005</v>
      </c>
      <c r="EJ43" s="81">
        <f t="shared" si="42"/>
        <v>0.90290000000000015</v>
      </c>
      <c r="EK43" s="4"/>
      <c r="EL43" s="4"/>
      <c r="EM43" s="73">
        <f t="shared" si="64"/>
        <v>31.999500000000001</v>
      </c>
      <c r="EN43" s="79">
        <f t="shared" si="44"/>
        <v>0.82050000000000001</v>
      </c>
      <c r="EO43" s="4"/>
      <c r="EP43" s="4" t="str">
        <f t="shared" si="45"/>
        <v/>
      </c>
      <c r="EQ43" s="4"/>
      <c r="ER43" s="4"/>
      <c r="ES43" s="4"/>
      <c r="ET43" s="79" t="str">
        <f t="shared" si="46"/>
        <v/>
      </c>
      <c r="EU43" s="4"/>
      <c r="EV43" s="79" t="str">
        <f t="shared" si="47"/>
        <v/>
      </c>
      <c r="EW43" s="73" t="str">
        <f>IFERROR(IF(#REF!="","",IFERROR(#REF!*(#REF!/100),"")),"")</f>
        <v/>
      </c>
      <c r="EX43" s="81" t="str">
        <f t="shared" si="48"/>
        <v/>
      </c>
      <c r="EY43" s="72"/>
      <c r="EZ43" s="81"/>
      <c r="FA43" s="72"/>
      <c r="FB43" s="81"/>
      <c r="FC43" s="81"/>
      <c r="FD43" s="81"/>
      <c r="FE43" s="73" t="str">
        <f>IFERROR(IF(#REF!="","",IFERROR(#REF!*(#REF!/100),""))+IF(#REF!="","",IFERROR(#REF!*(#REF!/100),"")),"")</f>
        <v/>
      </c>
      <c r="FF43" s="81" t="str">
        <f t="shared" si="49"/>
        <v/>
      </c>
      <c r="FG43" s="170">
        <f t="shared" si="70"/>
        <v>137.4365</v>
      </c>
      <c r="FH43" s="171">
        <f t="shared" si="50"/>
        <v>0.84316871165644169</v>
      </c>
      <c r="FI43" s="84"/>
      <c r="FJ43" s="84"/>
      <c r="FK43" s="170" t="str">
        <f>IFERROR(IF(#REF!="","",IFERROR(#REF!*(#REF!/100),""))+IF(#REF!="","",IFERROR(#REF!*(#REF!/100),"")),"")</f>
        <v/>
      </c>
      <c r="FL43" s="171" t="str">
        <f t="shared" si="51"/>
        <v/>
      </c>
      <c r="FM43" s="170" t="str">
        <f>IFERROR(IF(#REF!="","",IFERROR(#REF!*(#REF!/100),"")),"")</f>
        <v/>
      </c>
      <c r="FN43" s="171" t="str">
        <f t="shared" si="52"/>
        <v/>
      </c>
      <c r="FO43" s="169">
        <f t="shared" si="71"/>
        <v>776.00006302835811</v>
      </c>
      <c r="FP43" s="93" t="e">
        <f t="shared" si="53"/>
        <v>#REF!</v>
      </c>
    </row>
    <row r="44" spans="1:172">
      <c r="A44" s="108">
        <v>34</v>
      </c>
      <c r="B44" s="109" t="s">
        <v>247</v>
      </c>
      <c r="C44" s="109" t="s">
        <v>248</v>
      </c>
      <c r="D44" s="66">
        <f>'MK1-TM'!D52</f>
        <v>80.25</v>
      </c>
      <c r="E44" s="66">
        <f>'MK1-TM'!E52</f>
        <v>80.47</v>
      </c>
      <c r="F44" s="66">
        <f>'MK1-TM'!F52</f>
        <v>80.27</v>
      </c>
      <c r="G44" s="66">
        <f>'MK1-TM'!G52</f>
        <v>80.55</v>
      </c>
      <c r="H44" s="66">
        <f>'MK1-TM'!H52</f>
        <v>79.44</v>
      </c>
      <c r="I44" s="66">
        <f t="shared" si="4"/>
        <v>92.21</v>
      </c>
      <c r="J44" s="83">
        <f>'MK2-TO'!D52</f>
        <v>90</v>
      </c>
      <c r="K44" s="83">
        <f>'MK2-TO'!E52</f>
        <v>90.29</v>
      </c>
      <c r="L44" s="83">
        <f>'MK2-TO'!F52</f>
        <v>82.69</v>
      </c>
      <c r="M44" s="83">
        <f t="shared" si="5"/>
        <v>87.279600000000016</v>
      </c>
      <c r="N44" s="67">
        <f>'MK3-PSTI'!D52</f>
        <v>90</v>
      </c>
      <c r="O44" s="67">
        <f>'MK3-PSTI'!E52</f>
        <v>90.29</v>
      </c>
      <c r="P44" s="67">
        <f>'MK3-PSTI'!F52</f>
        <v>82.69</v>
      </c>
      <c r="Q44" s="67">
        <f t="shared" si="6"/>
        <v>86.516700000000014</v>
      </c>
      <c r="R44" s="68">
        <f>IF('MK4-L&amp;A'!D52="","",'MK4-L&amp;A'!D52)</f>
        <v>83.89</v>
      </c>
      <c r="S44" s="68">
        <f>'MK4-L&amp;A'!E52</f>
        <v>82.27</v>
      </c>
      <c r="T44" s="68">
        <f>'MK4-L&amp;A'!F52</f>
        <v>87.24</v>
      </c>
      <c r="U44" s="68">
        <f t="shared" si="7"/>
        <v>84.996899999999997</v>
      </c>
      <c r="V44" s="69">
        <f>'MK5-BP'!D52</f>
        <v>84.9</v>
      </c>
      <c r="W44" s="69">
        <f>'MK5-BP'!E52</f>
        <v>65.400000000000006</v>
      </c>
      <c r="X44" s="69">
        <f t="shared" si="8"/>
        <v>75.150000000000006</v>
      </c>
      <c r="Y44" s="37">
        <f>IF('MK7-MBD'!D51="","",'MK7-MBD'!D51)</f>
        <v>86.5</v>
      </c>
      <c r="Z44" s="37">
        <f>IF('MK7-MBD'!E51="","",'MK7-MBD'!E51)</f>
        <v>86.5</v>
      </c>
      <c r="AA44" s="37">
        <f t="shared" si="9"/>
        <v>86.5</v>
      </c>
      <c r="AB44" s="70">
        <f>IF(MK8_BID!D52="","",MK8_BID!D52)</f>
        <v>89.7</v>
      </c>
      <c r="AC44" s="70">
        <f t="shared" si="10"/>
        <v>89.7</v>
      </c>
      <c r="AE44" s="71">
        <f t="shared" si="65"/>
        <v>89.802499999999995</v>
      </c>
      <c r="AF44" s="72">
        <f t="shared" si="54"/>
        <v>41.768604651162789</v>
      </c>
      <c r="AG44" s="71" t="str">
        <f>IFERROR((#REF!*(#REF!/100)),"")</f>
        <v/>
      </c>
      <c r="AH44" s="72" t="str">
        <f t="shared" si="11"/>
        <v/>
      </c>
      <c r="AI44" s="71">
        <f t="shared" si="66"/>
        <v>57.550200000000004</v>
      </c>
      <c r="AJ44" s="72">
        <f t="shared" si="13"/>
        <v>84.632647058823537</v>
      </c>
      <c r="AK44" s="71" t="str">
        <f>IFERROR((#REF!*(#REF!/100)),"")</f>
        <v/>
      </c>
      <c r="AL44" s="72" t="str">
        <f t="shared" si="14"/>
        <v/>
      </c>
      <c r="AM44" s="72"/>
      <c r="AN44" s="72"/>
      <c r="AO44" s="72"/>
      <c r="AP44" s="72"/>
      <c r="AQ44" s="72"/>
      <c r="AR44" s="72"/>
      <c r="AS44" s="72"/>
      <c r="AT44" s="72"/>
      <c r="AU44" s="71">
        <f t="shared" si="67"/>
        <v>75.447599999999994</v>
      </c>
      <c r="AV44" s="72">
        <f t="shared" si="55"/>
        <v>76.209696969696964</v>
      </c>
      <c r="AW44" s="71" t="str">
        <f>IFERROR((AB44*($AB$9/100)+#REF!*(#REF!/100)+#REF!*(#REF!/100)),"")</f>
        <v/>
      </c>
      <c r="AX44" s="72" t="str">
        <f t="shared" si="16"/>
        <v/>
      </c>
      <c r="AY44" s="72"/>
      <c r="AZ44" s="72"/>
      <c r="BA44" s="71" t="str">
        <f>IFERROR((#REF!*(#REF!/100)+#REF!*(#REF!/100)+#REF!*(#REF!/100)),"")</f>
        <v/>
      </c>
      <c r="BB44" s="72" t="str">
        <f t="shared" si="56"/>
        <v/>
      </c>
      <c r="BC44" s="71">
        <f t="shared" si="68"/>
        <v>135.87719999999999</v>
      </c>
      <c r="BD44" s="72">
        <f t="shared" si="57"/>
        <v>83.360245398773003</v>
      </c>
      <c r="BE44" s="2" t="str">
        <f>IFERROR((#REF!*(#REF!/100)+#REF!*(#REF!/100)+#REF!*(#REF!/100)),"")</f>
        <v/>
      </c>
      <c r="BF44" s="71" t="str">
        <f t="shared" si="58"/>
        <v/>
      </c>
      <c r="BI44" s="4">
        <f t="shared" si="17"/>
        <v>43.25</v>
      </c>
      <c r="BJ44" s="81">
        <f t="shared" si="59"/>
        <v>0.86499999999999999</v>
      </c>
      <c r="BK44" s="4">
        <f t="shared" si="18"/>
        <v>132.94999999999999</v>
      </c>
      <c r="BL44" s="81">
        <f t="shared" si="60"/>
        <v>0.88633333333333331</v>
      </c>
      <c r="BM44" s="73"/>
      <c r="BN44" s="81"/>
      <c r="BO44" s="73">
        <f t="shared" si="19"/>
        <v>32.152500000000003</v>
      </c>
      <c r="BP44" s="81">
        <f t="shared" si="20"/>
        <v>0.84611842105263169</v>
      </c>
      <c r="BQ44" s="73">
        <f t="shared" si="21"/>
        <v>17.703399999999998</v>
      </c>
      <c r="BR44" s="79">
        <f t="shared" si="22"/>
        <v>0.80469999999999997</v>
      </c>
      <c r="BS44" s="73">
        <f t="shared" si="62"/>
        <v>33.5623</v>
      </c>
      <c r="BT44" s="79">
        <f t="shared" si="23"/>
        <v>0.8185926829268293</v>
      </c>
      <c r="BU44" s="73">
        <f t="shared" si="24"/>
        <v>77.179700000000011</v>
      </c>
      <c r="BV44" s="79">
        <f t="shared" si="25"/>
        <v>0.84812857142857156</v>
      </c>
      <c r="BW44" s="184">
        <f t="shared" si="26"/>
        <v>103.12569999999999</v>
      </c>
      <c r="BX44" s="79">
        <f t="shared" si="27"/>
        <v>0.83842032520325194</v>
      </c>
      <c r="BY44" s="4"/>
      <c r="BZ44" s="4"/>
      <c r="CA44" s="73"/>
      <c r="CB44" s="81" t="str">
        <f t="shared" si="28"/>
        <v/>
      </c>
      <c r="CC44" s="73"/>
      <c r="CD44" s="81"/>
      <c r="CE44" s="73">
        <f t="shared" si="29"/>
        <v>42.45</v>
      </c>
      <c r="CF44" s="81">
        <f t="shared" si="72"/>
        <v>0.84900000000000009</v>
      </c>
      <c r="CG44" s="4">
        <f t="shared" si="31"/>
        <v>32.700000000000003</v>
      </c>
      <c r="CH44" s="79">
        <f t="shared" si="32"/>
        <v>0.65400000000000003</v>
      </c>
      <c r="CI44" s="4"/>
      <c r="CJ44" s="4"/>
      <c r="CK44" s="4"/>
      <c r="CL44" s="4"/>
      <c r="CM44" s="4"/>
      <c r="CN44" s="4"/>
      <c r="CO44" s="4"/>
      <c r="CP44" s="4"/>
      <c r="CQ44" s="73"/>
      <c r="CR44" s="79" t="str">
        <f t="shared" si="33"/>
        <v/>
      </c>
      <c r="CS44" s="4"/>
      <c r="CT44" s="79" t="str">
        <f t="shared" si="34"/>
        <v/>
      </c>
      <c r="CU44" s="4"/>
      <c r="CV44" s="4"/>
      <c r="CW44" s="4"/>
      <c r="CX44" s="4"/>
      <c r="CY44" s="4"/>
      <c r="CZ44" s="4"/>
      <c r="DA44" s="4"/>
      <c r="DB44" s="4"/>
      <c r="DC44" s="4"/>
      <c r="DD44" s="4"/>
      <c r="DE44" s="4"/>
      <c r="DF44" s="4"/>
      <c r="DG44" s="4"/>
      <c r="DH44" s="4"/>
      <c r="DI44" s="4"/>
      <c r="DJ44" s="4"/>
      <c r="DK44" s="4"/>
      <c r="DL44" s="4"/>
      <c r="DM44" s="4"/>
      <c r="DN44" s="4"/>
      <c r="DO44" s="4"/>
      <c r="DP44" s="4"/>
      <c r="DQ44" s="4"/>
      <c r="DR44" s="4"/>
      <c r="DS44" s="73"/>
      <c r="DT44" s="79" t="str">
        <f t="shared" si="35"/>
        <v/>
      </c>
      <c r="DU44" s="4"/>
      <c r="DV44" s="4"/>
      <c r="DW44" s="4"/>
      <c r="DX44" s="4"/>
      <c r="DY44" s="73"/>
      <c r="DZ44" s="81" t="str">
        <f t="shared" si="36"/>
        <v/>
      </c>
      <c r="EA44" s="73"/>
      <c r="EB44" s="81"/>
      <c r="EC44" s="73">
        <f t="shared" si="69"/>
        <v>14.4</v>
      </c>
      <c r="ED44" s="81">
        <f t="shared" si="38"/>
        <v>0.9</v>
      </c>
      <c r="EE44" s="72"/>
      <c r="EF44" s="81" t="str">
        <f t="shared" si="39"/>
        <v/>
      </c>
      <c r="EG44" s="183"/>
      <c r="EH44" s="81" t="str">
        <f t="shared" si="40"/>
        <v/>
      </c>
      <c r="EI44" s="72">
        <f t="shared" si="63"/>
        <v>40.630500000000005</v>
      </c>
      <c r="EJ44" s="81">
        <f t="shared" si="42"/>
        <v>0.90290000000000015</v>
      </c>
      <c r="EK44" s="4"/>
      <c r="EL44" s="4"/>
      <c r="EM44" s="73">
        <f t="shared" si="64"/>
        <v>32.249099999999999</v>
      </c>
      <c r="EN44" s="79">
        <f t="shared" si="44"/>
        <v>0.82689999999999997</v>
      </c>
      <c r="EO44" s="4"/>
      <c r="EP44" s="4" t="str">
        <f t="shared" si="45"/>
        <v/>
      </c>
      <c r="EQ44" s="4"/>
      <c r="ER44" s="4"/>
      <c r="ES44" s="4"/>
      <c r="ET44" s="79" t="str">
        <f t="shared" si="46"/>
        <v/>
      </c>
      <c r="EU44" s="4"/>
      <c r="EV44" s="79" t="str">
        <f t="shared" si="47"/>
        <v/>
      </c>
      <c r="EW44" s="73" t="str">
        <f>IFERROR(IF(#REF!="","",IFERROR(#REF!*(#REF!/100),"")),"")</f>
        <v/>
      </c>
      <c r="EX44" s="81" t="str">
        <f t="shared" si="48"/>
        <v/>
      </c>
      <c r="EY44" s="72"/>
      <c r="EZ44" s="81"/>
      <c r="FA44" s="72"/>
      <c r="FB44" s="81"/>
      <c r="FC44" s="81"/>
      <c r="FD44" s="81"/>
      <c r="FE44" s="73" t="str">
        <f>IFERROR(IF(#REF!="","",IFERROR(#REF!*(#REF!/100),""))+IF(#REF!="","",IFERROR(#REF!*(#REF!/100),"")),"")</f>
        <v/>
      </c>
      <c r="FF44" s="81" t="str">
        <f t="shared" si="49"/>
        <v/>
      </c>
      <c r="FG44" s="170">
        <f t="shared" si="70"/>
        <v>135.87719999999999</v>
      </c>
      <c r="FH44" s="171">
        <f t="shared" si="50"/>
        <v>0.83360245398773003</v>
      </c>
      <c r="FI44" s="84"/>
      <c r="FJ44" s="84"/>
      <c r="FK44" s="170" t="str">
        <f>IFERROR(IF(#REF!="","",IFERROR(#REF!*(#REF!/100),""))+IF(#REF!="","",IFERROR(#REF!*(#REF!/100),"")),"")</f>
        <v/>
      </c>
      <c r="FL44" s="171" t="str">
        <f t="shared" si="51"/>
        <v/>
      </c>
      <c r="FM44" s="170" t="str">
        <f>IFERROR(IF(#REF!="","",IFERROR(#REF!*(#REF!/100),"")),"")</f>
        <v/>
      </c>
      <c r="FN44" s="171" t="str">
        <f t="shared" si="52"/>
        <v/>
      </c>
      <c r="FO44" s="169">
        <f t="shared" si="71"/>
        <v>749.10409578793235</v>
      </c>
      <c r="FP44" s="93" t="e">
        <f t="shared" si="53"/>
        <v>#REF!</v>
      </c>
    </row>
    <row r="45" spans="1:172">
      <c r="A45" s="108">
        <v>35</v>
      </c>
      <c r="B45" s="109" t="s">
        <v>249</v>
      </c>
      <c r="C45" s="109" t="s">
        <v>250</v>
      </c>
      <c r="D45" s="66">
        <f>'MK1-TM'!D53</f>
        <v>0</v>
      </c>
      <c r="E45" s="66">
        <f>'MK1-TM'!E53</f>
        <v>0</v>
      </c>
      <c r="F45" s="66">
        <f>'MK1-TM'!F53</f>
        <v>0</v>
      </c>
      <c r="G45" s="66">
        <f>'MK1-TM'!G53</f>
        <v>0</v>
      </c>
      <c r="H45" s="66">
        <f>'MK1-TM'!H53</f>
        <v>0</v>
      </c>
      <c r="I45" s="66">
        <f t="shared" si="4"/>
        <v>0</v>
      </c>
      <c r="J45" s="83">
        <f>'MK2-TO'!D53</f>
        <v>0</v>
      </c>
      <c r="K45" s="83">
        <f>'MK2-TO'!E53</f>
        <v>0</v>
      </c>
      <c r="L45" s="83">
        <f>'MK2-TO'!F53</f>
        <v>0</v>
      </c>
      <c r="M45" s="83">
        <f t="shared" si="5"/>
        <v>0</v>
      </c>
      <c r="N45" s="67">
        <f>'MK3-PSTI'!D53</f>
        <v>0</v>
      </c>
      <c r="O45" s="67">
        <f>'MK3-PSTI'!E53</f>
        <v>0</v>
      </c>
      <c r="P45" s="67">
        <f>'MK3-PSTI'!F53</f>
        <v>0</v>
      </c>
      <c r="Q45" s="67">
        <f t="shared" si="6"/>
        <v>0</v>
      </c>
      <c r="R45" s="68" t="str">
        <f>IF('MK4-L&amp;A'!D53="","",'MK4-L&amp;A'!D53)</f>
        <v/>
      </c>
      <c r="S45" s="68">
        <f>'MK4-L&amp;A'!E53</f>
        <v>0</v>
      </c>
      <c r="T45" s="68">
        <f>'MK4-L&amp;A'!F53</f>
        <v>0</v>
      </c>
      <c r="U45" s="68" t="str">
        <f t="shared" si="7"/>
        <v/>
      </c>
      <c r="V45" s="69">
        <f>'MK5-BP'!D53</f>
        <v>0</v>
      </c>
      <c r="W45" s="69">
        <f>'MK5-BP'!E53</f>
        <v>0</v>
      </c>
      <c r="X45" s="69">
        <f t="shared" si="8"/>
        <v>0</v>
      </c>
      <c r="Y45" s="37" t="str">
        <f>IF('MK7-MBD'!D52="","",'MK7-MBD'!D52)</f>
        <v/>
      </c>
      <c r="Z45" s="37" t="str">
        <f>IF('MK7-MBD'!E52="","",'MK7-MBD'!E52)</f>
        <v/>
      </c>
      <c r="AA45" s="37" t="str">
        <f t="shared" si="9"/>
        <v/>
      </c>
      <c r="AB45" s="70" t="str">
        <f>IF(MK8_BID!D53="","",MK8_BID!D53)</f>
        <v/>
      </c>
      <c r="AC45" s="70" t="str">
        <f t="shared" si="10"/>
        <v/>
      </c>
      <c r="AE45" s="71" t="str">
        <f t="shared" si="65"/>
        <v/>
      </c>
      <c r="AF45" s="72" t="str">
        <f t="shared" si="54"/>
        <v/>
      </c>
      <c r="AG45" s="71" t="str">
        <f>IFERROR((#REF!*(#REF!/100)),"")</f>
        <v/>
      </c>
      <c r="AH45" s="72" t="str">
        <f t="shared" si="11"/>
        <v/>
      </c>
      <c r="AI45" s="71" t="str">
        <f t="shared" si="66"/>
        <v/>
      </c>
      <c r="AJ45" s="72" t="str">
        <f t="shared" si="13"/>
        <v/>
      </c>
      <c r="AK45" s="71" t="str">
        <f>IFERROR((#REF!*(#REF!/100)),"")</f>
        <v/>
      </c>
      <c r="AL45" s="72" t="str">
        <f t="shared" si="14"/>
        <v/>
      </c>
      <c r="AM45" s="72"/>
      <c r="AN45" s="72"/>
      <c r="AO45" s="72"/>
      <c r="AP45" s="72"/>
      <c r="AQ45" s="72"/>
      <c r="AR45" s="72"/>
      <c r="AS45" s="72"/>
      <c r="AT45" s="72"/>
      <c r="AU45" s="71">
        <f t="shared" si="67"/>
        <v>0</v>
      </c>
      <c r="AV45" s="72">
        <f t="shared" si="55"/>
        <v>0</v>
      </c>
      <c r="AW45" s="71" t="str">
        <f>IFERROR((AB45*($AB$9/100)+#REF!*(#REF!/100)+#REF!*(#REF!/100)),"")</f>
        <v/>
      </c>
      <c r="AX45" s="72" t="str">
        <f t="shared" si="16"/>
        <v/>
      </c>
      <c r="AY45" s="72"/>
      <c r="AZ45" s="72"/>
      <c r="BA45" s="71" t="str">
        <f>IFERROR((#REF!*(#REF!/100)+#REF!*(#REF!/100)+#REF!*(#REF!/100)),"")</f>
        <v/>
      </c>
      <c r="BB45" s="72" t="str">
        <f t="shared" si="56"/>
        <v/>
      </c>
      <c r="BC45" s="71" t="str">
        <f t="shared" si="68"/>
        <v/>
      </c>
      <c r="BD45" s="72" t="str">
        <f t="shared" si="57"/>
        <v/>
      </c>
      <c r="BE45" s="2" t="str">
        <f>IFERROR((#REF!*(#REF!/100)+#REF!*(#REF!/100)+#REF!*(#REF!/100)),"")</f>
        <v/>
      </c>
      <c r="BF45" s="71" t="str">
        <f t="shared" si="58"/>
        <v/>
      </c>
      <c r="BI45" s="4" t="str">
        <f t="shared" si="17"/>
        <v/>
      </c>
      <c r="BJ45" s="81" t="str">
        <f t="shared" si="59"/>
        <v/>
      </c>
      <c r="BK45" s="4" t="str">
        <f t="shared" si="18"/>
        <v/>
      </c>
      <c r="BL45" s="81" t="str">
        <f t="shared" si="60"/>
        <v/>
      </c>
      <c r="BM45" s="73"/>
      <c r="BN45" s="81"/>
      <c r="BO45" s="73"/>
      <c r="BP45" s="81"/>
      <c r="BQ45" s="73"/>
      <c r="BR45" s="79"/>
      <c r="BS45" s="73"/>
      <c r="BT45" s="79"/>
      <c r="BU45" s="73"/>
      <c r="BV45" s="79"/>
      <c r="BW45" s="184"/>
      <c r="BX45" s="79"/>
      <c r="BY45" s="4"/>
      <c r="BZ45" s="4"/>
      <c r="CA45" s="73"/>
      <c r="CB45" s="81" t="str">
        <f t="shared" si="28"/>
        <v/>
      </c>
      <c r="CC45" s="73"/>
      <c r="CD45" s="81"/>
      <c r="CE45" s="73"/>
      <c r="CF45" s="81" t="str">
        <f t="shared" si="72"/>
        <v/>
      </c>
      <c r="CG45" s="4"/>
      <c r="CH45" s="79" t="str">
        <f t="shared" si="32"/>
        <v/>
      </c>
      <c r="CI45" s="4"/>
      <c r="CJ45" s="4"/>
      <c r="CK45" s="4"/>
      <c r="CL45" s="4"/>
      <c r="CM45" s="4"/>
      <c r="CN45" s="4"/>
      <c r="CO45" s="4"/>
      <c r="CP45" s="4"/>
      <c r="CQ45" s="73" t="str">
        <f t="shared" ref="CQ45:CQ57" si="73">IF(R45="","",IFERROR(R45*($R$9/100),""))</f>
        <v/>
      </c>
      <c r="CR45" s="79" t="str">
        <f t="shared" si="33"/>
        <v/>
      </c>
      <c r="CS45" s="4"/>
      <c r="CT45" s="79" t="str">
        <f t="shared" si="34"/>
        <v/>
      </c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  <c r="DJ45" s="4"/>
      <c r="DK45" s="4"/>
      <c r="DL45" s="4"/>
      <c r="DM45" s="4"/>
      <c r="DN45" s="4"/>
      <c r="DO45" s="4"/>
      <c r="DP45" s="4"/>
      <c r="DQ45" s="4"/>
      <c r="DR45" s="4"/>
      <c r="DS45" s="73"/>
      <c r="DT45" s="79" t="str">
        <f t="shared" si="35"/>
        <v/>
      </c>
      <c r="DU45" s="4"/>
      <c r="DV45" s="4"/>
      <c r="DW45" s="4"/>
      <c r="DX45" s="4"/>
      <c r="DY45" s="73"/>
      <c r="DZ45" s="81" t="str">
        <f t="shared" si="36"/>
        <v/>
      </c>
      <c r="EA45" s="73"/>
      <c r="EB45" s="81"/>
      <c r="EC45" s="73"/>
      <c r="ED45" s="81"/>
      <c r="EE45" s="72"/>
      <c r="EF45" s="81"/>
      <c r="EG45" s="183"/>
      <c r="EH45" s="81"/>
      <c r="EI45" s="72"/>
      <c r="EJ45" s="81"/>
      <c r="EK45" s="4"/>
      <c r="EL45" s="4"/>
      <c r="EM45" s="73"/>
      <c r="EN45" s="79"/>
      <c r="EO45" s="4"/>
      <c r="EP45" s="4" t="str">
        <f t="shared" si="45"/>
        <v/>
      </c>
      <c r="EQ45" s="4"/>
      <c r="ER45" s="4"/>
      <c r="ES45" s="4"/>
      <c r="ET45" s="79" t="str">
        <f t="shared" si="46"/>
        <v/>
      </c>
      <c r="EU45" s="4"/>
      <c r="EV45" s="79" t="str">
        <f t="shared" si="47"/>
        <v/>
      </c>
      <c r="EW45" s="73" t="str">
        <f>IFERROR(IF(#REF!="","",IFERROR(#REF!*(#REF!/100),"")),"")</f>
        <v/>
      </c>
      <c r="EX45" s="81" t="str">
        <f t="shared" si="48"/>
        <v/>
      </c>
      <c r="EY45" s="72"/>
      <c r="EZ45" s="81"/>
      <c r="FA45" s="72"/>
      <c r="FB45" s="81"/>
      <c r="FC45" s="81"/>
      <c r="FD45" s="81"/>
      <c r="FE45" s="73" t="str">
        <f>IFERROR(IF(#REF!="","",IFERROR(#REF!*(#REF!/100),""))+IF(#REF!="","",IFERROR(#REF!*(#REF!/100),"")),"")</f>
        <v/>
      </c>
      <c r="FF45" s="81" t="str">
        <f t="shared" si="49"/>
        <v/>
      </c>
      <c r="FG45" s="170" t="str">
        <f t="shared" si="70"/>
        <v/>
      </c>
      <c r="FH45" s="171" t="str">
        <f t="shared" si="50"/>
        <v/>
      </c>
      <c r="FI45" s="84"/>
      <c r="FJ45" s="84"/>
      <c r="FK45" s="170" t="str">
        <f>IFERROR(IF(#REF!="","",IFERROR(#REF!*(#REF!/100),""))+IF(#REF!="","",IFERROR(#REF!*(#REF!/100),"")),"")</f>
        <v/>
      </c>
      <c r="FL45" s="171" t="str">
        <f t="shared" si="51"/>
        <v/>
      </c>
      <c r="FM45" s="170" t="str">
        <f>IFERROR(IF(#REF!="","",IFERROR(#REF!*(#REF!/100),"")),"")</f>
        <v/>
      </c>
      <c r="FN45" s="171" t="str">
        <f t="shared" si="52"/>
        <v/>
      </c>
      <c r="FO45" s="169">
        <f t="shared" si="71"/>
        <v>0</v>
      </c>
      <c r="FP45" s="93" t="e">
        <f t="shared" si="53"/>
        <v>#REF!</v>
      </c>
    </row>
    <row r="46" spans="1:172">
      <c r="A46" s="108">
        <v>36</v>
      </c>
      <c r="B46" s="109" t="s">
        <v>251</v>
      </c>
      <c r="C46" s="109" t="s">
        <v>252</v>
      </c>
      <c r="D46" s="66">
        <f>'MK1-TM'!D54</f>
        <v>0</v>
      </c>
      <c r="E46" s="66">
        <f>'MK1-TM'!E54</f>
        <v>0</v>
      </c>
      <c r="F46" s="66">
        <f>'MK1-TM'!F54</f>
        <v>0</v>
      </c>
      <c r="G46" s="66">
        <f>'MK1-TM'!G54</f>
        <v>0</v>
      </c>
      <c r="H46" s="66">
        <f>'MK1-TM'!H54</f>
        <v>0</v>
      </c>
      <c r="I46" s="66">
        <f t="shared" si="4"/>
        <v>0</v>
      </c>
      <c r="J46" s="83">
        <f>'MK2-TO'!D54</f>
        <v>0</v>
      </c>
      <c r="K46" s="83">
        <f>'MK2-TO'!E54</f>
        <v>0</v>
      </c>
      <c r="L46" s="83">
        <f>'MK2-TO'!F54</f>
        <v>0</v>
      </c>
      <c r="M46" s="83">
        <f t="shared" si="5"/>
        <v>0</v>
      </c>
      <c r="N46" s="67">
        <f>'MK3-PSTI'!D54</f>
        <v>0</v>
      </c>
      <c r="O46" s="67">
        <f>'MK3-PSTI'!E54</f>
        <v>0</v>
      </c>
      <c r="P46" s="67">
        <f>'MK3-PSTI'!F54</f>
        <v>0</v>
      </c>
      <c r="Q46" s="67">
        <f t="shared" si="6"/>
        <v>0</v>
      </c>
      <c r="R46" s="68" t="str">
        <f>IF('MK4-L&amp;A'!D54="","",'MK4-L&amp;A'!D54)</f>
        <v/>
      </c>
      <c r="S46" s="68">
        <f>'MK4-L&amp;A'!E54</f>
        <v>0</v>
      </c>
      <c r="T46" s="68">
        <f>'MK4-L&amp;A'!F54</f>
        <v>0</v>
      </c>
      <c r="U46" s="68" t="str">
        <f t="shared" si="7"/>
        <v/>
      </c>
      <c r="V46" s="69">
        <f>'MK5-BP'!D54</f>
        <v>0</v>
      </c>
      <c r="W46" s="69">
        <f>'MK5-BP'!E54</f>
        <v>0</v>
      </c>
      <c r="X46" s="69">
        <f t="shared" si="8"/>
        <v>0</v>
      </c>
      <c r="Y46" s="37" t="str">
        <f>IF('MK7-MBD'!D53="","",'MK7-MBD'!D53)</f>
        <v/>
      </c>
      <c r="Z46" s="37" t="str">
        <f>IF('MK7-MBD'!E53="","",'MK7-MBD'!E53)</f>
        <v/>
      </c>
      <c r="AA46" s="37" t="str">
        <f t="shared" si="9"/>
        <v/>
      </c>
      <c r="AB46" s="70" t="str">
        <f>IF(MK8_BID!D54="","",MK8_BID!D54)</f>
        <v/>
      </c>
      <c r="AC46" s="70" t="str">
        <f t="shared" si="10"/>
        <v/>
      </c>
      <c r="AE46" s="71" t="str">
        <f t="shared" si="65"/>
        <v/>
      </c>
      <c r="AF46" s="72" t="str">
        <f t="shared" si="54"/>
        <v/>
      </c>
      <c r="AG46" s="71" t="str">
        <f>IFERROR((#REF!*(#REF!/100)),"")</f>
        <v/>
      </c>
      <c r="AH46" s="72" t="str">
        <f t="shared" si="11"/>
        <v/>
      </c>
      <c r="AI46" s="71"/>
      <c r="AJ46" s="72"/>
      <c r="AK46" s="71" t="str">
        <f>IFERROR((#REF!*(#REF!/100)),"")</f>
        <v/>
      </c>
      <c r="AL46" s="72" t="str">
        <f t="shared" si="14"/>
        <v/>
      </c>
      <c r="AM46" s="72"/>
      <c r="AN46" s="72"/>
      <c r="AO46" s="72"/>
      <c r="AP46" s="72"/>
      <c r="AQ46" s="72"/>
      <c r="AR46" s="72"/>
      <c r="AS46" s="72"/>
      <c r="AT46" s="72"/>
      <c r="AU46" s="71"/>
      <c r="AV46" s="72"/>
      <c r="AW46" s="71" t="str">
        <f>IFERROR((AB46*($AB$9/100)+#REF!*(#REF!/100)+#REF!*(#REF!/100)),"")</f>
        <v/>
      </c>
      <c r="AX46" s="72" t="str">
        <f t="shared" si="16"/>
        <v/>
      </c>
      <c r="AY46" s="72"/>
      <c r="AZ46" s="72"/>
      <c r="BA46" s="71" t="str">
        <f>IFERROR((#REF!*(#REF!/100)+#REF!*(#REF!/100)+#REF!*(#REF!/100)),"")</f>
        <v/>
      </c>
      <c r="BB46" s="72" t="str">
        <f t="shared" si="56"/>
        <v/>
      </c>
      <c r="BC46" s="71" t="str">
        <f t="shared" si="68"/>
        <v/>
      </c>
      <c r="BD46" s="72" t="str">
        <f t="shared" si="57"/>
        <v/>
      </c>
      <c r="BE46" s="2" t="str">
        <f>IFERROR((#REF!*(#REF!/100)+#REF!*(#REF!/100)+#REF!*(#REF!/100)),"")</f>
        <v/>
      </c>
      <c r="BF46" s="71" t="str">
        <f t="shared" si="58"/>
        <v/>
      </c>
      <c r="BI46" s="4" t="str">
        <f t="shared" si="17"/>
        <v/>
      </c>
      <c r="BJ46" s="81" t="str">
        <f t="shared" si="59"/>
        <v/>
      </c>
      <c r="BK46" s="4" t="str">
        <f t="shared" si="18"/>
        <v/>
      </c>
      <c r="BL46" s="81" t="str">
        <f t="shared" si="60"/>
        <v/>
      </c>
      <c r="BM46" s="73" t="str">
        <f>IF(Y46="","",IFERROR(Y46*($BM$9/100),""))</f>
        <v/>
      </c>
      <c r="BN46" s="81" t="str">
        <f t="shared" si="61"/>
        <v/>
      </c>
      <c r="BO46" s="73"/>
      <c r="BP46" s="81"/>
      <c r="BQ46" s="73"/>
      <c r="BR46" s="79"/>
      <c r="BS46" s="73"/>
      <c r="BT46" s="79"/>
      <c r="BU46" s="73"/>
      <c r="BV46" s="79"/>
      <c r="BW46" s="184"/>
      <c r="BX46" s="79"/>
      <c r="BY46" s="4"/>
      <c r="BZ46" s="4"/>
      <c r="CA46" s="73"/>
      <c r="CB46" s="81" t="str">
        <f t="shared" si="28"/>
        <v/>
      </c>
      <c r="CC46" s="73"/>
      <c r="CD46" s="81"/>
      <c r="CE46" s="73"/>
      <c r="CF46" s="81" t="str">
        <f t="shared" si="72"/>
        <v/>
      </c>
      <c r="CG46" s="4"/>
      <c r="CH46" s="79" t="str">
        <f t="shared" si="32"/>
        <v/>
      </c>
      <c r="CI46" s="4"/>
      <c r="CJ46" s="4"/>
      <c r="CK46" s="4"/>
      <c r="CL46" s="4"/>
      <c r="CM46" s="4"/>
      <c r="CN46" s="4"/>
      <c r="CO46" s="4"/>
      <c r="CP46" s="4"/>
      <c r="CQ46" s="73" t="str">
        <f t="shared" si="73"/>
        <v/>
      </c>
      <c r="CR46" s="79" t="str">
        <f t="shared" si="33"/>
        <v/>
      </c>
      <c r="CS46" s="4"/>
      <c r="CT46" s="79" t="str">
        <f t="shared" si="34"/>
        <v/>
      </c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4"/>
      <c r="DK46" s="4"/>
      <c r="DL46" s="4"/>
      <c r="DM46" s="4"/>
      <c r="DN46" s="4"/>
      <c r="DO46" s="4"/>
      <c r="DP46" s="4"/>
      <c r="DQ46" s="4"/>
      <c r="DR46" s="4"/>
      <c r="DS46" s="73"/>
      <c r="DT46" s="79" t="str">
        <f t="shared" si="35"/>
        <v/>
      </c>
      <c r="DU46" s="4"/>
      <c r="DV46" s="4"/>
      <c r="DW46" s="4"/>
      <c r="DX46" s="4"/>
      <c r="DY46" s="73"/>
      <c r="DZ46" s="81" t="str">
        <f t="shared" si="36"/>
        <v/>
      </c>
      <c r="EA46" s="4"/>
      <c r="EB46" s="81"/>
      <c r="EC46" s="73"/>
      <c r="ED46" s="81"/>
      <c r="EE46" s="72"/>
      <c r="EF46" s="81"/>
      <c r="EG46" s="183"/>
      <c r="EH46" s="81"/>
      <c r="EI46" s="72"/>
      <c r="EJ46" s="81"/>
      <c r="EK46" s="4"/>
      <c r="EL46" s="4"/>
      <c r="EM46" s="73"/>
      <c r="EN46" s="79"/>
      <c r="EO46" s="4"/>
      <c r="EP46" s="4" t="str">
        <f t="shared" si="45"/>
        <v/>
      </c>
      <c r="EQ46" s="4"/>
      <c r="ER46" s="4"/>
      <c r="ES46" s="4"/>
      <c r="ET46" s="79" t="str">
        <f t="shared" si="46"/>
        <v/>
      </c>
      <c r="EU46" s="4"/>
      <c r="EV46" s="79" t="str">
        <f t="shared" si="47"/>
        <v/>
      </c>
      <c r="EW46" s="4"/>
      <c r="EX46" s="81" t="str">
        <f t="shared" si="48"/>
        <v/>
      </c>
      <c r="EY46" s="72"/>
      <c r="EZ46" s="81"/>
      <c r="FA46" s="72"/>
      <c r="FB46" s="81"/>
      <c r="FC46" s="81"/>
      <c r="FD46" s="81"/>
      <c r="FE46" s="4"/>
      <c r="FF46" s="81" t="str">
        <f t="shared" si="49"/>
        <v/>
      </c>
      <c r="FG46" s="84"/>
      <c r="FH46" s="171" t="str">
        <f t="shared" si="50"/>
        <v/>
      </c>
      <c r="FI46" s="84"/>
      <c r="FJ46" s="84"/>
      <c r="FK46" s="84"/>
      <c r="FL46" s="171" t="str">
        <f t="shared" si="51"/>
        <v/>
      </c>
      <c r="FM46" s="84"/>
      <c r="FN46" s="171" t="str">
        <f t="shared" si="52"/>
        <v/>
      </c>
    </row>
    <row r="47" spans="1:172" ht="14.5" thickBot="1">
      <c r="BI47" s="4" t="str">
        <f t="shared" ref="BI47:BI58" si="74">IF(Y47="","",IFERROR(Y47*($Y$9/100),""))</f>
        <v/>
      </c>
      <c r="BK47" s="4" t="str">
        <f t="shared" ref="BK47:BK58" si="75">IF(AB47="","",IFERROR(AB47*($BK$9/100),""))</f>
        <v/>
      </c>
      <c r="BS47" s="4" t="str">
        <f t="shared" ref="BS47:BS57" si="76">IF(H47="","",IFERROR(H47*($H$9/100),""))</f>
        <v/>
      </c>
      <c r="BT47" s="79" t="str">
        <f t="shared" ref="BT47:BT57" si="77">IF(BS47="","",BS47/$BS$9)</f>
        <v/>
      </c>
      <c r="CQ47" s="73" t="str">
        <f t="shared" si="73"/>
        <v/>
      </c>
      <c r="CR47" s="79" t="str">
        <f t="shared" si="33"/>
        <v/>
      </c>
      <c r="CS47" s="4" t="str">
        <f t="shared" ref="CS47:CS57" si="78">IF(T47="","",IFERROR(T47*($T$9/100),""))</f>
        <v/>
      </c>
      <c r="CT47" s="79" t="str">
        <f t="shared" si="34"/>
        <v/>
      </c>
      <c r="DS47" s="73" t="str">
        <f t="shared" ref="DS47:DS57" si="79">IF(N47="","",IFERROR(N47*($N$9/100),""))</f>
        <v/>
      </c>
      <c r="DT47" s="79" t="str">
        <f t="shared" si="35"/>
        <v/>
      </c>
      <c r="DY47" s="73" t="str">
        <f t="shared" ref="DY47:DY57" si="80">IF(P47="","",IFERROR(P47*($P$9/100),""))</f>
        <v/>
      </c>
      <c r="EC47" s="73"/>
      <c r="EE47" s="72"/>
      <c r="EF47" s="81"/>
      <c r="EG47" s="183"/>
      <c r="EH47" s="81"/>
      <c r="EI47" s="72"/>
      <c r="EM47" s="73"/>
      <c r="EN47" s="79"/>
      <c r="EP47" s="4" t="str">
        <f t="shared" si="45"/>
        <v/>
      </c>
      <c r="ES47" s="4" t="str">
        <f t="shared" ref="ES47:ES57" si="81">IF(V47="","",IFERROR(V47*($V$9/100),""))</f>
        <v/>
      </c>
      <c r="ET47" s="79" t="str">
        <f t="shared" si="46"/>
        <v/>
      </c>
      <c r="EU47" s="4" t="str">
        <f t="shared" ref="EU47:EU57" si="82">IF(W47="","",IFERROR(W47*($W$9/100),""))</f>
        <v/>
      </c>
      <c r="EV47" s="79" t="str">
        <f t="shared" si="47"/>
        <v/>
      </c>
      <c r="EY47" s="72"/>
      <c r="EZ47" s="81"/>
      <c r="FA47" s="72"/>
      <c r="FB47" s="81"/>
    </row>
    <row r="48" spans="1:172" ht="14.5" hidden="1" thickBot="1">
      <c r="D48" s="35" t="str">
        <f>D8</f>
        <v>CPMK021</v>
      </c>
      <c r="H48" s="35" t="str">
        <f>H8</f>
        <v>CPMK025</v>
      </c>
      <c r="J48" s="35" t="str">
        <f>J8</f>
        <v>CPMK101</v>
      </c>
      <c r="L48" s="35" t="str">
        <f>L8</f>
        <v>CPMK111</v>
      </c>
      <c r="N48" s="35" t="str">
        <f>N8</f>
        <v>CPMK21</v>
      </c>
      <c r="P48" s="35" t="str">
        <f>P8</f>
        <v>CPMK25</v>
      </c>
      <c r="R48" s="35" t="str">
        <f>R8</f>
        <v>CPMK23</v>
      </c>
      <c r="T48" s="35" t="str">
        <f>T8</f>
        <v>CPMK25</v>
      </c>
      <c r="V48" s="35" t="str">
        <f>V8</f>
        <v>CPMK41</v>
      </c>
      <c r="W48" s="35" t="str">
        <f>W8</f>
        <v>CPMK42</v>
      </c>
      <c r="Y48" s="35" t="str">
        <f>Y8</f>
        <v>CPMK11</v>
      </c>
      <c r="Z48" s="35" t="str">
        <f>Z8</f>
        <v>CPMK12</v>
      </c>
      <c r="AB48" s="35" t="str">
        <f>AB8</f>
        <v>CPMK12</v>
      </c>
      <c r="BI48" s="4" t="str">
        <f t="shared" si="74"/>
        <v/>
      </c>
      <c r="BK48" s="4" t="str">
        <f t="shared" si="75"/>
        <v/>
      </c>
      <c r="BS48" s="4" t="str">
        <f t="shared" si="76"/>
        <v/>
      </c>
      <c r="BT48" s="79" t="str">
        <f t="shared" si="77"/>
        <v/>
      </c>
      <c r="CQ48" s="73" t="str">
        <f t="shared" si="73"/>
        <v/>
      </c>
      <c r="CR48" s="79" t="str">
        <f t="shared" si="33"/>
        <v/>
      </c>
      <c r="CS48" s="4" t="str">
        <f t="shared" si="78"/>
        <v/>
      </c>
      <c r="CT48" s="79" t="str">
        <f t="shared" si="34"/>
        <v/>
      </c>
      <c r="DS48" s="73" t="str">
        <f t="shared" si="79"/>
        <v/>
      </c>
      <c r="DT48" s="79" t="str">
        <f t="shared" si="35"/>
        <v/>
      </c>
      <c r="DY48" s="73" t="str">
        <f t="shared" si="80"/>
        <v/>
      </c>
      <c r="EC48" s="73" t="str">
        <f t="shared" ref="EC48:EC57" si="83">IF(J48="","",IFERROR(J48*($J$9/100),""))</f>
        <v/>
      </c>
      <c r="EE48" s="72" t="e">
        <f>IF(#REF!="","",IFERROR(#REF!*(#REF!/100),""))</f>
        <v>#REF!</v>
      </c>
      <c r="EF48" s="81" t="e">
        <f t="shared" si="39"/>
        <v>#REF!</v>
      </c>
      <c r="EG48" s="183" t="e">
        <f>IF(#REF!="","",IFERROR(#REF!*(#REF!/100),""))</f>
        <v>#REF!</v>
      </c>
      <c r="EH48" s="81" t="e">
        <f t="shared" si="40"/>
        <v>#REF!</v>
      </c>
      <c r="EI48" s="90">
        <f t="shared" ref="EI48:EI57" si="84">IF(K38="","",IFERROR(K48*($K$9/100),""))</f>
        <v>0</v>
      </c>
      <c r="EM48" s="73" t="str">
        <f t="shared" ref="EM48:EM57" si="85">IF(L38="","",IFERROR(L48*($L$9/100),""))</f>
        <v/>
      </c>
      <c r="EN48" s="79" t="e">
        <f t="shared" ref="EN48:EN57" si="86">IF(EG48="","",EG48/$EG$9)</f>
        <v>#REF!</v>
      </c>
      <c r="EP48" s="4" t="str">
        <f t="shared" si="45"/>
        <v/>
      </c>
      <c r="ES48" s="4" t="str">
        <f t="shared" si="81"/>
        <v/>
      </c>
      <c r="ET48" s="79" t="str">
        <f t="shared" si="46"/>
        <v/>
      </c>
      <c r="EU48" s="4" t="str">
        <f t="shared" si="82"/>
        <v/>
      </c>
      <c r="EV48" s="79" t="str">
        <f t="shared" si="47"/>
        <v/>
      </c>
      <c r="EY48" s="72" t="e">
        <f>IF(#REF!="","",IFERROR(#REF!*(#REF!/100),""))</f>
        <v>#REF!</v>
      </c>
      <c r="EZ48" s="81" t="e">
        <f t="shared" ref="EZ48:EZ57" si="87">IF(EY48="","",EY48/$EY$9)</f>
        <v>#REF!</v>
      </c>
      <c r="FA48" s="72" t="e">
        <f>IF(#REF!="","",IFERROR(#REF!*(#REF!/100),""))</f>
        <v>#REF!</v>
      </c>
      <c r="FB48" s="81" t="e">
        <f t="shared" ref="FB48:FB57" si="88">IF(FA48="","",FA48/$FA$9)</f>
        <v>#REF!</v>
      </c>
    </row>
    <row r="49" spans="3:172" ht="14.5" hidden="1" thickBot="1">
      <c r="C49" s="40" t="s">
        <v>170</v>
      </c>
      <c r="D49" s="41">
        <f t="shared" ref="D49:AC49" si="89">COUNTIF(D11:D42,$C$49)</f>
        <v>8</v>
      </c>
      <c r="E49" s="41"/>
      <c r="F49" s="41"/>
      <c r="G49" s="41"/>
      <c r="H49" s="41">
        <f t="shared" si="89"/>
        <v>18</v>
      </c>
      <c r="I49" s="41">
        <f t="shared" si="89"/>
        <v>7</v>
      </c>
      <c r="J49" s="41">
        <f t="shared" si="89"/>
        <v>1</v>
      </c>
      <c r="K49" s="41"/>
      <c r="L49" s="41">
        <f t="shared" si="89"/>
        <v>4</v>
      </c>
      <c r="M49" s="41">
        <f t="shared" si="89"/>
        <v>2</v>
      </c>
      <c r="N49" s="41">
        <f t="shared" si="89"/>
        <v>2</v>
      </c>
      <c r="O49" s="41"/>
      <c r="P49" s="41">
        <f t="shared" si="89"/>
        <v>4</v>
      </c>
      <c r="Q49" s="41">
        <f t="shared" si="89"/>
        <v>3</v>
      </c>
      <c r="R49" s="41">
        <f t="shared" si="89"/>
        <v>1</v>
      </c>
      <c r="S49" s="41"/>
      <c r="T49" s="41">
        <f t="shared" si="89"/>
        <v>6</v>
      </c>
      <c r="U49" s="41">
        <f t="shared" si="89"/>
        <v>2</v>
      </c>
      <c r="V49" s="41">
        <f t="shared" si="89"/>
        <v>2</v>
      </c>
      <c r="W49" s="41">
        <f t="shared" si="89"/>
        <v>5</v>
      </c>
      <c r="X49" s="41">
        <f t="shared" si="89"/>
        <v>3</v>
      </c>
      <c r="Y49" s="41">
        <f t="shared" si="89"/>
        <v>2</v>
      </c>
      <c r="Z49" s="41">
        <f t="shared" si="89"/>
        <v>2</v>
      </c>
      <c r="AA49" s="41">
        <f t="shared" si="89"/>
        <v>2</v>
      </c>
      <c r="AB49" s="41">
        <f t="shared" si="89"/>
        <v>1</v>
      </c>
      <c r="AC49" s="41">
        <f t="shared" si="89"/>
        <v>1</v>
      </c>
      <c r="BI49" s="4">
        <f t="shared" si="74"/>
        <v>1</v>
      </c>
      <c r="BK49" s="4">
        <f t="shared" si="75"/>
        <v>1.5</v>
      </c>
      <c r="BS49" s="4">
        <f t="shared" si="76"/>
        <v>4.5</v>
      </c>
      <c r="BT49" s="79">
        <f t="shared" si="77"/>
        <v>0.10975609756097561</v>
      </c>
      <c r="CQ49" s="73">
        <f t="shared" si="73"/>
        <v>0.18</v>
      </c>
      <c r="CR49" s="79">
        <f t="shared" si="33"/>
        <v>0.01</v>
      </c>
      <c r="CS49" s="4">
        <f t="shared" si="78"/>
        <v>2.94</v>
      </c>
      <c r="CT49" s="79">
        <f t="shared" si="34"/>
        <v>5.8799999999999998E-2</v>
      </c>
      <c r="DS49" s="73">
        <f t="shared" si="79"/>
        <v>0.34</v>
      </c>
      <c r="DT49" s="79">
        <f t="shared" si="35"/>
        <v>6.8000000000000005E-3</v>
      </c>
      <c r="DY49" s="73">
        <f t="shared" si="80"/>
        <v>1.96</v>
      </c>
      <c r="EC49" s="73">
        <f t="shared" si="83"/>
        <v>0.16</v>
      </c>
      <c r="EE49" s="72" t="e">
        <f>IF(#REF!="","",IFERROR(#REF!*(#REF!/100),""))</f>
        <v>#REF!</v>
      </c>
      <c r="EF49" s="81" t="e">
        <f t="shared" si="39"/>
        <v>#REF!</v>
      </c>
      <c r="EG49" s="183" t="e">
        <f>IF(#REF!="","",IFERROR(#REF!*(#REF!/100),""))</f>
        <v>#REF!</v>
      </c>
      <c r="EH49" s="81" t="e">
        <f t="shared" si="40"/>
        <v>#REF!</v>
      </c>
      <c r="EI49" s="90">
        <f t="shared" si="84"/>
        <v>0</v>
      </c>
      <c r="EM49" s="73">
        <f t="shared" si="85"/>
        <v>1.56</v>
      </c>
      <c r="EN49" s="79" t="e">
        <f t="shared" si="86"/>
        <v>#REF!</v>
      </c>
      <c r="EP49" s="4" t="str">
        <f t="shared" si="45"/>
        <v/>
      </c>
      <c r="ES49" s="4">
        <f t="shared" si="81"/>
        <v>1</v>
      </c>
      <c r="ET49" s="79">
        <f t="shared" si="46"/>
        <v>0.02</v>
      </c>
      <c r="EU49" s="4">
        <f t="shared" si="82"/>
        <v>2.5</v>
      </c>
      <c r="EV49" s="79">
        <f t="shared" si="47"/>
        <v>0.05</v>
      </c>
      <c r="EY49" s="72" t="e">
        <f>IF(#REF!="","",IFERROR(#REF!*(#REF!/100),""))</f>
        <v>#REF!</v>
      </c>
      <c r="EZ49" s="81" t="e">
        <f t="shared" si="87"/>
        <v>#REF!</v>
      </c>
      <c r="FA49" s="72" t="e">
        <f>IF(#REF!="","",IFERROR(#REF!*(#REF!/100),""))</f>
        <v>#REF!</v>
      </c>
      <c r="FB49" s="81" t="e">
        <f t="shared" si="88"/>
        <v>#REF!</v>
      </c>
    </row>
    <row r="50" spans="3:172" ht="14.5" hidden="1" thickBot="1">
      <c r="C50" s="42" t="s">
        <v>98</v>
      </c>
      <c r="D50" s="43">
        <f t="shared" ref="D50:AC50" si="90">COUNTIF(D11:D42,$C$50)-D49</f>
        <v>13</v>
      </c>
      <c r="E50" s="43"/>
      <c r="F50" s="43"/>
      <c r="G50" s="43"/>
      <c r="H50" s="43">
        <f t="shared" si="90"/>
        <v>12</v>
      </c>
      <c r="I50" s="43">
        <f t="shared" si="90"/>
        <v>13</v>
      </c>
      <c r="J50" s="43">
        <f t="shared" si="90"/>
        <v>25</v>
      </c>
      <c r="K50" s="43"/>
      <c r="L50" s="43">
        <f t="shared" si="90"/>
        <v>25</v>
      </c>
      <c r="M50" s="43">
        <f t="shared" si="90"/>
        <v>25</v>
      </c>
      <c r="N50" s="43">
        <f t="shared" si="90"/>
        <v>21</v>
      </c>
      <c r="O50" s="43"/>
      <c r="P50" s="43">
        <f t="shared" si="90"/>
        <v>26</v>
      </c>
      <c r="Q50" s="43">
        <f t="shared" si="90"/>
        <v>23</v>
      </c>
      <c r="R50" s="43">
        <f t="shared" si="90"/>
        <v>3</v>
      </c>
      <c r="S50" s="43"/>
      <c r="T50" s="43">
        <f t="shared" si="90"/>
        <v>12</v>
      </c>
      <c r="U50" s="43">
        <f t="shared" si="90"/>
        <v>13</v>
      </c>
      <c r="V50" s="43">
        <f t="shared" si="90"/>
        <v>27</v>
      </c>
      <c r="W50" s="43">
        <f t="shared" si="90"/>
        <v>23</v>
      </c>
      <c r="X50" s="43">
        <f t="shared" si="90"/>
        <v>26</v>
      </c>
      <c r="Y50" s="43">
        <f t="shared" si="90"/>
        <v>19</v>
      </c>
      <c r="Z50" s="43">
        <f t="shared" si="90"/>
        <v>19</v>
      </c>
      <c r="AA50" s="43">
        <f t="shared" si="90"/>
        <v>19</v>
      </c>
      <c r="AB50" s="43">
        <f t="shared" si="90"/>
        <v>19</v>
      </c>
      <c r="AC50" s="43">
        <f t="shared" si="90"/>
        <v>19</v>
      </c>
      <c r="BI50" s="4">
        <f t="shared" si="74"/>
        <v>9.5</v>
      </c>
      <c r="BK50" s="4">
        <f t="shared" si="75"/>
        <v>28.5</v>
      </c>
      <c r="BS50" s="4">
        <f t="shared" si="76"/>
        <v>3</v>
      </c>
      <c r="BT50" s="79">
        <f t="shared" si="77"/>
        <v>7.3170731707317069E-2</v>
      </c>
      <c r="CQ50" s="73">
        <f t="shared" si="73"/>
        <v>0.54</v>
      </c>
      <c r="CR50" s="79">
        <f t="shared" si="33"/>
        <v>3.0000000000000002E-2</v>
      </c>
      <c r="CS50" s="4">
        <f t="shared" si="78"/>
        <v>5.88</v>
      </c>
      <c r="CT50" s="79">
        <f t="shared" si="34"/>
        <v>0.1176</v>
      </c>
      <c r="DS50" s="73">
        <f t="shared" si="79"/>
        <v>3.5700000000000003</v>
      </c>
      <c r="DT50" s="79">
        <f t="shared" si="35"/>
        <v>7.1400000000000005E-2</v>
      </c>
      <c r="DY50" s="73">
        <f t="shared" si="80"/>
        <v>12.74</v>
      </c>
      <c r="EC50" s="73">
        <f t="shared" si="83"/>
        <v>4</v>
      </c>
      <c r="EE50" s="72" t="e">
        <f>IF(#REF!="","",IFERROR(#REF!*(#REF!/100),""))</f>
        <v>#REF!</v>
      </c>
      <c r="EF50" s="81" t="e">
        <f t="shared" si="39"/>
        <v>#REF!</v>
      </c>
      <c r="EG50" s="183" t="e">
        <f>IF(#REF!="","",IFERROR(#REF!*(#REF!/100),""))</f>
        <v>#REF!</v>
      </c>
      <c r="EH50" s="81" t="e">
        <f t="shared" si="40"/>
        <v>#REF!</v>
      </c>
      <c r="EI50" s="90">
        <f t="shared" si="84"/>
        <v>0</v>
      </c>
      <c r="EM50" s="73">
        <f t="shared" si="85"/>
        <v>9.75</v>
      </c>
      <c r="EN50" s="79" t="e">
        <f t="shared" si="86"/>
        <v>#REF!</v>
      </c>
      <c r="EP50" s="4" t="str">
        <f t="shared" si="45"/>
        <v/>
      </c>
      <c r="ES50" s="4">
        <f t="shared" si="81"/>
        <v>13.5</v>
      </c>
      <c r="ET50" s="79">
        <f t="shared" si="46"/>
        <v>0.27</v>
      </c>
      <c r="EU50" s="4">
        <f t="shared" si="82"/>
        <v>11.5</v>
      </c>
      <c r="EV50" s="79">
        <f t="shared" si="47"/>
        <v>0.23</v>
      </c>
      <c r="EY50" s="72" t="e">
        <f>IF(#REF!="","",IFERROR(#REF!*(#REF!/100),""))</f>
        <v>#REF!</v>
      </c>
      <c r="EZ50" s="81" t="e">
        <f t="shared" si="87"/>
        <v>#REF!</v>
      </c>
      <c r="FA50" s="72" t="e">
        <f>IF(#REF!="","",IFERROR(#REF!*(#REF!/100),""))</f>
        <v>#REF!</v>
      </c>
      <c r="FB50" s="81" t="e">
        <f t="shared" si="88"/>
        <v>#REF!</v>
      </c>
    </row>
    <row r="51" spans="3:172" ht="14.5" hidden="1" thickBot="1">
      <c r="C51" s="45" t="s">
        <v>99</v>
      </c>
      <c r="D51" s="46">
        <f t="shared" ref="D51:AC51" si="91">COUNTIF(D11:D42,$C$51)</f>
        <v>11</v>
      </c>
      <c r="E51" s="46"/>
      <c r="F51" s="46"/>
      <c r="G51" s="46"/>
      <c r="H51" s="46">
        <f t="shared" si="91"/>
        <v>2</v>
      </c>
      <c r="I51" s="46">
        <f t="shared" si="91"/>
        <v>12</v>
      </c>
      <c r="J51" s="46">
        <f t="shared" si="91"/>
        <v>6</v>
      </c>
      <c r="K51" s="46"/>
      <c r="L51" s="46">
        <f t="shared" si="91"/>
        <v>3</v>
      </c>
      <c r="M51" s="46">
        <f t="shared" si="91"/>
        <v>5</v>
      </c>
      <c r="N51" s="46">
        <f t="shared" si="91"/>
        <v>9</v>
      </c>
      <c r="O51" s="46"/>
      <c r="P51" s="46">
        <f t="shared" si="91"/>
        <v>2</v>
      </c>
      <c r="Q51" s="46">
        <f t="shared" si="91"/>
        <v>6</v>
      </c>
      <c r="R51" s="46">
        <f t="shared" si="91"/>
        <v>28</v>
      </c>
      <c r="S51" s="46"/>
      <c r="T51" s="46">
        <f t="shared" si="91"/>
        <v>14</v>
      </c>
      <c r="U51" s="46">
        <f t="shared" si="91"/>
        <v>17</v>
      </c>
      <c r="V51" s="46">
        <f t="shared" si="91"/>
        <v>3</v>
      </c>
      <c r="W51" s="46">
        <f t="shared" si="91"/>
        <v>4</v>
      </c>
      <c r="X51" s="46">
        <f t="shared" si="91"/>
        <v>3</v>
      </c>
      <c r="Y51" s="46">
        <f t="shared" si="91"/>
        <v>11</v>
      </c>
      <c r="Z51" s="46">
        <f t="shared" si="91"/>
        <v>11</v>
      </c>
      <c r="AA51" s="46">
        <f t="shared" si="91"/>
        <v>11</v>
      </c>
      <c r="AB51" s="46">
        <f t="shared" si="91"/>
        <v>12</v>
      </c>
      <c r="AC51" s="46">
        <f t="shared" si="91"/>
        <v>12</v>
      </c>
      <c r="BI51" s="4">
        <f t="shared" si="74"/>
        <v>5.5</v>
      </c>
      <c r="BK51" s="4">
        <f t="shared" si="75"/>
        <v>18</v>
      </c>
      <c r="BS51" s="4">
        <f t="shared" si="76"/>
        <v>0.5</v>
      </c>
      <c r="BT51" s="79">
        <f t="shared" si="77"/>
        <v>1.2195121951219513E-2</v>
      </c>
      <c r="CQ51" s="73">
        <f t="shared" si="73"/>
        <v>5.04</v>
      </c>
      <c r="CR51" s="79">
        <f t="shared" si="33"/>
        <v>0.28000000000000003</v>
      </c>
      <c r="CS51" s="4">
        <f t="shared" si="78"/>
        <v>6.8599999999999994</v>
      </c>
      <c r="CT51" s="79">
        <f t="shared" si="34"/>
        <v>0.13719999999999999</v>
      </c>
      <c r="DS51" s="73">
        <f t="shared" si="79"/>
        <v>1.53</v>
      </c>
      <c r="DT51" s="79">
        <f t="shared" si="35"/>
        <v>3.0600000000000002E-2</v>
      </c>
      <c r="DY51" s="73">
        <f t="shared" si="80"/>
        <v>0.98</v>
      </c>
      <c r="EC51" s="73">
        <f t="shared" si="83"/>
        <v>0.96</v>
      </c>
      <c r="EE51" s="72" t="e">
        <f>IF(#REF!="","",IFERROR(#REF!*(#REF!/100),""))</f>
        <v>#REF!</v>
      </c>
      <c r="EF51" s="81" t="e">
        <f t="shared" si="39"/>
        <v>#REF!</v>
      </c>
      <c r="EG51" s="183" t="e">
        <f>IF(#REF!="","",IFERROR(#REF!*(#REF!/100),""))</f>
        <v>#REF!</v>
      </c>
      <c r="EH51" s="81" t="e">
        <f t="shared" si="40"/>
        <v>#REF!</v>
      </c>
      <c r="EI51" s="90">
        <f t="shared" si="84"/>
        <v>0</v>
      </c>
      <c r="EM51" s="73">
        <f t="shared" si="85"/>
        <v>1.17</v>
      </c>
      <c r="EN51" s="79" t="e">
        <f t="shared" si="86"/>
        <v>#REF!</v>
      </c>
      <c r="EP51" s="4" t="str">
        <f t="shared" si="45"/>
        <v/>
      </c>
      <c r="ES51" s="4">
        <f t="shared" si="81"/>
        <v>1.5</v>
      </c>
      <c r="ET51" s="79">
        <f t="shared" si="46"/>
        <v>0.03</v>
      </c>
      <c r="EU51" s="4">
        <f t="shared" si="82"/>
        <v>2</v>
      </c>
      <c r="EV51" s="79">
        <f t="shared" si="47"/>
        <v>0.04</v>
      </c>
      <c r="EY51" s="72" t="e">
        <f>IF(#REF!="","",IFERROR(#REF!*(#REF!/100),""))</f>
        <v>#REF!</v>
      </c>
      <c r="EZ51" s="81" t="e">
        <f t="shared" si="87"/>
        <v>#REF!</v>
      </c>
      <c r="FA51" s="72" t="e">
        <f>IF(#REF!="","",IFERROR(#REF!*(#REF!/100),""))</f>
        <v>#REF!</v>
      </c>
      <c r="FB51" s="81" t="e">
        <f t="shared" si="88"/>
        <v>#REF!</v>
      </c>
    </row>
    <row r="52" spans="3:172" ht="14.5" hidden="1" thickBot="1">
      <c r="C52" s="47" t="s">
        <v>77</v>
      </c>
      <c r="D52" s="48">
        <f t="shared" ref="D52:AC52" si="92">SUM(D49:D51)</f>
        <v>32</v>
      </c>
      <c r="E52" s="48"/>
      <c r="F52" s="48"/>
      <c r="G52" s="48"/>
      <c r="H52" s="48">
        <f t="shared" si="92"/>
        <v>32</v>
      </c>
      <c r="I52" s="48">
        <f t="shared" si="92"/>
        <v>32</v>
      </c>
      <c r="J52" s="48">
        <f t="shared" si="92"/>
        <v>32</v>
      </c>
      <c r="K52" s="48"/>
      <c r="L52" s="48">
        <f t="shared" si="92"/>
        <v>32</v>
      </c>
      <c r="M52" s="48">
        <f t="shared" si="92"/>
        <v>32</v>
      </c>
      <c r="N52" s="48">
        <f t="shared" si="92"/>
        <v>32</v>
      </c>
      <c r="O52" s="48"/>
      <c r="P52" s="48">
        <f t="shared" si="92"/>
        <v>32</v>
      </c>
      <c r="Q52" s="48">
        <f t="shared" si="92"/>
        <v>32</v>
      </c>
      <c r="R52" s="48">
        <f t="shared" si="92"/>
        <v>32</v>
      </c>
      <c r="S52" s="48"/>
      <c r="T52" s="48">
        <f t="shared" si="92"/>
        <v>32</v>
      </c>
      <c r="U52" s="48">
        <f t="shared" si="92"/>
        <v>32</v>
      </c>
      <c r="V52" s="48">
        <f t="shared" si="92"/>
        <v>32</v>
      </c>
      <c r="W52" s="48">
        <f t="shared" si="92"/>
        <v>32</v>
      </c>
      <c r="X52" s="48">
        <f t="shared" si="92"/>
        <v>32</v>
      </c>
      <c r="Y52" s="48">
        <f t="shared" si="92"/>
        <v>32</v>
      </c>
      <c r="Z52" s="48">
        <f t="shared" si="92"/>
        <v>32</v>
      </c>
      <c r="AA52" s="48">
        <f t="shared" si="92"/>
        <v>32</v>
      </c>
      <c r="AB52" s="48">
        <f t="shared" si="92"/>
        <v>32</v>
      </c>
      <c r="AC52" s="48">
        <f t="shared" si="92"/>
        <v>32</v>
      </c>
      <c r="BI52" s="4">
        <f t="shared" si="74"/>
        <v>16</v>
      </c>
      <c r="BK52" s="4">
        <f t="shared" si="75"/>
        <v>48</v>
      </c>
      <c r="BS52" s="4">
        <f t="shared" si="76"/>
        <v>8</v>
      </c>
      <c r="BT52" s="79">
        <f t="shared" si="77"/>
        <v>0.1951219512195122</v>
      </c>
      <c r="CQ52" s="73">
        <f t="shared" si="73"/>
        <v>5.76</v>
      </c>
      <c r="CR52" s="79">
        <f t="shared" si="33"/>
        <v>0.32</v>
      </c>
      <c r="CS52" s="4">
        <f t="shared" si="78"/>
        <v>15.68</v>
      </c>
      <c r="CT52" s="79">
        <f t="shared" si="34"/>
        <v>0.31359999999999999</v>
      </c>
      <c r="DS52" s="73">
        <f t="shared" si="79"/>
        <v>5.44</v>
      </c>
      <c r="DT52" s="79">
        <f t="shared" si="35"/>
        <v>0.10880000000000001</v>
      </c>
      <c r="DY52" s="73">
        <f t="shared" si="80"/>
        <v>15.68</v>
      </c>
      <c r="EC52" s="73">
        <f t="shared" si="83"/>
        <v>5.12</v>
      </c>
      <c r="EE52" s="72" t="e">
        <f>IF(#REF!="","",IFERROR(#REF!*(#REF!/100),""))</f>
        <v>#REF!</v>
      </c>
      <c r="EF52" s="81" t="e">
        <f t="shared" si="39"/>
        <v>#REF!</v>
      </c>
      <c r="EG52" s="183" t="e">
        <f>IF(#REF!="","",IFERROR(#REF!*(#REF!/100),""))</f>
        <v>#REF!</v>
      </c>
      <c r="EH52" s="81" t="e">
        <f t="shared" si="40"/>
        <v>#REF!</v>
      </c>
      <c r="EI52" s="90">
        <f t="shared" si="84"/>
        <v>0</v>
      </c>
      <c r="EM52" s="73">
        <f t="shared" si="85"/>
        <v>12.48</v>
      </c>
      <c r="EN52" s="79" t="e">
        <f t="shared" si="86"/>
        <v>#REF!</v>
      </c>
      <c r="EP52" s="4" t="str">
        <f t="shared" si="45"/>
        <v/>
      </c>
      <c r="ES52" s="4">
        <f t="shared" si="81"/>
        <v>16</v>
      </c>
      <c r="ET52" s="79">
        <f t="shared" si="46"/>
        <v>0.32</v>
      </c>
      <c r="EU52" s="4">
        <f t="shared" si="82"/>
        <v>16</v>
      </c>
      <c r="EV52" s="79">
        <f t="shared" si="47"/>
        <v>0.32</v>
      </c>
      <c r="EY52" s="72" t="e">
        <f>IF(#REF!="","",IFERROR(#REF!*(#REF!/100),""))</f>
        <v>#REF!</v>
      </c>
      <c r="EZ52" s="81" t="e">
        <f t="shared" si="87"/>
        <v>#REF!</v>
      </c>
      <c r="FA52" s="72" t="e">
        <f>IF(#REF!="","",IFERROR(#REF!*(#REF!/100),""))</f>
        <v>#REF!</v>
      </c>
      <c r="FB52" s="81" t="e">
        <f t="shared" si="88"/>
        <v>#REF!</v>
      </c>
    </row>
    <row r="53" spans="3:172" ht="14.5" hidden="1" thickBot="1">
      <c r="C53" s="49"/>
      <c r="D53" s="49"/>
      <c r="E53" s="49"/>
      <c r="F53" s="49"/>
      <c r="G53" s="49"/>
      <c r="H53" s="49"/>
      <c r="I53" s="49"/>
      <c r="BI53" s="4" t="str">
        <f t="shared" si="74"/>
        <v/>
      </c>
      <c r="BK53" s="4" t="str">
        <f t="shared" si="75"/>
        <v/>
      </c>
      <c r="BS53" s="4" t="str">
        <f t="shared" si="76"/>
        <v/>
      </c>
      <c r="BT53" s="79" t="str">
        <f t="shared" si="77"/>
        <v/>
      </c>
      <c r="CQ53" s="73" t="str">
        <f t="shared" si="73"/>
        <v/>
      </c>
      <c r="CR53" s="79" t="str">
        <f t="shared" si="33"/>
        <v/>
      </c>
      <c r="CS53" s="4" t="str">
        <f t="shared" si="78"/>
        <v/>
      </c>
      <c r="CT53" s="79" t="str">
        <f t="shared" si="34"/>
        <v/>
      </c>
      <c r="DS53" s="73" t="str">
        <f t="shared" si="79"/>
        <v/>
      </c>
      <c r="DT53" s="79" t="str">
        <f t="shared" si="35"/>
        <v/>
      </c>
      <c r="DY53" s="73" t="str">
        <f t="shared" si="80"/>
        <v/>
      </c>
      <c r="EC53" s="73" t="str">
        <f t="shared" si="83"/>
        <v/>
      </c>
      <c r="EE53" s="72" t="e">
        <f>IF(#REF!="","",IFERROR(#REF!*(#REF!/100),""))</f>
        <v>#REF!</v>
      </c>
      <c r="EF53" s="81" t="e">
        <f t="shared" si="39"/>
        <v>#REF!</v>
      </c>
      <c r="EG53" s="183" t="e">
        <f>IF(#REF!="","",IFERROR(#REF!*(#REF!/100),""))</f>
        <v>#REF!</v>
      </c>
      <c r="EH53" s="81" t="e">
        <f t="shared" si="40"/>
        <v>#REF!</v>
      </c>
      <c r="EI53" s="90">
        <f t="shared" si="84"/>
        <v>0</v>
      </c>
      <c r="EM53" s="73">
        <f t="shared" si="85"/>
        <v>0</v>
      </c>
      <c r="EN53" s="79" t="e">
        <f t="shared" si="86"/>
        <v>#REF!</v>
      </c>
      <c r="EP53" s="4" t="str">
        <f t="shared" si="45"/>
        <v/>
      </c>
      <c r="ES53" s="4" t="str">
        <f t="shared" si="81"/>
        <v/>
      </c>
      <c r="ET53" s="79" t="str">
        <f t="shared" si="46"/>
        <v/>
      </c>
      <c r="EU53" s="4" t="str">
        <f t="shared" si="82"/>
        <v/>
      </c>
      <c r="EV53" s="79" t="str">
        <f t="shared" si="47"/>
        <v/>
      </c>
      <c r="EY53" s="72" t="e">
        <f>IF(#REF!="","",IFERROR(#REF!*(#REF!/100),""))</f>
        <v>#REF!</v>
      </c>
      <c r="EZ53" s="81" t="e">
        <f t="shared" si="87"/>
        <v>#REF!</v>
      </c>
      <c r="FA53" s="72" t="e">
        <f>IF(#REF!="","",IFERROR(#REF!*(#REF!/100),""))</f>
        <v>#REF!</v>
      </c>
      <c r="FB53" s="81" t="e">
        <f t="shared" si="88"/>
        <v>#REF!</v>
      </c>
    </row>
    <row r="54" spans="3:172" ht="14.5" hidden="1" thickBot="1">
      <c r="C54" s="50" t="s">
        <v>100</v>
      </c>
      <c r="D54" s="51">
        <f>(D50+D51)/D52</f>
        <v>0.75</v>
      </c>
      <c r="E54" s="51"/>
      <c r="F54" s="51"/>
      <c r="G54" s="51"/>
      <c r="H54" s="51">
        <f t="shared" ref="H54:AC54" si="93">(H50+H51)/H52</f>
        <v>0.4375</v>
      </c>
      <c r="I54" s="51">
        <f t="shared" si="93"/>
        <v>0.78125</v>
      </c>
      <c r="J54" s="51">
        <f t="shared" si="93"/>
        <v>0.96875</v>
      </c>
      <c r="K54" s="51"/>
      <c r="L54" s="51">
        <f t="shared" si="93"/>
        <v>0.875</v>
      </c>
      <c r="M54" s="51">
        <f t="shared" si="93"/>
        <v>0.9375</v>
      </c>
      <c r="N54" s="51">
        <f t="shared" si="93"/>
        <v>0.9375</v>
      </c>
      <c r="O54" s="51"/>
      <c r="P54" s="51">
        <f t="shared" si="93"/>
        <v>0.875</v>
      </c>
      <c r="Q54" s="51">
        <f t="shared" si="93"/>
        <v>0.90625</v>
      </c>
      <c r="R54" s="51">
        <f t="shared" si="93"/>
        <v>0.96875</v>
      </c>
      <c r="S54" s="51"/>
      <c r="T54" s="51">
        <f t="shared" si="93"/>
        <v>0.8125</v>
      </c>
      <c r="U54" s="51">
        <f t="shared" si="93"/>
        <v>0.9375</v>
      </c>
      <c r="V54" s="51">
        <f t="shared" si="93"/>
        <v>0.9375</v>
      </c>
      <c r="W54" s="51">
        <f t="shared" si="93"/>
        <v>0.84375</v>
      </c>
      <c r="X54" s="51">
        <f t="shared" si="93"/>
        <v>0.90625</v>
      </c>
      <c r="Y54" s="51">
        <f t="shared" si="93"/>
        <v>0.9375</v>
      </c>
      <c r="Z54" s="51">
        <f t="shared" si="93"/>
        <v>0.9375</v>
      </c>
      <c r="AA54" s="51">
        <f t="shared" si="93"/>
        <v>0.9375</v>
      </c>
      <c r="AB54" s="51">
        <f t="shared" si="93"/>
        <v>0.96875</v>
      </c>
      <c r="AC54" s="51">
        <f t="shared" si="93"/>
        <v>0.96875</v>
      </c>
      <c r="BI54" s="4">
        <f t="shared" si="74"/>
        <v>0.46875</v>
      </c>
      <c r="BK54" s="4">
        <f t="shared" si="75"/>
        <v>1.453125</v>
      </c>
      <c r="BS54" s="4">
        <f t="shared" si="76"/>
        <v>0.109375</v>
      </c>
      <c r="BT54" s="79">
        <f t="shared" si="77"/>
        <v>2.6676829268292685E-3</v>
      </c>
      <c r="CQ54" s="73">
        <f t="shared" si="73"/>
        <v>0.174375</v>
      </c>
      <c r="CR54" s="79">
        <f t="shared" si="33"/>
        <v>9.6874999999999999E-3</v>
      </c>
      <c r="CS54" s="4">
        <f t="shared" si="78"/>
        <v>0.39812500000000001</v>
      </c>
      <c r="CT54" s="79">
        <f t="shared" si="34"/>
        <v>7.9625000000000008E-3</v>
      </c>
      <c r="DS54" s="73">
        <f t="shared" si="79"/>
        <v>0.15937500000000002</v>
      </c>
      <c r="DT54" s="79">
        <f t="shared" si="35"/>
        <v>3.1875000000000002E-3</v>
      </c>
      <c r="DY54" s="73">
        <f t="shared" si="80"/>
        <v>0.42874999999999996</v>
      </c>
      <c r="EC54" s="73">
        <f t="shared" si="83"/>
        <v>0.155</v>
      </c>
      <c r="EE54" s="72" t="e">
        <f>IF(#REF!="","",IFERROR(#REF!*(#REF!/100),""))</f>
        <v>#REF!</v>
      </c>
      <c r="EF54" s="81" t="e">
        <f t="shared" si="39"/>
        <v>#REF!</v>
      </c>
      <c r="EG54" s="183" t="e">
        <f>IF(#REF!="","",IFERROR(#REF!*(#REF!/100),""))</f>
        <v>#REF!</v>
      </c>
      <c r="EH54" s="81" t="e">
        <f t="shared" si="40"/>
        <v>#REF!</v>
      </c>
      <c r="EI54" s="90">
        <f t="shared" si="84"/>
        <v>0</v>
      </c>
      <c r="EM54" s="73">
        <f t="shared" si="85"/>
        <v>0.34125</v>
      </c>
      <c r="EN54" s="79" t="e">
        <f t="shared" si="86"/>
        <v>#REF!</v>
      </c>
      <c r="EP54" s="4" t="str">
        <f t="shared" si="45"/>
        <v/>
      </c>
      <c r="ES54" s="4">
        <f t="shared" si="81"/>
        <v>0.46875</v>
      </c>
      <c r="ET54" s="79">
        <f t="shared" si="46"/>
        <v>9.3749999999999997E-3</v>
      </c>
      <c r="EU54" s="4">
        <f t="shared" si="82"/>
        <v>0.421875</v>
      </c>
      <c r="EV54" s="79">
        <f t="shared" si="47"/>
        <v>8.4375000000000006E-3</v>
      </c>
      <c r="EY54" s="72" t="e">
        <f>IF(#REF!="","",IFERROR(#REF!*(#REF!/100),""))</f>
        <v>#REF!</v>
      </c>
      <c r="EZ54" s="81" t="e">
        <f t="shared" si="87"/>
        <v>#REF!</v>
      </c>
      <c r="FA54" s="72" t="e">
        <f>IF(#REF!="","",IFERROR(#REF!*(#REF!/100),""))</f>
        <v>#REF!</v>
      </c>
      <c r="FB54" s="81" t="e">
        <f t="shared" si="88"/>
        <v>#REF!</v>
      </c>
    </row>
    <row r="55" spans="3:172" ht="14.5" hidden="1" thickBot="1">
      <c r="C55" s="49"/>
      <c r="D55" s="49"/>
      <c r="E55" s="49"/>
      <c r="F55" s="49"/>
      <c r="G55" s="49"/>
      <c r="H55" s="49"/>
      <c r="I55" s="49"/>
      <c r="BI55" s="4" t="str">
        <f t="shared" si="74"/>
        <v/>
      </c>
      <c r="BK55" s="4" t="str">
        <f t="shared" si="75"/>
        <v/>
      </c>
      <c r="BS55" s="4" t="str">
        <f t="shared" si="76"/>
        <v/>
      </c>
      <c r="BT55" s="79" t="str">
        <f t="shared" si="77"/>
        <v/>
      </c>
      <c r="CQ55" s="73" t="str">
        <f t="shared" si="73"/>
        <v/>
      </c>
      <c r="CR55" s="79" t="str">
        <f t="shared" si="33"/>
        <v/>
      </c>
      <c r="CS55" s="4" t="str">
        <f t="shared" si="78"/>
        <v/>
      </c>
      <c r="CT55" s="79" t="str">
        <f t="shared" si="34"/>
        <v/>
      </c>
      <c r="DS55" s="73" t="str">
        <f t="shared" si="79"/>
        <v/>
      </c>
      <c r="DT55" s="79" t="str">
        <f t="shared" si="35"/>
        <v/>
      </c>
      <c r="DY55" s="73" t="str">
        <f t="shared" si="80"/>
        <v/>
      </c>
      <c r="EC55" s="73" t="str">
        <f t="shared" si="83"/>
        <v/>
      </c>
      <c r="EE55" s="72" t="e">
        <f>IF(#REF!="","",IFERROR(#REF!*(#REF!/100),""))</f>
        <v>#REF!</v>
      </c>
      <c r="EF55" s="81" t="e">
        <f t="shared" si="39"/>
        <v>#REF!</v>
      </c>
      <c r="EG55" s="183" t="e">
        <f>IF(#REF!="","",IFERROR(#REF!*(#REF!/100),""))</f>
        <v>#REF!</v>
      </c>
      <c r="EH55" s="81" t="e">
        <f t="shared" si="40"/>
        <v>#REF!</v>
      </c>
      <c r="EI55" s="90">
        <f t="shared" si="84"/>
        <v>0</v>
      </c>
      <c r="EM55" s="73">
        <f t="shared" si="85"/>
        <v>0</v>
      </c>
      <c r="EN55" s="79" t="e">
        <f t="shared" si="86"/>
        <v>#REF!</v>
      </c>
      <c r="EP55" s="4" t="str">
        <f t="shared" si="45"/>
        <v/>
      </c>
      <c r="ES55" s="4" t="str">
        <f t="shared" si="81"/>
        <v/>
      </c>
      <c r="ET55" s="79" t="str">
        <f t="shared" si="46"/>
        <v/>
      </c>
      <c r="EU55" s="4" t="str">
        <f t="shared" si="82"/>
        <v/>
      </c>
      <c r="EV55" s="79" t="str">
        <f t="shared" si="47"/>
        <v/>
      </c>
      <c r="EY55" s="72" t="e">
        <f>IF(#REF!="","",IFERROR(#REF!*(#REF!/100),""))</f>
        <v>#REF!</v>
      </c>
      <c r="EZ55" s="81" t="e">
        <f t="shared" si="87"/>
        <v>#REF!</v>
      </c>
      <c r="FA55" s="72" t="e">
        <f>IF(#REF!="","",IFERROR(#REF!*(#REF!/100),""))</f>
        <v>#REF!</v>
      </c>
      <c r="FB55" s="81" t="e">
        <f t="shared" si="88"/>
        <v>#REF!</v>
      </c>
    </row>
    <row r="56" spans="3:172" ht="14.5" hidden="1" thickBot="1">
      <c r="C56" s="50" t="s">
        <v>101</v>
      </c>
      <c r="D56" s="20">
        <f t="shared" ref="D56:AC56" si="94">MIN(D11:D42)</f>
        <v>12.5</v>
      </c>
      <c r="E56" s="20"/>
      <c r="F56" s="20"/>
      <c r="G56" s="20"/>
      <c r="H56" s="20">
        <f t="shared" si="94"/>
        <v>2.0699999999999998</v>
      </c>
      <c r="I56" s="20">
        <f t="shared" si="94"/>
        <v>12.513</v>
      </c>
      <c r="J56" s="20">
        <f t="shared" si="94"/>
        <v>56.13</v>
      </c>
      <c r="K56" s="20"/>
      <c r="L56" s="20">
        <f t="shared" si="94"/>
        <v>10.26</v>
      </c>
      <c r="M56" s="20">
        <f t="shared" si="94"/>
        <v>40.252200000000002</v>
      </c>
      <c r="N56" s="20">
        <f t="shared" si="94"/>
        <v>63.76</v>
      </c>
      <c r="O56" s="20"/>
      <c r="P56" s="20">
        <f t="shared" si="94"/>
        <v>15.82</v>
      </c>
      <c r="Q56" s="20">
        <f t="shared" si="94"/>
        <v>42.25330000000001</v>
      </c>
      <c r="R56" s="20">
        <f t="shared" si="94"/>
        <v>36.5</v>
      </c>
      <c r="S56" s="20"/>
      <c r="T56" s="20">
        <f t="shared" si="94"/>
        <v>26.53</v>
      </c>
      <c r="U56" s="20">
        <f t="shared" si="94"/>
        <v>38.8996</v>
      </c>
      <c r="V56" s="20">
        <f t="shared" si="94"/>
        <v>14.3</v>
      </c>
      <c r="W56" s="20">
        <f t="shared" si="94"/>
        <v>6.3</v>
      </c>
      <c r="X56" s="20">
        <f t="shared" si="94"/>
        <v>10.3</v>
      </c>
      <c r="Y56" s="20">
        <f t="shared" si="94"/>
        <v>0</v>
      </c>
      <c r="Z56" s="20">
        <f t="shared" si="94"/>
        <v>0</v>
      </c>
      <c r="AA56" s="20">
        <f t="shared" si="94"/>
        <v>0</v>
      </c>
      <c r="AB56" s="20">
        <f t="shared" si="94"/>
        <v>55.8</v>
      </c>
      <c r="AC56" s="20">
        <f t="shared" si="94"/>
        <v>55.8</v>
      </c>
      <c r="AE56" s="75">
        <f t="shared" ref="AE56:AL56" si="95">MIN(AE11:AE42)</f>
        <v>60.992499999999993</v>
      </c>
      <c r="AF56" s="76">
        <f t="shared" si="95"/>
        <v>28.368604651162787</v>
      </c>
      <c r="AG56" s="75">
        <f t="shared" si="95"/>
        <v>0</v>
      </c>
      <c r="AH56" s="76">
        <f t="shared" si="95"/>
        <v>0</v>
      </c>
      <c r="AI56" s="75">
        <f t="shared" si="95"/>
        <v>48.419800000000002</v>
      </c>
      <c r="AJ56" s="76">
        <f t="shared" si="95"/>
        <v>71.20558823529413</v>
      </c>
      <c r="AK56" s="75">
        <f t="shared" si="95"/>
        <v>0</v>
      </c>
      <c r="AL56" s="76">
        <f t="shared" si="95"/>
        <v>0</v>
      </c>
      <c r="AM56" s="76"/>
      <c r="AN56" s="76"/>
      <c r="AO56" s="76"/>
      <c r="AP56" s="76"/>
      <c r="AQ56" s="76"/>
      <c r="AR56" s="76"/>
      <c r="AS56" s="76"/>
      <c r="AT56" s="76"/>
      <c r="AU56" s="75">
        <f>MIN(AU11:AU42)</f>
        <v>47.197700000000005</v>
      </c>
      <c r="AV56" s="76">
        <f>MIN(AV11:AV42)</f>
        <v>47.674444444444447</v>
      </c>
      <c r="AW56" s="75">
        <f>MIN(AW11:AW42)</f>
        <v>0</v>
      </c>
      <c r="AX56" s="76">
        <f>MIN(AX11:AX42)</f>
        <v>0</v>
      </c>
      <c r="AY56" s="76"/>
      <c r="AZ56" s="76"/>
      <c r="BA56" s="75">
        <f t="shared" ref="BA56:BF56" si="96">MIN(BA11:BA42)</f>
        <v>0</v>
      </c>
      <c r="BB56" s="76">
        <f t="shared" si="96"/>
        <v>0</v>
      </c>
      <c r="BC56" s="75">
        <f t="shared" si="96"/>
        <v>51.653300000000002</v>
      </c>
      <c r="BD56" s="76">
        <f t="shared" si="96"/>
        <v>31.689141104294478</v>
      </c>
      <c r="BE56" s="75">
        <f t="shared" si="96"/>
        <v>0</v>
      </c>
      <c r="BF56" s="76">
        <f t="shared" si="96"/>
        <v>0</v>
      </c>
      <c r="BI56" s="4">
        <f t="shared" si="74"/>
        <v>0</v>
      </c>
      <c r="BK56" s="4">
        <f t="shared" si="75"/>
        <v>83.699999999999989</v>
      </c>
      <c r="BS56" s="4">
        <f t="shared" si="76"/>
        <v>0.51749999999999996</v>
      </c>
      <c r="BT56" s="79">
        <f t="shared" si="77"/>
        <v>1.2621951219512194E-2</v>
      </c>
      <c r="CQ56" s="73">
        <f t="shared" si="73"/>
        <v>6.5699999999999994</v>
      </c>
      <c r="CR56" s="79">
        <f t="shared" si="33"/>
        <v>0.36499999999999999</v>
      </c>
      <c r="CS56" s="4">
        <f t="shared" si="78"/>
        <v>12.999700000000001</v>
      </c>
      <c r="CT56" s="79">
        <f t="shared" si="34"/>
        <v>0.259994</v>
      </c>
      <c r="DS56" s="73">
        <f t="shared" si="79"/>
        <v>10.8392</v>
      </c>
      <c r="DT56" s="79">
        <f t="shared" si="35"/>
        <v>0.216784</v>
      </c>
      <c r="DY56" s="73">
        <f t="shared" si="80"/>
        <v>7.7518000000000002</v>
      </c>
      <c r="EC56" s="73">
        <f t="shared" si="83"/>
        <v>8.9808000000000003</v>
      </c>
      <c r="EE56" s="72" t="e">
        <f>IF(#REF!="","",IFERROR(#REF!*(#REF!/100),""))</f>
        <v>#REF!</v>
      </c>
      <c r="EF56" s="81" t="e">
        <f t="shared" si="39"/>
        <v>#REF!</v>
      </c>
      <c r="EG56" s="183" t="e">
        <f>IF(#REF!="","",IFERROR(#REF!*(#REF!/100),""))</f>
        <v>#REF!</v>
      </c>
      <c r="EH56" s="81" t="e">
        <f t="shared" si="40"/>
        <v>#REF!</v>
      </c>
      <c r="EI56" s="90">
        <f t="shared" si="84"/>
        <v>0</v>
      </c>
      <c r="EM56" s="73">
        <f t="shared" si="85"/>
        <v>4.0014000000000003</v>
      </c>
      <c r="EN56" s="79" t="e">
        <f t="shared" si="86"/>
        <v>#REF!</v>
      </c>
      <c r="EP56" s="4" t="str">
        <f t="shared" si="45"/>
        <v/>
      </c>
      <c r="ES56" s="4">
        <f t="shared" si="81"/>
        <v>7.15</v>
      </c>
      <c r="ET56" s="79">
        <f t="shared" si="46"/>
        <v>0.14300000000000002</v>
      </c>
      <c r="EU56" s="4">
        <f t="shared" si="82"/>
        <v>3.15</v>
      </c>
      <c r="EV56" s="79">
        <f t="shared" si="47"/>
        <v>6.3E-2</v>
      </c>
      <c r="EY56" s="72" t="e">
        <f>IF(#REF!="","",IFERROR(#REF!*(#REF!/100),""))</f>
        <v>#REF!</v>
      </c>
      <c r="EZ56" s="81" t="e">
        <f t="shared" si="87"/>
        <v>#REF!</v>
      </c>
      <c r="FA56" s="72" t="e">
        <f>IF(#REF!="","",IFERROR(#REF!*(#REF!/100),""))</f>
        <v>#REF!</v>
      </c>
      <c r="FB56" s="81" t="e">
        <f t="shared" si="88"/>
        <v>#REF!</v>
      </c>
    </row>
    <row r="57" spans="3:172" ht="14.5" hidden="1" thickBot="1">
      <c r="C57" s="77" t="s">
        <v>102</v>
      </c>
      <c r="D57" s="78">
        <f t="shared" ref="D57:AC57" si="97">MAX(D11:D42)</f>
        <v>92.5</v>
      </c>
      <c r="E57" s="78"/>
      <c r="F57" s="78"/>
      <c r="G57" s="78"/>
      <c r="H57" s="78">
        <f t="shared" si="97"/>
        <v>90.04</v>
      </c>
      <c r="I57" s="78">
        <f t="shared" si="97"/>
        <v>105.21240000000002</v>
      </c>
      <c r="J57" s="78">
        <f t="shared" si="97"/>
        <v>90</v>
      </c>
      <c r="K57" s="78"/>
      <c r="L57" s="78">
        <f t="shared" si="97"/>
        <v>88.46</v>
      </c>
      <c r="M57" s="78">
        <f t="shared" si="97"/>
        <v>87.279600000000016</v>
      </c>
      <c r="N57" s="78">
        <f t="shared" si="97"/>
        <v>90</v>
      </c>
      <c r="O57" s="78"/>
      <c r="P57" s="78">
        <f t="shared" si="97"/>
        <v>87.35</v>
      </c>
      <c r="Q57" s="78">
        <f t="shared" si="97"/>
        <v>87.650900000000007</v>
      </c>
      <c r="R57" s="78">
        <f t="shared" si="97"/>
        <v>93.61</v>
      </c>
      <c r="S57" s="78"/>
      <c r="T57" s="78">
        <f t="shared" si="97"/>
        <v>99.49</v>
      </c>
      <c r="U57" s="78">
        <f t="shared" si="97"/>
        <v>96.748599999999996</v>
      </c>
      <c r="V57" s="78">
        <f t="shared" si="97"/>
        <v>99.4</v>
      </c>
      <c r="W57" s="78">
        <f t="shared" si="97"/>
        <v>99.4</v>
      </c>
      <c r="X57" s="78">
        <f t="shared" si="97"/>
        <v>99.4</v>
      </c>
      <c r="Y57" s="78">
        <f t="shared" si="97"/>
        <v>94.75</v>
      </c>
      <c r="Z57" s="78">
        <f t="shared" si="97"/>
        <v>94.75</v>
      </c>
      <c r="AA57" s="78">
        <f t="shared" si="97"/>
        <v>94.75</v>
      </c>
      <c r="AB57" s="78">
        <f t="shared" si="97"/>
        <v>90.4</v>
      </c>
      <c r="AC57" s="78">
        <f t="shared" si="97"/>
        <v>90.4</v>
      </c>
      <c r="AE57" s="75">
        <f t="shared" ref="AE57:AL57" si="98">MAX(AE11:AE42)</f>
        <v>92.022500000000008</v>
      </c>
      <c r="AF57" s="76">
        <f t="shared" si="98"/>
        <v>42.801162790697674</v>
      </c>
      <c r="AG57" s="75">
        <f t="shared" si="98"/>
        <v>0</v>
      </c>
      <c r="AH57" s="76">
        <f t="shared" si="98"/>
        <v>0</v>
      </c>
      <c r="AI57" s="75">
        <f t="shared" si="98"/>
        <v>65.45</v>
      </c>
      <c r="AJ57" s="76">
        <f t="shared" si="98"/>
        <v>96.25</v>
      </c>
      <c r="AK57" s="75">
        <f t="shared" si="98"/>
        <v>0</v>
      </c>
      <c r="AL57" s="76">
        <f t="shared" si="98"/>
        <v>0</v>
      </c>
      <c r="AM57" s="76"/>
      <c r="AN57" s="76"/>
      <c r="AO57" s="76"/>
      <c r="AP57" s="76"/>
      <c r="AQ57" s="76"/>
      <c r="AR57" s="76"/>
      <c r="AS57" s="76"/>
      <c r="AT57" s="76"/>
      <c r="AU57" s="75">
        <f>MAX(AU11:AU42)</f>
        <v>96.45089999999999</v>
      </c>
      <c r="AV57" s="76">
        <f>MAX(AV11:AV42)</f>
        <v>97.425151515151512</v>
      </c>
      <c r="AW57" s="75">
        <f>MAX(AW11:AW42)</f>
        <v>0</v>
      </c>
      <c r="AX57" s="76">
        <f>MAX(AX11:AX42)</f>
        <v>0</v>
      </c>
      <c r="AY57" s="76"/>
      <c r="AZ57" s="76"/>
      <c r="BA57" s="75">
        <f t="shared" ref="BA57:BF57" si="99">MAX(BA11:BA42)</f>
        <v>0</v>
      </c>
      <c r="BB57" s="76">
        <f t="shared" si="99"/>
        <v>0</v>
      </c>
      <c r="BC57" s="75">
        <f t="shared" si="99"/>
        <v>138.22719999999998</v>
      </c>
      <c r="BD57" s="76">
        <f t="shared" si="99"/>
        <v>84.80196319018404</v>
      </c>
      <c r="BE57" s="75">
        <f t="shared" si="99"/>
        <v>0</v>
      </c>
      <c r="BF57" s="76">
        <f t="shared" si="99"/>
        <v>0</v>
      </c>
      <c r="BI57" s="4">
        <f t="shared" si="74"/>
        <v>47.375</v>
      </c>
      <c r="BK57" s="4">
        <f t="shared" si="75"/>
        <v>135.60000000000002</v>
      </c>
      <c r="BS57" s="4">
        <f t="shared" si="76"/>
        <v>22.51</v>
      </c>
      <c r="BT57" s="79">
        <f t="shared" si="77"/>
        <v>0.54902439024390248</v>
      </c>
      <c r="CQ57" s="73">
        <f t="shared" si="73"/>
        <v>16.849799999999998</v>
      </c>
      <c r="CR57" s="79">
        <f t="shared" si="33"/>
        <v>0.93609999999999993</v>
      </c>
      <c r="CS57" s="4">
        <f t="shared" si="78"/>
        <v>48.750099999999996</v>
      </c>
      <c r="CT57" s="79">
        <f t="shared" si="34"/>
        <v>0.97500199999999992</v>
      </c>
      <c r="DS57" s="73">
        <f t="shared" si="79"/>
        <v>15.3</v>
      </c>
      <c r="DT57" s="79">
        <f t="shared" si="35"/>
        <v>0.30599999999999999</v>
      </c>
      <c r="DY57" s="73">
        <f t="shared" si="80"/>
        <v>42.801499999999997</v>
      </c>
      <c r="EC57" s="73">
        <f t="shared" si="83"/>
        <v>14.4</v>
      </c>
      <c r="EE57" s="72" t="e">
        <f>IF(#REF!="","",IFERROR(#REF!*(#REF!/100),""))</f>
        <v>#REF!</v>
      </c>
      <c r="EF57" s="81" t="e">
        <f t="shared" si="39"/>
        <v>#REF!</v>
      </c>
      <c r="EG57" s="183" t="e">
        <f>IF(#REF!="","",IFERROR(#REF!*(#REF!/100),""))</f>
        <v>#REF!</v>
      </c>
      <c r="EH57" s="81" t="e">
        <f t="shared" si="40"/>
        <v>#REF!</v>
      </c>
      <c r="EI57" s="90" t="str">
        <f t="shared" si="84"/>
        <v/>
      </c>
      <c r="EM57" s="73" t="str">
        <f t="shared" si="85"/>
        <v/>
      </c>
      <c r="EN57" s="79" t="e">
        <f t="shared" si="86"/>
        <v>#REF!</v>
      </c>
      <c r="EP57" s="4" t="str">
        <f t="shared" si="45"/>
        <v/>
      </c>
      <c r="ES57" s="4">
        <f t="shared" si="81"/>
        <v>49.7</v>
      </c>
      <c r="ET57" s="79">
        <f t="shared" si="46"/>
        <v>0.99400000000000011</v>
      </c>
      <c r="EU57" s="4">
        <f t="shared" si="82"/>
        <v>49.7</v>
      </c>
      <c r="EV57" s="79">
        <f t="shared" si="47"/>
        <v>0.99400000000000011</v>
      </c>
      <c r="EY57" s="72" t="e">
        <f>IF(#REF!="","",IFERROR(#REF!*(#REF!/100),""))</f>
        <v>#REF!</v>
      </c>
      <c r="EZ57" s="81" t="e">
        <f t="shared" si="87"/>
        <v>#REF!</v>
      </c>
      <c r="FA57" s="72" t="e">
        <f>IF(#REF!="","",IFERROR(#REF!*(#REF!/100),""))</f>
        <v>#REF!</v>
      </c>
      <c r="FB57" s="81" t="e">
        <f t="shared" si="88"/>
        <v>#REF!</v>
      </c>
    </row>
    <row r="58" spans="3:172" ht="14.5" thickBot="1">
      <c r="C58" s="53" t="s">
        <v>180</v>
      </c>
      <c r="D58" s="54">
        <f t="shared" ref="D58:O58" si="100">AVERAGE(D11:D42)</f>
        <v>72.420625000000015</v>
      </c>
      <c r="E58" s="54">
        <f t="shared" si="100"/>
        <v>71.972812500000003</v>
      </c>
      <c r="F58" s="54">
        <f t="shared" si="100"/>
        <v>70.062500000000014</v>
      </c>
      <c r="G58" s="54">
        <f t="shared" si="100"/>
        <v>59.414374999999993</v>
      </c>
      <c r="H58" s="54">
        <f t="shared" si="100"/>
        <v>59.504999999999995</v>
      </c>
      <c r="I58" s="54">
        <f t="shared" si="100"/>
        <v>76.292424999999994</v>
      </c>
      <c r="J58" s="54">
        <f t="shared" si="100"/>
        <v>77.790312500000013</v>
      </c>
      <c r="K58" s="54">
        <f t="shared" si="100"/>
        <v>76.109999999999985</v>
      </c>
      <c r="L58" s="54">
        <f t="shared" si="100"/>
        <v>73.058749999999989</v>
      </c>
      <c r="M58" s="54">
        <f t="shared" si="100"/>
        <v>75.188862499999999</v>
      </c>
      <c r="N58" s="54">
        <f t="shared" si="100"/>
        <v>79.634687499999984</v>
      </c>
      <c r="O58" s="54">
        <f t="shared" si="100"/>
        <v>77.174374999999998</v>
      </c>
      <c r="P58" s="54">
        <f>AVERAGE(P11:P42)</f>
        <v>72.930625000000006</v>
      </c>
      <c r="Q58" s="54">
        <f>AVERAGE(Q11:Q42)</f>
        <v>75.513190625000021</v>
      </c>
      <c r="R58" s="54">
        <f>AVERAGE(R11:R42)</f>
        <v>86.787187500000002</v>
      </c>
      <c r="S58" s="54">
        <f>AVERAGE(S11:S42)</f>
        <v>84.789687500000014</v>
      </c>
      <c r="T58" s="54">
        <f t="shared" ref="T58:AC58" si="101">AVERAGE(T11:T42)</f>
        <v>79.719687499999992</v>
      </c>
      <c r="U58" s="54">
        <f t="shared" si="101"/>
        <v>82.664937499999979</v>
      </c>
      <c r="V58" s="54">
        <f t="shared" si="101"/>
        <v>75.084375000000009</v>
      </c>
      <c r="W58" s="54">
        <f t="shared" si="101"/>
        <v>70.890625000000014</v>
      </c>
      <c r="X58" s="54">
        <f t="shared" si="101"/>
        <v>72.987500000000026</v>
      </c>
      <c r="Y58" s="54">
        <f t="shared" si="101"/>
        <v>80.689062500000006</v>
      </c>
      <c r="Z58" s="54">
        <f t="shared" si="101"/>
        <v>80.689062500000006</v>
      </c>
      <c r="AA58" s="54">
        <f t="shared" si="101"/>
        <v>80.689062500000006</v>
      </c>
      <c r="AB58" s="54">
        <f t="shared" si="101"/>
        <v>81.898437500000014</v>
      </c>
      <c r="AC58" s="54">
        <f t="shared" si="101"/>
        <v>81.898437500000014</v>
      </c>
      <c r="AE58" s="52">
        <f>IFERROR(AVERAGE(AE11:AE46),"")</f>
        <v>83.668647058823538</v>
      </c>
      <c r="AF58" s="52">
        <f t="shared" ref="AF58:BF58" si="102">IFERROR(AVERAGE(AF11:AF46),"")</f>
        <v>38.915649794801645</v>
      </c>
      <c r="AG58" s="52" t="str">
        <f t="shared" si="102"/>
        <v/>
      </c>
      <c r="AH58" s="52" t="str">
        <f t="shared" si="102"/>
        <v/>
      </c>
      <c r="AI58" s="52">
        <f t="shared" si="102"/>
        <v>56.066912500000001</v>
      </c>
      <c r="AJ58" s="52">
        <f t="shared" si="102"/>
        <v>82.451341911764715</v>
      </c>
      <c r="AK58" s="52" t="str">
        <f t="shared" si="102"/>
        <v/>
      </c>
      <c r="AL58" s="52" t="str">
        <f t="shared" si="102"/>
        <v/>
      </c>
      <c r="AM58" s="52" t="str">
        <f t="shared" si="102"/>
        <v/>
      </c>
      <c r="AN58" s="52" t="str">
        <f t="shared" si="102"/>
        <v/>
      </c>
      <c r="AO58" s="52" t="str">
        <f t="shared" si="102"/>
        <v/>
      </c>
      <c r="AP58" s="52" t="str">
        <f t="shared" si="102"/>
        <v/>
      </c>
      <c r="AQ58" s="52" t="str">
        <f t="shared" si="102"/>
        <v/>
      </c>
      <c r="AR58" s="52" t="str">
        <f t="shared" si="102"/>
        <v/>
      </c>
      <c r="AS58" s="52" t="str">
        <f t="shared" si="102"/>
        <v/>
      </c>
      <c r="AT58" s="52" t="str">
        <f t="shared" si="102"/>
        <v/>
      </c>
      <c r="AU58" s="52">
        <f t="shared" si="102"/>
        <v>74.158747058823522</v>
      </c>
      <c r="AV58" s="52">
        <f t="shared" si="102"/>
        <v>74.907825311942958</v>
      </c>
      <c r="AW58" s="52" t="str">
        <f t="shared" si="102"/>
        <v/>
      </c>
      <c r="AX58" s="52" t="str">
        <f t="shared" si="102"/>
        <v/>
      </c>
      <c r="AY58" s="52" t="str">
        <f t="shared" si="102"/>
        <v/>
      </c>
      <c r="AZ58" s="52" t="str">
        <f t="shared" si="102"/>
        <v/>
      </c>
      <c r="BA58" s="52" t="str">
        <f t="shared" si="102"/>
        <v/>
      </c>
      <c r="BB58" s="52" t="str">
        <f t="shared" si="102"/>
        <v/>
      </c>
      <c r="BC58" s="52">
        <f t="shared" si="102"/>
        <v>124.42532352941177</v>
      </c>
      <c r="BD58" s="52">
        <f t="shared" si="102"/>
        <v>76.334554312522542</v>
      </c>
      <c r="BE58" s="52" t="str">
        <f t="shared" si="102"/>
        <v/>
      </c>
      <c r="BF58" s="52" t="str">
        <f t="shared" si="102"/>
        <v/>
      </c>
      <c r="BI58" s="4">
        <f t="shared" si="74"/>
        <v>40.344531250000003</v>
      </c>
      <c r="BJ58" s="89">
        <f>AVERAGE(BJ11:BJ46)</f>
        <v>0.81030882352941169</v>
      </c>
      <c r="BK58" s="4">
        <f t="shared" si="75"/>
        <v>122.84765625000003</v>
      </c>
      <c r="BL58" s="89">
        <f>AVERAGE(BL11:BL46)</f>
        <v>0.81915196078431385</v>
      </c>
      <c r="BM58" s="73" t="e">
        <f t="shared" ref="BM58" si="103">AVERAGE(BM11:BM46)</f>
        <v>#DIV/0!</v>
      </c>
      <c r="BN58" s="89" t="e">
        <f>AVERAGE(BN11:BN46)</f>
        <v>#DIV/0!</v>
      </c>
      <c r="BO58" s="73">
        <f>AVERAGE(BO11:BO46)</f>
        <v>29.007620588235298</v>
      </c>
      <c r="BP58" s="89">
        <f>AVERAGE(BP11:BP46)</f>
        <v>0.76335843653250768</v>
      </c>
      <c r="BQ58" s="73">
        <f t="shared" ref="BQ58" si="104">AVERAGE(BQ11:BQ46)</f>
        <v>16.00694117647059</v>
      </c>
      <c r="BR58" s="89">
        <f>AVERAGE(BR11:BR46)</f>
        <v>0.72758823529411765</v>
      </c>
      <c r="BS58" s="73">
        <f>AVERAGE(BS11:BS46)</f>
        <v>31.908582352941174</v>
      </c>
      <c r="BT58" s="79">
        <f>AVERAGE(BT11:BT46)</f>
        <v>0.77825810616929714</v>
      </c>
      <c r="BU58" s="73">
        <f t="shared" ref="BU58" si="105">AVERAGE(BU11:BU46)</f>
        <v>69.043505882352946</v>
      </c>
      <c r="BV58" s="89">
        <f>AVERAGE(BV11:BV46)</f>
        <v>0.75871984486102129</v>
      </c>
      <c r="BW58" s="73">
        <f t="shared" ref="BW58" si="106">AVERAGE(BW11:BW46)</f>
        <v>90.460529411764711</v>
      </c>
      <c r="BX58" s="89">
        <f>AVERAGE(BX11:BX46)</f>
        <v>0.73545145863223327</v>
      </c>
      <c r="BY58" s="73"/>
      <c r="BZ58" s="73"/>
      <c r="CA58" s="73"/>
      <c r="CB58" s="89"/>
      <c r="CC58" s="73"/>
      <c r="CD58" s="89"/>
      <c r="CE58" s="73">
        <f t="shared" ref="CE58:CG58" si="107">AVERAGE(CE11:CE46)</f>
        <v>37.992647058823536</v>
      </c>
      <c r="CF58" s="89">
        <f>AVERAGE(CF11:CF46)</f>
        <v>0.75985294117647062</v>
      </c>
      <c r="CG58" s="73">
        <f t="shared" si="107"/>
        <v>35.622058823529422</v>
      </c>
      <c r="CH58" s="89">
        <f>AVERAGE(CH11:CH46)</f>
        <v>0.71244117647058824</v>
      </c>
      <c r="CI58" s="73"/>
      <c r="CJ58" s="73"/>
      <c r="CK58" s="73"/>
      <c r="CL58" s="73"/>
      <c r="CM58" s="73"/>
      <c r="CN58" s="73"/>
      <c r="CO58" s="73"/>
      <c r="CP58" s="73"/>
      <c r="CQ58" s="184" t="e">
        <f>AVERAGE(CQ11:CQ46)</f>
        <v>#DIV/0!</v>
      </c>
      <c r="CR58" s="79" t="e">
        <f>AVERAGE(CR11:CR46)</f>
        <v>#DIV/0!</v>
      </c>
      <c r="CS58" s="73" t="e">
        <f>AVERAGE(CS11:CS46)</f>
        <v>#DIV/0!</v>
      </c>
      <c r="CT58" s="79" t="e">
        <f>AVERAGE(CT11:CT46)</f>
        <v>#DIV/0!</v>
      </c>
      <c r="CU58" s="73"/>
      <c r="CV58" s="73"/>
      <c r="CW58" s="73"/>
      <c r="CX58" s="73"/>
      <c r="CY58" s="73"/>
      <c r="CZ58" s="73"/>
      <c r="DA58" s="73"/>
      <c r="DB58" s="73"/>
      <c r="DC58" s="73"/>
      <c r="DD58" s="73"/>
      <c r="DE58" s="73"/>
      <c r="DF58" s="73"/>
      <c r="DG58" s="73"/>
      <c r="DH58" s="73"/>
      <c r="DI58" s="73"/>
      <c r="DJ58" s="73"/>
      <c r="DK58" s="73"/>
      <c r="DL58" s="73"/>
      <c r="DM58" s="73"/>
      <c r="DN58" s="73"/>
      <c r="DO58" s="73"/>
      <c r="DP58" s="73"/>
      <c r="DQ58" s="73"/>
      <c r="DR58" s="73"/>
      <c r="DS58" s="73" t="e">
        <f>AVERAGE(DS11:DS46)</f>
        <v>#DIV/0!</v>
      </c>
      <c r="DT58" s="79" t="e">
        <f t="shared" si="35"/>
        <v>#DIV/0!</v>
      </c>
      <c r="DU58" s="73"/>
      <c r="DV58" s="73"/>
      <c r="DW58" s="73"/>
      <c r="DX58" s="73"/>
      <c r="DY58" s="73" t="e">
        <f>AVERAGE(DY11:DY46)</f>
        <v>#DIV/0!</v>
      </c>
      <c r="DZ58" s="89" t="e">
        <f>AVERAGE(DZ11:DZ46)</f>
        <v>#DIV/0!</v>
      </c>
      <c r="EA58" s="73"/>
      <c r="EB58" s="89"/>
      <c r="EC58" s="73">
        <f>AVERAGE(EC11:EC46)</f>
        <v>12.561364705882347</v>
      </c>
      <c r="ED58" s="89">
        <f>AVERAGE(ED11:ED46)</f>
        <v>0.78508529411764671</v>
      </c>
      <c r="EE58" s="72" t="e">
        <f>AVERAGE(EE11:EE46)</f>
        <v>#DIV/0!</v>
      </c>
      <c r="EF58" s="81" t="e">
        <f t="shared" si="39"/>
        <v>#DIV/0!</v>
      </c>
      <c r="EG58" s="183" t="e">
        <f>AVERAGE(EG11:EG46)</f>
        <v>#DIV/0!</v>
      </c>
      <c r="EH58" s="187" t="e">
        <f>AVERAGE(EH11:EH46)</f>
        <v>#DIV/0!</v>
      </c>
      <c r="EI58" s="72">
        <f>AVERAGE(EI11:EI46)</f>
        <v>34.624852941176478</v>
      </c>
      <c r="EJ58" s="81">
        <f>AVERAGE(EJ11:EJ46)</f>
        <v>0.76944117647058796</v>
      </c>
      <c r="EK58" s="73"/>
      <c r="EL58" s="73"/>
      <c r="EM58" s="73">
        <f>AVERAGE(EM11:EM46)</f>
        <v>28.706523529411768</v>
      </c>
      <c r="EN58" s="79">
        <f>AVERAGE(EN11:EN46)</f>
        <v>0.73606470588235262</v>
      </c>
      <c r="EO58" s="73"/>
      <c r="EP58" s="4" t="str">
        <f t="shared" si="45"/>
        <v/>
      </c>
      <c r="EQ58" s="73"/>
      <c r="ER58" s="73"/>
      <c r="ES58" s="4" t="e">
        <f>AVERAGE(ES11:ES46)</f>
        <v>#DIV/0!</v>
      </c>
      <c r="ET58" s="79" t="e">
        <f>AVERAGE(ET11:ET46)</f>
        <v>#DIV/0!</v>
      </c>
      <c r="EU58" s="4" t="e">
        <f>AVERAGE(EU11:EU46)</f>
        <v>#DIV/0!</v>
      </c>
      <c r="EV58" s="79" t="e">
        <f>AVERAGE(EV11:EV46)</f>
        <v>#DIV/0!</v>
      </c>
      <c r="EW58" s="73"/>
      <c r="EX58" s="89"/>
      <c r="EY58" s="72" t="e">
        <f>AVERAGE(EY11:EY46)</f>
        <v>#DIV/0!</v>
      </c>
      <c r="EZ58" s="81" t="e">
        <f>AVERAGE(EZ11:EZ46)</f>
        <v>#DIV/0!</v>
      </c>
      <c r="FA58" s="72" t="e">
        <f>AVERAGE(FA11:FA46)</f>
        <v>#DIV/0!</v>
      </c>
      <c r="FB58" s="81" t="e">
        <f>AVERAGE(FB11:FB46)</f>
        <v>#DIV/0!</v>
      </c>
      <c r="FC58" s="167"/>
      <c r="FD58" s="167"/>
      <c r="FE58" s="73"/>
      <c r="FF58" s="89"/>
      <c r="FG58" s="170">
        <f t="shared" ref="FG58" si="108">AVERAGE(FG11:FG46)</f>
        <v>124.42532352941177</v>
      </c>
      <c r="FH58" s="172">
        <f>AVERAGE(FH11:FH46)</f>
        <v>0.76334554312522562</v>
      </c>
      <c r="FI58" s="170"/>
      <c r="FJ58" s="170"/>
      <c r="FK58" s="170" t="e">
        <f t="shared" ref="FK58:FO58" si="109">AVERAGE(FK11:FK46)</f>
        <v>#DIV/0!</v>
      </c>
      <c r="FL58" s="172" t="e">
        <f>AVERAGE(FL11:FL46)</f>
        <v>#DIV/0!</v>
      </c>
      <c r="FM58" s="170" t="e">
        <f t="shared" si="109"/>
        <v>#DIV/0!</v>
      </c>
      <c r="FN58" s="172" t="e">
        <f>AVERAGE(FN11:FN46)</f>
        <v>#DIV/0!</v>
      </c>
      <c r="FO58" s="173">
        <f t="shared" si="109"/>
        <v>661.2187413816323</v>
      </c>
      <c r="FP58" s="93"/>
    </row>
    <row r="59" spans="3:172">
      <c r="BI59" s="79">
        <f>BI58/BI9</f>
        <v>0.80689062500000008</v>
      </c>
      <c r="BJ59" s="54">
        <f>COUNTIF($BJ$11:$BJ$46,"&gt;=65%")</f>
        <v>32</v>
      </c>
      <c r="BK59" s="79">
        <f>BK58/BK9</f>
        <v>0.81898437500000021</v>
      </c>
      <c r="BL59" s="54">
        <f>COUNTIF($BL$11:$BL$46,"&gt;=65%")</f>
        <v>32</v>
      </c>
      <c r="BM59" s="79" t="e">
        <f>BM58/BM9</f>
        <v>#DIV/0!</v>
      </c>
      <c r="BN59" s="54">
        <f>COUNTIF($BN$11:$BN$46,"&gt;=65%")</f>
        <v>0</v>
      </c>
      <c r="BO59" s="79">
        <f t="shared" ref="BO59" si="110">BO58/BO9</f>
        <v>0.76335843653250779</v>
      </c>
      <c r="BP59" s="54">
        <f>COUNTIF($BP$11:$BP$46,"&gt;=65%")</f>
        <v>27</v>
      </c>
      <c r="BQ59" s="79">
        <f>BQ58/BQ9</f>
        <v>0.72758823529411776</v>
      </c>
      <c r="BR59" s="54">
        <f>COUNTIF($BP$11:$BP$46,"&gt;=65%")</f>
        <v>27</v>
      </c>
      <c r="BS59" s="79">
        <f>BS58/BS9</f>
        <v>0.77825810616929691</v>
      </c>
      <c r="BT59" s="184">
        <f>COUNTIF($BT$11:$BT$46,"&gt;=65%")</f>
        <v>30</v>
      </c>
      <c r="BU59" s="79">
        <f>BU58/BU9</f>
        <v>0.7587198448610214</v>
      </c>
      <c r="BV59" s="54">
        <f>COUNTIF($BP$11:$BP$46,"&gt;=65%")</f>
        <v>27</v>
      </c>
      <c r="BW59" s="79">
        <f>BW58/BW9</f>
        <v>0.73545145863223338</v>
      </c>
      <c r="BX59" s="54">
        <f>COUNTIF($BP$11:$BP$46,"&gt;=65%")</f>
        <v>27</v>
      </c>
      <c r="BY59" s="79"/>
      <c r="BZ59" s="79"/>
      <c r="CA59" s="79"/>
      <c r="CB59" s="54"/>
      <c r="CC59" s="79"/>
      <c r="CD59" s="54"/>
      <c r="CE59" s="79">
        <f>CE58/CE9</f>
        <v>0.75985294117647073</v>
      </c>
      <c r="CF59" s="54">
        <f>COUNTIF($BP$11:$BP$46,"&gt;=65%")</f>
        <v>27</v>
      </c>
      <c r="CG59" s="79">
        <f>CG58/CG9</f>
        <v>0.71244117647058847</v>
      </c>
      <c r="CH59" s="54">
        <f>COUNTIF($BP$11:$BP$46,"&gt;=65%")</f>
        <v>27</v>
      </c>
      <c r="CI59" s="79"/>
      <c r="CJ59" s="79"/>
      <c r="CK59" s="79"/>
      <c r="CL59" s="79"/>
      <c r="CM59" s="79"/>
      <c r="CN59" s="79"/>
      <c r="CO59" s="79"/>
      <c r="CP59" s="79"/>
      <c r="CQ59" s="79" t="e">
        <f>CQ58/CQ9</f>
        <v>#DIV/0!</v>
      </c>
      <c r="CR59" s="184">
        <f>COUNTIF($CR$11:$CR$46,"&gt;=65%")</f>
        <v>0</v>
      </c>
      <c r="CS59" s="79" t="e">
        <f>CS58/CS9</f>
        <v>#DIV/0!</v>
      </c>
      <c r="CT59" s="184">
        <f>COUNTIF($CT$11:$CT$46,"&gt;=65%")</f>
        <v>0</v>
      </c>
      <c r="CU59" s="79"/>
      <c r="CV59" s="79"/>
      <c r="CW59" s="79"/>
      <c r="CX59" s="79"/>
      <c r="CY59" s="79"/>
      <c r="CZ59" s="79"/>
      <c r="DA59" s="79"/>
      <c r="DB59" s="79"/>
      <c r="DC59" s="79"/>
      <c r="DD59" s="79"/>
      <c r="DE59" s="79"/>
      <c r="DF59" s="79"/>
      <c r="DG59" s="79"/>
      <c r="DH59" s="79"/>
      <c r="DI59" s="79"/>
      <c r="DJ59" s="79"/>
      <c r="DK59" s="79"/>
      <c r="DL59" s="79"/>
      <c r="DM59" s="79"/>
      <c r="DN59" s="79"/>
      <c r="DO59" s="79"/>
      <c r="DP59" s="79"/>
      <c r="DQ59" s="79"/>
      <c r="DR59" s="79"/>
      <c r="DS59" s="79" t="e">
        <f>DS58/DS9</f>
        <v>#DIV/0!</v>
      </c>
      <c r="DT59" s="184">
        <f>COUNTIF($DT11:$DT$46,"&gt;=65%")</f>
        <v>0</v>
      </c>
      <c r="DU59" s="79"/>
      <c r="DV59" s="79"/>
      <c r="DW59" s="79"/>
      <c r="DX59" s="79"/>
      <c r="DY59" s="79" t="e">
        <f>DY58/DY9</f>
        <v>#DIV/0!</v>
      </c>
      <c r="DZ59" s="54">
        <f>COUNTIF($DZ$11:$DZ$46,"&gt;=65%")</f>
        <v>0</v>
      </c>
      <c r="EA59" s="79"/>
      <c r="EB59" s="54"/>
      <c r="EC59" s="79">
        <f>EC58/EC9</f>
        <v>0.78508529411764671</v>
      </c>
      <c r="ED59" s="54">
        <f>COUNTIF($ED$11:$ED$46,"&gt;=65%")</f>
        <v>33</v>
      </c>
      <c r="EE59" s="81" t="e">
        <f>EE58/EE9</f>
        <v>#DIV/0!</v>
      </c>
      <c r="EF59" s="72">
        <f>COUNTIF($EF$11:$EF$46,"&gt;=65%")</f>
        <v>0</v>
      </c>
      <c r="EG59" s="187" t="e">
        <f>EG58/EG9</f>
        <v>#DIV/0!</v>
      </c>
      <c r="EH59" s="72">
        <f>COUNTIF($EH$11:$EH$46,"&gt;=65%")</f>
        <v>0</v>
      </c>
      <c r="EI59" s="90">
        <f>EI58/EI9</f>
        <v>0.76944117647058841</v>
      </c>
      <c r="EJ59" s="54">
        <f>COUNTIF($EJ$11:$EJ$46,"&gt;=65%")</f>
        <v>31</v>
      </c>
      <c r="EK59" s="79"/>
      <c r="EL59" s="79"/>
      <c r="EM59" s="79">
        <f>BS58/BS9</f>
        <v>0.77825810616929691</v>
      </c>
      <c r="EN59" s="184">
        <f>COUNTIF($EN$11:$EN$46,"&gt;=65%")</f>
        <v>30</v>
      </c>
      <c r="EO59" s="79"/>
      <c r="EP59" s="4" t="str">
        <f t="shared" si="45"/>
        <v/>
      </c>
      <c r="EQ59" s="79"/>
      <c r="ER59" s="79"/>
      <c r="ES59" s="79">
        <f>BS58/BS9</f>
        <v>0.77825810616929691</v>
      </c>
      <c r="ET59" s="184">
        <f>COUNTIF($ET$11:$ET$46,"&gt;=65%")</f>
        <v>0</v>
      </c>
      <c r="EU59" s="79">
        <f>BS58/BS9</f>
        <v>0.77825810616929691</v>
      </c>
      <c r="EV59" s="184">
        <f>COUNTIF($EV$11:$EV$46,"&gt;=65%")</f>
        <v>0</v>
      </c>
      <c r="EW59" s="79"/>
      <c r="EX59" s="54"/>
      <c r="EY59" s="81">
        <f>BS58/BS9</f>
        <v>0.77825810616929691</v>
      </c>
      <c r="EZ59" s="72">
        <f>COUNTIF($EZ$11:$EZ$46,"&gt;=65%")</f>
        <v>0</v>
      </c>
      <c r="FA59" s="81">
        <f>BS58/BS9</f>
        <v>0.77825810616929691</v>
      </c>
      <c r="FB59" s="72">
        <f>COUNTIF($FB$11:$FB$46,"&gt;=65%")</f>
        <v>0</v>
      </c>
      <c r="FC59" s="54"/>
      <c r="FD59" s="54"/>
      <c r="FE59" s="79"/>
      <c r="FF59" s="54"/>
      <c r="FG59" s="166">
        <f t="shared" ref="FG59" si="111">FG58/FG9</f>
        <v>0.76334554312522562</v>
      </c>
      <c r="FH59" s="174">
        <f>COUNTIF($FH$11:$FH$46,"&gt;=65%")</f>
        <v>16</v>
      </c>
      <c r="FI59" s="166"/>
      <c r="FJ59" s="166"/>
      <c r="FK59" s="166" t="e">
        <f t="shared" ref="FK59:FO59" si="112">FK58/FK9</f>
        <v>#DIV/0!</v>
      </c>
      <c r="FL59" s="174">
        <f>COUNTIF($FL$11:$FL$46,"&gt;=65%")</f>
        <v>0</v>
      </c>
      <c r="FM59" s="166" t="e">
        <f t="shared" si="112"/>
        <v>#DIV/0!</v>
      </c>
      <c r="FN59" s="174">
        <f>COUNTIF($FN$11:$FN$46,"&gt;=65%")</f>
        <v>0</v>
      </c>
      <c r="FO59" s="173" t="e">
        <f t="shared" si="112"/>
        <v>#REF!</v>
      </c>
      <c r="FP59" s="93"/>
    </row>
    <row r="60" spans="3:172">
      <c r="BI60" s="4" t="str">
        <f>IF(Y60="","",IFERROR(Y60*($Y$9/100),""))</f>
        <v/>
      </c>
      <c r="BJ60" s="82">
        <f>BJ59/BJ61</f>
        <v>0.94117647058823528</v>
      </c>
      <c r="BK60" s="4" t="str">
        <f>IF(AB60="","",IFERROR(AB60*($BK$9/100),""))</f>
        <v/>
      </c>
      <c r="BL60" s="82">
        <f>BL59/BL61</f>
        <v>0.94117647058823528</v>
      </c>
      <c r="BN60" s="82" t="e">
        <f>BN59/BN61</f>
        <v>#DIV/0!</v>
      </c>
      <c r="BP60" s="82">
        <f>BP59/BP61</f>
        <v>0.79411764705882348</v>
      </c>
      <c r="BR60" s="82">
        <f>BR59/BR61</f>
        <v>0.79411764705882348</v>
      </c>
      <c r="BT60" s="79">
        <f>BT59/BT61</f>
        <v>0.88235294117647056</v>
      </c>
      <c r="BV60" s="82">
        <f>BV59/BV61</f>
        <v>0.79411764705882348</v>
      </c>
      <c r="BX60" s="82">
        <f>BX59/BX61</f>
        <v>0.79411764705882348</v>
      </c>
      <c r="CA60" s="94"/>
      <c r="CB60" s="82"/>
      <c r="CD60" s="82"/>
      <c r="CF60" s="82">
        <f>CF59/CF61</f>
        <v>0.79411764705882348</v>
      </c>
      <c r="CH60" s="82">
        <f>CH59/CH61</f>
        <v>0.79411764705882348</v>
      </c>
      <c r="CR60" s="79" t="e">
        <f>CR59/CR61</f>
        <v>#DIV/0!</v>
      </c>
      <c r="CS60" s="4" t="str">
        <f>IF(T60="","",IFERROR(T60*($T$9/100),""))</f>
        <v/>
      </c>
      <c r="CT60" s="79" t="e">
        <f>CT59/CT61</f>
        <v>#DIV/0!</v>
      </c>
      <c r="DS60" s="4" t="str">
        <f>IF(N60="","",IFERROR(N60*($N$9/100),""))</f>
        <v/>
      </c>
      <c r="DT60" s="79" t="e">
        <f>DT59/DT61</f>
        <v>#DIV/0!</v>
      </c>
      <c r="DY60" s="73" t="str">
        <f>IF(P60="","",IFERROR(P60*($P$9/100),""))</f>
        <v/>
      </c>
      <c r="DZ60" s="82" t="e">
        <f>DZ59/DZ61</f>
        <v>#DIV/0!</v>
      </c>
      <c r="EB60" s="82"/>
      <c r="EC60" s="73" t="str">
        <f>IF(J60="","",IFERROR(J60*($J$9/100),""))</f>
        <v/>
      </c>
      <c r="ED60" s="82">
        <f>ED59/ED61</f>
        <v>0.97058823529411764</v>
      </c>
      <c r="EE60" s="72" t="e">
        <f>IF(#REF!="","",IFERROR(#REF!*(#REF!/100),""))</f>
        <v>#REF!</v>
      </c>
      <c r="EF60" s="81" t="e">
        <f>EF59/EF61</f>
        <v>#DIV/0!</v>
      </c>
      <c r="EG60" s="183" t="e">
        <f>IF(#REF!="","",IFERROR(#REF!*(#REF!/100),""))</f>
        <v>#REF!</v>
      </c>
      <c r="EH60" s="81" t="e">
        <f>EH59/EH61</f>
        <v>#DIV/0!</v>
      </c>
      <c r="EI60" s="90" t="str">
        <f>IF(K50="","",IFERROR(K60*($K$9/100),""))</f>
        <v/>
      </c>
      <c r="EJ60" s="168">
        <f>EJ59/EJ61</f>
        <v>0.91176470588235292</v>
      </c>
      <c r="EM60" s="73"/>
      <c r="EN60" s="79">
        <f>EN59/EN61</f>
        <v>0.88235294117647056</v>
      </c>
      <c r="EP60" s="4" t="str">
        <f t="shared" si="45"/>
        <v/>
      </c>
      <c r="ES60" s="4" t="str">
        <f>IF(V60="","",IFERROR(V60*($V$9/100),""))</f>
        <v/>
      </c>
      <c r="ET60" s="79" t="e">
        <f>ET59/ET61</f>
        <v>#DIV/0!</v>
      </c>
      <c r="EU60" s="4" t="str">
        <f>IF(W60="","",IFERROR(W60*($W$9/100),""))</f>
        <v/>
      </c>
      <c r="EV60" s="79" t="e">
        <f>EV59/EV61</f>
        <v>#DIV/0!</v>
      </c>
      <c r="EX60" s="82"/>
      <c r="EY60" s="72" t="e">
        <f>IF(#REF!="","",IFERROR(#REF!*(#REF!/100),""))</f>
        <v>#REF!</v>
      </c>
      <c r="EZ60" s="81" t="e">
        <f>EZ59/EZ61</f>
        <v>#DIV/0!</v>
      </c>
      <c r="FA60" s="72" t="e">
        <f>IF(#REF!="","",IFERROR(#REF!*(#REF!/100),""))</f>
        <v>#REF!</v>
      </c>
      <c r="FB60" s="81" t="e">
        <f>FB59/FB61</f>
        <v>#DIV/0!</v>
      </c>
      <c r="FC60" s="168"/>
      <c r="FD60" s="168"/>
      <c r="FF60" s="82"/>
      <c r="FH60" s="175">
        <f>FH59/FH61</f>
        <v>0.94117647058823528</v>
      </c>
      <c r="FL60" s="175" t="e">
        <f>FL59/FL61</f>
        <v>#DIV/0!</v>
      </c>
      <c r="FN60" s="175" t="e">
        <f>FN59/FN61</f>
        <v>#DIV/0!</v>
      </c>
    </row>
    <row r="61" spans="3:172">
      <c r="BI61" s="4" t="str">
        <f>IF(Y61="","",IFERROR(Y61*($Y$9/100),""))</f>
        <v/>
      </c>
      <c r="BJ61" s="62">
        <f>COUNT(BJ11:BJ46)</f>
        <v>34</v>
      </c>
      <c r="BK61" s="4" t="str">
        <f>IF(AB61="","",IFERROR(AB61*($BK$9/100),""))</f>
        <v/>
      </c>
      <c r="BL61" s="62">
        <f>COUNT(BL11:BL46)</f>
        <v>34</v>
      </c>
      <c r="BN61" s="62">
        <f>COUNT(BN11:BN46)</f>
        <v>0</v>
      </c>
      <c r="BP61" s="62">
        <f>COUNT(BP11:BP46)</f>
        <v>34</v>
      </c>
      <c r="BQ61" s="87"/>
      <c r="BR61" s="62">
        <f>COUNT(BR11:BR46)</f>
        <v>34</v>
      </c>
      <c r="BS61" s="62"/>
      <c r="BT61" s="62">
        <f t="shared" ref="BT61:ED61" si="113">COUNT(BT11:BT46)</f>
        <v>34</v>
      </c>
      <c r="BU61" s="87"/>
      <c r="BV61" s="62">
        <f>COUNT(BV11:BV46)</f>
        <v>34</v>
      </c>
      <c r="BW61" s="62"/>
      <c r="BX61" s="62">
        <f>COUNT(BX11:BX46)</f>
        <v>34</v>
      </c>
      <c r="BY61" s="62"/>
      <c r="BZ61" s="62"/>
      <c r="CA61" s="62"/>
      <c r="CB61" s="62"/>
      <c r="CC61" s="62"/>
      <c r="CD61" s="62"/>
      <c r="CE61" s="62"/>
      <c r="CF61" s="62">
        <f>COUNT(CF11:CF46)</f>
        <v>34</v>
      </c>
      <c r="CG61" s="62"/>
      <c r="CH61" s="62">
        <f>COUNT(CH11:CH46)</f>
        <v>34</v>
      </c>
      <c r="CI61" s="62"/>
      <c r="CJ61" s="62"/>
      <c r="CK61" s="62"/>
      <c r="CL61" s="62"/>
      <c r="CM61" s="62"/>
      <c r="CN61" s="62"/>
      <c r="CO61" s="62"/>
      <c r="CP61" s="62"/>
      <c r="CQ61" s="188">
        <f>COUNT(CQ11:CQ46)</f>
        <v>0</v>
      </c>
      <c r="CR61" s="62">
        <f>COUNT(CR11:CR46)</f>
        <v>0</v>
      </c>
      <c r="CS61" s="62">
        <f t="shared" si="113"/>
        <v>0</v>
      </c>
      <c r="CT61" s="62">
        <f t="shared" si="113"/>
        <v>0</v>
      </c>
      <c r="CU61" s="62">
        <f t="shared" si="113"/>
        <v>0</v>
      </c>
      <c r="CV61" s="62">
        <f t="shared" si="113"/>
        <v>0</v>
      </c>
      <c r="CW61" s="62">
        <f t="shared" si="113"/>
        <v>0</v>
      </c>
      <c r="CX61" s="62">
        <f t="shared" si="113"/>
        <v>0</v>
      </c>
      <c r="CY61" s="62">
        <f t="shared" si="113"/>
        <v>0</v>
      </c>
      <c r="CZ61" s="62">
        <f t="shared" si="113"/>
        <v>0</v>
      </c>
      <c r="DA61" s="62">
        <f t="shared" si="113"/>
        <v>0</v>
      </c>
      <c r="DB61" s="62">
        <f t="shared" si="113"/>
        <v>0</v>
      </c>
      <c r="DC61" s="62">
        <f t="shared" si="113"/>
        <v>0</v>
      </c>
      <c r="DD61" s="62">
        <f t="shared" si="113"/>
        <v>0</v>
      </c>
      <c r="DE61" s="62">
        <f t="shared" si="113"/>
        <v>0</v>
      </c>
      <c r="DF61" s="62">
        <f t="shared" si="113"/>
        <v>0</v>
      </c>
      <c r="DG61" s="62">
        <f t="shared" si="113"/>
        <v>0</v>
      </c>
      <c r="DH61" s="62">
        <f t="shared" si="113"/>
        <v>0</v>
      </c>
      <c r="DI61" s="62">
        <f t="shared" si="113"/>
        <v>0</v>
      </c>
      <c r="DJ61" s="62">
        <f t="shared" si="113"/>
        <v>0</v>
      </c>
      <c r="DK61" s="62">
        <f t="shared" si="113"/>
        <v>0</v>
      </c>
      <c r="DL61" s="62">
        <f t="shared" si="113"/>
        <v>0</v>
      </c>
      <c r="DM61" s="62">
        <f t="shared" si="113"/>
        <v>0</v>
      </c>
      <c r="DN61" s="62">
        <f t="shared" si="113"/>
        <v>0</v>
      </c>
      <c r="DO61" s="62">
        <f t="shared" si="113"/>
        <v>0</v>
      </c>
      <c r="DP61" s="62">
        <f t="shared" si="113"/>
        <v>0</v>
      </c>
      <c r="DQ61" s="62">
        <f t="shared" si="113"/>
        <v>0</v>
      </c>
      <c r="DR61" s="62">
        <f t="shared" si="113"/>
        <v>0</v>
      </c>
      <c r="DS61" s="62">
        <f t="shared" si="113"/>
        <v>0</v>
      </c>
      <c r="DT61" s="62">
        <f t="shared" si="113"/>
        <v>0</v>
      </c>
      <c r="DU61" s="62">
        <f t="shared" si="113"/>
        <v>0</v>
      </c>
      <c r="DV61" s="62">
        <f t="shared" si="113"/>
        <v>0</v>
      </c>
      <c r="DW61" s="62">
        <f t="shared" si="113"/>
        <v>0</v>
      </c>
      <c r="DX61" s="62">
        <f t="shared" si="113"/>
        <v>0</v>
      </c>
      <c r="DY61" s="62">
        <f t="shared" si="113"/>
        <v>0</v>
      </c>
      <c r="DZ61" s="62">
        <f t="shared" si="113"/>
        <v>0</v>
      </c>
      <c r="EA61" s="62"/>
      <c r="EB61" s="62"/>
      <c r="EC61" s="62">
        <f t="shared" si="113"/>
        <v>34</v>
      </c>
      <c r="ED61" s="62">
        <f t="shared" si="113"/>
        <v>34</v>
      </c>
      <c r="EE61" s="62">
        <f t="shared" ref="EE61:FF61" si="114">COUNT(EE11:EE46)</f>
        <v>0</v>
      </c>
      <c r="EF61" s="62">
        <f t="shared" si="114"/>
        <v>0</v>
      </c>
      <c r="EG61" s="62">
        <f t="shared" si="114"/>
        <v>0</v>
      </c>
      <c r="EH61" s="62">
        <f t="shared" si="114"/>
        <v>0</v>
      </c>
      <c r="EI61" s="62">
        <f t="shared" si="114"/>
        <v>34</v>
      </c>
      <c r="EJ61" s="62">
        <f t="shared" si="114"/>
        <v>34</v>
      </c>
      <c r="EK61" s="62"/>
      <c r="EL61" s="62"/>
      <c r="EM61" s="62">
        <f t="shared" si="114"/>
        <v>34</v>
      </c>
      <c r="EN61" s="62">
        <f t="shared" si="114"/>
        <v>34</v>
      </c>
      <c r="EO61" s="62"/>
      <c r="EP61" s="62"/>
      <c r="EQ61" s="62"/>
      <c r="ER61" s="62"/>
      <c r="ES61" s="62">
        <f t="shared" si="114"/>
        <v>0</v>
      </c>
      <c r="ET61" s="62">
        <f t="shared" si="114"/>
        <v>0</v>
      </c>
      <c r="EU61" s="62">
        <f t="shared" si="114"/>
        <v>0</v>
      </c>
      <c r="EV61" s="62">
        <f t="shared" si="114"/>
        <v>0</v>
      </c>
      <c r="EW61" s="62">
        <f t="shared" si="114"/>
        <v>0</v>
      </c>
      <c r="EX61" s="62">
        <f t="shared" si="114"/>
        <v>0</v>
      </c>
      <c r="EY61" s="62">
        <f t="shared" si="114"/>
        <v>0</v>
      </c>
      <c r="EZ61" s="62">
        <f t="shared" si="114"/>
        <v>0</v>
      </c>
      <c r="FA61" s="62">
        <f t="shared" si="114"/>
        <v>0</v>
      </c>
      <c r="FB61" s="62">
        <f t="shared" si="114"/>
        <v>0</v>
      </c>
      <c r="FC61" s="62">
        <f t="shared" si="114"/>
        <v>0</v>
      </c>
      <c r="FD61" s="62">
        <f t="shared" si="114"/>
        <v>0</v>
      </c>
      <c r="FE61" s="62">
        <f t="shared" si="114"/>
        <v>0</v>
      </c>
      <c r="FF61" s="62">
        <f t="shared" si="114"/>
        <v>0</v>
      </c>
      <c r="FH61" s="176">
        <f>COUNT(FH11:FH46)</f>
        <v>17</v>
      </c>
      <c r="FL61" s="176">
        <f>COUNT(FL11:FL46)</f>
        <v>0</v>
      </c>
      <c r="FN61" s="176">
        <f>COUNT(FN11:FN46)</f>
        <v>0</v>
      </c>
    </row>
    <row r="62" spans="3:172">
      <c r="C62" s="34" t="s">
        <v>359</v>
      </c>
      <c r="EE62" s="72" t="e">
        <f>IF(#REF!="","",IFERROR(#REF!*(#REF!/100),""))</f>
        <v>#REF!</v>
      </c>
    </row>
    <row r="63" spans="3:172">
      <c r="C63" s="80" t="s">
        <v>172</v>
      </c>
      <c r="D63" s="80" t="s">
        <v>179</v>
      </c>
      <c r="E63" s="80" t="s">
        <v>77</v>
      </c>
      <c r="F63" s="80" t="s">
        <v>186</v>
      </c>
      <c r="G63" s="80" t="s">
        <v>175</v>
      </c>
      <c r="H63" s="80" t="s">
        <v>176</v>
      </c>
      <c r="I63" s="1" t="s">
        <v>181</v>
      </c>
      <c r="J63" s="1" t="s">
        <v>182</v>
      </c>
      <c r="K63" s="1" t="s">
        <v>175</v>
      </c>
      <c r="L63" s="1" t="s">
        <v>176</v>
      </c>
      <c r="M63" s="1"/>
      <c r="AI63" s="35"/>
      <c r="AJ63" s="35"/>
      <c r="AK63" s="35"/>
      <c r="AL63" s="35"/>
      <c r="BJ63"/>
      <c r="BN63" s="35"/>
      <c r="EE63" s="72" t="e">
        <f>IF(#REF!="","",IFERROR(#REF!*(#REF!/100),""))</f>
        <v>#REF!</v>
      </c>
    </row>
    <row r="64" spans="3:172">
      <c r="C64" s="273" t="s">
        <v>93</v>
      </c>
      <c r="D64" s="62" t="s">
        <v>108</v>
      </c>
      <c r="E64" s="87">
        <f>IF(BI9="","",BI9)</f>
        <v>50</v>
      </c>
      <c r="F64" s="87">
        <f>IF(BI58="","",BI58)</f>
        <v>40.344531250000003</v>
      </c>
      <c r="G64" s="81">
        <f>IF(BI59="","",BI59)</f>
        <v>0.80689062500000008</v>
      </c>
      <c r="H64" s="205" t="str">
        <f>IF(G64="","",IF(G64&gt;=70%,"Tercapai","Belum Tercapai"))</f>
        <v>Tercapai</v>
      </c>
      <c r="I64" s="90">
        <f>IF(BJ61="","",BJ61)</f>
        <v>34</v>
      </c>
      <c r="J64" s="230">
        <v>32</v>
      </c>
      <c r="K64" s="81">
        <f>IFERROR(J64/I64,"")</f>
        <v>0.94117647058823528</v>
      </c>
      <c r="L64" s="205" t="str">
        <f>IF(K64="","",(IF(K64&gt;=70%,"Tercapai","Belum Tercapai")))</f>
        <v>Tercapai</v>
      </c>
      <c r="M64" s="2"/>
      <c r="AI64" s="35"/>
      <c r="AJ64" s="35"/>
      <c r="AK64" s="35"/>
      <c r="AL64" s="35"/>
      <c r="BJ64"/>
      <c r="BN64" s="35"/>
    </row>
    <row r="65" spans="3:66">
      <c r="C65" s="277"/>
      <c r="D65" s="177" t="s">
        <v>104</v>
      </c>
      <c r="E65" s="87">
        <f>IF(BK9="","",BK9)</f>
        <v>150</v>
      </c>
      <c r="F65" s="71">
        <f>IF(BK58="","",BK58)</f>
        <v>122.84765625000003</v>
      </c>
      <c r="G65" s="81">
        <f>IF(BK59="","",BK59)</f>
        <v>0.81898437500000021</v>
      </c>
      <c r="H65" s="205" t="str">
        <f>IF(G65="","",IF(G65&gt;=70%,"Tercapai","Belum Tercapai"))</f>
        <v>Tercapai</v>
      </c>
      <c r="I65" s="190">
        <v>34</v>
      </c>
      <c r="J65" s="230">
        <v>32</v>
      </c>
      <c r="K65" s="81">
        <f>IFERROR(J65/I65,"")</f>
        <v>0.94117647058823528</v>
      </c>
      <c r="L65" s="205" t="str">
        <f>IF(K65="","",(IF(K65&gt;=70%,"Tercapai","Belum Tercapai")))</f>
        <v>Tercapai</v>
      </c>
      <c r="M65" s="177"/>
      <c r="AI65" s="35"/>
      <c r="AJ65" s="35"/>
      <c r="AK65" s="35"/>
      <c r="AL65" s="35"/>
      <c r="BJ65"/>
      <c r="BN65" s="35"/>
    </row>
    <row r="66" spans="3:66">
      <c r="C66" s="274"/>
      <c r="D66" s="177" t="s">
        <v>118</v>
      </c>
      <c r="E66" s="71"/>
      <c r="F66" s="205"/>
      <c r="G66" s="205"/>
      <c r="H66" s="205" t="str">
        <f t="shared" ref="H66:H119" si="115">IF(G66="","",IF(G66&gt;=70%,"Tercapai","Belum Tercapai"))</f>
        <v/>
      </c>
      <c r="I66" s="190"/>
      <c r="J66" s="230"/>
      <c r="K66" s="81" t="str">
        <f t="shared" ref="K66:K111" si="116">IFERROR(J66/I66,"")</f>
        <v/>
      </c>
      <c r="L66" s="205" t="str">
        <f t="shared" ref="L66:L119" si="117">IF(K66="","",(IF(K66&gt;=70%,"Tercapai","Belum Tercapai")))</f>
        <v/>
      </c>
      <c r="M66" s="177"/>
      <c r="AI66" s="35"/>
      <c r="AJ66" s="35"/>
      <c r="AK66" s="35"/>
      <c r="AL66" s="35"/>
      <c r="BJ66"/>
      <c r="BN66" s="35"/>
    </row>
    <row r="67" spans="3:66">
      <c r="C67" s="273" t="s">
        <v>117</v>
      </c>
      <c r="D67" s="177" t="s">
        <v>119</v>
      </c>
      <c r="E67" s="71">
        <f>IF(BO9="","",BO9)</f>
        <v>38</v>
      </c>
      <c r="F67" s="71">
        <f>IF(BO58="","",BO58)</f>
        <v>29.007620588235298</v>
      </c>
      <c r="G67" s="81">
        <f>IF(BP58="","",BP58)</f>
        <v>0.76335843653250768</v>
      </c>
      <c r="H67" s="205" t="str">
        <f t="shared" si="115"/>
        <v>Tercapai</v>
      </c>
      <c r="I67" s="229">
        <v>34</v>
      </c>
      <c r="J67" s="230">
        <v>27</v>
      </c>
      <c r="K67" s="81">
        <f t="shared" si="116"/>
        <v>0.79411764705882348</v>
      </c>
      <c r="L67" s="205" t="str">
        <f t="shared" si="117"/>
        <v>Tercapai</v>
      </c>
      <c r="M67" s="177"/>
      <c r="AI67" s="35"/>
      <c r="AJ67" s="35"/>
      <c r="AK67" s="35"/>
      <c r="AL67" s="35"/>
      <c r="BJ67"/>
      <c r="BN67" s="35"/>
    </row>
    <row r="68" spans="3:66">
      <c r="C68" s="277"/>
      <c r="D68" s="177" t="s">
        <v>151</v>
      </c>
      <c r="E68" s="71">
        <f>IF(BQ9="","",BQ9)</f>
        <v>22</v>
      </c>
      <c r="F68" s="71">
        <f>IF(BQ58="","",BQ58)</f>
        <v>16.00694117647059</v>
      </c>
      <c r="G68" s="81">
        <f>IF(BR58="","",BR58)</f>
        <v>0.72758823529411765</v>
      </c>
      <c r="H68" s="205" t="str">
        <f t="shared" si="115"/>
        <v>Tercapai</v>
      </c>
      <c r="I68" s="229">
        <v>34</v>
      </c>
      <c r="J68" s="230">
        <v>27</v>
      </c>
      <c r="K68" s="81">
        <f t="shared" si="116"/>
        <v>0.79411764705882348</v>
      </c>
      <c r="L68" s="205" t="str">
        <f t="shared" si="117"/>
        <v>Tercapai</v>
      </c>
      <c r="M68" s="177"/>
      <c r="AI68" s="35"/>
      <c r="AJ68" s="35"/>
      <c r="AK68" s="35"/>
      <c r="AL68" s="35"/>
      <c r="BJ68"/>
      <c r="BN68" s="35"/>
    </row>
    <row r="69" spans="3:66">
      <c r="C69" s="277"/>
      <c r="D69" s="177" t="s">
        <v>152</v>
      </c>
      <c r="E69" s="71">
        <f>IF(BS9="","",BS9)</f>
        <v>41</v>
      </c>
      <c r="F69" s="71">
        <f>IF(BS58="","",BS58)</f>
        <v>31.908582352941174</v>
      </c>
      <c r="G69" s="81">
        <f>IF(BT58="","",BT58)</f>
        <v>0.77825810616929714</v>
      </c>
      <c r="H69" s="205" t="str">
        <f t="shared" si="115"/>
        <v>Tercapai</v>
      </c>
      <c r="I69" s="229">
        <v>34</v>
      </c>
      <c r="J69" s="230">
        <v>27</v>
      </c>
      <c r="K69" s="81">
        <f t="shared" si="116"/>
        <v>0.79411764705882348</v>
      </c>
      <c r="L69" s="205" t="str">
        <f t="shared" si="117"/>
        <v>Tercapai</v>
      </c>
      <c r="M69" s="177"/>
      <c r="AI69" s="35"/>
      <c r="AJ69" s="35"/>
      <c r="AK69" s="35"/>
      <c r="AL69" s="35"/>
      <c r="BJ69"/>
      <c r="BN69" s="35"/>
    </row>
    <row r="70" spans="3:66">
      <c r="C70" s="277"/>
      <c r="D70" s="177" t="s">
        <v>153</v>
      </c>
      <c r="E70" s="71">
        <f>IF(BU9="","",BU9)</f>
        <v>91</v>
      </c>
      <c r="F70" s="71">
        <f>IF(BU58="","",BU58)</f>
        <v>69.043505882352946</v>
      </c>
      <c r="G70" s="81">
        <f>IF(BV58="","",BV58)</f>
        <v>0.75871984486102129</v>
      </c>
      <c r="H70" s="205" t="str">
        <f t="shared" si="115"/>
        <v>Tercapai</v>
      </c>
      <c r="I70" s="229">
        <v>34</v>
      </c>
      <c r="J70" s="230">
        <v>30</v>
      </c>
      <c r="K70" s="81">
        <f t="shared" si="116"/>
        <v>0.88235294117647056</v>
      </c>
      <c r="L70" s="205" t="str">
        <f t="shared" si="117"/>
        <v>Tercapai</v>
      </c>
      <c r="M70" s="177"/>
      <c r="AI70" s="35"/>
      <c r="AJ70" s="35"/>
      <c r="AK70" s="35"/>
      <c r="AL70" s="35"/>
      <c r="BJ70"/>
      <c r="BN70" s="35"/>
    </row>
    <row r="71" spans="3:66">
      <c r="C71" s="200"/>
      <c r="D71" s="205" t="s">
        <v>323</v>
      </c>
      <c r="E71" s="71">
        <f>IF(BW9="","",BW9)</f>
        <v>123</v>
      </c>
      <c r="F71" s="71">
        <f>IF(BW58="","",BW58)</f>
        <v>90.460529411764711</v>
      </c>
      <c r="G71" s="81">
        <f>IF(BX58="","",BX58)</f>
        <v>0.73545145863223327</v>
      </c>
      <c r="H71" s="205" t="str">
        <f t="shared" si="115"/>
        <v>Tercapai</v>
      </c>
      <c r="I71" s="229">
        <v>34</v>
      </c>
      <c r="J71" s="230">
        <v>27</v>
      </c>
      <c r="K71" s="81">
        <f t="shared" si="116"/>
        <v>0.79411764705882348</v>
      </c>
      <c r="L71" s="205" t="str">
        <f t="shared" si="117"/>
        <v>Tercapai</v>
      </c>
      <c r="M71" s="205"/>
      <c r="AI71" s="35"/>
      <c r="AJ71" s="35"/>
      <c r="AK71" s="35"/>
      <c r="AL71" s="35"/>
      <c r="BJ71"/>
      <c r="BN71" s="35"/>
    </row>
    <row r="72" spans="3:66">
      <c r="C72" s="273" t="s">
        <v>107</v>
      </c>
      <c r="D72" s="177" t="s">
        <v>110</v>
      </c>
      <c r="E72" s="71"/>
      <c r="F72" s="71"/>
      <c r="G72" s="205"/>
      <c r="H72" s="205" t="str">
        <f t="shared" si="115"/>
        <v/>
      </c>
      <c r="I72" s="88" t="str">
        <f>IF(BY58="","",BY58)</f>
        <v/>
      </c>
      <c r="J72" s="230" t="str">
        <f>IF(BY59="","",BY59)</f>
        <v/>
      </c>
      <c r="K72" s="81" t="str">
        <f t="shared" si="116"/>
        <v/>
      </c>
      <c r="L72" s="205" t="str">
        <f t="shared" si="117"/>
        <v/>
      </c>
      <c r="M72" s="177"/>
      <c r="AI72" s="35"/>
      <c r="AJ72" s="35"/>
      <c r="AK72" s="35"/>
      <c r="AL72" s="35"/>
      <c r="BJ72"/>
      <c r="BN72" s="35"/>
    </row>
    <row r="73" spans="3:66">
      <c r="C73" s="277"/>
      <c r="D73" s="177" t="s">
        <v>116</v>
      </c>
      <c r="E73" s="71"/>
      <c r="F73" s="71"/>
      <c r="G73" s="205"/>
      <c r="H73" s="205" t="str">
        <f t="shared" si="115"/>
        <v/>
      </c>
      <c r="I73" s="88" t="str">
        <f>IF(CA58="","",CA58)</f>
        <v/>
      </c>
      <c r="J73" s="230" t="str">
        <f>IF(CA59="","",CA59)</f>
        <v/>
      </c>
      <c r="K73" s="81" t="str">
        <f t="shared" si="116"/>
        <v/>
      </c>
      <c r="L73" s="205" t="str">
        <f t="shared" si="117"/>
        <v/>
      </c>
      <c r="M73" s="177"/>
      <c r="AI73" s="35"/>
      <c r="AJ73" s="35"/>
      <c r="AK73" s="35"/>
      <c r="AL73" s="35"/>
      <c r="BJ73"/>
      <c r="BN73" s="35"/>
    </row>
    <row r="74" spans="3:66">
      <c r="C74" s="274"/>
      <c r="D74" s="177" t="s">
        <v>114</v>
      </c>
      <c r="E74" s="71"/>
      <c r="F74" s="71"/>
      <c r="G74" s="205"/>
      <c r="H74" s="205" t="str">
        <f t="shared" si="115"/>
        <v/>
      </c>
      <c r="I74" s="88" t="str">
        <f>IF(CC58="","",CC58)</f>
        <v/>
      </c>
      <c r="J74" s="230" t="str">
        <f>IF(CC59="","",CC59)</f>
        <v/>
      </c>
      <c r="K74" s="81" t="str">
        <f t="shared" si="116"/>
        <v/>
      </c>
      <c r="L74" s="205" t="str">
        <f t="shared" si="117"/>
        <v/>
      </c>
      <c r="M74" s="177"/>
      <c r="AI74" s="35"/>
      <c r="AJ74" s="35"/>
      <c r="AK74" s="35"/>
      <c r="AL74" s="35"/>
      <c r="AM74" s="35"/>
      <c r="BJ74"/>
      <c r="BN74" s="35"/>
    </row>
    <row r="75" spans="3:66">
      <c r="C75" s="273" t="s">
        <v>106</v>
      </c>
      <c r="D75" s="177" t="s">
        <v>109</v>
      </c>
      <c r="E75" s="71">
        <f>IF(CE9="","",CE9)</f>
        <v>50</v>
      </c>
      <c r="F75" s="71">
        <f>IF(CE58="","",CE58)</f>
        <v>37.992647058823536</v>
      </c>
      <c r="G75" s="81">
        <f>IF(CE59="","",CE59)</f>
        <v>0.75985294117647073</v>
      </c>
      <c r="H75" s="205" t="str">
        <f t="shared" si="115"/>
        <v>Tercapai</v>
      </c>
      <c r="I75" s="88">
        <v>34</v>
      </c>
      <c r="J75" s="230">
        <v>27</v>
      </c>
      <c r="K75" s="81">
        <f t="shared" si="116"/>
        <v>0.79411764705882348</v>
      </c>
      <c r="L75" s="205" t="str">
        <f t="shared" si="117"/>
        <v>Tercapai</v>
      </c>
      <c r="M75" s="177"/>
      <c r="AI75" s="35"/>
      <c r="AJ75" s="35"/>
      <c r="AK75" s="35"/>
      <c r="AL75" s="35"/>
      <c r="AM75" s="35"/>
      <c r="BJ75"/>
      <c r="BN75" s="35"/>
    </row>
    <row r="76" spans="3:66">
      <c r="C76" s="277"/>
      <c r="D76" s="177" t="s">
        <v>154</v>
      </c>
      <c r="E76" s="71">
        <f>IF(CG9="","",CG9)</f>
        <v>50</v>
      </c>
      <c r="F76" s="71">
        <f>IF(CG58="","",CG58)</f>
        <v>35.622058823529422</v>
      </c>
      <c r="G76" s="81">
        <f>IF(CG59="","",CG59)</f>
        <v>0.71244117647058847</v>
      </c>
      <c r="H76" s="205" t="str">
        <f t="shared" si="115"/>
        <v>Tercapai</v>
      </c>
      <c r="I76" s="88">
        <v>34</v>
      </c>
      <c r="J76" s="230">
        <v>27</v>
      </c>
      <c r="K76" s="81">
        <f t="shared" si="116"/>
        <v>0.79411764705882348</v>
      </c>
      <c r="L76" s="205" t="str">
        <f t="shared" si="117"/>
        <v>Tercapai</v>
      </c>
      <c r="M76" s="177"/>
      <c r="AI76" s="35"/>
      <c r="AJ76" s="35"/>
      <c r="AK76" s="35"/>
      <c r="AL76" s="35"/>
      <c r="AM76" s="35"/>
      <c r="BJ76"/>
      <c r="BN76" s="35"/>
    </row>
    <row r="77" spans="3:66">
      <c r="C77" s="277"/>
      <c r="D77" s="177" t="s">
        <v>270</v>
      </c>
      <c r="E77" s="71"/>
      <c r="F77" s="71"/>
      <c r="G77" s="205"/>
      <c r="H77" s="205" t="str">
        <f t="shared" si="115"/>
        <v/>
      </c>
      <c r="I77" s="88"/>
      <c r="J77" s="230"/>
      <c r="K77" s="81" t="str">
        <f t="shared" si="116"/>
        <v/>
      </c>
      <c r="L77" s="205" t="str">
        <f t="shared" si="117"/>
        <v/>
      </c>
      <c r="M77" s="177"/>
      <c r="AI77" s="35"/>
      <c r="AJ77" s="35"/>
      <c r="AK77" s="35"/>
      <c r="AL77" s="35"/>
      <c r="AM77" s="35"/>
      <c r="BJ77"/>
      <c r="BN77" s="35"/>
    </row>
    <row r="78" spans="3:66">
      <c r="C78" s="277"/>
      <c r="D78" s="177" t="s">
        <v>271</v>
      </c>
      <c r="E78" s="71"/>
      <c r="F78" s="71"/>
      <c r="G78" s="205"/>
      <c r="H78" s="205" t="str">
        <f t="shared" si="115"/>
        <v/>
      </c>
      <c r="I78" s="88"/>
      <c r="J78" s="230"/>
      <c r="K78" s="81" t="str">
        <f t="shared" si="116"/>
        <v/>
      </c>
      <c r="L78" s="205" t="str">
        <f t="shared" si="117"/>
        <v/>
      </c>
      <c r="M78" s="177"/>
      <c r="AI78" s="35"/>
      <c r="AJ78" s="35"/>
      <c r="AK78" s="35"/>
      <c r="AL78" s="35"/>
      <c r="AM78" s="35"/>
      <c r="BJ78"/>
      <c r="BN78" s="35"/>
    </row>
    <row r="79" spans="3:66">
      <c r="C79" s="277"/>
      <c r="D79" s="177" t="s">
        <v>272</v>
      </c>
      <c r="E79" s="71"/>
      <c r="F79" s="71"/>
      <c r="G79" s="205"/>
      <c r="H79" s="205" t="str">
        <f t="shared" si="115"/>
        <v/>
      </c>
      <c r="I79" s="88"/>
      <c r="J79" s="230"/>
      <c r="K79" s="81" t="str">
        <f t="shared" si="116"/>
        <v/>
      </c>
      <c r="L79" s="205" t="str">
        <f t="shared" si="117"/>
        <v/>
      </c>
      <c r="M79" s="177"/>
      <c r="AI79" s="35"/>
      <c r="AJ79" s="35"/>
      <c r="AK79" s="35"/>
      <c r="AL79" s="35"/>
      <c r="AM79" s="35"/>
      <c r="BJ79"/>
      <c r="BN79" s="35"/>
    </row>
    <row r="80" spans="3:66">
      <c r="C80" s="277"/>
      <c r="D80" s="177" t="s">
        <v>273</v>
      </c>
      <c r="E80" s="71"/>
      <c r="F80" s="71"/>
      <c r="G80" s="205"/>
      <c r="H80" s="205" t="str">
        <f t="shared" si="115"/>
        <v/>
      </c>
      <c r="I80" s="88"/>
      <c r="J80" s="230"/>
      <c r="K80" s="81" t="str">
        <f t="shared" si="116"/>
        <v/>
      </c>
      <c r="L80" s="205" t="str">
        <f t="shared" si="117"/>
        <v/>
      </c>
      <c r="M80" s="177"/>
      <c r="AI80" s="35"/>
      <c r="AJ80" s="35"/>
      <c r="AK80" s="35"/>
      <c r="AL80" s="35"/>
      <c r="AM80" s="35"/>
      <c r="BJ80"/>
      <c r="BN80" s="35"/>
    </row>
    <row r="81" spans="3:66">
      <c r="C81" s="274"/>
      <c r="D81" s="177" t="s">
        <v>274</v>
      </c>
      <c r="E81" s="71"/>
      <c r="F81" s="71"/>
      <c r="G81" s="205"/>
      <c r="H81" s="205" t="str">
        <f t="shared" si="115"/>
        <v/>
      </c>
      <c r="I81" s="88"/>
      <c r="J81" s="230"/>
      <c r="K81" s="81"/>
      <c r="L81" s="205"/>
      <c r="M81" s="177"/>
      <c r="AI81" s="35"/>
      <c r="AJ81" s="35"/>
      <c r="AK81" s="35"/>
      <c r="AL81" s="35"/>
      <c r="BJ81"/>
      <c r="BN81" s="35"/>
    </row>
    <row r="82" spans="3:66">
      <c r="C82" s="273" t="s">
        <v>143</v>
      </c>
      <c r="D82" s="177" t="s">
        <v>155</v>
      </c>
      <c r="E82" s="71"/>
      <c r="F82" s="71"/>
      <c r="G82" s="205"/>
      <c r="H82" s="205" t="str">
        <f t="shared" si="115"/>
        <v/>
      </c>
      <c r="I82" s="88" t="str">
        <f>IF(CI58="","",CI58)</f>
        <v/>
      </c>
      <c r="J82" s="230" t="str">
        <f>IF(CI59="","",CI59)</f>
        <v/>
      </c>
      <c r="K82" s="81" t="str">
        <f t="shared" si="116"/>
        <v/>
      </c>
      <c r="L82" s="205" t="str">
        <f t="shared" si="117"/>
        <v/>
      </c>
      <c r="M82" s="177"/>
      <c r="AI82" s="35"/>
      <c r="AJ82" s="35"/>
      <c r="AK82" s="35"/>
      <c r="AL82" s="35"/>
      <c r="BJ82"/>
      <c r="BN82" s="35"/>
    </row>
    <row r="83" spans="3:66">
      <c r="C83" s="277"/>
      <c r="D83" s="177" t="s">
        <v>156</v>
      </c>
      <c r="E83" s="71"/>
      <c r="F83" s="71"/>
      <c r="G83" s="205"/>
      <c r="H83" s="205" t="str">
        <f t="shared" si="115"/>
        <v/>
      </c>
      <c r="I83" s="88"/>
      <c r="J83" s="230"/>
      <c r="K83" s="81" t="str">
        <f t="shared" si="116"/>
        <v/>
      </c>
      <c r="L83" s="205" t="str">
        <f t="shared" si="117"/>
        <v/>
      </c>
      <c r="M83" s="177"/>
      <c r="AI83" s="35"/>
      <c r="AJ83" s="35"/>
      <c r="AK83" s="35"/>
      <c r="AL83" s="35"/>
      <c r="BJ83"/>
      <c r="BN83" s="35"/>
    </row>
    <row r="84" spans="3:66">
      <c r="C84" s="277"/>
      <c r="D84" s="177" t="s">
        <v>275</v>
      </c>
      <c r="E84" s="71"/>
      <c r="F84" s="71"/>
      <c r="G84" s="205"/>
      <c r="H84" s="205" t="str">
        <f t="shared" si="115"/>
        <v/>
      </c>
      <c r="I84" s="88"/>
      <c r="J84" s="230"/>
      <c r="K84" s="81" t="str">
        <f t="shared" si="116"/>
        <v/>
      </c>
      <c r="L84" s="205" t="str">
        <f t="shared" si="117"/>
        <v/>
      </c>
      <c r="M84" s="177"/>
      <c r="AI84" s="35"/>
      <c r="AJ84" s="35"/>
      <c r="AK84" s="35"/>
      <c r="AL84" s="35"/>
      <c r="BJ84"/>
      <c r="BN84" s="35"/>
    </row>
    <row r="85" spans="3:66">
      <c r="C85" s="277"/>
      <c r="D85" s="177" t="s">
        <v>276</v>
      </c>
      <c r="E85" s="71"/>
      <c r="F85" s="71"/>
      <c r="G85" s="205"/>
      <c r="H85" s="205" t="str">
        <f t="shared" si="115"/>
        <v/>
      </c>
      <c r="I85" s="88"/>
      <c r="J85" s="230"/>
      <c r="K85" s="81" t="str">
        <f t="shared" si="116"/>
        <v/>
      </c>
      <c r="L85" s="205" t="str">
        <f t="shared" si="117"/>
        <v/>
      </c>
      <c r="M85" s="177"/>
      <c r="AI85" s="35"/>
      <c r="AJ85" s="35"/>
      <c r="AK85" s="35"/>
      <c r="AL85" s="35"/>
      <c r="BJ85"/>
      <c r="BN85" s="35"/>
    </row>
    <row r="86" spans="3:66">
      <c r="C86" s="277"/>
      <c r="D86" s="177" t="s">
        <v>277</v>
      </c>
      <c r="E86" s="71"/>
      <c r="F86" s="71"/>
      <c r="G86" s="205"/>
      <c r="H86" s="205" t="str">
        <f t="shared" si="115"/>
        <v/>
      </c>
      <c r="I86" s="88"/>
      <c r="J86" s="230"/>
      <c r="K86" s="81" t="str">
        <f t="shared" si="116"/>
        <v/>
      </c>
      <c r="L86" s="205" t="str">
        <f t="shared" si="117"/>
        <v/>
      </c>
      <c r="M86" s="177"/>
      <c r="AI86" s="35"/>
      <c r="AJ86" s="35"/>
      <c r="AK86" s="35"/>
      <c r="AL86" s="35"/>
      <c r="BJ86"/>
      <c r="BN86" s="35"/>
    </row>
    <row r="87" spans="3:66">
      <c r="C87" s="277"/>
      <c r="D87" s="177" t="s">
        <v>278</v>
      </c>
      <c r="E87" s="71"/>
      <c r="F87" s="71"/>
      <c r="G87" s="205"/>
      <c r="H87" s="205" t="str">
        <f t="shared" si="115"/>
        <v/>
      </c>
      <c r="I87" s="88"/>
      <c r="J87" s="230"/>
      <c r="K87" s="81" t="str">
        <f t="shared" si="116"/>
        <v/>
      </c>
      <c r="L87" s="205" t="str">
        <f t="shared" si="117"/>
        <v/>
      </c>
      <c r="M87" s="177"/>
      <c r="AI87" s="35"/>
      <c r="AJ87" s="35"/>
      <c r="AK87" s="35"/>
      <c r="AL87" s="35"/>
      <c r="BJ87"/>
      <c r="BN87" s="35"/>
    </row>
    <row r="88" spans="3:66">
      <c r="C88" s="277"/>
      <c r="D88" s="177" t="s">
        <v>279</v>
      </c>
      <c r="E88" s="71"/>
      <c r="F88" s="71"/>
      <c r="G88" s="205"/>
      <c r="H88" s="205" t="str">
        <f t="shared" si="115"/>
        <v/>
      </c>
      <c r="I88" s="88"/>
      <c r="J88" s="230"/>
      <c r="K88" s="81" t="str">
        <f t="shared" si="116"/>
        <v/>
      </c>
      <c r="L88" s="205" t="str">
        <f t="shared" si="117"/>
        <v/>
      </c>
      <c r="M88" s="177"/>
      <c r="AI88" s="35"/>
      <c r="AJ88" s="35"/>
      <c r="AK88" s="35"/>
      <c r="AL88" s="35"/>
      <c r="BJ88"/>
      <c r="BN88" s="35"/>
    </row>
    <row r="89" spans="3:66">
      <c r="C89" s="274"/>
      <c r="D89" s="177" t="s">
        <v>280</v>
      </c>
      <c r="E89" s="71"/>
      <c r="F89" s="71"/>
      <c r="G89" s="205"/>
      <c r="H89" s="205" t="str">
        <f t="shared" si="115"/>
        <v/>
      </c>
      <c r="I89" s="88"/>
      <c r="J89" s="230" t="str">
        <f>IF(CW59="","",CW59)</f>
        <v/>
      </c>
      <c r="K89" s="81" t="str">
        <f t="shared" si="116"/>
        <v/>
      </c>
      <c r="L89" s="205" t="str">
        <f t="shared" si="117"/>
        <v/>
      </c>
      <c r="M89" s="177"/>
      <c r="AI89" s="35"/>
      <c r="AJ89" s="35"/>
      <c r="AK89" s="35"/>
      <c r="AL89" s="35"/>
      <c r="BJ89"/>
      <c r="BN89" s="35"/>
    </row>
    <row r="90" spans="3:66">
      <c r="C90" s="273" t="s">
        <v>144</v>
      </c>
      <c r="D90" s="177" t="s">
        <v>157</v>
      </c>
      <c r="E90" s="71"/>
      <c r="F90" s="71"/>
      <c r="G90" s="205"/>
      <c r="H90" s="205" t="str">
        <f t="shared" si="115"/>
        <v/>
      </c>
      <c r="I90" s="88"/>
      <c r="J90" s="230" t="str">
        <f>IF(CY59="","",CY59)</f>
        <v/>
      </c>
      <c r="K90" s="81" t="str">
        <f t="shared" si="116"/>
        <v/>
      </c>
      <c r="L90" s="205" t="str">
        <f t="shared" si="117"/>
        <v/>
      </c>
      <c r="M90" s="177"/>
      <c r="AI90" s="35"/>
      <c r="AJ90" s="35"/>
      <c r="AK90" s="35"/>
      <c r="AL90" s="35"/>
      <c r="BJ90"/>
      <c r="BN90" s="35"/>
    </row>
    <row r="91" spans="3:66">
      <c r="C91" s="277"/>
      <c r="D91" s="177" t="s">
        <v>158</v>
      </c>
      <c r="E91" s="71"/>
      <c r="F91" s="71"/>
      <c r="G91" s="205"/>
      <c r="H91" s="205" t="str">
        <f t="shared" si="115"/>
        <v/>
      </c>
      <c r="I91" s="88"/>
      <c r="J91" s="230" t="str">
        <f>IF(DA59="","",DA59)</f>
        <v/>
      </c>
      <c r="K91" s="81" t="str">
        <f t="shared" si="116"/>
        <v/>
      </c>
      <c r="L91" s="205" t="str">
        <f t="shared" si="117"/>
        <v/>
      </c>
      <c r="M91" s="177"/>
      <c r="AI91" s="35"/>
      <c r="AJ91" s="35"/>
      <c r="AK91" s="35"/>
      <c r="AL91" s="35"/>
      <c r="BJ91"/>
      <c r="BN91" s="35"/>
    </row>
    <row r="92" spans="3:66">
      <c r="C92" s="277"/>
      <c r="D92" s="177" t="s">
        <v>159</v>
      </c>
      <c r="E92" s="71"/>
      <c r="F92" s="71"/>
      <c r="G92" s="205"/>
      <c r="H92" s="205" t="str">
        <f t="shared" si="115"/>
        <v/>
      </c>
      <c r="I92" s="88"/>
      <c r="J92" s="230" t="str">
        <f>IF(DC59="","",DC59)</f>
        <v/>
      </c>
      <c r="K92" s="81" t="str">
        <f t="shared" si="116"/>
        <v/>
      </c>
      <c r="L92" s="205" t="str">
        <f t="shared" si="117"/>
        <v/>
      </c>
      <c r="M92" s="177"/>
      <c r="AI92" s="35"/>
      <c r="AJ92" s="35"/>
      <c r="AK92" s="35"/>
      <c r="AL92" s="35"/>
      <c r="BJ92"/>
      <c r="BN92" s="35"/>
    </row>
    <row r="93" spans="3:66">
      <c r="C93" s="274"/>
      <c r="D93" s="177" t="s">
        <v>160</v>
      </c>
      <c r="E93" s="71"/>
      <c r="F93" s="71"/>
      <c r="G93" s="205"/>
      <c r="H93" s="205" t="str">
        <f t="shared" si="115"/>
        <v/>
      </c>
      <c r="I93" s="88"/>
      <c r="J93" s="230" t="str">
        <f>IF(DE59="","",DE59)</f>
        <v/>
      </c>
      <c r="K93" s="81" t="str">
        <f t="shared" si="116"/>
        <v/>
      </c>
      <c r="L93" s="205" t="str">
        <f t="shared" si="117"/>
        <v/>
      </c>
      <c r="M93" s="177"/>
      <c r="AI93" s="35"/>
      <c r="AJ93" s="35"/>
      <c r="AK93" s="35"/>
      <c r="AL93" s="35"/>
      <c r="BJ93"/>
      <c r="BN93" s="35"/>
    </row>
    <row r="94" spans="3:66">
      <c r="C94" s="273" t="s">
        <v>145</v>
      </c>
      <c r="D94" s="177" t="s">
        <v>161</v>
      </c>
      <c r="E94" s="71"/>
      <c r="F94" s="71"/>
      <c r="G94" s="205"/>
      <c r="H94" s="205" t="str">
        <f t="shared" si="115"/>
        <v/>
      </c>
      <c r="I94" s="88"/>
      <c r="J94" s="230" t="str">
        <f>IF(DG59="","",DG59)</f>
        <v/>
      </c>
      <c r="K94" s="81" t="str">
        <f t="shared" si="116"/>
        <v/>
      </c>
      <c r="L94" s="205" t="str">
        <f t="shared" si="117"/>
        <v/>
      </c>
      <c r="M94" s="177"/>
      <c r="AI94" s="35"/>
      <c r="AJ94" s="35"/>
      <c r="AK94" s="35"/>
      <c r="AL94" s="35"/>
      <c r="BJ94"/>
      <c r="BN94" s="35"/>
    </row>
    <row r="95" spans="3:66">
      <c r="C95" s="277"/>
      <c r="D95" s="177" t="s">
        <v>162</v>
      </c>
      <c r="E95" s="71"/>
      <c r="F95" s="71"/>
      <c r="G95" s="205"/>
      <c r="H95" s="205" t="str">
        <f t="shared" si="115"/>
        <v/>
      </c>
      <c r="I95" s="88"/>
      <c r="J95" s="230"/>
      <c r="K95" s="81" t="str">
        <f t="shared" si="116"/>
        <v/>
      </c>
      <c r="L95" s="205" t="str">
        <f t="shared" si="117"/>
        <v/>
      </c>
      <c r="M95" s="177"/>
      <c r="AI95" s="35"/>
      <c r="AJ95" s="35"/>
      <c r="AK95" s="35"/>
      <c r="AL95" s="35"/>
      <c r="BJ95"/>
      <c r="BN95" s="35"/>
    </row>
    <row r="96" spans="3:66">
      <c r="C96" s="277"/>
      <c r="D96" s="177" t="s">
        <v>163</v>
      </c>
      <c r="E96" s="71"/>
      <c r="F96" s="71"/>
      <c r="G96" s="205"/>
      <c r="H96" s="205" t="str">
        <f t="shared" si="115"/>
        <v/>
      </c>
      <c r="I96" s="88"/>
      <c r="J96" s="230"/>
      <c r="K96" s="81" t="str">
        <f t="shared" si="116"/>
        <v/>
      </c>
      <c r="L96" s="205" t="str">
        <f t="shared" si="117"/>
        <v/>
      </c>
      <c r="M96" s="177"/>
      <c r="AI96" s="35"/>
      <c r="AJ96" s="35"/>
      <c r="AK96" s="35"/>
      <c r="AL96" s="35"/>
      <c r="BJ96"/>
      <c r="BN96" s="35"/>
    </row>
    <row r="97" spans="3:66">
      <c r="C97" s="277"/>
      <c r="D97" s="177" t="s">
        <v>281</v>
      </c>
      <c r="E97" s="71"/>
      <c r="F97" s="71"/>
      <c r="G97" s="205"/>
      <c r="H97" s="205" t="str">
        <f t="shared" si="115"/>
        <v/>
      </c>
      <c r="I97" s="88"/>
      <c r="J97" s="230"/>
      <c r="K97" s="81" t="str">
        <f t="shared" si="116"/>
        <v/>
      </c>
      <c r="L97" s="205" t="str">
        <f t="shared" si="117"/>
        <v/>
      </c>
      <c r="M97" s="177"/>
      <c r="AI97" s="35"/>
      <c r="AJ97" s="35"/>
      <c r="AK97" s="35"/>
      <c r="AL97" s="35"/>
      <c r="BJ97"/>
      <c r="BN97" s="35"/>
    </row>
    <row r="98" spans="3:66">
      <c r="C98" s="277"/>
      <c r="D98" s="177" t="s">
        <v>282</v>
      </c>
      <c r="E98" s="71"/>
      <c r="F98" s="71"/>
      <c r="G98" s="205"/>
      <c r="H98" s="205" t="str">
        <f t="shared" si="115"/>
        <v/>
      </c>
      <c r="I98" s="88"/>
      <c r="J98" s="230" t="str">
        <f>IF(DI59="","",DI59)</f>
        <v/>
      </c>
      <c r="K98" s="81" t="str">
        <f t="shared" si="116"/>
        <v/>
      </c>
      <c r="L98" s="205" t="str">
        <f t="shared" si="117"/>
        <v/>
      </c>
      <c r="M98" s="177"/>
      <c r="AI98" s="35"/>
      <c r="AJ98" s="35"/>
      <c r="AK98" s="35"/>
      <c r="AL98" s="35"/>
      <c r="BJ98"/>
      <c r="BN98" s="35"/>
    </row>
    <row r="99" spans="3:66">
      <c r="C99" s="274"/>
      <c r="D99" s="177" t="s">
        <v>283</v>
      </c>
      <c r="E99" s="71"/>
      <c r="F99" s="71"/>
      <c r="G99" s="205"/>
      <c r="H99" s="205" t="str">
        <f t="shared" si="115"/>
        <v/>
      </c>
      <c r="I99" s="88"/>
      <c r="J99" s="230" t="str">
        <f>IF(DQ59="","",DQ59)</f>
        <v/>
      </c>
      <c r="K99" s="81" t="str">
        <f t="shared" si="116"/>
        <v/>
      </c>
      <c r="L99" s="205" t="str">
        <f t="shared" si="117"/>
        <v/>
      </c>
      <c r="M99" s="177"/>
      <c r="AI99" s="35"/>
      <c r="AJ99" s="35"/>
      <c r="AK99" s="35"/>
      <c r="AL99" s="35"/>
      <c r="BJ99"/>
      <c r="BN99" s="35"/>
    </row>
    <row r="100" spans="3:66">
      <c r="C100" s="273" t="s">
        <v>146</v>
      </c>
      <c r="D100" s="177" t="s">
        <v>164</v>
      </c>
      <c r="E100" s="71"/>
      <c r="F100" s="71"/>
      <c r="G100" s="205"/>
      <c r="H100" s="205" t="str">
        <f t="shared" si="115"/>
        <v/>
      </c>
      <c r="I100" s="88"/>
      <c r="J100" s="230"/>
      <c r="K100" s="81" t="str">
        <f t="shared" si="116"/>
        <v/>
      </c>
      <c r="L100" s="205" t="str">
        <f t="shared" si="117"/>
        <v/>
      </c>
      <c r="M100" s="177"/>
      <c r="AI100" s="35"/>
      <c r="AJ100" s="35"/>
      <c r="AK100" s="35"/>
      <c r="AL100" s="35"/>
      <c r="BJ100"/>
      <c r="BN100" s="35"/>
    </row>
    <row r="101" spans="3:66">
      <c r="C101" s="277"/>
      <c r="D101" s="177" t="s">
        <v>165</v>
      </c>
      <c r="E101" s="71"/>
      <c r="F101" s="71"/>
      <c r="G101" s="205"/>
      <c r="H101" s="205" t="str">
        <f t="shared" si="115"/>
        <v/>
      </c>
      <c r="I101" s="88"/>
      <c r="J101" s="230"/>
      <c r="K101" s="81" t="str">
        <f t="shared" si="116"/>
        <v/>
      </c>
      <c r="L101" s="205" t="str">
        <f t="shared" si="117"/>
        <v/>
      </c>
      <c r="M101" s="177"/>
      <c r="AI101" s="35"/>
      <c r="AJ101" s="35"/>
      <c r="AK101" s="35"/>
      <c r="AL101" s="35"/>
      <c r="BJ101"/>
      <c r="BN101" s="35"/>
    </row>
    <row r="102" spans="3:66">
      <c r="C102" s="274"/>
      <c r="D102" s="177" t="s">
        <v>284</v>
      </c>
      <c r="E102" s="71"/>
      <c r="F102" s="71"/>
      <c r="G102" s="205"/>
      <c r="H102" s="205" t="str">
        <f t="shared" si="115"/>
        <v/>
      </c>
      <c r="I102" s="88"/>
      <c r="J102" s="230"/>
      <c r="K102" s="81" t="str">
        <f t="shared" si="116"/>
        <v/>
      </c>
      <c r="L102" s="205" t="str">
        <f t="shared" si="117"/>
        <v/>
      </c>
      <c r="M102" s="177"/>
      <c r="AI102" s="35"/>
      <c r="AJ102" s="35"/>
      <c r="AK102" s="35"/>
      <c r="AL102" s="35"/>
      <c r="BJ102"/>
      <c r="BN102" s="35"/>
    </row>
    <row r="103" spans="3:66">
      <c r="C103" s="273" t="s">
        <v>113</v>
      </c>
      <c r="D103" s="2" t="s">
        <v>148</v>
      </c>
      <c r="E103" s="71"/>
      <c r="F103" s="71"/>
      <c r="G103" s="205"/>
      <c r="H103" s="205" t="str">
        <f t="shared" si="115"/>
        <v/>
      </c>
      <c r="I103" s="88"/>
      <c r="J103" s="230"/>
      <c r="K103" s="81" t="str">
        <f t="shared" si="116"/>
        <v/>
      </c>
      <c r="L103" s="205" t="str">
        <f t="shared" si="117"/>
        <v/>
      </c>
      <c r="M103" s="177"/>
      <c r="AI103" s="35"/>
      <c r="AJ103" s="35"/>
      <c r="AK103" s="35"/>
      <c r="AL103" s="35"/>
      <c r="BJ103"/>
      <c r="BN103" s="35"/>
    </row>
    <row r="104" spans="3:66">
      <c r="C104" s="277"/>
      <c r="D104" s="139" t="s">
        <v>115</v>
      </c>
      <c r="E104" s="71"/>
      <c r="F104" s="71"/>
      <c r="G104" s="205"/>
      <c r="H104" s="205" t="str">
        <f t="shared" si="115"/>
        <v/>
      </c>
      <c r="I104" s="88"/>
      <c r="J104" s="230"/>
      <c r="K104" s="81" t="str">
        <f t="shared" si="116"/>
        <v/>
      </c>
      <c r="L104" s="205" t="str">
        <f t="shared" si="117"/>
        <v/>
      </c>
      <c r="M104" s="177"/>
      <c r="AI104" s="35"/>
      <c r="AJ104" s="35"/>
      <c r="AK104" s="35"/>
      <c r="AL104" s="35"/>
      <c r="BJ104"/>
      <c r="BN104" s="35"/>
    </row>
    <row r="105" spans="3:66">
      <c r="C105" s="274"/>
      <c r="D105" s="139" t="s">
        <v>285</v>
      </c>
      <c r="E105" s="71"/>
      <c r="F105" s="71"/>
      <c r="G105" s="205"/>
      <c r="H105" s="205" t="str">
        <f t="shared" si="115"/>
        <v/>
      </c>
      <c r="I105" s="88"/>
      <c r="J105" s="230"/>
      <c r="K105" s="81" t="str">
        <f t="shared" si="116"/>
        <v/>
      </c>
      <c r="L105" s="205" t="str">
        <f t="shared" si="117"/>
        <v/>
      </c>
      <c r="M105" s="177"/>
      <c r="AI105" s="35"/>
      <c r="AJ105" s="35"/>
      <c r="AK105" s="35"/>
      <c r="AL105" s="35"/>
      <c r="BJ105"/>
      <c r="BN105" s="35"/>
    </row>
    <row r="106" spans="3:66">
      <c r="C106" s="273" t="s">
        <v>120</v>
      </c>
      <c r="D106" s="2" t="s">
        <v>123</v>
      </c>
      <c r="E106" s="71">
        <f>IF(EC9="","",EC9)</f>
        <v>16</v>
      </c>
      <c r="F106" s="71">
        <f>IF(EC58="","",EC58)</f>
        <v>12.561364705882347</v>
      </c>
      <c r="G106" s="71">
        <f>IF(ED58="","",ED58)</f>
        <v>0.78508529411764671</v>
      </c>
      <c r="H106" s="205" t="str">
        <f t="shared" si="115"/>
        <v>Tercapai</v>
      </c>
      <c r="I106" s="88">
        <v>34</v>
      </c>
      <c r="J106" s="230">
        <v>33</v>
      </c>
      <c r="K106" s="81">
        <f t="shared" si="116"/>
        <v>0.97058823529411764</v>
      </c>
      <c r="L106" s="205" t="str">
        <f t="shared" si="117"/>
        <v>Tercapai</v>
      </c>
      <c r="M106" s="177"/>
      <c r="AI106" s="35"/>
      <c r="AJ106" s="35"/>
      <c r="AK106" s="35"/>
      <c r="AL106" s="35"/>
      <c r="BJ106"/>
      <c r="BN106" s="35"/>
    </row>
    <row r="107" spans="3:66">
      <c r="C107" s="277"/>
      <c r="D107" s="139" t="s">
        <v>166</v>
      </c>
      <c r="E107" s="71"/>
      <c r="F107" s="71"/>
      <c r="G107" s="205"/>
      <c r="H107" s="205" t="str">
        <f t="shared" si="115"/>
        <v/>
      </c>
      <c r="I107" s="88"/>
      <c r="J107" s="230"/>
      <c r="K107" s="81" t="str">
        <f t="shared" si="116"/>
        <v/>
      </c>
      <c r="L107" s="205" t="str">
        <f t="shared" si="117"/>
        <v/>
      </c>
      <c r="M107" s="178"/>
      <c r="AI107" s="35"/>
      <c r="AJ107" s="35"/>
      <c r="AK107" s="35"/>
      <c r="AL107" s="35"/>
      <c r="BJ107"/>
      <c r="BN107" s="35"/>
    </row>
    <row r="108" spans="3:66">
      <c r="C108" s="277"/>
      <c r="D108" s="139" t="s">
        <v>258</v>
      </c>
      <c r="E108" s="71"/>
      <c r="F108" s="71"/>
      <c r="G108" s="205"/>
      <c r="H108" s="205" t="str">
        <f t="shared" si="115"/>
        <v/>
      </c>
      <c r="I108" s="88"/>
      <c r="J108" s="230"/>
      <c r="K108" s="81" t="str">
        <f t="shared" si="116"/>
        <v/>
      </c>
      <c r="L108" s="205" t="str">
        <f t="shared" si="117"/>
        <v/>
      </c>
      <c r="M108" s="178"/>
      <c r="AI108" s="35"/>
      <c r="AJ108" s="35"/>
      <c r="AK108" s="35"/>
      <c r="AL108" s="35"/>
      <c r="BJ108"/>
      <c r="BN108" s="35"/>
    </row>
    <row r="109" spans="3:66">
      <c r="C109" s="277"/>
      <c r="D109" s="139" t="s">
        <v>259</v>
      </c>
      <c r="E109" s="71">
        <f>IF(EI9="","",EI9)</f>
        <v>45</v>
      </c>
      <c r="F109" s="71">
        <f>IF(EI58="","",EI58)</f>
        <v>34.624852941176478</v>
      </c>
      <c r="G109" s="71">
        <f>IF(EJ58="","",EJ58)</f>
        <v>0.76944117647058796</v>
      </c>
      <c r="H109" s="205" t="str">
        <f t="shared" si="115"/>
        <v>Tercapai</v>
      </c>
      <c r="I109" s="88">
        <v>34</v>
      </c>
      <c r="J109" s="230">
        <v>31</v>
      </c>
      <c r="K109" s="81">
        <f t="shared" si="116"/>
        <v>0.91176470588235292</v>
      </c>
      <c r="L109" s="205" t="str">
        <f t="shared" si="117"/>
        <v>Tercapai</v>
      </c>
      <c r="M109" s="178"/>
      <c r="AI109" s="35"/>
      <c r="AJ109" s="35"/>
      <c r="AK109" s="35"/>
      <c r="AL109" s="35"/>
      <c r="BJ109"/>
      <c r="BN109" s="35"/>
    </row>
    <row r="110" spans="3:66">
      <c r="C110" s="274"/>
      <c r="D110" s="139" t="s">
        <v>286</v>
      </c>
      <c r="E110" s="71"/>
      <c r="F110" s="71"/>
      <c r="G110" s="205"/>
      <c r="H110" s="205" t="str">
        <f t="shared" si="115"/>
        <v/>
      </c>
      <c r="I110" s="88"/>
      <c r="J110" s="230" t="str">
        <f>IF(EK59="","",EK59)</f>
        <v/>
      </c>
      <c r="K110" s="81" t="str">
        <f t="shared" si="116"/>
        <v/>
      </c>
      <c r="L110" s="205" t="str">
        <f t="shared" si="117"/>
        <v/>
      </c>
      <c r="M110" s="177"/>
      <c r="AI110" s="35"/>
      <c r="AJ110" s="35"/>
      <c r="AK110" s="35"/>
      <c r="AL110" s="35"/>
      <c r="BJ110"/>
      <c r="BN110" s="35"/>
    </row>
    <row r="111" spans="3:66">
      <c r="C111" s="273" t="s">
        <v>147</v>
      </c>
      <c r="D111" s="2" t="s">
        <v>167</v>
      </c>
      <c r="E111" s="71">
        <f>IF(EM9="","",EM9)</f>
        <v>39</v>
      </c>
      <c r="F111" s="71">
        <f>IF(EM58="","",EM58)</f>
        <v>28.706523529411768</v>
      </c>
      <c r="G111" s="71">
        <f>IF(EN58="","",EN58)</f>
        <v>0.73606470588235262</v>
      </c>
      <c r="H111" s="205" t="str">
        <f t="shared" si="115"/>
        <v>Tercapai</v>
      </c>
      <c r="I111" s="88">
        <v>34</v>
      </c>
      <c r="J111" s="230">
        <v>30</v>
      </c>
      <c r="K111" s="81">
        <f t="shared" si="116"/>
        <v>0.88235294117647056</v>
      </c>
      <c r="L111" s="205" t="str">
        <f t="shared" si="117"/>
        <v>Tercapai</v>
      </c>
      <c r="M111" s="177"/>
      <c r="AI111" s="35"/>
      <c r="AJ111" s="35"/>
      <c r="AK111" s="35"/>
      <c r="AL111" s="35"/>
      <c r="BJ111"/>
      <c r="BN111" s="35"/>
    </row>
    <row r="112" spans="3:66">
      <c r="C112" s="277"/>
      <c r="D112" s="139" t="s">
        <v>168</v>
      </c>
      <c r="E112" s="71"/>
      <c r="F112" s="205"/>
      <c r="G112" s="205"/>
      <c r="H112" s="205" t="str">
        <f t="shared" si="115"/>
        <v/>
      </c>
      <c r="I112" s="88"/>
      <c r="J112" s="230"/>
      <c r="K112" s="139"/>
      <c r="L112" s="205" t="str">
        <f t="shared" si="117"/>
        <v/>
      </c>
      <c r="M112" s="178"/>
      <c r="AI112" s="35"/>
      <c r="AJ112" s="35"/>
      <c r="AK112" s="35"/>
      <c r="AL112" s="35"/>
      <c r="BJ112"/>
      <c r="BN112" s="35"/>
    </row>
    <row r="113" spans="3:66">
      <c r="C113" s="277"/>
      <c r="D113" s="139" t="s">
        <v>287</v>
      </c>
      <c r="E113" s="71"/>
      <c r="F113" s="205"/>
      <c r="G113" s="205"/>
      <c r="H113" s="205" t="str">
        <f t="shared" si="115"/>
        <v/>
      </c>
      <c r="I113" s="88"/>
      <c r="J113" s="230"/>
      <c r="K113" s="139"/>
      <c r="L113" s="205" t="str">
        <f t="shared" si="117"/>
        <v/>
      </c>
      <c r="M113" s="178"/>
      <c r="AI113" s="35"/>
      <c r="AJ113" s="35"/>
      <c r="AK113" s="35"/>
      <c r="AL113" s="35"/>
      <c r="BJ113"/>
      <c r="BN113" s="35"/>
    </row>
    <row r="114" spans="3:66">
      <c r="C114" s="277"/>
      <c r="D114" s="139" t="s">
        <v>261</v>
      </c>
      <c r="E114" s="71"/>
      <c r="F114" s="205"/>
      <c r="G114" s="205"/>
      <c r="H114" s="205" t="str">
        <f t="shared" si="115"/>
        <v/>
      </c>
      <c r="I114" s="88"/>
      <c r="J114" s="230"/>
      <c r="K114" s="139"/>
      <c r="L114" s="205" t="str">
        <f t="shared" si="117"/>
        <v/>
      </c>
      <c r="M114" s="178"/>
      <c r="AI114" s="35"/>
      <c r="AJ114" s="35"/>
      <c r="AK114" s="35"/>
      <c r="AL114" s="35"/>
      <c r="BJ114"/>
      <c r="BN114" s="35"/>
    </row>
    <row r="115" spans="3:66">
      <c r="C115" s="274"/>
      <c r="D115" s="139" t="s">
        <v>262</v>
      </c>
      <c r="E115" s="71"/>
      <c r="F115" s="205"/>
      <c r="G115" s="205"/>
      <c r="H115" s="205" t="str">
        <f t="shared" si="115"/>
        <v/>
      </c>
      <c r="I115" s="88"/>
      <c r="J115" s="230"/>
      <c r="K115" s="2"/>
      <c r="L115" s="205" t="str">
        <f t="shared" si="117"/>
        <v/>
      </c>
      <c r="M115" s="177"/>
      <c r="AI115" s="35"/>
      <c r="AJ115" s="35"/>
      <c r="AK115" s="35"/>
      <c r="AL115" s="35"/>
      <c r="BJ115"/>
      <c r="BN115" s="35"/>
    </row>
    <row r="116" spans="3:66">
      <c r="C116" s="273" t="s">
        <v>121</v>
      </c>
      <c r="D116" s="2" t="s">
        <v>124</v>
      </c>
      <c r="E116" s="71"/>
      <c r="F116" s="205"/>
      <c r="G116" s="205"/>
      <c r="H116" s="205" t="str">
        <f t="shared" si="115"/>
        <v/>
      </c>
      <c r="I116" s="88"/>
      <c r="J116" s="230"/>
      <c r="K116" s="2"/>
      <c r="L116" s="205" t="str">
        <f t="shared" si="117"/>
        <v/>
      </c>
      <c r="M116" s="177"/>
      <c r="AI116" s="35"/>
      <c r="AJ116" s="35"/>
      <c r="AK116" s="35"/>
      <c r="AL116" s="35"/>
      <c r="BJ116"/>
      <c r="BN116" s="35"/>
    </row>
    <row r="117" spans="3:66">
      <c r="C117" s="277"/>
      <c r="D117" s="139" t="s">
        <v>129</v>
      </c>
      <c r="E117" s="71"/>
      <c r="F117" s="205"/>
      <c r="G117" s="205"/>
      <c r="H117" s="205" t="str">
        <f t="shared" si="115"/>
        <v/>
      </c>
      <c r="I117" s="88"/>
      <c r="J117" s="230"/>
      <c r="K117" s="139"/>
      <c r="L117" s="205" t="str">
        <f t="shared" si="117"/>
        <v/>
      </c>
      <c r="M117" s="177"/>
      <c r="AI117" s="35"/>
      <c r="AJ117" s="35"/>
      <c r="AK117" s="35"/>
      <c r="AL117" s="35"/>
      <c r="BJ117"/>
      <c r="BN117" s="35"/>
    </row>
    <row r="118" spans="3:66">
      <c r="C118" s="277"/>
      <c r="D118" s="139" t="s">
        <v>267</v>
      </c>
      <c r="E118" s="71"/>
      <c r="F118" s="205"/>
      <c r="G118" s="205"/>
      <c r="H118" s="205" t="str">
        <f t="shared" si="115"/>
        <v/>
      </c>
      <c r="I118" s="88"/>
      <c r="J118" s="230"/>
      <c r="K118" s="139"/>
      <c r="L118" s="205" t="str">
        <f t="shared" si="117"/>
        <v/>
      </c>
      <c r="M118" s="177"/>
      <c r="AI118" s="35"/>
      <c r="AJ118" s="35"/>
      <c r="AK118" s="35"/>
      <c r="AL118" s="35"/>
      <c r="BJ118"/>
      <c r="BN118" s="35"/>
    </row>
    <row r="119" spans="3:66">
      <c r="C119" s="274"/>
      <c r="D119" s="139" t="s">
        <v>288</v>
      </c>
      <c r="E119" s="71"/>
      <c r="F119" s="205"/>
      <c r="G119" s="205"/>
      <c r="H119" s="205" t="str">
        <f t="shared" si="115"/>
        <v/>
      </c>
      <c r="I119" s="88"/>
      <c r="J119" s="230" t="str">
        <f>IF(FE59="","",FE59)</f>
        <v/>
      </c>
      <c r="K119" s="2" t="str">
        <f>IF(FF59="","",FF59)</f>
        <v/>
      </c>
      <c r="L119" s="205" t="str">
        <f t="shared" si="117"/>
        <v/>
      </c>
      <c r="M119" s="177"/>
      <c r="AI119" s="35"/>
      <c r="AJ119" s="35"/>
      <c r="AK119" s="35"/>
      <c r="AL119" s="35"/>
      <c r="BJ119"/>
      <c r="BN119" s="35"/>
    </row>
    <row r="121" spans="3:66">
      <c r="H121" s="35">
        <f>SUM(H64:H119)</f>
        <v>0</v>
      </c>
      <c r="I121" s="85">
        <f>SUM(I64:I119)</f>
        <v>408</v>
      </c>
      <c r="J121" s="86">
        <f>AVERAGE(J64:J119)</f>
        <v>29.166666666666668</v>
      </c>
    </row>
  </sheetData>
  <mergeCells count="137">
    <mergeCell ref="U4:U9"/>
    <mergeCell ref="V4:W4"/>
    <mergeCell ref="X4:X9"/>
    <mergeCell ref="Y4:Z4"/>
    <mergeCell ref="AA4:AA9"/>
    <mergeCell ref="R6:T6"/>
    <mergeCell ref="V6:W6"/>
    <mergeCell ref="Y6:Z6"/>
    <mergeCell ref="D4:H4"/>
    <mergeCell ref="I4:I9"/>
    <mergeCell ref="J4:L4"/>
    <mergeCell ref="M4:M9"/>
    <mergeCell ref="N4:P4"/>
    <mergeCell ref="Q4:Q9"/>
    <mergeCell ref="D6:H6"/>
    <mergeCell ref="J6:L6"/>
    <mergeCell ref="N6:P6"/>
    <mergeCell ref="DT8:DT9"/>
    <mergeCell ref="CZ8:CZ9"/>
    <mergeCell ref="BC4:BD5"/>
    <mergeCell ref="BE4:BF5"/>
    <mergeCell ref="D5:H5"/>
    <mergeCell ref="J5:L5"/>
    <mergeCell ref="N5:P5"/>
    <mergeCell ref="R5:T5"/>
    <mergeCell ref="V5:W5"/>
    <mergeCell ref="Y5:Z5"/>
    <mergeCell ref="AQ4:AR5"/>
    <mergeCell ref="AS4:AT5"/>
    <mergeCell ref="AU4:AV5"/>
    <mergeCell ref="AW4:AX5"/>
    <mergeCell ref="AY4:AZ5"/>
    <mergeCell ref="BA4:BB5"/>
    <mergeCell ref="AE4:AF5"/>
    <mergeCell ref="AG4:AH5"/>
    <mergeCell ref="AI4:AJ5"/>
    <mergeCell ref="AK4:AL5"/>
    <mergeCell ref="AM4:AN5"/>
    <mergeCell ref="AO4:AP5"/>
    <mergeCell ref="AC4:AC9"/>
    <mergeCell ref="R4:T4"/>
    <mergeCell ref="AN7:AN9"/>
    <mergeCell ref="AP7:AP9"/>
    <mergeCell ref="AR7:AR9"/>
    <mergeCell ref="AT7:AT9"/>
    <mergeCell ref="FG7:FJ7"/>
    <mergeCell ref="BY7:CD7"/>
    <mergeCell ref="BZ8:BZ9"/>
    <mergeCell ref="CB8:CB9"/>
    <mergeCell ref="CD8:CD9"/>
    <mergeCell ref="EV8:EV9"/>
    <mergeCell ref="EX8:EX9"/>
    <mergeCell ref="FF8:FF9"/>
    <mergeCell ref="FH8:FH9"/>
    <mergeCell ref="FJ8:FJ9"/>
    <mergeCell ref="DZ8:DZ9"/>
    <mergeCell ref="EB8:EB9"/>
    <mergeCell ref="ED8:ED9"/>
    <mergeCell ref="EL8:EL9"/>
    <mergeCell ref="EN8:EN9"/>
    <mergeCell ref="DX8:DX9"/>
    <mergeCell ref="EC7:EL7"/>
    <mergeCell ref="DD8:DD9"/>
    <mergeCell ref="DF8:DF9"/>
    <mergeCell ref="DH8:DH9"/>
    <mergeCell ref="C111:C115"/>
    <mergeCell ref="C116:C119"/>
    <mergeCell ref="AX7:AX9"/>
    <mergeCell ref="AZ7:AZ9"/>
    <mergeCell ref="BB7:BB9"/>
    <mergeCell ref="BD7:BD9"/>
    <mergeCell ref="BF7:BF9"/>
    <mergeCell ref="CJ8:CJ9"/>
    <mergeCell ref="CX8:CX9"/>
    <mergeCell ref="C82:C89"/>
    <mergeCell ref="C90:C93"/>
    <mergeCell ref="C94:C99"/>
    <mergeCell ref="C100:C102"/>
    <mergeCell ref="C103:C105"/>
    <mergeCell ref="C106:C110"/>
    <mergeCell ref="AV7:AV9"/>
    <mergeCell ref="C64:C66"/>
    <mergeCell ref="C67:C70"/>
    <mergeCell ref="C72:C74"/>
    <mergeCell ref="C75:C81"/>
    <mergeCell ref="AF7:AF9"/>
    <mergeCell ref="AH7:AH9"/>
    <mergeCell ref="AJ7:AJ9"/>
    <mergeCell ref="AL7:AL9"/>
    <mergeCell ref="EW6:FF6"/>
    <mergeCell ref="EW7:FF7"/>
    <mergeCell ref="EM6:EV6"/>
    <mergeCell ref="EM7:EV7"/>
    <mergeCell ref="EC6:EL6"/>
    <mergeCell ref="DB8:DB9"/>
    <mergeCell ref="BI6:BN6"/>
    <mergeCell ref="BI7:BN7"/>
    <mergeCell ref="BJ8:BJ9"/>
    <mergeCell ref="BL8:BL9"/>
    <mergeCell ref="BN8:BN9"/>
    <mergeCell ref="BP8:BP9"/>
    <mergeCell ref="BR8:BR9"/>
    <mergeCell ref="BT8:BT9"/>
    <mergeCell ref="BV8:BV9"/>
    <mergeCell ref="CV8:CV9"/>
    <mergeCell ref="CT8:CT9"/>
    <mergeCell ref="CR8:CR9"/>
    <mergeCell ref="CP8:CP9"/>
    <mergeCell ref="CN8:CN9"/>
    <mergeCell ref="CL8:CL9"/>
    <mergeCell ref="BY6:CD6"/>
    <mergeCell ref="DJ8:DJ9"/>
    <mergeCell ref="DR8:DR9"/>
    <mergeCell ref="BO6:BW6"/>
    <mergeCell ref="BO7:BW7"/>
    <mergeCell ref="DL8:DL9"/>
    <mergeCell ref="DN8:DN9"/>
    <mergeCell ref="DP8:DP9"/>
    <mergeCell ref="FL8:FL9"/>
    <mergeCell ref="FN8:FN9"/>
    <mergeCell ref="CE6:CH6"/>
    <mergeCell ref="CE7:CH7"/>
    <mergeCell ref="CF8:CF9"/>
    <mergeCell ref="CH8:CH9"/>
    <mergeCell ref="DY6:EB6"/>
    <mergeCell ref="DY7:EB7"/>
    <mergeCell ref="DS6:DX6"/>
    <mergeCell ref="DS7:DX7"/>
    <mergeCell ref="DG6:DR6"/>
    <mergeCell ref="DG7:DR7"/>
    <mergeCell ref="CY6:DF6"/>
    <mergeCell ref="CY7:DF7"/>
    <mergeCell ref="CI6:CX6"/>
    <mergeCell ref="CI7:CX7"/>
    <mergeCell ref="FK6:FN6"/>
    <mergeCell ref="FK7:FN7"/>
    <mergeCell ref="FG6:FJ6"/>
  </mergeCells>
  <phoneticPr fontId="21" type="noConversion"/>
  <printOptions horizontalCentered="1"/>
  <pageMargins left="0.31496062992125984" right="0.31496062992125984" top="0.55118110236220474" bottom="0.35433070866141736" header="0" footer="0"/>
  <pageSetup scale="65" orientation="landscape" r:id="rId1"/>
  <rowBreaks count="1" manualBreakCount="1">
    <brk id="61" max="171" man="1"/>
  </rowBreaks>
  <colBreaks count="5" manualBreakCount="5">
    <brk id="17" max="1048575" man="1"/>
    <brk id="29" max="1048575" man="1"/>
    <brk id="82" max="1048575" man="1"/>
    <brk id="122" max="1048575" man="1"/>
    <brk id="162" max="1048575" man="1"/>
  </colBrea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4C255-6725-44BE-8534-89477CD58FD8}">
  <dimension ref="A1:CP96"/>
  <sheetViews>
    <sheetView tabSelected="1" view="pageBreakPreview" zoomScale="80" zoomScaleNormal="100" zoomScaleSheetLayoutView="80" workbookViewId="0">
      <selection activeCell="I60" sqref="I60"/>
    </sheetView>
  </sheetViews>
  <sheetFormatPr defaultRowHeight="14"/>
  <cols>
    <col min="1" max="1" width="4.5" customWidth="1"/>
    <col min="2" max="2" width="13.1640625" customWidth="1"/>
    <col min="3" max="3" width="27" style="34" customWidth="1"/>
    <col min="4" max="17" width="8" style="35" customWidth="1"/>
    <col min="18" max="29" width="12.6640625" style="35" customWidth="1"/>
    <col min="30" max="30" width="8.75" style="35"/>
    <col min="31" max="31" width="10.6640625" style="35" customWidth="1"/>
    <col min="32" max="32" width="11.33203125" style="35" customWidth="1"/>
    <col min="33" max="33" width="8.75" style="35"/>
    <col min="34" max="34" width="10.33203125" style="35" customWidth="1"/>
    <col min="36" max="36" width="11.33203125" customWidth="1"/>
    <col min="38" max="46" width="11.33203125" customWidth="1"/>
    <col min="48" max="48" width="11.33203125" customWidth="1"/>
    <col min="50" max="52" width="11.33203125" customWidth="1"/>
    <col min="54" max="54" width="11.33203125" customWidth="1"/>
    <col min="55" max="55" width="8.75" style="92"/>
    <col min="57" max="95" width="0" hidden="1" customWidth="1"/>
  </cols>
  <sheetData>
    <row r="1" spans="1:94" ht="20">
      <c r="A1" s="55" t="s">
        <v>178</v>
      </c>
    </row>
    <row r="2" spans="1:94" ht="15.5">
      <c r="A2" s="56" t="s">
        <v>358</v>
      </c>
      <c r="AE2" s="57"/>
    </row>
    <row r="4" spans="1:94" s="104" customFormat="1" ht="14.5" customHeight="1">
      <c r="C4" s="105"/>
      <c r="D4" s="288" t="str">
        <f>'ListMKSmt-1'!B2</f>
        <v>MK9</v>
      </c>
      <c r="E4" s="289"/>
      <c r="F4" s="289"/>
      <c r="G4" s="289"/>
      <c r="H4" s="290"/>
      <c r="I4" s="323" t="s">
        <v>130</v>
      </c>
      <c r="J4" s="291" t="str">
        <f>'ListMKSmt-1'!B3</f>
        <v>MK10</v>
      </c>
      <c r="K4" s="292"/>
      <c r="L4" s="293"/>
      <c r="M4" s="324" t="s">
        <v>130</v>
      </c>
      <c r="N4" s="325" t="s">
        <v>310</v>
      </c>
      <c r="O4" s="326"/>
      <c r="P4" s="326"/>
      <c r="Q4" s="327" t="s">
        <v>130</v>
      </c>
      <c r="R4" s="328" t="s">
        <v>311</v>
      </c>
      <c r="S4" s="329"/>
      <c r="T4" s="330"/>
      <c r="U4" s="331" t="s">
        <v>130</v>
      </c>
      <c r="V4" s="332" t="s">
        <v>312</v>
      </c>
      <c r="W4" s="333"/>
      <c r="X4" s="334" t="s">
        <v>130</v>
      </c>
      <c r="Y4" s="335" t="s">
        <v>313</v>
      </c>
      <c r="Z4" s="336"/>
      <c r="AA4" s="240" t="s">
        <v>130</v>
      </c>
      <c r="AB4" s="337" t="s">
        <v>67</v>
      </c>
      <c r="AC4" s="338" t="s">
        <v>130</v>
      </c>
      <c r="AD4" s="114"/>
      <c r="AE4" s="339" t="s">
        <v>131</v>
      </c>
      <c r="AF4" s="340"/>
      <c r="AG4" s="339" t="s">
        <v>131</v>
      </c>
      <c r="AH4" s="340"/>
      <c r="AI4" s="339" t="s">
        <v>131</v>
      </c>
      <c r="AJ4" s="340"/>
      <c r="AK4" s="339" t="s">
        <v>131</v>
      </c>
      <c r="AL4" s="340"/>
      <c r="AM4" s="339" t="s">
        <v>131</v>
      </c>
      <c r="AN4" s="340"/>
      <c r="AO4" s="339" t="s">
        <v>131</v>
      </c>
      <c r="AP4" s="340"/>
      <c r="AQ4" s="339" t="s">
        <v>131</v>
      </c>
      <c r="AR4" s="340"/>
      <c r="AS4" s="339" t="s">
        <v>131</v>
      </c>
      <c r="AT4" s="340"/>
      <c r="AU4" s="339" t="s">
        <v>131</v>
      </c>
      <c r="AV4" s="340"/>
      <c r="AW4" s="339" t="s">
        <v>131</v>
      </c>
      <c r="AX4" s="340"/>
      <c r="AY4" s="339" t="s">
        <v>131</v>
      </c>
      <c r="AZ4" s="340"/>
      <c r="BA4" s="339" t="s">
        <v>131</v>
      </c>
      <c r="BB4" s="340"/>
      <c r="BC4" s="341"/>
    </row>
    <row r="5" spans="1:94" s="104" customFormat="1" ht="12.5">
      <c r="C5" s="105"/>
      <c r="D5" s="288" t="str">
        <f>'ListMKSmt-1'!D2</f>
        <v>P.24.05.52.2.06</v>
      </c>
      <c r="E5" s="289"/>
      <c r="F5" s="289"/>
      <c r="G5" s="289"/>
      <c r="H5" s="290"/>
      <c r="I5" s="342"/>
      <c r="J5" s="291" t="str">
        <f>'ListMKSmt-1'!D3</f>
        <v>P.24.05.52.2.07</v>
      </c>
      <c r="K5" s="292"/>
      <c r="L5" s="293"/>
      <c r="M5" s="343"/>
      <c r="N5" s="325" t="str">
        <f>'ListMKSmt-1'!D4</f>
        <v>P.24.05.52.2.08</v>
      </c>
      <c r="O5" s="326"/>
      <c r="P5" s="326"/>
      <c r="Q5" s="344"/>
      <c r="R5" s="328" t="str">
        <f>'ListMKSmt-1'!D5</f>
        <v>P.24.05.52.2.09</v>
      </c>
      <c r="S5" s="329"/>
      <c r="T5" s="330"/>
      <c r="U5" s="345"/>
      <c r="V5" s="332" t="str">
        <f>'ListMKSmt-1'!D6</f>
        <v>P.24.05.52.2.10</v>
      </c>
      <c r="W5" s="333"/>
      <c r="X5" s="346"/>
      <c r="Y5" s="335" t="str">
        <f>'ListMKSmt-1'!D7</f>
        <v>U.24.05.52.2.04</v>
      </c>
      <c r="Z5" s="336"/>
      <c r="AA5" s="241"/>
      <c r="AB5" s="337" t="str">
        <f>'ListMKSmt-1'!D8</f>
        <v>U.24.05.52.2.05</v>
      </c>
      <c r="AC5" s="347"/>
      <c r="AD5" s="114"/>
      <c r="AE5" s="348"/>
      <c r="AF5" s="349"/>
      <c r="AG5" s="348"/>
      <c r="AH5" s="349"/>
      <c r="AI5" s="348"/>
      <c r="AJ5" s="349"/>
      <c r="AK5" s="348"/>
      <c r="AL5" s="349"/>
      <c r="AM5" s="348"/>
      <c r="AN5" s="349"/>
      <c r="AO5" s="348"/>
      <c r="AP5" s="349"/>
      <c r="AQ5" s="348"/>
      <c r="AR5" s="349"/>
      <c r="AS5" s="348"/>
      <c r="AT5" s="349"/>
      <c r="AU5" s="348"/>
      <c r="AV5" s="349"/>
      <c r="AW5" s="348"/>
      <c r="AX5" s="349"/>
      <c r="AY5" s="348"/>
      <c r="AZ5" s="349"/>
      <c r="BA5" s="348"/>
      <c r="BB5" s="349"/>
      <c r="BC5" s="341"/>
    </row>
    <row r="6" spans="1:94" s="104" customFormat="1" ht="12.5">
      <c r="C6" s="105"/>
      <c r="D6" s="288" t="str">
        <f>'ListMKSmt-1'!E2</f>
        <v>Akuntansi Pengantar 2</v>
      </c>
      <c r="E6" s="289"/>
      <c r="F6" s="289"/>
      <c r="G6" s="289"/>
      <c r="H6" s="290"/>
      <c r="I6" s="342"/>
      <c r="J6" s="291" t="str">
        <f>'ListMKSmt-1'!E3</f>
        <v>Perpajakan 2</v>
      </c>
      <c r="K6" s="292"/>
      <c r="L6" s="293"/>
      <c r="M6" s="343"/>
      <c r="N6" s="325" t="str">
        <f>'ListMKSmt-1'!E4</f>
        <v>Akuntansi Sektor Publik</v>
      </c>
      <c r="O6" s="326"/>
      <c r="P6" s="326"/>
      <c r="Q6" s="344"/>
      <c r="R6" s="328" t="str">
        <f>'ListMKSmt-1'!E5</f>
        <v>Akuntansi Perbankan</v>
      </c>
      <c r="S6" s="329"/>
      <c r="T6" s="330"/>
      <c r="U6" s="345"/>
      <c r="V6" s="332" t="str">
        <f>'ListMKSmt-1'!E6</f>
        <v>Akuntansi Biaya</v>
      </c>
      <c r="W6" s="333"/>
      <c r="X6" s="346"/>
      <c r="Y6" s="335" t="str">
        <f>'ListMKSmt-1'!E7</f>
        <v>Pancasila</v>
      </c>
      <c r="Z6" s="336"/>
      <c r="AA6" s="241"/>
      <c r="AB6" s="337" t="str">
        <f>'ListMKSmt-1'!E8</f>
        <v>Bahasa Indonesia</v>
      </c>
      <c r="AC6" s="347"/>
      <c r="AD6" s="114"/>
      <c r="AE6" s="350" t="s">
        <v>290</v>
      </c>
      <c r="AF6" s="350"/>
      <c r="AG6" s="350" t="s">
        <v>354</v>
      </c>
      <c r="AH6" s="350"/>
      <c r="AI6" s="350"/>
      <c r="AJ6" s="350"/>
      <c r="AK6" s="350" t="s">
        <v>355</v>
      </c>
      <c r="AL6" s="350"/>
      <c r="AM6" s="350"/>
      <c r="AN6" s="350"/>
      <c r="AO6" s="350"/>
      <c r="AP6" s="350"/>
      <c r="AQ6" s="350"/>
      <c r="AR6" s="350"/>
      <c r="AS6" s="350"/>
      <c r="AT6" s="350"/>
      <c r="AU6" s="350"/>
      <c r="AV6" s="350"/>
      <c r="AW6" s="350" t="s">
        <v>356</v>
      </c>
      <c r="AX6" s="350"/>
      <c r="AY6" s="350" t="s">
        <v>353</v>
      </c>
      <c r="AZ6" s="350"/>
      <c r="BA6" s="350"/>
      <c r="BB6" s="350"/>
      <c r="BC6" s="341"/>
      <c r="BE6" s="351" t="s">
        <v>132</v>
      </c>
      <c r="BF6" s="351"/>
      <c r="BG6" s="351"/>
      <c r="BH6" s="351"/>
      <c r="BI6" s="351" t="s">
        <v>133</v>
      </c>
      <c r="BJ6" s="351"/>
      <c r="BK6" s="351"/>
      <c r="BL6" s="351"/>
      <c r="BM6" s="351" t="s">
        <v>134</v>
      </c>
      <c r="BN6" s="351"/>
      <c r="BO6" s="351"/>
      <c r="BP6" s="351" t="s">
        <v>135</v>
      </c>
      <c r="BQ6" s="351"/>
      <c r="BR6" s="351"/>
      <c r="BS6" s="351"/>
      <c r="BT6" s="351"/>
      <c r="BU6" s="351"/>
      <c r="BV6" s="351"/>
      <c r="BW6" s="351"/>
      <c r="BX6" s="351"/>
      <c r="BY6" s="351"/>
      <c r="BZ6" s="351"/>
      <c r="CA6" s="351"/>
      <c r="CB6" s="351"/>
      <c r="CC6" s="351" t="s">
        <v>136</v>
      </c>
      <c r="CD6" s="351"/>
      <c r="CE6" s="351" t="s">
        <v>137</v>
      </c>
      <c r="CF6" s="351"/>
      <c r="CG6" s="351"/>
      <c r="CH6" s="351"/>
      <c r="CI6" s="351" t="s">
        <v>138</v>
      </c>
      <c r="CJ6" s="351"/>
      <c r="CK6" s="351" t="s">
        <v>141</v>
      </c>
      <c r="CL6" s="351"/>
      <c r="CM6" s="351" t="s">
        <v>140</v>
      </c>
      <c r="CN6" s="351"/>
    </row>
    <row r="7" spans="1:94" s="104" customFormat="1" ht="14.5" customHeight="1">
      <c r="C7" s="105"/>
      <c r="D7" s="160" t="str">
        <f>'Penguk.CPMK-Smt1'!D7</f>
        <v>CPL02</v>
      </c>
      <c r="E7" s="160" t="str">
        <f>'Penguk.CPMK-Smt1'!E7</f>
        <v>CPL02</v>
      </c>
      <c r="F7" s="160" t="str">
        <f>'Penguk.CPMK-Smt1'!F7</f>
        <v>CPL02</v>
      </c>
      <c r="G7" s="160" t="str">
        <f>'Penguk.CPMK-Smt1'!G7</f>
        <v>CPL02</v>
      </c>
      <c r="H7" s="160" t="str">
        <f>'Penguk.CPMK-Smt1'!H7</f>
        <v>CPL02</v>
      </c>
      <c r="I7" s="342"/>
      <c r="J7" s="352" t="str">
        <f>'Penguk.CPMK-Smt1'!J7</f>
        <v>CPL10</v>
      </c>
      <c r="K7" s="352" t="str">
        <f>'Penguk.CPMK-Smt1'!K7</f>
        <v>CPL10</v>
      </c>
      <c r="L7" s="352" t="str">
        <f>'Penguk.CPMK-Smt1'!L7</f>
        <v>CPL11</v>
      </c>
      <c r="M7" s="343"/>
      <c r="N7" s="353" t="str">
        <f>'Penguk.CPMK-Smt1'!N7</f>
        <v>CPL02</v>
      </c>
      <c r="O7" s="353" t="str">
        <f>'Penguk.CPMK-Smt1'!O7</f>
        <v>CPL02</v>
      </c>
      <c r="P7" s="353" t="str">
        <f>'Penguk.CPMK-Smt1'!P7</f>
        <v>CPL02</v>
      </c>
      <c r="Q7" s="344"/>
      <c r="R7" s="354" t="str">
        <f>'Penguk.CPMK-Smt1'!R7</f>
        <v>CPL02</v>
      </c>
      <c r="S7" s="354" t="str">
        <f>'Penguk.CPMK-Smt1'!S7</f>
        <v>CPL02</v>
      </c>
      <c r="T7" s="354" t="str">
        <f>'Penguk.CPMK-Smt1'!T7</f>
        <v>CPL02</v>
      </c>
      <c r="U7" s="345"/>
      <c r="V7" s="355" t="str">
        <f>'Penguk.CPMK-Smt1'!V7</f>
        <v>CPL04</v>
      </c>
      <c r="W7" s="355" t="str">
        <f>'Penguk.CPMK-Smt1'!W7</f>
        <v>CPL04</v>
      </c>
      <c r="X7" s="346"/>
      <c r="Y7" s="232" t="str">
        <f>'Penguk.CPMK-Smt1'!Y7</f>
        <v>CPL01</v>
      </c>
      <c r="Z7" s="232" t="str">
        <f>'Penguk.CPMK-Smt1'!Z7</f>
        <v>CPL1</v>
      </c>
      <c r="AA7" s="241"/>
      <c r="AB7" s="356" t="str">
        <f>'Penguk.CPMK-Smt1'!AB7</f>
        <v>CPL01</v>
      </c>
      <c r="AC7" s="347"/>
      <c r="AD7" s="114"/>
      <c r="AE7" s="357" t="s">
        <v>93</v>
      </c>
      <c r="AF7" s="358" t="s">
        <v>142</v>
      </c>
      <c r="AG7" s="357" t="s">
        <v>117</v>
      </c>
      <c r="AH7" s="359" t="s">
        <v>142</v>
      </c>
      <c r="AI7" s="357"/>
      <c r="AJ7" s="359" t="s">
        <v>142</v>
      </c>
      <c r="AK7" s="357" t="s">
        <v>106</v>
      </c>
      <c r="AL7" s="359" t="s">
        <v>142</v>
      </c>
      <c r="AM7" s="357" t="s">
        <v>143</v>
      </c>
      <c r="AN7" s="359" t="s">
        <v>142</v>
      </c>
      <c r="AO7" s="357" t="s">
        <v>144</v>
      </c>
      <c r="AP7" s="359" t="s">
        <v>142</v>
      </c>
      <c r="AQ7" s="357" t="s">
        <v>145</v>
      </c>
      <c r="AR7" s="359" t="s">
        <v>142</v>
      </c>
      <c r="AS7" s="357" t="s">
        <v>146</v>
      </c>
      <c r="AT7" s="359" t="s">
        <v>142</v>
      </c>
      <c r="AU7" s="357" t="s">
        <v>113</v>
      </c>
      <c r="AV7" s="359" t="s">
        <v>142</v>
      </c>
      <c r="AW7" s="357" t="s">
        <v>120</v>
      </c>
      <c r="AX7" s="359" t="s">
        <v>142</v>
      </c>
      <c r="AY7" s="357" t="s">
        <v>147</v>
      </c>
      <c r="AZ7" s="359" t="s">
        <v>142</v>
      </c>
      <c r="BA7" s="357" t="s">
        <v>121</v>
      </c>
      <c r="BB7" s="359" t="s">
        <v>142</v>
      </c>
      <c r="BC7" s="341"/>
      <c r="BE7" s="351" t="s">
        <v>93</v>
      </c>
      <c r="BF7" s="351"/>
      <c r="BG7" s="351"/>
      <c r="BH7" s="351"/>
      <c r="BI7" s="351" t="s">
        <v>117</v>
      </c>
      <c r="BJ7" s="351"/>
      <c r="BK7" s="351"/>
      <c r="BL7" s="351"/>
      <c r="BM7" s="351" t="s">
        <v>107</v>
      </c>
      <c r="BN7" s="351"/>
      <c r="BO7" s="351"/>
      <c r="BP7" s="351" t="s">
        <v>106</v>
      </c>
      <c r="BQ7" s="351"/>
      <c r="BR7" s="351" t="s">
        <v>143</v>
      </c>
      <c r="BS7" s="351"/>
      <c r="BT7" s="351" t="s">
        <v>144</v>
      </c>
      <c r="BU7" s="351"/>
      <c r="BV7" s="351"/>
      <c r="BW7" s="351"/>
      <c r="BX7" s="351" t="s">
        <v>145</v>
      </c>
      <c r="BY7" s="351"/>
      <c r="BZ7" s="351"/>
      <c r="CA7" s="351" t="s">
        <v>146</v>
      </c>
      <c r="CB7" s="351"/>
      <c r="CC7" s="351" t="s">
        <v>113</v>
      </c>
      <c r="CD7" s="351"/>
      <c r="CE7" s="351" t="s">
        <v>120</v>
      </c>
      <c r="CF7" s="351"/>
      <c r="CG7" s="351" t="s">
        <v>147</v>
      </c>
      <c r="CH7" s="351"/>
      <c r="CI7" s="351" t="s">
        <v>121</v>
      </c>
      <c r="CJ7" s="351"/>
      <c r="CK7" s="351" t="s">
        <v>94</v>
      </c>
      <c r="CL7" s="351"/>
      <c r="CM7" s="351" t="s">
        <v>122</v>
      </c>
      <c r="CN7" s="351"/>
    </row>
    <row r="8" spans="1:94" s="104" customFormat="1" ht="12.5">
      <c r="C8" s="105"/>
      <c r="D8" s="160" t="str">
        <f>'Penguk.CPMK-Smt1'!D8</f>
        <v>CPMK021</v>
      </c>
      <c r="E8" s="160" t="str">
        <f>'Penguk.CPMK-Smt1'!E8</f>
        <v>CPMK022</v>
      </c>
      <c r="F8" s="160" t="str">
        <f>'Penguk.CPMK-Smt1'!F8</f>
        <v>CPMK023</v>
      </c>
      <c r="G8" s="160" t="str">
        <f>'Penguk.CPMK-Smt1'!G8</f>
        <v>CPMK024</v>
      </c>
      <c r="H8" s="160" t="str">
        <f>'Penguk.CPMK-Smt1'!H8</f>
        <v>CPMK025</v>
      </c>
      <c r="I8" s="342"/>
      <c r="J8" s="352" t="str">
        <f>'Penguk.CPMK-Smt1'!J8</f>
        <v>CPMK101</v>
      </c>
      <c r="K8" s="352" t="str">
        <f>'Penguk.CPMK-Smt1'!K8</f>
        <v>CPMK104</v>
      </c>
      <c r="L8" s="352" t="str">
        <f>'Penguk.CPMK-Smt1'!L8</f>
        <v>CPMK111</v>
      </c>
      <c r="M8" s="343"/>
      <c r="N8" s="353" t="str">
        <f>'Penguk.CPMK-Smt1'!N8</f>
        <v>CPMK21</v>
      </c>
      <c r="O8" s="353" t="str">
        <f>'Penguk.CPMK-Smt1'!O8</f>
        <v>CPMK24</v>
      </c>
      <c r="P8" s="353" t="str">
        <f>'Penguk.CPMK-Smt1'!P8</f>
        <v>CPMK25</v>
      </c>
      <c r="Q8" s="344"/>
      <c r="R8" s="354" t="str">
        <f>'Penguk.CPMK-Smt1'!R8</f>
        <v>CPMK23</v>
      </c>
      <c r="S8" s="354" t="str">
        <f>'Penguk.CPMK-Smt1'!S8</f>
        <v>CPMK24</v>
      </c>
      <c r="T8" s="354" t="str">
        <f>'Penguk.CPMK-Smt1'!T8</f>
        <v>CPMK25</v>
      </c>
      <c r="U8" s="345"/>
      <c r="V8" s="355" t="str">
        <f>'Penguk.CPMK-Smt1'!V8</f>
        <v>CPMK41</v>
      </c>
      <c r="W8" s="355" t="str">
        <f>'Penguk.CPMK-Smt1'!W8</f>
        <v>CPMK42</v>
      </c>
      <c r="X8" s="346"/>
      <c r="Y8" s="232" t="str">
        <f>'Penguk.CPMK-Smt1'!Y8</f>
        <v>CPMK11</v>
      </c>
      <c r="Z8" s="232" t="str">
        <f>'Penguk.CPMK-Smt1'!Z8</f>
        <v>CPMK12</v>
      </c>
      <c r="AA8" s="241"/>
      <c r="AB8" s="356" t="str">
        <f>'Penguk.CPMK-Smt1'!AB8</f>
        <v>CPMK12</v>
      </c>
      <c r="AC8" s="347"/>
      <c r="AD8" s="114" t="s">
        <v>150</v>
      </c>
      <c r="AE8" s="360">
        <f>Y9+Z9+AB9</f>
        <v>200</v>
      </c>
      <c r="AF8" s="361"/>
      <c r="AG8" s="360">
        <f>D9+E9+F9+G9+H9+N9+O9+P9+R9+S9+T9</f>
        <v>315</v>
      </c>
      <c r="AH8" s="359"/>
      <c r="AI8" s="360"/>
      <c r="AJ8" s="359"/>
      <c r="AK8" s="360">
        <f>V9+W9</f>
        <v>100</v>
      </c>
      <c r="AL8" s="359"/>
      <c r="AM8" s="360"/>
      <c r="AN8" s="359"/>
      <c r="AO8" s="360"/>
      <c r="AP8" s="359"/>
      <c r="AQ8" s="360"/>
      <c r="AR8" s="359"/>
      <c r="AS8" s="360"/>
      <c r="AT8" s="359"/>
      <c r="AU8" s="360"/>
      <c r="AV8" s="359"/>
      <c r="AW8" s="360">
        <f>J9+K9</f>
        <v>61</v>
      </c>
      <c r="AX8" s="359"/>
      <c r="AY8" s="360">
        <f>L9</f>
        <v>39</v>
      </c>
      <c r="AZ8" s="359"/>
      <c r="BA8" s="360"/>
      <c r="BB8" s="359"/>
      <c r="BC8" s="341" t="e">
        <f>SUM(#REF!,#REF!,BA8,AY8,AW8,AU8,AS8,AQ8,AO8,AM8,AK8,AI8,AG8,AE8)</f>
        <v>#REF!</v>
      </c>
      <c r="BE8" s="109" t="s">
        <v>108</v>
      </c>
      <c r="BF8" s="109" t="s">
        <v>104</v>
      </c>
      <c r="BG8" s="109" t="s">
        <v>118</v>
      </c>
      <c r="BH8" s="109" t="s">
        <v>95</v>
      </c>
      <c r="BI8" s="109" t="s">
        <v>119</v>
      </c>
      <c r="BJ8" s="109" t="s">
        <v>151</v>
      </c>
      <c r="BK8" s="109" t="s">
        <v>152</v>
      </c>
      <c r="BL8" s="109" t="s">
        <v>153</v>
      </c>
      <c r="BM8" s="109" t="s">
        <v>110</v>
      </c>
      <c r="BN8" s="109" t="s">
        <v>116</v>
      </c>
      <c r="BO8" s="109" t="s">
        <v>114</v>
      </c>
      <c r="BP8" s="109" t="s">
        <v>109</v>
      </c>
      <c r="BQ8" s="109" t="s">
        <v>154</v>
      </c>
      <c r="BR8" s="109" t="s">
        <v>155</v>
      </c>
      <c r="BS8" s="109" t="s">
        <v>156</v>
      </c>
      <c r="BT8" s="109" t="s">
        <v>157</v>
      </c>
      <c r="BU8" s="109" t="s">
        <v>158</v>
      </c>
      <c r="BV8" s="109" t="s">
        <v>159</v>
      </c>
      <c r="BW8" s="109" t="s">
        <v>160</v>
      </c>
      <c r="BX8" s="109" t="s">
        <v>161</v>
      </c>
      <c r="BY8" s="109" t="s">
        <v>162</v>
      </c>
      <c r="BZ8" s="109" t="s">
        <v>163</v>
      </c>
      <c r="CA8" s="109" t="s">
        <v>164</v>
      </c>
      <c r="CB8" s="109" t="s">
        <v>165</v>
      </c>
      <c r="CC8" s="109" t="s">
        <v>148</v>
      </c>
      <c r="CD8" s="109" t="s">
        <v>115</v>
      </c>
      <c r="CE8" s="109" t="s">
        <v>123</v>
      </c>
      <c r="CF8" s="109" t="s">
        <v>166</v>
      </c>
      <c r="CG8" s="109" t="s">
        <v>167</v>
      </c>
      <c r="CH8" s="109" t="s">
        <v>168</v>
      </c>
      <c r="CI8" s="109" t="s">
        <v>124</v>
      </c>
      <c r="CJ8" s="109" t="s">
        <v>129</v>
      </c>
      <c r="CK8" s="109" t="s">
        <v>96</v>
      </c>
      <c r="CL8" s="109" t="s">
        <v>169</v>
      </c>
      <c r="CM8" s="109" t="s">
        <v>125</v>
      </c>
      <c r="CN8" s="109" t="s">
        <v>149</v>
      </c>
    </row>
    <row r="9" spans="1:94" s="104" customFormat="1" ht="12.5">
      <c r="C9" s="362" t="e">
        <f>SUM(D9,H9,J9,L9,N9,P9,#REF!,R9,T9,V9,W9,Y9,Z9,#REF!,AB9,#REF!,#REF!,#REF!,#REF!,#REF!,#REF!,#REF!,#REF!)</f>
        <v>#REF!</v>
      </c>
      <c r="D9" s="160">
        <f>'Penguk.CPMK-Smt1'!D9</f>
        <v>21</v>
      </c>
      <c r="E9" s="160">
        <f>'Penguk.CPMK-Smt1'!E9</f>
        <v>22</v>
      </c>
      <c r="F9" s="160">
        <f>'Penguk.CPMK-Smt1'!F9</f>
        <v>23</v>
      </c>
      <c r="G9" s="160">
        <f>'Penguk.CPMK-Smt1'!G9</f>
        <v>24</v>
      </c>
      <c r="H9" s="160">
        <f>'Penguk.CPMK-Smt1'!H9</f>
        <v>25</v>
      </c>
      <c r="I9" s="363"/>
      <c r="J9" s="352">
        <f>'Penguk.CPMK-Smt1'!J9</f>
        <v>16</v>
      </c>
      <c r="K9" s="352">
        <f>'Penguk.CPMK-Smt1'!K9</f>
        <v>45</v>
      </c>
      <c r="L9" s="352">
        <f>'Penguk.CPMK-Smt1'!L9</f>
        <v>39</v>
      </c>
      <c r="M9" s="364"/>
      <c r="N9" s="353">
        <f>'Penguk.CPMK-Smt1'!N9</f>
        <v>17</v>
      </c>
      <c r="O9" s="353">
        <f>'Penguk.CPMK-Smt1'!O9</f>
        <v>34</v>
      </c>
      <c r="P9" s="353">
        <f>'Penguk.CPMK-Smt1'!P9</f>
        <v>49</v>
      </c>
      <c r="Q9" s="365"/>
      <c r="R9" s="354">
        <f>'Penguk.CPMK-Smt1'!R9</f>
        <v>18</v>
      </c>
      <c r="S9" s="354">
        <f>'Penguk.CPMK-Smt1'!S9</f>
        <v>33</v>
      </c>
      <c r="T9" s="354">
        <f>'Penguk.CPMK-Smt1'!T9</f>
        <v>49</v>
      </c>
      <c r="U9" s="366"/>
      <c r="V9" s="355">
        <f>'Penguk.CPMK-Smt1'!V9</f>
        <v>50</v>
      </c>
      <c r="W9" s="355">
        <f>'Penguk.CPMK-Smt1'!W9</f>
        <v>50</v>
      </c>
      <c r="X9" s="367"/>
      <c r="Y9" s="232">
        <f>'Penguk.CPMK-Smt1'!Y9</f>
        <v>50</v>
      </c>
      <c r="Z9" s="232">
        <f>'Penguk.CPMK-Smt1'!Z9</f>
        <v>50</v>
      </c>
      <c r="AA9" s="242"/>
      <c r="AB9" s="356">
        <f>'Penguk.CPMK-Smt1'!AB9</f>
        <v>100</v>
      </c>
      <c r="AC9" s="368"/>
      <c r="AD9" s="114"/>
      <c r="AE9" s="369"/>
      <c r="AF9" s="370"/>
      <c r="AG9" s="369"/>
      <c r="AH9" s="359"/>
      <c r="AI9" s="369"/>
      <c r="AJ9" s="359"/>
      <c r="AK9" s="369"/>
      <c r="AL9" s="359"/>
      <c r="AM9" s="369"/>
      <c r="AN9" s="359"/>
      <c r="AO9" s="369"/>
      <c r="AP9" s="359"/>
      <c r="AQ9" s="369"/>
      <c r="AR9" s="359"/>
      <c r="AS9" s="369"/>
      <c r="AT9" s="359"/>
      <c r="AU9" s="369"/>
      <c r="AV9" s="359"/>
      <c r="AW9" s="369"/>
      <c r="AX9" s="359"/>
      <c r="AY9" s="369"/>
      <c r="AZ9" s="359"/>
      <c r="BA9" s="369"/>
      <c r="BB9" s="359"/>
      <c r="BC9" s="341"/>
      <c r="BE9" s="109">
        <f>N9</f>
        <v>17</v>
      </c>
      <c r="BF9" s="109">
        <f>J9</f>
        <v>16</v>
      </c>
      <c r="BG9" s="109">
        <f>Y9</f>
        <v>50</v>
      </c>
      <c r="BH9" s="109">
        <f>D9</f>
        <v>21</v>
      </c>
      <c r="BI9" s="109">
        <f>Z9</f>
        <v>50</v>
      </c>
      <c r="BJ9" s="109"/>
      <c r="BK9" s="109"/>
      <c r="BL9" s="109"/>
      <c r="BM9" s="109"/>
      <c r="BN9" s="109">
        <f>V9</f>
        <v>50</v>
      </c>
      <c r="BO9" s="109">
        <f>R9</f>
        <v>18</v>
      </c>
      <c r="BP9" s="109">
        <f>P9</f>
        <v>49</v>
      </c>
      <c r="BQ9" s="109"/>
      <c r="BR9" s="109"/>
      <c r="BS9" s="109"/>
      <c r="BT9" s="109"/>
      <c r="BU9" s="109"/>
      <c r="BV9" s="109"/>
      <c r="BW9" s="109"/>
      <c r="BX9" s="109"/>
      <c r="BY9" s="109"/>
      <c r="BZ9" s="109"/>
      <c r="CA9" s="109"/>
      <c r="CB9" s="109"/>
      <c r="CC9" s="109">
        <f>T9</f>
        <v>49</v>
      </c>
      <c r="CD9" s="109">
        <f>W9</f>
        <v>50</v>
      </c>
      <c r="CE9" s="109" t="e">
        <f>AB9+#REF!+#REF!</f>
        <v>#REF!</v>
      </c>
      <c r="CF9" s="109"/>
      <c r="CG9" s="109"/>
      <c r="CH9" s="109"/>
      <c r="CI9" s="109" t="e">
        <f>#REF!</f>
        <v>#REF!</v>
      </c>
      <c r="CJ9" s="109" t="e">
        <f>#REF!+#REF!</f>
        <v>#REF!</v>
      </c>
      <c r="CK9" s="109" t="e">
        <f>H9+L9+#REF!+#REF!</f>
        <v>#REF!</v>
      </c>
      <c r="CL9" s="109"/>
      <c r="CM9" s="109" t="e">
        <f>#REF!+#REF!</f>
        <v>#REF!</v>
      </c>
      <c r="CN9" s="109" t="e">
        <f>#REF!</f>
        <v>#REF!</v>
      </c>
      <c r="CO9" s="104" t="e">
        <f>SUM(BE9:CN9)</f>
        <v>#REF!</v>
      </c>
    </row>
    <row r="10" spans="1:94">
      <c r="A10" s="1" t="s">
        <v>0</v>
      </c>
      <c r="B10" s="1" t="s">
        <v>1</v>
      </c>
      <c r="C10" s="1" t="s">
        <v>2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E10" s="84"/>
      <c r="BF10" s="84"/>
      <c r="BG10" s="84"/>
      <c r="BH10" s="84"/>
      <c r="BI10" s="84"/>
      <c r="BJ10" s="84"/>
      <c r="BK10" s="84"/>
      <c r="BL10" s="84"/>
      <c r="BM10" s="84"/>
      <c r="BN10" s="84"/>
      <c r="BO10" s="84"/>
      <c r="BP10" s="84"/>
      <c r="BQ10" s="84"/>
      <c r="BR10" s="84"/>
      <c r="BS10" s="84"/>
      <c r="BT10" s="84"/>
      <c r="BU10" s="84"/>
      <c r="BV10" s="84"/>
      <c r="BW10" s="84"/>
      <c r="BX10" s="84"/>
      <c r="BY10" s="84"/>
      <c r="BZ10" s="84"/>
      <c r="CA10" s="84"/>
      <c r="CB10" s="84"/>
      <c r="CC10" s="84"/>
      <c r="CD10" s="84"/>
      <c r="CE10" s="84"/>
      <c r="CF10" s="84"/>
      <c r="CG10" s="84"/>
      <c r="CH10" s="84"/>
      <c r="CI10" s="84"/>
      <c r="CJ10" s="84"/>
      <c r="CK10" s="84"/>
      <c r="CL10" s="84"/>
      <c r="CM10" s="84"/>
      <c r="CN10" s="84"/>
    </row>
    <row r="11" spans="1:94">
      <c r="A11" s="2">
        <v>1</v>
      </c>
      <c r="B11" s="109" t="s">
        <v>187</v>
      </c>
      <c r="C11" s="109" t="s">
        <v>188</v>
      </c>
      <c r="D11" s="66">
        <f>'Penguk.CPMK-Smt1'!D11</f>
        <v>89.75</v>
      </c>
      <c r="E11" s="66">
        <f>'Penguk.CPMK-Smt1'!E11</f>
        <v>89.73</v>
      </c>
      <c r="F11" s="66">
        <f>'Penguk.CPMK-Smt1'!F11</f>
        <v>90.3</v>
      </c>
      <c r="G11" s="66">
        <f>'Penguk.CPMK-Smt1'!G11</f>
        <v>60.95</v>
      </c>
      <c r="H11" s="66">
        <f>'Penguk.CPMK-Smt1'!H11</f>
        <v>61.96</v>
      </c>
      <c r="I11" s="66">
        <f>IFERROR((D11*($D$9/100))+(E11*($E$9/100))+(F11*($F$9/100))+(G11*($G$9/100))+(H11*($H$9/100)),"")</f>
        <v>89.475099999999998</v>
      </c>
      <c r="J11" s="83">
        <f>'Penguk.CPMK-Smt1'!J11</f>
        <v>71.88</v>
      </c>
      <c r="K11" s="83">
        <f>'Penguk.CPMK-Smt1'!K11</f>
        <v>70.56</v>
      </c>
      <c r="L11" s="83">
        <f>'Penguk.CPMK-Smt1'!L11</f>
        <v>75.64</v>
      </c>
      <c r="M11" s="83">
        <f>IFERROR((J11*($J$9/100))+(K11*($K$9/100))+(L11*($L$9/100)),"")</f>
        <v>72.752399999999994</v>
      </c>
      <c r="N11" s="67">
        <f>'Penguk.CPMK-Smt1'!N11</f>
        <v>80.59</v>
      </c>
      <c r="O11" s="67">
        <f>'Penguk.CPMK-Smt1'!O11</f>
        <v>78.09</v>
      </c>
      <c r="P11" s="67">
        <f>'Penguk.CPMK-Smt1'!P11</f>
        <v>78.06</v>
      </c>
      <c r="Q11" s="67">
        <f>IFERROR((N11*($N$9/100))+(O11*($O$9/100))+(P11*($P$9/100)),"")</f>
        <v>78.50030000000001</v>
      </c>
      <c r="R11" s="68">
        <f>'Penguk.CPMK-Smt1'!R11</f>
        <v>86.11</v>
      </c>
      <c r="S11" s="68">
        <f>'Penguk.CPMK-Smt1'!S11</f>
        <v>83.33</v>
      </c>
      <c r="T11" s="68">
        <f>'Penguk.CPMK-Smt1'!T11</f>
        <v>83.67</v>
      </c>
      <c r="U11" s="68">
        <f>IFERROR((R11*($R$9/100))+(S11*($S$9/100))+(T11*($T$9/100)),"")</f>
        <v>83.997</v>
      </c>
      <c r="V11" s="69">
        <f>'Penguk.CPMK-Smt1'!V11</f>
        <v>69.2</v>
      </c>
      <c r="W11" s="69">
        <f>'Penguk.CPMK-Smt1'!W11</f>
        <v>68.2</v>
      </c>
      <c r="X11" s="69">
        <f>IFERROR((V11*($V$9/100))+(W11*($W$9/100)),"")</f>
        <v>68.7</v>
      </c>
      <c r="Y11" s="37">
        <f>'Penguk.CPMK-Smt1'!Y11</f>
        <v>82.55</v>
      </c>
      <c r="Z11" s="37">
        <f>'Penguk.CPMK-Smt1'!Z11</f>
        <v>82.55</v>
      </c>
      <c r="AA11" s="37">
        <f>IFERROR((Y11*($Y$9/100))+(Z11*($Z$9/100)),"")</f>
        <v>82.55</v>
      </c>
      <c r="AB11" s="70">
        <f>'Penguk.CPMK-Smt1'!AB11</f>
        <v>81.400000000000006</v>
      </c>
      <c r="AC11" s="70">
        <f>IFERROR((AB11*($AB$9/100)),"")</f>
        <v>81.400000000000006</v>
      </c>
      <c r="AE11" s="71">
        <f>IFERROR((Y11*($Y$9/100)+Z11*($Z$9/100)+AB11*($AB$9/100)),"")</f>
        <v>163.95</v>
      </c>
      <c r="AF11" s="81">
        <f>IFERROR(AE11/$AE$8,"")</f>
        <v>0.81974999999999998</v>
      </c>
      <c r="AG11" s="71">
        <f>IFERROR((D11*($D$9/100)+E11*($E$9/100)+F11*($F$9/100)+G11*($G$9/100)+H11*($H$9/100)+N11*($N$9/100)+O11*($O$9/100)+P11*($P$9/100)+R11*($R$9/100)+S11*($S$9/100)+T11*($T$9/100)),"")</f>
        <v>251.97239999999999</v>
      </c>
      <c r="AH11" s="81">
        <f>IF(AG11="","",IFERROR(AG11/$AG$8,""))</f>
        <v>0.79991238095238093</v>
      </c>
      <c r="AI11" s="71"/>
      <c r="AJ11" s="81" t="str">
        <f>IF(AI11="","",IFERROR(AI11/$AI$8,""))</f>
        <v/>
      </c>
      <c r="AK11" s="71">
        <f>IFERROR((V11*($V$9/100)+W11*($W$9/100)),"")</f>
        <v>68.7</v>
      </c>
      <c r="AL11" s="81">
        <f>IF(AK11="","",IFERROR(AK11/$AK$8,""))</f>
        <v>0.68700000000000006</v>
      </c>
      <c r="AM11" s="72"/>
      <c r="AN11" s="72"/>
      <c r="AO11" s="72"/>
      <c r="AP11" s="72"/>
      <c r="AQ11" s="72"/>
      <c r="AR11" s="72"/>
      <c r="AS11" s="72"/>
      <c r="AT11" s="81" t="str">
        <f>IF(AS11="","",IFERROR(AS11/$AS$8,""))</f>
        <v/>
      </c>
      <c r="AU11" s="71"/>
      <c r="AV11" s="81" t="str">
        <f>IF(AU11="","",IFERROR(AU11/$AU$8,""))</f>
        <v/>
      </c>
      <c r="AW11" s="71">
        <f>IFERROR((J11*($J$9/100)+K11*($K$9/100)),"")</f>
        <v>43.252800000000001</v>
      </c>
      <c r="AX11" s="81">
        <f>IF(AW11="","",IFERROR(AW11/$AW$8,""))</f>
        <v>0.70906229508196728</v>
      </c>
      <c r="AY11" s="72">
        <f>IFERROR((L11*($L$9/100)),"")</f>
        <v>29.499600000000001</v>
      </c>
      <c r="AZ11" s="81">
        <f>IF(AY11="","",IFERROR(AY11/$AY$8,""))</f>
        <v>0.75640000000000007</v>
      </c>
      <c r="BA11" s="71" t="str">
        <f>IFERROR((#REF!*(#REF!/100)+#REF!*(#REF!/100)),"")</f>
        <v/>
      </c>
      <c r="BB11" s="81" t="str">
        <f>IF(BA11="","",IFERROR(BA11/$BA$8,""))</f>
        <v/>
      </c>
      <c r="BE11" s="4">
        <f>IF(Z11="","",IFERROR(N11*($BE$9/100),""))</f>
        <v>13.700300000000002</v>
      </c>
      <c r="BF11" s="4">
        <f>IF(Z11="","",IFERROR(J11*($BF$9/100),""))</f>
        <v>11.5008</v>
      </c>
      <c r="BG11" s="73">
        <f>IF(Y11="","",IFERROR(Y11*($BG$9/100),""))</f>
        <v>41.274999999999999</v>
      </c>
      <c r="BH11" s="73">
        <f>IF(D11="","",IFERROR(D11*($BH$9/100),""))</f>
        <v>18.8475</v>
      </c>
      <c r="BI11" s="73">
        <f>IF(Z11="","",IFERROR(Z11*($Z$9/100),""))</f>
        <v>41.274999999999999</v>
      </c>
      <c r="BJ11" s="4"/>
      <c r="BK11" s="4"/>
      <c r="BL11" s="4"/>
      <c r="BM11" s="4"/>
      <c r="BN11" s="73">
        <f>IF(V11="","",IFERROR(V11*($V$9/100),""))</f>
        <v>34.6</v>
      </c>
      <c r="BO11" s="73">
        <f>IF(R11="","",IFERROR(R11*($R$9/100),""))</f>
        <v>15.499799999999999</v>
      </c>
      <c r="BP11" s="73">
        <f>IF(P11="","",IFERROR(P11*($P$9/100),""))</f>
        <v>38.249400000000001</v>
      </c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73">
        <f>IF(T11="","",IFERROR(T11*($T$9/100),""))</f>
        <v>40.9983</v>
      </c>
      <c r="CD11" s="73">
        <f>IF(W11="","",IFERROR(W11*($CD$9/100),""))</f>
        <v>34.1</v>
      </c>
      <c r="CE11" s="73" t="str">
        <f>IFERROR(IF(AB11="","",IFERROR(AB11*($AB$9/100),""))+IF(#REF!="","",IFERROR(#REF!*(#REF!/100),""))+IF(#REF!="","",IFERROR(#REF!*(#REF!/100),"")),"")</f>
        <v/>
      </c>
      <c r="CF11" s="4"/>
      <c r="CG11" s="4"/>
      <c r="CH11" s="4"/>
      <c r="CI11" s="73" t="str">
        <f>IFERROR(IF(#REF!="","",IFERROR(#REF!*(#REF!/100),"")),"")</f>
        <v/>
      </c>
      <c r="CJ11" s="73" t="str">
        <f>IFERROR(IF(#REF!="","",IFERROR(#REF!*(#REF!/100),""))+IF(#REF!="","",IFERROR(#REF!*(#REF!/100),"")),"")</f>
        <v/>
      </c>
      <c r="CK11" s="73" t="str">
        <f>IFERROR(IF(H11="","",IFERROR(H11*($H$9/100),""))+IF(L11="","",IFERROR(L11*($L$9/100),""))+IF(#REF!="","",IFERROR(#REF!*(#REF!/100),""))+IF(#REF!="","",IFERROR(#REF!*(#REF!/100),"")),"")</f>
        <v/>
      </c>
      <c r="CL11" s="4"/>
      <c r="CM11" s="73" t="str">
        <f>IFERROR(IF(#REF!="","",IFERROR(#REF!*(#REF!/100),""))+IF(#REF!="","",IFERROR(#REF!*(#REF!/100),"")),"")</f>
        <v/>
      </c>
      <c r="CN11" s="73" t="str">
        <f>IFERROR(IF(#REF!="","",IFERROR(#REF!*(#REF!/100),"")),"")</f>
        <v/>
      </c>
      <c r="CO11">
        <f>SUM(BE11:CN11)</f>
        <v>290.04610000000002</v>
      </c>
      <c r="CP11" s="74" t="e">
        <f>CO11/$CO$9</f>
        <v>#REF!</v>
      </c>
    </row>
    <row r="12" spans="1:94">
      <c r="A12" s="2">
        <v>2</v>
      </c>
      <c r="B12" s="109" t="s">
        <v>189</v>
      </c>
      <c r="C12" s="109" t="s">
        <v>357</v>
      </c>
      <c r="D12" s="66">
        <f>'Penguk.CPMK-Smt1'!D12</f>
        <v>92.5</v>
      </c>
      <c r="E12" s="66">
        <f>'Penguk.CPMK-Smt1'!E12</f>
        <v>93</v>
      </c>
      <c r="F12" s="66">
        <f>'Penguk.CPMK-Smt1'!F12</f>
        <v>92.25</v>
      </c>
      <c r="G12" s="66">
        <f>'Penguk.CPMK-Smt1'!G12</f>
        <v>80.91</v>
      </c>
      <c r="H12" s="66">
        <f>'Penguk.CPMK-Smt1'!H12</f>
        <v>82.96</v>
      </c>
      <c r="I12" s="66">
        <f t="shared" ref="I12:I44" si="0">IFERROR((D12*($D$9/100))+(E12*($E$9/100))+(F12*($F$9/100))+(G12*($G$9/100))+(H12*($H$9/100)),"")</f>
        <v>101.26090000000001</v>
      </c>
      <c r="J12" s="83">
        <f>'Penguk.CPMK-Smt1'!J12</f>
        <v>83.75</v>
      </c>
      <c r="K12" s="83">
        <f>'Penguk.CPMK-Smt1'!K12</f>
        <v>80.22</v>
      </c>
      <c r="L12" s="83">
        <f>'Penguk.CPMK-Smt1'!L12</f>
        <v>74.62</v>
      </c>
      <c r="M12" s="83">
        <f t="shared" ref="M12:M44" si="1">IFERROR((J12*($J$9/100))+(K12*($K$9/100))+(L12*($L$9/100)),"")</f>
        <v>78.600800000000007</v>
      </c>
      <c r="N12" s="67">
        <f>'Penguk.CPMK-Smt1'!N12</f>
        <v>77.06</v>
      </c>
      <c r="O12" s="67">
        <f>'Penguk.CPMK-Smt1'!O12</f>
        <v>73.97</v>
      </c>
      <c r="P12" s="67">
        <f>'Penguk.CPMK-Smt1'!P12</f>
        <v>79.180000000000007</v>
      </c>
      <c r="Q12" s="67">
        <f t="shared" ref="Q12:Q44" si="2">IFERROR((N12*($N$9/100))+(O12*($O$9/100))+(P12*($P$9/100)),"")</f>
        <v>77.048200000000008</v>
      </c>
      <c r="R12" s="68">
        <f>'Penguk.CPMK-Smt1'!R12</f>
        <v>91.67</v>
      </c>
      <c r="S12" s="68">
        <f>'Penguk.CPMK-Smt1'!S12</f>
        <v>90.91</v>
      </c>
      <c r="T12" s="68">
        <f>'Penguk.CPMK-Smt1'!T12</f>
        <v>90.82</v>
      </c>
      <c r="U12" s="68">
        <f t="shared" ref="U12:U44" si="3">IFERROR((R12*($R$9/100))+(S12*($S$9/100))+(T12*($T$9/100)),"")</f>
        <v>91.002700000000004</v>
      </c>
      <c r="V12" s="69">
        <f>'Penguk.CPMK-Smt1'!V12</f>
        <v>82</v>
      </c>
      <c r="W12" s="69">
        <f>'Penguk.CPMK-Smt1'!W12</f>
        <v>82</v>
      </c>
      <c r="X12" s="69">
        <f t="shared" ref="X12:X44" si="4">IFERROR((V12*($V$9/100))+(W12*($W$9/100)),"")</f>
        <v>82</v>
      </c>
      <c r="Y12" s="37">
        <f>'Penguk.CPMK-Smt1'!Y12</f>
        <v>83.6</v>
      </c>
      <c r="Z12" s="37">
        <f>'Penguk.CPMK-Smt1'!Z12</f>
        <v>83.6</v>
      </c>
      <c r="AA12" s="37">
        <f t="shared" ref="AA12:AA46" si="5">IFERROR((Y12*($Y$9/100))+(Z12*($Z$9/100)),"")</f>
        <v>83.6</v>
      </c>
      <c r="AB12" s="70">
        <f>'Penguk.CPMK-Smt1'!AB12</f>
        <v>76.900000000000006</v>
      </c>
      <c r="AC12" s="70">
        <f t="shared" ref="AC12:AC44" si="6">IFERROR((AB12*($AB$9/100)),"")</f>
        <v>76.900000000000006</v>
      </c>
      <c r="AE12" s="71">
        <f t="shared" ref="AE12:AE44" si="7">IFERROR((Y12*($Y$9/100)+Z12*($Z$9/100)+AB12*($AB$9/100)),"")</f>
        <v>160.5</v>
      </c>
      <c r="AF12" s="81">
        <f t="shared" ref="AF12:AF46" si="8">IFERROR(AE12/$AE$8,"")</f>
        <v>0.80249999999999999</v>
      </c>
      <c r="AG12" s="71">
        <f t="shared" ref="AG12:AG44" si="9">IFERROR((D12*($D$9/100)+E12*($E$9/100)+F12*($F$9/100)+G12*($G$9/100)+H12*($H$9/100)+N12*($N$9/100)+O12*($O$9/100)+P12*($P$9/100)+R12*($R$9/100)+S12*($S$9/100)+T12*($T$9/100)),"")</f>
        <v>269.31180000000001</v>
      </c>
      <c r="AH12" s="81">
        <f t="shared" ref="AH12:AH44" si="10">IF(AG12="","",IFERROR(AG12/$AG$8,""))</f>
        <v>0.85495809523809529</v>
      </c>
      <c r="AI12" s="71"/>
      <c r="AJ12" s="81" t="str">
        <f t="shared" ref="AJ12:AJ46" si="11">IF(AI12="","",IFERROR(AI12/$AI$8,""))</f>
        <v/>
      </c>
      <c r="AK12" s="71">
        <f t="shared" ref="AK12:AK44" si="12">IFERROR((V12*($V$9/100)+W12*($W$9/100)),"")</f>
        <v>82</v>
      </c>
      <c r="AL12" s="81">
        <f t="shared" ref="AL12:AL46" si="13">IF(AK12="","",IFERROR(AK12/$AK$8,""))</f>
        <v>0.82</v>
      </c>
      <c r="AM12" s="72"/>
      <c r="AN12" s="72"/>
      <c r="AO12" s="72"/>
      <c r="AP12" s="72"/>
      <c r="AQ12" s="72"/>
      <c r="AR12" s="72"/>
      <c r="AS12" s="72"/>
      <c r="AT12" s="81" t="str">
        <f t="shared" ref="AT12:AT46" si="14">IF(AS12="","",IFERROR(AS12/$AS$8,""))</f>
        <v/>
      </c>
      <c r="AU12" s="71"/>
      <c r="AV12" s="81" t="str">
        <f t="shared" ref="AV12:AV46" si="15">IF(AU12="","",IFERROR(AU12/$AU$8,""))</f>
        <v/>
      </c>
      <c r="AW12" s="71">
        <f t="shared" ref="AW12:AW44" si="16">IFERROR((J12*($J$9/100)+K12*($K$9/100)),"")</f>
        <v>49.499000000000002</v>
      </c>
      <c r="AX12" s="81">
        <f t="shared" ref="AX12:AX46" si="17">IF(AW12="","",IFERROR(AW12/$AW$8,""))</f>
        <v>0.81145901639344264</v>
      </c>
      <c r="AY12" s="72">
        <f t="shared" ref="AY12:AY44" si="18">IFERROR((L12*($L$9/100)),"")</f>
        <v>29.101800000000004</v>
      </c>
      <c r="AZ12" s="81">
        <f t="shared" ref="AZ12:AZ44" si="19">IF(AY12="","",IFERROR(AY12/$AY$8,""))</f>
        <v>0.74620000000000009</v>
      </c>
      <c r="BA12" s="71" t="str">
        <f>IFERROR((#REF!*(#REF!/100)+#REF!*(#REF!/100)),"")</f>
        <v/>
      </c>
      <c r="BB12" s="81" t="str">
        <f t="shared" ref="BB12:BB46" si="20">IF(BA12="","",IFERROR(BA12/$BA$8,""))</f>
        <v/>
      </c>
      <c r="BE12" s="4">
        <f>IF(Z12="","",IFERROR(N12*($BE$9/100),""))</f>
        <v>13.100200000000001</v>
      </c>
      <c r="BF12" s="4">
        <f>IF(Z12="","",IFERROR(J12*($BF$9/100),""))</f>
        <v>13.4</v>
      </c>
      <c r="BG12" s="73">
        <f>IF(Y12="","",IFERROR(Y12*($BG$9/100),""))</f>
        <v>41.8</v>
      </c>
      <c r="BH12" s="73">
        <f>IF(D12="","",IFERROR(D12*($BH$9/100),""))</f>
        <v>19.425000000000001</v>
      </c>
      <c r="BI12" s="73">
        <f>IF(Z12="","",IFERROR(Z12*($Z$9/100),""))</f>
        <v>41.8</v>
      </c>
      <c r="BJ12" s="4"/>
      <c r="BK12" s="4"/>
      <c r="BL12" s="4"/>
      <c r="BM12" s="4"/>
      <c r="BN12" s="73">
        <f>IF(V12="","",IFERROR(V12*($V$9/100),""))</f>
        <v>41</v>
      </c>
      <c r="BO12" s="73">
        <f>IF(R12="","",IFERROR(R12*($R$9/100),""))</f>
        <v>16.500599999999999</v>
      </c>
      <c r="BP12" s="73">
        <f>IF(P12="","",IFERROR(P12*($P$9/100),""))</f>
        <v>38.798200000000001</v>
      </c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73">
        <f>IF(T12="","",IFERROR(T12*($T$9/100),""))</f>
        <v>44.501799999999996</v>
      </c>
      <c r="CD12" s="73">
        <f>IF(W12="","",IFERROR(W12*($CD$9/100),""))</f>
        <v>41</v>
      </c>
      <c r="CE12" s="73" t="str">
        <f>IFERROR(IF(AB12="","",IFERROR(AB12*($AB$9/100),""))+IF(#REF!="","",IFERROR(#REF!*(#REF!/100),""))+IF(#REF!="","",IFERROR(#REF!*(#REF!/100),"")),"")</f>
        <v/>
      </c>
      <c r="CF12" s="4"/>
      <c r="CG12" s="4"/>
      <c r="CH12" s="4"/>
      <c r="CI12" s="73" t="str">
        <f>IFERROR(IF(#REF!="","",IFERROR(#REF!*(#REF!/100),"")),"")</f>
        <v/>
      </c>
      <c r="CJ12" s="73" t="str">
        <f>IFERROR(IF(#REF!="","",IFERROR(#REF!*(#REF!/100),""))+IF(#REF!="","",IFERROR(#REF!*(#REF!/100),"")),"")</f>
        <v/>
      </c>
      <c r="CK12" s="73" t="str">
        <f>IFERROR(IF(H12="","",IFERROR(H12*($H$9/100),""))+IF(L12="","",IFERROR(L12*($L$9/100),""))+IF(#REF!="","",IFERROR(#REF!*(#REF!/100),""))+IF(#REF!="","",IFERROR(#REF!*(#REF!/100),"")),"")</f>
        <v/>
      </c>
      <c r="CL12" s="4"/>
      <c r="CM12" s="73" t="str">
        <f>IFERROR(IF(#REF!="","",IFERROR(#REF!*(#REF!/100),""))+IF(#REF!="","",IFERROR(#REF!*(#REF!/100),"")),"")</f>
        <v/>
      </c>
      <c r="CN12" s="73" t="str">
        <f>IFERROR(IF(#REF!="","",IFERROR(#REF!*(#REF!/100),"")),"")</f>
        <v/>
      </c>
      <c r="CO12">
        <f t="shared" ref="CO12:CO45" si="21">SUM(BE12:CN12)</f>
        <v>311.32579999999996</v>
      </c>
      <c r="CP12" s="74" t="e">
        <f t="shared" ref="CP12:CP45" si="22">CO12/$CO$9</f>
        <v>#REF!</v>
      </c>
    </row>
    <row r="13" spans="1:94">
      <c r="A13" s="178">
        <v>3</v>
      </c>
      <c r="B13" s="109" t="s">
        <v>191</v>
      </c>
      <c r="C13" s="109" t="s">
        <v>192</v>
      </c>
      <c r="D13" s="66">
        <f>'Penguk.CPMK-Smt1'!D13</f>
        <v>75.63</v>
      </c>
      <c r="E13" s="66">
        <f>'Penguk.CPMK-Smt1'!E13</f>
        <v>74.67</v>
      </c>
      <c r="F13" s="66">
        <f>'Penguk.CPMK-Smt1'!F13</f>
        <v>72.25</v>
      </c>
      <c r="G13" s="66">
        <f>'Penguk.CPMK-Smt1'!G13</f>
        <v>66.819999999999993</v>
      </c>
      <c r="H13" s="66">
        <f>'Penguk.CPMK-Smt1'!H13</f>
        <v>67.59</v>
      </c>
      <c r="I13" s="66">
        <f t="shared" si="0"/>
        <v>81.861500000000007</v>
      </c>
      <c r="J13" s="83">
        <f>'Penguk.CPMK-Smt1'!J13</f>
        <v>68.75</v>
      </c>
      <c r="K13" s="83">
        <f>'Penguk.CPMK-Smt1'!K13</f>
        <v>65.56</v>
      </c>
      <c r="L13" s="83">
        <f>'Penguk.CPMK-Smt1'!L13</f>
        <v>67.95</v>
      </c>
      <c r="M13" s="83">
        <f t="shared" si="1"/>
        <v>67.002499999999998</v>
      </c>
      <c r="N13" s="67">
        <f>'Penguk.CPMK-Smt1'!N13</f>
        <v>76.47</v>
      </c>
      <c r="O13" s="67">
        <f>'Penguk.CPMK-Smt1'!O13</f>
        <v>73.53</v>
      </c>
      <c r="P13" s="67">
        <f>'Penguk.CPMK-Smt1'!P13</f>
        <v>74.08</v>
      </c>
      <c r="Q13" s="67">
        <f t="shared" si="2"/>
        <v>74.299300000000002</v>
      </c>
      <c r="R13" s="68">
        <f>'Penguk.CPMK-Smt1'!R13</f>
        <v>86.11</v>
      </c>
      <c r="S13" s="68">
        <f>'Penguk.CPMK-Smt1'!S13</f>
        <v>83.33</v>
      </c>
      <c r="T13" s="68">
        <f>'Penguk.CPMK-Smt1'!T13</f>
        <v>80.099999999999994</v>
      </c>
      <c r="U13" s="68">
        <f t="shared" si="3"/>
        <v>82.247699999999995</v>
      </c>
      <c r="V13" s="69">
        <f>'Penguk.CPMK-Smt1'!V13</f>
        <v>68.099999999999994</v>
      </c>
      <c r="W13" s="69">
        <f>'Penguk.CPMK-Smt1'!W13</f>
        <v>67.599999999999994</v>
      </c>
      <c r="X13" s="69">
        <f t="shared" si="4"/>
        <v>67.849999999999994</v>
      </c>
      <c r="Y13" s="37">
        <f>'Penguk.CPMK-Smt1'!Y13</f>
        <v>90.5</v>
      </c>
      <c r="Z13" s="37">
        <f>'Penguk.CPMK-Smt1'!Z13</f>
        <v>90.5</v>
      </c>
      <c r="AA13" s="37">
        <f t="shared" si="5"/>
        <v>90.5</v>
      </c>
      <c r="AB13" s="70">
        <f>'Penguk.CPMK-Smt1'!AB13</f>
        <v>76.900000000000006</v>
      </c>
      <c r="AC13" s="70">
        <f t="shared" si="6"/>
        <v>76.900000000000006</v>
      </c>
      <c r="AE13" s="71">
        <f t="shared" si="7"/>
        <v>167.4</v>
      </c>
      <c r="AF13" s="81">
        <f t="shared" si="8"/>
        <v>0.83700000000000008</v>
      </c>
      <c r="AG13" s="71">
        <f t="shared" si="9"/>
        <v>238.40849999999998</v>
      </c>
      <c r="AH13" s="81">
        <f t="shared" si="10"/>
        <v>0.75685238095238083</v>
      </c>
      <c r="AI13" s="71"/>
      <c r="AJ13" s="81" t="str">
        <f t="shared" si="11"/>
        <v/>
      </c>
      <c r="AK13" s="71">
        <f t="shared" si="12"/>
        <v>67.849999999999994</v>
      </c>
      <c r="AL13" s="81">
        <f t="shared" si="13"/>
        <v>0.67849999999999999</v>
      </c>
      <c r="AM13" s="72"/>
      <c r="AN13" s="72"/>
      <c r="AO13" s="72"/>
      <c r="AP13" s="72"/>
      <c r="AQ13" s="72"/>
      <c r="AR13" s="72"/>
      <c r="AS13" s="72"/>
      <c r="AT13" s="81" t="str">
        <f t="shared" si="14"/>
        <v/>
      </c>
      <c r="AU13" s="71"/>
      <c r="AV13" s="81" t="str">
        <f t="shared" si="15"/>
        <v/>
      </c>
      <c r="AW13" s="71">
        <f t="shared" si="16"/>
        <v>40.502000000000002</v>
      </c>
      <c r="AX13" s="81">
        <f t="shared" si="17"/>
        <v>0.66396721311475415</v>
      </c>
      <c r="AY13" s="72">
        <f t="shared" si="18"/>
        <v>26.500500000000002</v>
      </c>
      <c r="AZ13" s="81">
        <f t="shared" si="19"/>
        <v>0.6795000000000001</v>
      </c>
      <c r="BA13" s="71" t="str">
        <f>IFERROR((#REF!*(#REF!/100)+#REF!*(#REF!/100)),"")</f>
        <v/>
      </c>
      <c r="BB13" s="81" t="str">
        <f t="shared" si="20"/>
        <v/>
      </c>
      <c r="BE13" s="4">
        <f>IF(Z13="","",IFERROR(N13*($BE$9/100),""))</f>
        <v>12.9999</v>
      </c>
      <c r="BF13" s="4">
        <f>IF(Z13="","",IFERROR(J13*($BF$9/100),""))</f>
        <v>11</v>
      </c>
      <c r="BG13" s="73">
        <f>IF(Y13="","",IFERROR(Y13*($BG$9/100),""))</f>
        <v>45.25</v>
      </c>
      <c r="BH13" s="73">
        <f>IF(D13="","",IFERROR(D13*($BH$9/100),""))</f>
        <v>15.882299999999999</v>
      </c>
      <c r="BI13" s="73">
        <f>IF(Z13="","",IFERROR(Z13*($Z$9/100),""))</f>
        <v>45.25</v>
      </c>
      <c r="BJ13" s="4"/>
      <c r="BK13" s="4"/>
      <c r="BL13" s="4"/>
      <c r="BM13" s="4"/>
      <c r="BN13" s="73">
        <f>IF(V13="","",IFERROR(V13*($V$9/100),""))</f>
        <v>34.049999999999997</v>
      </c>
      <c r="BO13" s="73">
        <f>IF(R13="","",IFERROR(R13*($R$9/100),""))</f>
        <v>15.499799999999999</v>
      </c>
      <c r="BP13" s="73">
        <f>IF(P13="","",IFERROR(P13*($P$9/100),""))</f>
        <v>36.299199999999999</v>
      </c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73">
        <f>IF(T13="","",IFERROR(T13*($T$9/100),""))</f>
        <v>39.248999999999995</v>
      </c>
      <c r="CD13" s="73">
        <f>IF(W13="","",IFERROR(W13*($CD$9/100),""))</f>
        <v>33.799999999999997</v>
      </c>
      <c r="CE13" s="73" t="str">
        <f>IFERROR(IF(AB13="","",IFERROR(AB13*($AB$9/100),""))+IF(#REF!="","",IFERROR(#REF!*(#REF!/100),""))+IF(#REF!="","",IFERROR(#REF!*(#REF!/100),"")),"")</f>
        <v/>
      </c>
      <c r="CF13" s="4"/>
      <c r="CG13" s="4"/>
      <c r="CH13" s="4"/>
      <c r="CI13" s="73" t="str">
        <f>IFERROR(IF(#REF!="","",IFERROR(#REF!*(#REF!/100),"")),"")</f>
        <v/>
      </c>
      <c r="CJ13" s="73" t="str">
        <f>IFERROR(IF(#REF!="","",IFERROR(#REF!*(#REF!/100),""))+IF(#REF!="","",IFERROR(#REF!*(#REF!/100),"")),"")</f>
        <v/>
      </c>
      <c r="CK13" s="73" t="str">
        <f>IFERROR(IF(H13="","",IFERROR(H13*($H$9/100),""))+IF(L13="","",IFERROR(L13*($L$9/100),""))+IF(#REF!="","",IFERROR(#REF!*(#REF!/100),""))+IF(#REF!="","",IFERROR(#REF!*(#REF!/100),"")),"")</f>
        <v/>
      </c>
      <c r="CL13" s="4"/>
      <c r="CM13" s="73" t="str">
        <f>IFERROR(IF(#REF!="","",IFERROR(#REF!*(#REF!/100),""))+IF(#REF!="","",IFERROR(#REF!*(#REF!/100),"")),"")</f>
        <v/>
      </c>
      <c r="CN13" s="73" t="str">
        <f>IFERROR(IF(#REF!="","",IFERROR(#REF!*(#REF!/100),"")),"")</f>
        <v/>
      </c>
      <c r="CO13">
        <f t="shared" si="21"/>
        <v>289.28019999999998</v>
      </c>
      <c r="CP13" s="74" t="e">
        <f t="shared" si="22"/>
        <v>#REF!</v>
      </c>
    </row>
    <row r="14" spans="1:94">
      <c r="A14" s="178">
        <v>4</v>
      </c>
      <c r="B14" s="109" t="s">
        <v>193</v>
      </c>
      <c r="C14" s="109" t="s">
        <v>194</v>
      </c>
      <c r="D14" s="66">
        <f>'Penguk.CPMK-Smt1'!D14</f>
        <v>62.88</v>
      </c>
      <c r="E14" s="66">
        <f>'Penguk.CPMK-Smt1'!E14</f>
        <v>61.4</v>
      </c>
      <c r="F14" s="66">
        <f>'Penguk.CPMK-Smt1'!F14</f>
        <v>58.3</v>
      </c>
      <c r="G14" s="66">
        <f>'Penguk.CPMK-Smt1'!G14</f>
        <v>65.95</v>
      </c>
      <c r="H14" s="66">
        <f>'Penguk.CPMK-Smt1'!H14</f>
        <v>67.33</v>
      </c>
      <c r="I14" s="66">
        <f t="shared" si="0"/>
        <v>72.782299999999992</v>
      </c>
      <c r="J14" s="83">
        <f>'Penguk.CPMK-Smt1'!J14</f>
        <v>67.5</v>
      </c>
      <c r="K14" s="83">
        <f>'Penguk.CPMK-Smt1'!K14</f>
        <v>64.89</v>
      </c>
      <c r="L14" s="83">
        <f>'Penguk.CPMK-Smt1'!L14</f>
        <v>67.95</v>
      </c>
      <c r="M14" s="83">
        <f t="shared" si="1"/>
        <v>66.501000000000005</v>
      </c>
      <c r="N14" s="67">
        <f>'Penguk.CPMK-Smt1'!N14</f>
        <v>64.47</v>
      </c>
      <c r="O14" s="67">
        <f>'Penguk.CPMK-Smt1'!O14</f>
        <v>58.65</v>
      </c>
      <c r="P14" s="67">
        <f>'Penguk.CPMK-Smt1'!P14</f>
        <v>73.47</v>
      </c>
      <c r="Q14" s="67">
        <f t="shared" si="2"/>
        <v>66.901200000000003</v>
      </c>
      <c r="R14" s="68">
        <f>'Penguk.CPMK-Smt1'!R14</f>
        <v>85.11</v>
      </c>
      <c r="S14" s="68">
        <f>'Penguk.CPMK-Smt1'!S14</f>
        <v>82.79</v>
      </c>
      <c r="T14" s="68">
        <f>'Penguk.CPMK-Smt1'!T14</f>
        <v>90.33</v>
      </c>
      <c r="U14" s="68">
        <f t="shared" si="3"/>
        <v>86.902199999999993</v>
      </c>
      <c r="V14" s="69">
        <f>'Penguk.CPMK-Smt1'!V14</f>
        <v>66.2</v>
      </c>
      <c r="W14" s="69">
        <f>'Penguk.CPMK-Smt1'!W14</f>
        <v>66.2</v>
      </c>
      <c r="X14" s="69">
        <f t="shared" si="4"/>
        <v>66.2</v>
      </c>
      <c r="Y14" s="37">
        <f>'Penguk.CPMK-Smt1'!Y14</f>
        <v>82.2</v>
      </c>
      <c r="Z14" s="37">
        <f>'Penguk.CPMK-Smt1'!Z14</f>
        <v>82.2</v>
      </c>
      <c r="AA14" s="37">
        <f t="shared" si="5"/>
        <v>82.2</v>
      </c>
      <c r="AB14" s="70">
        <f>'Penguk.CPMK-Smt1'!AB14</f>
        <v>81.400000000000006</v>
      </c>
      <c r="AC14" s="70">
        <f t="shared" si="6"/>
        <v>81.400000000000006</v>
      </c>
      <c r="AE14" s="71">
        <f t="shared" si="7"/>
        <v>163.60000000000002</v>
      </c>
      <c r="AF14" s="81">
        <f t="shared" si="8"/>
        <v>0.81800000000000006</v>
      </c>
      <c r="AG14" s="71">
        <f t="shared" si="9"/>
        <v>226.58569999999995</v>
      </c>
      <c r="AH14" s="81">
        <f t="shared" si="10"/>
        <v>0.71931968253968237</v>
      </c>
      <c r="AI14" s="71"/>
      <c r="AJ14" s="81" t="str">
        <f t="shared" si="11"/>
        <v/>
      </c>
      <c r="AK14" s="71">
        <f t="shared" si="12"/>
        <v>66.2</v>
      </c>
      <c r="AL14" s="81">
        <f t="shared" si="13"/>
        <v>0.66200000000000003</v>
      </c>
      <c r="AM14" s="72"/>
      <c r="AN14" s="72"/>
      <c r="AO14" s="72"/>
      <c r="AP14" s="72"/>
      <c r="AQ14" s="72"/>
      <c r="AR14" s="72"/>
      <c r="AS14" s="72"/>
      <c r="AT14" s="81" t="str">
        <f t="shared" si="14"/>
        <v/>
      </c>
      <c r="AU14" s="71"/>
      <c r="AV14" s="81" t="str">
        <f t="shared" si="15"/>
        <v/>
      </c>
      <c r="AW14" s="71">
        <f t="shared" si="16"/>
        <v>40.000500000000002</v>
      </c>
      <c r="AX14" s="81">
        <f t="shared" si="17"/>
        <v>0.65574590163934432</v>
      </c>
      <c r="AY14" s="72">
        <f t="shared" si="18"/>
        <v>26.500500000000002</v>
      </c>
      <c r="AZ14" s="81">
        <f t="shared" si="19"/>
        <v>0.6795000000000001</v>
      </c>
      <c r="BA14" s="71" t="str">
        <f>IFERROR((#REF!*(#REF!/100)+#REF!*(#REF!/100)),"")</f>
        <v/>
      </c>
      <c r="BB14" s="81" t="str">
        <f t="shared" si="20"/>
        <v/>
      </c>
      <c r="BE14" s="4">
        <f>IF(Z14="","",IFERROR(N14*($BE$9/100),""))</f>
        <v>10.959900000000001</v>
      </c>
      <c r="BF14" s="4">
        <f>IF(Z14="","",IFERROR(J14*($BF$9/100),""))</f>
        <v>10.8</v>
      </c>
      <c r="BG14" s="73">
        <f>IF(Y14="","",IFERROR(Y14*($BG$9/100),""))</f>
        <v>41.1</v>
      </c>
      <c r="BH14" s="73">
        <f>IF(D14="","",IFERROR(D14*($BH$9/100),""))</f>
        <v>13.204800000000001</v>
      </c>
      <c r="BI14" s="73">
        <f>IF(Z14="","",IFERROR(Z14*($Z$9/100),""))</f>
        <v>41.1</v>
      </c>
      <c r="BJ14" s="4"/>
      <c r="BK14" s="4"/>
      <c r="BL14" s="4"/>
      <c r="BM14" s="4"/>
      <c r="BN14" s="73">
        <f>IF(V14="","",IFERROR(V14*($V$9/100),""))</f>
        <v>33.1</v>
      </c>
      <c r="BO14" s="73">
        <f>IF(R14="","",IFERROR(R14*($R$9/100),""))</f>
        <v>15.319799999999999</v>
      </c>
      <c r="BP14" s="73">
        <f>IF(P14="","",IFERROR(P14*($P$9/100),""))</f>
        <v>36.000299999999996</v>
      </c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73">
        <f>IF(T14="","",IFERROR(T14*($T$9/100),""))</f>
        <v>44.261699999999998</v>
      </c>
      <c r="CD14" s="73">
        <f>IF(W14="","",IFERROR(W14*($CD$9/100),""))</f>
        <v>33.1</v>
      </c>
      <c r="CE14" s="73" t="str">
        <f>IFERROR(IF(AB14="","",IFERROR(AB14*($AB$9/100),""))+IF(#REF!="","",IFERROR(#REF!*(#REF!/100),""))+IF(#REF!="","",IFERROR(#REF!*(#REF!/100),"")),"")</f>
        <v/>
      </c>
      <c r="CF14" s="4"/>
      <c r="CG14" s="4"/>
      <c r="CH14" s="4"/>
      <c r="CI14" s="73" t="str">
        <f>IFERROR(IF(#REF!="","",IFERROR(#REF!*(#REF!/100),"")),"")</f>
        <v/>
      </c>
      <c r="CJ14" s="73" t="str">
        <f>IFERROR(IF(#REF!="","",IFERROR(#REF!*(#REF!/100),""))+IF(#REF!="","",IFERROR(#REF!*(#REF!/100),"")),"")</f>
        <v/>
      </c>
      <c r="CK14" s="73" t="str">
        <f>IFERROR(IF(H14="","",IFERROR(H14*($H$9/100),""))+IF(L14="","",IFERROR(L14*($L$9/100),""))+IF(#REF!="","",IFERROR(#REF!*(#REF!/100),""))+IF(#REF!="","",IFERROR(#REF!*(#REF!/100),"")),"")</f>
        <v/>
      </c>
      <c r="CL14" s="4"/>
      <c r="CM14" s="73" t="str">
        <f>IFERROR(IF(#REF!="","",IFERROR(#REF!*(#REF!/100),""))+IF(#REF!="","",IFERROR(#REF!*(#REF!/100),"")),"")</f>
        <v/>
      </c>
      <c r="CN14" s="73" t="str">
        <f>IFERROR(IF(#REF!="","",IFERROR(#REF!*(#REF!/100),"")),"")</f>
        <v/>
      </c>
      <c r="CO14">
        <f t="shared" si="21"/>
        <v>278.94649999999996</v>
      </c>
      <c r="CP14" s="74" t="e">
        <f t="shared" si="22"/>
        <v>#REF!</v>
      </c>
    </row>
    <row r="15" spans="1:94">
      <c r="A15" s="178">
        <v>5</v>
      </c>
      <c r="B15" s="109" t="s">
        <v>195</v>
      </c>
      <c r="C15" s="109" t="s">
        <v>196</v>
      </c>
      <c r="D15" s="66">
        <f>'Penguk.CPMK-Smt1'!D15</f>
        <v>76.88</v>
      </c>
      <c r="E15" s="66">
        <f>'Penguk.CPMK-Smt1'!E15</f>
        <v>76</v>
      </c>
      <c r="F15" s="66">
        <f>'Penguk.CPMK-Smt1'!F15</f>
        <v>74.25</v>
      </c>
      <c r="G15" s="66">
        <f>'Penguk.CPMK-Smt1'!G15</f>
        <v>65.45</v>
      </c>
      <c r="H15" s="66">
        <f>'Penguk.CPMK-Smt1'!H15</f>
        <v>66.11</v>
      </c>
      <c r="I15" s="66">
        <f t="shared" si="0"/>
        <v>82.177800000000005</v>
      </c>
      <c r="J15" s="83">
        <f>'Penguk.CPMK-Smt1'!J15</f>
        <v>68.75</v>
      </c>
      <c r="K15" s="83">
        <f>'Penguk.CPMK-Smt1'!K15</f>
        <v>65.56</v>
      </c>
      <c r="L15" s="83">
        <f>'Penguk.CPMK-Smt1'!L15</f>
        <v>67.95</v>
      </c>
      <c r="M15" s="83">
        <f t="shared" si="1"/>
        <v>67.002499999999998</v>
      </c>
      <c r="N15" s="67">
        <f>'Penguk.CPMK-Smt1'!N15</f>
        <v>70.59</v>
      </c>
      <c r="O15" s="67">
        <f>'Penguk.CPMK-Smt1'!O15</f>
        <v>66.180000000000007</v>
      </c>
      <c r="P15" s="67">
        <f>'Penguk.CPMK-Smt1'!P15</f>
        <v>79.39</v>
      </c>
      <c r="Q15" s="67">
        <f t="shared" si="2"/>
        <v>73.402600000000007</v>
      </c>
      <c r="R15" s="68">
        <f>'Penguk.CPMK-Smt1'!R15</f>
        <v>86.11</v>
      </c>
      <c r="S15" s="68">
        <f>'Penguk.CPMK-Smt1'!S15</f>
        <v>83.33</v>
      </c>
      <c r="T15" s="68">
        <f>'Penguk.CPMK-Smt1'!T15</f>
        <v>90.82</v>
      </c>
      <c r="U15" s="68">
        <f t="shared" si="3"/>
        <v>87.500499999999988</v>
      </c>
      <c r="V15" s="69">
        <f>'Penguk.CPMK-Smt1'!V15</f>
        <v>76.7</v>
      </c>
      <c r="W15" s="69">
        <f>'Penguk.CPMK-Smt1'!W15</f>
        <v>75.5</v>
      </c>
      <c r="X15" s="69">
        <f t="shared" si="4"/>
        <v>76.099999999999994</v>
      </c>
      <c r="Y15" s="37">
        <f>'Penguk.CPMK-Smt1'!Y15</f>
        <v>83.25</v>
      </c>
      <c r="Z15" s="37">
        <f>'Penguk.CPMK-Smt1'!Z15</f>
        <v>83.25</v>
      </c>
      <c r="AA15" s="37">
        <f t="shared" si="5"/>
        <v>83.25</v>
      </c>
      <c r="AB15" s="70">
        <f>'Penguk.CPMK-Smt1'!AB15</f>
        <v>76.900000000000006</v>
      </c>
      <c r="AC15" s="70">
        <f t="shared" si="6"/>
        <v>76.900000000000006</v>
      </c>
      <c r="AE15" s="71">
        <f t="shared" si="7"/>
        <v>160.15</v>
      </c>
      <c r="AF15" s="81">
        <f t="shared" si="8"/>
        <v>0.80075000000000007</v>
      </c>
      <c r="AG15" s="71">
        <f t="shared" si="9"/>
        <v>243.08089999999999</v>
      </c>
      <c r="AH15" s="81">
        <f t="shared" si="10"/>
        <v>0.77168539682539683</v>
      </c>
      <c r="AI15" s="71"/>
      <c r="AJ15" s="81" t="str">
        <f t="shared" si="11"/>
        <v/>
      </c>
      <c r="AK15" s="71">
        <f t="shared" si="12"/>
        <v>76.099999999999994</v>
      </c>
      <c r="AL15" s="81">
        <f t="shared" si="13"/>
        <v>0.7609999999999999</v>
      </c>
      <c r="AM15" s="72"/>
      <c r="AN15" s="72"/>
      <c r="AO15" s="72"/>
      <c r="AP15" s="72"/>
      <c r="AQ15" s="72"/>
      <c r="AR15" s="72"/>
      <c r="AS15" s="72"/>
      <c r="AT15" s="81" t="str">
        <f t="shared" si="14"/>
        <v/>
      </c>
      <c r="AU15" s="71"/>
      <c r="AV15" s="81" t="str">
        <f t="shared" si="15"/>
        <v/>
      </c>
      <c r="AW15" s="71">
        <f t="shared" si="16"/>
        <v>40.502000000000002</v>
      </c>
      <c r="AX15" s="81">
        <f t="shared" si="17"/>
        <v>0.66396721311475415</v>
      </c>
      <c r="AY15" s="72">
        <f t="shared" si="18"/>
        <v>26.500500000000002</v>
      </c>
      <c r="AZ15" s="81">
        <f t="shared" si="19"/>
        <v>0.6795000000000001</v>
      </c>
      <c r="BA15" s="71" t="str">
        <f>IFERROR((#REF!*(#REF!/100)+#REF!*(#REF!/100)),"")</f>
        <v/>
      </c>
      <c r="BB15" s="81" t="str">
        <f t="shared" si="20"/>
        <v/>
      </c>
      <c r="BE15" s="4">
        <f>IF(Z15="","",IFERROR(N15*($BE$9/100),""))</f>
        <v>12.000300000000001</v>
      </c>
      <c r="BF15" s="4">
        <f>IF(Z15="","",IFERROR(J15*($BF$9/100),""))</f>
        <v>11</v>
      </c>
      <c r="BG15" s="73">
        <f>IF(Y15="","",IFERROR(Y15*($BG$9/100),""))</f>
        <v>41.625</v>
      </c>
      <c r="BH15" s="73">
        <f>IF(D15="","",IFERROR(D15*($BH$9/100),""))</f>
        <v>16.1448</v>
      </c>
      <c r="BI15" s="73">
        <f>IF(Z15="","",IFERROR(Z15*($Z$9/100),""))</f>
        <v>41.625</v>
      </c>
      <c r="BJ15" s="4"/>
      <c r="BK15" s="4"/>
      <c r="BL15" s="4"/>
      <c r="BM15" s="4"/>
      <c r="BN15" s="73">
        <f>IF(V15="","",IFERROR(V15*($V$9/100),""))</f>
        <v>38.35</v>
      </c>
      <c r="BO15" s="73">
        <f>IF(R15="","",IFERROR(R15*($R$9/100),""))</f>
        <v>15.499799999999999</v>
      </c>
      <c r="BP15" s="73">
        <f>IF(P15="","",IFERROR(P15*($P$9/100),""))</f>
        <v>38.9011</v>
      </c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73">
        <f>IF(T15="","",IFERROR(T15*($T$9/100),""))</f>
        <v>44.501799999999996</v>
      </c>
      <c r="CD15" s="73">
        <f>IF(W15="","",IFERROR(W15*($CD$9/100),""))</f>
        <v>37.75</v>
      </c>
      <c r="CE15" s="73" t="str">
        <f>IFERROR(IF(AB15="","",IFERROR(AB15*($AB$9/100),""))+IF(#REF!="","",IFERROR(#REF!*(#REF!/100),""))+IF(#REF!="","",IFERROR(#REF!*(#REF!/100),"")),"")</f>
        <v/>
      </c>
      <c r="CF15" s="4"/>
      <c r="CG15" s="4"/>
      <c r="CH15" s="4"/>
      <c r="CI15" s="73" t="str">
        <f>IFERROR(IF(#REF!="","",IFERROR(#REF!*(#REF!/100),"")),"")</f>
        <v/>
      </c>
      <c r="CJ15" s="73" t="str">
        <f>IFERROR(IF(#REF!="","",IFERROR(#REF!*(#REF!/100),""))+IF(#REF!="","",IFERROR(#REF!*(#REF!/100),"")),"")</f>
        <v/>
      </c>
      <c r="CK15" s="73" t="str">
        <f>IFERROR(IF(H15="","",IFERROR(H15*($H$9/100),""))+IF(L15="","",IFERROR(L15*($L$9/100),""))+IF(#REF!="","",IFERROR(#REF!*(#REF!/100),""))+IF(#REF!="","",IFERROR(#REF!*(#REF!/100),"")),"")</f>
        <v/>
      </c>
      <c r="CL15" s="4"/>
      <c r="CM15" s="73" t="str">
        <f>IFERROR(IF(#REF!="","",IFERROR(#REF!*(#REF!/100),""))+IF(#REF!="","",IFERROR(#REF!*(#REF!/100),"")),"")</f>
        <v/>
      </c>
      <c r="CN15" s="73" t="str">
        <f>IFERROR(IF(#REF!="","",IFERROR(#REF!*(#REF!/100),"")),"")</f>
        <v/>
      </c>
      <c r="CO15">
        <f t="shared" si="21"/>
        <v>297.39780000000002</v>
      </c>
      <c r="CP15" s="74" t="e">
        <f t="shared" si="22"/>
        <v>#REF!</v>
      </c>
    </row>
    <row r="16" spans="1:94">
      <c r="A16" s="178">
        <v>6</v>
      </c>
      <c r="B16" s="109" t="s">
        <v>197</v>
      </c>
      <c r="C16" s="109" t="s">
        <v>198</v>
      </c>
      <c r="D16" s="66">
        <f>'Penguk.CPMK-Smt1'!D16</f>
        <v>45.38</v>
      </c>
      <c r="E16" s="66">
        <f>'Penguk.CPMK-Smt1'!E16</f>
        <v>42.4</v>
      </c>
      <c r="F16" s="66">
        <f>'Penguk.CPMK-Smt1'!F16</f>
        <v>37.049999999999997</v>
      </c>
      <c r="G16" s="66">
        <f>'Penguk.CPMK-Smt1'!G16</f>
        <v>54.14</v>
      </c>
      <c r="H16" s="66">
        <f>'Penguk.CPMK-Smt1'!H16</f>
        <v>54.56</v>
      </c>
      <c r="I16" s="66">
        <f t="shared" si="0"/>
        <v>54.012899999999995</v>
      </c>
      <c r="J16" s="83">
        <f>'Penguk.CPMK-Smt1'!J16</f>
        <v>80</v>
      </c>
      <c r="K16" s="83">
        <f>'Penguk.CPMK-Smt1'!K16</f>
        <v>75.56</v>
      </c>
      <c r="L16" s="83">
        <f>'Penguk.CPMK-Smt1'!L16</f>
        <v>68.209999999999994</v>
      </c>
      <c r="M16" s="83">
        <f t="shared" si="1"/>
        <v>73.403900000000007</v>
      </c>
      <c r="N16" s="67">
        <f>'Penguk.CPMK-Smt1'!N16</f>
        <v>74.12</v>
      </c>
      <c r="O16" s="67">
        <f>'Penguk.CPMK-Smt1'!O16</f>
        <v>70.290000000000006</v>
      </c>
      <c r="P16" s="67">
        <f>'Penguk.CPMK-Smt1'!P16</f>
        <v>75.099999999999994</v>
      </c>
      <c r="Q16" s="67">
        <f t="shared" si="2"/>
        <v>73.298000000000002</v>
      </c>
      <c r="R16" s="68">
        <f>'Penguk.CPMK-Smt1'!R16</f>
        <v>86.11</v>
      </c>
      <c r="S16" s="68">
        <f>'Penguk.CPMK-Smt1'!S16</f>
        <v>83.33</v>
      </c>
      <c r="T16" s="68">
        <f>'Penguk.CPMK-Smt1'!T16</f>
        <v>62.24</v>
      </c>
      <c r="U16" s="68">
        <f t="shared" si="3"/>
        <v>73.496300000000005</v>
      </c>
      <c r="V16" s="69">
        <f>'Penguk.CPMK-Smt1'!V16</f>
        <v>68.8</v>
      </c>
      <c r="W16" s="69">
        <f>'Penguk.CPMK-Smt1'!W16</f>
        <v>67.5</v>
      </c>
      <c r="X16" s="69">
        <f t="shared" si="4"/>
        <v>68.150000000000006</v>
      </c>
      <c r="Y16" s="37">
        <f>'Penguk.CPMK-Smt1'!Y16</f>
        <v>83.15</v>
      </c>
      <c r="Z16" s="37">
        <f>'Penguk.CPMK-Smt1'!Z16</f>
        <v>83.15</v>
      </c>
      <c r="AA16" s="37">
        <f t="shared" si="5"/>
        <v>83.15</v>
      </c>
      <c r="AB16" s="70">
        <f>'Penguk.CPMK-Smt1'!AB16</f>
        <v>85.9</v>
      </c>
      <c r="AC16" s="70">
        <f t="shared" si="6"/>
        <v>85.9</v>
      </c>
      <c r="AE16" s="71">
        <f t="shared" si="7"/>
        <v>169.05</v>
      </c>
      <c r="AF16" s="81">
        <f t="shared" si="8"/>
        <v>0.84525000000000006</v>
      </c>
      <c r="AG16" s="71">
        <f t="shared" si="9"/>
        <v>200.80719999999999</v>
      </c>
      <c r="AH16" s="81">
        <f t="shared" si="10"/>
        <v>0.63748317460317461</v>
      </c>
      <c r="AI16" s="71"/>
      <c r="AJ16" s="81"/>
      <c r="AK16" s="71">
        <f t="shared" si="12"/>
        <v>68.150000000000006</v>
      </c>
      <c r="AL16" s="81">
        <f t="shared" si="13"/>
        <v>0.68150000000000011</v>
      </c>
      <c r="AM16" s="72"/>
      <c r="AN16" s="72"/>
      <c r="AO16" s="72"/>
      <c r="AP16" s="72"/>
      <c r="AQ16" s="72"/>
      <c r="AR16" s="72"/>
      <c r="AS16" s="72"/>
      <c r="AT16" s="81" t="str">
        <f t="shared" si="14"/>
        <v/>
      </c>
      <c r="AU16" s="71"/>
      <c r="AV16" s="81" t="str">
        <f t="shared" si="15"/>
        <v/>
      </c>
      <c r="AW16" s="71">
        <f t="shared" si="16"/>
        <v>46.802000000000007</v>
      </c>
      <c r="AX16" s="81">
        <f t="shared" si="17"/>
        <v>0.76724590163934436</v>
      </c>
      <c r="AY16" s="72">
        <f t="shared" si="18"/>
        <v>26.601899999999997</v>
      </c>
      <c r="AZ16" s="81">
        <f t="shared" si="19"/>
        <v>0.68209999999999993</v>
      </c>
      <c r="BA16" s="71" t="str">
        <f>IFERROR((#REF!*(#REF!/100)+#REF!*(#REF!/100)),"")</f>
        <v/>
      </c>
      <c r="BB16" s="81" t="str">
        <f t="shared" si="20"/>
        <v/>
      </c>
      <c r="BE16" s="4"/>
      <c r="BF16" s="4"/>
      <c r="BG16" s="73"/>
      <c r="BH16" s="73"/>
      <c r="BI16" s="73"/>
      <c r="BJ16" s="4"/>
      <c r="BK16" s="4"/>
      <c r="BL16" s="4"/>
      <c r="BM16" s="4"/>
      <c r="BN16" s="73"/>
      <c r="BO16" s="73"/>
      <c r="BP16" s="73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73"/>
      <c r="CD16" s="73"/>
      <c r="CE16" s="73"/>
      <c r="CF16" s="4"/>
      <c r="CG16" s="4"/>
      <c r="CH16" s="4"/>
      <c r="CI16" s="73"/>
      <c r="CJ16" s="73"/>
      <c r="CK16" s="73"/>
      <c r="CL16" s="4"/>
      <c r="CM16" s="73"/>
      <c r="CN16" s="73"/>
      <c r="CP16" s="74"/>
    </row>
    <row r="17" spans="1:94">
      <c r="A17" s="178">
        <v>7</v>
      </c>
      <c r="B17" s="109" t="s">
        <v>199</v>
      </c>
      <c r="C17" s="109" t="s">
        <v>200</v>
      </c>
      <c r="D17" s="66">
        <f>'Penguk.CPMK-Smt1'!D17</f>
        <v>89.38</v>
      </c>
      <c r="E17" s="66">
        <f>'Penguk.CPMK-Smt1'!E17</f>
        <v>89.33</v>
      </c>
      <c r="F17" s="66">
        <f>'Penguk.CPMK-Smt1'!F17</f>
        <v>89.25</v>
      </c>
      <c r="G17" s="66">
        <f>'Penguk.CPMK-Smt1'!G17</f>
        <v>78.180000000000007</v>
      </c>
      <c r="H17" s="66">
        <f>'Penguk.CPMK-Smt1'!H17</f>
        <v>80</v>
      </c>
      <c r="I17" s="66">
        <f t="shared" si="0"/>
        <v>97.713099999999997</v>
      </c>
      <c r="J17" s="83">
        <f>'Penguk.CPMK-Smt1'!J17</f>
        <v>85.63</v>
      </c>
      <c r="K17" s="83">
        <f>'Penguk.CPMK-Smt1'!K17</f>
        <v>86.78</v>
      </c>
      <c r="L17" s="83">
        <f>'Penguk.CPMK-Smt1'!L17</f>
        <v>88.46</v>
      </c>
      <c r="M17" s="83">
        <f t="shared" si="1"/>
        <v>87.251200000000011</v>
      </c>
      <c r="N17" s="67">
        <f>'Penguk.CPMK-Smt1'!N17</f>
        <v>86.71</v>
      </c>
      <c r="O17" s="67">
        <f>'Penguk.CPMK-Smt1'!O17</f>
        <v>85.62</v>
      </c>
      <c r="P17" s="67">
        <f>'Penguk.CPMK-Smt1'!P17</f>
        <v>82.35</v>
      </c>
      <c r="Q17" s="67">
        <f t="shared" si="2"/>
        <v>84.203000000000003</v>
      </c>
      <c r="R17" s="68">
        <f>'Penguk.CPMK-Smt1'!R17</f>
        <v>91.67</v>
      </c>
      <c r="S17" s="68">
        <f>'Penguk.CPMK-Smt1'!S17</f>
        <v>90.91</v>
      </c>
      <c r="T17" s="68">
        <f>'Penguk.CPMK-Smt1'!T17</f>
        <v>80.099999999999994</v>
      </c>
      <c r="U17" s="68">
        <f t="shared" si="3"/>
        <v>85.749899999999997</v>
      </c>
      <c r="V17" s="69">
        <f>'Penguk.CPMK-Smt1'!V17</f>
        <v>88.9</v>
      </c>
      <c r="W17" s="69">
        <f>'Penguk.CPMK-Smt1'!W17</f>
        <v>88.1</v>
      </c>
      <c r="X17" s="69">
        <f t="shared" si="4"/>
        <v>88.5</v>
      </c>
      <c r="Y17" s="37">
        <f>'Penguk.CPMK-Smt1'!Y17</f>
        <v>85.7</v>
      </c>
      <c r="Z17" s="37">
        <f>'Penguk.CPMK-Smt1'!Z17</f>
        <v>85.7</v>
      </c>
      <c r="AA17" s="37">
        <f t="shared" si="5"/>
        <v>85.7</v>
      </c>
      <c r="AB17" s="70">
        <f>'Penguk.CPMK-Smt1'!AB17</f>
        <v>90.15</v>
      </c>
      <c r="AC17" s="70">
        <f t="shared" si="6"/>
        <v>90.15</v>
      </c>
      <c r="AE17" s="71">
        <f t="shared" si="7"/>
        <v>175.85000000000002</v>
      </c>
      <c r="AF17" s="81">
        <f t="shared" si="8"/>
        <v>0.87925000000000009</v>
      </c>
      <c r="AG17" s="71">
        <f t="shared" si="9"/>
        <v>267.666</v>
      </c>
      <c r="AH17" s="81">
        <f t="shared" si="10"/>
        <v>0.84973333333333334</v>
      </c>
      <c r="AI17" s="71"/>
      <c r="AJ17" s="81"/>
      <c r="AK17" s="71">
        <f t="shared" si="12"/>
        <v>88.5</v>
      </c>
      <c r="AL17" s="81">
        <f t="shared" si="13"/>
        <v>0.88500000000000001</v>
      </c>
      <c r="AM17" s="72"/>
      <c r="AN17" s="72"/>
      <c r="AO17" s="72"/>
      <c r="AP17" s="72"/>
      <c r="AQ17" s="72"/>
      <c r="AR17" s="72"/>
      <c r="AS17" s="72"/>
      <c r="AT17" s="81" t="str">
        <f t="shared" si="14"/>
        <v/>
      </c>
      <c r="AU17" s="71"/>
      <c r="AV17" s="81" t="str">
        <f t="shared" si="15"/>
        <v/>
      </c>
      <c r="AW17" s="71">
        <f t="shared" si="16"/>
        <v>52.751800000000003</v>
      </c>
      <c r="AX17" s="81">
        <f t="shared" si="17"/>
        <v>0.86478360655737707</v>
      </c>
      <c r="AY17" s="72">
        <f t="shared" si="18"/>
        <v>34.499400000000001</v>
      </c>
      <c r="AZ17" s="81">
        <f t="shared" si="19"/>
        <v>0.88460000000000005</v>
      </c>
      <c r="BA17" s="71" t="str">
        <f>IFERROR((#REF!*(#REF!/100)+#REF!*(#REF!/100)),"")</f>
        <v/>
      </c>
      <c r="BB17" s="81" t="str">
        <f t="shared" si="20"/>
        <v/>
      </c>
      <c r="BE17" s="4"/>
      <c r="BF17" s="4"/>
      <c r="BG17" s="73"/>
      <c r="BH17" s="73"/>
      <c r="BI17" s="73"/>
      <c r="BJ17" s="4"/>
      <c r="BK17" s="4"/>
      <c r="BL17" s="4"/>
      <c r="BM17" s="4"/>
      <c r="BN17" s="73"/>
      <c r="BO17" s="73"/>
      <c r="BP17" s="73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73"/>
      <c r="CD17" s="73"/>
      <c r="CE17" s="73"/>
      <c r="CF17" s="4"/>
      <c r="CG17" s="4"/>
      <c r="CH17" s="4"/>
      <c r="CI17" s="73"/>
      <c r="CJ17" s="73"/>
      <c r="CK17" s="73"/>
      <c r="CL17" s="4"/>
      <c r="CM17" s="73"/>
      <c r="CN17" s="73"/>
      <c r="CP17" s="74"/>
    </row>
    <row r="18" spans="1:94">
      <c r="A18" s="178">
        <v>8</v>
      </c>
      <c r="B18" s="109" t="s">
        <v>201</v>
      </c>
      <c r="C18" s="109" t="s">
        <v>202</v>
      </c>
      <c r="D18" s="66">
        <f>'Penguk.CPMK-Smt1'!D18</f>
        <v>70.38</v>
      </c>
      <c r="E18" s="66">
        <f>'Penguk.CPMK-Smt1'!E18</f>
        <v>69.069999999999993</v>
      </c>
      <c r="F18" s="66">
        <f>'Penguk.CPMK-Smt1'!F18</f>
        <v>65.150000000000006</v>
      </c>
      <c r="G18" s="66">
        <f>'Penguk.CPMK-Smt1'!G18</f>
        <v>62.05</v>
      </c>
      <c r="H18" s="66">
        <f>'Penguk.CPMK-Smt1'!H18</f>
        <v>62.41</v>
      </c>
      <c r="I18" s="66">
        <f t="shared" si="0"/>
        <v>75.454199999999986</v>
      </c>
      <c r="J18" s="83">
        <f>'Penguk.CPMK-Smt1'!J18</f>
        <v>75</v>
      </c>
      <c r="K18" s="83">
        <f>'Penguk.CPMK-Smt1'!K18</f>
        <v>71.11</v>
      </c>
      <c r="L18" s="83">
        <f>'Penguk.CPMK-Smt1'!L18</f>
        <v>68.209999999999994</v>
      </c>
      <c r="M18" s="83">
        <f t="shared" si="1"/>
        <v>70.601399999999998</v>
      </c>
      <c r="N18" s="67">
        <f>'Penguk.CPMK-Smt1'!N18</f>
        <v>80.94</v>
      </c>
      <c r="O18" s="67">
        <f>'Penguk.CPMK-Smt1'!O18</f>
        <v>79.239999999999995</v>
      </c>
      <c r="P18" s="67">
        <f>'Penguk.CPMK-Smt1'!P18</f>
        <v>74.59</v>
      </c>
      <c r="Q18" s="67">
        <f t="shared" si="2"/>
        <v>77.250500000000002</v>
      </c>
      <c r="R18" s="68">
        <f>'Penguk.CPMK-Smt1'!R18</f>
        <v>86.11</v>
      </c>
      <c r="S18" s="68">
        <f>'Penguk.CPMK-Smt1'!S18</f>
        <v>83.33</v>
      </c>
      <c r="T18" s="68">
        <f>'Penguk.CPMK-Smt1'!T18</f>
        <v>87.24</v>
      </c>
      <c r="U18" s="68">
        <f t="shared" si="3"/>
        <v>85.746299999999991</v>
      </c>
      <c r="V18" s="69">
        <f>'Penguk.CPMK-Smt1'!V18</f>
        <v>71.599999999999994</v>
      </c>
      <c r="W18" s="69">
        <f>'Penguk.CPMK-Smt1'!W18</f>
        <v>71.599999999999994</v>
      </c>
      <c r="X18" s="69">
        <f t="shared" si="4"/>
        <v>71.599999999999994</v>
      </c>
      <c r="Y18" s="37">
        <f>'Penguk.CPMK-Smt1'!Y18</f>
        <v>77.900000000000006</v>
      </c>
      <c r="Z18" s="37">
        <f>'Penguk.CPMK-Smt1'!Z18</f>
        <v>77.900000000000006</v>
      </c>
      <c r="AA18" s="37">
        <f t="shared" si="5"/>
        <v>77.900000000000006</v>
      </c>
      <c r="AB18" s="70">
        <f>'Penguk.CPMK-Smt1'!AB18</f>
        <v>81.400000000000006</v>
      </c>
      <c r="AC18" s="70">
        <f t="shared" si="6"/>
        <v>81.400000000000006</v>
      </c>
      <c r="AE18" s="71">
        <f t="shared" si="7"/>
        <v>159.30000000000001</v>
      </c>
      <c r="AF18" s="81">
        <f t="shared" si="8"/>
        <v>0.7965000000000001</v>
      </c>
      <c r="AG18" s="71">
        <f t="shared" si="9"/>
        <v>238.45099999999999</v>
      </c>
      <c r="AH18" s="81">
        <f t="shared" si="10"/>
        <v>0.75698730158730154</v>
      </c>
      <c r="AI18" s="71"/>
      <c r="AJ18" s="81"/>
      <c r="AK18" s="71">
        <f t="shared" si="12"/>
        <v>71.599999999999994</v>
      </c>
      <c r="AL18" s="81">
        <f t="shared" si="13"/>
        <v>0.71599999999999997</v>
      </c>
      <c r="AM18" s="72"/>
      <c r="AN18" s="72"/>
      <c r="AO18" s="72"/>
      <c r="AP18" s="72"/>
      <c r="AQ18" s="72"/>
      <c r="AR18" s="72"/>
      <c r="AS18" s="72"/>
      <c r="AT18" s="81" t="str">
        <f t="shared" si="14"/>
        <v/>
      </c>
      <c r="AU18" s="71"/>
      <c r="AV18" s="81" t="str">
        <f t="shared" si="15"/>
        <v/>
      </c>
      <c r="AW18" s="71">
        <f t="shared" si="16"/>
        <v>43.999499999999998</v>
      </c>
      <c r="AX18" s="81">
        <f t="shared" si="17"/>
        <v>0.72130327868852451</v>
      </c>
      <c r="AY18" s="72">
        <f t="shared" si="18"/>
        <v>26.601899999999997</v>
      </c>
      <c r="AZ18" s="81">
        <f t="shared" si="19"/>
        <v>0.68209999999999993</v>
      </c>
      <c r="BA18" s="71" t="str">
        <f>IFERROR((#REF!*(#REF!/100)+#REF!*(#REF!/100)),"")</f>
        <v/>
      </c>
      <c r="BB18" s="81" t="str">
        <f t="shared" si="20"/>
        <v/>
      </c>
      <c r="BE18" s="4"/>
      <c r="BF18" s="4"/>
      <c r="BG18" s="73"/>
      <c r="BH18" s="73"/>
      <c r="BI18" s="73"/>
      <c r="BJ18" s="4"/>
      <c r="BK18" s="4"/>
      <c r="BL18" s="4"/>
      <c r="BM18" s="4"/>
      <c r="BN18" s="73"/>
      <c r="BO18" s="73"/>
      <c r="BP18" s="73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73"/>
      <c r="CD18" s="73"/>
      <c r="CE18" s="73"/>
      <c r="CF18" s="4"/>
      <c r="CG18" s="4"/>
      <c r="CH18" s="4"/>
      <c r="CI18" s="73"/>
      <c r="CJ18" s="73"/>
      <c r="CK18" s="73"/>
      <c r="CL18" s="4"/>
      <c r="CM18" s="73"/>
      <c r="CN18" s="73"/>
      <c r="CP18" s="74"/>
    </row>
    <row r="19" spans="1:94">
      <c r="A19" s="178">
        <v>9</v>
      </c>
      <c r="B19" s="109" t="s">
        <v>203</v>
      </c>
      <c r="C19" s="109" t="s">
        <v>204</v>
      </c>
      <c r="D19" s="66">
        <f>'Penguk.CPMK-Smt1'!D19</f>
        <v>53</v>
      </c>
      <c r="E19" s="66">
        <f>'Penguk.CPMK-Smt1'!E19</f>
        <v>50.2</v>
      </c>
      <c r="F19" s="66">
        <f>'Penguk.CPMK-Smt1'!F19</f>
        <v>45.65</v>
      </c>
      <c r="G19" s="66">
        <f>'Penguk.CPMK-Smt1'!G19</f>
        <v>48.32</v>
      </c>
      <c r="H19" s="66">
        <f>'Penguk.CPMK-Smt1'!H19</f>
        <v>47.93</v>
      </c>
      <c r="I19" s="66">
        <f t="shared" si="0"/>
        <v>56.252800000000001</v>
      </c>
      <c r="J19" s="83">
        <f>'Penguk.CPMK-Smt1'!J19</f>
        <v>78.13</v>
      </c>
      <c r="K19" s="83">
        <f>'Penguk.CPMK-Smt1'!K19</f>
        <v>76.11</v>
      </c>
      <c r="L19" s="83">
        <f>'Penguk.CPMK-Smt1'!L19</f>
        <v>74.36</v>
      </c>
      <c r="M19" s="83">
        <f t="shared" si="1"/>
        <v>75.750699999999995</v>
      </c>
      <c r="N19" s="67">
        <f>'Penguk.CPMK-Smt1'!N19</f>
        <v>78.47</v>
      </c>
      <c r="O19" s="67">
        <f>'Penguk.CPMK-Smt1'!O19</f>
        <v>75.03</v>
      </c>
      <c r="P19" s="67">
        <f>'Penguk.CPMK-Smt1'!P19</f>
        <v>74.180000000000007</v>
      </c>
      <c r="Q19" s="67">
        <f t="shared" si="2"/>
        <v>75.198300000000003</v>
      </c>
      <c r="R19" s="68">
        <f>'Penguk.CPMK-Smt1'!R19</f>
        <v>91.67</v>
      </c>
      <c r="S19" s="68">
        <f>'Penguk.CPMK-Smt1'!S19</f>
        <v>90.91</v>
      </c>
      <c r="T19" s="68">
        <f>'Penguk.CPMK-Smt1'!T19</f>
        <v>80.099999999999994</v>
      </c>
      <c r="U19" s="68">
        <f t="shared" si="3"/>
        <v>85.749899999999997</v>
      </c>
      <c r="V19" s="69">
        <f>'Penguk.CPMK-Smt1'!V19</f>
        <v>69.5</v>
      </c>
      <c r="W19" s="69">
        <f>'Penguk.CPMK-Smt1'!W19</f>
        <v>68.7</v>
      </c>
      <c r="X19" s="69">
        <f t="shared" si="4"/>
        <v>69.099999999999994</v>
      </c>
      <c r="Y19" s="37">
        <f>'Penguk.CPMK-Smt1'!Y19</f>
        <v>84.5</v>
      </c>
      <c r="Z19" s="37">
        <f>'Penguk.CPMK-Smt1'!Z19</f>
        <v>84.5</v>
      </c>
      <c r="AA19" s="37">
        <f t="shared" si="5"/>
        <v>84.5</v>
      </c>
      <c r="AB19" s="70">
        <f>'Penguk.CPMK-Smt1'!AB19</f>
        <v>81.400000000000006</v>
      </c>
      <c r="AC19" s="70">
        <f t="shared" si="6"/>
        <v>81.400000000000006</v>
      </c>
      <c r="AE19" s="71">
        <f t="shared" si="7"/>
        <v>165.9</v>
      </c>
      <c r="AF19" s="81">
        <f t="shared" si="8"/>
        <v>0.82950000000000002</v>
      </c>
      <c r="AG19" s="71">
        <f t="shared" si="9"/>
        <v>217.20099999999999</v>
      </c>
      <c r="AH19" s="81">
        <f t="shared" si="10"/>
        <v>0.6895269841269841</v>
      </c>
      <c r="AI19" s="71"/>
      <c r="AJ19" s="81"/>
      <c r="AK19" s="71">
        <f t="shared" si="12"/>
        <v>69.099999999999994</v>
      </c>
      <c r="AL19" s="81">
        <f t="shared" si="13"/>
        <v>0.69099999999999995</v>
      </c>
      <c r="AM19" s="72"/>
      <c r="AN19" s="72"/>
      <c r="AO19" s="72"/>
      <c r="AP19" s="72"/>
      <c r="AQ19" s="72"/>
      <c r="AR19" s="72"/>
      <c r="AS19" s="72"/>
      <c r="AT19" s="81" t="str">
        <f t="shared" si="14"/>
        <v/>
      </c>
      <c r="AU19" s="71"/>
      <c r="AV19" s="81" t="str">
        <f t="shared" si="15"/>
        <v/>
      </c>
      <c r="AW19" s="71">
        <f t="shared" si="16"/>
        <v>46.750299999999996</v>
      </c>
      <c r="AX19" s="81">
        <f t="shared" si="17"/>
        <v>0.76639836065573763</v>
      </c>
      <c r="AY19" s="72">
        <f t="shared" si="18"/>
        <v>29.000399999999999</v>
      </c>
      <c r="AZ19" s="81">
        <f t="shared" si="19"/>
        <v>0.74359999999999993</v>
      </c>
      <c r="BA19" s="71" t="str">
        <f>IFERROR((#REF!*(#REF!/100)+#REF!*(#REF!/100)),"")</f>
        <v/>
      </c>
      <c r="BB19" s="81" t="str">
        <f t="shared" si="20"/>
        <v/>
      </c>
      <c r="BE19" s="4"/>
      <c r="BF19" s="4"/>
      <c r="BG19" s="73"/>
      <c r="BH19" s="73"/>
      <c r="BI19" s="73"/>
      <c r="BJ19" s="4"/>
      <c r="BK19" s="4"/>
      <c r="BL19" s="4"/>
      <c r="BM19" s="4"/>
      <c r="BN19" s="73"/>
      <c r="BO19" s="73"/>
      <c r="BP19" s="73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73"/>
      <c r="CD19" s="73"/>
      <c r="CE19" s="73"/>
      <c r="CF19" s="4"/>
      <c r="CG19" s="4"/>
      <c r="CH19" s="4"/>
      <c r="CI19" s="73"/>
      <c r="CJ19" s="73"/>
      <c r="CK19" s="73"/>
      <c r="CL19" s="4"/>
      <c r="CM19" s="73"/>
      <c r="CN19" s="73"/>
      <c r="CP19" s="74"/>
    </row>
    <row r="20" spans="1:94">
      <c r="A20" s="178">
        <v>10</v>
      </c>
      <c r="B20" s="109" t="s">
        <v>205</v>
      </c>
      <c r="C20" s="109" t="s">
        <v>206</v>
      </c>
      <c r="D20" s="66">
        <f>'Penguk.CPMK-Smt1'!D20</f>
        <v>85.63</v>
      </c>
      <c r="E20" s="66">
        <f>'Penguk.CPMK-Smt1'!E20</f>
        <v>85.67</v>
      </c>
      <c r="F20" s="66">
        <f>'Penguk.CPMK-Smt1'!F20</f>
        <v>83.5</v>
      </c>
      <c r="G20" s="66">
        <f>'Penguk.CPMK-Smt1'!G20</f>
        <v>55.68</v>
      </c>
      <c r="H20" s="66">
        <f>'Penguk.CPMK-Smt1'!H20</f>
        <v>55.56</v>
      </c>
      <c r="I20" s="66">
        <f t="shared" si="0"/>
        <v>83.287899999999993</v>
      </c>
      <c r="J20" s="83">
        <f>'Penguk.CPMK-Smt1'!J20</f>
        <v>82.5</v>
      </c>
      <c r="K20" s="83">
        <f>'Penguk.CPMK-Smt1'!K20</f>
        <v>81.78</v>
      </c>
      <c r="L20" s="83">
        <f>'Penguk.CPMK-Smt1'!L20</f>
        <v>85.26</v>
      </c>
      <c r="M20" s="83">
        <f t="shared" si="1"/>
        <v>83.252400000000009</v>
      </c>
      <c r="N20" s="67">
        <f>'Penguk.CPMK-Smt1'!N20</f>
        <v>86.12</v>
      </c>
      <c r="O20" s="67">
        <f>'Penguk.CPMK-Smt1'!O20</f>
        <v>83.71</v>
      </c>
      <c r="P20" s="67">
        <f>'Penguk.CPMK-Smt1'!P20</f>
        <v>80.92</v>
      </c>
      <c r="Q20" s="67">
        <f t="shared" si="2"/>
        <v>82.752600000000001</v>
      </c>
      <c r="R20" s="68">
        <f>'Penguk.CPMK-Smt1'!R20</f>
        <v>91.67</v>
      </c>
      <c r="S20" s="68">
        <f>'Penguk.CPMK-Smt1'!S20</f>
        <v>90.91</v>
      </c>
      <c r="T20" s="68">
        <f>'Penguk.CPMK-Smt1'!T20</f>
        <v>80.099999999999994</v>
      </c>
      <c r="U20" s="68">
        <f t="shared" si="3"/>
        <v>85.749899999999997</v>
      </c>
      <c r="V20" s="69">
        <f>'Penguk.CPMK-Smt1'!V20</f>
        <v>73.7</v>
      </c>
      <c r="W20" s="69">
        <f>'Penguk.CPMK-Smt1'!W20</f>
        <v>73</v>
      </c>
      <c r="X20" s="69">
        <f t="shared" si="4"/>
        <v>73.349999999999994</v>
      </c>
      <c r="Y20" s="37">
        <f>'Penguk.CPMK-Smt1'!Y20</f>
        <v>94.15</v>
      </c>
      <c r="Z20" s="37">
        <f>'Penguk.CPMK-Smt1'!Z20</f>
        <v>94.15</v>
      </c>
      <c r="AA20" s="37">
        <f t="shared" si="5"/>
        <v>94.15</v>
      </c>
      <c r="AB20" s="70">
        <f>'Penguk.CPMK-Smt1'!AB20</f>
        <v>88.5</v>
      </c>
      <c r="AC20" s="70">
        <f t="shared" si="6"/>
        <v>88.5</v>
      </c>
      <c r="AE20" s="71">
        <f t="shared" si="7"/>
        <v>182.65</v>
      </c>
      <c r="AF20" s="81">
        <f t="shared" si="8"/>
        <v>0.91325000000000001</v>
      </c>
      <c r="AG20" s="71">
        <f t="shared" si="9"/>
        <v>251.79039999999998</v>
      </c>
      <c r="AH20" s="81">
        <f t="shared" si="10"/>
        <v>0.79933460317460314</v>
      </c>
      <c r="AI20" s="71"/>
      <c r="AJ20" s="81"/>
      <c r="AK20" s="71">
        <f t="shared" si="12"/>
        <v>73.349999999999994</v>
      </c>
      <c r="AL20" s="81">
        <f t="shared" si="13"/>
        <v>0.73349999999999993</v>
      </c>
      <c r="AM20" s="72"/>
      <c r="AN20" s="72"/>
      <c r="AO20" s="72"/>
      <c r="AP20" s="72"/>
      <c r="AQ20" s="72"/>
      <c r="AR20" s="72"/>
      <c r="AS20" s="72"/>
      <c r="AT20" s="81" t="str">
        <f t="shared" si="14"/>
        <v/>
      </c>
      <c r="AU20" s="71"/>
      <c r="AV20" s="81" t="str">
        <f t="shared" si="15"/>
        <v/>
      </c>
      <c r="AW20" s="71">
        <f t="shared" si="16"/>
        <v>50.001000000000005</v>
      </c>
      <c r="AX20" s="81">
        <f t="shared" si="17"/>
        <v>0.81968852459016406</v>
      </c>
      <c r="AY20" s="72">
        <f t="shared" si="18"/>
        <v>33.251400000000004</v>
      </c>
      <c r="AZ20" s="81">
        <f t="shared" si="19"/>
        <v>0.85260000000000014</v>
      </c>
      <c r="BA20" s="71" t="str">
        <f>IFERROR((#REF!*(#REF!/100)+#REF!*(#REF!/100)),"")</f>
        <v/>
      </c>
      <c r="BB20" s="81" t="str">
        <f t="shared" si="20"/>
        <v/>
      </c>
      <c r="BE20" s="4"/>
      <c r="BF20" s="4"/>
      <c r="BG20" s="73"/>
      <c r="BH20" s="73"/>
      <c r="BI20" s="73"/>
      <c r="BJ20" s="4"/>
      <c r="BK20" s="4"/>
      <c r="BL20" s="4"/>
      <c r="BM20" s="4"/>
      <c r="BN20" s="73"/>
      <c r="BO20" s="73"/>
      <c r="BP20" s="73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73"/>
      <c r="CD20" s="73"/>
      <c r="CE20" s="73"/>
      <c r="CF20" s="4"/>
      <c r="CG20" s="4"/>
      <c r="CH20" s="4"/>
      <c r="CI20" s="73"/>
      <c r="CJ20" s="73"/>
      <c r="CK20" s="73"/>
      <c r="CL20" s="4"/>
      <c r="CM20" s="73"/>
      <c r="CN20" s="73"/>
      <c r="CP20" s="74"/>
    </row>
    <row r="21" spans="1:94">
      <c r="A21" s="178">
        <v>11</v>
      </c>
      <c r="B21" s="109" t="s">
        <v>255</v>
      </c>
      <c r="C21" s="109" t="s">
        <v>256</v>
      </c>
      <c r="D21" s="66">
        <f>'Penguk.CPMK-Smt1'!D21</f>
        <v>18.88</v>
      </c>
      <c r="E21" s="66">
        <f>'Penguk.CPMK-Smt1'!E21</f>
        <v>20.13</v>
      </c>
      <c r="F21" s="66">
        <f>'Penguk.CPMK-Smt1'!F21</f>
        <v>10.35</v>
      </c>
      <c r="G21" s="66">
        <f>'Penguk.CPMK-Smt1'!G21</f>
        <v>5.09</v>
      </c>
      <c r="H21" s="66">
        <f>'Penguk.CPMK-Smt1'!H21</f>
        <v>2.0699999999999998</v>
      </c>
      <c r="I21" s="66">
        <f t="shared" si="0"/>
        <v>12.513</v>
      </c>
      <c r="J21" s="83">
        <f>'Penguk.CPMK-Smt1'!J21</f>
        <v>71.88</v>
      </c>
      <c r="K21" s="83">
        <f>'Penguk.CPMK-Smt1'!K21</f>
        <v>55</v>
      </c>
      <c r="L21" s="83">
        <f>'Penguk.CPMK-Smt1'!L21</f>
        <v>10.26</v>
      </c>
      <c r="M21" s="83">
        <f t="shared" si="1"/>
        <v>40.252200000000002</v>
      </c>
      <c r="N21" s="67">
        <f>'Penguk.CPMK-Smt1'!N21</f>
        <v>70.59</v>
      </c>
      <c r="O21" s="67">
        <f>'Penguk.CPMK-Smt1'!O21</f>
        <v>66.180000000000007</v>
      </c>
      <c r="P21" s="67">
        <f>'Penguk.CPMK-Smt1'!P21</f>
        <v>15.82</v>
      </c>
      <c r="Q21" s="67">
        <f t="shared" si="2"/>
        <v>42.25330000000001</v>
      </c>
      <c r="R21" s="68">
        <f>'Penguk.CPMK-Smt1'!R21</f>
        <v>86.11</v>
      </c>
      <c r="S21" s="68">
        <f>'Penguk.CPMK-Smt1'!S21</f>
        <v>83.33</v>
      </c>
      <c r="T21" s="68">
        <f>'Penguk.CPMK-Smt1'!T21</f>
        <v>26.53</v>
      </c>
      <c r="U21" s="68">
        <f t="shared" si="3"/>
        <v>55.998400000000004</v>
      </c>
      <c r="V21" s="69">
        <f>'Penguk.CPMK-Smt1'!V21</f>
        <v>14.3</v>
      </c>
      <c r="W21" s="69">
        <f>'Penguk.CPMK-Smt1'!W21</f>
        <v>6.3</v>
      </c>
      <c r="X21" s="69">
        <f t="shared" si="4"/>
        <v>10.3</v>
      </c>
      <c r="Y21" s="37">
        <f>'Penguk.CPMK-Smt1'!Y21</f>
        <v>0</v>
      </c>
      <c r="Z21" s="37">
        <f>'Penguk.CPMK-Smt1'!Z21</f>
        <v>0</v>
      </c>
      <c r="AA21" s="37">
        <f t="shared" si="5"/>
        <v>0</v>
      </c>
      <c r="AB21" s="70">
        <f>'Penguk.CPMK-Smt1'!AB21</f>
        <v>81.400000000000006</v>
      </c>
      <c r="AC21" s="70">
        <f t="shared" si="6"/>
        <v>81.400000000000006</v>
      </c>
      <c r="AE21" s="71">
        <f t="shared" si="7"/>
        <v>81.400000000000006</v>
      </c>
      <c r="AF21" s="81">
        <f t="shared" si="8"/>
        <v>0.40700000000000003</v>
      </c>
      <c r="AG21" s="71">
        <f t="shared" si="9"/>
        <v>110.76470000000002</v>
      </c>
      <c r="AH21" s="81">
        <f t="shared" si="10"/>
        <v>0.35163396825396831</v>
      </c>
      <c r="AI21" s="71"/>
      <c r="AJ21" s="81"/>
      <c r="AK21" s="71">
        <f t="shared" si="12"/>
        <v>10.3</v>
      </c>
      <c r="AL21" s="81">
        <f t="shared" si="13"/>
        <v>0.10300000000000001</v>
      </c>
      <c r="AM21" s="72"/>
      <c r="AN21" s="72"/>
      <c r="AO21" s="72"/>
      <c r="AP21" s="72"/>
      <c r="AQ21" s="72"/>
      <c r="AR21" s="72"/>
      <c r="AS21" s="72"/>
      <c r="AT21" s="81" t="str">
        <f t="shared" si="14"/>
        <v/>
      </c>
      <c r="AU21" s="71"/>
      <c r="AV21" s="81" t="str">
        <f t="shared" si="15"/>
        <v/>
      </c>
      <c r="AW21" s="71">
        <f t="shared" si="16"/>
        <v>36.250799999999998</v>
      </c>
      <c r="AX21" s="81">
        <f t="shared" si="17"/>
        <v>0.59427540983606553</v>
      </c>
      <c r="AY21" s="72">
        <f t="shared" si="18"/>
        <v>4.0014000000000003</v>
      </c>
      <c r="AZ21" s="81">
        <f t="shared" si="19"/>
        <v>0.10260000000000001</v>
      </c>
      <c r="BA21" s="71" t="str">
        <f>IFERROR((#REF!*(#REF!/100)+#REF!*(#REF!/100)),"")</f>
        <v/>
      </c>
      <c r="BB21" s="81" t="str">
        <f t="shared" si="20"/>
        <v/>
      </c>
      <c r="BE21" s="4"/>
      <c r="BF21" s="4"/>
      <c r="BG21" s="73"/>
      <c r="BH21" s="73"/>
      <c r="BI21" s="73"/>
      <c r="BJ21" s="4"/>
      <c r="BK21" s="4"/>
      <c r="BL21" s="4"/>
      <c r="BM21" s="4"/>
      <c r="BN21" s="73"/>
      <c r="BO21" s="73"/>
      <c r="BP21" s="73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73"/>
      <c r="CD21" s="73"/>
      <c r="CE21" s="73"/>
      <c r="CF21" s="4"/>
      <c r="CG21" s="4"/>
      <c r="CH21" s="4"/>
      <c r="CI21" s="73"/>
      <c r="CJ21" s="73"/>
      <c r="CK21" s="73"/>
      <c r="CL21" s="4"/>
      <c r="CM21" s="73"/>
      <c r="CN21" s="73"/>
      <c r="CP21" s="74"/>
    </row>
    <row r="22" spans="1:94">
      <c r="A22" s="178">
        <v>12</v>
      </c>
      <c r="B22" s="109" t="s">
        <v>207</v>
      </c>
      <c r="C22" s="109" t="s">
        <v>208</v>
      </c>
      <c r="D22" s="66">
        <f>'Penguk.CPMK-Smt1'!D22</f>
        <v>89.13</v>
      </c>
      <c r="E22" s="66">
        <f>'Penguk.CPMK-Smt1'!E22</f>
        <v>89.07</v>
      </c>
      <c r="F22" s="66">
        <f>'Penguk.CPMK-Smt1'!F22</f>
        <v>87.65</v>
      </c>
      <c r="G22" s="66">
        <f>'Penguk.CPMK-Smt1'!G22</f>
        <v>62.5</v>
      </c>
      <c r="H22" s="66">
        <f>'Penguk.CPMK-Smt1'!H22</f>
        <v>62.96</v>
      </c>
      <c r="I22" s="66">
        <f t="shared" si="0"/>
        <v>89.212199999999982</v>
      </c>
      <c r="J22" s="83">
        <f>'Penguk.CPMK-Smt1'!J22</f>
        <v>82.5</v>
      </c>
      <c r="K22" s="83">
        <f>'Penguk.CPMK-Smt1'!K22</f>
        <v>81.78</v>
      </c>
      <c r="L22" s="83">
        <f>'Penguk.CPMK-Smt1'!L22</f>
        <v>85.26</v>
      </c>
      <c r="M22" s="83">
        <f t="shared" si="1"/>
        <v>83.252400000000009</v>
      </c>
      <c r="N22" s="67">
        <f>'Penguk.CPMK-Smt1'!N22</f>
        <v>89.06</v>
      </c>
      <c r="O22" s="67">
        <f>'Penguk.CPMK-Smt1'!O22</f>
        <v>87.38</v>
      </c>
      <c r="P22" s="67">
        <f>'Penguk.CPMK-Smt1'!P22</f>
        <v>87.35</v>
      </c>
      <c r="Q22" s="67">
        <f t="shared" si="2"/>
        <v>87.650900000000007</v>
      </c>
      <c r="R22" s="68">
        <f>'Penguk.CPMK-Smt1'!R22</f>
        <v>91.67</v>
      </c>
      <c r="S22" s="68">
        <f>'Penguk.CPMK-Smt1'!S22</f>
        <v>90.91</v>
      </c>
      <c r="T22" s="68">
        <f>'Penguk.CPMK-Smt1'!T22</f>
        <v>80.099999999999994</v>
      </c>
      <c r="U22" s="68">
        <f t="shared" si="3"/>
        <v>85.749899999999997</v>
      </c>
      <c r="V22" s="69">
        <f>'Penguk.CPMK-Smt1'!V22</f>
        <v>82.9</v>
      </c>
      <c r="W22" s="69">
        <f>'Penguk.CPMK-Smt1'!W22</f>
        <v>82.9</v>
      </c>
      <c r="X22" s="69">
        <f t="shared" si="4"/>
        <v>82.9</v>
      </c>
      <c r="Y22" s="37">
        <f>'Penguk.CPMK-Smt1'!Y22</f>
        <v>94.15</v>
      </c>
      <c r="Z22" s="37">
        <f>'Penguk.CPMK-Smt1'!Z22</f>
        <v>94.15</v>
      </c>
      <c r="AA22" s="37">
        <f t="shared" si="5"/>
        <v>94.15</v>
      </c>
      <c r="AB22" s="70">
        <f>'Penguk.CPMK-Smt1'!AB22</f>
        <v>90.4</v>
      </c>
      <c r="AC22" s="70">
        <f t="shared" si="6"/>
        <v>90.4</v>
      </c>
      <c r="AE22" s="71">
        <f t="shared" si="7"/>
        <v>184.55</v>
      </c>
      <c r="AF22" s="81">
        <f t="shared" si="8"/>
        <v>0.92275000000000007</v>
      </c>
      <c r="AG22" s="71">
        <f t="shared" si="9"/>
        <v>262.613</v>
      </c>
      <c r="AH22" s="81">
        <f t="shared" si="10"/>
        <v>0.83369206349206348</v>
      </c>
      <c r="AI22" s="71"/>
      <c r="AJ22" s="81"/>
      <c r="AK22" s="71">
        <f t="shared" si="12"/>
        <v>82.9</v>
      </c>
      <c r="AL22" s="81">
        <f t="shared" si="13"/>
        <v>0.82900000000000007</v>
      </c>
      <c r="AM22" s="72"/>
      <c r="AN22" s="72"/>
      <c r="AO22" s="72"/>
      <c r="AP22" s="72"/>
      <c r="AQ22" s="72"/>
      <c r="AR22" s="72"/>
      <c r="AS22" s="72"/>
      <c r="AT22" s="81" t="str">
        <f t="shared" si="14"/>
        <v/>
      </c>
      <c r="AU22" s="71"/>
      <c r="AV22" s="81" t="str">
        <f t="shared" si="15"/>
        <v/>
      </c>
      <c r="AW22" s="71">
        <f t="shared" si="16"/>
        <v>50.001000000000005</v>
      </c>
      <c r="AX22" s="81">
        <f t="shared" si="17"/>
        <v>0.81968852459016406</v>
      </c>
      <c r="AY22" s="72">
        <f t="shared" si="18"/>
        <v>33.251400000000004</v>
      </c>
      <c r="AZ22" s="81">
        <f t="shared" si="19"/>
        <v>0.85260000000000014</v>
      </c>
      <c r="BA22" s="71" t="str">
        <f>IFERROR((#REF!*(#REF!/100)+#REF!*(#REF!/100)),"")</f>
        <v/>
      </c>
      <c r="BB22" s="81" t="str">
        <f t="shared" si="20"/>
        <v/>
      </c>
      <c r="BE22" s="4"/>
      <c r="BF22" s="4"/>
      <c r="BG22" s="73"/>
      <c r="BH22" s="73"/>
      <c r="BI22" s="73"/>
      <c r="BJ22" s="4"/>
      <c r="BK22" s="4"/>
      <c r="BL22" s="4"/>
      <c r="BM22" s="4"/>
      <c r="BN22" s="73"/>
      <c r="BO22" s="73"/>
      <c r="BP22" s="73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73"/>
      <c r="CD22" s="73"/>
      <c r="CE22" s="73"/>
      <c r="CF22" s="4"/>
      <c r="CG22" s="4"/>
      <c r="CH22" s="4"/>
      <c r="CI22" s="73"/>
      <c r="CJ22" s="73"/>
      <c r="CK22" s="73"/>
      <c r="CL22" s="4"/>
      <c r="CM22" s="73"/>
      <c r="CN22" s="73"/>
      <c r="CP22" s="74"/>
    </row>
    <row r="23" spans="1:94">
      <c r="A23" s="178">
        <v>13</v>
      </c>
      <c r="B23" s="109" t="s">
        <v>209</v>
      </c>
      <c r="C23" s="109" t="s">
        <v>210</v>
      </c>
      <c r="D23" s="66">
        <f>'Penguk.CPMK-Smt1'!D23</f>
        <v>12.5</v>
      </c>
      <c r="E23" s="66">
        <f>'Penguk.CPMK-Smt1'!E23</f>
        <v>13.33</v>
      </c>
      <c r="F23" s="66">
        <f>'Penguk.CPMK-Smt1'!F23</f>
        <v>13.75</v>
      </c>
      <c r="G23" s="66">
        <f>'Penguk.CPMK-Smt1'!G23</f>
        <v>18.18</v>
      </c>
      <c r="H23" s="66">
        <f>'Penguk.CPMK-Smt1'!H23</f>
        <v>19.440000000000001</v>
      </c>
      <c r="I23" s="66">
        <f t="shared" si="0"/>
        <v>17.943300000000001</v>
      </c>
      <c r="J23" s="83">
        <f>'Penguk.CPMK-Smt1'!J23</f>
        <v>56.13</v>
      </c>
      <c r="K23" s="83">
        <f>'Penguk.CPMK-Smt1'!K23</f>
        <v>53.69</v>
      </c>
      <c r="L23" s="83">
        <f>'Penguk.CPMK-Smt1'!L23</f>
        <v>46.82</v>
      </c>
      <c r="M23" s="83">
        <f t="shared" si="1"/>
        <v>51.4011</v>
      </c>
      <c r="N23" s="67">
        <f>'Penguk.CPMK-Smt1'!N23</f>
        <v>63.76</v>
      </c>
      <c r="O23" s="67">
        <f>'Penguk.CPMK-Smt1'!O23</f>
        <v>58.12</v>
      </c>
      <c r="P23" s="67">
        <f>'Penguk.CPMK-Smt1'!P23</f>
        <v>43.88</v>
      </c>
      <c r="Q23" s="67">
        <f t="shared" si="2"/>
        <v>52.101200000000006</v>
      </c>
      <c r="R23" s="68">
        <f>'Penguk.CPMK-Smt1'!R23</f>
        <v>36.5</v>
      </c>
      <c r="S23" s="68">
        <f>'Penguk.CPMK-Smt1'!S23</f>
        <v>19.91</v>
      </c>
      <c r="T23" s="68">
        <f>'Penguk.CPMK-Smt1'!T23</f>
        <v>52.57</v>
      </c>
      <c r="U23" s="68">
        <f t="shared" si="3"/>
        <v>38.8996</v>
      </c>
      <c r="V23" s="69">
        <f>'Penguk.CPMK-Smt1'!V23</f>
        <v>50.6</v>
      </c>
      <c r="W23" s="69">
        <f>'Penguk.CPMK-Smt1'!W23</f>
        <v>50.6</v>
      </c>
      <c r="X23" s="69">
        <f t="shared" si="4"/>
        <v>50.6</v>
      </c>
      <c r="Y23" s="37">
        <f>'Penguk.CPMK-Smt1'!Y23</f>
        <v>65.599999999999994</v>
      </c>
      <c r="Z23" s="37">
        <f>'Penguk.CPMK-Smt1'!Z23</f>
        <v>65.599999999999994</v>
      </c>
      <c r="AA23" s="37">
        <f t="shared" si="5"/>
        <v>65.599999999999994</v>
      </c>
      <c r="AB23" s="70">
        <f>'Penguk.CPMK-Smt1'!AB23</f>
        <v>71.5</v>
      </c>
      <c r="AC23" s="70">
        <f t="shared" si="6"/>
        <v>71.5</v>
      </c>
      <c r="AE23" s="71">
        <f t="shared" si="7"/>
        <v>137.1</v>
      </c>
      <c r="AF23" s="81">
        <f t="shared" si="8"/>
        <v>0.6855</v>
      </c>
      <c r="AG23" s="71">
        <f t="shared" si="9"/>
        <v>108.94409999999999</v>
      </c>
      <c r="AH23" s="81">
        <f t="shared" si="10"/>
        <v>0.34585428571428567</v>
      </c>
      <c r="AI23" s="71"/>
      <c r="AJ23" s="81"/>
      <c r="AK23" s="71">
        <f t="shared" si="12"/>
        <v>50.6</v>
      </c>
      <c r="AL23" s="81">
        <f t="shared" si="13"/>
        <v>0.50600000000000001</v>
      </c>
      <c r="AM23" s="72"/>
      <c r="AN23" s="72"/>
      <c r="AO23" s="72"/>
      <c r="AP23" s="72"/>
      <c r="AQ23" s="72"/>
      <c r="AR23" s="72"/>
      <c r="AS23" s="72"/>
      <c r="AT23" s="81" t="str">
        <f t="shared" si="14"/>
        <v/>
      </c>
      <c r="AU23" s="71"/>
      <c r="AV23" s="81" t="str">
        <f t="shared" si="15"/>
        <v/>
      </c>
      <c r="AW23" s="71">
        <f t="shared" si="16"/>
        <v>33.141300000000001</v>
      </c>
      <c r="AX23" s="81">
        <f t="shared" si="17"/>
        <v>0.54330000000000001</v>
      </c>
      <c r="AY23" s="72">
        <f t="shared" si="18"/>
        <v>18.259800000000002</v>
      </c>
      <c r="AZ23" s="81">
        <f t="shared" si="19"/>
        <v>0.46820000000000006</v>
      </c>
      <c r="BA23" s="71" t="str">
        <f>IFERROR((#REF!*(#REF!/100)+#REF!*(#REF!/100)),"")</f>
        <v/>
      </c>
      <c r="BB23" s="81" t="str">
        <f t="shared" si="20"/>
        <v/>
      </c>
      <c r="BE23" s="4"/>
      <c r="BF23" s="4"/>
      <c r="BG23" s="73"/>
      <c r="BH23" s="73"/>
      <c r="BI23" s="73"/>
      <c r="BJ23" s="4"/>
      <c r="BK23" s="4"/>
      <c r="BL23" s="4"/>
      <c r="BM23" s="4"/>
      <c r="BN23" s="73"/>
      <c r="BO23" s="73"/>
      <c r="BP23" s="73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73"/>
      <c r="CD23" s="73"/>
      <c r="CE23" s="73"/>
      <c r="CF23" s="4"/>
      <c r="CG23" s="4"/>
      <c r="CH23" s="4"/>
      <c r="CI23" s="73"/>
      <c r="CJ23" s="73"/>
      <c r="CK23" s="73"/>
      <c r="CL23" s="4"/>
      <c r="CM23" s="73"/>
      <c r="CN23" s="73"/>
      <c r="CP23" s="74"/>
    </row>
    <row r="24" spans="1:94">
      <c r="A24" s="178">
        <v>14</v>
      </c>
      <c r="B24" s="109" t="s">
        <v>211</v>
      </c>
      <c r="C24" s="109" t="s">
        <v>212</v>
      </c>
      <c r="D24" s="66">
        <f>'Penguk.CPMK-Smt1'!D24</f>
        <v>78.13</v>
      </c>
      <c r="E24" s="66">
        <f>'Penguk.CPMK-Smt1'!E24</f>
        <v>77.67</v>
      </c>
      <c r="F24" s="66">
        <f>'Penguk.CPMK-Smt1'!F24</f>
        <v>75.5</v>
      </c>
      <c r="G24" s="66">
        <f>'Penguk.CPMK-Smt1'!G24</f>
        <v>48.86</v>
      </c>
      <c r="H24" s="66">
        <f>'Penguk.CPMK-Smt1'!H24</f>
        <v>48.15</v>
      </c>
      <c r="I24" s="66">
        <f t="shared" si="0"/>
        <v>74.623599999999996</v>
      </c>
      <c r="J24" s="83">
        <f>'Penguk.CPMK-Smt1'!J24</f>
        <v>82.5</v>
      </c>
      <c r="K24" s="83">
        <f>'Penguk.CPMK-Smt1'!K24</f>
        <v>79.56</v>
      </c>
      <c r="L24" s="83">
        <f>'Penguk.CPMK-Smt1'!L24</f>
        <v>76.28</v>
      </c>
      <c r="M24" s="83">
        <f t="shared" si="1"/>
        <v>78.751200000000011</v>
      </c>
      <c r="N24" s="67">
        <f>'Penguk.CPMK-Smt1'!N24</f>
        <v>80.239999999999995</v>
      </c>
      <c r="O24" s="67">
        <f>'Penguk.CPMK-Smt1'!O24</f>
        <v>77.819999999999993</v>
      </c>
      <c r="P24" s="67">
        <f>'Penguk.CPMK-Smt1'!P24</f>
        <v>74.69</v>
      </c>
      <c r="Q24" s="67">
        <f t="shared" si="2"/>
        <v>76.697699999999998</v>
      </c>
      <c r="R24" s="68">
        <f>'Penguk.CPMK-Smt1'!R24</f>
        <v>86.11</v>
      </c>
      <c r="S24" s="68">
        <f>'Penguk.CPMK-Smt1'!S24</f>
        <v>83.33</v>
      </c>
      <c r="T24" s="68">
        <f>'Penguk.CPMK-Smt1'!T24</f>
        <v>80.099999999999994</v>
      </c>
      <c r="U24" s="68">
        <f t="shared" si="3"/>
        <v>82.247699999999995</v>
      </c>
      <c r="V24" s="69">
        <f>'Penguk.CPMK-Smt1'!V24</f>
        <v>82.9</v>
      </c>
      <c r="W24" s="69">
        <f>'Penguk.CPMK-Smt1'!W24</f>
        <v>82.2</v>
      </c>
      <c r="X24" s="69">
        <f t="shared" si="4"/>
        <v>82.550000000000011</v>
      </c>
      <c r="Y24" s="37">
        <f>'Penguk.CPMK-Smt1'!Y24</f>
        <v>84.55</v>
      </c>
      <c r="Z24" s="37">
        <f>'Penguk.CPMK-Smt1'!Z24</f>
        <v>84.55</v>
      </c>
      <c r="AA24" s="37">
        <f t="shared" si="5"/>
        <v>84.55</v>
      </c>
      <c r="AB24" s="70">
        <f>'Penguk.CPMK-Smt1'!AB24</f>
        <v>85.9</v>
      </c>
      <c r="AC24" s="70">
        <f t="shared" si="6"/>
        <v>85.9</v>
      </c>
      <c r="AE24" s="71">
        <f t="shared" si="7"/>
        <v>170.45</v>
      </c>
      <c r="AF24" s="81">
        <f t="shared" si="8"/>
        <v>0.85224999999999995</v>
      </c>
      <c r="AG24" s="71">
        <f t="shared" si="9"/>
        <v>233.56899999999996</v>
      </c>
      <c r="AH24" s="81">
        <f t="shared" si="10"/>
        <v>0.74148888888888875</v>
      </c>
      <c r="AI24" s="71"/>
      <c r="AJ24" s="81"/>
      <c r="AK24" s="71">
        <f t="shared" si="12"/>
        <v>82.550000000000011</v>
      </c>
      <c r="AL24" s="81">
        <f t="shared" si="13"/>
        <v>0.82550000000000012</v>
      </c>
      <c r="AM24" s="72"/>
      <c r="AN24" s="72"/>
      <c r="AO24" s="72"/>
      <c r="AP24" s="72"/>
      <c r="AQ24" s="72"/>
      <c r="AR24" s="72"/>
      <c r="AS24" s="72"/>
      <c r="AT24" s="81" t="str">
        <f t="shared" si="14"/>
        <v/>
      </c>
      <c r="AU24" s="71"/>
      <c r="AV24" s="81" t="str">
        <f t="shared" si="15"/>
        <v/>
      </c>
      <c r="AW24" s="71">
        <f t="shared" si="16"/>
        <v>49.002000000000002</v>
      </c>
      <c r="AX24" s="81">
        <f t="shared" si="17"/>
        <v>0.80331147540983605</v>
      </c>
      <c r="AY24" s="72">
        <f t="shared" si="18"/>
        <v>29.749200000000002</v>
      </c>
      <c r="AZ24" s="81">
        <f t="shared" si="19"/>
        <v>0.76280000000000003</v>
      </c>
      <c r="BA24" s="71" t="str">
        <f>IFERROR((#REF!*(#REF!/100)+#REF!*(#REF!/100)),"")</f>
        <v/>
      </c>
      <c r="BB24" s="81" t="str">
        <f t="shared" si="20"/>
        <v/>
      </c>
      <c r="BE24" s="4"/>
      <c r="BF24" s="4"/>
      <c r="BG24" s="73"/>
      <c r="BH24" s="73"/>
      <c r="BI24" s="73"/>
      <c r="BJ24" s="4"/>
      <c r="BK24" s="4"/>
      <c r="BL24" s="4"/>
      <c r="BM24" s="4"/>
      <c r="BN24" s="73"/>
      <c r="BO24" s="73"/>
      <c r="BP24" s="73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73"/>
      <c r="CD24" s="73"/>
      <c r="CE24" s="73"/>
      <c r="CF24" s="4"/>
      <c r="CG24" s="4"/>
      <c r="CH24" s="4"/>
      <c r="CI24" s="73"/>
      <c r="CJ24" s="73"/>
      <c r="CK24" s="73"/>
      <c r="CL24" s="4"/>
      <c r="CM24" s="73"/>
      <c r="CN24" s="73"/>
      <c r="CP24" s="74"/>
    </row>
    <row r="25" spans="1:94">
      <c r="A25" s="178">
        <v>15</v>
      </c>
      <c r="B25" s="109" t="s">
        <v>213</v>
      </c>
      <c r="C25" s="109" t="s">
        <v>214</v>
      </c>
      <c r="D25" s="66">
        <f>'Penguk.CPMK-Smt1'!D25</f>
        <v>91.25</v>
      </c>
      <c r="E25" s="66">
        <f>'Penguk.CPMK-Smt1'!E25</f>
        <v>91.33</v>
      </c>
      <c r="F25" s="66">
        <f>'Penguk.CPMK-Smt1'!F25</f>
        <v>90</v>
      </c>
      <c r="G25" s="66">
        <f>'Penguk.CPMK-Smt1'!G25</f>
        <v>78.180000000000007</v>
      </c>
      <c r="H25" s="66">
        <f>'Penguk.CPMK-Smt1'!H25</f>
        <v>80</v>
      </c>
      <c r="I25" s="66">
        <f t="shared" si="0"/>
        <v>98.718299999999999</v>
      </c>
      <c r="J25" s="83">
        <f>'Penguk.CPMK-Smt1'!J25</f>
        <v>78.13</v>
      </c>
      <c r="K25" s="83">
        <f>'Penguk.CPMK-Smt1'!K25</f>
        <v>79.44</v>
      </c>
      <c r="L25" s="83">
        <f>'Penguk.CPMK-Smt1'!L25</f>
        <v>84.87</v>
      </c>
      <c r="M25" s="83">
        <f t="shared" si="1"/>
        <v>81.348099999999988</v>
      </c>
      <c r="N25" s="67">
        <f>'Penguk.CPMK-Smt1'!N25</f>
        <v>85.53</v>
      </c>
      <c r="O25" s="67">
        <f>'Penguk.CPMK-Smt1'!O25</f>
        <v>83.85</v>
      </c>
      <c r="P25" s="67">
        <f>'Penguk.CPMK-Smt1'!P25</f>
        <v>87.35</v>
      </c>
      <c r="Q25" s="67">
        <f t="shared" si="2"/>
        <v>85.8506</v>
      </c>
      <c r="R25" s="68">
        <f>'Penguk.CPMK-Smt1'!R25</f>
        <v>91.67</v>
      </c>
      <c r="S25" s="68">
        <f>'Penguk.CPMK-Smt1'!S25</f>
        <v>90.91</v>
      </c>
      <c r="T25" s="68">
        <f>'Penguk.CPMK-Smt1'!T25</f>
        <v>90.82</v>
      </c>
      <c r="U25" s="68">
        <f t="shared" si="3"/>
        <v>91.002700000000004</v>
      </c>
      <c r="V25" s="69">
        <f>'Penguk.CPMK-Smt1'!V25</f>
        <v>77.900000000000006</v>
      </c>
      <c r="W25" s="69">
        <f>'Penguk.CPMK-Smt1'!W25</f>
        <v>76.5</v>
      </c>
      <c r="X25" s="69">
        <f t="shared" si="4"/>
        <v>77.2</v>
      </c>
      <c r="Y25" s="37">
        <f>'Penguk.CPMK-Smt1'!Y25</f>
        <v>94.75</v>
      </c>
      <c r="Z25" s="37">
        <f>'Penguk.CPMK-Smt1'!Z25</f>
        <v>94.75</v>
      </c>
      <c r="AA25" s="37">
        <f t="shared" si="5"/>
        <v>94.75</v>
      </c>
      <c r="AB25" s="70">
        <f>'Penguk.CPMK-Smt1'!AB25</f>
        <v>81.400000000000006</v>
      </c>
      <c r="AC25" s="70">
        <f t="shared" si="6"/>
        <v>81.400000000000006</v>
      </c>
      <c r="AE25" s="71">
        <f t="shared" si="7"/>
        <v>176.15</v>
      </c>
      <c r="AF25" s="81">
        <f t="shared" si="8"/>
        <v>0.88075000000000003</v>
      </c>
      <c r="AG25" s="71">
        <f t="shared" si="9"/>
        <v>275.57159999999999</v>
      </c>
      <c r="AH25" s="81">
        <f t="shared" si="10"/>
        <v>0.87483047619047616</v>
      </c>
      <c r="AI25" s="71"/>
      <c r="AJ25" s="81"/>
      <c r="AK25" s="71">
        <f t="shared" si="12"/>
        <v>77.2</v>
      </c>
      <c r="AL25" s="81">
        <f t="shared" si="13"/>
        <v>0.77200000000000002</v>
      </c>
      <c r="AM25" s="72"/>
      <c r="AN25" s="72"/>
      <c r="AO25" s="72"/>
      <c r="AP25" s="72"/>
      <c r="AQ25" s="72"/>
      <c r="AR25" s="72"/>
      <c r="AS25" s="72"/>
      <c r="AT25" s="81" t="str">
        <f t="shared" si="14"/>
        <v/>
      </c>
      <c r="AU25" s="71"/>
      <c r="AV25" s="81" t="str">
        <f t="shared" si="15"/>
        <v/>
      </c>
      <c r="AW25" s="71">
        <f t="shared" si="16"/>
        <v>48.248799999999996</v>
      </c>
      <c r="AX25" s="81">
        <f t="shared" si="17"/>
        <v>0.79096393442622948</v>
      </c>
      <c r="AY25" s="72">
        <f t="shared" si="18"/>
        <v>33.099299999999999</v>
      </c>
      <c r="AZ25" s="81">
        <f t="shared" si="19"/>
        <v>0.84870000000000001</v>
      </c>
      <c r="BA25" s="71" t="str">
        <f>IFERROR((#REF!*(#REF!/100)+#REF!*(#REF!/100)),"")</f>
        <v/>
      </c>
      <c r="BB25" s="81" t="str">
        <f t="shared" si="20"/>
        <v/>
      </c>
      <c r="BE25" s="4"/>
      <c r="BF25" s="4"/>
      <c r="BG25" s="73"/>
      <c r="BH25" s="73"/>
      <c r="BI25" s="73"/>
      <c r="BJ25" s="4"/>
      <c r="BK25" s="4"/>
      <c r="BL25" s="4"/>
      <c r="BM25" s="4"/>
      <c r="BN25" s="73"/>
      <c r="BO25" s="73"/>
      <c r="BP25" s="73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73"/>
      <c r="CD25" s="73"/>
      <c r="CE25" s="73"/>
      <c r="CF25" s="4"/>
      <c r="CG25" s="4"/>
      <c r="CH25" s="4"/>
      <c r="CI25" s="73"/>
      <c r="CJ25" s="73"/>
      <c r="CK25" s="73"/>
      <c r="CL25" s="4"/>
      <c r="CM25" s="73"/>
      <c r="CN25" s="73"/>
      <c r="CP25" s="74"/>
    </row>
    <row r="26" spans="1:94">
      <c r="A26" s="178">
        <v>16</v>
      </c>
      <c r="B26" s="109" t="s">
        <v>215</v>
      </c>
      <c r="C26" s="109" t="s">
        <v>216</v>
      </c>
      <c r="D26" s="66">
        <f>'Penguk.CPMK-Smt1'!D26</f>
        <v>85.38</v>
      </c>
      <c r="E26" s="66">
        <f>'Penguk.CPMK-Smt1'!E26</f>
        <v>85.4</v>
      </c>
      <c r="F26" s="66">
        <f>'Penguk.CPMK-Smt1'!F26</f>
        <v>83.4</v>
      </c>
      <c r="G26" s="66">
        <f>'Penguk.CPMK-Smt1'!G26</f>
        <v>55.68</v>
      </c>
      <c r="H26" s="66">
        <f>'Penguk.CPMK-Smt1'!H26</f>
        <v>55.56</v>
      </c>
      <c r="I26" s="66">
        <f t="shared" si="0"/>
        <v>83.153000000000006</v>
      </c>
      <c r="J26" s="83">
        <f>'Penguk.CPMK-Smt1'!J26</f>
        <v>79.38</v>
      </c>
      <c r="K26" s="83">
        <f>'Penguk.CPMK-Smt1'!K26</f>
        <v>77.89</v>
      </c>
      <c r="L26" s="83">
        <f>'Penguk.CPMK-Smt1'!L26</f>
        <v>78.459999999999994</v>
      </c>
      <c r="M26" s="83">
        <f t="shared" si="1"/>
        <v>78.350700000000003</v>
      </c>
      <c r="N26" s="67">
        <f>'Penguk.CPMK-Smt1'!N26</f>
        <v>83.76</v>
      </c>
      <c r="O26" s="67">
        <f>'Penguk.CPMK-Smt1'!O26</f>
        <v>81.94</v>
      </c>
      <c r="P26" s="67">
        <f>'Penguk.CPMK-Smt1'!P26</f>
        <v>81.33</v>
      </c>
      <c r="Q26" s="67">
        <f t="shared" si="2"/>
        <v>81.950500000000005</v>
      </c>
      <c r="R26" s="68">
        <f>'Penguk.CPMK-Smt1'!R26</f>
        <v>91.67</v>
      </c>
      <c r="S26" s="68">
        <f>'Penguk.CPMK-Smt1'!S26</f>
        <v>90.91</v>
      </c>
      <c r="T26" s="68">
        <f>'Penguk.CPMK-Smt1'!T26</f>
        <v>83.67</v>
      </c>
      <c r="U26" s="68">
        <f t="shared" si="3"/>
        <v>87.499200000000002</v>
      </c>
      <c r="V26" s="69">
        <f>'Penguk.CPMK-Smt1'!V26</f>
        <v>72.8</v>
      </c>
      <c r="W26" s="69">
        <f>'Penguk.CPMK-Smt1'!W26</f>
        <v>69.7</v>
      </c>
      <c r="X26" s="69">
        <f t="shared" si="4"/>
        <v>71.25</v>
      </c>
      <c r="Y26" s="37">
        <f>'Penguk.CPMK-Smt1'!Y26</f>
        <v>84.8</v>
      </c>
      <c r="Z26" s="37">
        <f>'Penguk.CPMK-Smt1'!Z26</f>
        <v>84.8</v>
      </c>
      <c r="AA26" s="37">
        <f t="shared" si="5"/>
        <v>84.8</v>
      </c>
      <c r="AB26" s="70">
        <f>'Penguk.CPMK-Smt1'!AB26</f>
        <v>81.400000000000006</v>
      </c>
      <c r="AC26" s="70">
        <f t="shared" si="6"/>
        <v>81.400000000000006</v>
      </c>
      <c r="AE26" s="71">
        <f t="shared" si="7"/>
        <v>166.2</v>
      </c>
      <c r="AF26" s="81">
        <f t="shared" si="8"/>
        <v>0.83099999999999996</v>
      </c>
      <c r="AG26" s="71">
        <f t="shared" si="9"/>
        <v>252.6027</v>
      </c>
      <c r="AH26" s="81">
        <f t="shared" si="10"/>
        <v>0.80191333333333337</v>
      </c>
      <c r="AI26" s="71"/>
      <c r="AJ26" s="81"/>
      <c r="AK26" s="71">
        <f t="shared" si="12"/>
        <v>71.25</v>
      </c>
      <c r="AL26" s="81">
        <f t="shared" si="13"/>
        <v>0.71250000000000002</v>
      </c>
      <c r="AM26" s="72"/>
      <c r="AN26" s="72"/>
      <c r="AO26" s="72"/>
      <c r="AP26" s="72"/>
      <c r="AQ26" s="72"/>
      <c r="AR26" s="72"/>
      <c r="AS26" s="72"/>
      <c r="AT26" s="81" t="str">
        <f t="shared" si="14"/>
        <v/>
      </c>
      <c r="AU26" s="71"/>
      <c r="AV26" s="81" t="str">
        <f t="shared" si="15"/>
        <v/>
      </c>
      <c r="AW26" s="71">
        <f t="shared" si="16"/>
        <v>47.751300000000001</v>
      </c>
      <c r="AX26" s="81">
        <f t="shared" si="17"/>
        <v>0.78280819672131152</v>
      </c>
      <c r="AY26" s="72">
        <f t="shared" si="18"/>
        <v>30.599399999999999</v>
      </c>
      <c r="AZ26" s="81">
        <f t="shared" si="19"/>
        <v>0.78459999999999996</v>
      </c>
      <c r="BA26" s="71" t="str">
        <f>IFERROR((#REF!*(#REF!/100)+#REF!*(#REF!/100)),"")</f>
        <v/>
      </c>
      <c r="BB26" s="81" t="str">
        <f t="shared" si="20"/>
        <v/>
      </c>
      <c r="BE26" s="4"/>
      <c r="BF26" s="4"/>
      <c r="BG26" s="73"/>
      <c r="BH26" s="73"/>
      <c r="BI26" s="73"/>
      <c r="BJ26" s="4"/>
      <c r="BK26" s="4"/>
      <c r="BL26" s="4"/>
      <c r="BM26" s="4"/>
      <c r="BN26" s="73"/>
      <c r="BO26" s="73"/>
      <c r="BP26" s="73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73"/>
      <c r="CD26" s="73"/>
      <c r="CE26" s="73"/>
      <c r="CF26" s="4"/>
      <c r="CG26" s="4"/>
      <c r="CH26" s="4"/>
      <c r="CI26" s="73"/>
      <c r="CJ26" s="73"/>
      <c r="CK26" s="73"/>
      <c r="CL26" s="4"/>
      <c r="CM26" s="73"/>
      <c r="CN26" s="73"/>
      <c r="CP26" s="74"/>
    </row>
    <row r="27" spans="1:94">
      <c r="A27" s="178">
        <v>17</v>
      </c>
      <c r="B27" s="109" t="s">
        <v>217</v>
      </c>
      <c r="C27" s="109" t="s">
        <v>218</v>
      </c>
      <c r="D27" s="66">
        <f>'Penguk.CPMK-Smt1'!D27</f>
        <v>71.25</v>
      </c>
      <c r="E27" s="66">
        <f>'Penguk.CPMK-Smt1'!E27</f>
        <v>70.33</v>
      </c>
      <c r="F27" s="66">
        <f>'Penguk.CPMK-Smt1'!F27</f>
        <v>67.25</v>
      </c>
      <c r="G27" s="66">
        <f>'Penguk.CPMK-Smt1'!G27</f>
        <v>48.86</v>
      </c>
      <c r="H27" s="66">
        <f>'Penguk.CPMK-Smt1'!H27</f>
        <v>48.15</v>
      </c>
      <c r="I27" s="66">
        <f t="shared" si="0"/>
        <v>69.666499999999999</v>
      </c>
      <c r="J27" s="83">
        <f>'Penguk.CPMK-Smt1'!J27</f>
        <v>78.13</v>
      </c>
      <c r="K27" s="83">
        <f>'Penguk.CPMK-Smt1'!K27</f>
        <v>78.33</v>
      </c>
      <c r="L27" s="83">
        <f>'Penguk.CPMK-Smt1'!L27</f>
        <v>81.03</v>
      </c>
      <c r="M27" s="83">
        <f t="shared" si="1"/>
        <v>79.350999999999999</v>
      </c>
      <c r="N27" s="67">
        <f>'Penguk.CPMK-Smt1'!N27</f>
        <v>76.709999999999994</v>
      </c>
      <c r="O27" s="67">
        <f>'Penguk.CPMK-Smt1'!O27</f>
        <v>73.709999999999994</v>
      </c>
      <c r="P27" s="67">
        <f>'Penguk.CPMK-Smt1'!P27</f>
        <v>69.900000000000006</v>
      </c>
      <c r="Q27" s="67">
        <f t="shared" si="2"/>
        <v>72.353100000000012</v>
      </c>
      <c r="R27" s="68">
        <f>'Penguk.CPMK-Smt1'!R27</f>
        <v>91.67</v>
      </c>
      <c r="S27" s="68">
        <f>'Penguk.CPMK-Smt1'!S27</f>
        <v>90.91</v>
      </c>
      <c r="T27" s="68">
        <f>'Penguk.CPMK-Smt1'!T27</f>
        <v>69.39</v>
      </c>
      <c r="U27" s="68">
        <f t="shared" si="3"/>
        <v>80.50200000000001</v>
      </c>
      <c r="V27" s="69">
        <f>'Penguk.CPMK-Smt1'!V27</f>
        <v>69.3</v>
      </c>
      <c r="W27" s="69">
        <f>'Penguk.CPMK-Smt1'!W27</f>
        <v>68.599999999999994</v>
      </c>
      <c r="X27" s="69">
        <f t="shared" si="4"/>
        <v>68.949999999999989</v>
      </c>
      <c r="Y27" s="37">
        <f>'Penguk.CPMK-Smt1'!Y27</f>
        <v>83.5</v>
      </c>
      <c r="Z27" s="37">
        <f>'Penguk.CPMK-Smt1'!Z27</f>
        <v>83.5</v>
      </c>
      <c r="AA27" s="37">
        <f t="shared" si="5"/>
        <v>83.5</v>
      </c>
      <c r="AB27" s="70">
        <f>'Penguk.CPMK-Smt1'!AB27</f>
        <v>81.400000000000006</v>
      </c>
      <c r="AC27" s="70">
        <f t="shared" si="6"/>
        <v>81.400000000000006</v>
      </c>
      <c r="AE27" s="71">
        <f t="shared" si="7"/>
        <v>164.9</v>
      </c>
      <c r="AF27" s="81">
        <f t="shared" si="8"/>
        <v>0.82450000000000001</v>
      </c>
      <c r="AG27" s="71">
        <f t="shared" si="9"/>
        <v>222.52160000000001</v>
      </c>
      <c r="AH27" s="81">
        <f t="shared" si="10"/>
        <v>0.70641777777777781</v>
      </c>
      <c r="AI27" s="71"/>
      <c r="AJ27" s="81"/>
      <c r="AK27" s="71">
        <f t="shared" si="12"/>
        <v>68.949999999999989</v>
      </c>
      <c r="AL27" s="81">
        <f t="shared" si="13"/>
        <v>0.68949999999999989</v>
      </c>
      <c r="AM27" s="72"/>
      <c r="AN27" s="72"/>
      <c r="AO27" s="72"/>
      <c r="AP27" s="72"/>
      <c r="AQ27" s="72"/>
      <c r="AR27" s="72"/>
      <c r="AS27" s="72"/>
      <c r="AT27" s="81" t="str">
        <f t="shared" si="14"/>
        <v/>
      </c>
      <c r="AU27" s="71"/>
      <c r="AV27" s="81" t="str">
        <f t="shared" si="15"/>
        <v/>
      </c>
      <c r="AW27" s="71">
        <f t="shared" si="16"/>
        <v>47.749299999999998</v>
      </c>
      <c r="AX27" s="81">
        <f t="shared" si="17"/>
        <v>0.78277540983606553</v>
      </c>
      <c r="AY27" s="72">
        <f t="shared" si="18"/>
        <v>31.601700000000001</v>
      </c>
      <c r="AZ27" s="81">
        <f t="shared" si="19"/>
        <v>0.81030000000000002</v>
      </c>
      <c r="BA27" s="71" t="str">
        <f>IFERROR((#REF!*(#REF!/100)+#REF!*(#REF!/100)),"")</f>
        <v/>
      </c>
      <c r="BB27" s="81" t="str">
        <f t="shared" si="20"/>
        <v/>
      </c>
      <c r="BE27" s="4"/>
      <c r="BF27" s="4"/>
      <c r="BG27" s="73"/>
      <c r="BH27" s="73"/>
      <c r="BI27" s="73"/>
      <c r="BJ27" s="4"/>
      <c r="BK27" s="4"/>
      <c r="BL27" s="4"/>
      <c r="BM27" s="4"/>
      <c r="BN27" s="73"/>
      <c r="BO27" s="73"/>
      <c r="BP27" s="73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73"/>
      <c r="CD27" s="73"/>
      <c r="CE27" s="73"/>
      <c r="CF27" s="4"/>
      <c r="CG27" s="4"/>
      <c r="CH27" s="4"/>
      <c r="CI27" s="73"/>
      <c r="CJ27" s="73"/>
      <c r="CK27" s="73"/>
      <c r="CL27" s="4"/>
      <c r="CM27" s="73"/>
      <c r="CN27" s="73"/>
      <c r="CP27" s="74"/>
    </row>
    <row r="28" spans="1:94">
      <c r="A28" s="178">
        <v>18</v>
      </c>
      <c r="B28" s="109" t="s">
        <v>219</v>
      </c>
      <c r="C28" s="109" t="s">
        <v>220</v>
      </c>
      <c r="D28" s="66">
        <f>'Penguk.CPMK-Smt1'!D28</f>
        <v>78.5</v>
      </c>
      <c r="E28" s="66">
        <f>'Penguk.CPMK-Smt1'!E28</f>
        <v>78.069999999999993</v>
      </c>
      <c r="F28" s="66">
        <f>'Penguk.CPMK-Smt1'!F28</f>
        <v>77.55</v>
      </c>
      <c r="G28" s="66">
        <f>'Penguk.CPMK-Smt1'!G28</f>
        <v>54.14</v>
      </c>
      <c r="H28" s="66">
        <f>'Penguk.CPMK-Smt1'!H28</f>
        <v>54.56</v>
      </c>
      <c r="I28" s="66">
        <f t="shared" si="0"/>
        <v>78.130499999999998</v>
      </c>
      <c r="J28" s="83">
        <f>'Penguk.CPMK-Smt1'!J28</f>
        <v>75</v>
      </c>
      <c r="K28" s="83">
        <f>'Penguk.CPMK-Smt1'!K28</f>
        <v>74.44</v>
      </c>
      <c r="L28" s="83">
        <f>'Penguk.CPMK-Smt1'!L28</f>
        <v>78.849999999999994</v>
      </c>
      <c r="M28" s="83">
        <f t="shared" si="1"/>
        <v>76.249499999999998</v>
      </c>
      <c r="N28" s="67">
        <f>'Penguk.CPMK-Smt1'!N28</f>
        <v>82.59</v>
      </c>
      <c r="O28" s="67">
        <f>'Penguk.CPMK-Smt1'!O28</f>
        <v>80.47</v>
      </c>
      <c r="P28" s="67">
        <f>'Penguk.CPMK-Smt1'!P28</f>
        <v>82.55</v>
      </c>
      <c r="Q28" s="67">
        <f t="shared" si="2"/>
        <v>81.849600000000009</v>
      </c>
      <c r="R28" s="68">
        <f>'Penguk.CPMK-Smt1'!R28</f>
        <v>86.11</v>
      </c>
      <c r="S28" s="68">
        <f>'Penguk.CPMK-Smt1'!S28</f>
        <v>83.33</v>
      </c>
      <c r="T28" s="68">
        <f>'Penguk.CPMK-Smt1'!T28</f>
        <v>62.24</v>
      </c>
      <c r="U28" s="68">
        <f t="shared" si="3"/>
        <v>73.496300000000005</v>
      </c>
      <c r="V28" s="69">
        <f>'Penguk.CPMK-Smt1'!V28</f>
        <v>77.7</v>
      </c>
      <c r="W28" s="69">
        <f>'Penguk.CPMK-Smt1'!W28</f>
        <v>77.599999999999994</v>
      </c>
      <c r="X28" s="69">
        <f t="shared" si="4"/>
        <v>77.650000000000006</v>
      </c>
      <c r="Y28" s="37">
        <f>'Penguk.CPMK-Smt1'!Y28</f>
        <v>93.4</v>
      </c>
      <c r="Z28" s="37">
        <f>'Penguk.CPMK-Smt1'!Z28</f>
        <v>93.4</v>
      </c>
      <c r="AA28" s="37">
        <f t="shared" si="5"/>
        <v>93.4</v>
      </c>
      <c r="AB28" s="70">
        <f>'Penguk.CPMK-Smt1'!AB28</f>
        <v>85.55</v>
      </c>
      <c r="AC28" s="70">
        <f t="shared" si="6"/>
        <v>85.55</v>
      </c>
      <c r="AE28" s="71">
        <f t="shared" si="7"/>
        <v>178.95</v>
      </c>
      <c r="AF28" s="81">
        <f t="shared" si="8"/>
        <v>0.89474999999999993</v>
      </c>
      <c r="AG28" s="71">
        <f t="shared" si="9"/>
        <v>233.47639999999998</v>
      </c>
      <c r="AH28" s="81">
        <f t="shared" si="10"/>
        <v>0.74119492063492054</v>
      </c>
      <c r="AI28" s="71"/>
      <c r="AJ28" s="81"/>
      <c r="AK28" s="71">
        <f t="shared" si="12"/>
        <v>77.650000000000006</v>
      </c>
      <c r="AL28" s="81">
        <f t="shared" si="13"/>
        <v>0.77650000000000008</v>
      </c>
      <c r="AM28" s="72"/>
      <c r="AN28" s="72"/>
      <c r="AO28" s="72"/>
      <c r="AP28" s="72"/>
      <c r="AQ28" s="72"/>
      <c r="AR28" s="72"/>
      <c r="AS28" s="72"/>
      <c r="AT28" s="81" t="str">
        <f t="shared" si="14"/>
        <v/>
      </c>
      <c r="AU28" s="71"/>
      <c r="AV28" s="81" t="str">
        <f t="shared" si="15"/>
        <v/>
      </c>
      <c r="AW28" s="71">
        <f t="shared" si="16"/>
        <v>45.497999999999998</v>
      </c>
      <c r="AX28" s="81">
        <f t="shared" si="17"/>
        <v>0.74586885245901635</v>
      </c>
      <c r="AY28" s="72">
        <f t="shared" si="18"/>
        <v>30.7515</v>
      </c>
      <c r="AZ28" s="81">
        <f t="shared" si="19"/>
        <v>0.78849999999999998</v>
      </c>
      <c r="BA28" s="71" t="str">
        <f>IFERROR((#REF!*(#REF!/100)+#REF!*(#REF!/100)),"")</f>
        <v/>
      </c>
      <c r="BB28" s="81" t="str">
        <f t="shared" si="20"/>
        <v/>
      </c>
      <c r="BE28" s="4"/>
      <c r="BF28" s="4"/>
      <c r="BG28" s="73"/>
      <c r="BH28" s="73"/>
      <c r="BI28" s="73"/>
      <c r="BJ28" s="4"/>
      <c r="BK28" s="4"/>
      <c r="BL28" s="4"/>
      <c r="BM28" s="4"/>
      <c r="BN28" s="73"/>
      <c r="BO28" s="73"/>
      <c r="BP28" s="73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73"/>
      <c r="CD28" s="73"/>
      <c r="CE28" s="73"/>
      <c r="CF28" s="4"/>
      <c r="CG28" s="4"/>
      <c r="CH28" s="4"/>
      <c r="CI28" s="73"/>
      <c r="CJ28" s="73"/>
      <c r="CK28" s="73"/>
      <c r="CL28" s="4"/>
      <c r="CM28" s="73"/>
      <c r="CN28" s="73"/>
      <c r="CP28" s="74"/>
    </row>
    <row r="29" spans="1:94">
      <c r="A29" s="178">
        <v>19</v>
      </c>
      <c r="B29" s="109" t="s">
        <v>221</v>
      </c>
      <c r="C29" s="109" t="s">
        <v>222</v>
      </c>
      <c r="D29" s="66">
        <f>'Penguk.CPMK-Smt1'!D29</f>
        <v>68.5</v>
      </c>
      <c r="E29" s="66">
        <f>'Penguk.CPMK-Smt1'!E29</f>
        <v>67.069999999999993</v>
      </c>
      <c r="F29" s="66">
        <f>'Penguk.CPMK-Smt1'!F29</f>
        <v>62.9</v>
      </c>
      <c r="G29" s="66">
        <f>'Penguk.CPMK-Smt1'!G29</f>
        <v>55.68</v>
      </c>
      <c r="H29" s="66">
        <f>'Penguk.CPMK-Smt1'!H29</f>
        <v>55.56</v>
      </c>
      <c r="I29" s="66">
        <f t="shared" si="0"/>
        <v>70.860600000000005</v>
      </c>
      <c r="J29" s="83">
        <f>'Penguk.CPMK-Smt1'!J29</f>
        <v>77.5</v>
      </c>
      <c r="K29" s="83">
        <f>'Penguk.CPMK-Smt1'!K29</f>
        <v>75.11</v>
      </c>
      <c r="L29" s="83">
        <f>'Penguk.CPMK-Smt1'!L29</f>
        <v>74.62</v>
      </c>
      <c r="M29" s="83">
        <f t="shared" si="1"/>
        <v>75.301299999999998</v>
      </c>
      <c r="N29" s="67">
        <f>'Penguk.CPMK-Smt1'!N29</f>
        <v>80.349999999999994</v>
      </c>
      <c r="O29" s="67">
        <f>'Penguk.CPMK-Smt1'!O29</f>
        <v>77.91</v>
      </c>
      <c r="P29" s="67">
        <f>'Penguk.CPMK-Smt1'!P29</f>
        <v>69.900000000000006</v>
      </c>
      <c r="Q29" s="67">
        <f t="shared" si="2"/>
        <v>74.399900000000002</v>
      </c>
      <c r="R29" s="68">
        <f>'Penguk.CPMK-Smt1'!R29</f>
        <v>91.67</v>
      </c>
      <c r="S29" s="68">
        <f>'Penguk.CPMK-Smt1'!S29</f>
        <v>90.91</v>
      </c>
      <c r="T29" s="68">
        <f>'Penguk.CPMK-Smt1'!T29</f>
        <v>80.099999999999994</v>
      </c>
      <c r="U29" s="68">
        <f t="shared" si="3"/>
        <v>85.749899999999997</v>
      </c>
      <c r="V29" s="69">
        <f>'Penguk.CPMK-Smt1'!V29</f>
        <v>77.8</v>
      </c>
      <c r="W29" s="69">
        <f>'Penguk.CPMK-Smt1'!W29</f>
        <v>77</v>
      </c>
      <c r="X29" s="69">
        <f t="shared" si="4"/>
        <v>77.400000000000006</v>
      </c>
      <c r="Y29" s="37">
        <f>'Penguk.CPMK-Smt1'!Y29</f>
        <v>83.25</v>
      </c>
      <c r="Z29" s="37">
        <f>'Penguk.CPMK-Smt1'!Z29</f>
        <v>83.25</v>
      </c>
      <c r="AA29" s="37">
        <f t="shared" si="5"/>
        <v>83.25</v>
      </c>
      <c r="AB29" s="70">
        <f>'Penguk.CPMK-Smt1'!AB29</f>
        <v>86.95</v>
      </c>
      <c r="AC29" s="70">
        <f t="shared" si="6"/>
        <v>86.95</v>
      </c>
      <c r="AE29" s="71">
        <f t="shared" si="7"/>
        <v>170.2</v>
      </c>
      <c r="AF29" s="81">
        <f t="shared" si="8"/>
        <v>0.85099999999999998</v>
      </c>
      <c r="AG29" s="71">
        <f t="shared" si="9"/>
        <v>231.0104</v>
      </c>
      <c r="AH29" s="81">
        <f t="shared" si="10"/>
        <v>0.73336634920634924</v>
      </c>
      <c r="AI29" s="71"/>
      <c r="AJ29" s="81"/>
      <c r="AK29" s="71">
        <f t="shared" si="12"/>
        <v>77.400000000000006</v>
      </c>
      <c r="AL29" s="81">
        <f t="shared" si="13"/>
        <v>0.77400000000000002</v>
      </c>
      <c r="AM29" s="72"/>
      <c r="AN29" s="72"/>
      <c r="AO29" s="72"/>
      <c r="AP29" s="72"/>
      <c r="AQ29" s="72"/>
      <c r="AR29" s="72"/>
      <c r="AS29" s="72"/>
      <c r="AT29" s="81" t="str">
        <f t="shared" si="14"/>
        <v/>
      </c>
      <c r="AU29" s="71"/>
      <c r="AV29" s="81" t="str">
        <f t="shared" si="15"/>
        <v/>
      </c>
      <c r="AW29" s="71">
        <f t="shared" si="16"/>
        <v>46.1995</v>
      </c>
      <c r="AX29" s="81">
        <f t="shared" si="17"/>
        <v>0.75736885245901642</v>
      </c>
      <c r="AY29" s="72">
        <f t="shared" si="18"/>
        <v>29.101800000000004</v>
      </c>
      <c r="AZ29" s="81">
        <f t="shared" si="19"/>
        <v>0.74620000000000009</v>
      </c>
      <c r="BA29" s="71" t="str">
        <f>IFERROR((#REF!*(#REF!/100)+#REF!*(#REF!/100)),"")</f>
        <v/>
      </c>
      <c r="BB29" s="81" t="str">
        <f t="shared" si="20"/>
        <v/>
      </c>
      <c r="BE29" s="4"/>
      <c r="BF29" s="4"/>
      <c r="BG29" s="73"/>
      <c r="BH29" s="73"/>
      <c r="BI29" s="73"/>
      <c r="BJ29" s="4"/>
      <c r="BK29" s="4"/>
      <c r="BL29" s="4"/>
      <c r="BM29" s="4"/>
      <c r="BN29" s="73"/>
      <c r="BO29" s="73"/>
      <c r="BP29" s="73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73"/>
      <c r="CD29" s="73"/>
      <c r="CE29" s="73"/>
      <c r="CF29" s="4"/>
      <c r="CG29" s="4"/>
      <c r="CH29" s="4"/>
      <c r="CI29" s="73"/>
      <c r="CJ29" s="73"/>
      <c r="CK29" s="73"/>
      <c r="CL29" s="4"/>
      <c r="CM29" s="73"/>
      <c r="CN29" s="73"/>
      <c r="CP29" s="74"/>
    </row>
    <row r="30" spans="1:94">
      <c r="A30" s="178">
        <v>20</v>
      </c>
      <c r="B30" s="109" t="s">
        <v>223</v>
      </c>
      <c r="C30" s="109" t="s">
        <v>224</v>
      </c>
      <c r="D30" s="66">
        <f>'Penguk.CPMK-Smt1'!D30</f>
        <v>76.13</v>
      </c>
      <c r="E30" s="66">
        <f>'Penguk.CPMK-Smt1'!E30</f>
        <v>75.2</v>
      </c>
      <c r="F30" s="66">
        <f>'Penguk.CPMK-Smt1'!F30</f>
        <v>73.650000000000006</v>
      </c>
      <c r="G30" s="66">
        <f>'Penguk.CPMK-Smt1'!G30</f>
        <v>51.27</v>
      </c>
      <c r="H30" s="66">
        <f>'Penguk.CPMK-Smt1'!H30</f>
        <v>51.07</v>
      </c>
      <c r="I30" s="66">
        <f t="shared" si="0"/>
        <v>74.54310000000001</v>
      </c>
      <c r="J30" s="83">
        <f>'Penguk.CPMK-Smt1'!J30</f>
        <v>68.75</v>
      </c>
      <c r="K30" s="83">
        <f>'Penguk.CPMK-Smt1'!K30</f>
        <v>69.56</v>
      </c>
      <c r="L30" s="83">
        <f>'Penguk.CPMK-Smt1'!L30</f>
        <v>79.489999999999995</v>
      </c>
      <c r="M30" s="83">
        <f t="shared" si="1"/>
        <v>73.303100000000001</v>
      </c>
      <c r="N30" s="67">
        <f>'Penguk.CPMK-Smt1'!N30</f>
        <v>70.349999999999994</v>
      </c>
      <c r="O30" s="67">
        <f>'Penguk.CPMK-Smt1'!O30</f>
        <v>66</v>
      </c>
      <c r="P30" s="67">
        <f>'Penguk.CPMK-Smt1'!P30</f>
        <v>74.08</v>
      </c>
      <c r="Q30" s="67">
        <f t="shared" si="2"/>
        <v>70.698700000000002</v>
      </c>
      <c r="R30" s="68">
        <f>'Penguk.CPMK-Smt1'!R30</f>
        <v>86.11</v>
      </c>
      <c r="S30" s="68">
        <f>'Penguk.CPMK-Smt1'!S30</f>
        <v>83.33</v>
      </c>
      <c r="T30" s="68">
        <f>'Penguk.CPMK-Smt1'!T30</f>
        <v>90.82</v>
      </c>
      <c r="U30" s="68">
        <f t="shared" si="3"/>
        <v>87.500499999999988</v>
      </c>
      <c r="V30" s="69">
        <f>'Penguk.CPMK-Smt1'!V30</f>
        <v>82</v>
      </c>
      <c r="W30" s="69">
        <f>'Penguk.CPMK-Smt1'!W30</f>
        <v>82</v>
      </c>
      <c r="X30" s="69">
        <f t="shared" si="4"/>
        <v>82</v>
      </c>
      <c r="Y30" s="37">
        <f>'Penguk.CPMK-Smt1'!Y30</f>
        <v>77.900000000000006</v>
      </c>
      <c r="Z30" s="37">
        <f>'Penguk.CPMK-Smt1'!Z30</f>
        <v>77.900000000000006</v>
      </c>
      <c r="AA30" s="37">
        <f t="shared" si="5"/>
        <v>77.900000000000006</v>
      </c>
      <c r="AB30" s="70">
        <f>'Penguk.CPMK-Smt1'!AB30</f>
        <v>81.400000000000006</v>
      </c>
      <c r="AC30" s="70">
        <f t="shared" si="6"/>
        <v>81.400000000000006</v>
      </c>
      <c r="AE30" s="71">
        <f t="shared" si="7"/>
        <v>159.30000000000001</v>
      </c>
      <c r="AF30" s="81">
        <f t="shared" si="8"/>
        <v>0.7965000000000001</v>
      </c>
      <c r="AG30" s="71">
        <f t="shared" si="9"/>
        <v>232.7423</v>
      </c>
      <c r="AH30" s="81">
        <f t="shared" si="10"/>
        <v>0.73886444444444443</v>
      </c>
      <c r="AI30" s="71"/>
      <c r="AJ30" s="81"/>
      <c r="AK30" s="71">
        <f t="shared" si="12"/>
        <v>82</v>
      </c>
      <c r="AL30" s="81">
        <f t="shared" si="13"/>
        <v>0.82</v>
      </c>
      <c r="AM30" s="72"/>
      <c r="AN30" s="72"/>
      <c r="AO30" s="72"/>
      <c r="AP30" s="72"/>
      <c r="AQ30" s="72"/>
      <c r="AR30" s="72"/>
      <c r="AS30" s="72"/>
      <c r="AT30" s="81" t="str">
        <f t="shared" si="14"/>
        <v/>
      </c>
      <c r="AU30" s="71"/>
      <c r="AV30" s="81" t="str">
        <f t="shared" si="15"/>
        <v/>
      </c>
      <c r="AW30" s="71">
        <f t="shared" si="16"/>
        <v>42.302000000000007</v>
      </c>
      <c r="AX30" s="81">
        <f t="shared" si="17"/>
        <v>0.6934754098360657</v>
      </c>
      <c r="AY30" s="72">
        <f t="shared" si="18"/>
        <v>31.001099999999997</v>
      </c>
      <c r="AZ30" s="81">
        <f t="shared" si="19"/>
        <v>0.79489999999999994</v>
      </c>
      <c r="BA30" s="71" t="str">
        <f>IFERROR((#REF!*(#REF!/100)+#REF!*(#REF!/100)),"")</f>
        <v/>
      </c>
      <c r="BB30" s="81" t="str">
        <f t="shared" si="20"/>
        <v/>
      </c>
      <c r="BE30" s="4"/>
      <c r="BF30" s="4"/>
      <c r="BG30" s="73"/>
      <c r="BH30" s="73"/>
      <c r="BI30" s="73"/>
      <c r="BJ30" s="4"/>
      <c r="BK30" s="4"/>
      <c r="BL30" s="4"/>
      <c r="BM30" s="4"/>
      <c r="BN30" s="73"/>
      <c r="BO30" s="73"/>
      <c r="BP30" s="73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73"/>
      <c r="CD30" s="73"/>
      <c r="CE30" s="73"/>
      <c r="CF30" s="4"/>
      <c r="CG30" s="4"/>
      <c r="CH30" s="4"/>
      <c r="CI30" s="73"/>
      <c r="CJ30" s="73"/>
      <c r="CK30" s="73"/>
      <c r="CL30" s="4"/>
      <c r="CM30" s="73"/>
      <c r="CN30" s="73"/>
      <c r="CP30" s="74"/>
    </row>
    <row r="31" spans="1:94">
      <c r="A31" s="178">
        <v>21</v>
      </c>
      <c r="B31" s="109" t="s">
        <v>225</v>
      </c>
      <c r="C31" s="109" t="s">
        <v>226</v>
      </c>
      <c r="D31" s="66">
        <f>'Penguk.CPMK-Smt1'!D31</f>
        <v>52.38</v>
      </c>
      <c r="E31" s="66">
        <f>'Penguk.CPMK-Smt1'!E31</f>
        <v>50.2</v>
      </c>
      <c r="F31" s="66">
        <f>'Penguk.CPMK-Smt1'!F31</f>
        <v>44.9</v>
      </c>
      <c r="G31" s="66">
        <f>'Penguk.CPMK-Smt1'!G31</f>
        <v>58.09</v>
      </c>
      <c r="H31" s="66">
        <f>'Penguk.CPMK-Smt1'!H31</f>
        <v>58.48</v>
      </c>
      <c r="I31" s="66">
        <f t="shared" si="0"/>
        <v>60.932400000000001</v>
      </c>
      <c r="J31" s="83">
        <f>'Penguk.CPMK-Smt1'!J31</f>
        <v>68.75</v>
      </c>
      <c r="K31" s="83">
        <f>'Penguk.CPMK-Smt1'!K31</f>
        <v>65.56</v>
      </c>
      <c r="L31" s="83">
        <f>'Penguk.CPMK-Smt1'!L31</f>
        <v>64.099999999999994</v>
      </c>
      <c r="M31" s="83">
        <f t="shared" si="1"/>
        <v>65.501000000000005</v>
      </c>
      <c r="N31" s="67">
        <f>'Penguk.CPMK-Smt1'!N31</f>
        <v>77.290000000000006</v>
      </c>
      <c r="O31" s="67">
        <f>'Penguk.CPMK-Smt1'!O31</f>
        <v>74.150000000000006</v>
      </c>
      <c r="P31" s="67">
        <f>'Penguk.CPMK-Smt1'!P31</f>
        <v>59.18</v>
      </c>
      <c r="Q31" s="67">
        <f t="shared" si="2"/>
        <v>67.348500000000001</v>
      </c>
      <c r="R31" s="68">
        <f>'Penguk.CPMK-Smt1'!R31</f>
        <v>91.67</v>
      </c>
      <c r="S31" s="68">
        <f>'Penguk.CPMK-Smt1'!S31</f>
        <v>90.91</v>
      </c>
      <c r="T31" s="68">
        <f>'Penguk.CPMK-Smt1'!T31</f>
        <v>62.24</v>
      </c>
      <c r="U31" s="68">
        <f t="shared" si="3"/>
        <v>76.998500000000007</v>
      </c>
      <c r="V31" s="69">
        <f>'Penguk.CPMK-Smt1'!V31</f>
        <v>67.599999999999994</v>
      </c>
      <c r="W31" s="69">
        <f>'Penguk.CPMK-Smt1'!W31</f>
        <v>68.3</v>
      </c>
      <c r="X31" s="69">
        <f t="shared" si="4"/>
        <v>67.949999999999989</v>
      </c>
      <c r="Y31" s="37">
        <f>'Penguk.CPMK-Smt1'!Y31</f>
        <v>82.9</v>
      </c>
      <c r="Z31" s="37">
        <f>'Penguk.CPMK-Smt1'!Z31</f>
        <v>82.9</v>
      </c>
      <c r="AA31" s="37">
        <f t="shared" si="5"/>
        <v>82.9</v>
      </c>
      <c r="AB31" s="70">
        <f>'Penguk.CPMK-Smt1'!AB31</f>
        <v>81.400000000000006</v>
      </c>
      <c r="AC31" s="70">
        <f t="shared" si="6"/>
        <v>81.400000000000006</v>
      </c>
      <c r="AE31" s="71">
        <f t="shared" si="7"/>
        <v>164.3</v>
      </c>
      <c r="AF31" s="81">
        <f t="shared" si="8"/>
        <v>0.82150000000000001</v>
      </c>
      <c r="AG31" s="71">
        <f t="shared" si="9"/>
        <v>205.27940000000001</v>
      </c>
      <c r="AH31" s="81">
        <f t="shared" si="10"/>
        <v>0.65168063492063499</v>
      </c>
      <c r="AI31" s="71"/>
      <c r="AJ31" s="81" t="str">
        <f t="shared" si="11"/>
        <v/>
      </c>
      <c r="AK31" s="71">
        <f t="shared" si="12"/>
        <v>67.949999999999989</v>
      </c>
      <c r="AL31" s="81">
        <f t="shared" si="13"/>
        <v>0.67949999999999988</v>
      </c>
      <c r="AM31" s="72"/>
      <c r="AN31" s="72"/>
      <c r="AO31" s="72"/>
      <c r="AP31" s="72"/>
      <c r="AQ31" s="72"/>
      <c r="AR31" s="72"/>
      <c r="AS31" s="72"/>
      <c r="AT31" s="81" t="str">
        <f t="shared" si="14"/>
        <v/>
      </c>
      <c r="AU31" s="71"/>
      <c r="AV31" s="81" t="str">
        <f t="shared" si="15"/>
        <v/>
      </c>
      <c r="AW31" s="71">
        <f t="shared" si="16"/>
        <v>40.502000000000002</v>
      </c>
      <c r="AX31" s="81">
        <f t="shared" si="17"/>
        <v>0.66396721311475415</v>
      </c>
      <c r="AY31" s="72">
        <f t="shared" si="18"/>
        <v>24.998999999999999</v>
      </c>
      <c r="AZ31" s="81">
        <f t="shared" si="19"/>
        <v>0.64100000000000001</v>
      </c>
      <c r="BA31" s="71" t="str">
        <f>IFERROR((#REF!*(#REF!/100)+#REF!*(#REF!/100)),"")</f>
        <v/>
      </c>
      <c r="BB31" s="81" t="str">
        <f t="shared" si="20"/>
        <v/>
      </c>
      <c r="BE31" s="4">
        <f t="shared" ref="BE31:BE46" si="23">IF(Z31="","",IFERROR(N31*($BE$9/100),""))</f>
        <v>13.139300000000002</v>
      </c>
      <c r="BF31" s="4">
        <f t="shared" ref="BF31:BF46" si="24">IF(Z31="","",IFERROR(J31*($BF$9/100),""))</f>
        <v>11</v>
      </c>
      <c r="BG31" s="73">
        <f t="shared" ref="BG31:BG46" si="25">IF(Y31="","",IFERROR(Y31*($BG$9/100),""))</f>
        <v>41.45</v>
      </c>
      <c r="BH31" s="73">
        <f t="shared" ref="BH31:BH46" si="26">IF(D31="","",IFERROR(D31*($BH$9/100),""))</f>
        <v>10.9998</v>
      </c>
      <c r="BI31" s="73">
        <f t="shared" ref="BI31:BI46" si="27">IF(Z31="","",IFERROR(Z31*($Z$9/100),""))</f>
        <v>41.45</v>
      </c>
      <c r="BJ31" s="4"/>
      <c r="BK31" s="4"/>
      <c r="BL31" s="4"/>
      <c r="BM31" s="4"/>
      <c r="BN31" s="73">
        <f t="shared" ref="BN31:BN46" si="28">IF(V31="","",IFERROR(V31*($V$9/100),""))</f>
        <v>33.799999999999997</v>
      </c>
      <c r="BO31" s="73">
        <f t="shared" ref="BO31:BO46" si="29">IF(R31="","",IFERROR(R31*($R$9/100),""))</f>
        <v>16.500599999999999</v>
      </c>
      <c r="BP31" s="73">
        <f t="shared" ref="BP31:BP45" si="30">IF(P31="","",IFERROR(P31*($P$9/100),""))</f>
        <v>28.998200000000001</v>
      </c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73">
        <f t="shared" ref="CC31:CC45" si="31">IF(T31="","",IFERROR(T31*($T$9/100),""))</f>
        <v>30.497600000000002</v>
      </c>
      <c r="CD31" s="73">
        <f t="shared" ref="CD31:CD45" si="32">IF(W31="","",IFERROR(W31*($CD$9/100),""))</f>
        <v>34.15</v>
      </c>
      <c r="CE31" s="73" t="str">
        <f>IFERROR(IF(AB31="","",IFERROR(AB31*($AB$9/100),""))+IF(#REF!="","",IFERROR(#REF!*(#REF!/100),""))+IF(#REF!="","",IFERROR(#REF!*(#REF!/100),"")),"")</f>
        <v/>
      </c>
      <c r="CF31" s="4"/>
      <c r="CG31" s="4"/>
      <c r="CH31" s="4"/>
      <c r="CI31" s="73" t="str">
        <f>IFERROR(IF(#REF!="","",IFERROR(#REF!*(#REF!/100),"")),"")</f>
        <v/>
      </c>
      <c r="CJ31" s="73" t="str">
        <f>IFERROR(IF(#REF!="","",IFERROR(#REF!*(#REF!/100),""))+IF(#REF!="","",IFERROR(#REF!*(#REF!/100),"")),"")</f>
        <v/>
      </c>
      <c r="CK31" s="73" t="str">
        <f>IFERROR(IF(H31="","",IFERROR(H31*($H$9/100),""))+IF(L31="","",IFERROR(L31*($L$9/100),""))+IF(#REF!="","",IFERROR(#REF!*(#REF!/100),""))+IF(#REF!="","",IFERROR(#REF!*(#REF!/100),"")),"")</f>
        <v/>
      </c>
      <c r="CL31" s="4"/>
      <c r="CM31" s="73" t="str">
        <f>IFERROR(IF(#REF!="","",IFERROR(#REF!*(#REF!/100),""))+IF(#REF!="","",IFERROR(#REF!*(#REF!/100),"")),"")</f>
        <v/>
      </c>
      <c r="CN31" s="73" t="str">
        <f>IFERROR(IF(#REF!="","",IFERROR(#REF!*(#REF!/100),"")),"")</f>
        <v/>
      </c>
      <c r="CO31">
        <f t="shared" si="21"/>
        <v>261.9855</v>
      </c>
      <c r="CP31" s="74" t="e">
        <f t="shared" si="22"/>
        <v>#REF!</v>
      </c>
    </row>
    <row r="32" spans="1:94">
      <c r="A32" s="178">
        <v>22</v>
      </c>
      <c r="B32" s="109" t="s">
        <v>227</v>
      </c>
      <c r="C32" s="109" t="s">
        <v>228</v>
      </c>
      <c r="D32" s="66">
        <f>'Penguk.CPMK-Smt1'!D32</f>
        <v>92.5</v>
      </c>
      <c r="E32" s="66">
        <f>'Penguk.CPMK-Smt1'!E32</f>
        <v>92.67</v>
      </c>
      <c r="F32" s="66">
        <f>'Penguk.CPMK-Smt1'!F32</f>
        <v>92.5</v>
      </c>
      <c r="G32" s="66">
        <f>'Penguk.CPMK-Smt1'!G32</f>
        <v>70.23</v>
      </c>
      <c r="H32" s="66">
        <f>'Penguk.CPMK-Smt1'!H32</f>
        <v>71.3</v>
      </c>
      <c r="I32" s="66">
        <f t="shared" si="0"/>
        <v>95.767600000000002</v>
      </c>
      <c r="J32" s="83">
        <f>'Penguk.CPMK-Smt1'!J32</f>
        <v>81.25</v>
      </c>
      <c r="K32" s="83">
        <f>'Penguk.CPMK-Smt1'!K32</f>
        <v>81.11</v>
      </c>
      <c r="L32" s="83">
        <f>'Penguk.CPMK-Smt1'!L32</f>
        <v>81.03</v>
      </c>
      <c r="M32" s="83">
        <f t="shared" si="1"/>
        <v>81.101200000000006</v>
      </c>
      <c r="N32" s="67">
        <f>'Penguk.CPMK-Smt1'!N32</f>
        <v>77.290000000000006</v>
      </c>
      <c r="O32" s="67">
        <f>'Penguk.CPMK-Smt1'!O32</f>
        <v>74.150000000000006</v>
      </c>
      <c r="P32" s="67">
        <f>'Penguk.CPMK-Smt1'!P32</f>
        <v>69.900000000000006</v>
      </c>
      <c r="Q32" s="67">
        <f t="shared" si="2"/>
        <v>72.601300000000009</v>
      </c>
      <c r="R32" s="68">
        <f>'Penguk.CPMK-Smt1'!R32</f>
        <v>91.67</v>
      </c>
      <c r="S32" s="68">
        <f>'Penguk.CPMK-Smt1'!S32</f>
        <v>90.91</v>
      </c>
      <c r="T32" s="68">
        <f>'Penguk.CPMK-Smt1'!T32</f>
        <v>90.82</v>
      </c>
      <c r="U32" s="68">
        <f t="shared" si="3"/>
        <v>91.002700000000004</v>
      </c>
      <c r="V32" s="69">
        <f>'Penguk.CPMK-Smt1'!V32</f>
        <v>82</v>
      </c>
      <c r="W32" s="69">
        <f>'Penguk.CPMK-Smt1'!W32</f>
        <v>82</v>
      </c>
      <c r="X32" s="69">
        <f t="shared" si="4"/>
        <v>82</v>
      </c>
      <c r="Y32" s="37">
        <f>'Penguk.CPMK-Smt1'!Y32</f>
        <v>93.8</v>
      </c>
      <c r="Z32" s="37">
        <f>'Penguk.CPMK-Smt1'!Z32</f>
        <v>93.8</v>
      </c>
      <c r="AA32" s="37">
        <f t="shared" si="5"/>
        <v>93.8</v>
      </c>
      <c r="AB32" s="70">
        <f>'Penguk.CPMK-Smt1'!AB32</f>
        <v>83</v>
      </c>
      <c r="AC32" s="70">
        <f t="shared" si="6"/>
        <v>83</v>
      </c>
      <c r="AE32" s="71">
        <f t="shared" si="7"/>
        <v>176.8</v>
      </c>
      <c r="AF32" s="81">
        <f t="shared" si="8"/>
        <v>0.88400000000000001</v>
      </c>
      <c r="AG32" s="71">
        <f t="shared" si="9"/>
        <v>259.3716</v>
      </c>
      <c r="AH32" s="81">
        <f t="shared" si="10"/>
        <v>0.82340190476190478</v>
      </c>
      <c r="AI32" s="71"/>
      <c r="AJ32" s="81" t="str">
        <f t="shared" si="11"/>
        <v/>
      </c>
      <c r="AK32" s="71">
        <f t="shared" si="12"/>
        <v>82</v>
      </c>
      <c r="AL32" s="81">
        <f t="shared" si="13"/>
        <v>0.82</v>
      </c>
      <c r="AM32" s="72"/>
      <c r="AN32" s="72"/>
      <c r="AO32" s="72"/>
      <c r="AP32" s="72"/>
      <c r="AQ32" s="72"/>
      <c r="AR32" s="72"/>
      <c r="AS32" s="72"/>
      <c r="AT32" s="81" t="str">
        <f t="shared" si="14"/>
        <v/>
      </c>
      <c r="AU32" s="71"/>
      <c r="AV32" s="81" t="str">
        <f t="shared" si="15"/>
        <v/>
      </c>
      <c r="AW32" s="71">
        <f t="shared" si="16"/>
        <v>49.499499999999998</v>
      </c>
      <c r="AX32" s="81">
        <f t="shared" si="17"/>
        <v>0.811467213114754</v>
      </c>
      <c r="AY32" s="72">
        <f t="shared" si="18"/>
        <v>31.601700000000001</v>
      </c>
      <c r="AZ32" s="81">
        <f t="shared" si="19"/>
        <v>0.81030000000000002</v>
      </c>
      <c r="BA32" s="71" t="str">
        <f>IFERROR((#REF!*(#REF!/100)+#REF!*(#REF!/100)),"")</f>
        <v/>
      </c>
      <c r="BB32" s="81" t="str">
        <f t="shared" si="20"/>
        <v/>
      </c>
      <c r="BE32" s="4">
        <f t="shared" si="23"/>
        <v>13.139300000000002</v>
      </c>
      <c r="BF32" s="4">
        <f t="shared" si="24"/>
        <v>13</v>
      </c>
      <c r="BG32" s="73">
        <f t="shared" si="25"/>
        <v>46.9</v>
      </c>
      <c r="BH32" s="73">
        <f t="shared" si="26"/>
        <v>19.425000000000001</v>
      </c>
      <c r="BI32" s="73">
        <f t="shared" si="27"/>
        <v>46.9</v>
      </c>
      <c r="BJ32" s="4"/>
      <c r="BK32" s="4"/>
      <c r="BL32" s="4"/>
      <c r="BM32" s="4"/>
      <c r="BN32" s="73">
        <f t="shared" si="28"/>
        <v>41</v>
      </c>
      <c r="BO32" s="73">
        <f t="shared" si="29"/>
        <v>16.500599999999999</v>
      </c>
      <c r="BP32" s="73">
        <f t="shared" si="30"/>
        <v>34.251000000000005</v>
      </c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73">
        <f t="shared" si="31"/>
        <v>44.501799999999996</v>
      </c>
      <c r="CD32" s="73">
        <f t="shared" si="32"/>
        <v>41</v>
      </c>
      <c r="CE32" s="73" t="str">
        <f>IFERROR(IF(AB32="","",IFERROR(AB32*($AB$9/100),""))+IF(#REF!="","",IFERROR(#REF!*(#REF!/100),""))+IF(#REF!="","",IFERROR(#REF!*(#REF!/100),"")),"")</f>
        <v/>
      </c>
      <c r="CF32" s="4"/>
      <c r="CG32" s="4"/>
      <c r="CH32" s="4"/>
      <c r="CI32" s="73"/>
      <c r="CJ32" s="73"/>
      <c r="CK32" s="73" t="str">
        <f>IFERROR(IF(H32="","",IFERROR(H32*($H$9/100),""))+IF(L32="","",IFERROR(L32*($L$9/100),""))+IF(#REF!="","",IFERROR(#REF!*(#REF!/100),""))+IF(#REF!="","",IFERROR(#REF!*(#REF!/100),"")),"")</f>
        <v/>
      </c>
      <c r="CL32" s="4"/>
      <c r="CM32" s="73" t="str">
        <f>IFERROR(IF(#REF!="","",IFERROR(#REF!*(#REF!/100),""))+IF(#REF!="","",IFERROR(#REF!*(#REF!/100),"")),"")</f>
        <v/>
      </c>
      <c r="CN32" s="73" t="str">
        <f>IFERROR(IF(#REF!="","",IFERROR(#REF!*(#REF!/100),"")),"")</f>
        <v/>
      </c>
      <c r="CO32">
        <f t="shared" si="21"/>
        <v>316.61769999999996</v>
      </c>
      <c r="CP32" s="74" t="e">
        <f t="shared" si="22"/>
        <v>#REF!</v>
      </c>
    </row>
    <row r="33" spans="1:94">
      <c r="A33" s="178">
        <v>23</v>
      </c>
      <c r="B33" s="109" t="s">
        <v>229</v>
      </c>
      <c r="C33" s="109" t="s">
        <v>230</v>
      </c>
      <c r="D33" s="66">
        <f>'Penguk.CPMK-Smt1'!D33</f>
        <v>85.5</v>
      </c>
      <c r="E33" s="66">
        <f>'Penguk.CPMK-Smt1'!E33</f>
        <v>85.2</v>
      </c>
      <c r="F33" s="66">
        <f>'Penguk.CPMK-Smt1'!F33</f>
        <v>84.4</v>
      </c>
      <c r="G33" s="66">
        <f>'Penguk.CPMK-Smt1'!G33</f>
        <v>51.73</v>
      </c>
      <c r="H33" s="66">
        <f>'Penguk.CPMK-Smt1'!H33</f>
        <v>51.63</v>
      </c>
      <c r="I33" s="66">
        <f t="shared" si="0"/>
        <v>81.433700000000002</v>
      </c>
      <c r="J33" s="83">
        <f>'Penguk.CPMK-Smt1'!J33</f>
        <v>75</v>
      </c>
      <c r="K33" s="83">
        <f>'Penguk.CPMK-Smt1'!K33</f>
        <v>73.33</v>
      </c>
      <c r="L33" s="83">
        <f>'Penguk.CPMK-Smt1'!L33</f>
        <v>75</v>
      </c>
      <c r="M33" s="83">
        <f t="shared" si="1"/>
        <v>74.248500000000007</v>
      </c>
      <c r="N33" s="67">
        <f>'Penguk.CPMK-Smt1'!N33</f>
        <v>70.819999999999993</v>
      </c>
      <c r="O33" s="67">
        <f>'Penguk.CPMK-Smt1'!O33</f>
        <v>66.349999999999994</v>
      </c>
      <c r="P33" s="67">
        <f>'Penguk.CPMK-Smt1'!P33</f>
        <v>69.900000000000006</v>
      </c>
      <c r="Q33" s="67">
        <f t="shared" si="2"/>
        <v>68.849400000000003</v>
      </c>
      <c r="R33" s="68">
        <f>'Penguk.CPMK-Smt1'!R33</f>
        <v>91.67</v>
      </c>
      <c r="S33" s="68">
        <f>'Penguk.CPMK-Smt1'!S33</f>
        <v>90.91</v>
      </c>
      <c r="T33" s="68">
        <f>'Penguk.CPMK-Smt1'!T33</f>
        <v>69.39</v>
      </c>
      <c r="U33" s="68">
        <f t="shared" si="3"/>
        <v>80.50200000000001</v>
      </c>
      <c r="V33" s="69">
        <f>'Penguk.CPMK-Smt1'!V33</f>
        <v>81.400000000000006</v>
      </c>
      <c r="W33" s="69">
        <f>'Penguk.CPMK-Smt1'!W33</f>
        <v>81.400000000000006</v>
      </c>
      <c r="X33" s="69">
        <f t="shared" si="4"/>
        <v>81.400000000000006</v>
      </c>
      <c r="Y33" s="37">
        <f>'Penguk.CPMK-Smt1'!Y33</f>
        <v>92.75</v>
      </c>
      <c r="Z33" s="37">
        <f>'Penguk.CPMK-Smt1'!Z33</f>
        <v>92.75</v>
      </c>
      <c r="AA33" s="37">
        <f t="shared" si="5"/>
        <v>92.75</v>
      </c>
      <c r="AB33" s="70">
        <f>'Penguk.CPMK-Smt1'!AB33</f>
        <v>81.400000000000006</v>
      </c>
      <c r="AC33" s="70">
        <f>IFERROR((AB33*($AB$9/100)),"")</f>
        <v>81.400000000000006</v>
      </c>
      <c r="AE33" s="71">
        <f>IFERROR((Y33*($Y$9/100)+Z33*($Z$9/100)+AB33*($AB$9/100)),"")</f>
        <v>174.15</v>
      </c>
      <c r="AF33" s="81">
        <f t="shared" si="8"/>
        <v>0.87075000000000002</v>
      </c>
      <c r="AG33" s="71">
        <f t="shared" si="9"/>
        <v>230.7851</v>
      </c>
      <c r="AH33" s="81">
        <f t="shared" si="10"/>
        <v>0.73265111111111114</v>
      </c>
      <c r="AI33" s="71"/>
      <c r="AJ33" s="81" t="str">
        <f t="shared" si="11"/>
        <v/>
      </c>
      <c r="AK33" s="71">
        <f t="shared" si="12"/>
        <v>81.400000000000006</v>
      </c>
      <c r="AL33" s="81">
        <f t="shared" si="13"/>
        <v>0.81400000000000006</v>
      </c>
      <c r="AM33" s="72"/>
      <c r="AN33" s="72"/>
      <c r="AO33" s="72"/>
      <c r="AP33" s="72"/>
      <c r="AQ33" s="72"/>
      <c r="AR33" s="72"/>
      <c r="AS33" s="72"/>
      <c r="AT33" s="81" t="str">
        <f t="shared" si="14"/>
        <v/>
      </c>
      <c r="AU33" s="71"/>
      <c r="AV33" s="81" t="str">
        <f t="shared" si="15"/>
        <v/>
      </c>
      <c r="AW33" s="71">
        <f t="shared" si="16"/>
        <v>44.9985</v>
      </c>
      <c r="AX33" s="81">
        <f t="shared" si="17"/>
        <v>0.7376803278688524</v>
      </c>
      <c r="AY33" s="72">
        <f t="shared" si="18"/>
        <v>29.25</v>
      </c>
      <c r="AZ33" s="81">
        <f t="shared" si="19"/>
        <v>0.75</v>
      </c>
      <c r="BA33" s="71" t="str">
        <f>IFERROR((#REF!*(#REF!/100)+#REF!*(#REF!/100)),"")</f>
        <v/>
      </c>
      <c r="BB33" s="81" t="str">
        <f t="shared" si="20"/>
        <v/>
      </c>
      <c r="BE33" s="4">
        <f t="shared" si="23"/>
        <v>12.039400000000001</v>
      </c>
      <c r="BF33" s="4">
        <f t="shared" si="24"/>
        <v>12</v>
      </c>
      <c r="BG33" s="73">
        <f t="shared" si="25"/>
        <v>46.375</v>
      </c>
      <c r="BH33" s="73">
        <f t="shared" si="26"/>
        <v>17.954999999999998</v>
      </c>
      <c r="BI33" s="73">
        <f t="shared" si="27"/>
        <v>46.375</v>
      </c>
      <c r="BJ33" s="4"/>
      <c r="BK33" s="4"/>
      <c r="BL33" s="4"/>
      <c r="BM33" s="4"/>
      <c r="BN33" s="73">
        <f t="shared" si="28"/>
        <v>40.700000000000003</v>
      </c>
      <c r="BO33" s="73">
        <f t="shared" si="29"/>
        <v>16.500599999999999</v>
      </c>
      <c r="BP33" s="73">
        <f t="shared" si="30"/>
        <v>34.251000000000005</v>
      </c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73">
        <f t="shared" si="31"/>
        <v>34.001100000000001</v>
      </c>
      <c r="CD33" s="73">
        <f t="shared" si="32"/>
        <v>40.700000000000003</v>
      </c>
      <c r="CE33" s="73" t="str">
        <f>IFERROR(IF(AB33="","",IFERROR(AB33*($AB$9/100),""))+IF(#REF!="","",IFERROR(#REF!*(#REF!/100),""))+IF(#REF!="","",IFERROR(#REF!*(#REF!/100),"")),"")</f>
        <v/>
      </c>
      <c r="CF33" s="4"/>
      <c r="CG33" s="4"/>
      <c r="CH33" s="4"/>
      <c r="CI33" s="73" t="str">
        <f>IFERROR(IF(#REF!="","",IFERROR(#REF!*(#REF!/100),"")),"")</f>
        <v/>
      </c>
      <c r="CJ33" s="73" t="str">
        <f>IFERROR(IF(#REF!="","",IFERROR(#REF!*(#REF!/100),""))+IF(#REF!="","",IFERROR(#REF!*(#REF!/100),"")),"")</f>
        <v/>
      </c>
      <c r="CK33" s="73" t="str">
        <f>IFERROR(IF(H33="","",IFERROR(H33*($H$9/100),""))+IF(L33="","",IFERROR(L33*($L$9/100),""))+IF(#REF!="","",IFERROR(#REF!*(#REF!/100),""))+IF(#REF!="","",IFERROR(#REF!*(#REF!/100),"")),"")</f>
        <v/>
      </c>
      <c r="CL33" s="4"/>
      <c r="CM33" s="73" t="str">
        <f>IFERROR(IF(#REF!="","",IFERROR(#REF!*(#REF!/100),""))+IF(#REF!="","",IFERROR(#REF!*(#REF!/100),"")),"")</f>
        <v/>
      </c>
      <c r="CN33" s="73" t="str">
        <f>IFERROR(IF(#REF!="","",IFERROR(#REF!*(#REF!/100),"")),"")</f>
        <v/>
      </c>
      <c r="CO33">
        <f t="shared" si="21"/>
        <v>300.89709999999997</v>
      </c>
      <c r="CP33" s="74" t="e">
        <f t="shared" si="22"/>
        <v>#REF!</v>
      </c>
    </row>
    <row r="34" spans="1:94">
      <c r="A34" s="231">
        <v>24</v>
      </c>
      <c r="B34" s="109" t="s">
        <v>293</v>
      </c>
      <c r="C34" s="109" t="s">
        <v>294</v>
      </c>
      <c r="D34" s="66">
        <f>'Penguk.CPMK-Smt1'!D34</f>
        <v>74.25</v>
      </c>
      <c r="E34" s="66">
        <f>'Penguk.CPMK-Smt1'!E34</f>
        <v>73.2</v>
      </c>
      <c r="F34" s="66">
        <f>'Penguk.CPMK-Smt1'!F34</f>
        <v>71.400000000000006</v>
      </c>
      <c r="G34" s="66">
        <f>'Penguk.CPMK-Smt1'!G34</f>
        <v>67.41</v>
      </c>
      <c r="H34" s="66">
        <f>'Penguk.CPMK-Smt1'!H34</f>
        <v>68.67</v>
      </c>
      <c r="I34" s="66">
        <f t="shared" si="0"/>
        <v>81.464399999999998</v>
      </c>
      <c r="J34" s="83">
        <f>'Penguk.CPMK-Smt1'!J34</f>
        <v>75</v>
      </c>
      <c r="K34" s="83">
        <f>'Penguk.CPMK-Smt1'!K34</f>
        <v>73.33</v>
      </c>
      <c r="L34" s="83">
        <f>'Penguk.CPMK-Smt1'!L34</f>
        <v>74.62</v>
      </c>
      <c r="M34" s="83">
        <f t="shared" si="1"/>
        <v>74.100300000000004</v>
      </c>
      <c r="N34" s="67">
        <f>'Penguk.CPMK-Smt1'!N34</f>
        <v>82.59</v>
      </c>
      <c r="O34" s="67">
        <f>'Penguk.CPMK-Smt1'!O34</f>
        <v>80.47</v>
      </c>
      <c r="P34" s="67">
        <f>'Penguk.CPMK-Smt1'!P34</f>
        <v>75.61</v>
      </c>
      <c r="Q34" s="67">
        <f t="shared" si="2"/>
        <v>78.448999999999998</v>
      </c>
      <c r="R34" s="68">
        <f>'Penguk.CPMK-Smt1'!R34</f>
        <v>86.11</v>
      </c>
      <c r="S34" s="68">
        <f>'Penguk.CPMK-Smt1'!S34</f>
        <v>83.33</v>
      </c>
      <c r="T34" s="68">
        <f>'Penguk.CPMK-Smt1'!T34</f>
        <v>80.099999999999994</v>
      </c>
      <c r="U34" s="68">
        <f t="shared" si="3"/>
        <v>82.247699999999995</v>
      </c>
      <c r="V34" s="69">
        <f>'Penguk.CPMK-Smt1'!V34</f>
        <v>77.2</v>
      </c>
      <c r="W34" s="69">
        <f>'Penguk.CPMK-Smt1'!W34</f>
        <v>77.8</v>
      </c>
      <c r="X34" s="69">
        <f t="shared" si="4"/>
        <v>77.5</v>
      </c>
      <c r="Y34" s="37">
        <f>'Penguk.CPMK-Smt1'!Y34</f>
        <v>84.8</v>
      </c>
      <c r="Z34" s="37">
        <f>'Penguk.CPMK-Smt1'!Z34</f>
        <v>84.8</v>
      </c>
      <c r="AA34" s="37">
        <f t="shared" si="5"/>
        <v>84.8</v>
      </c>
      <c r="AB34" s="70">
        <f>'Penguk.CPMK-Smt1'!AB34</f>
        <v>86</v>
      </c>
      <c r="AC34" s="70">
        <f t="shared" ref="AC34:AC35" si="33">IFERROR((AB34*($AB$9/100)),"")</f>
        <v>86</v>
      </c>
      <c r="AE34" s="71">
        <f t="shared" ref="AE34:AE35" si="34">IFERROR((Y34*($Y$9/100)+Z34*($Z$9/100)+AB34*($AB$9/100)),"")</f>
        <v>170.8</v>
      </c>
      <c r="AF34" s="81">
        <f t="shared" si="8"/>
        <v>0.85400000000000009</v>
      </c>
      <c r="AG34" s="71">
        <f t="shared" si="9"/>
        <v>242.16109999999998</v>
      </c>
      <c r="AH34" s="81">
        <f t="shared" si="10"/>
        <v>0.7687653968253968</v>
      </c>
      <c r="AI34" s="71"/>
      <c r="AJ34" s="81"/>
      <c r="AK34" s="71">
        <f t="shared" si="12"/>
        <v>77.5</v>
      </c>
      <c r="AL34" s="81">
        <f t="shared" si="13"/>
        <v>0.77500000000000002</v>
      </c>
      <c r="AM34" s="72"/>
      <c r="AN34" s="72"/>
      <c r="AO34" s="72"/>
      <c r="AP34" s="72"/>
      <c r="AQ34" s="72"/>
      <c r="AR34" s="72"/>
      <c r="AS34" s="72"/>
      <c r="AT34" s="81"/>
      <c r="AU34" s="71"/>
      <c r="AV34" s="81"/>
      <c r="AW34" s="71">
        <f t="shared" si="16"/>
        <v>44.9985</v>
      </c>
      <c r="AX34" s="81">
        <f t="shared" si="17"/>
        <v>0.7376803278688524</v>
      </c>
      <c r="AY34" s="72">
        <f t="shared" si="18"/>
        <v>29.101800000000004</v>
      </c>
      <c r="AZ34" s="81">
        <f t="shared" si="19"/>
        <v>0.74620000000000009</v>
      </c>
      <c r="BA34" s="71"/>
      <c r="BB34" s="81"/>
      <c r="BE34" s="4"/>
      <c r="BF34" s="4"/>
      <c r="BG34" s="73"/>
      <c r="BH34" s="73"/>
      <c r="BI34" s="73"/>
      <c r="BJ34" s="4"/>
      <c r="BK34" s="4"/>
      <c r="BL34" s="4"/>
      <c r="BM34" s="4"/>
      <c r="BN34" s="73"/>
      <c r="BO34" s="73"/>
      <c r="BP34" s="73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73"/>
      <c r="CD34" s="73"/>
      <c r="CE34" s="73"/>
      <c r="CF34" s="4"/>
      <c r="CG34" s="4"/>
      <c r="CH34" s="4"/>
      <c r="CI34" s="73"/>
      <c r="CJ34" s="73"/>
      <c r="CK34" s="73"/>
      <c r="CL34" s="4"/>
      <c r="CM34" s="73"/>
      <c r="CN34" s="73"/>
      <c r="CP34" s="74"/>
    </row>
    <row r="35" spans="1:94">
      <c r="A35" s="231">
        <v>25</v>
      </c>
      <c r="B35" s="109" t="s">
        <v>291</v>
      </c>
      <c r="C35" s="109" t="s">
        <v>292</v>
      </c>
      <c r="D35" s="66">
        <f>'Penguk.CPMK-Smt1'!D35</f>
        <v>61.63</v>
      </c>
      <c r="E35" s="66">
        <f>'Penguk.CPMK-Smt1'!E35</f>
        <v>59.73</v>
      </c>
      <c r="F35" s="66">
        <f>'Penguk.CPMK-Smt1'!F35</f>
        <v>56.05</v>
      </c>
      <c r="G35" s="66">
        <f>'Penguk.CPMK-Smt1'!G35</f>
        <v>37.549999999999997</v>
      </c>
      <c r="H35" s="66">
        <f>'Penguk.CPMK-Smt1'!H35</f>
        <v>36.590000000000003</v>
      </c>
      <c r="I35" s="66">
        <f t="shared" si="0"/>
        <v>57.133900000000004</v>
      </c>
      <c r="J35" s="83">
        <f>'Penguk.CPMK-Smt1'!J35</f>
        <v>66.25</v>
      </c>
      <c r="K35" s="83">
        <f>'Penguk.CPMK-Smt1'!K35</f>
        <v>68.67</v>
      </c>
      <c r="L35" s="83">
        <f>'Penguk.CPMK-Smt1'!L35</f>
        <v>81.03</v>
      </c>
      <c r="M35" s="83">
        <f t="shared" si="1"/>
        <v>73.103200000000001</v>
      </c>
      <c r="N35" s="67">
        <f>'Penguk.CPMK-Smt1'!N35</f>
        <v>70.59</v>
      </c>
      <c r="O35" s="67">
        <f>'Penguk.CPMK-Smt1'!O35</f>
        <v>66.180000000000007</v>
      </c>
      <c r="P35" s="67">
        <f>'Penguk.CPMK-Smt1'!P35</f>
        <v>73.47</v>
      </c>
      <c r="Q35" s="67">
        <f t="shared" si="2"/>
        <v>70.501800000000003</v>
      </c>
      <c r="R35" s="68">
        <f>'Penguk.CPMK-Smt1'!R35</f>
        <v>86.11</v>
      </c>
      <c r="S35" s="68">
        <f>'Penguk.CPMK-Smt1'!S35</f>
        <v>83.33</v>
      </c>
      <c r="T35" s="68">
        <f>'Penguk.CPMK-Smt1'!T35</f>
        <v>62.24</v>
      </c>
      <c r="U35" s="68">
        <f t="shared" si="3"/>
        <v>73.496300000000005</v>
      </c>
      <c r="V35" s="69">
        <f>'Penguk.CPMK-Smt1'!V35</f>
        <v>69.3</v>
      </c>
      <c r="W35" s="69">
        <f>'Penguk.CPMK-Smt1'!W35</f>
        <v>68.900000000000006</v>
      </c>
      <c r="X35" s="69">
        <f t="shared" si="4"/>
        <v>69.099999999999994</v>
      </c>
      <c r="Y35" s="37">
        <f>'Penguk.CPMK-Smt1'!Y35</f>
        <v>83.4</v>
      </c>
      <c r="Z35" s="37">
        <f>'Penguk.CPMK-Smt1'!Z35</f>
        <v>83.4</v>
      </c>
      <c r="AA35" s="37">
        <f t="shared" si="5"/>
        <v>83.4</v>
      </c>
      <c r="AB35" s="70">
        <f>'Penguk.CPMK-Smt1'!AB35</f>
        <v>87.55</v>
      </c>
      <c r="AC35" s="70">
        <f t="shared" si="33"/>
        <v>87.55</v>
      </c>
      <c r="AE35" s="71">
        <f t="shared" si="34"/>
        <v>170.95</v>
      </c>
      <c r="AF35" s="81">
        <f t="shared" si="8"/>
        <v>0.8547499999999999</v>
      </c>
      <c r="AG35" s="71">
        <f t="shared" si="9"/>
        <v>201.13200000000001</v>
      </c>
      <c r="AH35" s="81">
        <f t="shared" si="10"/>
        <v>0.6385142857142857</v>
      </c>
      <c r="AI35" s="71"/>
      <c r="AJ35" s="81"/>
      <c r="AK35" s="71">
        <f t="shared" si="12"/>
        <v>69.099999999999994</v>
      </c>
      <c r="AL35" s="81">
        <f t="shared" si="13"/>
        <v>0.69099999999999995</v>
      </c>
      <c r="AM35" s="72"/>
      <c r="AN35" s="72"/>
      <c r="AO35" s="72"/>
      <c r="AP35" s="72"/>
      <c r="AQ35" s="72"/>
      <c r="AR35" s="72"/>
      <c r="AS35" s="72"/>
      <c r="AT35" s="81"/>
      <c r="AU35" s="71"/>
      <c r="AV35" s="81"/>
      <c r="AW35" s="71">
        <f t="shared" si="16"/>
        <v>41.5015</v>
      </c>
      <c r="AX35" s="81">
        <f t="shared" si="17"/>
        <v>0.68035245901639341</v>
      </c>
      <c r="AY35" s="72">
        <f t="shared" si="18"/>
        <v>31.601700000000001</v>
      </c>
      <c r="AZ35" s="81">
        <f t="shared" si="19"/>
        <v>0.81030000000000002</v>
      </c>
      <c r="BA35" s="71"/>
      <c r="BB35" s="81"/>
      <c r="BE35" s="4"/>
      <c r="BF35" s="4"/>
      <c r="BG35" s="73"/>
      <c r="BH35" s="73"/>
      <c r="BI35" s="73"/>
      <c r="BJ35" s="4"/>
      <c r="BK35" s="4"/>
      <c r="BL35" s="4"/>
      <c r="BM35" s="4"/>
      <c r="BN35" s="73"/>
      <c r="BO35" s="73"/>
      <c r="BP35" s="73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73"/>
      <c r="CD35" s="73"/>
      <c r="CE35" s="73"/>
      <c r="CF35" s="4"/>
      <c r="CG35" s="4"/>
      <c r="CH35" s="4"/>
      <c r="CI35" s="73"/>
      <c r="CJ35" s="73"/>
      <c r="CK35" s="73"/>
      <c r="CL35" s="4"/>
      <c r="CM35" s="73"/>
      <c r="CN35" s="73"/>
      <c r="CP35" s="74"/>
    </row>
    <row r="36" spans="1:94">
      <c r="A36" s="178">
        <v>24</v>
      </c>
      <c r="B36" s="109" t="s">
        <v>231</v>
      </c>
      <c r="C36" s="109" t="s">
        <v>257</v>
      </c>
      <c r="D36" s="66">
        <f>'Penguk.CPMK-Smt1'!D34</f>
        <v>74.25</v>
      </c>
      <c r="E36" s="66">
        <f>'Penguk.CPMK-Smt1'!E34</f>
        <v>73.2</v>
      </c>
      <c r="F36" s="66">
        <f>'Penguk.CPMK-Smt1'!F34</f>
        <v>71.400000000000006</v>
      </c>
      <c r="G36" s="66">
        <f>'Penguk.CPMK-Smt1'!G34</f>
        <v>67.41</v>
      </c>
      <c r="H36" s="66">
        <f>'Penguk.CPMK-Smt1'!H36</f>
        <v>81.260000000000005</v>
      </c>
      <c r="I36" s="66">
        <f t="shared" si="0"/>
        <v>84.611899999999991</v>
      </c>
      <c r="J36" s="83">
        <f>'Penguk.CPMK-Smt1'!J36</f>
        <v>83.75</v>
      </c>
      <c r="K36" s="83">
        <f>'Penguk.CPMK-Smt1'!K36</f>
        <v>83.14</v>
      </c>
      <c r="L36" s="83">
        <f>'Penguk.CPMK-Smt1'!L36</f>
        <v>82.69</v>
      </c>
      <c r="M36" s="83">
        <f t="shared" si="1"/>
        <v>83.062100000000001</v>
      </c>
      <c r="N36" s="67">
        <f>'Penguk.CPMK-Smt1'!N36</f>
        <v>83.75</v>
      </c>
      <c r="O36" s="67">
        <f>'Penguk.CPMK-Smt1'!O34</f>
        <v>80.47</v>
      </c>
      <c r="P36" s="67">
        <f>'Penguk.CPMK-Smt1'!P36</f>
        <v>82.69</v>
      </c>
      <c r="Q36" s="67">
        <f t="shared" si="2"/>
        <v>82.115399999999994</v>
      </c>
      <c r="R36" s="68">
        <f>'Penguk.CPMK-Smt1'!R36</f>
        <v>89.44</v>
      </c>
      <c r="S36" s="68">
        <f>'Penguk.CPMK-Smt1'!S36</f>
        <v>89.85</v>
      </c>
      <c r="T36" s="68">
        <f>'Penguk.CPMK-Smt1'!T36</f>
        <v>94.9</v>
      </c>
      <c r="U36" s="68">
        <f t="shared" si="3"/>
        <v>92.250700000000009</v>
      </c>
      <c r="V36" s="69">
        <f>'Penguk.CPMK-Smt1'!V36</f>
        <v>81.400000000000006</v>
      </c>
      <c r="W36" s="69">
        <f>'Penguk.CPMK-Smt1'!W36</f>
        <v>61.9</v>
      </c>
      <c r="X36" s="69">
        <f t="shared" si="4"/>
        <v>71.650000000000006</v>
      </c>
      <c r="Y36" s="37">
        <f>'Penguk.CPMK-Smt1'!Y36</f>
        <v>75.25</v>
      </c>
      <c r="Z36" s="37">
        <f>'Penguk.CPMK-Smt1'!Z36</f>
        <v>75.25</v>
      </c>
      <c r="AA36" s="37">
        <f t="shared" si="5"/>
        <v>75.25</v>
      </c>
      <c r="AB36" s="70">
        <f>'Penguk.CPMK-Smt1'!AB36</f>
        <v>80.900000000000006</v>
      </c>
      <c r="AC36" s="70">
        <f t="shared" si="6"/>
        <v>80.900000000000006</v>
      </c>
      <c r="AE36" s="71">
        <f t="shared" si="7"/>
        <v>156.15</v>
      </c>
      <c r="AF36" s="81">
        <f t="shared" si="8"/>
        <v>0.78075000000000006</v>
      </c>
      <c r="AG36" s="71">
        <f t="shared" si="9"/>
        <v>258.97799999999995</v>
      </c>
      <c r="AH36" s="81">
        <f t="shared" si="10"/>
        <v>0.82215238095238075</v>
      </c>
      <c r="AI36" s="71"/>
      <c r="AJ36" s="81" t="str">
        <f t="shared" si="11"/>
        <v/>
      </c>
      <c r="AK36" s="71">
        <f t="shared" si="12"/>
        <v>71.650000000000006</v>
      </c>
      <c r="AL36" s="81">
        <f t="shared" si="13"/>
        <v>0.71650000000000003</v>
      </c>
      <c r="AM36" s="72"/>
      <c r="AN36" s="72"/>
      <c r="AO36" s="72"/>
      <c r="AP36" s="72"/>
      <c r="AQ36" s="72"/>
      <c r="AR36" s="72"/>
      <c r="AS36" s="72"/>
      <c r="AT36" s="81" t="str">
        <f t="shared" si="14"/>
        <v/>
      </c>
      <c r="AU36" s="71"/>
      <c r="AV36" s="81" t="str">
        <f t="shared" si="15"/>
        <v/>
      </c>
      <c r="AW36" s="71">
        <f t="shared" si="16"/>
        <v>50.813000000000002</v>
      </c>
      <c r="AX36" s="81">
        <f t="shared" si="17"/>
        <v>0.83300000000000007</v>
      </c>
      <c r="AY36" s="72">
        <f t="shared" si="18"/>
        <v>32.249099999999999</v>
      </c>
      <c r="AZ36" s="81">
        <f t="shared" si="19"/>
        <v>0.82689999999999997</v>
      </c>
      <c r="BA36" s="71" t="str">
        <f>IFERROR((#REF!*(#REF!/100)+#REF!*(#REF!/100)),"")</f>
        <v/>
      </c>
      <c r="BB36" s="81" t="str">
        <f t="shared" si="20"/>
        <v/>
      </c>
      <c r="BE36" s="4">
        <f t="shared" si="23"/>
        <v>14.237500000000001</v>
      </c>
      <c r="BF36" s="4">
        <f t="shared" si="24"/>
        <v>13.4</v>
      </c>
      <c r="BG36" s="73">
        <f t="shared" si="25"/>
        <v>37.625</v>
      </c>
      <c r="BH36" s="73">
        <f t="shared" si="26"/>
        <v>15.592499999999999</v>
      </c>
      <c r="BI36" s="73">
        <f t="shared" si="27"/>
        <v>37.625</v>
      </c>
      <c r="BJ36" s="4"/>
      <c r="BK36" s="4"/>
      <c r="BL36" s="4"/>
      <c r="BM36" s="4"/>
      <c r="BN36" s="73">
        <f t="shared" si="28"/>
        <v>40.700000000000003</v>
      </c>
      <c r="BO36" s="73">
        <f t="shared" si="29"/>
        <v>16.0992</v>
      </c>
      <c r="BP36" s="73">
        <f t="shared" si="30"/>
        <v>40.518099999999997</v>
      </c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73">
        <f t="shared" si="31"/>
        <v>46.501000000000005</v>
      </c>
      <c r="CD36" s="73">
        <f t="shared" si="32"/>
        <v>30.95</v>
      </c>
      <c r="CE36" s="73" t="str">
        <f>IFERROR(IF(AB36="","",IFERROR(AB36*($AB$9/100),""))+IF(#REF!="","",IFERROR(#REF!*(#REF!/100),""))+IF(#REF!="","",IFERROR(#REF!*(#REF!/100),"")),"")</f>
        <v/>
      </c>
      <c r="CF36" s="4"/>
      <c r="CG36" s="4"/>
      <c r="CH36" s="4"/>
      <c r="CI36" s="73" t="str">
        <f>IFERROR(IF(#REF!="","",IFERROR(#REF!*(#REF!/100),"")),"")</f>
        <v/>
      </c>
      <c r="CJ36" s="73" t="str">
        <f>IFERROR(IF(#REF!="","",IFERROR(#REF!*(#REF!/100),""))+IF(#REF!="","",IFERROR(#REF!*(#REF!/100),"")),"")</f>
        <v/>
      </c>
      <c r="CK36" s="73" t="str">
        <f>IFERROR(IF(H36="","",IFERROR(H36*($H$9/100),""))+IF(L36="","",IFERROR(L36*($L$9/100),""))+IF(#REF!="","",IFERROR(#REF!*(#REF!/100),""))+IF(#REF!="","",IFERROR(#REF!*(#REF!/100),"")),"")</f>
        <v/>
      </c>
      <c r="CL36" s="4"/>
      <c r="CM36" s="73" t="str">
        <f>IFERROR(IF(#REF!="","",IFERROR(#REF!*(#REF!/100),""))+IF(#REF!="","",IFERROR(#REF!*(#REF!/100),"")),"")</f>
        <v/>
      </c>
      <c r="CN36" s="73" t="str">
        <f>IFERROR(IF(#REF!="","",IFERROR(#REF!*(#REF!/100),"")),"")</f>
        <v/>
      </c>
      <c r="CO36">
        <f t="shared" si="21"/>
        <v>293.24830000000003</v>
      </c>
      <c r="CP36" s="74" t="e">
        <f t="shared" si="22"/>
        <v>#REF!</v>
      </c>
    </row>
    <row r="37" spans="1:94">
      <c r="A37" s="178">
        <v>25</v>
      </c>
      <c r="B37" s="109" t="s">
        <v>233</v>
      </c>
      <c r="C37" s="109" t="s">
        <v>234</v>
      </c>
      <c r="D37" s="66">
        <f>'Penguk.CPMK-Smt1'!D35</f>
        <v>61.63</v>
      </c>
      <c r="E37" s="66">
        <f>'Penguk.CPMK-Smt1'!E35</f>
        <v>59.73</v>
      </c>
      <c r="F37" s="66">
        <f>'Penguk.CPMK-Smt1'!F35</f>
        <v>56.05</v>
      </c>
      <c r="G37" s="66">
        <f>'Penguk.CPMK-Smt1'!G35</f>
        <v>37.549999999999997</v>
      </c>
      <c r="H37" s="66">
        <f>'Penguk.CPMK-Smt1'!H37</f>
        <v>73.150000000000006</v>
      </c>
      <c r="I37" s="66">
        <f t="shared" si="0"/>
        <v>66.273899999999998</v>
      </c>
      <c r="J37" s="83">
        <f>'Penguk.CPMK-Smt1'!J37</f>
        <v>90</v>
      </c>
      <c r="K37" s="83">
        <f>'Penguk.CPMK-Smt1'!K37</f>
        <v>90.29</v>
      </c>
      <c r="L37" s="83">
        <f>'Penguk.CPMK-Smt1'!L37</f>
        <v>82.69</v>
      </c>
      <c r="M37" s="83">
        <f t="shared" si="1"/>
        <v>87.279600000000002</v>
      </c>
      <c r="N37" s="67">
        <f>'Penguk.CPMK-Smt1'!N37</f>
        <v>90</v>
      </c>
      <c r="O37" s="67">
        <f>'Penguk.CPMK-Smt1'!O35</f>
        <v>66.180000000000007</v>
      </c>
      <c r="P37" s="67">
        <f>'Penguk.CPMK-Smt1'!P37</f>
        <v>82.69</v>
      </c>
      <c r="Q37" s="67">
        <f t="shared" si="2"/>
        <v>78.319299999999998</v>
      </c>
      <c r="R37" s="68">
        <f>'Penguk.CPMK-Smt1'!R37</f>
        <v>86.67</v>
      </c>
      <c r="S37" s="68">
        <f>'Penguk.CPMK-Smt1'!S35</f>
        <v>83.33</v>
      </c>
      <c r="T37" s="68">
        <f>'Penguk.CPMK-Smt1'!T37</f>
        <v>94.9</v>
      </c>
      <c r="U37" s="68">
        <f t="shared" si="3"/>
        <v>89.600500000000011</v>
      </c>
      <c r="V37" s="69">
        <f>'Penguk.CPMK-Smt1'!V37</f>
        <v>84.9</v>
      </c>
      <c r="W37" s="69">
        <f>'Penguk.CPMK-Smt1'!W37</f>
        <v>76.900000000000006</v>
      </c>
      <c r="X37" s="69">
        <f t="shared" si="4"/>
        <v>80.900000000000006</v>
      </c>
      <c r="Y37" s="37">
        <f>'Penguk.CPMK-Smt1'!Y37</f>
        <v>86.5</v>
      </c>
      <c r="Z37" s="37">
        <f>'Penguk.CPMK-Smt1'!Z37</f>
        <v>86.5</v>
      </c>
      <c r="AA37" s="37">
        <f t="shared" si="5"/>
        <v>86.5</v>
      </c>
      <c r="AB37" s="70">
        <f>'Penguk.CPMK-Smt1'!AB37</f>
        <v>88.65</v>
      </c>
      <c r="AC37" s="70">
        <f t="shared" si="6"/>
        <v>88.65</v>
      </c>
      <c r="AE37" s="71">
        <f t="shared" si="7"/>
        <v>175.15</v>
      </c>
      <c r="AF37" s="81">
        <f t="shared" si="8"/>
        <v>0.87575000000000003</v>
      </c>
      <c r="AG37" s="71">
        <f t="shared" si="9"/>
        <v>234.19370000000001</v>
      </c>
      <c r="AH37" s="81">
        <f t="shared" si="10"/>
        <v>0.74347206349206352</v>
      </c>
      <c r="AI37" s="71"/>
      <c r="AJ37" s="81" t="str">
        <f t="shared" si="11"/>
        <v/>
      </c>
      <c r="AK37" s="71">
        <f t="shared" si="12"/>
        <v>80.900000000000006</v>
      </c>
      <c r="AL37" s="81">
        <f t="shared" si="13"/>
        <v>0.80900000000000005</v>
      </c>
      <c r="AM37" s="72"/>
      <c r="AN37" s="72"/>
      <c r="AO37" s="72"/>
      <c r="AP37" s="72"/>
      <c r="AQ37" s="72"/>
      <c r="AR37" s="72"/>
      <c r="AS37" s="72"/>
      <c r="AT37" s="81" t="str">
        <f t="shared" si="14"/>
        <v/>
      </c>
      <c r="AU37" s="71"/>
      <c r="AV37" s="81" t="str">
        <f t="shared" si="15"/>
        <v/>
      </c>
      <c r="AW37" s="71">
        <f t="shared" si="16"/>
        <v>55.030500000000004</v>
      </c>
      <c r="AX37" s="81">
        <f t="shared" si="17"/>
        <v>0.90213934426229514</v>
      </c>
      <c r="AY37" s="72">
        <f t="shared" si="18"/>
        <v>32.249099999999999</v>
      </c>
      <c r="AZ37" s="81">
        <f t="shared" si="19"/>
        <v>0.82689999999999997</v>
      </c>
      <c r="BA37" s="71" t="str">
        <f>IFERROR((#REF!*(#REF!/100)+#REF!*(#REF!/100)),"")</f>
        <v/>
      </c>
      <c r="BB37" s="81" t="str">
        <f t="shared" si="20"/>
        <v/>
      </c>
      <c r="BE37" s="4">
        <f t="shared" si="23"/>
        <v>15.3</v>
      </c>
      <c r="BF37" s="4">
        <f t="shared" si="24"/>
        <v>14.4</v>
      </c>
      <c r="BG37" s="73">
        <f t="shared" si="25"/>
        <v>43.25</v>
      </c>
      <c r="BH37" s="73">
        <f t="shared" si="26"/>
        <v>12.942299999999999</v>
      </c>
      <c r="BI37" s="73">
        <f t="shared" si="27"/>
        <v>43.25</v>
      </c>
      <c r="BJ37" s="4"/>
      <c r="BK37" s="4"/>
      <c r="BL37" s="4"/>
      <c r="BM37" s="4"/>
      <c r="BN37" s="73">
        <f t="shared" si="28"/>
        <v>42.45</v>
      </c>
      <c r="BO37" s="73">
        <f t="shared" si="29"/>
        <v>15.6006</v>
      </c>
      <c r="BP37" s="73">
        <f t="shared" si="30"/>
        <v>40.518099999999997</v>
      </c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73">
        <f t="shared" si="31"/>
        <v>46.501000000000005</v>
      </c>
      <c r="CD37" s="73">
        <f t="shared" si="32"/>
        <v>38.450000000000003</v>
      </c>
      <c r="CE37" s="73" t="str">
        <f>IFERROR(IF(AB37="","",IFERROR(AB37*($AB$9/100),""))+IF(#REF!="","",IFERROR(#REF!*(#REF!/100),""))+IF(#REF!="","",IFERROR(#REF!*(#REF!/100),"")),"")</f>
        <v/>
      </c>
      <c r="CF37" s="4"/>
      <c r="CG37" s="4"/>
      <c r="CH37" s="4"/>
      <c r="CI37" s="73" t="str">
        <f>IFERROR(IF(#REF!="","",IFERROR(#REF!*(#REF!/100),"")),"")</f>
        <v/>
      </c>
      <c r="CJ37" s="73" t="str">
        <f>IFERROR(IF(#REF!="","",IFERROR(#REF!*(#REF!/100),""))+IF(#REF!="","",IFERROR(#REF!*(#REF!/100),"")),"")</f>
        <v/>
      </c>
      <c r="CK37" s="73" t="str">
        <f>IFERROR(IF(H37="","",IFERROR(H37*($H$9/100),""))+IF(L37="","",IFERROR(L37*($L$9/100),""))+IF(#REF!="","",IFERROR(#REF!*(#REF!/100),""))+IF(#REF!="","",IFERROR(#REF!*(#REF!/100),"")),"")</f>
        <v/>
      </c>
      <c r="CL37" s="4"/>
      <c r="CM37" s="73" t="str">
        <f>IFERROR(IF(#REF!="","",IFERROR(#REF!*(#REF!/100),""))+IF(#REF!="","",IFERROR(#REF!*(#REF!/100),"")),"")</f>
        <v/>
      </c>
      <c r="CN37" s="73" t="str">
        <f>IFERROR(IF(#REF!="","",IFERROR(#REF!*(#REF!/100),"")),"")</f>
        <v/>
      </c>
      <c r="CO37">
        <f t="shared" si="21"/>
        <v>312.66199999999998</v>
      </c>
      <c r="CP37" s="74" t="e">
        <f t="shared" si="22"/>
        <v>#REF!</v>
      </c>
    </row>
    <row r="38" spans="1:94">
      <c r="A38" s="178">
        <v>26</v>
      </c>
      <c r="B38" s="109" t="s">
        <v>235</v>
      </c>
      <c r="C38" s="109" t="s">
        <v>236</v>
      </c>
      <c r="D38" s="66">
        <f>'Penguk.CPMK-Smt1'!D36</f>
        <v>80.88</v>
      </c>
      <c r="E38" s="66">
        <f>'Penguk.CPMK-Smt1'!E36</f>
        <v>81</v>
      </c>
      <c r="F38" s="66">
        <f>'Penguk.CPMK-Smt1'!F36</f>
        <v>80.930000000000007</v>
      </c>
      <c r="G38" s="66">
        <f>'Penguk.CPMK-Smt1'!G36</f>
        <v>81.59</v>
      </c>
      <c r="H38" s="66">
        <f>'Penguk.CPMK-Smt1'!H38</f>
        <v>75.11</v>
      </c>
      <c r="I38" s="66">
        <f t="shared" si="0"/>
        <v>91.777800000000013</v>
      </c>
      <c r="J38" s="83">
        <f>'Penguk.CPMK-Smt1'!J38</f>
        <v>77.5</v>
      </c>
      <c r="K38" s="83">
        <f>'Penguk.CPMK-Smt1'!K38</f>
        <v>76</v>
      </c>
      <c r="L38" s="83">
        <f>'Penguk.CPMK-Smt1'!L38</f>
        <v>82.69</v>
      </c>
      <c r="M38" s="83">
        <f t="shared" si="1"/>
        <v>78.849099999999993</v>
      </c>
      <c r="N38" s="67">
        <f>'Penguk.CPMK-Smt1'!N38</f>
        <v>77.5</v>
      </c>
      <c r="O38" s="67">
        <f>'Penguk.CPMK-Smt1'!O36</f>
        <v>83.14</v>
      </c>
      <c r="P38" s="67">
        <f>'Penguk.CPMK-Smt1'!P38</f>
        <v>82.69</v>
      </c>
      <c r="Q38" s="67">
        <f t="shared" si="2"/>
        <v>81.960700000000003</v>
      </c>
      <c r="R38" s="68">
        <f>'Penguk.CPMK-Smt1'!R38</f>
        <v>83.33</v>
      </c>
      <c r="S38" s="68">
        <f>'Penguk.CPMK-Smt1'!S36</f>
        <v>89.85</v>
      </c>
      <c r="T38" s="68">
        <f>'Penguk.CPMK-Smt1'!T38</f>
        <v>86.22</v>
      </c>
      <c r="U38" s="68">
        <f t="shared" si="3"/>
        <v>86.8977</v>
      </c>
      <c r="V38" s="69">
        <f>'Penguk.CPMK-Smt1'!V38</f>
        <v>81.400000000000006</v>
      </c>
      <c r="W38" s="69">
        <f>'Penguk.CPMK-Smt1'!W38</f>
        <v>61.9</v>
      </c>
      <c r="X38" s="69">
        <f t="shared" si="4"/>
        <v>71.650000000000006</v>
      </c>
      <c r="Y38" s="37">
        <f>'Penguk.CPMK-Smt1'!Y38</f>
        <v>77.150000000000006</v>
      </c>
      <c r="Z38" s="37">
        <f>'Penguk.CPMK-Smt1'!Z38</f>
        <v>77.150000000000006</v>
      </c>
      <c r="AA38" s="37">
        <f t="shared" si="5"/>
        <v>77.150000000000006</v>
      </c>
      <c r="AB38" s="70">
        <f>'Penguk.CPMK-Smt1'!AB38</f>
        <v>83</v>
      </c>
      <c r="AC38" s="70">
        <f t="shared" si="6"/>
        <v>83</v>
      </c>
      <c r="AE38" s="71">
        <f t="shared" si="7"/>
        <v>160.15</v>
      </c>
      <c r="AF38" s="81">
        <f t="shared" si="8"/>
        <v>0.80075000000000007</v>
      </c>
      <c r="AG38" s="71">
        <f t="shared" si="9"/>
        <v>260.63620000000003</v>
      </c>
      <c r="AH38" s="81">
        <f t="shared" si="10"/>
        <v>0.82741650793650801</v>
      </c>
      <c r="AI38" s="71"/>
      <c r="AJ38" s="81" t="str">
        <f t="shared" si="11"/>
        <v/>
      </c>
      <c r="AK38" s="71">
        <f t="shared" si="12"/>
        <v>71.650000000000006</v>
      </c>
      <c r="AL38" s="81">
        <f t="shared" si="13"/>
        <v>0.71650000000000003</v>
      </c>
      <c r="AM38" s="72"/>
      <c r="AN38" s="72"/>
      <c r="AO38" s="72"/>
      <c r="AP38" s="72"/>
      <c r="AQ38" s="72"/>
      <c r="AR38" s="72"/>
      <c r="AS38" s="72"/>
      <c r="AT38" s="81" t="str">
        <f t="shared" si="14"/>
        <v/>
      </c>
      <c r="AU38" s="71"/>
      <c r="AV38" s="81" t="str">
        <f t="shared" si="15"/>
        <v/>
      </c>
      <c r="AW38" s="71">
        <f t="shared" si="16"/>
        <v>46.6</v>
      </c>
      <c r="AX38" s="81">
        <f t="shared" si="17"/>
        <v>0.76393442622950825</v>
      </c>
      <c r="AY38" s="72">
        <f t="shared" si="18"/>
        <v>32.249099999999999</v>
      </c>
      <c r="AZ38" s="81">
        <f t="shared" si="19"/>
        <v>0.82689999999999997</v>
      </c>
      <c r="BA38" s="71" t="str">
        <f>IFERROR((#REF!*(#REF!/100)+#REF!*(#REF!/100)),"")</f>
        <v/>
      </c>
      <c r="BB38" s="81" t="str">
        <f t="shared" si="20"/>
        <v/>
      </c>
      <c r="BE38" s="4">
        <f t="shared" si="23"/>
        <v>13.175000000000001</v>
      </c>
      <c r="BF38" s="4">
        <f t="shared" si="24"/>
        <v>12.4</v>
      </c>
      <c r="BG38" s="73">
        <f t="shared" si="25"/>
        <v>38.575000000000003</v>
      </c>
      <c r="BH38" s="73">
        <f t="shared" si="26"/>
        <v>16.9848</v>
      </c>
      <c r="BI38" s="73">
        <f t="shared" si="27"/>
        <v>38.575000000000003</v>
      </c>
      <c r="BJ38" s="4"/>
      <c r="BK38" s="4"/>
      <c r="BL38" s="4"/>
      <c r="BM38" s="4"/>
      <c r="BN38" s="73">
        <f t="shared" si="28"/>
        <v>40.700000000000003</v>
      </c>
      <c r="BO38" s="73">
        <f t="shared" si="29"/>
        <v>14.9994</v>
      </c>
      <c r="BP38" s="73">
        <f t="shared" si="30"/>
        <v>40.518099999999997</v>
      </c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73">
        <f t="shared" si="31"/>
        <v>42.247799999999998</v>
      </c>
      <c r="CD38" s="73">
        <f t="shared" si="32"/>
        <v>30.95</v>
      </c>
      <c r="CE38" s="73" t="str">
        <f>IFERROR(IF(AB38="","",IFERROR(AB38*($AB$9/100),""))+IF(#REF!="","",IFERROR(#REF!*(#REF!/100),""))+IF(#REF!="","",IFERROR(#REF!*(#REF!/100),"")),"")</f>
        <v/>
      </c>
      <c r="CF38" s="4"/>
      <c r="CG38" s="4"/>
      <c r="CH38" s="4"/>
      <c r="CI38" s="73" t="str">
        <f>IFERROR(IF(#REF!="","",IFERROR(#REF!*(#REF!/100),"")),"")</f>
        <v/>
      </c>
      <c r="CJ38" s="73" t="str">
        <f>IFERROR(IF(#REF!="","",IFERROR(#REF!*(#REF!/100),""))+IF(#REF!="","",IFERROR(#REF!*(#REF!/100),"")),"")</f>
        <v/>
      </c>
      <c r="CK38" s="73" t="str">
        <f>IFERROR(IF(H38="","",IFERROR(H38*($H$9/100),""))+IF(L38="","",IFERROR(L38*($L$9/100),""))+IF(#REF!="","",IFERROR(#REF!*(#REF!/100),""))+IF(#REF!="","",IFERROR(#REF!*(#REF!/100),"")),"")</f>
        <v/>
      </c>
      <c r="CL38" s="4"/>
      <c r="CM38" s="73" t="str">
        <f>IFERROR(IF(#REF!="","",IFERROR(#REF!*(#REF!/100),""))+IF(#REF!="","",IFERROR(#REF!*(#REF!/100),"")),"")</f>
        <v/>
      </c>
      <c r="CN38" s="73" t="str">
        <f>IFERROR(IF(#REF!="","",IFERROR(#REF!*(#REF!/100),"")),"")</f>
        <v/>
      </c>
      <c r="CO38">
        <f t="shared" si="21"/>
        <v>289.12510000000003</v>
      </c>
      <c r="CP38" s="74" t="e">
        <f t="shared" si="22"/>
        <v>#REF!</v>
      </c>
    </row>
    <row r="39" spans="1:94">
      <c r="A39" s="178">
        <v>27</v>
      </c>
      <c r="B39" s="109" t="s">
        <v>237</v>
      </c>
      <c r="C39" s="109" t="s">
        <v>238</v>
      </c>
      <c r="D39" s="66">
        <f>'Penguk.CPMK-Smt1'!D37</f>
        <v>78.88</v>
      </c>
      <c r="E39" s="66">
        <f>'Penguk.CPMK-Smt1'!E37</f>
        <v>79.13</v>
      </c>
      <c r="F39" s="66">
        <f>'Penguk.CPMK-Smt1'!F37</f>
        <v>79</v>
      </c>
      <c r="G39" s="66">
        <f>'Penguk.CPMK-Smt1'!G37</f>
        <v>74.41</v>
      </c>
      <c r="H39" s="66">
        <f>'Penguk.CPMK-Smt1'!H39</f>
        <v>80.739999999999995</v>
      </c>
      <c r="I39" s="66">
        <f t="shared" si="0"/>
        <v>90.186800000000005</v>
      </c>
      <c r="J39" s="83">
        <f>'Penguk.CPMK-Smt1'!J39</f>
        <v>90</v>
      </c>
      <c r="K39" s="83">
        <f>'Penguk.CPMK-Smt1'!K39</f>
        <v>90.29</v>
      </c>
      <c r="L39" s="83">
        <f>'Penguk.CPMK-Smt1'!L39</f>
        <v>82.69</v>
      </c>
      <c r="M39" s="83">
        <f t="shared" si="1"/>
        <v>87.279600000000002</v>
      </c>
      <c r="N39" s="67">
        <f>'Penguk.CPMK-Smt1'!N39</f>
        <v>90</v>
      </c>
      <c r="O39" s="67">
        <f>'Penguk.CPMK-Smt1'!O37</f>
        <v>90.29</v>
      </c>
      <c r="P39" s="67">
        <f>'Penguk.CPMK-Smt1'!P39</f>
        <v>82.69</v>
      </c>
      <c r="Q39" s="67">
        <f t="shared" si="2"/>
        <v>86.516700000000014</v>
      </c>
      <c r="R39" s="68">
        <f>'Penguk.CPMK-Smt1'!R39</f>
        <v>83.89</v>
      </c>
      <c r="S39" s="68">
        <f>'Penguk.CPMK-Smt1'!S37</f>
        <v>86.06</v>
      </c>
      <c r="T39" s="68">
        <f>'Penguk.CPMK-Smt1'!T39</f>
        <v>86.73</v>
      </c>
      <c r="U39" s="68">
        <f t="shared" si="3"/>
        <v>85.997700000000009</v>
      </c>
      <c r="V39" s="69">
        <f>'Penguk.CPMK-Smt1'!V39</f>
        <v>81.400000000000006</v>
      </c>
      <c r="W39" s="69">
        <f>'Penguk.CPMK-Smt1'!W39</f>
        <v>88.4</v>
      </c>
      <c r="X39" s="69">
        <f t="shared" si="4"/>
        <v>84.9</v>
      </c>
      <c r="Y39" s="37">
        <f>'Penguk.CPMK-Smt1'!Y39</f>
        <v>78.2</v>
      </c>
      <c r="Z39" s="37">
        <f>'Penguk.CPMK-Smt1'!Z39</f>
        <v>78.2</v>
      </c>
      <c r="AA39" s="37">
        <f t="shared" si="5"/>
        <v>78.2</v>
      </c>
      <c r="AB39" s="70">
        <f>'Penguk.CPMK-Smt1'!AB39</f>
        <v>66.2</v>
      </c>
      <c r="AC39" s="70">
        <f t="shared" si="6"/>
        <v>66.2</v>
      </c>
      <c r="AE39" s="71">
        <f t="shared" si="7"/>
        <v>144.4</v>
      </c>
      <c r="AF39" s="81">
        <f t="shared" si="8"/>
        <v>0.72199999999999998</v>
      </c>
      <c r="AG39" s="71">
        <f t="shared" si="9"/>
        <v>262.70120000000003</v>
      </c>
      <c r="AH39" s="81">
        <f t="shared" si="10"/>
        <v>0.83397206349206354</v>
      </c>
      <c r="AI39" s="71"/>
      <c r="AJ39" s="81" t="str">
        <f t="shared" si="11"/>
        <v/>
      </c>
      <c r="AK39" s="71">
        <f t="shared" si="12"/>
        <v>84.9</v>
      </c>
      <c r="AL39" s="81">
        <f t="shared" si="13"/>
        <v>0.84900000000000009</v>
      </c>
      <c r="AM39" s="72"/>
      <c r="AN39" s="72"/>
      <c r="AO39" s="72"/>
      <c r="AP39" s="72"/>
      <c r="AQ39" s="72"/>
      <c r="AR39" s="72"/>
      <c r="AS39" s="72"/>
      <c r="AT39" s="81" t="str">
        <f t="shared" si="14"/>
        <v/>
      </c>
      <c r="AU39" s="71"/>
      <c r="AV39" s="81" t="str">
        <f t="shared" si="15"/>
        <v/>
      </c>
      <c r="AW39" s="71">
        <f t="shared" si="16"/>
        <v>55.030500000000004</v>
      </c>
      <c r="AX39" s="81">
        <f t="shared" si="17"/>
        <v>0.90213934426229514</v>
      </c>
      <c r="AY39" s="72">
        <f t="shared" si="18"/>
        <v>32.249099999999999</v>
      </c>
      <c r="AZ39" s="81">
        <f t="shared" si="19"/>
        <v>0.82689999999999997</v>
      </c>
      <c r="BA39" s="71" t="str">
        <f>IFERROR((#REF!*(#REF!/100)+#REF!*(#REF!/100)),"")</f>
        <v/>
      </c>
      <c r="BB39" s="81" t="str">
        <f t="shared" si="20"/>
        <v/>
      </c>
      <c r="BE39" s="4">
        <f t="shared" si="23"/>
        <v>15.3</v>
      </c>
      <c r="BF39" s="4">
        <f t="shared" si="24"/>
        <v>14.4</v>
      </c>
      <c r="BG39" s="73">
        <f t="shared" si="25"/>
        <v>39.1</v>
      </c>
      <c r="BH39" s="73">
        <f t="shared" si="26"/>
        <v>16.564799999999998</v>
      </c>
      <c r="BI39" s="73">
        <f t="shared" si="27"/>
        <v>39.1</v>
      </c>
      <c r="BJ39" s="4"/>
      <c r="BK39" s="4"/>
      <c r="BL39" s="4"/>
      <c r="BM39" s="4"/>
      <c r="BN39" s="73">
        <f t="shared" si="28"/>
        <v>40.700000000000003</v>
      </c>
      <c r="BO39" s="73">
        <f t="shared" si="29"/>
        <v>15.100199999999999</v>
      </c>
      <c r="BP39" s="73">
        <f t="shared" si="30"/>
        <v>40.518099999999997</v>
      </c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73">
        <f t="shared" si="31"/>
        <v>42.497700000000002</v>
      </c>
      <c r="CD39" s="73">
        <f t="shared" si="32"/>
        <v>44.2</v>
      </c>
      <c r="CE39" s="73" t="str">
        <f>IFERROR(IF(AB39="","",IFERROR(AB39*($AB$9/100),""))+IF(#REF!="","",IFERROR(#REF!*(#REF!/100),""))+IF(#REF!="","",IFERROR(#REF!*(#REF!/100),"")),"")</f>
        <v/>
      </c>
      <c r="CF39" s="4"/>
      <c r="CG39" s="4"/>
      <c r="CH39" s="4"/>
      <c r="CI39" s="73" t="str">
        <f>IFERROR(IF(#REF!="","",IFERROR(#REF!*(#REF!/100),"")),"")</f>
        <v/>
      </c>
      <c r="CJ39" s="73" t="str">
        <f>IFERROR(IF(#REF!="","",IFERROR(#REF!*(#REF!/100),""))+IF(#REF!="","",IFERROR(#REF!*(#REF!/100),"")),"")</f>
        <v/>
      </c>
      <c r="CK39" s="73" t="str">
        <f>IFERROR(IF(H39="","",IFERROR(H39*($H$9/100),""))+IF(L39="","",IFERROR(L39*($L$9/100),""))+IF(#REF!="","",IFERROR(#REF!*(#REF!/100),""))+IF(#REF!="","",IFERROR(#REF!*(#REF!/100),"")),"")</f>
        <v/>
      </c>
      <c r="CL39" s="4"/>
      <c r="CM39" s="73" t="str">
        <f>IFERROR(IF(#REF!="","",IFERROR(#REF!*(#REF!/100),""))+IF(#REF!="","",IFERROR(#REF!*(#REF!/100),"")),"")</f>
        <v/>
      </c>
      <c r="CN39" s="73" t="str">
        <f>IFERROR(IF(#REF!="","",IFERROR(#REF!*(#REF!/100),"")),"")</f>
        <v/>
      </c>
      <c r="CO39">
        <f t="shared" si="21"/>
        <v>307.48079999999999</v>
      </c>
      <c r="CP39" s="74" t="e">
        <f t="shared" si="22"/>
        <v>#REF!</v>
      </c>
    </row>
    <row r="40" spans="1:94">
      <c r="A40" s="178">
        <v>28</v>
      </c>
      <c r="B40" s="109" t="s">
        <v>239</v>
      </c>
      <c r="C40" s="109" t="s">
        <v>240</v>
      </c>
      <c r="D40" s="66">
        <f>'Penguk.CPMK-Smt1'!D38</f>
        <v>76.75</v>
      </c>
      <c r="E40" s="66">
        <f>'Penguk.CPMK-Smt1'!E38</f>
        <v>76.930000000000007</v>
      </c>
      <c r="F40" s="66">
        <f>'Penguk.CPMK-Smt1'!F38</f>
        <v>76.87</v>
      </c>
      <c r="G40" s="66">
        <f>'Penguk.CPMK-Smt1'!G38</f>
        <v>75.09</v>
      </c>
      <c r="H40" s="66">
        <f>'Penguk.CPMK-Smt1'!H40</f>
        <v>3.85</v>
      </c>
      <c r="I40" s="66">
        <f t="shared" si="0"/>
        <v>69.706300000000013</v>
      </c>
      <c r="J40" s="83">
        <f>'Penguk.CPMK-Smt1'!J40</f>
        <v>90</v>
      </c>
      <c r="K40" s="83">
        <f>'Penguk.CPMK-Smt1'!K40</f>
        <v>90.29</v>
      </c>
      <c r="L40" s="83">
        <f>'Penguk.CPMK-Smt1'!L40</f>
        <v>31.41</v>
      </c>
      <c r="M40" s="83">
        <f t="shared" si="1"/>
        <v>67.2804</v>
      </c>
      <c r="N40" s="67">
        <f>'Penguk.CPMK-Smt1'!N40</f>
        <v>90</v>
      </c>
      <c r="O40" s="67">
        <f>'Penguk.CPMK-Smt1'!O38</f>
        <v>76</v>
      </c>
      <c r="P40" s="67">
        <f>'Penguk.CPMK-Smt1'!P40</f>
        <v>31.41</v>
      </c>
      <c r="Q40" s="67">
        <f t="shared" si="2"/>
        <v>56.530900000000003</v>
      </c>
      <c r="R40" s="68">
        <f>'Penguk.CPMK-Smt1'!R40</f>
        <v>83.89</v>
      </c>
      <c r="S40" s="68">
        <f>'Penguk.CPMK-Smt1'!S38</f>
        <v>81.819999999999993</v>
      </c>
      <c r="T40" s="68">
        <f>'Penguk.CPMK-Smt1'!T40</f>
        <v>86.73</v>
      </c>
      <c r="U40" s="68">
        <f t="shared" si="3"/>
        <v>84.598500000000001</v>
      </c>
      <c r="V40" s="69">
        <f>'Penguk.CPMK-Smt1'!V40</f>
        <v>81.400000000000006</v>
      </c>
      <c r="W40" s="69">
        <f>'Penguk.CPMK-Smt1'!W40</f>
        <v>9.4</v>
      </c>
      <c r="X40" s="69">
        <f t="shared" si="4"/>
        <v>45.400000000000006</v>
      </c>
      <c r="Y40" s="37">
        <f>'Penguk.CPMK-Smt1'!Y40</f>
        <v>46.1</v>
      </c>
      <c r="Z40" s="37">
        <f>'Penguk.CPMK-Smt1'!Z40</f>
        <v>46.1</v>
      </c>
      <c r="AA40" s="37">
        <f t="shared" si="5"/>
        <v>46.1</v>
      </c>
      <c r="AB40" s="70">
        <f>'Penguk.CPMK-Smt1'!AB40</f>
        <v>55.8</v>
      </c>
      <c r="AC40" s="70">
        <f t="shared" si="6"/>
        <v>55.8</v>
      </c>
      <c r="AE40" s="71">
        <f t="shared" si="7"/>
        <v>101.9</v>
      </c>
      <c r="AF40" s="81">
        <f t="shared" si="8"/>
        <v>0.50950000000000006</v>
      </c>
      <c r="AG40" s="71">
        <f t="shared" si="9"/>
        <v>210.8357</v>
      </c>
      <c r="AH40" s="81">
        <f t="shared" si="10"/>
        <v>0.66931968253968255</v>
      </c>
      <c r="AI40" s="71"/>
      <c r="AJ40" s="81" t="str">
        <f t="shared" si="11"/>
        <v/>
      </c>
      <c r="AK40" s="71">
        <f t="shared" si="12"/>
        <v>45.400000000000006</v>
      </c>
      <c r="AL40" s="81">
        <f t="shared" si="13"/>
        <v>0.45400000000000007</v>
      </c>
      <c r="AM40" s="72"/>
      <c r="AN40" s="72"/>
      <c r="AO40" s="72"/>
      <c r="AP40" s="72"/>
      <c r="AQ40" s="72"/>
      <c r="AR40" s="72"/>
      <c r="AS40" s="72"/>
      <c r="AT40" s="81" t="str">
        <f t="shared" si="14"/>
        <v/>
      </c>
      <c r="AU40" s="71"/>
      <c r="AV40" s="81" t="str">
        <f t="shared" si="15"/>
        <v/>
      </c>
      <c r="AW40" s="71">
        <f t="shared" si="16"/>
        <v>55.030500000000004</v>
      </c>
      <c r="AX40" s="81">
        <f t="shared" si="17"/>
        <v>0.90213934426229514</v>
      </c>
      <c r="AY40" s="72">
        <f t="shared" si="18"/>
        <v>12.2499</v>
      </c>
      <c r="AZ40" s="81">
        <f t="shared" si="19"/>
        <v>0.31409999999999999</v>
      </c>
      <c r="BA40" s="71" t="str">
        <f>IFERROR((#REF!*(#REF!/100)+#REF!*(#REF!/100)),"")</f>
        <v/>
      </c>
      <c r="BB40" s="81" t="str">
        <f t="shared" si="20"/>
        <v/>
      </c>
      <c r="BE40" s="4">
        <f t="shared" si="23"/>
        <v>15.3</v>
      </c>
      <c r="BF40" s="4">
        <f t="shared" si="24"/>
        <v>14.4</v>
      </c>
      <c r="BG40" s="73">
        <f t="shared" si="25"/>
        <v>23.05</v>
      </c>
      <c r="BH40" s="73">
        <f t="shared" si="26"/>
        <v>16.1175</v>
      </c>
      <c r="BI40" s="73">
        <f t="shared" si="27"/>
        <v>23.05</v>
      </c>
      <c r="BJ40" s="4"/>
      <c r="BK40" s="4"/>
      <c r="BL40" s="4"/>
      <c r="BM40" s="4"/>
      <c r="BN40" s="73">
        <f t="shared" si="28"/>
        <v>40.700000000000003</v>
      </c>
      <c r="BO40" s="73">
        <f t="shared" si="29"/>
        <v>15.100199999999999</v>
      </c>
      <c r="BP40" s="73">
        <f t="shared" si="30"/>
        <v>15.3909</v>
      </c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73">
        <f t="shared" si="31"/>
        <v>42.497700000000002</v>
      </c>
      <c r="CD40" s="73">
        <f t="shared" si="32"/>
        <v>4.7</v>
      </c>
      <c r="CE40" s="73" t="str">
        <f>IFERROR(IF(AB40="","",IFERROR(AB40*($AB$9/100),""))+IF(#REF!="","",IFERROR(#REF!*(#REF!/100),""))+IF(#REF!="","",IFERROR(#REF!*(#REF!/100),"")),"")</f>
        <v/>
      </c>
      <c r="CF40" s="4"/>
      <c r="CG40" s="4"/>
      <c r="CH40" s="4"/>
      <c r="CI40" s="73" t="str">
        <f>IFERROR(IF(#REF!="","",IFERROR(#REF!*(#REF!/100),"")),"")</f>
        <v/>
      </c>
      <c r="CJ40" s="73" t="str">
        <f>IFERROR(IF(#REF!="","",IFERROR(#REF!*(#REF!/100),""))+IF(#REF!="","",IFERROR(#REF!*(#REF!/100),"")),"")</f>
        <v/>
      </c>
      <c r="CK40" s="73" t="str">
        <f>IFERROR(IF(H40="","",IFERROR(H40*($H$9/100),""))+IF(L40="","",IFERROR(L40*($L$9/100),""))+IF(#REF!="","",IFERROR(#REF!*(#REF!/100),""))+IF(#REF!="","",IFERROR(#REF!*(#REF!/100),"")),"")</f>
        <v/>
      </c>
      <c r="CL40" s="4"/>
      <c r="CM40" s="73" t="str">
        <f>IFERROR(IF(#REF!="","",IFERROR(#REF!*(#REF!/100),""))+IF(#REF!="","",IFERROR(#REF!*(#REF!/100),"")),"")</f>
        <v/>
      </c>
      <c r="CN40" s="73" t="str">
        <f>IFERROR(IF(#REF!="","",IFERROR(#REF!*(#REF!/100),"")),"")</f>
        <v/>
      </c>
      <c r="CO40">
        <f t="shared" si="21"/>
        <v>210.30629999999999</v>
      </c>
      <c r="CP40" s="74" t="e">
        <f t="shared" si="22"/>
        <v>#REF!</v>
      </c>
    </row>
    <row r="41" spans="1:94">
      <c r="A41" s="178">
        <v>29</v>
      </c>
      <c r="B41" s="109" t="s">
        <v>241</v>
      </c>
      <c r="C41" s="109" t="s">
        <v>242</v>
      </c>
      <c r="D41" s="66">
        <f>'Penguk.CPMK-Smt1'!D39</f>
        <v>82.5</v>
      </c>
      <c r="E41" s="66">
        <f>'Penguk.CPMK-Smt1'!E39</f>
        <v>82.6</v>
      </c>
      <c r="F41" s="66">
        <f>'Penguk.CPMK-Smt1'!F39</f>
        <v>82.67</v>
      </c>
      <c r="G41" s="66">
        <f>'Penguk.CPMK-Smt1'!G39</f>
        <v>81.45</v>
      </c>
      <c r="H41" s="66">
        <f>'Penguk.CPMK-Smt1'!H41</f>
        <v>90.04</v>
      </c>
      <c r="I41" s="66">
        <f t="shared" si="0"/>
        <v>96.569100000000006</v>
      </c>
      <c r="J41" s="83">
        <f>'Penguk.CPMK-Smt1'!J41</f>
        <v>90</v>
      </c>
      <c r="K41" s="83">
        <f>'Penguk.CPMK-Smt1'!K41</f>
        <v>90.29</v>
      </c>
      <c r="L41" s="83">
        <f>'Penguk.CPMK-Smt1'!L41</f>
        <v>82.69</v>
      </c>
      <c r="M41" s="83">
        <f t="shared" si="1"/>
        <v>87.279600000000002</v>
      </c>
      <c r="N41" s="67">
        <f>'Penguk.CPMK-Smt1'!N41</f>
        <v>90</v>
      </c>
      <c r="O41" s="67">
        <f>'Penguk.CPMK-Smt1'!O39</f>
        <v>90.29</v>
      </c>
      <c r="P41" s="67">
        <f>'Penguk.CPMK-Smt1'!P41</f>
        <v>82.69</v>
      </c>
      <c r="Q41" s="67">
        <f t="shared" si="2"/>
        <v>86.516700000000014</v>
      </c>
      <c r="R41" s="68">
        <f>'Penguk.CPMK-Smt1'!R41</f>
        <v>93.61</v>
      </c>
      <c r="S41" s="68">
        <f>'Penguk.CPMK-Smt1'!S39</f>
        <v>82.27</v>
      </c>
      <c r="T41" s="68">
        <f>'Penguk.CPMK-Smt1'!T41</f>
        <v>99.49</v>
      </c>
      <c r="U41" s="68">
        <f t="shared" si="3"/>
        <v>92.748999999999995</v>
      </c>
      <c r="V41" s="69">
        <f>'Penguk.CPMK-Smt1'!V41</f>
        <v>92.4</v>
      </c>
      <c r="W41" s="69">
        <f>'Penguk.CPMK-Smt1'!W41</f>
        <v>90.4</v>
      </c>
      <c r="X41" s="69">
        <f t="shared" si="4"/>
        <v>91.4</v>
      </c>
      <c r="Y41" s="37">
        <f>'Penguk.CPMK-Smt1'!Y41</f>
        <v>85.9</v>
      </c>
      <c r="Z41" s="37">
        <f>'Penguk.CPMK-Smt1'!Z41</f>
        <v>85.9</v>
      </c>
      <c r="AA41" s="37">
        <f t="shared" si="5"/>
        <v>85.9</v>
      </c>
      <c r="AB41" s="70">
        <f>'Penguk.CPMK-Smt1'!AB41</f>
        <v>89</v>
      </c>
      <c r="AC41" s="70">
        <f t="shared" si="6"/>
        <v>89</v>
      </c>
      <c r="AE41" s="71">
        <f t="shared" si="7"/>
        <v>174.9</v>
      </c>
      <c r="AF41" s="81">
        <f t="shared" si="8"/>
        <v>0.87450000000000006</v>
      </c>
      <c r="AG41" s="71">
        <f t="shared" si="9"/>
        <v>275.83479999999997</v>
      </c>
      <c r="AH41" s="81">
        <f t="shared" si="10"/>
        <v>0.87566603174603164</v>
      </c>
      <c r="AI41" s="71"/>
      <c r="AJ41" s="81" t="str">
        <f t="shared" si="11"/>
        <v/>
      </c>
      <c r="AK41" s="71">
        <f t="shared" si="12"/>
        <v>91.4</v>
      </c>
      <c r="AL41" s="81">
        <f t="shared" si="13"/>
        <v>0.91400000000000003</v>
      </c>
      <c r="AM41" s="72"/>
      <c r="AN41" s="72"/>
      <c r="AO41" s="72"/>
      <c r="AP41" s="72"/>
      <c r="AQ41" s="72"/>
      <c r="AR41" s="72"/>
      <c r="AS41" s="72"/>
      <c r="AT41" s="81" t="str">
        <f t="shared" si="14"/>
        <v/>
      </c>
      <c r="AU41" s="71"/>
      <c r="AV41" s="81" t="str">
        <f t="shared" si="15"/>
        <v/>
      </c>
      <c r="AW41" s="71">
        <f t="shared" si="16"/>
        <v>55.030500000000004</v>
      </c>
      <c r="AX41" s="81">
        <f t="shared" si="17"/>
        <v>0.90213934426229514</v>
      </c>
      <c r="AY41" s="72">
        <f t="shared" si="18"/>
        <v>32.249099999999999</v>
      </c>
      <c r="AZ41" s="81">
        <f t="shared" si="19"/>
        <v>0.82689999999999997</v>
      </c>
      <c r="BA41" s="71" t="str">
        <f>IFERROR((#REF!*(#REF!/100)+#REF!*(#REF!/100)),"")</f>
        <v/>
      </c>
      <c r="BB41" s="81" t="str">
        <f t="shared" si="20"/>
        <v/>
      </c>
      <c r="BE41" s="4">
        <f t="shared" si="23"/>
        <v>15.3</v>
      </c>
      <c r="BF41" s="4">
        <f t="shared" si="24"/>
        <v>14.4</v>
      </c>
      <c r="BG41" s="73">
        <f t="shared" si="25"/>
        <v>42.95</v>
      </c>
      <c r="BH41" s="73">
        <f t="shared" si="26"/>
        <v>17.324999999999999</v>
      </c>
      <c r="BI41" s="73">
        <f t="shared" si="27"/>
        <v>42.95</v>
      </c>
      <c r="BJ41" s="4"/>
      <c r="BK41" s="4"/>
      <c r="BL41" s="4"/>
      <c r="BM41" s="4"/>
      <c r="BN41" s="73">
        <f t="shared" si="28"/>
        <v>46.2</v>
      </c>
      <c r="BO41" s="73">
        <f t="shared" si="29"/>
        <v>16.849799999999998</v>
      </c>
      <c r="BP41" s="73">
        <f t="shared" si="30"/>
        <v>40.518099999999997</v>
      </c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73">
        <f t="shared" si="31"/>
        <v>48.750099999999996</v>
      </c>
      <c r="CD41" s="73">
        <f t="shared" si="32"/>
        <v>45.2</v>
      </c>
      <c r="CE41" s="73" t="str">
        <f>IFERROR(IF(AB41="","",IFERROR(AB41*($AB$9/100),""))+IF(#REF!="","",IFERROR(#REF!*(#REF!/100),""))+IF(#REF!="","",IFERROR(#REF!*(#REF!/100),"")),"")</f>
        <v/>
      </c>
      <c r="CF41" s="4"/>
      <c r="CG41" s="4"/>
      <c r="CH41" s="4"/>
      <c r="CI41" s="73" t="str">
        <f>IFERROR(IF(#REF!="","",IFERROR(#REF!*(#REF!/100),"")),"")</f>
        <v/>
      </c>
      <c r="CJ41" s="73" t="str">
        <f>IFERROR(IF(#REF!="","",IFERROR(#REF!*(#REF!/100),""))+IF(#REF!="","",IFERROR(#REF!*(#REF!/100),"")),"")</f>
        <v/>
      </c>
      <c r="CK41" s="73" t="str">
        <f>IFERROR(IF(H41="","",IFERROR(H41*($H$9/100),""))+IF(L41="","",IFERROR(L41*($L$9/100),""))+IF(#REF!="","",IFERROR(#REF!*(#REF!/100),""))+IF(#REF!="","",IFERROR(#REF!*(#REF!/100),"")),"")</f>
        <v/>
      </c>
      <c r="CL41" s="4"/>
      <c r="CM41" s="73" t="str">
        <f>IFERROR(IF(#REF!="","",IFERROR(#REF!*(#REF!/100),""))+IF(#REF!="","",IFERROR(#REF!*(#REF!/100),"")),"")</f>
        <v/>
      </c>
      <c r="CN41" s="73" t="str">
        <f>IFERROR(IF(#REF!="","",IFERROR(#REF!*(#REF!/100),"")),"")</f>
        <v/>
      </c>
      <c r="CO41">
        <f t="shared" si="21"/>
        <v>330.44299999999998</v>
      </c>
      <c r="CP41" s="74" t="e">
        <f t="shared" si="22"/>
        <v>#REF!</v>
      </c>
    </row>
    <row r="42" spans="1:94">
      <c r="A42" s="178">
        <v>30</v>
      </c>
      <c r="B42" s="109" t="s">
        <v>243</v>
      </c>
      <c r="C42" s="109" t="s">
        <v>244</v>
      </c>
      <c r="D42" s="66">
        <f>'Penguk.CPMK-Smt1'!D40</f>
        <v>39.25</v>
      </c>
      <c r="E42" s="66">
        <f>'Penguk.CPMK-Smt1'!E40</f>
        <v>41.2</v>
      </c>
      <c r="F42" s="66">
        <f>'Penguk.CPMK-Smt1'!F40</f>
        <v>41.2</v>
      </c>
      <c r="G42" s="66">
        <f>'Penguk.CPMK-Smt1'!G40</f>
        <v>6.27</v>
      </c>
      <c r="H42" s="66">
        <f>'Penguk.CPMK-Smt1'!H42</f>
        <v>89.41</v>
      </c>
      <c r="I42" s="66">
        <f t="shared" si="0"/>
        <v>50.639799999999994</v>
      </c>
      <c r="J42" s="83">
        <f>'Penguk.CPMK-Smt1'!J42</f>
        <v>90</v>
      </c>
      <c r="K42" s="83">
        <f>'Penguk.CPMK-Smt1'!K42</f>
        <v>90.29</v>
      </c>
      <c r="L42" s="83">
        <f>'Penguk.CPMK-Smt1'!L42</f>
        <v>82.69</v>
      </c>
      <c r="M42" s="83">
        <f t="shared" si="1"/>
        <v>87.279600000000002</v>
      </c>
      <c r="N42" s="67">
        <f>'Penguk.CPMK-Smt1'!N42</f>
        <v>90</v>
      </c>
      <c r="O42" s="67">
        <f>'Penguk.CPMK-Smt1'!O40</f>
        <v>90.29</v>
      </c>
      <c r="P42" s="67">
        <f>'Penguk.CPMK-Smt1'!P42</f>
        <v>82.69</v>
      </c>
      <c r="Q42" s="67">
        <f t="shared" si="2"/>
        <v>86.516700000000014</v>
      </c>
      <c r="R42" s="68">
        <f>'Penguk.CPMK-Smt1'!R42</f>
        <v>87.5</v>
      </c>
      <c r="S42" s="68">
        <f>'Penguk.CPMK-Smt1'!S40</f>
        <v>82.27</v>
      </c>
      <c r="T42" s="68">
        <f>'Penguk.CPMK-Smt1'!T42</f>
        <v>95.41</v>
      </c>
      <c r="U42" s="68">
        <f t="shared" si="3"/>
        <v>89.65</v>
      </c>
      <c r="V42" s="69">
        <f>'Penguk.CPMK-Smt1'!V42</f>
        <v>99.4</v>
      </c>
      <c r="W42" s="69">
        <f>'Penguk.CPMK-Smt1'!W42</f>
        <v>99.4</v>
      </c>
      <c r="X42" s="69">
        <f t="shared" si="4"/>
        <v>99.4</v>
      </c>
      <c r="Y42" s="37">
        <f>'Penguk.CPMK-Smt1'!Y42</f>
        <v>85.9</v>
      </c>
      <c r="Z42" s="37">
        <f>'Penguk.CPMK-Smt1'!Z42</f>
        <v>85.9</v>
      </c>
      <c r="AA42" s="37">
        <f t="shared" si="5"/>
        <v>85.9</v>
      </c>
      <c r="AB42" s="70">
        <f>'Penguk.CPMK-Smt1'!AB42</f>
        <v>89.7</v>
      </c>
      <c r="AC42" s="70">
        <f t="shared" si="6"/>
        <v>89.7</v>
      </c>
      <c r="AE42" s="71">
        <f t="shared" si="7"/>
        <v>175.60000000000002</v>
      </c>
      <c r="AF42" s="81">
        <f t="shared" si="8"/>
        <v>0.87800000000000011</v>
      </c>
      <c r="AG42" s="71">
        <f t="shared" si="9"/>
        <v>226.8065</v>
      </c>
      <c r="AH42" s="81">
        <f t="shared" si="10"/>
        <v>0.72002063492063495</v>
      </c>
      <c r="AI42" s="71"/>
      <c r="AJ42" s="81" t="str">
        <f t="shared" si="11"/>
        <v/>
      </c>
      <c r="AK42" s="71">
        <f t="shared" si="12"/>
        <v>99.4</v>
      </c>
      <c r="AL42" s="81">
        <f t="shared" si="13"/>
        <v>0.99400000000000011</v>
      </c>
      <c r="AM42" s="72"/>
      <c r="AN42" s="72"/>
      <c r="AO42" s="72"/>
      <c r="AP42" s="72"/>
      <c r="AQ42" s="72"/>
      <c r="AR42" s="72"/>
      <c r="AS42" s="72"/>
      <c r="AT42" s="81" t="str">
        <f t="shared" si="14"/>
        <v/>
      </c>
      <c r="AU42" s="71"/>
      <c r="AV42" s="81" t="str">
        <f t="shared" si="15"/>
        <v/>
      </c>
      <c r="AW42" s="71">
        <f t="shared" si="16"/>
        <v>55.030500000000004</v>
      </c>
      <c r="AX42" s="81">
        <f t="shared" si="17"/>
        <v>0.90213934426229514</v>
      </c>
      <c r="AY42" s="72">
        <f t="shared" si="18"/>
        <v>32.249099999999999</v>
      </c>
      <c r="AZ42" s="81">
        <f t="shared" si="19"/>
        <v>0.82689999999999997</v>
      </c>
      <c r="BA42" s="71" t="str">
        <f>IFERROR((#REF!*(#REF!/100)+#REF!*(#REF!/100)),"")</f>
        <v/>
      </c>
      <c r="BB42" s="81" t="str">
        <f t="shared" si="20"/>
        <v/>
      </c>
      <c r="BE42" s="4">
        <f t="shared" si="23"/>
        <v>15.3</v>
      </c>
      <c r="BF42" s="4">
        <f t="shared" si="24"/>
        <v>14.4</v>
      </c>
      <c r="BG42" s="73">
        <f t="shared" si="25"/>
        <v>42.95</v>
      </c>
      <c r="BH42" s="73">
        <f t="shared" si="26"/>
        <v>8.2424999999999997</v>
      </c>
      <c r="BI42" s="73">
        <f t="shared" si="27"/>
        <v>42.95</v>
      </c>
      <c r="BJ42" s="4"/>
      <c r="BK42" s="4"/>
      <c r="BL42" s="4"/>
      <c r="BM42" s="4"/>
      <c r="BN42" s="73">
        <f t="shared" si="28"/>
        <v>49.7</v>
      </c>
      <c r="BO42" s="73">
        <f t="shared" si="29"/>
        <v>15.75</v>
      </c>
      <c r="BP42" s="73">
        <f t="shared" si="30"/>
        <v>40.518099999999997</v>
      </c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73">
        <f t="shared" si="31"/>
        <v>46.750899999999994</v>
      </c>
      <c r="CD42" s="73">
        <f t="shared" si="32"/>
        <v>49.7</v>
      </c>
      <c r="CE42" s="73" t="str">
        <f>IFERROR(IF(AB42="","",IFERROR(AB42*($AB$9/100),""))+IF(#REF!="","",IFERROR(#REF!*(#REF!/100),""))+IF(#REF!="","",IFERROR(#REF!*(#REF!/100),"")),"")</f>
        <v/>
      </c>
      <c r="CF42" s="4"/>
      <c r="CG42" s="4"/>
      <c r="CH42" s="4"/>
      <c r="CI42" s="73" t="str">
        <f>IFERROR(IF(#REF!="","",IFERROR(#REF!*(#REF!/100),"")),"")</f>
        <v/>
      </c>
      <c r="CJ42" s="73" t="str">
        <f>IFERROR(IF(#REF!="","",IFERROR(#REF!*(#REF!/100),""))+IF(#REF!="","",IFERROR(#REF!*(#REF!/100),"")),"")</f>
        <v/>
      </c>
      <c r="CK42" s="73" t="str">
        <f>IFERROR(IF(H42="","",IFERROR(H42*($H$9/100),""))+IF(L42="","",IFERROR(L42*($L$9/100),""))+IF(#REF!="","",IFERROR(#REF!*(#REF!/100),""))+IF(#REF!="","",IFERROR(#REF!*(#REF!/100),"")),"")</f>
        <v/>
      </c>
      <c r="CL42" s="4"/>
      <c r="CM42" s="73" t="str">
        <f>IFERROR(IF(#REF!="","",IFERROR(#REF!*(#REF!/100),""))+IF(#REF!="","",IFERROR(#REF!*(#REF!/100),"")),"")</f>
        <v/>
      </c>
      <c r="CN42" s="73" t="str">
        <f>IFERROR(IF(#REF!="","",IFERROR(#REF!*(#REF!/100),"")),"")</f>
        <v/>
      </c>
      <c r="CO42">
        <f t="shared" si="21"/>
        <v>326.26150000000001</v>
      </c>
      <c r="CP42" s="74" t="e">
        <f t="shared" si="22"/>
        <v>#REF!</v>
      </c>
    </row>
    <row r="43" spans="1:94">
      <c r="A43" s="178">
        <v>31</v>
      </c>
      <c r="B43" s="109" t="s">
        <v>245</v>
      </c>
      <c r="C43" s="109" t="s">
        <v>246</v>
      </c>
      <c r="D43" s="66">
        <f>'Penguk.CPMK-Smt1'!D41</f>
        <v>92.25</v>
      </c>
      <c r="E43" s="66">
        <f>'Penguk.CPMK-Smt1'!E41</f>
        <v>92.4</v>
      </c>
      <c r="F43" s="66">
        <f>'Penguk.CPMK-Smt1'!F41</f>
        <v>92.53</v>
      </c>
      <c r="G43" s="66">
        <f>'Penguk.CPMK-Smt1'!G41</f>
        <v>90.5</v>
      </c>
      <c r="H43" s="66">
        <f>'Penguk.CPMK-Smt1'!H43</f>
        <v>87.93</v>
      </c>
      <c r="I43" s="66">
        <f t="shared" si="0"/>
        <v>104.68490000000001</v>
      </c>
      <c r="J43" s="83">
        <f>'Penguk.CPMK-Smt1'!J43</f>
        <v>90</v>
      </c>
      <c r="K43" s="83">
        <f>'Penguk.CPMK-Smt1'!K43</f>
        <v>90.29</v>
      </c>
      <c r="L43" s="83">
        <f>'Penguk.CPMK-Smt1'!L43</f>
        <v>82.05</v>
      </c>
      <c r="M43" s="83">
        <f t="shared" si="1"/>
        <v>87.03</v>
      </c>
      <c r="N43" s="67">
        <f>'Penguk.CPMK-Smt1'!N43</f>
        <v>90</v>
      </c>
      <c r="O43" s="67">
        <f>'Penguk.CPMK-Smt1'!O41</f>
        <v>90.29</v>
      </c>
      <c r="P43" s="67">
        <f>'Penguk.CPMK-Smt1'!P43</f>
        <v>82.05</v>
      </c>
      <c r="Q43" s="67">
        <f t="shared" si="2"/>
        <v>86.203100000000006</v>
      </c>
      <c r="R43" s="68">
        <f>'Penguk.CPMK-Smt1'!R43</f>
        <v>83.33</v>
      </c>
      <c r="S43" s="68">
        <f>'Penguk.CPMK-Smt1'!S41</f>
        <v>94.39</v>
      </c>
      <c r="T43" s="68">
        <f>'Penguk.CPMK-Smt1'!T43</f>
        <v>83.16</v>
      </c>
      <c r="U43" s="68">
        <f t="shared" si="3"/>
        <v>86.896500000000003</v>
      </c>
      <c r="V43" s="69">
        <f>'Penguk.CPMK-Smt1'!V43</f>
        <v>95.9</v>
      </c>
      <c r="W43" s="69">
        <f>'Penguk.CPMK-Smt1'!W43</f>
        <v>88.4</v>
      </c>
      <c r="X43" s="69">
        <f t="shared" si="4"/>
        <v>92.15</v>
      </c>
      <c r="Y43" s="37">
        <f>'Penguk.CPMK-Smt1'!Y43</f>
        <v>86.5</v>
      </c>
      <c r="Z43" s="37">
        <f>'Penguk.CPMK-Smt1'!Z43</f>
        <v>86.5</v>
      </c>
      <c r="AA43" s="37">
        <f t="shared" si="5"/>
        <v>86.5</v>
      </c>
      <c r="AB43" s="70">
        <f>'Penguk.CPMK-Smt1'!AB43</f>
        <v>89.7</v>
      </c>
      <c r="AC43" s="70">
        <f t="shared" si="6"/>
        <v>89.7</v>
      </c>
      <c r="AE43" s="71">
        <f t="shared" si="7"/>
        <v>176.2</v>
      </c>
      <c r="AF43" s="81">
        <f t="shared" si="8"/>
        <v>0.88099999999999989</v>
      </c>
      <c r="AG43" s="71">
        <f t="shared" si="9"/>
        <v>277.78449999999998</v>
      </c>
      <c r="AH43" s="81">
        <f t="shared" si="10"/>
        <v>0.8818555555555555</v>
      </c>
      <c r="AI43" s="71"/>
      <c r="AJ43" s="81" t="str">
        <f t="shared" si="11"/>
        <v/>
      </c>
      <c r="AK43" s="71">
        <f t="shared" si="12"/>
        <v>92.15</v>
      </c>
      <c r="AL43" s="81">
        <f t="shared" si="13"/>
        <v>0.9215000000000001</v>
      </c>
      <c r="AM43" s="72"/>
      <c r="AN43" s="72"/>
      <c r="AO43" s="72"/>
      <c r="AP43" s="72"/>
      <c r="AQ43" s="72"/>
      <c r="AR43" s="72"/>
      <c r="AS43" s="72"/>
      <c r="AT43" s="81" t="str">
        <f t="shared" si="14"/>
        <v/>
      </c>
      <c r="AU43" s="71"/>
      <c r="AV43" s="81" t="str">
        <f t="shared" si="15"/>
        <v/>
      </c>
      <c r="AW43" s="71">
        <f t="shared" si="16"/>
        <v>55.030500000000004</v>
      </c>
      <c r="AX43" s="81">
        <f t="shared" si="17"/>
        <v>0.90213934426229514</v>
      </c>
      <c r="AY43" s="72">
        <f t="shared" si="18"/>
        <v>31.999500000000001</v>
      </c>
      <c r="AZ43" s="81">
        <f t="shared" si="19"/>
        <v>0.82050000000000001</v>
      </c>
      <c r="BA43" s="71" t="str">
        <f>IFERROR((#REF!*(#REF!/100)+#REF!*(#REF!/100)),"")</f>
        <v/>
      </c>
      <c r="BB43" s="81" t="str">
        <f t="shared" si="20"/>
        <v/>
      </c>
      <c r="BE43" s="4">
        <f t="shared" si="23"/>
        <v>15.3</v>
      </c>
      <c r="BF43" s="4">
        <f t="shared" si="24"/>
        <v>14.4</v>
      </c>
      <c r="BG43" s="73">
        <f t="shared" si="25"/>
        <v>43.25</v>
      </c>
      <c r="BH43" s="73">
        <f t="shared" si="26"/>
        <v>19.372499999999999</v>
      </c>
      <c r="BI43" s="73">
        <f t="shared" si="27"/>
        <v>43.25</v>
      </c>
      <c r="BJ43" s="4"/>
      <c r="BK43" s="4"/>
      <c r="BL43" s="4"/>
      <c r="BM43" s="4"/>
      <c r="BN43" s="73">
        <f t="shared" si="28"/>
        <v>47.95</v>
      </c>
      <c r="BO43" s="73">
        <f t="shared" si="29"/>
        <v>14.9994</v>
      </c>
      <c r="BP43" s="73">
        <f t="shared" si="30"/>
        <v>40.204499999999996</v>
      </c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73">
        <f t="shared" si="31"/>
        <v>40.748399999999997</v>
      </c>
      <c r="CD43" s="73">
        <f t="shared" si="32"/>
        <v>44.2</v>
      </c>
      <c r="CE43" s="73" t="str">
        <f>IFERROR(IF(AB43="","",IFERROR(AB43*($AB$9/100),""))+IF(#REF!="","",IFERROR(#REF!*(#REF!/100),""))+IF(#REF!="","",IFERROR(#REF!*(#REF!/100),"")),"")</f>
        <v/>
      </c>
      <c r="CF43" s="4"/>
      <c r="CG43" s="4"/>
      <c r="CH43" s="4"/>
      <c r="CI43" s="73" t="str">
        <f>IFERROR(IF(#REF!="","",IFERROR(#REF!*(#REF!/100),"")),"")</f>
        <v/>
      </c>
      <c r="CJ43" s="73" t="str">
        <f>IFERROR(IF(#REF!="","",IFERROR(#REF!*(#REF!/100),""))+IF(#REF!="","",IFERROR(#REF!*(#REF!/100),"")),"")</f>
        <v/>
      </c>
      <c r="CK43" s="73" t="str">
        <f>IFERROR(IF(H43="","",IFERROR(H43*($H$9/100),""))+IF(L43="","",IFERROR(L43*($L$9/100),""))+IF(#REF!="","",IFERROR(#REF!*(#REF!/100),""))+IF(#REF!="","",IFERROR(#REF!*(#REF!/100),"")),"")</f>
        <v/>
      </c>
      <c r="CL43" s="4"/>
      <c r="CM43" s="73" t="str">
        <f>IFERROR(IF(#REF!="","",IFERROR(#REF!*(#REF!/100),""))+IF(#REF!="","",IFERROR(#REF!*(#REF!/100),"")),"")</f>
        <v/>
      </c>
      <c r="CN43" s="73" t="str">
        <f>IFERROR(IF(#REF!="","",IFERROR(#REF!*(#REF!/100),"")),"")</f>
        <v/>
      </c>
      <c r="CO43">
        <f t="shared" si="21"/>
        <v>323.67479999999995</v>
      </c>
      <c r="CP43" s="74" t="e">
        <f t="shared" si="22"/>
        <v>#REF!</v>
      </c>
    </row>
    <row r="44" spans="1:94">
      <c r="A44" s="178">
        <v>32</v>
      </c>
      <c r="B44" s="109" t="s">
        <v>247</v>
      </c>
      <c r="C44" s="109" t="s">
        <v>248</v>
      </c>
      <c r="D44" s="66">
        <f>'Penguk.CPMK-Smt1'!D42</f>
        <v>89.63</v>
      </c>
      <c r="E44" s="66">
        <f>'Penguk.CPMK-Smt1'!E42</f>
        <v>89.8</v>
      </c>
      <c r="F44" s="66">
        <f>'Penguk.CPMK-Smt1'!F42</f>
        <v>89.6</v>
      </c>
      <c r="G44" s="66">
        <f>'Penguk.CPMK-Smt1'!G42</f>
        <v>90.05</v>
      </c>
      <c r="H44" s="66">
        <f>'Penguk.CPMK-Smt1'!H44</f>
        <v>79.44</v>
      </c>
      <c r="I44" s="66">
        <f t="shared" si="0"/>
        <v>100.6583</v>
      </c>
      <c r="J44" s="83">
        <f>'Penguk.CPMK-Smt1'!J44</f>
        <v>90</v>
      </c>
      <c r="K44" s="83">
        <f>'Penguk.CPMK-Smt1'!K44</f>
        <v>90.29</v>
      </c>
      <c r="L44" s="83">
        <f>'Penguk.CPMK-Smt1'!L44</f>
        <v>82.69</v>
      </c>
      <c r="M44" s="83">
        <f t="shared" si="1"/>
        <v>87.279600000000002</v>
      </c>
      <c r="N44" s="67">
        <f>'Penguk.CPMK-Smt1'!N44</f>
        <v>90</v>
      </c>
      <c r="O44" s="67">
        <f>'Penguk.CPMK-Smt1'!O42</f>
        <v>90.29</v>
      </c>
      <c r="P44" s="67">
        <f>'Penguk.CPMK-Smt1'!P44</f>
        <v>82.69</v>
      </c>
      <c r="Q44" s="67">
        <f t="shared" si="2"/>
        <v>86.516700000000014</v>
      </c>
      <c r="R44" s="68">
        <f>'Penguk.CPMK-Smt1'!R44</f>
        <v>83.89</v>
      </c>
      <c r="S44" s="68">
        <f>'Penguk.CPMK-Smt1'!S42</f>
        <v>86.36</v>
      </c>
      <c r="T44" s="68">
        <f>'Penguk.CPMK-Smt1'!T44</f>
        <v>87.24</v>
      </c>
      <c r="U44" s="68">
        <f t="shared" si="3"/>
        <v>86.346599999999995</v>
      </c>
      <c r="V44" s="69">
        <f>'Penguk.CPMK-Smt1'!V44</f>
        <v>84.9</v>
      </c>
      <c r="W44" s="69">
        <f>'Penguk.CPMK-Smt1'!W44</f>
        <v>65.400000000000006</v>
      </c>
      <c r="X44" s="69">
        <f t="shared" si="4"/>
        <v>75.150000000000006</v>
      </c>
      <c r="Y44" s="37">
        <f>'Penguk.CPMK-Smt1'!Y44</f>
        <v>86.5</v>
      </c>
      <c r="Z44" s="37">
        <f>'Penguk.CPMK-Smt1'!Z44</f>
        <v>86.5</v>
      </c>
      <c r="AA44" s="37">
        <f t="shared" si="5"/>
        <v>86.5</v>
      </c>
      <c r="AB44" s="70">
        <f>'Penguk.CPMK-Smt1'!AB44</f>
        <v>89.7</v>
      </c>
      <c r="AC44" s="70">
        <f t="shared" si="6"/>
        <v>89.7</v>
      </c>
      <c r="AE44" s="71">
        <f t="shared" si="7"/>
        <v>176.2</v>
      </c>
      <c r="AF44" s="81">
        <f t="shared" si="8"/>
        <v>0.88099999999999989</v>
      </c>
      <c r="AG44" s="71">
        <f t="shared" si="9"/>
        <v>273.52159999999998</v>
      </c>
      <c r="AH44" s="81">
        <f t="shared" si="10"/>
        <v>0.86832253968253958</v>
      </c>
      <c r="AI44" s="71"/>
      <c r="AJ44" s="81" t="str">
        <f t="shared" si="11"/>
        <v/>
      </c>
      <c r="AK44" s="71">
        <f t="shared" si="12"/>
        <v>75.150000000000006</v>
      </c>
      <c r="AL44" s="81">
        <f t="shared" si="13"/>
        <v>0.75150000000000006</v>
      </c>
      <c r="AM44" s="72"/>
      <c r="AN44" s="72"/>
      <c r="AO44" s="72"/>
      <c r="AP44" s="72"/>
      <c r="AQ44" s="72"/>
      <c r="AR44" s="72"/>
      <c r="AS44" s="72"/>
      <c r="AT44" s="81" t="str">
        <f t="shared" si="14"/>
        <v/>
      </c>
      <c r="AU44" s="71"/>
      <c r="AV44" s="81" t="str">
        <f t="shared" si="15"/>
        <v/>
      </c>
      <c r="AW44" s="71">
        <f t="shared" si="16"/>
        <v>55.030500000000004</v>
      </c>
      <c r="AX44" s="81">
        <f t="shared" si="17"/>
        <v>0.90213934426229514</v>
      </c>
      <c r="AY44" s="72">
        <f t="shared" si="18"/>
        <v>32.249099999999999</v>
      </c>
      <c r="AZ44" s="81">
        <f t="shared" si="19"/>
        <v>0.82689999999999997</v>
      </c>
      <c r="BA44" s="71" t="str">
        <f>IFERROR((#REF!*(#REF!/100)+#REF!*(#REF!/100)),"")</f>
        <v/>
      </c>
      <c r="BB44" s="81" t="str">
        <f t="shared" si="20"/>
        <v/>
      </c>
      <c r="BE44" s="4">
        <f t="shared" si="23"/>
        <v>15.3</v>
      </c>
      <c r="BF44" s="4">
        <f t="shared" si="24"/>
        <v>14.4</v>
      </c>
      <c r="BG44" s="73">
        <f t="shared" si="25"/>
        <v>43.25</v>
      </c>
      <c r="BH44" s="73">
        <f t="shared" si="26"/>
        <v>18.822299999999998</v>
      </c>
      <c r="BI44" s="73">
        <f t="shared" si="27"/>
        <v>43.25</v>
      </c>
      <c r="BJ44" s="4"/>
      <c r="BK44" s="4"/>
      <c r="BL44" s="4"/>
      <c r="BM44" s="4"/>
      <c r="BN44" s="73">
        <f t="shared" si="28"/>
        <v>42.45</v>
      </c>
      <c r="BO44" s="73">
        <f t="shared" si="29"/>
        <v>15.100199999999999</v>
      </c>
      <c r="BP44" s="73">
        <f t="shared" si="30"/>
        <v>40.518099999999997</v>
      </c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73">
        <f t="shared" si="31"/>
        <v>42.747599999999998</v>
      </c>
      <c r="CD44" s="73">
        <f t="shared" si="32"/>
        <v>32.700000000000003</v>
      </c>
      <c r="CE44" s="73" t="str">
        <f>IFERROR(IF(AB44="","",IFERROR(AB44*($AB$9/100),""))+IF(#REF!="","",IFERROR(#REF!*(#REF!/100),""))+IF(#REF!="","",IFERROR(#REF!*(#REF!/100),"")),"")</f>
        <v/>
      </c>
      <c r="CF44" s="4"/>
      <c r="CG44" s="4"/>
      <c r="CH44" s="4"/>
      <c r="CI44" s="73" t="str">
        <f>IFERROR(IF(#REF!="","",IFERROR(#REF!*(#REF!/100),"")),"")</f>
        <v/>
      </c>
      <c r="CJ44" s="73" t="str">
        <f>IFERROR(IF(#REF!="","",IFERROR(#REF!*(#REF!/100),""))+IF(#REF!="","",IFERROR(#REF!*(#REF!/100),"")),"")</f>
        <v/>
      </c>
      <c r="CK44" s="73" t="str">
        <f>IFERROR(IF(H44="","",IFERROR(H44*($H$9/100),""))+IF(L44="","",IFERROR(L44*($L$9/100),""))+IF(#REF!="","",IFERROR(#REF!*(#REF!/100),""))+IF(#REF!="","",IFERROR(#REF!*(#REF!/100),"")),"")</f>
        <v/>
      </c>
      <c r="CL44" s="4"/>
      <c r="CM44" s="73" t="str">
        <f>IFERROR(IF(#REF!="","",IFERROR(#REF!*(#REF!/100),""))+IF(#REF!="","",IFERROR(#REF!*(#REF!/100),"")),"")</f>
        <v/>
      </c>
      <c r="CN44" s="73" t="str">
        <f>IFERROR(IF(#REF!="","",IFERROR(#REF!*(#REF!/100),"")),"")</f>
        <v/>
      </c>
      <c r="CO44">
        <f t="shared" si="21"/>
        <v>308.53820000000002</v>
      </c>
      <c r="CP44" s="74" t="e">
        <f t="shared" si="22"/>
        <v>#REF!</v>
      </c>
    </row>
    <row r="45" spans="1:94">
      <c r="A45" s="178">
        <v>33</v>
      </c>
      <c r="B45" s="109" t="s">
        <v>249</v>
      </c>
      <c r="C45" s="109" t="s">
        <v>250</v>
      </c>
      <c r="D45" s="66"/>
      <c r="E45" s="66"/>
      <c r="F45" s="66"/>
      <c r="G45" s="66"/>
      <c r="H45" s="66"/>
      <c r="I45" s="66"/>
      <c r="J45" s="83"/>
      <c r="K45" s="83"/>
      <c r="L45" s="83"/>
      <c r="M45" s="83"/>
      <c r="N45" s="67"/>
      <c r="O45" s="67"/>
      <c r="P45" s="67"/>
      <c r="Q45" s="67"/>
      <c r="R45" s="68" t="str">
        <f>'Penguk.CPMK-Smt1'!R45</f>
        <v/>
      </c>
      <c r="S45" s="68"/>
      <c r="T45" s="68"/>
      <c r="U45" s="68" t="str">
        <f t="shared" ref="U45:U46" si="35">IFERROR((R45*($R$9/100))+(T45*($T$9/100)),"")</f>
        <v/>
      </c>
      <c r="V45" s="69"/>
      <c r="W45" s="69"/>
      <c r="X45" s="69"/>
      <c r="Y45" s="37" t="str">
        <f>'Penguk.CPMK-Smt1'!Y45</f>
        <v/>
      </c>
      <c r="Z45" s="37" t="str">
        <f>'Penguk.CPMK-Smt1'!Z45</f>
        <v/>
      </c>
      <c r="AA45" s="37" t="str">
        <f t="shared" si="5"/>
        <v/>
      </c>
      <c r="AB45" s="70" t="str">
        <f>'Penguk.CPMK-Smt1'!AB45</f>
        <v/>
      </c>
      <c r="AC45" s="70" t="str">
        <f>IFERROR((AB45*($AB$9/100))+(#REF!*(#REF!/100)),"")</f>
        <v/>
      </c>
      <c r="AE45" s="71" t="str">
        <f>IFERROR((Y45*($Y$9/100)+Z45*($Z$9/100)+AB45*($AB$9/100)+#REF!*(#REF!/100)),"")</f>
        <v/>
      </c>
      <c r="AF45" s="81" t="str">
        <f t="shared" si="8"/>
        <v/>
      </c>
      <c r="AG45" s="71"/>
      <c r="AH45" s="81"/>
      <c r="AI45" s="71"/>
      <c r="AJ45" s="81" t="str">
        <f t="shared" si="11"/>
        <v/>
      </c>
      <c r="AK45" s="71"/>
      <c r="AL45" s="81" t="str">
        <f t="shared" si="13"/>
        <v/>
      </c>
      <c r="AM45" s="72"/>
      <c r="AN45" s="72"/>
      <c r="AO45" s="72"/>
      <c r="AP45" s="72"/>
      <c r="AQ45" s="72"/>
      <c r="AR45" s="72"/>
      <c r="AS45" s="72"/>
      <c r="AT45" s="81" t="str">
        <f t="shared" si="14"/>
        <v/>
      </c>
      <c r="AU45" s="71"/>
      <c r="AV45" s="81" t="str">
        <f t="shared" si="15"/>
        <v/>
      </c>
      <c r="AW45" s="71" t="str">
        <f>IFERROR((J45*($J$9/100)+#REF!*(#REF!/100)+#REF!*(#REF!/100)+K45*($K$9/100)),"")</f>
        <v/>
      </c>
      <c r="AX45" s="81" t="str">
        <f t="shared" si="17"/>
        <v/>
      </c>
      <c r="AY45" s="72"/>
      <c r="AZ45" s="81"/>
      <c r="BA45" s="71" t="str">
        <f>IFERROR((#REF!*(#REF!/100)+#REF!*(#REF!/100)),"")</f>
        <v/>
      </c>
      <c r="BB45" s="81" t="str">
        <f t="shared" si="20"/>
        <v/>
      </c>
      <c r="BE45" s="4" t="str">
        <f t="shared" si="23"/>
        <v/>
      </c>
      <c r="BF45" s="4" t="str">
        <f t="shared" si="24"/>
        <v/>
      </c>
      <c r="BG45" s="73" t="str">
        <f t="shared" si="25"/>
        <v/>
      </c>
      <c r="BH45" s="73" t="str">
        <f t="shared" si="26"/>
        <v/>
      </c>
      <c r="BI45" s="73" t="str">
        <f t="shared" si="27"/>
        <v/>
      </c>
      <c r="BJ45" s="4"/>
      <c r="BK45" s="4"/>
      <c r="BL45" s="4"/>
      <c r="BM45" s="4"/>
      <c r="BN45" s="73" t="str">
        <f t="shared" si="28"/>
        <v/>
      </c>
      <c r="BO45" s="73" t="str">
        <f t="shared" si="29"/>
        <v/>
      </c>
      <c r="BP45" s="73" t="str">
        <f t="shared" si="30"/>
        <v/>
      </c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73" t="str">
        <f t="shared" si="31"/>
        <v/>
      </c>
      <c r="CD45" s="73" t="str">
        <f t="shared" si="32"/>
        <v/>
      </c>
      <c r="CE45" s="73" t="str">
        <f>IFERROR(IF(AB45="","",IFERROR(AB45*($AB$9/100),""))+IF(#REF!="","",IFERROR(#REF!*(#REF!/100),""))+IF(#REF!="","",IFERROR(#REF!*(#REF!/100),"")),"")</f>
        <v/>
      </c>
      <c r="CF45" s="4"/>
      <c r="CG45" s="4"/>
      <c r="CH45" s="4"/>
      <c r="CI45" s="73" t="str">
        <f>IFERROR(IF(#REF!="","",IFERROR(#REF!*(#REF!/100),"")),"")</f>
        <v/>
      </c>
      <c r="CJ45" s="73" t="str">
        <f>IFERROR(IF(#REF!="","",IFERROR(#REF!*(#REF!/100),""))+IF(#REF!="","",IFERROR(#REF!*(#REF!/100),"")),"")</f>
        <v/>
      </c>
      <c r="CK45" s="73" t="str">
        <f>IFERROR(IF(H45="","",IFERROR(H45*($H$9/100),""))+IF(L45="","",IFERROR(L45*($L$9/100),""))+IF(#REF!="","",IFERROR(#REF!*(#REF!/100),""))+IF(#REF!="","",IFERROR(#REF!*(#REF!/100),"")),"")</f>
        <v/>
      </c>
      <c r="CL45" s="4"/>
      <c r="CM45" s="73" t="str">
        <f>IFERROR(IF(#REF!="","",IFERROR(#REF!*(#REF!/100),""))+IF(#REF!="","",IFERROR(#REF!*(#REF!/100),"")),"")</f>
        <v/>
      </c>
      <c r="CN45" s="73" t="str">
        <f>IFERROR(IF(#REF!="","",IFERROR(#REF!*(#REF!/100),"")),"")</f>
        <v/>
      </c>
      <c r="CO45">
        <f t="shared" si="21"/>
        <v>0</v>
      </c>
      <c r="CP45" s="74" t="e">
        <f t="shared" si="22"/>
        <v>#REF!</v>
      </c>
    </row>
    <row r="46" spans="1:94">
      <c r="A46" s="178">
        <v>34</v>
      </c>
      <c r="B46" s="109" t="s">
        <v>251</v>
      </c>
      <c r="C46" s="109" t="s">
        <v>252</v>
      </c>
      <c r="D46" s="66"/>
      <c r="E46" s="66"/>
      <c r="F46" s="66"/>
      <c r="G46" s="66"/>
      <c r="H46" s="66"/>
      <c r="I46" s="66"/>
      <c r="J46" s="83"/>
      <c r="K46" s="83"/>
      <c r="L46" s="83"/>
      <c r="M46" s="83"/>
      <c r="N46" s="67"/>
      <c r="O46" s="67"/>
      <c r="P46" s="67"/>
      <c r="Q46" s="67"/>
      <c r="R46" s="68" t="str">
        <f>'Penguk.CPMK-Smt1'!R46</f>
        <v/>
      </c>
      <c r="S46" s="68"/>
      <c r="T46" s="68"/>
      <c r="U46" s="68" t="str">
        <f t="shared" si="35"/>
        <v/>
      </c>
      <c r="V46" s="69"/>
      <c r="W46" s="69"/>
      <c r="X46" s="69"/>
      <c r="Y46" s="37" t="str">
        <f>'Penguk.CPMK-Smt1'!Y46</f>
        <v/>
      </c>
      <c r="Z46" s="37" t="str">
        <f>'Penguk.CPMK-Smt1'!Z46</f>
        <v/>
      </c>
      <c r="AA46" s="37" t="str">
        <f t="shared" si="5"/>
        <v/>
      </c>
      <c r="AB46" s="70" t="str">
        <f>'Penguk.CPMK-Smt1'!AB46</f>
        <v/>
      </c>
      <c r="AC46" s="70" t="str">
        <f>IFERROR((AB46*($AB$9/100))+(#REF!*(#REF!/100)),"")</f>
        <v/>
      </c>
      <c r="AE46" s="71" t="str">
        <f>IFERROR((Y46*($Y$9/100)+Z46*($Z$9/100)+AB46*($AB$9/100)+#REF!*(#REF!/100)),"")</f>
        <v/>
      </c>
      <c r="AF46" s="81" t="str">
        <f t="shared" si="8"/>
        <v/>
      </c>
      <c r="AG46" s="71"/>
      <c r="AH46" s="81"/>
      <c r="AI46" s="71"/>
      <c r="AJ46" s="81" t="str">
        <f t="shared" si="11"/>
        <v/>
      </c>
      <c r="AK46" s="71"/>
      <c r="AL46" s="81" t="str">
        <f t="shared" si="13"/>
        <v/>
      </c>
      <c r="AM46" s="72"/>
      <c r="AN46" s="72"/>
      <c r="AO46" s="72"/>
      <c r="AP46" s="72"/>
      <c r="AQ46" s="72"/>
      <c r="AR46" s="72"/>
      <c r="AS46" s="72"/>
      <c r="AT46" s="81" t="str">
        <f t="shared" si="14"/>
        <v/>
      </c>
      <c r="AU46" s="71"/>
      <c r="AV46" s="81" t="str">
        <f t="shared" si="15"/>
        <v/>
      </c>
      <c r="AW46" s="71" t="str">
        <f>IFERROR((J46*($J$9/100)+#REF!*(#REF!/100)+#REF!*(#REF!/100)+K46*($K$9/100)),"")</f>
        <v/>
      </c>
      <c r="AX46" s="81" t="str">
        <f t="shared" si="17"/>
        <v/>
      </c>
      <c r="AY46" s="72"/>
      <c r="AZ46" s="81"/>
      <c r="BA46" s="71" t="str">
        <f>IFERROR((#REF!*(#REF!/100)+#REF!*(#REF!/100)),"")</f>
        <v/>
      </c>
      <c r="BB46" s="81" t="str">
        <f t="shared" si="20"/>
        <v/>
      </c>
      <c r="BE46" s="4" t="str">
        <f t="shared" si="23"/>
        <v/>
      </c>
      <c r="BF46" s="4" t="str">
        <f t="shared" si="24"/>
        <v/>
      </c>
      <c r="BG46" s="73" t="str">
        <f t="shared" si="25"/>
        <v/>
      </c>
      <c r="BH46" s="73" t="str">
        <f t="shared" si="26"/>
        <v/>
      </c>
      <c r="BI46" s="73" t="str">
        <f t="shared" si="27"/>
        <v/>
      </c>
      <c r="BJ46" s="4"/>
      <c r="BK46" s="4"/>
      <c r="BL46" s="4"/>
      <c r="BM46" s="4"/>
      <c r="BN46" s="73" t="str">
        <f t="shared" si="28"/>
        <v/>
      </c>
      <c r="BO46" s="73" t="str">
        <f t="shared" si="29"/>
        <v/>
      </c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</row>
    <row r="47" spans="1:94" ht="14.5" thickBot="1">
      <c r="AS47" s="72"/>
    </row>
    <row r="48" spans="1:94" ht="14.5" hidden="1" thickBot="1">
      <c r="D48" s="35" t="str">
        <f>D8</f>
        <v>CPMK021</v>
      </c>
      <c r="H48" s="35" t="str">
        <f>H8</f>
        <v>CPMK025</v>
      </c>
      <c r="J48" s="35" t="str">
        <f>J8</f>
        <v>CPMK101</v>
      </c>
      <c r="L48" s="35" t="str">
        <f>L8</f>
        <v>CPMK111</v>
      </c>
      <c r="N48" s="35" t="str">
        <f>N8</f>
        <v>CPMK21</v>
      </c>
      <c r="P48" s="35" t="str">
        <f>P8</f>
        <v>CPMK25</v>
      </c>
      <c r="R48" s="35" t="str">
        <f>R8</f>
        <v>CPMK23</v>
      </c>
      <c r="T48" s="35" t="str">
        <f>T8</f>
        <v>CPMK25</v>
      </c>
      <c r="V48" s="35" t="str">
        <f>V8</f>
        <v>CPMK41</v>
      </c>
      <c r="W48" s="35" t="str">
        <f>W8</f>
        <v>CPMK42</v>
      </c>
      <c r="Y48" s="35" t="str">
        <f>Y8</f>
        <v>CPMK11</v>
      </c>
      <c r="Z48" s="35" t="str">
        <f>Z8</f>
        <v>CPMK12</v>
      </c>
      <c r="AB48" s="35" t="str">
        <f>AB8</f>
        <v>CPMK12</v>
      </c>
      <c r="AS48" s="72" t="str">
        <f t="shared" ref="AS48:AS58" si="36">IFERROR((N48*($N$9/100)+P48*($P$9/100)),"")</f>
        <v/>
      </c>
    </row>
    <row r="49" spans="3:94" ht="14.5" hidden="1" thickBot="1">
      <c r="C49" s="40" t="s">
        <v>170</v>
      </c>
      <c r="D49" s="41">
        <f t="shared" ref="D49:AC49" si="37">COUNTIF(D11:D42,$C$49)</f>
        <v>9</v>
      </c>
      <c r="E49" s="41"/>
      <c r="F49" s="41"/>
      <c r="G49" s="41"/>
      <c r="H49" s="41">
        <f t="shared" si="37"/>
        <v>18</v>
      </c>
      <c r="I49" s="41">
        <f t="shared" si="37"/>
        <v>7</v>
      </c>
      <c r="J49" s="41">
        <f t="shared" si="37"/>
        <v>1</v>
      </c>
      <c r="K49" s="41"/>
      <c r="L49" s="41">
        <f t="shared" si="37"/>
        <v>4</v>
      </c>
      <c r="M49" s="41">
        <f t="shared" si="37"/>
        <v>2</v>
      </c>
      <c r="N49" s="41">
        <f t="shared" si="37"/>
        <v>2</v>
      </c>
      <c r="O49" s="41"/>
      <c r="P49" s="41">
        <f t="shared" si="37"/>
        <v>4</v>
      </c>
      <c r="Q49" s="41">
        <f t="shared" si="37"/>
        <v>3</v>
      </c>
      <c r="R49" s="41">
        <f t="shared" si="37"/>
        <v>1</v>
      </c>
      <c r="S49" s="41"/>
      <c r="T49" s="41">
        <f t="shared" si="37"/>
        <v>6</v>
      </c>
      <c r="U49" s="41">
        <f t="shared" si="37"/>
        <v>2</v>
      </c>
      <c r="V49" s="41">
        <f t="shared" si="37"/>
        <v>2</v>
      </c>
      <c r="W49" s="41">
        <f t="shared" si="37"/>
        <v>5</v>
      </c>
      <c r="X49" s="41">
        <f t="shared" si="37"/>
        <v>3</v>
      </c>
      <c r="Y49" s="41">
        <f t="shared" si="37"/>
        <v>2</v>
      </c>
      <c r="Z49" s="41">
        <f t="shared" si="37"/>
        <v>2</v>
      </c>
      <c r="AA49" s="41">
        <f t="shared" si="37"/>
        <v>2</v>
      </c>
      <c r="AB49" s="41">
        <f t="shared" si="37"/>
        <v>1</v>
      </c>
      <c r="AC49" s="41">
        <f t="shared" si="37"/>
        <v>1</v>
      </c>
      <c r="AS49" s="72">
        <f t="shared" si="36"/>
        <v>2.2999999999999998</v>
      </c>
    </row>
    <row r="50" spans="3:94" ht="14.5" hidden="1" thickBot="1">
      <c r="C50" s="42" t="s">
        <v>98</v>
      </c>
      <c r="D50" s="43">
        <f t="shared" ref="D50:AC50" si="38">COUNTIF(D11:D42,$C$50)-D49</f>
        <v>14</v>
      </c>
      <c r="E50" s="43"/>
      <c r="F50" s="43"/>
      <c r="G50" s="43"/>
      <c r="H50" s="43">
        <f t="shared" si="38"/>
        <v>12</v>
      </c>
      <c r="I50" s="43">
        <f t="shared" si="38"/>
        <v>16</v>
      </c>
      <c r="J50" s="43">
        <f t="shared" si="38"/>
        <v>25</v>
      </c>
      <c r="K50" s="43"/>
      <c r="L50" s="43">
        <f t="shared" si="38"/>
        <v>25</v>
      </c>
      <c r="M50" s="43">
        <f t="shared" si="38"/>
        <v>25</v>
      </c>
      <c r="N50" s="43">
        <f t="shared" si="38"/>
        <v>21</v>
      </c>
      <c r="O50" s="43"/>
      <c r="P50" s="43">
        <f t="shared" si="38"/>
        <v>26</v>
      </c>
      <c r="Q50" s="43">
        <f t="shared" si="38"/>
        <v>24</v>
      </c>
      <c r="R50" s="43">
        <f t="shared" si="38"/>
        <v>3</v>
      </c>
      <c r="S50" s="43"/>
      <c r="T50" s="43">
        <f t="shared" si="38"/>
        <v>12</v>
      </c>
      <c r="U50" s="43">
        <f t="shared" si="38"/>
        <v>11</v>
      </c>
      <c r="V50" s="43">
        <f t="shared" si="38"/>
        <v>27</v>
      </c>
      <c r="W50" s="43">
        <f t="shared" si="38"/>
        <v>23</v>
      </c>
      <c r="X50" s="43">
        <f t="shared" si="38"/>
        <v>26</v>
      </c>
      <c r="Y50" s="43">
        <f t="shared" si="38"/>
        <v>19</v>
      </c>
      <c r="Z50" s="43">
        <f t="shared" si="38"/>
        <v>19</v>
      </c>
      <c r="AA50" s="43">
        <f t="shared" si="38"/>
        <v>19</v>
      </c>
      <c r="AB50" s="43">
        <f t="shared" si="38"/>
        <v>19</v>
      </c>
      <c r="AC50" s="43">
        <f t="shared" si="38"/>
        <v>19</v>
      </c>
      <c r="AS50" s="72">
        <f t="shared" si="36"/>
        <v>16.310000000000002</v>
      </c>
    </row>
    <row r="51" spans="3:94" ht="14.5" hidden="1" thickBot="1">
      <c r="C51" s="45" t="s">
        <v>99</v>
      </c>
      <c r="D51" s="46">
        <f t="shared" ref="D51:AC51" si="39">COUNTIF(D11:D42,$C$51)</f>
        <v>9</v>
      </c>
      <c r="E51" s="46"/>
      <c r="F51" s="46"/>
      <c r="G51" s="46"/>
      <c r="H51" s="46">
        <f t="shared" si="39"/>
        <v>2</v>
      </c>
      <c r="I51" s="46">
        <f t="shared" si="39"/>
        <v>9</v>
      </c>
      <c r="J51" s="46">
        <f t="shared" si="39"/>
        <v>6</v>
      </c>
      <c r="K51" s="46"/>
      <c r="L51" s="46">
        <f t="shared" si="39"/>
        <v>3</v>
      </c>
      <c r="M51" s="46">
        <f t="shared" si="39"/>
        <v>5</v>
      </c>
      <c r="N51" s="46">
        <f t="shared" si="39"/>
        <v>9</v>
      </c>
      <c r="O51" s="46"/>
      <c r="P51" s="46">
        <f t="shared" si="39"/>
        <v>2</v>
      </c>
      <c r="Q51" s="46">
        <f t="shared" si="39"/>
        <v>5</v>
      </c>
      <c r="R51" s="46">
        <f t="shared" si="39"/>
        <v>28</v>
      </c>
      <c r="S51" s="46"/>
      <c r="T51" s="46">
        <f t="shared" si="39"/>
        <v>14</v>
      </c>
      <c r="U51" s="46">
        <f t="shared" si="39"/>
        <v>19</v>
      </c>
      <c r="V51" s="46">
        <f t="shared" si="39"/>
        <v>3</v>
      </c>
      <c r="W51" s="46">
        <f t="shared" si="39"/>
        <v>4</v>
      </c>
      <c r="X51" s="46">
        <f t="shared" si="39"/>
        <v>3</v>
      </c>
      <c r="Y51" s="46">
        <f t="shared" si="39"/>
        <v>11</v>
      </c>
      <c r="Z51" s="46">
        <f t="shared" si="39"/>
        <v>11</v>
      </c>
      <c r="AA51" s="46">
        <f t="shared" si="39"/>
        <v>11</v>
      </c>
      <c r="AB51" s="46">
        <f t="shared" si="39"/>
        <v>12</v>
      </c>
      <c r="AC51" s="46">
        <f t="shared" si="39"/>
        <v>12</v>
      </c>
      <c r="AS51" s="72">
        <f t="shared" si="36"/>
        <v>2.5099999999999998</v>
      </c>
    </row>
    <row r="52" spans="3:94" ht="14.5" hidden="1" thickBot="1">
      <c r="C52" s="47" t="s">
        <v>77</v>
      </c>
      <c r="D52" s="48">
        <f t="shared" ref="D52:AC52" si="40">SUM(D49:D51)</f>
        <v>32</v>
      </c>
      <c r="E52" s="48"/>
      <c r="F52" s="48"/>
      <c r="G52" s="48"/>
      <c r="H52" s="48">
        <f t="shared" si="40"/>
        <v>32</v>
      </c>
      <c r="I52" s="48">
        <f t="shared" si="40"/>
        <v>32</v>
      </c>
      <c r="J52" s="48">
        <f t="shared" si="40"/>
        <v>32</v>
      </c>
      <c r="K52" s="48"/>
      <c r="L52" s="48">
        <f t="shared" si="40"/>
        <v>32</v>
      </c>
      <c r="M52" s="48">
        <f t="shared" si="40"/>
        <v>32</v>
      </c>
      <c r="N52" s="48">
        <f t="shared" si="40"/>
        <v>32</v>
      </c>
      <c r="O52" s="48"/>
      <c r="P52" s="48">
        <f t="shared" si="40"/>
        <v>32</v>
      </c>
      <c r="Q52" s="48">
        <f t="shared" si="40"/>
        <v>32</v>
      </c>
      <c r="R52" s="48">
        <f t="shared" si="40"/>
        <v>32</v>
      </c>
      <c r="S52" s="48"/>
      <c r="T52" s="48">
        <f t="shared" si="40"/>
        <v>32</v>
      </c>
      <c r="U52" s="48">
        <f t="shared" si="40"/>
        <v>32</v>
      </c>
      <c r="V52" s="48">
        <f t="shared" si="40"/>
        <v>32</v>
      </c>
      <c r="W52" s="48">
        <f t="shared" si="40"/>
        <v>32</v>
      </c>
      <c r="X52" s="48">
        <f t="shared" si="40"/>
        <v>32</v>
      </c>
      <c r="Y52" s="48">
        <f t="shared" si="40"/>
        <v>32</v>
      </c>
      <c r="Z52" s="48">
        <f t="shared" si="40"/>
        <v>32</v>
      </c>
      <c r="AA52" s="48">
        <f t="shared" si="40"/>
        <v>32</v>
      </c>
      <c r="AB52" s="48">
        <f t="shared" si="40"/>
        <v>32</v>
      </c>
      <c r="AC52" s="48">
        <f t="shared" si="40"/>
        <v>32</v>
      </c>
      <c r="AS52" s="72">
        <f t="shared" si="36"/>
        <v>21.12</v>
      </c>
    </row>
    <row r="53" spans="3:94" ht="14.5" hidden="1" thickBot="1">
      <c r="C53" s="49"/>
      <c r="D53" s="49"/>
      <c r="E53" s="49"/>
      <c r="F53" s="49"/>
      <c r="G53" s="49"/>
      <c r="H53" s="49"/>
      <c r="I53" s="49"/>
      <c r="AS53" s="72">
        <f t="shared" si="36"/>
        <v>0</v>
      </c>
    </row>
    <row r="54" spans="3:94" ht="14.5" hidden="1" thickBot="1">
      <c r="C54" s="50" t="s">
        <v>100</v>
      </c>
      <c r="D54" s="51">
        <f>(D50+D51)/D52</f>
        <v>0.71875</v>
      </c>
      <c r="E54" s="51"/>
      <c r="F54" s="51"/>
      <c r="G54" s="51"/>
      <c r="H54" s="51">
        <f t="shared" ref="H54:AC54" si="41">(H50+H51)/H52</f>
        <v>0.4375</v>
      </c>
      <c r="I54" s="51">
        <f t="shared" si="41"/>
        <v>0.78125</v>
      </c>
      <c r="J54" s="51">
        <f t="shared" si="41"/>
        <v>0.96875</v>
      </c>
      <c r="K54" s="51"/>
      <c r="L54" s="51">
        <f t="shared" si="41"/>
        <v>0.875</v>
      </c>
      <c r="M54" s="51">
        <f t="shared" si="41"/>
        <v>0.9375</v>
      </c>
      <c r="N54" s="51">
        <f t="shared" si="41"/>
        <v>0.9375</v>
      </c>
      <c r="O54" s="51"/>
      <c r="P54" s="51">
        <f t="shared" si="41"/>
        <v>0.875</v>
      </c>
      <c r="Q54" s="51">
        <f t="shared" si="41"/>
        <v>0.90625</v>
      </c>
      <c r="R54" s="51">
        <f t="shared" si="41"/>
        <v>0.96875</v>
      </c>
      <c r="S54" s="51"/>
      <c r="T54" s="51">
        <f t="shared" si="41"/>
        <v>0.8125</v>
      </c>
      <c r="U54" s="51">
        <f t="shared" si="41"/>
        <v>0.9375</v>
      </c>
      <c r="V54" s="51">
        <f t="shared" si="41"/>
        <v>0.9375</v>
      </c>
      <c r="W54" s="51">
        <f t="shared" si="41"/>
        <v>0.84375</v>
      </c>
      <c r="X54" s="51">
        <f t="shared" si="41"/>
        <v>0.90625</v>
      </c>
      <c r="Y54" s="51">
        <f t="shared" si="41"/>
        <v>0.9375</v>
      </c>
      <c r="Z54" s="51">
        <f t="shared" si="41"/>
        <v>0.9375</v>
      </c>
      <c r="AA54" s="51">
        <f t="shared" si="41"/>
        <v>0.9375</v>
      </c>
      <c r="AB54" s="51">
        <f t="shared" si="41"/>
        <v>0.96875</v>
      </c>
      <c r="AC54" s="51">
        <f t="shared" si="41"/>
        <v>0.96875</v>
      </c>
      <c r="AS54" s="72">
        <f t="shared" si="36"/>
        <v>0.58812500000000001</v>
      </c>
    </row>
    <row r="55" spans="3:94" ht="14.5" hidden="1" thickBot="1">
      <c r="C55" s="49"/>
      <c r="D55" s="49"/>
      <c r="E55" s="49"/>
      <c r="F55" s="49"/>
      <c r="G55" s="49"/>
      <c r="H55" s="49"/>
      <c r="I55" s="49"/>
      <c r="AS55" s="72">
        <f t="shared" si="36"/>
        <v>0</v>
      </c>
    </row>
    <row r="56" spans="3:94" ht="14.5" hidden="1" thickBot="1">
      <c r="C56" s="50" t="s">
        <v>101</v>
      </c>
      <c r="D56" s="20">
        <f t="shared" ref="D56:AC56" si="42">MIN(D11:D42)</f>
        <v>12.5</v>
      </c>
      <c r="E56" s="20"/>
      <c r="F56" s="20"/>
      <c r="G56" s="20"/>
      <c r="H56" s="20">
        <f t="shared" si="42"/>
        <v>2.0699999999999998</v>
      </c>
      <c r="I56" s="20">
        <f t="shared" si="42"/>
        <v>12.513</v>
      </c>
      <c r="J56" s="20">
        <f t="shared" si="42"/>
        <v>56.13</v>
      </c>
      <c r="K56" s="20"/>
      <c r="L56" s="20">
        <f t="shared" si="42"/>
        <v>10.26</v>
      </c>
      <c r="M56" s="20">
        <f t="shared" si="42"/>
        <v>40.252200000000002</v>
      </c>
      <c r="N56" s="20">
        <f t="shared" si="42"/>
        <v>63.76</v>
      </c>
      <c r="O56" s="20"/>
      <c r="P56" s="20">
        <f t="shared" si="42"/>
        <v>15.82</v>
      </c>
      <c r="Q56" s="20">
        <f t="shared" si="42"/>
        <v>42.25330000000001</v>
      </c>
      <c r="R56" s="20">
        <f t="shared" si="42"/>
        <v>36.5</v>
      </c>
      <c r="S56" s="20"/>
      <c r="T56" s="20">
        <f t="shared" si="42"/>
        <v>26.53</v>
      </c>
      <c r="U56" s="20">
        <f t="shared" si="42"/>
        <v>38.8996</v>
      </c>
      <c r="V56" s="20">
        <f t="shared" si="42"/>
        <v>14.3</v>
      </c>
      <c r="W56" s="20">
        <f t="shared" si="42"/>
        <v>6.3</v>
      </c>
      <c r="X56" s="20">
        <f t="shared" si="42"/>
        <v>10.3</v>
      </c>
      <c r="Y56" s="20">
        <f t="shared" si="42"/>
        <v>0</v>
      </c>
      <c r="Z56" s="20">
        <f t="shared" si="42"/>
        <v>0</v>
      </c>
      <c r="AA56" s="20">
        <f t="shared" si="42"/>
        <v>0</v>
      </c>
      <c r="AB56" s="20">
        <f t="shared" si="42"/>
        <v>55.8</v>
      </c>
      <c r="AC56" s="20">
        <f t="shared" si="42"/>
        <v>55.8</v>
      </c>
      <c r="AE56" s="75">
        <f t="shared" ref="AE56:AL56" si="43">MIN(AE11:AE42)</f>
        <v>81.400000000000006</v>
      </c>
      <c r="AF56" s="76">
        <f t="shared" si="43"/>
        <v>0.40700000000000003</v>
      </c>
      <c r="AG56" s="75">
        <f t="shared" si="43"/>
        <v>108.94409999999999</v>
      </c>
      <c r="AH56" s="76">
        <f t="shared" si="43"/>
        <v>0.34585428571428567</v>
      </c>
      <c r="AI56" s="75"/>
      <c r="AJ56" s="76">
        <f t="shared" si="43"/>
        <v>0</v>
      </c>
      <c r="AK56" s="75"/>
      <c r="AL56" s="76">
        <f t="shared" si="43"/>
        <v>0.10300000000000001</v>
      </c>
      <c r="AM56" s="76"/>
      <c r="AN56" s="76"/>
      <c r="AO56" s="76"/>
      <c r="AP56" s="76"/>
      <c r="AQ56" s="76"/>
      <c r="AR56" s="76"/>
      <c r="AS56" s="72">
        <f t="shared" si="36"/>
        <v>18.591000000000001</v>
      </c>
      <c r="AT56" s="76"/>
      <c r="AU56" s="75">
        <f>MIN(AU11:AU42)</f>
        <v>0</v>
      </c>
      <c r="AV56" s="76">
        <f>MIN(AV11:AV42)</f>
        <v>0</v>
      </c>
      <c r="AW56" s="75">
        <f>MIN(AW11:AW42)</f>
        <v>33.141300000000001</v>
      </c>
      <c r="AX56" s="76">
        <f>MIN(AX11:AX42)</f>
        <v>0.54330000000000001</v>
      </c>
      <c r="AY56" s="76"/>
      <c r="AZ56" s="76"/>
      <c r="BA56" s="75">
        <f t="shared" ref="BA56:BB56" si="44">MIN(BA11:BA42)</f>
        <v>0</v>
      </c>
      <c r="BB56" s="76">
        <f t="shared" si="44"/>
        <v>0</v>
      </c>
    </row>
    <row r="57" spans="3:94" ht="14.5" hidden="1" thickBot="1">
      <c r="C57" s="77" t="s">
        <v>102</v>
      </c>
      <c r="D57" s="78">
        <f t="shared" ref="D57:AC57" si="45">MAX(D11:D42)</f>
        <v>92.5</v>
      </c>
      <c r="E57" s="78"/>
      <c r="F57" s="78"/>
      <c r="G57" s="78"/>
      <c r="H57" s="78">
        <f t="shared" si="45"/>
        <v>90.04</v>
      </c>
      <c r="I57" s="78">
        <f t="shared" si="45"/>
        <v>101.26090000000001</v>
      </c>
      <c r="J57" s="78">
        <f t="shared" si="45"/>
        <v>90</v>
      </c>
      <c r="K57" s="78"/>
      <c r="L57" s="78">
        <f t="shared" si="45"/>
        <v>88.46</v>
      </c>
      <c r="M57" s="78">
        <f t="shared" si="45"/>
        <v>87.279600000000002</v>
      </c>
      <c r="N57" s="78">
        <f t="shared" si="45"/>
        <v>90</v>
      </c>
      <c r="O57" s="78"/>
      <c r="P57" s="78">
        <f t="shared" si="45"/>
        <v>87.35</v>
      </c>
      <c r="Q57" s="78">
        <f t="shared" si="45"/>
        <v>87.650900000000007</v>
      </c>
      <c r="R57" s="78">
        <f t="shared" si="45"/>
        <v>93.61</v>
      </c>
      <c r="S57" s="78"/>
      <c r="T57" s="78">
        <f t="shared" si="45"/>
        <v>99.49</v>
      </c>
      <c r="U57" s="78">
        <f t="shared" si="45"/>
        <v>92.748999999999995</v>
      </c>
      <c r="V57" s="78">
        <f t="shared" si="45"/>
        <v>99.4</v>
      </c>
      <c r="W57" s="78">
        <f t="shared" si="45"/>
        <v>99.4</v>
      </c>
      <c r="X57" s="78">
        <f t="shared" si="45"/>
        <v>99.4</v>
      </c>
      <c r="Y57" s="78">
        <f t="shared" si="45"/>
        <v>94.75</v>
      </c>
      <c r="Z57" s="78">
        <f t="shared" si="45"/>
        <v>94.75</v>
      </c>
      <c r="AA57" s="78">
        <f t="shared" si="45"/>
        <v>94.75</v>
      </c>
      <c r="AB57" s="78">
        <f t="shared" si="45"/>
        <v>90.4</v>
      </c>
      <c r="AC57" s="78">
        <f t="shared" si="45"/>
        <v>90.4</v>
      </c>
      <c r="AE57" s="75">
        <f t="shared" ref="AE57:AL57" si="46">MAX(AE11:AE42)</f>
        <v>184.55</v>
      </c>
      <c r="AF57" s="76">
        <f t="shared" si="46"/>
        <v>0.92275000000000007</v>
      </c>
      <c r="AG57" s="75">
        <f t="shared" si="46"/>
        <v>275.83479999999997</v>
      </c>
      <c r="AH57" s="76">
        <f t="shared" si="46"/>
        <v>0.87566603174603164</v>
      </c>
      <c r="AI57" s="75"/>
      <c r="AJ57" s="76">
        <f t="shared" si="46"/>
        <v>0</v>
      </c>
      <c r="AK57" s="75"/>
      <c r="AL57" s="76">
        <f t="shared" si="46"/>
        <v>0.99400000000000011</v>
      </c>
      <c r="AM57" s="76"/>
      <c r="AN57" s="76"/>
      <c r="AO57" s="76"/>
      <c r="AP57" s="76"/>
      <c r="AQ57" s="76"/>
      <c r="AR57" s="76"/>
      <c r="AS57" s="72">
        <f t="shared" si="36"/>
        <v>58.101500000000001</v>
      </c>
      <c r="AT57" s="76"/>
      <c r="AU57" s="75">
        <f>MAX(AU11:AU42)</f>
        <v>0</v>
      </c>
      <c r="AV57" s="76">
        <f>MAX(AV11:AV42)</f>
        <v>0</v>
      </c>
      <c r="AW57" s="75">
        <f>MAX(AW11:AW42)</f>
        <v>55.030500000000004</v>
      </c>
      <c r="AX57" s="76">
        <f>MAX(AX11:AX42)</f>
        <v>0.90213934426229514</v>
      </c>
      <c r="AY57" s="76"/>
      <c r="AZ57" s="76"/>
      <c r="BA57" s="75">
        <f t="shared" ref="BA57:BB57" si="47">MAX(BA11:BA42)</f>
        <v>0</v>
      </c>
      <c r="BB57" s="76">
        <f t="shared" si="47"/>
        <v>0</v>
      </c>
    </row>
    <row r="58" spans="3:94" ht="14.5" thickBot="1">
      <c r="C58" s="53" t="s">
        <v>171</v>
      </c>
      <c r="D58" s="54">
        <f t="shared" ref="D58:AC58" si="48">AVERAGE(D11:D42)</f>
        <v>70.983125000000015</v>
      </c>
      <c r="E58" s="54">
        <f t="shared" si="48"/>
        <v>70.43312499999999</v>
      </c>
      <c r="F58" s="54">
        <f t="shared" si="48"/>
        <v>68.353750000000019</v>
      </c>
      <c r="G58" s="54">
        <f t="shared" si="48"/>
        <v>57.052187499999995</v>
      </c>
      <c r="H58" s="54">
        <f t="shared" si="48"/>
        <v>59.504999999999995</v>
      </c>
      <c r="I58" s="54">
        <f t="shared" si="48"/>
        <v>74.691881249999994</v>
      </c>
      <c r="J58" s="54">
        <f t="shared" si="48"/>
        <v>77.790312500000013</v>
      </c>
      <c r="K58" s="54">
        <f t="shared" si="48"/>
        <v>76.109999999999985</v>
      </c>
      <c r="L58" s="54">
        <f t="shared" si="48"/>
        <v>73.058749999999989</v>
      </c>
      <c r="M58" s="54">
        <f t="shared" si="48"/>
        <v>75.188862499999999</v>
      </c>
      <c r="N58" s="54">
        <f t="shared" si="48"/>
        <v>79.634687499999984</v>
      </c>
      <c r="O58" s="54">
        <f t="shared" si="48"/>
        <v>76.114062500000003</v>
      </c>
      <c r="P58" s="54">
        <f t="shared" si="48"/>
        <v>72.930625000000006</v>
      </c>
      <c r="Q58" s="54">
        <f t="shared" si="48"/>
        <v>75.152684375000021</v>
      </c>
      <c r="R58" s="54">
        <f t="shared" si="48"/>
        <v>86.787187500000002</v>
      </c>
      <c r="S58" s="54">
        <f t="shared" si="48"/>
        <v>84.553125000000009</v>
      </c>
      <c r="T58" s="54">
        <f t="shared" si="48"/>
        <v>79.719687499999992</v>
      </c>
      <c r="U58" s="54">
        <f t="shared" si="48"/>
        <v>82.586871874999986</v>
      </c>
      <c r="V58" s="54">
        <f t="shared" si="48"/>
        <v>75.084375000000009</v>
      </c>
      <c r="W58" s="54">
        <f t="shared" si="48"/>
        <v>70.890625000000014</v>
      </c>
      <c r="X58" s="54">
        <f t="shared" si="48"/>
        <v>72.987500000000026</v>
      </c>
      <c r="Y58" s="54">
        <f t="shared" si="48"/>
        <v>80.689062500000006</v>
      </c>
      <c r="Z58" s="54">
        <f t="shared" si="48"/>
        <v>80.689062500000006</v>
      </c>
      <c r="AA58" s="54">
        <f t="shared" si="48"/>
        <v>80.689062500000006</v>
      </c>
      <c r="AB58" s="54">
        <f t="shared" si="48"/>
        <v>81.898437500000014</v>
      </c>
      <c r="AC58" s="54">
        <f t="shared" si="48"/>
        <v>81.898437500000014</v>
      </c>
      <c r="AE58" s="52">
        <f>IFERROR(AVERAGE(AE11:AE46),"")</f>
        <v>163.38823529411758</v>
      </c>
      <c r="AF58" s="89">
        <f>AVERAGE(AF11:AF46)</f>
        <v>0.81694117647058839</v>
      </c>
      <c r="AG58" s="52">
        <f>IFERROR(AVERAGE(AG11:AG46),"")</f>
        <v>234.97388529411762</v>
      </c>
      <c r="AH58" s="89">
        <f>AVERAGE(AH11:AH46)</f>
        <v>0.74594884220354818</v>
      </c>
      <c r="AI58" s="52"/>
      <c r="AJ58" s="89" t="e">
        <f>AVERAGE(AJ11:AJ46)</f>
        <v>#DIV/0!</v>
      </c>
      <c r="AK58" s="52">
        <f>IFERROR(AVERAGE(AK11:AK46),"")</f>
        <v>73.614705882352965</v>
      </c>
      <c r="AL58" s="89">
        <f>AVERAGE(AL11:AL46)</f>
        <v>0.7361470588235296</v>
      </c>
      <c r="AM58" s="52" t="str">
        <f t="shared" ref="AM58" si="49">IFERROR(AVERAGE(AM11:AM46),"")</f>
        <v/>
      </c>
      <c r="AN58" s="89" t="e">
        <f>AVERAGE(AN11:AN46)</f>
        <v>#DIV/0!</v>
      </c>
      <c r="AO58" s="52" t="str">
        <f>IFERROR(AVERAGE(AO11:AO46),"")</f>
        <v/>
      </c>
      <c r="AP58" s="52" t="str">
        <f>IFERROR(AVERAGE(AP11:AP46),"")</f>
        <v/>
      </c>
      <c r="AQ58" s="52" t="str">
        <f>IFERROR(AVERAGE(AQ11:AQ46),"")</f>
        <v/>
      </c>
      <c r="AR58" s="52" t="str">
        <f>IFERROR(AVERAGE(AR11:AR46),"")</f>
        <v/>
      </c>
      <c r="AS58" s="72">
        <f t="shared" si="36"/>
        <v>49.273903125000004</v>
      </c>
      <c r="AT58" s="89" t="e">
        <f>AVERAGE(AT11:AT46)</f>
        <v>#DIV/0!</v>
      </c>
      <c r="AU58" s="52" t="str">
        <f>IFERROR(AVERAGE(AU11:AU46),"")</f>
        <v/>
      </c>
      <c r="AV58" s="89" t="e">
        <f>AVERAGE(AV11:AV46)</f>
        <v>#DIV/0!</v>
      </c>
      <c r="AW58" s="52">
        <f>IFERROR(AVERAGE(AW11:AW46),"")</f>
        <v>47.186217647058839</v>
      </c>
      <c r="AX58" s="89">
        <f>AVERAGE(AX11:AX46)</f>
        <v>0.77354455159112823</v>
      </c>
      <c r="AY58" s="52">
        <f t="shared" ref="AY58" si="50">IFERROR(AVERAGE(AY11:AY46),"")</f>
        <v>28.706523529411768</v>
      </c>
      <c r="AZ58" s="89">
        <f>AVERAGE(AZ11:AZ46)</f>
        <v>0.73606470588235262</v>
      </c>
      <c r="BA58" s="52" t="str">
        <f>IFERROR(AVERAGE(BA11:BA46),"")</f>
        <v/>
      </c>
      <c r="BB58" s="89" t="e">
        <f>AVERAGE(BB11:BB46)</f>
        <v>#DIV/0!</v>
      </c>
      <c r="BE58" s="73">
        <f>AVERAGE(BE11:BE46)</f>
        <v>13.858300000000005</v>
      </c>
      <c r="BF58" s="73">
        <f>AVERAGE(BF11:BF46)</f>
        <v>12.958870588235296</v>
      </c>
      <c r="BG58" s="73">
        <f t="shared" ref="BG58:BI58" si="51">AVERAGE(BG11:BG46)</f>
        <v>41.163235294117655</v>
      </c>
      <c r="BH58" s="73">
        <f t="shared" si="51"/>
        <v>16.108729411764703</v>
      </c>
      <c r="BI58" s="73">
        <f t="shared" si="51"/>
        <v>41.163235294117655</v>
      </c>
      <c r="BJ58" s="73"/>
      <c r="BK58" s="73"/>
      <c r="BL58" s="73"/>
      <c r="BM58" s="73"/>
      <c r="BN58" s="73">
        <f t="shared" ref="BN58:BP58" si="52">AVERAGE(BN11:BN46)</f>
        <v>40.479411764705887</v>
      </c>
      <c r="BO58" s="73">
        <f t="shared" si="52"/>
        <v>15.730623529411764</v>
      </c>
      <c r="BP58" s="73">
        <f t="shared" si="52"/>
        <v>36.762970588235291</v>
      </c>
      <c r="BQ58" s="73"/>
      <c r="BR58" s="73"/>
      <c r="BS58" s="73"/>
      <c r="BT58" s="73"/>
      <c r="BU58" s="73"/>
      <c r="BV58" s="73"/>
      <c r="BW58" s="73"/>
      <c r="BX58" s="73"/>
      <c r="BY58" s="73"/>
      <c r="BZ58" s="73"/>
      <c r="CA58" s="73"/>
      <c r="CB58" s="73"/>
      <c r="CC58" s="73">
        <f t="shared" ref="CC58:CE58" si="53">AVERAGE(CC11:CC46)</f>
        <v>42.456194117647051</v>
      </c>
      <c r="CD58" s="73">
        <f t="shared" si="53"/>
        <v>36.273529411764713</v>
      </c>
      <c r="CE58" s="73" t="e">
        <f t="shared" si="53"/>
        <v>#DIV/0!</v>
      </c>
      <c r="CF58" s="73"/>
      <c r="CG58" s="73"/>
      <c r="CH58" s="73"/>
      <c r="CI58" s="73" t="e">
        <f t="shared" ref="CI58:CK58" si="54">AVERAGE(CI11:CI46)</f>
        <v>#DIV/0!</v>
      </c>
      <c r="CJ58" s="73" t="e">
        <f t="shared" si="54"/>
        <v>#DIV/0!</v>
      </c>
      <c r="CK58" s="73" t="e">
        <f t="shared" si="54"/>
        <v>#DIV/0!</v>
      </c>
      <c r="CL58" s="73"/>
      <c r="CM58" s="73" t="e">
        <f t="shared" ref="CM58:CO58" si="55">AVERAGE(CM11:CM46)</f>
        <v>#DIV/0!</v>
      </c>
      <c r="CN58" s="73" t="e">
        <f t="shared" si="55"/>
        <v>#DIV/0!</v>
      </c>
      <c r="CO58" s="74">
        <f t="shared" si="55"/>
        <v>280.4575944444444</v>
      </c>
      <c r="CP58" s="74"/>
    </row>
    <row r="59" spans="3:94">
      <c r="AF59" s="54">
        <f>COUNTIF($AF$11:$AF$46,"&gt;=70%")</f>
        <v>31</v>
      </c>
      <c r="AH59" s="54">
        <f>COUNTIF($AH$11:$AH$46,"&gt;=70%")</f>
        <v>27</v>
      </c>
      <c r="AJ59" s="54">
        <f>COUNTIF($AJ$11:$AJ$46,"&gt;=70%")</f>
        <v>0</v>
      </c>
      <c r="AL59" s="54">
        <f>COUNTIF($AL$11:$AL$46,"&gt;=65%")</f>
        <v>31</v>
      </c>
      <c r="AM59" s="35"/>
      <c r="AN59" s="54">
        <f>COUNTIF($AN$11:$AN$46,"&gt;=70%")</f>
        <v>0</v>
      </c>
      <c r="AS59" s="35"/>
      <c r="AT59" s="54">
        <f>COUNTIF($AT$11:$AT$46,"&gt;=70%")</f>
        <v>0</v>
      </c>
      <c r="AV59" s="54">
        <f>COUNTIF($AV$11:$AV$46,"&gt;=70%")</f>
        <v>0</v>
      </c>
      <c r="AX59" s="54">
        <f>COUNTIF($AX$11:$AX$46,"&gt;=70%")</f>
        <v>26</v>
      </c>
      <c r="AY59" s="35"/>
      <c r="AZ59" s="54">
        <f>COUNTIF($AH$11:$AH$46,"&gt;=70%")</f>
        <v>27</v>
      </c>
      <c r="BB59" s="54">
        <f>COUNTIF($BB$11:$BB$46,"&gt;=70%")</f>
        <v>0</v>
      </c>
      <c r="BE59" s="79">
        <f>BE58/BE9</f>
        <v>0.81519411764705918</v>
      </c>
      <c r="BF59" s="79">
        <f>BF58/BF9</f>
        <v>0.80992941176470601</v>
      </c>
      <c r="BG59" s="79">
        <f t="shared" ref="BG59:BI59" si="56">BG58/BG9</f>
        <v>0.82326470588235312</v>
      </c>
      <c r="BH59" s="79">
        <f t="shared" si="56"/>
        <v>0.76708235294117633</v>
      </c>
      <c r="BI59" s="79">
        <f t="shared" si="56"/>
        <v>0.82326470588235312</v>
      </c>
      <c r="BJ59" s="79"/>
      <c r="BK59" s="79"/>
      <c r="BL59" s="79"/>
      <c r="BM59" s="79"/>
      <c r="BN59" s="79">
        <f t="shared" ref="BN59:BP59" si="57">BN58/BN9</f>
        <v>0.80958823529411772</v>
      </c>
      <c r="BO59" s="79">
        <f t="shared" si="57"/>
        <v>0.87392352941176465</v>
      </c>
      <c r="BP59" s="79">
        <f t="shared" si="57"/>
        <v>0.75026470588235283</v>
      </c>
      <c r="BQ59" s="79"/>
      <c r="BR59" s="79"/>
      <c r="BS59" s="79"/>
      <c r="BT59" s="79"/>
      <c r="BU59" s="79"/>
      <c r="BV59" s="79"/>
      <c r="BW59" s="79"/>
      <c r="BX59" s="79"/>
      <c r="BY59" s="79"/>
      <c r="BZ59" s="79"/>
      <c r="CA59" s="79"/>
      <c r="CB59" s="79"/>
      <c r="CC59" s="79">
        <f t="shared" ref="CC59:CE59" si="58">CC58/CC9</f>
        <v>0.86645294117647043</v>
      </c>
      <c r="CD59" s="79">
        <f t="shared" si="58"/>
        <v>0.72547058823529431</v>
      </c>
      <c r="CE59" s="79" t="e">
        <f t="shared" si="58"/>
        <v>#DIV/0!</v>
      </c>
      <c r="CF59" s="79"/>
      <c r="CG59" s="79"/>
      <c r="CH59" s="79"/>
      <c r="CI59" s="79" t="e">
        <f t="shared" ref="CI59:CK59" si="59">CI58/CI9</f>
        <v>#DIV/0!</v>
      </c>
      <c r="CJ59" s="79" t="e">
        <f t="shared" si="59"/>
        <v>#DIV/0!</v>
      </c>
      <c r="CK59" s="79" t="e">
        <f t="shared" si="59"/>
        <v>#DIV/0!</v>
      </c>
      <c r="CL59" s="79"/>
      <c r="CM59" s="79" t="e">
        <f t="shared" ref="CM59:CO59" si="60">CM58/CM9</f>
        <v>#DIV/0!</v>
      </c>
      <c r="CN59" s="79" t="e">
        <f t="shared" si="60"/>
        <v>#DIV/0!</v>
      </c>
      <c r="CO59" s="74" t="e">
        <f t="shared" si="60"/>
        <v>#REF!</v>
      </c>
      <c r="CP59" s="74"/>
    </row>
    <row r="60" spans="3:94">
      <c r="AF60" s="82">
        <f>AF59/AF61</f>
        <v>0.91176470588235292</v>
      </c>
      <c r="AH60" s="82">
        <f>AH59/AH61</f>
        <v>0.79411764705882348</v>
      </c>
      <c r="AJ60" s="82" t="e">
        <f>AJ59/AJ61</f>
        <v>#DIV/0!</v>
      </c>
      <c r="AL60" s="82">
        <f>AL59/AL61</f>
        <v>0.91176470588235292</v>
      </c>
      <c r="AM60" s="35"/>
      <c r="AN60" s="82" t="e">
        <f>AN59/AN61</f>
        <v>#DIV/0!</v>
      </c>
      <c r="AS60" s="35"/>
      <c r="AT60" s="82" t="e">
        <f>AT59/AT61</f>
        <v>#DIV/0!</v>
      </c>
      <c r="AV60" s="82" t="e">
        <f>AV59/AV61</f>
        <v>#DIV/0!</v>
      </c>
      <c r="AX60" s="82">
        <f>AX59/AX61</f>
        <v>0.76470588235294112</v>
      </c>
      <c r="AY60" s="35"/>
      <c r="AZ60" s="82">
        <f>AZ59/AZ61</f>
        <v>0.79411764705882348</v>
      </c>
      <c r="BB60" s="82" t="e">
        <f>BB59/BB61</f>
        <v>#DIV/0!</v>
      </c>
    </row>
    <row r="61" spans="3:94">
      <c r="AF61" s="62">
        <f>COUNT(AF10:AF46)</f>
        <v>34</v>
      </c>
      <c r="AH61" s="62">
        <f>COUNT(AH11:AH46)</f>
        <v>34</v>
      </c>
      <c r="AJ61" s="62">
        <f>COUNT(AJ11:AJ46)</f>
        <v>0</v>
      </c>
      <c r="AL61" s="62">
        <f>COUNT(AL10:AL45)</f>
        <v>34</v>
      </c>
      <c r="AM61" s="35"/>
      <c r="AN61" s="62">
        <f>COUNT(AN11:AN46)</f>
        <v>0</v>
      </c>
      <c r="AS61" s="35"/>
      <c r="AT61" s="62">
        <f>COUNT(AT11:AT46)</f>
        <v>0</v>
      </c>
      <c r="AV61" s="62">
        <f>COUNT(AV11:AV46)</f>
        <v>0</v>
      </c>
      <c r="AX61" s="62">
        <f>COUNT(AX10:AX46)</f>
        <v>34</v>
      </c>
      <c r="AY61" s="35"/>
      <c r="AZ61" s="62">
        <f>COUNT(AZ11:AZ46)</f>
        <v>34</v>
      </c>
      <c r="BB61" s="62">
        <f>COUNT(BB11:BB46)</f>
        <v>0</v>
      </c>
    </row>
    <row r="62" spans="3:94">
      <c r="C62" s="34" t="s">
        <v>360</v>
      </c>
      <c r="AI62" s="35"/>
      <c r="AJ62" s="35"/>
      <c r="AK62" s="35"/>
      <c r="AL62" s="35"/>
    </row>
    <row r="63" spans="3:94">
      <c r="C63" s="80" t="s">
        <v>172</v>
      </c>
      <c r="D63" s="1" t="s">
        <v>173</v>
      </c>
      <c r="E63" s="1" t="s">
        <v>174</v>
      </c>
      <c r="F63" s="1" t="s">
        <v>175</v>
      </c>
      <c r="G63" s="1" t="s">
        <v>176</v>
      </c>
      <c r="H63" s="1" t="s">
        <v>181</v>
      </c>
      <c r="I63" s="1" t="s">
        <v>182</v>
      </c>
      <c r="J63" s="1" t="s">
        <v>175</v>
      </c>
      <c r="K63" s="1" t="s">
        <v>176</v>
      </c>
      <c r="AI63" s="35"/>
      <c r="AJ63" s="35"/>
      <c r="AK63" s="35"/>
      <c r="AL63" s="35"/>
    </row>
    <row r="64" spans="3:94">
      <c r="C64" s="62" t="s">
        <v>93</v>
      </c>
      <c r="D64" s="2">
        <f>IF(AE8="","",AE8)</f>
        <v>200</v>
      </c>
      <c r="E64" s="71">
        <f>IF(AE58="","",AE58)</f>
        <v>163.38823529411758</v>
      </c>
      <c r="F64" s="81">
        <f>IF(E64="","",(IFERROR(E64/D64,0)))</f>
        <v>0.81694117647058784</v>
      </c>
      <c r="G64" s="81" t="str">
        <f>IF(F64="","",IF(F64&gt;70%,"Tercapai","Belum Tercapai"))</f>
        <v>Tercapai</v>
      </c>
      <c r="H64" s="90">
        <f>IF(AF61="","",AF61)</f>
        <v>34</v>
      </c>
      <c r="I64" s="90">
        <f>IF(AF59="","",AF59)</f>
        <v>31</v>
      </c>
      <c r="J64" s="81">
        <f>IFERROR(I64/H64,"")</f>
        <v>0.91176470588235292</v>
      </c>
      <c r="K64" s="2" t="str">
        <f t="shared" ref="K64:K77" si="61">IF(J64="","",(IF(J64&gt;=70%,"Tercapai","Belum Tercapai")))</f>
        <v>Tercapai</v>
      </c>
      <c r="AI64" s="35"/>
      <c r="AJ64" s="35"/>
      <c r="AK64" s="35"/>
      <c r="AL64" s="35"/>
    </row>
    <row r="65" spans="3:38">
      <c r="C65" s="62" t="s">
        <v>117</v>
      </c>
      <c r="D65" s="2">
        <f>IF(AG8="","",AG8)</f>
        <v>315</v>
      </c>
      <c r="E65" s="71">
        <f>IF(AG58="","",AG58)</f>
        <v>234.97388529411762</v>
      </c>
      <c r="F65" s="95">
        <f>IF(E65="","",(IFERROR(E65/D65,0)))</f>
        <v>0.74594884220354796</v>
      </c>
      <c r="G65" s="95" t="str">
        <f>IF(F65="","",IF(F65&gt;70%,"Tercapai","Belum Tercapai"))</f>
        <v>Tercapai</v>
      </c>
      <c r="H65" s="96">
        <f>IF(AH61="","",AH61)</f>
        <v>34</v>
      </c>
      <c r="I65" s="96">
        <f>IF(AH59="","",AH59)</f>
        <v>27</v>
      </c>
      <c r="J65" s="95">
        <f>IFERROR(I65/H65,"")</f>
        <v>0.79411764705882348</v>
      </c>
      <c r="K65" s="2" t="str">
        <f t="shared" si="61"/>
        <v>Tercapai</v>
      </c>
      <c r="AI65" s="35"/>
      <c r="AJ65" s="35"/>
      <c r="AK65" s="35"/>
      <c r="AL65" s="35"/>
    </row>
    <row r="66" spans="3:38">
      <c r="C66" s="62" t="s">
        <v>107</v>
      </c>
      <c r="D66" s="2" t="str">
        <f>IF(AI8="","",AI8)</f>
        <v/>
      </c>
      <c r="E66" s="71" t="str">
        <f>IF(AI58="","",AI58)</f>
        <v/>
      </c>
      <c r="F66" s="81" t="str">
        <f>IF(E66="","",(IFERROR(E66/D66,0)))</f>
        <v/>
      </c>
      <c r="G66" s="81" t="str">
        <f t="shared" ref="G66:G77" si="62">IF(F66="","",IF(F66&gt;70%,"Tercapai","Belum Tercapai"))</f>
        <v/>
      </c>
      <c r="H66" s="90"/>
      <c r="I66" s="90"/>
      <c r="J66" s="81" t="str">
        <f t="shared" ref="J66:J75" si="63">IFERROR(I66/H66,"")</f>
        <v/>
      </c>
      <c r="K66" s="2" t="str">
        <f t="shared" si="61"/>
        <v/>
      </c>
      <c r="AI66" s="35"/>
      <c r="AJ66" s="35"/>
      <c r="AK66" s="35"/>
      <c r="AL66" s="35"/>
    </row>
    <row r="67" spans="3:38">
      <c r="C67" s="62" t="s">
        <v>106</v>
      </c>
      <c r="D67" s="2">
        <f>IF(AK8="","",AK8)</f>
        <v>100</v>
      </c>
      <c r="E67" s="71">
        <f>IF(AK58="","",AK58)</f>
        <v>73.614705882352965</v>
      </c>
      <c r="F67" s="81">
        <f>IF(E67="","",(IFERROR(E67/D67,0)))</f>
        <v>0.7361470588235296</v>
      </c>
      <c r="G67" s="81" t="str">
        <f t="shared" si="62"/>
        <v>Tercapai</v>
      </c>
      <c r="H67" s="90">
        <v>34</v>
      </c>
      <c r="I67" s="90">
        <v>31</v>
      </c>
      <c r="J67" s="81">
        <f t="shared" si="63"/>
        <v>0.91176470588235292</v>
      </c>
      <c r="K67" s="2" t="str">
        <f t="shared" si="61"/>
        <v>Tercapai</v>
      </c>
      <c r="AI67" s="35"/>
      <c r="AJ67" s="35"/>
      <c r="AK67" s="35"/>
      <c r="AL67" s="35"/>
    </row>
    <row r="68" spans="3:38">
      <c r="C68" s="62" t="s">
        <v>143</v>
      </c>
      <c r="D68" s="2"/>
      <c r="E68" s="2"/>
      <c r="F68" s="81"/>
      <c r="G68" s="81"/>
      <c r="H68" s="90"/>
      <c r="I68" s="90"/>
      <c r="J68" s="81" t="str">
        <f t="shared" si="63"/>
        <v/>
      </c>
      <c r="K68" s="2" t="str">
        <f t="shared" si="61"/>
        <v/>
      </c>
      <c r="AI68" s="35"/>
      <c r="AJ68" s="35"/>
      <c r="AK68" s="35"/>
      <c r="AL68" s="35"/>
    </row>
    <row r="69" spans="3:38">
      <c r="C69" s="62" t="s">
        <v>144</v>
      </c>
      <c r="D69" s="2" t="str">
        <f>IF(AO8="","",AO8)</f>
        <v/>
      </c>
      <c r="E69" s="2" t="str">
        <f>IF(AO58="","",AO58)</f>
        <v/>
      </c>
      <c r="F69" s="81" t="str">
        <f>IF(E69="","",(IFERROR(E69/D69,0)))</f>
        <v/>
      </c>
      <c r="G69" s="81" t="str">
        <f t="shared" si="62"/>
        <v/>
      </c>
      <c r="H69" s="90" t="str">
        <f>IF(AP61="","",AP61)</f>
        <v/>
      </c>
      <c r="I69" s="90" t="str">
        <f>IF(AP59="","",AP59)</f>
        <v/>
      </c>
      <c r="J69" s="81" t="str">
        <f t="shared" si="63"/>
        <v/>
      </c>
      <c r="K69" s="2" t="str">
        <f t="shared" si="61"/>
        <v/>
      </c>
      <c r="AI69" s="35"/>
      <c r="AJ69" s="35"/>
      <c r="AK69" s="35"/>
      <c r="AL69" s="35"/>
    </row>
    <row r="70" spans="3:38">
      <c r="C70" s="62" t="s">
        <v>145</v>
      </c>
      <c r="D70" s="2" t="str">
        <f>IF(AQ8="","",AQ8)</f>
        <v/>
      </c>
      <c r="E70" s="2" t="str">
        <f>IF(AQ58="","",AQ58)</f>
        <v/>
      </c>
      <c r="F70" s="81" t="str">
        <f>IF(E70="","",(IFERROR(E70/D70,0)))</f>
        <v/>
      </c>
      <c r="G70" s="81" t="str">
        <f t="shared" si="62"/>
        <v/>
      </c>
      <c r="H70" s="90" t="str">
        <f>IF(AR61="","",AR61)</f>
        <v/>
      </c>
      <c r="I70" s="90" t="str">
        <f>IF(AR59="","",AR59)</f>
        <v/>
      </c>
      <c r="J70" s="81" t="str">
        <f t="shared" si="63"/>
        <v/>
      </c>
      <c r="K70" s="2" t="str">
        <f t="shared" si="61"/>
        <v/>
      </c>
      <c r="AI70" s="35"/>
      <c r="AJ70" s="35"/>
      <c r="AK70" s="35"/>
      <c r="AL70" s="35"/>
    </row>
    <row r="71" spans="3:38">
      <c r="C71" s="62" t="s">
        <v>146</v>
      </c>
      <c r="D71" s="2" t="str">
        <f>IF(AS8="","",AS8)</f>
        <v/>
      </c>
      <c r="E71" s="71"/>
      <c r="F71" s="81"/>
      <c r="G71" s="81"/>
      <c r="H71" s="90"/>
      <c r="I71" s="90"/>
      <c r="J71" s="81" t="str">
        <f t="shared" si="63"/>
        <v/>
      </c>
      <c r="K71" s="2" t="str">
        <f t="shared" si="61"/>
        <v/>
      </c>
      <c r="AI71" s="35"/>
      <c r="AJ71" s="35"/>
      <c r="AK71" s="35"/>
      <c r="AL71" s="35"/>
    </row>
    <row r="72" spans="3:38">
      <c r="C72" s="62" t="s">
        <v>113</v>
      </c>
      <c r="D72" s="2" t="str">
        <f>IF(AU8="","",AU8)</f>
        <v/>
      </c>
      <c r="E72" s="71"/>
      <c r="F72" s="81"/>
      <c r="G72" s="81"/>
      <c r="H72" s="90"/>
      <c r="I72" s="90"/>
      <c r="J72" s="81" t="str">
        <f t="shared" si="63"/>
        <v/>
      </c>
      <c r="K72" s="2" t="str">
        <f t="shared" si="61"/>
        <v/>
      </c>
      <c r="AI72" s="35"/>
      <c r="AJ72" s="35"/>
      <c r="AK72" s="35"/>
      <c r="AL72" s="35"/>
    </row>
    <row r="73" spans="3:38">
      <c r="C73" s="62" t="s">
        <v>120</v>
      </c>
      <c r="D73" s="2">
        <f>IF(AW8="","",AW8)</f>
        <v>61</v>
      </c>
      <c r="E73" s="71">
        <f>IF(AW58="","",AW58)</f>
        <v>47.186217647058839</v>
      </c>
      <c r="F73" s="81">
        <f>IF(E73="","",(IFERROR(E73/D73,0)))</f>
        <v>0.77354455159112856</v>
      </c>
      <c r="G73" s="81" t="str">
        <f t="shared" si="62"/>
        <v>Tercapai</v>
      </c>
      <c r="H73" s="90">
        <f>IF(AX61="","",AX61)</f>
        <v>34</v>
      </c>
      <c r="I73" s="90">
        <f>IF(AX59="","",AX59)</f>
        <v>26</v>
      </c>
      <c r="J73" s="81">
        <f t="shared" si="63"/>
        <v>0.76470588235294112</v>
      </c>
      <c r="K73" s="2" t="str">
        <f t="shared" si="61"/>
        <v>Tercapai</v>
      </c>
      <c r="AI73" s="35"/>
      <c r="AJ73" s="35"/>
      <c r="AK73" s="35"/>
      <c r="AL73" s="35"/>
    </row>
    <row r="74" spans="3:38">
      <c r="C74" s="62" t="s">
        <v>147</v>
      </c>
      <c r="D74" s="2">
        <f>IF(AY8="","",AY8)</f>
        <v>39</v>
      </c>
      <c r="E74" s="71">
        <f>IF(AY58="","",AY58)</f>
        <v>28.706523529411768</v>
      </c>
      <c r="F74" s="81">
        <f>IF(E74="","",(IFERROR(E74/D74,0)))</f>
        <v>0.73606470588235307</v>
      </c>
      <c r="G74" s="81" t="str">
        <f t="shared" si="62"/>
        <v>Tercapai</v>
      </c>
      <c r="H74" s="90">
        <f>IF(AZ61="","",AZ61)</f>
        <v>34</v>
      </c>
      <c r="I74" s="90">
        <f>IF(AZ59="","",AZ59)</f>
        <v>27</v>
      </c>
      <c r="J74" s="81">
        <f t="shared" si="63"/>
        <v>0.79411764705882348</v>
      </c>
      <c r="K74" s="2" t="str">
        <f t="shared" si="61"/>
        <v>Tercapai</v>
      </c>
      <c r="AI74" s="35"/>
      <c r="AJ74" s="35"/>
      <c r="AK74" s="35"/>
      <c r="AL74" s="35"/>
    </row>
    <row r="75" spans="3:38">
      <c r="C75" s="62" t="s">
        <v>121</v>
      </c>
      <c r="D75" s="2" t="str">
        <f>IF(BA8="","",BA8)</f>
        <v/>
      </c>
      <c r="E75" s="71" t="str">
        <f>IF(BA58="","",BA58)</f>
        <v/>
      </c>
      <c r="F75" s="95" t="str">
        <f>IF(E75="","",(IFERROR(E75/D75,0)))</f>
        <v/>
      </c>
      <c r="G75" s="81" t="str">
        <f t="shared" si="62"/>
        <v/>
      </c>
      <c r="H75" s="90" t="str">
        <f t="shared" ref="H75:H77" si="64">IF(AZ62="","",AZ62)</f>
        <v/>
      </c>
      <c r="I75" s="96"/>
      <c r="J75" s="95" t="str">
        <f t="shared" si="63"/>
        <v/>
      </c>
      <c r="K75" s="2" t="str">
        <f t="shared" si="61"/>
        <v/>
      </c>
      <c r="AI75" s="35"/>
      <c r="AJ75" s="35"/>
      <c r="AK75" s="35"/>
      <c r="AL75" s="35"/>
    </row>
    <row r="76" spans="3:38">
      <c r="C76" s="3"/>
      <c r="D76" s="2"/>
      <c r="E76" s="2"/>
      <c r="F76" s="2"/>
      <c r="G76" s="81" t="str">
        <f t="shared" si="62"/>
        <v/>
      </c>
      <c r="H76" s="90" t="str">
        <f t="shared" si="64"/>
        <v/>
      </c>
      <c r="I76" s="2"/>
      <c r="J76" s="2"/>
      <c r="K76" s="2" t="str">
        <f t="shared" si="61"/>
        <v/>
      </c>
    </row>
    <row r="77" spans="3:38">
      <c r="C77" s="3"/>
      <c r="D77" s="2">
        <v>900</v>
      </c>
      <c r="E77" s="71">
        <f>SUM(E64:E75)</f>
        <v>547.86956764705883</v>
      </c>
      <c r="F77" s="81">
        <f>AVERAGE(F64:F75)</f>
        <v>0.76172926699422949</v>
      </c>
      <c r="G77" s="81" t="str">
        <f t="shared" si="62"/>
        <v>Tercapai</v>
      </c>
      <c r="H77" s="90" t="str">
        <f t="shared" si="64"/>
        <v/>
      </c>
      <c r="I77" s="81"/>
      <c r="J77" s="81">
        <f>AVERAGE(J64:J75)</f>
        <v>0.83529411764705885</v>
      </c>
      <c r="K77" s="2" t="str">
        <f t="shared" si="61"/>
        <v>Tercapai</v>
      </c>
    </row>
    <row r="79" spans="3:38">
      <c r="C79" s="34" t="s">
        <v>177</v>
      </c>
    </row>
    <row r="80" spans="3:38">
      <c r="C80" s="34" t="s">
        <v>185</v>
      </c>
    </row>
    <row r="95" spans="35:35">
      <c r="AI95" s="35"/>
    </row>
    <row r="96" spans="35:35">
      <c r="AI96" s="35"/>
    </row>
  </sheetData>
  <mergeCells count="77">
    <mergeCell ref="Q4:Q9"/>
    <mergeCell ref="D6:H6"/>
    <mergeCell ref="J6:L6"/>
    <mergeCell ref="N6:P6"/>
    <mergeCell ref="R4:T4"/>
    <mergeCell ref="D4:H4"/>
    <mergeCell ref="I4:I9"/>
    <mergeCell ref="J4:L4"/>
    <mergeCell ref="M4:M9"/>
    <mergeCell ref="N4:P4"/>
    <mergeCell ref="Y4:Z4"/>
    <mergeCell ref="AC4:AC9"/>
    <mergeCell ref="Y5:Z5"/>
    <mergeCell ref="AQ4:AR5"/>
    <mergeCell ref="R6:T6"/>
    <mergeCell ref="V6:W6"/>
    <mergeCell ref="Y6:Z6"/>
    <mergeCell ref="U4:U9"/>
    <mergeCell ref="V4:W4"/>
    <mergeCell ref="X4:X9"/>
    <mergeCell ref="AF7:AF9"/>
    <mergeCell ref="AH7:AH9"/>
    <mergeCell ref="AJ7:AJ9"/>
    <mergeCell ref="AL7:AL9"/>
    <mergeCell ref="AN7:AN9"/>
    <mergeCell ref="AP7:AP9"/>
    <mergeCell ref="AR7:AR9"/>
    <mergeCell ref="AV7:AV9"/>
    <mergeCell ref="CE6:CF6"/>
    <mergeCell ref="D5:H5"/>
    <mergeCell ref="J5:L5"/>
    <mergeCell ref="N5:P5"/>
    <mergeCell ref="R5:T5"/>
    <mergeCell ref="V5:W5"/>
    <mergeCell ref="AS4:AT5"/>
    <mergeCell ref="AA4:AA9"/>
    <mergeCell ref="AE4:AF5"/>
    <mergeCell ref="AG4:AH5"/>
    <mergeCell ref="AI4:AJ5"/>
    <mergeCell ref="AK4:AL5"/>
    <mergeCell ref="AM4:AN5"/>
    <mergeCell ref="AO4:AP5"/>
    <mergeCell ref="BT7:BW7"/>
    <mergeCell ref="AT7:AT9"/>
    <mergeCell ref="AU4:AV5"/>
    <mergeCell ref="BP7:BQ7"/>
    <mergeCell ref="BR7:BS7"/>
    <mergeCell ref="BP6:BQ6"/>
    <mergeCell ref="BR6:BS6"/>
    <mergeCell ref="AW4:AX5"/>
    <mergeCell ref="AY4:AZ5"/>
    <mergeCell ref="BE6:BH6"/>
    <mergeCell ref="BI6:BL6"/>
    <mergeCell ref="BA4:BB5"/>
    <mergeCell ref="AX7:AX9"/>
    <mergeCell ref="AZ7:AZ9"/>
    <mergeCell ref="BB7:BB9"/>
    <mergeCell ref="BE7:BH7"/>
    <mergeCell ref="BM6:BO6"/>
    <mergeCell ref="BI7:BL7"/>
    <mergeCell ref="BM7:BO7"/>
    <mergeCell ref="CK6:CL6"/>
    <mergeCell ref="CM6:CN6"/>
    <mergeCell ref="CG6:CH6"/>
    <mergeCell ref="CI6:CJ6"/>
    <mergeCell ref="BT6:BW6"/>
    <mergeCell ref="BX6:BZ6"/>
    <mergeCell ref="CC6:CD6"/>
    <mergeCell ref="CA6:CB6"/>
    <mergeCell ref="CK7:CL7"/>
    <mergeCell ref="CM7:CN7"/>
    <mergeCell ref="BX7:BZ7"/>
    <mergeCell ref="CA7:CB7"/>
    <mergeCell ref="CC7:CD7"/>
    <mergeCell ref="CE7:CF7"/>
    <mergeCell ref="CG7:CH7"/>
    <mergeCell ref="CI7:CJ7"/>
  </mergeCells>
  <printOptions horizontalCentered="1"/>
  <pageMargins left="0.31496062992125984" right="0.31496062992125984" top="0.55118110236220474" bottom="0.35433070866141736" header="0" footer="0"/>
  <pageSetup scale="74" orientation="landscape" r:id="rId1"/>
  <rowBreaks count="1" manualBreakCount="1">
    <brk id="61" max="16383" man="1"/>
  </rowBreaks>
  <colBreaks count="3" manualBreakCount="3">
    <brk id="17" max="1048575" man="1"/>
    <brk id="29" max="1048575" man="1"/>
    <brk id="44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2</vt:i4>
      </vt:variant>
    </vt:vector>
  </HeadingPairs>
  <TitlesOfParts>
    <vt:vector size="15" baseType="lpstr">
      <vt:lpstr>Mhsw2024</vt:lpstr>
      <vt:lpstr>ListMKSmt-1</vt:lpstr>
      <vt:lpstr>MK1-TM</vt:lpstr>
      <vt:lpstr>MK2-TO</vt:lpstr>
      <vt:lpstr>MK3-PSTI</vt:lpstr>
      <vt:lpstr>MK4-L&amp;A</vt:lpstr>
      <vt:lpstr>MK5-BP</vt:lpstr>
      <vt:lpstr>MK7-MBD</vt:lpstr>
      <vt:lpstr>MK8_BID</vt:lpstr>
      <vt:lpstr>MK16-AGM</vt:lpstr>
      <vt:lpstr>MK59-KWN</vt:lpstr>
      <vt:lpstr>Penguk.CPMK-Smt1</vt:lpstr>
      <vt:lpstr>Penguk.CPL-Smt1</vt:lpstr>
      <vt:lpstr>'MK3-PSTI'!Print_Area</vt:lpstr>
      <vt:lpstr>'Penguk.CPMK-Smt1'!Print_Area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Arief  Jananto, S.Kom., M.Cs</dc:creator>
  <cp:lastModifiedBy>ThinkPad</cp:lastModifiedBy>
  <cp:lastPrinted>2026-06-05T03:20:49Z</cp:lastPrinted>
  <dcterms:created xsi:type="dcterms:W3CDTF">2026-03-14T10:22:13Z</dcterms:created>
  <dcterms:modified xsi:type="dcterms:W3CDTF">2026-06-05T03:27:03Z</dcterms:modified>
</cp:coreProperties>
</file>