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y Job\UNISBANK\S1 Akuntansi\OBE\ANALISIS KETERCAPAIAN CPMK CPL\3. GANJIL 2025_2026\"/>
    </mc:Choice>
  </mc:AlternateContent>
  <xr:revisionPtr revIDLastSave="0" documentId="13_ncr:1_{4590C14F-6F23-4ECB-A9B3-3603CCB5D4FD}" xr6:coauthVersionLast="47" xr6:coauthVersionMax="47" xr10:uidLastSave="{00000000-0000-0000-0000-000000000000}"/>
  <workbookProtection workbookAlgorithmName="SHA-512" workbookHashValue="KFt0jSvDWKVt7WrqcCeIQSCXzQnjoQG5C4rU/Z3+klddqEDu7FVAgoGUqrWvqnJPVkw8MAW2/bnIeKZrTBL9oA==" workbookSaltValue="VIOCH0NPGG0tsfMtB9kCZQ==" workbookSpinCount="100000" lockStructure="1"/>
  <bookViews>
    <workbookView xWindow="-110" yWindow="-110" windowWidth="19420" windowHeight="10300" firstSheet="7" activeTab="12" xr2:uid="{36399BCF-75EB-4921-A323-7A0FE138B426}"/>
  </bookViews>
  <sheets>
    <sheet name="Mhsw2024" sheetId="1" r:id="rId1"/>
    <sheet name="ListMKSmt-1" sheetId="2" r:id="rId2"/>
    <sheet name="MK1-TM" sheetId="3" r:id="rId3"/>
    <sheet name="MK2-TO" sheetId="4" r:id="rId4"/>
    <sheet name="MK3-PSTI" sheetId="5" r:id="rId5"/>
    <sheet name="MK4-L&amp;A" sheetId="6" r:id="rId6"/>
    <sheet name="MK5-BP" sheetId="7" r:id="rId7"/>
    <sheet name="MK7-MBD" sheetId="8" r:id="rId8"/>
    <sheet name="MK8_BID" sheetId="9" r:id="rId9"/>
    <sheet name="MK16-AGM" sheetId="10" r:id="rId10"/>
    <sheet name="MK59-KWN" sheetId="11" r:id="rId11"/>
    <sheet name="Penguk.CPMK-Smt1" sheetId="12" r:id="rId12"/>
    <sheet name="Penguk.CPL-Smt1" sheetId="1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Print_Area" localSheetId="4">'MK3-PSTI'!$A$1:$H$64</definedName>
    <definedName name="_xlnm.Print_Area" localSheetId="8">MK8_BID!$A$1:$H$64</definedName>
    <definedName name="_xlnm.Print_Area" localSheetId="11">'Penguk.CPMK-Smt1'!$A$1:$FU$122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13" l="1"/>
  <c r="AP54" i="13"/>
  <c r="AR54" i="13"/>
  <c r="I60" i="13" l="1"/>
  <c r="H60" i="13"/>
  <c r="J60" i="13" s="1"/>
  <c r="I71" i="13"/>
  <c r="H71" i="13"/>
  <c r="AS55" i="13"/>
  <c r="I67" i="13"/>
  <c r="I65" i="13"/>
  <c r="J65" i="13" s="1"/>
  <c r="K65" i="13" s="1"/>
  <c r="AM57" i="13"/>
  <c r="AM55" i="13"/>
  <c r="AM56" i="13" s="1"/>
  <c r="AM54" i="13"/>
  <c r="AL54" i="13"/>
  <c r="H66" i="13"/>
  <c r="G72" i="13"/>
  <c r="E71" i="13"/>
  <c r="E70" i="13"/>
  <c r="F70" i="13" s="1"/>
  <c r="G70" i="13" s="1"/>
  <c r="E69" i="13"/>
  <c r="E68" i="13"/>
  <c r="E67" i="13"/>
  <c r="E66" i="13"/>
  <c r="F66" i="13" s="1"/>
  <c r="G66" i="13" s="1"/>
  <c r="E63" i="13"/>
  <c r="D71" i="13"/>
  <c r="D70" i="13"/>
  <c r="D69" i="13"/>
  <c r="D68" i="13"/>
  <c r="D67" i="13"/>
  <c r="D65" i="13"/>
  <c r="D63" i="13"/>
  <c r="D62" i="13"/>
  <c r="D66" i="13"/>
  <c r="K72" i="13"/>
  <c r="I70" i="13"/>
  <c r="J70" i="13" s="1"/>
  <c r="K70" i="13" s="1"/>
  <c r="H70" i="13"/>
  <c r="I69" i="13"/>
  <c r="J69" i="13" s="1"/>
  <c r="K69" i="13" s="1"/>
  <c r="H69" i="13"/>
  <c r="H68" i="13"/>
  <c r="J67" i="13"/>
  <c r="K67" i="13" s="1"/>
  <c r="H67" i="13"/>
  <c r="J66" i="13"/>
  <c r="K66" i="13" s="1"/>
  <c r="H65" i="13"/>
  <c r="J64" i="13"/>
  <c r="K64" i="13" s="1"/>
  <c r="J63" i="13"/>
  <c r="K63" i="13" s="1"/>
  <c r="J62" i="13"/>
  <c r="K62" i="13" s="1"/>
  <c r="F62" i="13"/>
  <c r="G62" i="13" s="1"/>
  <c r="E62" i="13"/>
  <c r="J61" i="13"/>
  <c r="K61" i="13" s="1"/>
  <c r="H61" i="13"/>
  <c r="F60" i="13"/>
  <c r="G60" i="13" s="1"/>
  <c r="E60" i="13"/>
  <c r="D60" i="13"/>
  <c r="O40" i="13"/>
  <c r="Y8" i="13"/>
  <c r="Y7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X11" i="13"/>
  <c r="Y11" i="13"/>
  <c r="DF62" i="12"/>
  <c r="DD62" i="12"/>
  <c r="K121" i="12"/>
  <c r="L121" i="12" s="1"/>
  <c r="H121" i="12"/>
  <c r="L120" i="12"/>
  <c r="H120" i="12"/>
  <c r="L119" i="12"/>
  <c r="L118" i="12"/>
  <c r="L117" i="12"/>
  <c r="H117" i="12"/>
  <c r="L116" i="12"/>
  <c r="H116" i="12"/>
  <c r="L115" i="12"/>
  <c r="H115" i="12"/>
  <c r="L114" i="12"/>
  <c r="K113" i="12"/>
  <c r="L113" i="12" s="1"/>
  <c r="E113" i="12"/>
  <c r="J112" i="12"/>
  <c r="K112" i="12" s="1"/>
  <c r="L112" i="12" s="1"/>
  <c r="H112" i="12"/>
  <c r="K111" i="12"/>
  <c r="L111" i="12" s="1"/>
  <c r="E111" i="12"/>
  <c r="K110" i="12"/>
  <c r="L110" i="12" s="1"/>
  <c r="H110" i="12"/>
  <c r="K109" i="12"/>
  <c r="L109" i="12" s="1"/>
  <c r="H109" i="12"/>
  <c r="F108" i="12"/>
  <c r="E108" i="12"/>
  <c r="K107" i="12"/>
  <c r="L107" i="12" s="1"/>
  <c r="H107" i="12"/>
  <c r="K106" i="12"/>
  <c r="L106" i="12" s="1"/>
  <c r="H106" i="12"/>
  <c r="K105" i="12"/>
  <c r="L105" i="12" s="1"/>
  <c r="K104" i="12"/>
  <c r="L104" i="12" s="1"/>
  <c r="H104" i="12"/>
  <c r="K103" i="12"/>
  <c r="L103" i="12" s="1"/>
  <c r="H103" i="12"/>
  <c r="K102" i="12"/>
  <c r="L102" i="12" s="1"/>
  <c r="K101" i="12"/>
  <c r="L101" i="12" s="1"/>
  <c r="J101" i="12"/>
  <c r="H101" i="12"/>
  <c r="J100" i="12"/>
  <c r="K100" i="12" s="1"/>
  <c r="L100" i="12" s="1"/>
  <c r="H100" i="12"/>
  <c r="K99" i="12"/>
  <c r="L99" i="12" s="1"/>
  <c r="H99" i="12"/>
  <c r="K98" i="12"/>
  <c r="L98" i="12" s="1"/>
  <c r="H98" i="12"/>
  <c r="K97" i="12"/>
  <c r="L97" i="12" s="1"/>
  <c r="H97" i="12"/>
  <c r="H96" i="12"/>
  <c r="H95" i="12"/>
  <c r="J94" i="12"/>
  <c r="K94" i="12" s="1"/>
  <c r="L94" i="12" s="1"/>
  <c r="H94" i="12"/>
  <c r="K93" i="12"/>
  <c r="L93" i="12" s="1"/>
  <c r="K92" i="12"/>
  <c r="L92" i="12" s="1"/>
  <c r="J91" i="12"/>
  <c r="K91" i="12" s="1"/>
  <c r="L91" i="12" s="1"/>
  <c r="H91" i="12"/>
  <c r="K90" i="12"/>
  <c r="L90" i="12" s="1"/>
  <c r="H90" i="12"/>
  <c r="K89" i="12"/>
  <c r="L89" i="12" s="1"/>
  <c r="H89" i="12"/>
  <c r="K88" i="12"/>
  <c r="L88" i="12" s="1"/>
  <c r="H88" i="12"/>
  <c r="K87" i="12"/>
  <c r="L87" i="12" s="1"/>
  <c r="H87" i="12"/>
  <c r="L86" i="12"/>
  <c r="K86" i="12"/>
  <c r="H86" i="12"/>
  <c r="K85" i="12"/>
  <c r="L85" i="12" s="1"/>
  <c r="H85" i="12"/>
  <c r="H84" i="12"/>
  <c r="H83" i="12"/>
  <c r="K82" i="12"/>
  <c r="L82" i="12" s="1"/>
  <c r="K81" i="12"/>
  <c r="L81" i="12" s="1"/>
  <c r="H81" i="12"/>
  <c r="K80" i="12"/>
  <c r="L80" i="12" s="1"/>
  <c r="K79" i="12"/>
  <c r="L79" i="12" s="1"/>
  <c r="H79" i="12"/>
  <c r="K78" i="12"/>
  <c r="L78" i="12" s="1"/>
  <c r="E78" i="12"/>
  <c r="K77" i="12"/>
  <c r="L77" i="12" s="1"/>
  <c r="E77" i="12"/>
  <c r="H76" i="12"/>
  <c r="J75" i="12"/>
  <c r="I75" i="12"/>
  <c r="H75" i="12"/>
  <c r="J74" i="12"/>
  <c r="I74" i="12"/>
  <c r="H74" i="12"/>
  <c r="K73" i="12"/>
  <c r="L73" i="12" s="1"/>
  <c r="E73" i="12"/>
  <c r="K72" i="12"/>
  <c r="L72" i="12" s="1"/>
  <c r="E72" i="12"/>
  <c r="H71" i="12"/>
  <c r="E71" i="12"/>
  <c r="K70" i="12"/>
  <c r="L70" i="12" s="1"/>
  <c r="E70" i="12"/>
  <c r="E69" i="12"/>
  <c r="K68" i="12"/>
  <c r="L68" i="12" s="1"/>
  <c r="H68" i="12"/>
  <c r="E67" i="12"/>
  <c r="E66" i="12"/>
  <c r="J71" i="13" l="1"/>
  <c r="K71" i="13" s="1"/>
  <c r="F68" i="13"/>
  <c r="G68" i="13" s="1"/>
  <c r="F67" i="13"/>
  <c r="G67" i="13" s="1"/>
  <c r="F71" i="13"/>
  <c r="G71" i="13" s="1"/>
  <c r="F65" i="13"/>
  <c r="G65" i="13" s="1"/>
  <c r="F69" i="13"/>
  <c r="G69" i="13" s="1"/>
  <c r="F63" i="13"/>
  <c r="G63" i="13" s="1"/>
  <c r="K60" i="13"/>
  <c r="Y54" i="13"/>
  <c r="K75" i="12"/>
  <c r="L75" i="12" s="1"/>
  <c r="K74" i="12"/>
  <c r="L74" i="12" s="1"/>
  <c r="K96" i="12"/>
  <c r="L96" i="12" s="1"/>
  <c r="Y7" i="12"/>
  <c r="Y8" i="12"/>
  <c r="Y9" i="12"/>
  <c r="FD9" i="12" s="1"/>
  <c r="Y12" i="12"/>
  <c r="Y13" i="12"/>
  <c r="Y14" i="12"/>
  <c r="Y15" i="12"/>
  <c r="FD15" i="12" s="1"/>
  <c r="FE15" i="12" s="1"/>
  <c r="Y16" i="12"/>
  <c r="Y17" i="12"/>
  <c r="Y18" i="12"/>
  <c r="Y19" i="12"/>
  <c r="FD19" i="12" s="1"/>
  <c r="FE19" i="12" s="1"/>
  <c r="Y20" i="12"/>
  <c r="Y21" i="12"/>
  <c r="Y22" i="12"/>
  <c r="Y23" i="12"/>
  <c r="FD23" i="12" s="1"/>
  <c r="FE23" i="12" s="1"/>
  <c r="Y24" i="12"/>
  <c r="Y25" i="12"/>
  <c r="Y26" i="12"/>
  <c r="Y27" i="12"/>
  <c r="FD27" i="12" s="1"/>
  <c r="FE27" i="12" s="1"/>
  <c r="Y28" i="12"/>
  <c r="Y29" i="12"/>
  <c r="Y30" i="12"/>
  <c r="Y31" i="12"/>
  <c r="FD31" i="12" s="1"/>
  <c r="FE31" i="12" s="1"/>
  <c r="Y32" i="12"/>
  <c r="Y33" i="12"/>
  <c r="Y34" i="12"/>
  <c r="Y35" i="12"/>
  <c r="FD35" i="12" s="1"/>
  <c r="FE35" i="12" s="1"/>
  <c r="Y36" i="12"/>
  <c r="Y37" i="12"/>
  <c r="Y38" i="12"/>
  <c r="Y39" i="12"/>
  <c r="FD39" i="12" s="1"/>
  <c r="FE39" i="12" s="1"/>
  <c r="Y40" i="12"/>
  <c r="Y41" i="12"/>
  <c r="Y42" i="12"/>
  <c r="Y11" i="12"/>
  <c r="FD11" i="12" s="1"/>
  <c r="FE11" i="12" s="1"/>
  <c r="X6" i="12"/>
  <c r="F64" i="9"/>
  <c r="E64" i="9"/>
  <c r="D64" i="9"/>
  <c r="F63" i="9"/>
  <c r="E63" i="9"/>
  <c r="D63" i="9"/>
  <c r="F62" i="9"/>
  <c r="E62" i="9"/>
  <c r="D62" i="9"/>
  <c r="F60" i="9"/>
  <c r="E60" i="9"/>
  <c r="D60" i="9"/>
  <c r="E53" i="9"/>
  <c r="D53" i="9"/>
  <c r="F57" i="9"/>
  <c r="E57" i="9"/>
  <c r="D57" i="9"/>
  <c r="F55" i="9"/>
  <c r="F56" i="9" s="1"/>
  <c r="D55" i="9"/>
  <c r="D56" i="9" s="1"/>
  <c r="F54" i="9"/>
  <c r="E54" i="9"/>
  <c r="D54" i="9"/>
  <c r="D58" i="9" s="1"/>
  <c r="G51" i="9"/>
  <c r="F20" i="9"/>
  <c r="F21" i="9"/>
  <c r="F22" i="9"/>
  <c r="F23" i="9"/>
  <c r="G23" i="9" s="1"/>
  <c r="F24" i="9"/>
  <c r="F25" i="9"/>
  <c r="F26" i="9"/>
  <c r="F27" i="9"/>
  <c r="G27" i="9" s="1"/>
  <c r="F28" i="9"/>
  <c r="F29" i="9"/>
  <c r="F30" i="9"/>
  <c r="F31" i="9"/>
  <c r="G31" i="9" s="1"/>
  <c r="F32" i="9"/>
  <c r="F33" i="9"/>
  <c r="F34" i="9"/>
  <c r="F35" i="9"/>
  <c r="G35" i="9" s="1"/>
  <c r="F36" i="9"/>
  <c r="F37" i="9"/>
  <c r="F38" i="9"/>
  <c r="F39" i="9"/>
  <c r="G39" i="9" s="1"/>
  <c r="F40" i="9"/>
  <c r="F41" i="9"/>
  <c r="F42" i="9"/>
  <c r="F43" i="9"/>
  <c r="G43" i="9" s="1"/>
  <c r="F44" i="9"/>
  <c r="F45" i="9"/>
  <c r="F46" i="9"/>
  <c r="F47" i="9"/>
  <c r="G47" i="9" s="1"/>
  <c r="F48" i="9"/>
  <c r="F49" i="9"/>
  <c r="F50" i="9"/>
  <c r="F51" i="9"/>
  <c r="F19" i="9"/>
  <c r="D14" i="9"/>
  <c r="G50" i="9"/>
  <c r="G49" i="9"/>
  <c r="G48" i="9"/>
  <c r="G46" i="9"/>
  <c r="G45" i="9"/>
  <c r="G44" i="9"/>
  <c r="G42" i="9"/>
  <c r="G41" i="9"/>
  <c r="G40" i="9"/>
  <c r="G38" i="9"/>
  <c r="G37" i="9"/>
  <c r="G36" i="9"/>
  <c r="G34" i="9"/>
  <c r="G33" i="9"/>
  <c r="G32" i="9"/>
  <c r="G30" i="9"/>
  <c r="G29" i="9"/>
  <c r="G28" i="9"/>
  <c r="G26" i="9"/>
  <c r="G25" i="9"/>
  <c r="G24" i="9"/>
  <c r="G22" i="9"/>
  <c r="G21" i="9"/>
  <c r="G20" i="9"/>
  <c r="F50" i="5"/>
  <c r="F51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19" i="5"/>
  <c r="D14" i="5"/>
  <c r="D12" i="5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D13" i="4"/>
  <c r="F19" i="4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19" i="3"/>
  <c r="D14" i="3"/>
  <c r="D13" i="3"/>
  <c r="D12" i="3"/>
  <c r="A9" i="2"/>
  <c r="AK55" i="13"/>
  <c r="FD42" i="12" l="1"/>
  <c r="FE42" i="12" s="1"/>
  <c r="FD34" i="12"/>
  <c r="FE34" i="12" s="1"/>
  <c r="FD26" i="12"/>
  <c r="FE26" i="12" s="1"/>
  <c r="FD22" i="12"/>
  <c r="FE22" i="12" s="1"/>
  <c r="FD14" i="12"/>
  <c r="FE14" i="12" s="1"/>
  <c r="FD41" i="12"/>
  <c r="FE41" i="12" s="1"/>
  <c r="FD37" i="12"/>
  <c r="FE37" i="12" s="1"/>
  <c r="FD29" i="12"/>
  <c r="FE29" i="12" s="1"/>
  <c r="FD25" i="12"/>
  <c r="FE25" i="12" s="1"/>
  <c r="FD21" i="12"/>
  <c r="FE21" i="12" s="1"/>
  <c r="FD17" i="12"/>
  <c r="FE17" i="12" s="1"/>
  <c r="FD13" i="12"/>
  <c r="FE13" i="12" s="1"/>
  <c r="FD33" i="12"/>
  <c r="FE33" i="12" s="1"/>
  <c r="FD38" i="12"/>
  <c r="FE38" i="12" s="1"/>
  <c r="FD30" i="12"/>
  <c r="FE30" i="12" s="1"/>
  <c r="FD18" i="12"/>
  <c r="FE18" i="12" s="1"/>
  <c r="FD40" i="12"/>
  <c r="FE40" i="12" s="1"/>
  <c r="FD36" i="12"/>
  <c r="FE36" i="12" s="1"/>
  <c r="FD32" i="12"/>
  <c r="FE32" i="12" s="1"/>
  <c r="FD28" i="12"/>
  <c r="FE28" i="12" s="1"/>
  <c r="FD24" i="12"/>
  <c r="FE24" i="12" s="1"/>
  <c r="FD20" i="12"/>
  <c r="FE20" i="12" s="1"/>
  <c r="FD16" i="12"/>
  <c r="FE16" i="12" s="1"/>
  <c r="FD12" i="12"/>
  <c r="FE12" i="12" s="1"/>
  <c r="F58" i="9"/>
  <c r="E55" i="9"/>
  <c r="E56" i="9" s="1"/>
  <c r="G19" i="9"/>
  <c r="H5" i="13"/>
  <c r="H4" i="13"/>
  <c r="D6" i="13"/>
  <c r="D4" i="13"/>
  <c r="D5" i="13"/>
  <c r="EJ44" i="12"/>
  <c r="EJ45" i="12"/>
  <c r="EJ46" i="12"/>
  <c r="EJ47" i="12"/>
  <c r="EJ48" i="12"/>
  <c r="EJ49" i="12"/>
  <c r="EJ50" i="12"/>
  <c r="EJ51" i="12"/>
  <c r="EJ52" i="12"/>
  <c r="EJ53" i="12"/>
  <c r="R4" i="12"/>
  <c r="E58" i="9" l="1"/>
  <c r="X33" i="12"/>
  <c r="X34" i="12"/>
  <c r="X35" i="12"/>
  <c r="X36" i="12"/>
  <c r="X37" i="12"/>
  <c r="X38" i="12"/>
  <c r="X39" i="12"/>
  <c r="X40" i="12"/>
  <c r="X41" i="12"/>
  <c r="X42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F19" i="7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11" i="12"/>
  <c r="P12" i="12"/>
  <c r="P13" i="12"/>
  <c r="ET13" i="12" s="1"/>
  <c r="P14" i="12"/>
  <c r="P15" i="12"/>
  <c r="P16" i="12"/>
  <c r="P17" i="12"/>
  <c r="ET17" i="12" s="1"/>
  <c r="P18" i="12"/>
  <c r="P19" i="12"/>
  <c r="P20" i="12"/>
  <c r="P21" i="12"/>
  <c r="ET21" i="12" s="1"/>
  <c r="P22" i="12"/>
  <c r="P23" i="12"/>
  <c r="P24" i="12"/>
  <c r="P25" i="12"/>
  <c r="ET25" i="12" s="1"/>
  <c r="P26" i="12"/>
  <c r="P27" i="12"/>
  <c r="P28" i="12"/>
  <c r="P29" i="12"/>
  <c r="ET29" i="12" s="1"/>
  <c r="P30" i="12"/>
  <c r="P31" i="12"/>
  <c r="P32" i="12"/>
  <c r="P33" i="12"/>
  <c r="P34" i="12"/>
  <c r="P35" i="12"/>
  <c r="P36" i="12"/>
  <c r="P37" i="12"/>
  <c r="ET37" i="12" s="1"/>
  <c r="P38" i="12"/>
  <c r="P39" i="12"/>
  <c r="P40" i="12"/>
  <c r="P41" i="12"/>
  <c r="ET41" i="12" s="1"/>
  <c r="P42" i="12"/>
  <c r="P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11" i="12"/>
  <c r="N12" i="12"/>
  <c r="EN12" i="12" s="1"/>
  <c r="N13" i="12"/>
  <c r="N14" i="12"/>
  <c r="N15" i="12"/>
  <c r="N16" i="12"/>
  <c r="EN16" i="12" s="1"/>
  <c r="N17" i="12"/>
  <c r="N18" i="12"/>
  <c r="N19" i="12"/>
  <c r="N20" i="12"/>
  <c r="EN20" i="12" s="1"/>
  <c r="N21" i="12"/>
  <c r="N22" i="12"/>
  <c r="N23" i="12"/>
  <c r="N24" i="12"/>
  <c r="EN24" i="12" s="1"/>
  <c r="N25" i="12"/>
  <c r="N26" i="12"/>
  <c r="N27" i="12"/>
  <c r="N28" i="12"/>
  <c r="EN28" i="12" s="1"/>
  <c r="N29" i="12"/>
  <c r="N30" i="12"/>
  <c r="N31" i="12"/>
  <c r="N32" i="12"/>
  <c r="EN32" i="12" s="1"/>
  <c r="N33" i="12"/>
  <c r="N34" i="12"/>
  <c r="N35" i="12"/>
  <c r="N36" i="12"/>
  <c r="EN36" i="12" s="1"/>
  <c r="N37" i="12"/>
  <c r="N38" i="12"/>
  <c r="N39" i="12"/>
  <c r="N40" i="12"/>
  <c r="EN40" i="12" s="1"/>
  <c r="N41" i="12"/>
  <c r="N42" i="12"/>
  <c r="N9" i="12"/>
  <c r="EN9" i="12" s="1"/>
  <c r="O9" i="12"/>
  <c r="P9" i="12"/>
  <c r="N7" i="12"/>
  <c r="N4" i="12"/>
  <c r="K4" i="12"/>
  <c r="H4" i="12"/>
  <c r="D4" i="12"/>
  <c r="O8" i="12"/>
  <c r="O8" i="13" s="1"/>
  <c r="P8" i="12"/>
  <c r="P8" i="13" s="1"/>
  <c r="N8" i="12"/>
  <c r="O7" i="12"/>
  <c r="O7" i="13" s="1"/>
  <c r="P7" i="12"/>
  <c r="P7" i="13" s="1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11" i="12"/>
  <c r="L9" i="12"/>
  <c r="K9" i="12"/>
  <c r="L8" i="12"/>
  <c r="L8" i="13" s="1"/>
  <c r="K8" i="12"/>
  <c r="L7" i="12"/>
  <c r="L7" i="13" s="1"/>
  <c r="K7" i="12"/>
  <c r="I12" i="12"/>
  <c r="I13" i="12"/>
  <c r="I14" i="12"/>
  <c r="CL14" i="12" s="1"/>
  <c r="I15" i="12"/>
  <c r="I16" i="12"/>
  <c r="I17" i="12"/>
  <c r="I18" i="12"/>
  <c r="CL18" i="12" s="1"/>
  <c r="I19" i="12"/>
  <c r="I20" i="12"/>
  <c r="I21" i="12"/>
  <c r="I22" i="12"/>
  <c r="CL22" i="12" s="1"/>
  <c r="I23" i="12"/>
  <c r="I24" i="12"/>
  <c r="I25" i="12"/>
  <c r="I26" i="12"/>
  <c r="CL26" i="12" s="1"/>
  <c r="I27" i="12"/>
  <c r="I28" i="12"/>
  <c r="I29" i="12"/>
  <c r="I30" i="12"/>
  <c r="CL30" i="12" s="1"/>
  <c r="I31" i="12"/>
  <c r="I32" i="12"/>
  <c r="I33" i="12"/>
  <c r="I34" i="12"/>
  <c r="I35" i="12"/>
  <c r="I36" i="12"/>
  <c r="I37" i="12"/>
  <c r="I38" i="12"/>
  <c r="CL38" i="12" s="1"/>
  <c r="I39" i="12"/>
  <c r="I40" i="12"/>
  <c r="I41" i="12"/>
  <c r="I42" i="12"/>
  <c r="CL42" i="12" s="1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3" s="1"/>
  <c r="E40" i="12"/>
  <c r="E41" i="13" s="1"/>
  <c r="E41" i="12"/>
  <c r="E42" i="13" s="1"/>
  <c r="E42" i="12"/>
  <c r="E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3" s="1"/>
  <c r="D40" i="12"/>
  <c r="D41" i="13" s="1"/>
  <c r="D41" i="12"/>
  <c r="D42" i="13" s="1"/>
  <c r="D42" i="12"/>
  <c r="I11" i="12"/>
  <c r="H11" i="12"/>
  <c r="I8" i="12"/>
  <c r="H8" i="12"/>
  <c r="I7" i="12"/>
  <c r="H7" i="12"/>
  <c r="I9" i="12"/>
  <c r="CL9" i="12" s="1"/>
  <c r="H9" i="12"/>
  <c r="CH9" i="12" s="1"/>
  <c r="H6" i="12"/>
  <c r="H5" i="12"/>
  <c r="D11" i="12"/>
  <c r="E9" i="12"/>
  <c r="BR9" i="12" s="1"/>
  <c r="F9" i="12"/>
  <c r="BT9" i="12" s="1"/>
  <c r="D9" i="12"/>
  <c r="BN9" i="12" s="1"/>
  <c r="E8" i="12"/>
  <c r="E8" i="13" s="1"/>
  <c r="F8" i="12"/>
  <c r="F8" i="13" s="1"/>
  <c r="D8" i="12"/>
  <c r="E7" i="12"/>
  <c r="E7" i="13" s="1"/>
  <c r="F7" i="12"/>
  <c r="F7" i="13" s="1"/>
  <c r="D7" i="12"/>
  <c r="D6" i="12"/>
  <c r="D5" i="12"/>
  <c r="E51" i="9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41" i="7"/>
  <c r="G41" i="7" s="1"/>
  <c r="F42" i="7"/>
  <c r="G42" i="7" s="1"/>
  <c r="CH35" i="12" l="1"/>
  <c r="CI35" i="12" s="1"/>
  <c r="DX36" i="12"/>
  <c r="CD36" i="12"/>
  <c r="DX20" i="12"/>
  <c r="CD20" i="12"/>
  <c r="ED36" i="12"/>
  <c r="ED20" i="12"/>
  <c r="ED12" i="12"/>
  <c r="O9" i="13"/>
  <c r="ER9" i="12"/>
  <c r="O33" i="13"/>
  <c r="ER33" i="12"/>
  <c r="O21" i="13"/>
  <c r="ER21" i="12"/>
  <c r="O13" i="13"/>
  <c r="ER13" i="12"/>
  <c r="P33" i="13"/>
  <c r="ET33" i="12"/>
  <c r="CH42" i="12"/>
  <c r="CI42" i="12" s="1"/>
  <c r="CH38" i="12"/>
  <c r="CI38" i="12" s="1"/>
  <c r="CH34" i="12"/>
  <c r="CI34" i="12" s="1"/>
  <c r="CH30" i="12"/>
  <c r="CI30" i="12" s="1"/>
  <c r="CH26" i="12"/>
  <c r="CI26" i="12" s="1"/>
  <c r="CH22" i="12"/>
  <c r="CI22" i="12" s="1"/>
  <c r="CH18" i="12"/>
  <c r="CI18" i="12" s="1"/>
  <c r="CH14" i="12"/>
  <c r="CI14" i="12" s="1"/>
  <c r="CL41" i="12"/>
  <c r="CL37" i="12"/>
  <c r="I33" i="13"/>
  <c r="CL33" i="12"/>
  <c r="CL29" i="12"/>
  <c r="CL25" i="12"/>
  <c r="CL21" i="12"/>
  <c r="CL17" i="12"/>
  <c r="CL13" i="12"/>
  <c r="CD11" i="12"/>
  <c r="DX11" i="12"/>
  <c r="DX39" i="12"/>
  <c r="CD39" i="12"/>
  <c r="DX35" i="12"/>
  <c r="CD35" i="12"/>
  <c r="DX31" i="12"/>
  <c r="CD31" i="12"/>
  <c r="DX27" i="12"/>
  <c r="CD27" i="12"/>
  <c r="DX23" i="12"/>
  <c r="CD23" i="12"/>
  <c r="DX19" i="12"/>
  <c r="CD19" i="12"/>
  <c r="DX15" i="12"/>
  <c r="CD15" i="12"/>
  <c r="ED11" i="12"/>
  <c r="ED39" i="12"/>
  <c r="L35" i="13"/>
  <c r="ED35" i="12"/>
  <c r="ED31" i="12"/>
  <c r="ED27" i="12"/>
  <c r="ED23" i="12"/>
  <c r="ED19" i="12"/>
  <c r="ED15" i="12"/>
  <c r="EN39" i="12"/>
  <c r="EN35" i="12"/>
  <c r="EN31" i="12"/>
  <c r="EN27" i="12"/>
  <c r="EN23" i="12"/>
  <c r="EN19" i="12"/>
  <c r="EN15" i="12"/>
  <c r="O11" i="13"/>
  <c r="ER11" i="12"/>
  <c r="O41" i="13"/>
  <c r="ER39" i="12"/>
  <c r="O38" i="13"/>
  <c r="ER36" i="12"/>
  <c r="O32" i="13"/>
  <c r="ER32" i="12"/>
  <c r="O28" i="13"/>
  <c r="ER28" i="12"/>
  <c r="O24" i="13"/>
  <c r="ER24" i="12"/>
  <c r="O20" i="13"/>
  <c r="ER20" i="12"/>
  <c r="O16" i="13"/>
  <c r="ER16" i="12"/>
  <c r="O12" i="13"/>
  <c r="ER12" i="12"/>
  <c r="ET40" i="12"/>
  <c r="ET36" i="12"/>
  <c r="ET32" i="12"/>
  <c r="ET28" i="12"/>
  <c r="ET24" i="12"/>
  <c r="ET20" i="12"/>
  <c r="ET16" i="12"/>
  <c r="ET12" i="12"/>
  <c r="V35" i="13"/>
  <c r="CH39" i="12"/>
  <c r="CI39" i="12" s="1"/>
  <c r="CH27" i="12"/>
  <c r="CI27" i="12" s="1"/>
  <c r="CH19" i="12"/>
  <c r="CI19" i="12" s="1"/>
  <c r="I34" i="13"/>
  <c r="CL34" i="12"/>
  <c r="DX40" i="12"/>
  <c r="CD40" i="12"/>
  <c r="DX32" i="12"/>
  <c r="CD32" i="12"/>
  <c r="DX24" i="12"/>
  <c r="CD24" i="12"/>
  <c r="DX16" i="12"/>
  <c r="CD16" i="12"/>
  <c r="DX12" i="12"/>
  <c r="CD12" i="12"/>
  <c r="ED32" i="12"/>
  <c r="ED24" i="12"/>
  <c r="ED16" i="12"/>
  <c r="ER37" i="12"/>
  <c r="O25" i="13"/>
  <c r="ER25" i="12"/>
  <c r="CH11" i="12"/>
  <c r="CH41" i="12"/>
  <c r="CI41" i="12" s="1"/>
  <c r="CH37" i="12"/>
  <c r="CI37" i="12" s="1"/>
  <c r="CH33" i="12"/>
  <c r="CI33" i="12" s="1"/>
  <c r="CH29" i="12"/>
  <c r="CI29" i="12" s="1"/>
  <c r="CH25" i="12"/>
  <c r="CI25" i="12" s="1"/>
  <c r="CH21" i="12"/>
  <c r="CI21" i="12" s="1"/>
  <c r="CH17" i="12"/>
  <c r="CI17" i="12" s="1"/>
  <c r="CH13" i="12"/>
  <c r="CI13" i="12" s="1"/>
  <c r="CL40" i="12"/>
  <c r="CL36" i="12"/>
  <c r="CL32" i="12"/>
  <c r="CL28" i="12"/>
  <c r="CL24" i="12"/>
  <c r="CL20" i="12"/>
  <c r="CL16" i="12"/>
  <c r="CL12" i="12"/>
  <c r="CD42" i="12"/>
  <c r="DX42" i="12"/>
  <c r="DX38" i="12"/>
  <c r="CD38" i="12"/>
  <c r="DX34" i="12"/>
  <c r="CD34" i="12"/>
  <c r="DX30" i="12"/>
  <c r="CD30" i="12"/>
  <c r="DX26" i="12"/>
  <c r="CD26" i="12"/>
  <c r="CD22" i="12"/>
  <c r="DX22" i="12"/>
  <c r="DX18" i="12"/>
  <c r="CD18" i="12"/>
  <c r="DX14" i="12"/>
  <c r="CD14" i="12"/>
  <c r="ED42" i="12"/>
  <c r="ED38" i="12"/>
  <c r="L34" i="13"/>
  <c r="ED34" i="12"/>
  <c r="ED30" i="12"/>
  <c r="ED26" i="12"/>
  <c r="ED22" i="12"/>
  <c r="ED18" i="12"/>
  <c r="ED14" i="12"/>
  <c r="EN42" i="12"/>
  <c r="EN38" i="12"/>
  <c r="N34" i="13"/>
  <c r="EN34" i="12"/>
  <c r="EN30" i="12"/>
  <c r="EN26" i="12"/>
  <c r="EN22" i="12"/>
  <c r="EN18" i="12"/>
  <c r="EN14" i="12"/>
  <c r="ER42" i="12"/>
  <c r="ER35" i="12"/>
  <c r="O31" i="13"/>
  <c r="ER31" i="12"/>
  <c r="O27" i="13"/>
  <c r="ER27" i="12"/>
  <c r="O23" i="13"/>
  <c r="ER23" i="12"/>
  <c r="O19" i="13"/>
  <c r="ER19" i="12"/>
  <c r="O15" i="13"/>
  <c r="ER15" i="12"/>
  <c r="ET11" i="12"/>
  <c r="ET39" i="12"/>
  <c r="P35" i="13"/>
  <c r="ET35" i="12"/>
  <c r="ET31" i="12"/>
  <c r="ET27" i="12"/>
  <c r="ET23" i="12"/>
  <c r="ET19" i="12"/>
  <c r="ET15" i="12"/>
  <c r="U35" i="13"/>
  <c r="V34" i="13"/>
  <c r="CH31" i="12"/>
  <c r="CI31" i="12" s="1"/>
  <c r="CH23" i="12"/>
  <c r="CI23" i="12" s="1"/>
  <c r="CH15" i="12"/>
  <c r="CI15" i="12" s="1"/>
  <c r="L9" i="13"/>
  <c r="AR8" i="13" s="1"/>
  <c r="ED9" i="12"/>
  <c r="DX28" i="12"/>
  <c r="CD28" i="12"/>
  <c r="ED40" i="12"/>
  <c r="ED28" i="12"/>
  <c r="O42" i="13"/>
  <c r="ER40" i="12"/>
  <c r="O29" i="13"/>
  <c r="ER29" i="12"/>
  <c r="O17" i="13"/>
  <c r="ER17" i="12"/>
  <c r="U33" i="13"/>
  <c r="CL11" i="12"/>
  <c r="CH40" i="12"/>
  <c r="CI40" i="12" s="1"/>
  <c r="CH36" i="12"/>
  <c r="CI36" i="12" s="1"/>
  <c r="CH32" i="12"/>
  <c r="CI32" i="12" s="1"/>
  <c r="CH28" i="12"/>
  <c r="CI28" i="12" s="1"/>
  <c r="CH24" i="12"/>
  <c r="CI24" i="12" s="1"/>
  <c r="CH20" i="12"/>
  <c r="CI20" i="12" s="1"/>
  <c r="CH16" i="12"/>
  <c r="CI16" i="12" s="1"/>
  <c r="CH12" i="12"/>
  <c r="CI12" i="12" s="1"/>
  <c r="CL39" i="12"/>
  <c r="CL35" i="12"/>
  <c r="CL31" i="12"/>
  <c r="CL27" i="12"/>
  <c r="CL23" i="12"/>
  <c r="CL19" i="12"/>
  <c r="CL15" i="12"/>
  <c r="DX9" i="12"/>
  <c r="CD9" i="12"/>
  <c r="DX41" i="12"/>
  <c r="CD41" i="12"/>
  <c r="DX37" i="12"/>
  <c r="CD37" i="12"/>
  <c r="CE37" i="12" s="1"/>
  <c r="CD33" i="12"/>
  <c r="DX33" i="12"/>
  <c r="DX29" i="12"/>
  <c r="CD29" i="12"/>
  <c r="CE29" i="12" s="1"/>
  <c r="DX25" i="12"/>
  <c r="CD25" i="12"/>
  <c r="CD21" i="12"/>
  <c r="DX21" i="12"/>
  <c r="CD17" i="12"/>
  <c r="DX17" i="12"/>
  <c r="DX13" i="12"/>
  <c r="CD13" i="12"/>
  <c r="CE13" i="12" s="1"/>
  <c r="ED41" i="12"/>
  <c r="ED37" i="12"/>
  <c r="L33" i="13"/>
  <c r="AR33" i="13" s="1"/>
  <c r="AS33" i="13" s="1"/>
  <c r="ED33" i="12"/>
  <c r="ED29" i="12"/>
  <c r="ED25" i="12"/>
  <c r="ED21" i="12"/>
  <c r="ED17" i="12"/>
  <c r="ED13" i="12"/>
  <c r="P9" i="13"/>
  <c r="ET9" i="12"/>
  <c r="EN41" i="12"/>
  <c r="EN37" i="12"/>
  <c r="N33" i="13"/>
  <c r="EN33" i="12"/>
  <c r="EN29" i="12"/>
  <c r="EN25" i="12"/>
  <c r="EN21" i="12"/>
  <c r="EN17" i="12"/>
  <c r="EN13" i="12"/>
  <c r="ER41" i="12"/>
  <c r="O39" i="13"/>
  <c r="ER38" i="12"/>
  <c r="ER34" i="12"/>
  <c r="O30" i="13"/>
  <c r="ER30" i="12"/>
  <c r="O26" i="13"/>
  <c r="ER26" i="12"/>
  <c r="O22" i="13"/>
  <c r="ER22" i="12"/>
  <c r="O18" i="13"/>
  <c r="ER18" i="12"/>
  <c r="O14" i="13"/>
  <c r="ER14" i="12"/>
  <c r="ET42" i="12"/>
  <c r="ET38" i="12"/>
  <c r="P34" i="13"/>
  <c r="ET34" i="12"/>
  <c r="ET30" i="12"/>
  <c r="ET26" i="12"/>
  <c r="ET22" i="12"/>
  <c r="ET18" i="12"/>
  <c r="ET14" i="12"/>
  <c r="U34" i="13"/>
  <c r="V33" i="13"/>
  <c r="BN11" i="12"/>
  <c r="BN41" i="12"/>
  <c r="BN38" i="12"/>
  <c r="BO38" i="12" s="1"/>
  <c r="BN34" i="12"/>
  <c r="BO34" i="12" s="1"/>
  <c r="BN30" i="12"/>
  <c r="BO30" i="12" s="1"/>
  <c r="BN26" i="12"/>
  <c r="BO26" i="12" s="1"/>
  <c r="BN22" i="12"/>
  <c r="BO22" i="12" s="1"/>
  <c r="BN18" i="12"/>
  <c r="BO18" i="12" s="1"/>
  <c r="BN14" i="12"/>
  <c r="BO14" i="12" s="1"/>
  <c r="BR42" i="12"/>
  <c r="BT11" i="12"/>
  <c r="BT39" i="12"/>
  <c r="BT31" i="12"/>
  <c r="BT27" i="12"/>
  <c r="BT23" i="12"/>
  <c r="BT19" i="12"/>
  <c r="BT15" i="12"/>
  <c r="BU15" i="12" s="1"/>
  <c r="M11" i="12"/>
  <c r="M39" i="12"/>
  <c r="M31" i="12"/>
  <c r="M27" i="12"/>
  <c r="M23" i="12"/>
  <c r="M19" i="12"/>
  <c r="M15" i="12"/>
  <c r="J30" i="12"/>
  <c r="J14" i="12"/>
  <c r="BN42" i="12"/>
  <c r="BN35" i="12"/>
  <c r="BO35" i="12" s="1"/>
  <c r="BN31" i="12"/>
  <c r="BN27" i="12"/>
  <c r="BO27" i="12" s="1"/>
  <c r="BN23" i="12"/>
  <c r="BO23" i="12" s="1"/>
  <c r="BN19" i="12"/>
  <c r="BO19" i="12" s="1"/>
  <c r="BN15" i="12"/>
  <c r="E11" i="13"/>
  <c r="BR11" i="12"/>
  <c r="BR39" i="12"/>
  <c r="E38" i="13"/>
  <c r="BR36" i="12"/>
  <c r="E32" i="13"/>
  <c r="BR32" i="12"/>
  <c r="BS32" i="12" s="1"/>
  <c r="E28" i="13"/>
  <c r="BR28" i="12"/>
  <c r="BS28" i="12" s="1"/>
  <c r="E24" i="13"/>
  <c r="BR24" i="12"/>
  <c r="BS24" i="12" s="1"/>
  <c r="E20" i="13"/>
  <c r="BR20" i="12"/>
  <c r="BS20" i="12" s="1"/>
  <c r="E16" i="13"/>
  <c r="BR16" i="12"/>
  <c r="BS16" i="12" s="1"/>
  <c r="E12" i="13"/>
  <c r="BR12" i="12"/>
  <c r="BS12" i="12" s="1"/>
  <c r="BT40" i="12"/>
  <c r="BT36" i="12"/>
  <c r="BU36" i="12" s="1"/>
  <c r="BT32" i="12"/>
  <c r="BT28" i="12"/>
  <c r="BT24" i="12"/>
  <c r="BT20" i="12"/>
  <c r="BU20" i="12" s="1"/>
  <c r="BT16" i="12"/>
  <c r="BT12" i="12"/>
  <c r="J39" i="12"/>
  <c r="J35" i="12"/>
  <c r="J31" i="12"/>
  <c r="J27" i="12"/>
  <c r="J23" i="12"/>
  <c r="J19" i="12"/>
  <c r="J15" i="12"/>
  <c r="M40" i="12"/>
  <c r="M36" i="12"/>
  <c r="M32" i="12"/>
  <c r="M28" i="12"/>
  <c r="M24" i="12"/>
  <c r="M20" i="12"/>
  <c r="M16" i="12"/>
  <c r="M12" i="12"/>
  <c r="E37" i="13"/>
  <c r="BR35" i="12"/>
  <c r="J42" i="12"/>
  <c r="H34" i="13"/>
  <c r="J34" i="12"/>
  <c r="J18" i="12"/>
  <c r="E27" i="13"/>
  <c r="BR27" i="12"/>
  <c r="BS27" i="12" s="1"/>
  <c r="E19" i="13"/>
  <c r="BR19" i="12"/>
  <c r="BS19" i="12" s="1"/>
  <c r="F35" i="13"/>
  <c r="BT35" i="12"/>
  <c r="J38" i="12"/>
  <c r="J22" i="12"/>
  <c r="J11" i="12"/>
  <c r="BN40" i="12"/>
  <c r="BO40" i="12" s="1"/>
  <c r="BN37" i="12"/>
  <c r="BO37" i="12" s="1"/>
  <c r="BN33" i="12"/>
  <c r="BO33" i="12" s="1"/>
  <c r="BN29" i="12"/>
  <c r="BO29" i="12" s="1"/>
  <c r="BN25" i="12"/>
  <c r="BO25" i="12" s="1"/>
  <c r="BN21" i="12"/>
  <c r="BO21" i="12" s="1"/>
  <c r="BN17" i="12"/>
  <c r="BO17" i="12" s="1"/>
  <c r="BN13" i="12"/>
  <c r="BO13" i="12" s="1"/>
  <c r="BR41" i="12"/>
  <c r="E39" i="13"/>
  <c r="BR38" i="12"/>
  <c r="BR34" i="12"/>
  <c r="BS34" i="12" s="1"/>
  <c r="E30" i="13"/>
  <c r="BR30" i="12"/>
  <c r="E26" i="13"/>
  <c r="BR26" i="12"/>
  <c r="BS26" i="12" s="1"/>
  <c r="E22" i="13"/>
  <c r="BR22" i="12"/>
  <c r="BS22" i="12" s="1"/>
  <c r="E18" i="13"/>
  <c r="BR18" i="12"/>
  <c r="BS18" i="12" s="1"/>
  <c r="E14" i="13"/>
  <c r="BR14" i="12"/>
  <c r="BS14" i="12" s="1"/>
  <c r="BT42" i="12"/>
  <c r="BT38" i="12"/>
  <c r="F34" i="13"/>
  <c r="BT34" i="12"/>
  <c r="BT30" i="12"/>
  <c r="BU30" i="12" s="1"/>
  <c r="BT26" i="12"/>
  <c r="BT22" i="12"/>
  <c r="BT18" i="12"/>
  <c r="BT14" i="12"/>
  <c r="J41" i="12"/>
  <c r="J37" i="12"/>
  <c r="H33" i="13"/>
  <c r="J33" i="12"/>
  <c r="J29" i="12"/>
  <c r="J25" i="12"/>
  <c r="J21" i="12"/>
  <c r="J17" i="12"/>
  <c r="J13" i="12"/>
  <c r="M42" i="12"/>
  <c r="M38" i="12"/>
  <c r="K34" i="13"/>
  <c r="M34" i="12"/>
  <c r="M30" i="12"/>
  <c r="M26" i="12"/>
  <c r="M22" i="12"/>
  <c r="M18" i="12"/>
  <c r="M14" i="12"/>
  <c r="E31" i="13"/>
  <c r="BR31" i="12"/>
  <c r="BS31" i="12" s="1"/>
  <c r="E23" i="13"/>
  <c r="BR23" i="12"/>
  <c r="E15" i="13"/>
  <c r="BR15" i="12"/>
  <c r="BS15" i="12" s="1"/>
  <c r="J26" i="12"/>
  <c r="K35" i="13"/>
  <c r="M35" i="12"/>
  <c r="BN39" i="12"/>
  <c r="BO39" i="12" s="1"/>
  <c r="BN36" i="12"/>
  <c r="BO36" i="12" s="1"/>
  <c r="BN32" i="12"/>
  <c r="BO32" i="12" s="1"/>
  <c r="BN28" i="12"/>
  <c r="BN24" i="12"/>
  <c r="BO24" i="12" s="1"/>
  <c r="BN20" i="12"/>
  <c r="BO20" i="12" s="1"/>
  <c r="BN16" i="12"/>
  <c r="BO16" i="12" s="1"/>
  <c r="BN12" i="12"/>
  <c r="BO12" i="12" s="1"/>
  <c r="BR40" i="12"/>
  <c r="BR37" i="12"/>
  <c r="BR33" i="12"/>
  <c r="BS33" i="12" s="1"/>
  <c r="E29" i="13"/>
  <c r="BR29" i="12"/>
  <c r="BS29" i="12" s="1"/>
  <c r="E25" i="13"/>
  <c r="BR25" i="12"/>
  <c r="BS25" i="12" s="1"/>
  <c r="E21" i="13"/>
  <c r="BR21" i="12"/>
  <c r="E17" i="13"/>
  <c r="BR17" i="12"/>
  <c r="BS17" i="12" s="1"/>
  <c r="E13" i="13"/>
  <c r="BR13" i="12"/>
  <c r="BS13" i="12" s="1"/>
  <c r="BT41" i="12"/>
  <c r="BT37" i="12"/>
  <c r="F33" i="13"/>
  <c r="BT33" i="12"/>
  <c r="BT29" i="12"/>
  <c r="BT25" i="12"/>
  <c r="BT21" i="12"/>
  <c r="BU21" i="12" s="1"/>
  <c r="BT17" i="12"/>
  <c r="BU17" i="12" s="1"/>
  <c r="BT13" i="12"/>
  <c r="J40" i="12"/>
  <c r="J36" i="12"/>
  <c r="J32" i="12"/>
  <c r="J28" i="12"/>
  <c r="J24" i="12"/>
  <c r="J20" i="12"/>
  <c r="J16" i="12"/>
  <c r="J12" i="12"/>
  <c r="M41" i="12"/>
  <c r="M37" i="12"/>
  <c r="K33" i="13"/>
  <c r="M33" i="12"/>
  <c r="M29" i="12"/>
  <c r="M25" i="12"/>
  <c r="M21" i="12"/>
  <c r="M17" i="12"/>
  <c r="M13" i="12"/>
  <c r="D37" i="13"/>
  <c r="G35" i="12"/>
  <c r="D19" i="13"/>
  <c r="G19" i="12"/>
  <c r="G41" i="12"/>
  <c r="D39" i="13"/>
  <c r="G38" i="12"/>
  <c r="G34" i="12"/>
  <c r="D30" i="13"/>
  <c r="G30" i="12"/>
  <c r="D26" i="13"/>
  <c r="G26" i="12"/>
  <c r="D22" i="13"/>
  <c r="G22" i="12"/>
  <c r="D18" i="13"/>
  <c r="G18" i="12"/>
  <c r="D14" i="13"/>
  <c r="G14" i="12"/>
  <c r="G42" i="12"/>
  <c r="D31" i="13"/>
  <c r="G31" i="12"/>
  <c r="D23" i="13"/>
  <c r="G23" i="12"/>
  <c r="D15" i="13"/>
  <c r="G15" i="12"/>
  <c r="G40" i="12"/>
  <c r="G37" i="12"/>
  <c r="G33" i="12"/>
  <c r="D29" i="13"/>
  <c r="G29" i="12"/>
  <c r="D25" i="13"/>
  <c r="G25" i="12"/>
  <c r="D21" i="13"/>
  <c r="G21" i="12"/>
  <c r="D17" i="13"/>
  <c r="G17" i="12"/>
  <c r="D13" i="13"/>
  <c r="G13" i="12"/>
  <c r="D27" i="13"/>
  <c r="G27" i="12"/>
  <c r="G11" i="12"/>
  <c r="G39" i="12"/>
  <c r="D38" i="13"/>
  <c r="G36" i="12"/>
  <c r="D32" i="13"/>
  <c r="G32" i="12"/>
  <c r="D28" i="13"/>
  <c r="G28" i="12"/>
  <c r="D24" i="13"/>
  <c r="G24" i="12"/>
  <c r="D20" i="13"/>
  <c r="G20" i="12"/>
  <c r="D16" i="13"/>
  <c r="G16" i="12"/>
  <c r="D12" i="13"/>
  <c r="G12" i="12"/>
  <c r="X34" i="13"/>
  <c r="X33" i="13"/>
  <c r="R34" i="13"/>
  <c r="S34" i="13"/>
  <c r="R33" i="13"/>
  <c r="S33" i="13"/>
  <c r="R35" i="13"/>
  <c r="S35" i="13"/>
  <c r="O35" i="13"/>
  <c r="AV35" i="13" s="1"/>
  <c r="O37" i="13"/>
  <c r="O34" i="13"/>
  <c r="AV34" i="13" s="1"/>
  <c r="O36" i="13"/>
  <c r="F9" i="13"/>
  <c r="E9" i="13"/>
  <c r="D34" i="13"/>
  <c r="D36" i="13"/>
  <c r="E34" i="13"/>
  <c r="E36" i="13"/>
  <c r="D33" i="13"/>
  <c r="D35" i="13"/>
  <c r="E33" i="13"/>
  <c r="E35" i="13"/>
  <c r="BQ13" i="12"/>
  <c r="EI31" i="12"/>
  <c r="BQ12" i="12"/>
  <c r="BU35" i="12"/>
  <c r="EI34" i="12"/>
  <c r="EI33" i="12"/>
  <c r="EI32" i="12"/>
  <c r="BM29" i="12"/>
  <c r="BM14" i="12"/>
  <c r="BQ40" i="12"/>
  <c r="BQ37" i="12"/>
  <c r="BQ33" i="12"/>
  <c r="BQ29" i="12"/>
  <c r="BQ25" i="12"/>
  <c r="BQ21" i="12"/>
  <c r="BQ18" i="12"/>
  <c r="BQ14" i="12"/>
  <c r="BS21" i="12"/>
  <c r="BM32" i="12"/>
  <c r="BM13" i="12"/>
  <c r="BO28" i="12"/>
  <c r="BQ39" i="12"/>
  <c r="BQ36" i="12"/>
  <c r="BQ32" i="12"/>
  <c r="BQ28" i="12"/>
  <c r="BQ24" i="12"/>
  <c r="BQ17" i="12"/>
  <c r="BO42" i="12"/>
  <c r="BO31" i="12"/>
  <c r="BQ42" i="12"/>
  <c r="BQ35" i="12"/>
  <c r="BQ31" i="12"/>
  <c r="BQ27" i="12"/>
  <c r="BQ23" i="12"/>
  <c r="BQ20" i="12"/>
  <c r="BQ16" i="12"/>
  <c r="BS23" i="12"/>
  <c r="BM41" i="12"/>
  <c r="BM26" i="12"/>
  <c r="BO41" i="12"/>
  <c r="BO15" i="12"/>
  <c r="BQ41" i="12"/>
  <c r="BQ38" i="12"/>
  <c r="BQ34" i="12"/>
  <c r="BQ30" i="12"/>
  <c r="BQ26" i="12"/>
  <c r="BQ22" i="12"/>
  <c r="BQ19" i="12"/>
  <c r="BQ15" i="12"/>
  <c r="BS30" i="12"/>
  <c r="Q42" i="12"/>
  <c r="Q35" i="12"/>
  <c r="Q31" i="12"/>
  <c r="Q27" i="12"/>
  <c r="Q23" i="12"/>
  <c r="Q20" i="12"/>
  <c r="Q16" i="12"/>
  <c r="Q12" i="12"/>
  <c r="Q41" i="12"/>
  <c r="Q38" i="12"/>
  <c r="Q34" i="12"/>
  <c r="Q30" i="12"/>
  <c r="Q26" i="12"/>
  <c r="Q22" i="12"/>
  <c r="Q19" i="12"/>
  <c r="Q15" i="12"/>
  <c r="Q39" i="12"/>
  <c r="Q36" i="12"/>
  <c r="Q32" i="12"/>
  <c r="Q28" i="12"/>
  <c r="Q24" i="12"/>
  <c r="Q17" i="12"/>
  <c r="Q13" i="12"/>
  <c r="Q40" i="12"/>
  <c r="Q37" i="12"/>
  <c r="Q33" i="12"/>
  <c r="Q29" i="12"/>
  <c r="Q25" i="12"/>
  <c r="Q21" i="12"/>
  <c r="Q18" i="12"/>
  <c r="Q14" i="12"/>
  <c r="F54" i="12"/>
  <c r="E54" i="12"/>
  <c r="F56" i="6"/>
  <c r="E56" i="6"/>
  <c r="D56" i="6"/>
  <c r="E53" i="6"/>
  <c r="E54" i="6" s="1"/>
  <c r="E55" i="6" s="1"/>
  <c r="F53" i="6"/>
  <c r="F54" i="6" s="1"/>
  <c r="F55" i="6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H41" i="6" s="1"/>
  <c r="G42" i="6"/>
  <c r="H42" i="6" s="1"/>
  <c r="G43" i="6"/>
  <c r="G44" i="6"/>
  <c r="G45" i="6"/>
  <c r="G46" i="6"/>
  <c r="G47" i="6"/>
  <c r="G48" i="6"/>
  <c r="G49" i="6"/>
  <c r="G50" i="6"/>
  <c r="G19" i="6"/>
  <c r="E52" i="6"/>
  <c r="E57" i="5"/>
  <c r="D57" i="5"/>
  <c r="D53" i="5"/>
  <c r="E53" i="4"/>
  <c r="D53" i="4"/>
  <c r="E52" i="3"/>
  <c r="F52" i="3"/>
  <c r="D52" i="3"/>
  <c r="G41" i="5"/>
  <c r="G42" i="5"/>
  <c r="D57" i="4"/>
  <c r="D54" i="4"/>
  <c r="G19" i="4"/>
  <c r="G41" i="4"/>
  <c r="G42" i="4"/>
  <c r="G43" i="4"/>
  <c r="G44" i="4"/>
  <c r="G45" i="4"/>
  <c r="G46" i="4"/>
  <c r="G47" i="4"/>
  <c r="G48" i="4"/>
  <c r="G49" i="4"/>
  <c r="G50" i="4"/>
  <c r="E56" i="3"/>
  <c r="F56" i="3"/>
  <c r="D56" i="3"/>
  <c r="O54" i="13" l="1"/>
  <c r="AR34" i="13"/>
  <c r="AS34" i="13" s="1"/>
  <c r="AV33" i="13"/>
  <c r="E54" i="13"/>
  <c r="AR35" i="13"/>
  <c r="AV8" i="13"/>
  <c r="CE22" i="12"/>
  <c r="CE21" i="12"/>
  <c r="CE16" i="12"/>
  <c r="CE32" i="12"/>
  <c r="EU34" i="12"/>
  <c r="CE25" i="12"/>
  <c r="DY33" i="12"/>
  <c r="CE41" i="12"/>
  <c r="CE17" i="12"/>
  <c r="CE33" i="12"/>
  <c r="EU12" i="12"/>
  <c r="ES11" i="12"/>
  <c r="CE19" i="12"/>
  <c r="CE27" i="12"/>
  <c r="CE35" i="12"/>
  <c r="CE28" i="12"/>
  <c r="CE18" i="12"/>
  <c r="CE26" i="12"/>
  <c r="CE34" i="12"/>
  <c r="CE61" i="12"/>
  <c r="CE11" i="12"/>
  <c r="CD54" i="12"/>
  <c r="CE36" i="12"/>
  <c r="BS61" i="12"/>
  <c r="EU11" i="12"/>
  <c r="ET63" i="12"/>
  <c r="ET54" i="12"/>
  <c r="BO61" i="12"/>
  <c r="EE33" i="12"/>
  <c r="DY34" i="12"/>
  <c r="CE42" i="12"/>
  <c r="CE12" i="12"/>
  <c r="CE24" i="12"/>
  <c r="CE40" i="12"/>
  <c r="CE15" i="12"/>
  <c r="CE23" i="12"/>
  <c r="CE31" i="12"/>
  <c r="CE39" i="12"/>
  <c r="EU33" i="12"/>
  <c r="CM61" i="12"/>
  <c r="EE34" i="12"/>
  <c r="CE14" i="12"/>
  <c r="CE30" i="12"/>
  <c r="CE38" i="12"/>
  <c r="CI11" i="12"/>
  <c r="CI61" i="12"/>
  <c r="CH54" i="12"/>
  <c r="CE20" i="12"/>
  <c r="BM16" i="12"/>
  <c r="BM31" i="12"/>
  <c r="BM35" i="12"/>
  <c r="BM36" i="12"/>
  <c r="BM18" i="12"/>
  <c r="BM15" i="12"/>
  <c r="BM20" i="12"/>
  <c r="BM17" i="12"/>
  <c r="BM33" i="12"/>
  <c r="BM30" i="12"/>
  <c r="BU23" i="12"/>
  <c r="BM19" i="12"/>
  <c r="BM34" i="12"/>
  <c r="BM23" i="12"/>
  <c r="BM24" i="12"/>
  <c r="BM39" i="12"/>
  <c r="BM21" i="12"/>
  <c r="BM37" i="12"/>
  <c r="BM22" i="12"/>
  <c r="BM38" i="12"/>
  <c r="BM12" i="12"/>
  <c r="BM27" i="12"/>
  <c r="BM42" i="12"/>
  <c r="BM28" i="12"/>
  <c r="BM11" i="12"/>
  <c r="BM25" i="12"/>
  <c r="BU18" i="12"/>
  <c r="BU33" i="12"/>
  <c r="BU26" i="12"/>
  <c r="BU41" i="12"/>
  <c r="BU32" i="12"/>
  <c r="BS41" i="12"/>
  <c r="BS40" i="12"/>
  <c r="BS42" i="12"/>
  <c r="BU37" i="12"/>
  <c r="BS39" i="12"/>
  <c r="BS37" i="12"/>
  <c r="E57" i="6"/>
  <c r="BS38" i="12"/>
  <c r="BS35" i="12"/>
  <c r="BS36" i="12"/>
  <c r="BM40" i="12"/>
  <c r="BU25" i="12"/>
  <c r="BU40" i="12"/>
  <c r="BU19" i="12"/>
  <c r="BU34" i="12"/>
  <c r="BU12" i="12"/>
  <c r="BU27" i="12"/>
  <c r="BU42" i="12"/>
  <c r="BU24" i="12"/>
  <c r="BU39" i="12"/>
  <c r="BU14" i="12"/>
  <c r="BU29" i="12"/>
  <c r="BU22" i="12"/>
  <c r="BU38" i="12"/>
  <c r="BU16" i="12"/>
  <c r="BU31" i="12"/>
  <c r="BU13" i="12"/>
  <c r="BU28" i="12"/>
  <c r="BS11" i="12"/>
  <c r="BR54" i="12"/>
  <c r="F72" i="12" s="1"/>
  <c r="BO11" i="12"/>
  <c r="BO63" i="12" s="1"/>
  <c r="BN54" i="12"/>
  <c r="F70" i="12" s="1"/>
  <c r="BU11" i="12"/>
  <c r="BU61" i="12" s="1"/>
  <c r="BT54" i="12"/>
  <c r="F73" i="12" s="1"/>
  <c r="CH61" i="12" l="1"/>
  <c r="G80" i="12" s="1"/>
  <c r="H80" i="12" s="1"/>
  <c r="F80" i="12"/>
  <c r="F114" i="12"/>
  <c r="ET61" i="12"/>
  <c r="G114" i="12" s="1"/>
  <c r="H114" i="12" s="1"/>
  <c r="CD61" i="12"/>
  <c r="G78" i="12" s="1"/>
  <c r="H78" i="12" s="1"/>
  <c r="F78" i="12"/>
  <c r="CI54" i="12"/>
  <c r="CI63" i="12"/>
  <c r="CI62" i="12" s="1"/>
  <c r="CE63" i="12"/>
  <c r="CE62" i="12" s="1"/>
  <c r="CE54" i="12"/>
  <c r="CC61" i="12"/>
  <c r="BR61" i="12"/>
  <c r="G72" i="12" s="1"/>
  <c r="H72" i="12" s="1"/>
  <c r="BT61" i="12"/>
  <c r="G73" i="12" s="1"/>
  <c r="H73" i="12" s="1"/>
  <c r="BN61" i="12"/>
  <c r="G70" i="12" s="1"/>
  <c r="H70" i="12" s="1"/>
  <c r="BS54" i="12"/>
  <c r="BS63" i="12"/>
  <c r="BU63" i="12"/>
  <c r="BU54" i="12"/>
  <c r="BO54" i="12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D53" i="3"/>
  <c r="BU62" i="12" l="1"/>
  <c r="BS62" i="12"/>
  <c r="BO62" i="12"/>
  <c r="D54" i="3"/>
  <c r="D55" i="3" s="1"/>
  <c r="E53" i="3"/>
  <c r="F53" i="3"/>
  <c r="F54" i="3" l="1"/>
  <c r="F55" i="3" s="1"/>
  <c r="E54" i="3"/>
  <c r="E55" i="3" s="1"/>
  <c r="D57" i="3"/>
  <c r="AK57" i="13"/>
  <c r="AK54" i="13"/>
  <c r="AJ54" i="13"/>
  <c r="X6" i="13"/>
  <c r="X5" i="13"/>
  <c r="U6" i="13"/>
  <c r="U5" i="13"/>
  <c r="R6" i="13"/>
  <c r="R5" i="13"/>
  <c r="N8" i="13"/>
  <c r="N9" i="13"/>
  <c r="N7" i="13"/>
  <c r="N6" i="13"/>
  <c r="N5" i="13"/>
  <c r="K8" i="13"/>
  <c r="K9" i="13"/>
  <c r="K7" i="13"/>
  <c r="K6" i="13"/>
  <c r="K5" i="13"/>
  <c r="H8" i="13"/>
  <c r="I8" i="13"/>
  <c r="H9" i="13"/>
  <c r="I9" i="13"/>
  <c r="I7" i="13"/>
  <c r="H7" i="13"/>
  <c r="H6" i="13"/>
  <c r="D8" i="13"/>
  <c r="D9" i="13"/>
  <c r="D7" i="13"/>
  <c r="CZ63" i="12"/>
  <c r="DA63" i="12"/>
  <c r="DB63" i="12"/>
  <c r="DC63" i="12"/>
  <c r="DH63" i="12"/>
  <c r="DI63" i="12"/>
  <c r="DJ63" i="12"/>
  <c r="DK63" i="12"/>
  <c r="DL63" i="12"/>
  <c r="DM63" i="12"/>
  <c r="DN63" i="12"/>
  <c r="DO63" i="12"/>
  <c r="DP63" i="12"/>
  <c r="DQ63" i="12"/>
  <c r="DR63" i="12"/>
  <c r="DS63" i="12"/>
  <c r="DT63" i="12"/>
  <c r="DU63" i="12"/>
  <c r="DV63" i="12"/>
  <c r="DW63" i="12"/>
  <c r="DZ63" i="12"/>
  <c r="EA63" i="12"/>
  <c r="EB63" i="12"/>
  <c r="EC63" i="12"/>
  <c r="FH63" i="12"/>
  <c r="FI63" i="12"/>
  <c r="AP8" i="13" l="1"/>
  <c r="AP34" i="13"/>
  <c r="AQ34" i="13" s="1"/>
  <c r="AP33" i="13"/>
  <c r="AP35" i="13"/>
  <c r="AT8" i="13"/>
  <c r="AT34" i="13"/>
  <c r="AT33" i="13"/>
  <c r="AD8" i="13"/>
  <c r="D61" i="13" s="1"/>
  <c r="AD33" i="13"/>
  <c r="AD34" i="13"/>
  <c r="AD35" i="13"/>
  <c r="G33" i="13"/>
  <c r="G34" i="13"/>
  <c r="G35" i="13"/>
  <c r="M35" i="13"/>
  <c r="M33" i="13"/>
  <c r="M34" i="13"/>
  <c r="J34" i="13"/>
  <c r="J33" i="13"/>
  <c r="F57" i="3"/>
  <c r="E57" i="3"/>
  <c r="Q34" i="13"/>
  <c r="Q33" i="13"/>
  <c r="AP51" i="13"/>
  <c r="AP49" i="13"/>
  <c r="AE34" i="13" l="1"/>
  <c r="AE33" i="13"/>
  <c r="AQ33" i="13"/>
  <c r="AW34" i="13"/>
  <c r="AW33" i="13"/>
  <c r="AU33" i="13"/>
  <c r="AU34" i="13"/>
  <c r="FF49" i="12"/>
  <c r="FG49" i="12" s="1"/>
  <c r="FF51" i="12"/>
  <c r="FG51" i="12" s="1"/>
  <c r="FD49" i="12"/>
  <c r="FE49" i="12" s="1"/>
  <c r="FD51" i="12"/>
  <c r="FE51" i="12" s="1"/>
  <c r="EZ43" i="12"/>
  <c r="FA43" i="12" s="1"/>
  <c r="EZ49" i="12"/>
  <c r="FA49" i="12" s="1"/>
  <c r="EZ51" i="12"/>
  <c r="FA51" i="12" s="1"/>
  <c r="EX43" i="12"/>
  <c r="EY43" i="12" s="1"/>
  <c r="EX49" i="12"/>
  <c r="EY49" i="12" s="1"/>
  <c r="EX51" i="12"/>
  <c r="EY51" i="12" s="1"/>
  <c r="FB62" i="12"/>
  <c r="EU13" i="12"/>
  <c r="EU14" i="12"/>
  <c r="EU15" i="12"/>
  <c r="EU16" i="12"/>
  <c r="EU17" i="12"/>
  <c r="EU18" i="12"/>
  <c r="EU19" i="12"/>
  <c r="EU20" i="12"/>
  <c r="EU21" i="12"/>
  <c r="EU22" i="12"/>
  <c r="EU23" i="12"/>
  <c r="EU24" i="12"/>
  <c r="EU25" i="12"/>
  <c r="EU26" i="12"/>
  <c r="EU27" i="12"/>
  <c r="EU28" i="12"/>
  <c r="EU29" i="12"/>
  <c r="EU30" i="12"/>
  <c r="EU31" i="12"/>
  <c r="EU32" i="12"/>
  <c r="EU35" i="12"/>
  <c r="EU36" i="12"/>
  <c r="EU37" i="12"/>
  <c r="EU38" i="12"/>
  <c r="EU39" i="12"/>
  <c r="EU40" i="12"/>
  <c r="EU41" i="12"/>
  <c r="EU42" i="12"/>
  <c r="EU43" i="12"/>
  <c r="EU44" i="12"/>
  <c r="EU45" i="12"/>
  <c r="EU46" i="12"/>
  <c r="EU47" i="12"/>
  <c r="EU48" i="12"/>
  <c r="EU49" i="12"/>
  <c r="EU50" i="12"/>
  <c r="EU51" i="12"/>
  <c r="EU52" i="12"/>
  <c r="EU53" i="12"/>
  <c r="ER53" i="12"/>
  <c r="EN53" i="12"/>
  <c r="EL53" i="12"/>
  <c r="EM53" i="12" s="1"/>
  <c r="EK44" i="12"/>
  <c r="EK45" i="12"/>
  <c r="EK46" i="12"/>
  <c r="EK47" i="12"/>
  <c r="EK48" i="12"/>
  <c r="EK49" i="12"/>
  <c r="EK50" i="12"/>
  <c r="EK51" i="12"/>
  <c r="EK52" i="12"/>
  <c r="EK53" i="12"/>
  <c r="EJ64" i="12"/>
  <c r="EJ65" i="12"/>
  <c r="EH49" i="12"/>
  <c r="EH51" i="12"/>
  <c r="EU63" i="12" l="1"/>
  <c r="EU61" i="12"/>
  <c r="EU62" i="12" s="1"/>
  <c r="EU54" i="12"/>
  <c r="ES34" i="12"/>
  <c r="ES13" i="12"/>
  <c r="ES22" i="12"/>
  <c r="ES32" i="12"/>
  <c r="ES21" i="12"/>
  <c r="ES30" i="12"/>
  <c r="ES24" i="12"/>
  <c r="ES29" i="12"/>
  <c r="ES17" i="12"/>
  <c r="ES23" i="12"/>
  <c r="ES28" i="12"/>
  <c r="ES12" i="12"/>
  <c r="ES18" i="12"/>
  <c r="ES16" i="12"/>
  <c r="ES20" i="12"/>
  <c r="ES25" i="12"/>
  <c r="ES19" i="12"/>
  <c r="ES26" i="12"/>
  <c r="ES15" i="12"/>
  <c r="ES14" i="12"/>
  <c r="ES27" i="12"/>
  <c r="ES33" i="12"/>
  <c r="ES31" i="12"/>
  <c r="EK14" i="12"/>
  <c r="ES53" i="12"/>
  <c r="ED43" i="12"/>
  <c r="ED49" i="12"/>
  <c r="ED51" i="12"/>
  <c r="ED62" i="12"/>
  <c r="DX43" i="12"/>
  <c r="DY43" i="12" s="1"/>
  <c r="DX49" i="12"/>
  <c r="DY49" i="12" s="1"/>
  <c r="DX51" i="12"/>
  <c r="DY51" i="12" s="1"/>
  <c r="DX62" i="12"/>
  <c r="CX43" i="12"/>
  <c r="CY43" i="12" s="1"/>
  <c r="CX49" i="12"/>
  <c r="CY49" i="12" s="1"/>
  <c r="CX51" i="12"/>
  <c r="CY51" i="12" s="1"/>
  <c r="CV9" i="12"/>
  <c r="CV43" i="12"/>
  <c r="CW43" i="12" s="1"/>
  <c r="CV49" i="12"/>
  <c r="CW49" i="12" s="1"/>
  <c r="CV51" i="12"/>
  <c r="CW51" i="12" s="1"/>
  <c r="BP43" i="12"/>
  <c r="BQ43" i="12" s="1"/>
  <c r="BP49" i="12"/>
  <c r="BQ49" i="12" s="1"/>
  <c r="BP51" i="12"/>
  <c r="BQ51" i="12" s="1"/>
  <c r="EO34" i="12" l="1"/>
  <c r="EO33" i="12"/>
  <c r="EO23" i="12"/>
  <c r="EO19" i="12"/>
  <c r="EO15" i="12"/>
  <c r="EO18" i="12"/>
  <c r="EO13" i="12"/>
  <c r="EO16" i="12"/>
  <c r="EO14" i="12"/>
  <c r="EO12" i="12"/>
  <c r="EO17" i="12"/>
  <c r="EM14" i="12"/>
  <c r="EM11" i="12"/>
  <c r="BH43" i="12"/>
  <c r="BH49" i="12"/>
  <c r="BH51" i="12"/>
  <c r="BF43" i="12"/>
  <c r="BF49" i="12"/>
  <c r="BF51" i="12"/>
  <c r="X8" i="12" l="1"/>
  <c r="X8" i="13" s="1"/>
  <c r="X9" i="12"/>
  <c r="X7" i="12"/>
  <c r="X7" i="13" s="1"/>
  <c r="U8" i="12"/>
  <c r="U8" i="13" s="1"/>
  <c r="V8" i="12"/>
  <c r="V8" i="13" s="1"/>
  <c r="U9" i="12"/>
  <c r="V9" i="12"/>
  <c r="V7" i="12"/>
  <c r="V7" i="13" s="1"/>
  <c r="U7" i="12"/>
  <c r="U7" i="13" s="1"/>
  <c r="R9" i="12"/>
  <c r="S9" i="12"/>
  <c r="R8" i="12"/>
  <c r="R8" i="13" s="1"/>
  <c r="S8" i="12"/>
  <c r="S8" i="13" s="1"/>
  <c r="S7" i="12"/>
  <c r="S7" i="13" s="1"/>
  <c r="R7" i="12"/>
  <c r="R7" i="13" s="1"/>
  <c r="X5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U13" i="13"/>
  <c r="U14" i="13"/>
  <c r="U17" i="13"/>
  <c r="U18" i="13"/>
  <c r="U21" i="13"/>
  <c r="U24" i="13"/>
  <c r="U25" i="13"/>
  <c r="U28" i="13"/>
  <c r="U29" i="13"/>
  <c r="U32" i="13"/>
  <c r="U6" i="12"/>
  <c r="U5" i="12"/>
  <c r="R5" i="12"/>
  <c r="R6" i="12"/>
  <c r="N11" i="12"/>
  <c r="EN11" i="12" s="1"/>
  <c r="EO11" i="12" s="1"/>
  <c r="N6" i="12"/>
  <c r="N5" i="12"/>
  <c r="K5" i="12"/>
  <c r="K6" i="12"/>
  <c r="I13" i="13"/>
  <c r="I14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5" i="13"/>
  <c r="AW35" i="13" s="1"/>
  <c r="I36" i="13"/>
  <c r="I37" i="13"/>
  <c r="I38" i="13"/>
  <c r="I39" i="13"/>
  <c r="I40" i="13"/>
  <c r="I42" i="13"/>
  <c r="I11" i="13"/>
  <c r="F12" i="13"/>
  <c r="F20" i="7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E64" i="4"/>
  <c r="D64" i="4"/>
  <c r="E63" i="4"/>
  <c r="D63" i="4"/>
  <c r="E62" i="4"/>
  <c r="D62" i="4"/>
  <c r="E57" i="4"/>
  <c r="E54" i="4"/>
  <c r="G12" i="13" l="1"/>
  <c r="AD12" i="13"/>
  <c r="DF9" i="12"/>
  <c r="DF12" i="12"/>
  <c r="DG12" i="12" s="1"/>
  <c r="DF39" i="12"/>
  <c r="DG39" i="12" s="1"/>
  <c r="DF27" i="12"/>
  <c r="DG27" i="12" s="1"/>
  <c r="DF36" i="12"/>
  <c r="DG36" i="12" s="1"/>
  <c r="DF42" i="12"/>
  <c r="DG42" i="12" s="1"/>
  <c r="DF30" i="12"/>
  <c r="DG30" i="12" s="1"/>
  <c r="DF14" i="12"/>
  <c r="DG14" i="12" s="1"/>
  <c r="DF32" i="12"/>
  <c r="DG32" i="12" s="1"/>
  <c r="DF21" i="12"/>
  <c r="DG21" i="12" s="1"/>
  <c r="DF23" i="12"/>
  <c r="DG23" i="12" s="1"/>
  <c r="DF28" i="12"/>
  <c r="DG28" i="12" s="1"/>
  <c r="DF38" i="12"/>
  <c r="DG38" i="12" s="1"/>
  <c r="DF26" i="12"/>
  <c r="DG26" i="12" s="1"/>
  <c r="DF24" i="12"/>
  <c r="DG24" i="12" s="1"/>
  <c r="DF33" i="12"/>
  <c r="DG33" i="12" s="1"/>
  <c r="DF17" i="12"/>
  <c r="DG17" i="12" s="1"/>
  <c r="DF15" i="12"/>
  <c r="DG15" i="12" s="1"/>
  <c r="DF18" i="12"/>
  <c r="DG18" i="12" s="1"/>
  <c r="DF40" i="12"/>
  <c r="DG40" i="12" s="1"/>
  <c r="DF25" i="12"/>
  <c r="DG25" i="12" s="1"/>
  <c r="DF35" i="12"/>
  <c r="DG35" i="12" s="1"/>
  <c r="DF19" i="12"/>
  <c r="DG19" i="12" s="1"/>
  <c r="DF20" i="12"/>
  <c r="DG20" i="12" s="1"/>
  <c r="DF22" i="12"/>
  <c r="DG22" i="12" s="1"/>
  <c r="DF16" i="12"/>
  <c r="DG16" i="12" s="1"/>
  <c r="DF41" i="12"/>
  <c r="DG41" i="12" s="1"/>
  <c r="DF29" i="12"/>
  <c r="DG29" i="12" s="1"/>
  <c r="DF13" i="12"/>
  <c r="DG13" i="12" s="1"/>
  <c r="DF31" i="12"/>
  <c r="DG31" i="12" s="1"/>
  <c r="DF34" i="12"/>
  <c r="DG34" i="12" s="1"/>
  <c r="DF37" i="12"/>
  <c r="DG37" i="12" s="1"/>
  <c r="Z31" i="12"/>
  <c r="FB31" i="12"/>
  <c r="Z23" i="12"/>
  <c r="FB23" i="12"/>
  <c r="Z19" i="12"/>
  <c r="FB19" i="12"/>
  <c r="Z30" i="12"/>
  <c r="FB30" i="12"/>
  <c r="Z26" i="12"/>
  <c r="FB26" i="12"/>
  <c r="Z22" i="12"/>
  <c r="FB22" i="12"/>
  <c r="Z18" i="12"/>
  <c r="FB18" i="12"/>
  <c r="Z14" i="12"/>
  <c r="FB14" i="12"/>
  <c r="Z29" i="12"/>
  <c r="FB29" i="12"/>
  <c r="Z25" i="12"/>
  <c r="FB25" i="12"/>
  <c r="Z21" i="12"/>
  <c r="FB21" i="12"/>
  <c r="Z17" i="12"/>
  <c r="FB17" i="12"/>
  <c r="Z13" i="12"/>
  <c r="FB13" i="12"/>
  <c r="DD9" i="12"/>
  <c r="DD40" i="12"/>
  <c r="DE40" i="12" s="1"/>
  <c r="DD24" i="12"/>
  <c r="DD39" i="12"/>
  <c r="DD27" i="12"/>
  <c r="DE27" i="12" s="1"/>
  <c r="DD34" i="12"/>
  <c r="DE34" i="12" s="1"/>
  <c r="DD18" i="12"/>
  <c r="DD36" i="12"/>
  <c r="DD20" i="12"/>
  <c r="DE20" i="12" s="1"/>
  <c r="DD29" i="12"/>
  <c r="DE29" i="12" s="1"/>
  <c r="DD23" i="12"/>
  <c r="DD33" i="12"/>
  <c r="DD42" i="12"/>
  <c r="DE42" i="12" s="1"/>
  <c r="DD30" i="12"/>
  <c r="DE30" i="12" s="1"/>
  <c r="DD14" i="12"/>
  <c r="DD17" i="12"/>
  <c r="DD28" i="12"/>
  <c r="DE28" i="12" s="1"/>
  <c r="DD12" i="12"/>
  <c r="DE12" i="12" s="1"/>
  <c r="DD13" i="12"/>
  <c r="DD22" i="12"/>
  <c r="DD37" i="12"/>
  <c r="DE37" i="12" s="1"/>
  <c r="DD32" i="12"/>
  <c r="DE32" i="12" s="1"/>
  <c r="DD16" i="12"/>
  <c r="DD21" i="12"/>
  <c r="DD35" i="12"/>
  <c r="DE35" i="12" s="1"/>
  <c r="DD19" i="12"/>
  <c r="DE19" i="12" s="1"/>
  <c r="DD25" i="12"/>
  <c r="DD38" i="12"/>
  <c r="DD26" i="12"/>
  <c r="DE26" i="12" s="1"/>
  <c r="DD31" i="12"/>
  <c r="DE31" i="12" s="1"/>
  <c r="DD15" i="12"/>
  <c r="DD41" i="12"/>
  <c r="FB9" i="12"/>
  <c r="FB42" i="12"/>
  <c r="FB36" i="12"/>
  <c r="FB38" i="12"/>
  <c r="FB41" i="12"/>
  <c r="FB34" i="12"/>
  <c r="FC34" i="12" s="1"/>
  <c r="FB37" i="12"/>
  <c r="FB39" i="12"/>
  <c r="FB33" i="12"/>
  <c r="FC33" i="12" s="1"/>
  <c r="FB35" i="12"/>
  <c r="FC35" i="12" s="1"/>
  <c r="FB40" i="12"/>
  <c r="Z27" i="12"/>
  <c r="FB27" i="12"/>
  <c r="FC27" i="12" s="1"/>
  <c r="Z15" i="12"/>
  <c r="FB15" i="12"/>
  <c r="Z32" i="12"/>
  <c r="FB32" i="12"/>
  <c r="FC32" i="12" s="1"/>
  <c r="Z28" i="12"/>
  <c r="FB28" i="12"/>
  <c r="Z24" i="12"/>
  <c r="FB24" i="12"/>
  <c r="FC24" i="12" s="1"/>
  <c r="Z20" i="12"/>
  <c r="FB20" i="12"/>
  <c r="Z16" i="12"/>
  <c r="FB16" i="12"/>
  <c r="Z12" i="12"/>
  <c r="FB12" i="12"/>
  <c r="CB9" i="12"/>
  <c r="CB11" i="12"/>
  <c r="Z34" i="12"/>
  <c r="Z41" i="12"/>
  <c r="Z39" i="12"/>
  <c r="Z42" i="12"/>
  <c r="Z37" i="12"/>
  <c r="Z40" i="12"/>
  <c r="Z35" i="12"/>
  <c r="Z38" i="12"/>
  <c r="Z33" i="12"/>
  <c r="Z36" i="12"/>
  <c r="CM39" i="12"/>
  <c r="CM20" i="12"/>
  <c r="CM36" i="12"/>
  <c r="CM31" i="12"/>
  <c r="CM15" i="12"/>
  <c r="CM18" i="12"/>
  <c r="CB41" i="12"/>
  <c r="CB30" i="12"/>
  <c r="CB15" i="12"/>
  <c r="CB28" i="12"/>
  <c r="CC28" i="12" s="1"/>
  <c r="CB29" i="12"/>
  <c r="CB27" i="12"/>
  <c r="CB12" i="12"/>
  <c r="CC12" i="12" s="1"/>
  <c r="CB38" i="12"/>
  <c r="CB26" i="12"/>
  <c r="CB33" i="12"/>
  <c r="CB39" i="12"/>
  <c r="CB24" i="12"/>
  <c r="CB25" i="12"/>
  <c r="CB23" i="12"/>
  <c r="CB22" i="12"/>
  <c r="CC22" i="12" s="1"/>
  <c r="CB21" i="12"/>
  <c r="CB36" i="12"/>
  <c r="CB17" i="12"/>
  <c r="CB18" i="12"/>
  <c r="CC18" i="12" s="1"/>
  <c r="CB35" i="12"/>
  <c r="CB20" i="12"/>
  <c r="CB34" i="12"/>
  <c r="CB19" i="12"/>
  <c r="CB37" i="12"/>
  <c r="CB14" i="12"/>
  <c r="CB32" i="12"/>
  <c r="CB13" i="12"/>
  <c r="CB40" i="12"/>
  <c r="CB42" i="12"/>
  <c r="CB31" i="12"/>
  <c r="CB16" i="12"/>
  <c r="E55" i="4"/>
  <c r="E56" i="4" s="1"/>
  <c r="D55" i="4"/>
  <c r="D56" i="4" s="1"/>
  <c r="Q11" i="12"/>
  <c r="BQ11" i="12"/>
  <c r="V9" i="13"/>
  <c r="W22" i="12"/>
  <c r="W26" i="12"/>
  <c r="W38" i="12"/>
  <c r="T14" i="12"/>
  <c r="T18" i="12"/>
  <c r="T25" i="12"/>
  <c r="T33" i="12"/>
  <c r="T37" i="12"/>
  <c r="W19" i="12"/>
  <c r="W34" i="12"/>
  <c r="W15" i="12"/>
  <c r="W30" i="12"/>
  <c r="W41" i="12"/>
  <c r="T21" i="12"/>
  <c r="T29" i="12"/>
  <c r="T40" i="12"/>
  <c r="T42" i="12"/>
  <c r="T27" i="12"/>
  <c r="T12" i="12"/>
  <c r="W31" i="12"/>
  <c r="W16" i="12"/>
  <c r="T38" i="12"/>
  <c r="T22" i="12"/>
  <c r="W40" i="12"/>
  <c r="W25" i="12"/>
  <c r="T28" i="12"/>
  <c r="T13" i="12"/>
  <c r="W32" i="12"/>
  <c r="W17" i="12"/>
  <c r="T23" i="12"/>
  <c r="W42" i="12"/>
  <c r="W27" i="12"/>
  <c r="W12" i="12"/>
  <c r="T34" i="12"/>
  <c r="T19" i="12"/>
  <c r="W37" i="12"/>
  <c r="W21" i="12"/>
  <c r="T39" i="12"/>
  <c r="T24" i="12"/>
  <c r="W28" i="12"/>
  <c r="W13" i="12"/>
  <c r="T35" i="12"/>
  <c r="T20" i="12"/>
  <c r="W23" i="12"/>
  <c r="T11" i="12"/>
  <c r="T30" i="12"/>
  <c r="T15" i="12"/>
  <c r="W33" i="12"/>
  <c r="W18" i="12"/>
  <c r="T36" i="12"/>
  <c r="W39" i="12"/>
  <c r="W24" i="12"/>
  <c r="T31" i="12"/>
  <c r="T16" i="12"/>
  <c r="W35" i="12"/>
  <c r="W20" i="12"/>
  <c r="T41" i="12"/>
  <c r="T26" i="12"/>
  <c r="W29" i="12"/>
  <c r="W14" i="12"/>
  <c r="T32" i="12"/>
  <c r="T17" i="12"/>
  <c r="W36" i="12"/>
  <c r="X30" i="13"/>
  <c r="X19" i="13"/>
  <c r="X35" i="13"/>
  <c r="X29" i="13"/>
  <c r="X25" i="13"/>
  <c r="X21" i="13"/>
  <c r="X18" i="13"/>
  <c r="X14" i="13"/>
  <c r="X22" i="13"/>
  <c r="X32" i="13"/>
  <c r="X28" i="13"/>
  <c r="X24" i="13"/>
  <c r="X17" i="13"/>
  <c r="X13" i="13"/>
  <c r="X36" i="13"/>
  <c r="X26" i="13"/>
  <c r="X15" i="13"/>
  <c r="X31" i="13"/>
  <c r="X27" i="13"/>
  <c r="X23" i="13"/>
  <c r="X20" i="13"/>
  <c r="AX20" i="13" s="1"/>
  <c r="X16" i="13"/>
  <c r="AX16" i="13" s="1"/>
  <c r="X12" i="13"/>
  <c r="X9" i="13"/>
  <c r="U27" i="13"/>
  <c r="U20" i="13"/>
  <c r="U12" i="13"/>
  <c r="U30" i="13"/>
  <c r="U26" i="13"/>
  <c r="U22" i="13"/>
  <c r="U19" i="13"/>
  <c r="U15" i="13"/>
  <c r="U9" i="13"/>
  <c r="AL24" i="13" s="1"/>
  <c r="U31" i="13"/>
  <c r="U23" i="13"/>
  <c r="U16" i="13"/>
  <c r="R36" i="13"/>
  <c r="R26" i="13"/>
  <c r="R19" i="13"/>
  <c r="S21" i="13"/>
  <c r="R42" i="13"/>
  <c r="R25" i="13"/>
  <c r="R18" i="13"/>
  <c r="S28" i="13"/>
  <c r="S17" i="13"/>
  <c r="R41" i="13"/>
  <c r="R38" i="13"/>
  <c r="R32" i="13"/>
  <c r="R28" i="13"/>
  <c r="R24" i="13"/>
  <c r="R17" i="13"/>
  <c r="R13" i="13"/>
  <c r="S31" i="13"/>
  <c r="S27" i="13"/>
  <c r="S23" i="13"/>
  <c r="S20" i="13"/>
  <c r="S16" i="13"/>
  <c r="S12" i="13"/>
  <c r="EX9" i="12"/>
  <c r="R9" i="13"/>
  <c r="R39" i="13"/>
  <c r="EY30" i="12"/>
  <c r="R30" i="13"/>
  <c r="R22" i="13"/>
  <c r="EY15" i="12"/>
  <c r="R15" i="13"/>
  <c r="S29" i="13"/>
  <c r="S25" i="13"/>
  <c r="S18" i="13"/>
  <c r="R29" i="13"/>
  <c r="R21" i="13"/>
  <c r="R14" i="13"/>
  <c r="S32" i="13"/>
  <c r="S24" i="13"/>
  <c r="S13" i="13"/>
  <c r="EZ9" i="12"/>
  <c r="S9" i="13"/>
  <c r="R40" i="13"/>
  <c r="EY37" i="12"/>
  <c r="R37" i="13"/>
  <c r="R31" i="13"/>
  <c r="EY27" i="12"/>
  <c r="R27" i="13"/>
  <c r="R23" i="13"/>
  <c r="EY20" i="12"/>
  <c r="R20" i="13"/>
  <c r="R16" i="13"/>
  <c r="EY12" i="12"/>
  <c r="R12" i="13"/>
  <c r="S30" i="13"/>
  <c r="S26" i="13"/>
  <c r="S22" i="13"/>
  <c r="S19" i="13"/>
  <c r="S15" i="13"/>
  <c r="S14" i="13"/>
  <c r="CW39" i="12"/>
  <c r="N39" i="13"/>
  <c r="AT39" i="13" s="1"/>
  <c r="CW36" i="12"/>
  <c r="N36" i="13"/>
  <c r="AT36" i="13" s="1"/>
  <c r="CW30" i="12"/>
  <c r="N30" i="13"/>
  <c r="AT30" i="13" s="1"/>
  <c r="CW26" i="12"/>
  <c r="N26" i="13"/>
  <c r="AT26" i="13" s="1"/>
  <c r="CW22" i="12"/>
  <c r="N22" i="13"/>
  <c r="AT22" i="13" s="1"/>
  <c r="CW19" i="12"/>
  <c r="N19" i="13"/>
  <c r="AT19" i="13" s="1"/>
  <c r="CW15" i="12"/>
  <c r="N15" i="13"/>
  <c r="AT15" i="13" s="1"/>
  <c r="CY40" i="12"/>
  <c r="P40" i="13"/>
  <c r="AV40" i="13" s="1"/>
  <c r="AW40" i="13" s="1"/>
  <c r="CY37" i="12"/>
  <c r="P37" i="13"/>
  <c r="AV37" i="13" s="1"/>
  <c r="CY31" i="12"/>
  <c r="P31" i="13"/>
  <c r="AV31" i="13" s="1"/>
  <c r="CY27" i="12"/>
  <c r="P27" i="13"/>
  <c r="AV27" i="13" s="1"/>
  <c r="CY23" i="12"/>
  <c r="P23" i="13"/>
  <c r="AV23" i="13" s="1"/>
  <c r="CY20" i="12"/>
  <c r="P20" i="13"/>
  <c r="AV20" i="13" s="1"/>
  <c r="CY16" i="12"/>
  <c r="P16" i="13"/>
  <c r="AV16" i="13" s="1"/>
  <c r="CY12" i="12"/>
  <c r="P12" i="13"/>
  <c r="AV12" i="13" s="1"/>
  <c r="CW42" i="12"/>
  <c r="N42" i="13"/>
  <c r="AT42" i="13" s="1"/>
  <c r="CW35" i="12"/>
  <c r="N35" i="13"/>
  <c r="AT35" i="13" s="1"/>
  <c r="CW29" i="12"/>
  <c r="N29" i="13"/>
  <c r="AT29" i="13" s="1"/>
  <c r="CW25" i="12"/>
  <c r="N25" i="13"/>
  <c r="AT25" i="13" s="1"/>
  <c r="CW21" i="12"/>
  <c r="N21" i="13"/>
  <c r="AT21" i="13" s="1"/>
  <c r="CW18" i="12"/>
  <c r="N18" i="13"/>
  <c r="AT18" i="13" s="1"/>
  <c r="CW14" i="12"/>
  <c r="N14" i="13"/>
  <c r="AT14" i="13" s="1"/>
  <c r="CY39" i="12"/>
  <c r="P39" i="13"/>
  <c r="AV39" i="13" s="1"/>
  <c r="CY36" i="12"/>
  <c r="P36" i="13"/>
  <c r="AV36" i="13" s="1"/>
  <c r="CY30" i="12"/>
  <c r="P30" i="13"/>
  <c r="AV30" i="13" s="1"/>
  <c r="CY26" i="12"/>
  <c r="P26" i="13"/>
  <c r="AV26" i="13" s="1"/>
  <c r="CY22" i="12"/>
  <c r="P22" i="13"/>
  <c r="AV22" i="13" s="1"/>
  <c r="CY19" i="12"/>
  <c r="P19" i="13"/>
  <c r="AV19" i="13" s="1"/>
  <c r="CY15" i="12"/>
  <c r="P15" i="13"/>
  <c r="AV15" i="13" s="1"/>
  <c r="CY11" i="12"/>
  <c r="P11" i="13"/>
  <c r="CW11" i="12"/>
  <c r="N11" i="13"/>
  <c r="CW41" i="12"/>
  <c r="N41" i="13"/>
  <c r="AT41" i="13" s="1"/>
  <c r="CW38" i="12"/>
  <c r="N38" i="13"/>
  <c r="AT38" i="13" s="1"/>
  <c r="CW32" i="12"/>
  <c r="N32" i="13"/>
  <c r="AT32" i="13" s="1"/>
  <c r="CW28" i="12"/>
  <c r="N28" i="13"/>
  <c r="AT28" i="13" s="1"/>
  <c r="CW24" i="12"/>
  <c r="N24" i="13"/>
  <c r="AT24" i="13" s="1"/>
  <c r="CW17" i="12"/>
  <c r="N17" i="13"/>
  <c r="AT17" i="13" s="1"/>
  <c r="CW13" i="12"/>
  <c r="N13" i="13"/>
  <c r="AT13" i="13" s="1"/>
  <c r="CY42" i="12"/>
  <c r="P42" i="13"/>
  <c r="AV42" i="13" s="1"/>
  <c r="CY35" i="12"/>
  <c r="CY29" i="12"/>
  <c r="P29" i="13"/>
  <c r="AV29" i="13" s="1"/>
  <c r="CY25" i="12"/>
  <c r="P25" i="13"/>
  <c r="AV25" i="13" s="1"/>
  <c r="CY21" i="12"/>
  <c r="P21" i="13"/>
  <c r="AV21" i="13" s="1"/>
  <c r="CY18" i="12"/>
  <c r="P18" i="13"/>
  <c r="AV18" i="13" s="1"/>
  <c r="CY14" i="12"/>
  <c r="P14" i="13"/>
  <c r="AV14" i="13" s="1"/>
  <c r="CW40" i="12"/>
  <c r="N40" i="13"/>
  <c r="AT40" i="13" s="1"/>
  <c r="CW37" i="12"/>
  <c r="N37" i="13"/>
  <c r="AT37" i="13" s="1"/>
  <c r="CW31" i="12"/>
  <c r="N31" i="13"/>
  <c r="AT31" i="13" s="1"/>
  <c r="CW27" i="12"/>
  <c r="N27" i="13"/>
  <c r="AT27" i="13" s="1"/>
  <c r="CW23" i="12"/>
  <c r="N23" i="13"/>
  <c r="AT23" i="13" s="1"/>
  <c r="CW20" i="12"/>
  <c r="N20" i="13"/>
  <c r="AT20" i="13" s="1"/>
  <c r="CW16" i="12"/>
  <c r="N16" i="13"/>
  <c r="AT16" i="13" s="1"/>
  <c r="CW12" i="12"/>
  <c r="N12" i="13"/>
  <c r="AT12" i="13" s="1"/>
  <c r="CY41" i="12"/>
  <c r="P41" i="13"/>
  <c r="AV41" i="13" s="1"/>
  <c r="CY38" i="12"/>
  <c r="P38" i="13"/>
  <c r="AV38" i="13" s="1"/>
  <c r="CY32" i="12"/>
  <c r="P32" i="13"/>
  <c r="AV32" i="13" s="1"/>
  <c r="CY28" i="12"/>
  <c r="P28" i="13"/>
  <c r="AV28" i="13" s="1"/>
  <c r="CY24" i="12"/>
  <c r="P24" i="13"/>
  <c r="AV24" i="13" s="1"/>
  <c r="CY17" i="12"/>
  <c r="P17" i="13"/>
  <c r="AV17" i="13" s="1"/>
  <c r="CY13" i="12"/>
  <c r="P13" i="13"/>
  <c r="AV13" i="13" s="1"/>
  <c r="DY42" i="12"/>
  <c r="K42" i="13"/>
  <c r="AP42" i="13" s="1"/>
  <c r="DY35" i="12"/>
  <c r="DY21" i="12"/>
  <c r="K21" i="13"/>
  <c r="AP21" i="13" s="1"/>
  <c r="L30" i="13"/>
  <c r="L22" i="13"/>
  <c r="L11" i="13"/>
  <c r="DY41" i="12"/>
  <c r="K41" i="13"/>
  <c r="AP41" i="13" s="1"/>
  <c r="DY38" i="12"/>
  <c r="K38" i="13"/>
  <c r="AP38" i="13" s="1"/>
  <c r="DY32" i="12"/>
  <c r="K32" i="13"/>
  <c r="AP32" i="13" s="1"/>
  <c r="DY28" i="12"/>
  <c r="K28" i="13"/>
  <c r="AP28" i="13" s="1"/>
  <c r="DY24" i="12"/>
  <c r="K24" i="13"/>
  <c r="AP24" i="13" s="1"/>
  <c r="DY17" i="12"/>
  <c r="K17" i="13"/>
  <c r="AP17" i="13" s="1"/>
  <c r="DY13" i="12"/>
  <c r="K13" i="13"/>
  <c r="AP13" i="13" s="1"/>
  <c r="L42" i="13"/>
  <c r="AS35" i="13"/>
  <c r="L29" i="13"/>
  <c r="L25" i="13"/>
  <c r="L21" i="13"/>
  <c r="L18" i="13"/>
  <c r="L14" i="13"/>
  <c r="DY25" i="12"/>
  <c r="K25" i="13"/>
  <c r="DY14" i="12"/>
  <c r="K14" i="13"/>
  <c r="L36" i="13"/>
  <c r="L19" i="13"/>
  <c r="DY40" i="12"/>
  <c r="K40" i="13"/>
  <c r="AP40" i="13" s="1"/>
  <c r="DY37" i="12"/>
  <c r="K37" i="13"/>
  <c r="AP37" i="13" s="1"/>
  <c r="DY31" i="12"/>
  <c r="K31" i="13"/>
  <c r="AP31" i="13" s="1"/>
  <c r="DY27" i="12"/>
  <c r="K27" i="13"/>
  <c r="AP27" i="13" s="1"/>
  <c r="DY23" i="12"/>
  <c r="K23" i="13"/>
  <c r="AP23" i="13" s="1"/>
  <c r="DY20" i="12"/>
  <c r="K20" i="13"/>
  <c r="AP20" i="13" s="1"/>
  <c r="DY16" i="12"/>
  <c r="K16" i="13"/>
  <c r="AP16" i="13" s="1"/>
  <c r="DY12" i="12"/>
  <c r="K12" i="13"/>
  <c r="AP12" i="13" s="1"/>
  <c r="L41" i="13"/>
  <c r="L38" i="13"/>
  <c r="L32" i="13"/>
  <c r="L28" i="13"/>
  <c r="L24" i="13"/>
  <c r="L17" i="13"/>
  <c r="L13" i="13"/>
  <c r="DY11" i="12"/>
  <c r="K11" i="13"/>
  <c r="DY29" i="12"/>
  <c r="K29" i="13"/>
  <c r="DY18" i="12"/>
  <c r="K18" i="13"/>
  <c r="L39" i="13"/>
  <c r="L26" i="13"/>
  <c r="L15" i="13"/>
  <c r="DY39" i="12"/>
  <c r="K39" i="13"/>
  <c r="DY36" i="12"/>
  <c r="K36" i="13"/>
  <c r="DY30" i="12"/>
  <c r="K30" i="13"/>
  <c r="DY26" i="12"/>
  <c r="K26" i="13"/>
  <c r="DY22" i="12"/>
  <c r="K22" i="13"/>
  <c r="AP22" i="13" s="1"/>
  <c r="DY19" i="12"/>
  <c r="K19" i="13"/>
  <c r="DY15" i="12"/>
  <c r="K15" i="13"/>
  <c r="AP15" i="13" s="1"/>
  <c r="L40" i="13"/>
  <c r="L37" i="13"/>
  <c r="L31" i="13"/>
  <c r="L27" i="13"/>
  <c r="L23" i="13"/>
  <c r="L20" i="13"/>
  <c r="L16" i="13"/>
  <c r="L12" i="13"/>
  <c r="H37" i="13"/>
  <c r="H16" i="13"/>
  <c r="EK28" i="12"/>
  <c r="EK12" i="12"/>
  <c r="EN49" i="12"/>
  <c r="EN45" i="12"/>
  <c r="ER49" i="12"/>
  <c r="I41" i="13"/>
  <c r="EI11" i="12"/>
  <c r="H11" i="13"/>
  <c r="H39" i="13"/>
  <c r="H36" i="13"/>
  <c r="EI30" i="12"/>
  <c r="H30" i="13"/>
  <c r="EI26" i="12"/>
  <c r="H26" i="13"/>
  <c r="EI22" i="12"/>
  <c r="H22" i="13"/>
  <c r="H19" i="13"/>
  <c r="H15" i="13"/>
  <c r="EK40" i="12"/>
  <c r="EK37" i="12"/>
  <c r="EK31" i="12"/>
  <c r="EK27" i="12"/>
  <c r="EK23" i="12"/>
  <c r="EK20" i="12"/>
  <c r="EK16" i="12"/>
  <c r="EL52" i="12"/>
  <c r="EM52" i="12" s="1"/>
  <c r="EL48" i="12"/>
  <c r="EM48" i="12" s="1"/>
  <c r="EL44" i="12"/>
  <c r="ES44" i="12" s="1"/>
  <c r="EN52" i="12"/>
  <c r="EN48" i="12"/>
  <c r="EN44" i="12"/>
  <c r="I20" i="13"/>
  <c r="I16" i="13"/>
  <c r="I12" i="13"/>
  <c r="H31" i="13"/>
  <c r="EI23" i="12"/>
  <c r="H23" i="13"/>
  <c r="H12" i="13"/>
  <c r="EK38" i="12"/>
  <c r="EL49" i="12"/>
  <c r="ES49" i="12" s="1"/>
  <c r="I17" i="13"/>
  <c r="EK11" i="12"/>
  <c r="H42" i="13"/>
  <c r="EI35" i="12"/>
  <c r="H35" i="13"/>
  <c r="EI29" i="12"/>
  <c r="H29" i="13"/>
  <c r="EI25" i="12"/>
  <c r="H25" i="13"/>
  <c r="EI21" i="12"/>
  <c r="H21" i="13"/>
  <c r="H18" i="13"/>
  <c r="H14" i="13"/>
  <c r="EK39" i="12"/>
  <c r="EK36" i="12"/>
  <c r="EK30" i="12"/>
  <c r="EK26" i="12"/>
  <c r="EK22" i="12"/>
  <c r="EK19" i="12"/>
  <c r="EK15" i="12"/>
  <c r="EL51" i="12"/>
  <c r="EM51" i="12" s="1"/>
  <c r="EL47" i="12"/>
  <c r="EM47" i="12" s="1"/>
  <c r="EN51" i="12"/>
  <c r="EN47" i="12"/>
  <c r="ER51" i="12"/>
  <c r="I19" i="13"/>
  <c r="I15" i="13"/>
  <c r="H40" i="13"/>
  <c r="EI27" i="12"/>
  <c r="H27" i="13"/>
  <c r="EI20" i="12"/>
  <c r="H20" i="13"/>
  <c r="EK41" i="12"/>
  <c r="EK32" i="12"/>
  <c r="EK24" i="12"/>
  <c r="EK17" i="12"/>
  <c r="EL45" i="12"/>
  <c r="EM45" i="12" s="1"/>
  <c r="H41" i="13"/>
  <c r="H38" i="13"/>
  <c r="H32" i="13"/>
  <c r="EI28" i="12"/>
  <c r="H28" i="13"/>
  <c r="EI24" i="12"/>
  <c r="H24" i="13"/>
  <c r="H17" i="13"/>
  <c r="H13" i="13"/>
  <c r="EK42" i="12"/>
  <c r="EK35" i="12"/>
  <c r="EK29" i="12"/>
  <c r="EK25" i="12"/>
  <c r="EK21" i="12"/>
  <c r="EK18" i="12"/>
  <c r="EK13" i="12"/>
  <c r="EL50" i="12"/>
  <c r="EM50" i="12" s="1"/>
  <c r="EL46" i="12"/>
  <c r="EM46" i="12" s="1"/>
  <c r="EM40" i="12"/>
  <c r="EN50" i="12"/>
  <c r="EN46" i="12"/>
  <c r="I18" i="13"/>
  <c r="F40" i="13"/>
  <c r="F37" i="13"/>
  <c r="F31" i="13"/>
  <c r="F27" i="13"/>
  <c r="F23" i="13"/>
  <c r="F20" i="13"/>
  <c r="F16" i="13"/>
  <c r="D11" i="13"/>
  <c r="F39" i="13"/>
  <c r="F36" i="13"/>
  <c r="F30" i="13"/>
  <c r="F26" i="13"/>
  <c r="F22" i="13"/>
  <c r="F19" i="13"/>
  <c r="F15" i="13"/>
  <c r="F11" i="13"/>
  <c r="F42" i="13"/>
  <c r="F29" i="13"/>
  <c r="F25" i="13"/>
  <c r="F21" i="13"/>
  <c r="F18" i="13"/>
  <c r="F14" i="13"/>
  <c r="F41" i="13"/>
  <c r="F38" i="13"/>
  <c r="F32" i="13"/>
  <c r="F28" i="13"/>
  <c r="F24" i="13"/>
  <c r="F17" i="13"/>
  <c r="F13" i="13"/>
  <c r="EM37" i="12"/>
  <c r="EO42" i="12"/>
  <c r="EO27" i="12"/>
  <c r="EO32" i="12"/>
  <c r="EO22" i="12"/>
  <c r="EO41" i="12"/>
  <c r="EO38" i="12"/>
  <c r="EO26" i="12"/>
  <c r="EO21" i="12"/>
  <c r="EO31" i="12"/>
  <c r="EO35" i="12"/>
  <c r="EO40" i="12"/>
  <c r="EO25" i="12"/>
  <c r="EO37" i="12"/>
  <c r="EO30" i="12"/>
  <c r="ES40" i="12"/>
  <c r="ES37" i="12"/>
  <c r="EO28" i="12"/>
  <c r="EO39" i="12"/>
  <c r="EO24" i="12"/>
  <c r="EO36" i="12"/>
  <c r="EO29" i="12"/>
  <c r="ES39" i="12"/>
  <c r="ES36" i="12"/>
  <c r="ES42" i="12"/>
  <c r="ES35" i="12"/>
  <c r="ES41" i="12"/>
  <c r="ES38" i="12"/>
  <c r="BK30" i="12"/>
  <c r="BK26" i="12"/>
  <c r="BK22" i="12"/>
  <c r="BK29" i="12"/>
  <c r="BK25" i="12"/>
  <c r="BK21" i="12"/>
  <c r="BK31" i="12"/>
  <c r="BK27" i="12"/>
  <c r="BK23" i="12"/>
  <c r="BK20" i="12"/>
  <c r="F20" i="10"/>
  <c r="F21" i="10"/>
  <c r="F22" i="10"/>
  <c r="F23" i="10"/>
  <c r="F24" i="10"/>
  <c r="F25" i="10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F41" i="10"/>
  <c r="F42" i="10"/>
  <c r="F43" i="10"/>
  <c r="F44" i="10"/>
  <c r="F45" i="10"/>
  <c r="F46" i="10"/>
  <c r="F47" i="10"/>
  <c r="F48" i="10"/>
  <c r="F49" i="10"/>
  <c r="F50" i="10"/>
  <c r="F51" i="10"/>
  <c r="F19" i="10"/>
  <c r="F12" i="10"/>
  <c r="D12" i="8"/>
  <c r="D13" i="8"/>
  <c r="D51" i="8"/>
  <c r="D52" i="8"/>
  <c r="D53" i="8" s="1"/>
  <c r="D54" i="8" s="1"/>
  <c r="D55" i="8"/>
  <c r="D60" i="8"/>
  <c r="D61" i="8"/>
  <c r="D62" i="8"/>
  <c r="F25" i="7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3" i="7"/>
  <c r="G43" i="7" s="1"/>
  <c r="F44" i="7"/>
  <c r="G44" i="7" s="1"/>
  <c r="F45" i="7"/>
  <c r="G45" i="7" s="1"/>
  <c r="F46" i="7"/>
  <c r="G46" i="7" s="1"/>
  <c r="F47" i="7"/>
  <c r="G47" i="7" s="1"/>
  <c r="F48" i="7"/>
  <c r="G48" i="7" s="1"/>
  <c r="F49" i="7"/>
  <c r="G49" i="7" s="1"/>
  <c r="F50" i="7"/>
  <c r="G50" i="7" s="1"/>
  <c r="F51" i="7"/>
  <c r="G51" i="7" s="1"/>
  <c r="H33" i="6"/>
  <c r="H34" i="6"/>
  <c r="H35" i="6"/>
  <c r="H36" i="6"/>
  <c r="H37" i="6"/>
  <c r="H38" i="6"/>
  <c r="H39" i="6"/>
  <c r="H40" i="6"/>
  <c r="H43" i="6"/>
  <c r="H44" i="6"/>
  <c r="H45" i="6"/>
  <c r="H46" i="6"/>
  <c r="H47" i="6"/>
  <c r="H48" i="6"/>
  <c r="H49" i="6"/>
  <c r="H50" i="6"/>
  <c r="E64" i="5"/>
  <c r="D64" i="5"/>
  <c r="E63" i="5"/>
  <c r="D63" i="5"/>
  <c r="E62" i="5"/>
  <c r="D62" i="5"/>
  <c r="E54" i="5"/>
  <c r="E55" i="5" s="1"/>
  <c r="E56" i="5" s="1"/>
  <c r="D54" i="5"/>
  <c r="D55" i="5" s="1"/>
  <c r="D56" i="5" s="1"/>
  <c r="F53" i="5"/>
  <c r="E53" i="5"/>
  <c r="D63" i="3"/>
  <c r="F63" i="3"/>
  <c r="F62" i="3"/>
  <c r="F61" i="3"/>
  <c r="D61" i="3"/>
  <c r="G37" i="5"/>
  <c r="G38" i="5"/>
  <c r="G39" i="5"/>
  <c r="G40" i="5"/>
  <c r="G43" i="5"/>
  <c r="G44" i="5"/>
  <c r="G45" i="5"/>
  <c r="G46" i="5"/>
  <c r="G47" i="5"/>
  <c r="G48" i="5"/>
  <c r="G49" i="5"/>
  <c r="G50" i="5"/>
  <c r="G51" i="5"/>
  <c r="G38" i="4"/>
  <c r="G39" i="4"/>
  <c r="G40" i="4"/>
  <c r="G37" i="4"/>
  <c r="AL28" i="13" l="1"/>
  <c r="AH20" i="13"/>
  <c r="I54" i="13"/>
  <c r="AH15" i="13"/>
  <c r="AL23" i="13"/>
  <c r="AL19" i="13"/>
  <c r="AL12" i="13"/>
  <c r="AX27" i="13"/>
  <c r="AX36" i="13"/>
  <c r="AX28" i="13"/>
  <c r="AX18" i="13"/>
  <c r="AX35" i="13"/>
  <c r="AL14" i="13"/>
  <c r="G25" i="13"/>
  <c r="AD25" i="13"/>
  <c r="AE25" i="13" s="1"/>
  <c r="G16" i="13"/>
  <c r="AD16" i="13"/>
  <c r="J28" i="13"/>
  <c r="AH28" i="13"/>
  <c r="J27" i="13"/>
  <c r="AH27" i="13"/>
  <c r="J36" i="13"/>
  <c r="AR12" i="13"/>
  <c r="AS12" i="13" s="1"/>
  <c r="M39" i="13"/>
  <c r="AP39" i="13"/>
  <c r="M14" i="13"/>
  <c r="AP14" i="13"/>
  <c r="AR29" i="13"/>
  <c r="AS29" i="13" s="1"/>
  <c r="G32" i="13"/>
  <c r="AD32" i="13"/>
  <c r="G18" i="13"/>
  <c r="AD18" i="13"/>
  <c r="AE18" i="13" s="1"/>
  <c r="G22" i="13"/>
  <c r="AD22" i="13"/>
  <c r="G40" i="13"/>
  <c r="AD40" i="13"/>
  <c r="AE40" i="13" s="1"/>
  <c r="AH18" i="13"/>
  <c r="J30" i="13"/>
  <c r="AH30" i="13"/>
  <c r="G17" i="13"/>
  <c r="AD17" i="13"/>
  <c r="G38" i="13"/>
  <c r="AD38" i="13"/>
  <c r="AE38" i="13" s="1"/>
  <c r="G21" i="13"/>
  <c r="AD21" i="13"/>
  <c r="F54" i="13"/>
  <c r="G26" i="13"/>
  <c r="AD26" i="13"/>
  <c r="AE26" i="13" s="1"/>
  <c r="AD11" i="13"/>
  <c r="D54" i="13"/>
  <c r="G27" i="13"/>
  <c r="AD27" i="13"/>
  <c r="AE27" i="13" s="1"/>
  <c r="J38" i="13"/>
  <c r="J21" i="13"/>
  <c r="AH21" i="13"/>
  <c r="J29" i="13"/>
  <c r="AH29" i="13"/>
  <c r="J42" i="13"/>
  <c r="J31" i="13"/>
  <c r="AH31" i="13"/>
  <c r="J37" i="13"/>
  <c r="AR23" i="13"/>
  <c r="AS23" i="13" s="1"/>
  <c r="AS40" i="13"/>
  <c r="AR40" i="13"/>
  <c r="AR26" i="13"/>
  <c r="AS26" i="13" s="1"/>
  <c r="M29" i="13"/>
  <c r="AP29" i="13"/>
  <c r="AR13" i="13"/>
  <c r="AS13" i="13" s="1"/>
  <c r="AS32" i="13"/>
  <c r="AR32" i="13"/>
  <c r="AR36" i="13"/>
  <c r="AS36" i="13" s="1"/>
  <c r="AR25" i="13"/>
  <c r="AS25" i="13" s="1"/>
  <c r="AR30" i="13"/>
  <c r="AS30" i="13" s="1"/>
  <c r="AH33" i="13"/>
  <c r="AH34" i="13"/>
  <c r="AH8" i="13"/>
  <c r="AL16" i="13"/>
  <c r="AL15" i="13"/>
  <c r="AL30" i="13"/>
  <c r="AX43" i="13"/>
  <c r="AX8" i="13"/>
  <c r="AX11" i="13"/>
  <c r="Z11" i="13"/>
  <c r="AX33" i="13"/>
  <c r="AX34" i="13"/>
  <c r="AY34" i="13" s="1"/>
  <c r="AX23" i="13"/>
  <c r="AY23" i="13" s="1"/>
  <c r="AX26" i="13"/>
  <c r="AX24" i="13"/>
  <c r="AX14" i="13"/>
  <c r="AX29" i="13"/>
  <c r="AL18" i="13"/>
  <c r="AL29" i="13"/>
  <c r="G41" i="13"/>
  <c r="AD41" i="13"/>
  <c r="AE41" i="13" s="1"/>
  <c r="G15" i="13"/>
  <c r="AD15" i="13"/>
  <c r="AE15" i="13" s="1"/>
  <c r="G31" i="13"/>
  <c r="AD31" i="13"/>
  <c r="J13" i="13"/>
  <c r="AH13" i="13"/>
  <c r="AR27" i="13"/>
  <c r="AS27" i="13" s="1"/>
  <c r="AX12" i="13"/>
  <c r="G28" i="13"/>
  <c r="AD28" i="13"/>
  <c r="AE28" i="13" s="1"/>
  <c r="G14" i="13"/>
  <c r="AD14" i="13"/>
  <c r="AE14" i="13" s="1"/>
  <c r="G29" i="13"/>
  <c r="AD29" i="13"/>
  <c r="AE29" i="13" s="1"/>
  <c r="G19" i="13"/>
  <c r="AD19" i="13"/>
  <c r="AE19" i="13" s="1"/>
  <c r="G36" i="13"/>
  <c r="AD36" i="13"/>
  <c r="AE36" i="13" s="1"/>
  <c r="G20" i="13"/>
  <c r="AD20" i="13"/>
  <c r="AE20" i="13" s="1"/>
  <c r="G37" i="13"/>
  <c r="AD37" i="13"/>
  <c r="AE37" i="13" s="1"/>
  <c r="AH17" i="13"/>
  <c r="J14" i="13"/>
  <c r="AH14" i="13"/>
  <c r="J25" i="13"/>
  <c r="AH25" i="13"/>
  <c r="J35" i="13"/>
  <c r="AH35" i="13"/>
  <c r="J23" i="13"/>
  <c r="AH23" i="13"/>
  <c r="AH19" i="13"/>
  <c r="J39" i="13"/>
  <c r="AR16" i="13"/>
  <c r="AS16" i="13" s="1"/>
  <c r="AR31" i="13"/>
  <c r="AS31" i="13" s="1"/>
  <c r="M18" i="13"/>
  <c r="AP18" i="13"/>
  <c r="M11" i="13"/>
  <c r="K54" i="13"/>
  <c r="AP11" i="13"/>
  <c r="AQ11" i="13" s="1"/>
  <c r="AR24" i="13"/>
  <c r="AS24" i="13" s="1"/>
  <c r="AR41" i="13"/>
  <c r="AS41" i="13" s="1"/>
  <c r="AR18" i="13"/>
  <c r="AS18" i="13" s="1"/>
  <c r="L54" i="13"/>
  <c r="AR11" i="13"/>
  <c r="AL31" i="13"/>
  <c r="AL22" i="13"/>
  <c r="AL20" i="13"/>
  <c r="AX31" i="13"/>
  <c r="AX13" i="13"/>
  <c r="AX32" i="13"/>
  <c r="AX21" i="13"/>
  <c r="AX19" i="13"/>
  <c r="AL17" i="13"/>
  <c r="AL13" i="13"/>
  <c r="G24" i="13"/>
  <c r="AD24" i="13"/>
  <c r="AE24" i="13" s="1"/>
  <c r="G30" i="13"/>
  <c r="AD30" i="13"/>
  <c r="J41" i="13"/>
  <c r="J12" i="13"/>
  <c r="AH12" i="13"/>
  <c r="J26" i="13"/>
  <c r="AH26" i="13"/>
  <c r="M30" i="13"/>
  <c r="AP30" i="13"/>
  <c r="AR39" i="13"/>
  <c r="AS39" i="13" s="1"/>
  <c r="AR17" i="13"/>
  <c r="AS17" i="13" s="1"/>
  <c r="AR38" i="13"/>
  <c r="AS38" i="13" s="1"/>
  <c r="AR14" i="13"/>
  <c r="AS14" i="13" s="1"/>
  <c r="P54" i="13"/>
  <c r="AV11" i="13"/>
  <c r="AW11" i="13" s="1"/>
  <c r="G13" i="13"/>
  <c r="AD13" i="13"/>
  <c r="AE13" i="13" s="1"/>
  <c r="G42" i="13"/>
  <c r="AD42" i="13"/>
  <c r="G39" i="13"/>
  <c r="AD39" i="13"/>
  <c r="AE39" i="13" s="1"/>
  <c r="G23" i="13"/>
  <c r="AD23" i="13"/>
  <c r="AE23" i="13" s="1"/>
  <c r="J24" i="13"/>
  <c r="AH24" i="13"/>
  <c r="J32" i="13"/>
  <c r="AH32" i="13"/>
  <c r="J40" i="13"/>
  <c r="J22" i="13"/>
  <c r="AH22" i="13"/>
  <c r="J11" i="13"/>
  <c r="H54" i="13"/>
  <c r="AH16" i="13"/>
  <c r="AR20" i="13"/>
  <c r="AS20" i="13" s="1"/>
  <c r="AR37" i="13"/>
  <c r="AS37" i="13" s="1"/>
  <c r="M19" i="13"/>
  <c r="AP19" i="13"/>
  <c r="M26" i="13"/>
  <c r="AP26" i="13"/>
  <c r="M36" i="13"/>
  <c r="AP36" i="13"/>
  <c r="AR15" i="13"/>
  <c r="AS15" i="13" s="1"/>
  <c r="AR28" i="13"/>
  <c r="AS28" i="13" s="1"/>
  <c r="AR19" i="13"/>
  <c r="AS19" i="13" s="1"/>
  <c r="M25" i="13"/>
  <c r="AP25" i="13"/>
  <c r="AR21" i="13"/>
  <c r="AS21" i="13" s="1"/>
  <c r="AR42" i="13"/>
  <c r="AS42" i="13" s="1"/>
  <c r="AR22" i="13"/>
  <c r="AS22" i="13" s="1"/>
  <c r="AT11" i="13"/>
  <c r="N54" i="13"/>
  <c r="AL8" i="13"/>
  <c r="AM24" i="13" s="1"/>
  <c r="AL34" i="13"/>
  <c r="AL35" i="13"/>
  <c r="AL33" i="13"/>
  <c r="AL26" i="13"/>
  <c r="AM26" i="13" s="1"/>
  <c r="AL27" i="13"/>
  <c r="AX15" i="13"/>
  <c r="AX17" i="13"/>
  <c r="AX22" i="13"/>
  <c r="AX25" i="13"/>
  <c r="AX30" i="13"/>
  <c r="AL25" i="13"/>
  <c r="AL21" i="13"/>
  <c r="AM21" i="13" s="1"/>
  <c r="AL32" i="13"/>
  <c r="M17" i="13"/>
  <c r="M28" i="13"/>
  <c r="M38" i="13"/>
  <c r="M12" i="13"/>
  <c r="M27" i="13"/>
  <c r="J17" i="13"/>
  <c r="J19" i="13"/>
  <c r="J20" i="13"/>
  <c r="J18" i="13"/>
  <c r="M20" i="13"/>
  <c r="M37" i="13"/>
  <c r="J16" i="13"/>
  <c r="G11" i="13"/>
  <c r="M13" i="13"/>
  <c r="M24" i="13"/>
  <c r="M32" i="13"/>
  <c r="M41" i="13"/>
  <c r="M42" i="13"/>
  <c r="J15" i="13"/>
  <c r="M15" i="13"/>
  <c r="M22" i="13"/>
  <c r="M16" i="13"/>
  <c r="M23" i="13"/>
  <c r="M31" i="13"/>
  <c r="M40" i="13"/>
  <c r="M21" i="13"/>
  <c r="FC25" i="12"/>
  <c r="FC22" i="12"/>
  <c r="FC30" i="12"/>
  <c r="FC23" i="12"/>
  <c r="DE41" i="12"/>
  <c r="DE38" i="12"/>
  <c r="DE21" i="12"/>
  <c r="DE22" i="12"/>
  <c r="DE17" i="12"/>
  <c r="DE33" i="12"/>
  <c r="DE36" i="12"/>
  <c r="DE39" i="12"/>
  <c r="FC21" i="12"/>
  <c r="FC29" i="12"/>
  <c r="FC26" i="12"/>
  <c r="FC31" i="12"/>
  <c r="CC31" i="12"/>
  <c r="CC32" i="12"/>
  <c r="CC34" i="12"/>
  <c r="FC20" i="12"/>
  <c r="FC28" i="12"/>
  <c r="FC36" i="12"/>
  <c r="DE15" i="12"/>
  <c r="DE25" i="12"/>
  <c r="DE16" i="12"/>
  <c r="DE13" i="12"/>
  <c r="DE14" i="12"/>
  <c r="DE23" i="12"/>
  <c r="DE18" i="12"/>
  <c r="DE24" i="12"/>
  <c r="CM40" i="12"/>
  <c r="CM38" i="12"/>
  <c r="CC37" i="12"/>
  <c r="CC20" i="12"/>
  <c r="CC36" i="12"/>
  <c r="CM25" i="12"/>
  <c r="CM27" i="12"/>
  <c r="CM32" i="12"/>
  <c r="CM41" i="12"/>
  <c r="CM21" i="12"/>
  <c r="CM34" i="12"/>
  <c r="CM29" i="12"/>
  <c r="CM37" i="12"/>
  <c r="CC25" i="12"/>
  <c r="Q16" i="13"/>
  <c r="Q23" i="13"/>
  <c r="Q31" i="13"/>
  <c r="Q40" i="13"/>
  <c r="Q12" i="13"/>
  <c r="Q20" i="13"/>
  <c r="Q27" i="13"/>
  <c r="Q37" i="13"/>
  <c r="BI35" i="12"/>
  <c r="CC26" i="12"/>
  <c r="CC30" i="12"/>
  <c r="Z34" i="13"/>
  <c r="Z33" i="13"/>
  <c r="BI33" i="12"/>
  <c r="BI34" i="12"/>
  <c r="CC16" i="12"/>
  <c r="CC13" i="12"/>
  <c r="CC19" i="12"/>
  <c r="CC35" i="12"/>
  <c r="CC21" i="12"/>
  <c r="CC24" i="12"/>
  <c r="CC29" i="12"/>
  <c r="CM28" i="12"/>
  <c r="CM12" i="12"/>
  <c r="CM13" i="12"/>
  <c r="CM30" i="12"/>
  <c r="CM42" i="12"/>
  <c r="CM19" i="12"/>
  <c r="CM35" i="12"/>
  <c r="CM14" i="12"/>
  <c r="CC14" i="12"/>
  <c r="CC11" i="12"/>
  <c r="CB54" i="12"/>
  <c r="F77" i="12" s="1"/>
  <c r="CC17" i="12"/>
  <c r="CC23" i="12"/>
  <c r="CC33" i="12"/>
  <c r="CC27" i="12"/>
  <c r="CC15" i="12"/>
  <c r="CM23" i="12"/>
  <c r="CM26" i="12"/>
  <c r="CM33" i="12"/>
  <c r="CM16" i="12"/>
  <c r="CM17" i="12"/>
  <c r="CM11" i="12"/>
  <c r="CL54" i="12"/>
  <c r="F82" i="12" s="1"/>
  <c r="CM24" i="12"/>
  <c r="CM22" i="12"/>
  <c r="Q11" i="13"/>
  <c r="Q18" i="13"/>
  <c r="Q25" i="13"/>
  <c r="Q35" i="13"/>
  <c r="AE35" i="13"/>
  <c r="E58" i="4"/>
  <c r="E60" i="4" s="1"/>
  <c r="AE12" i="13"/>
  <c r="T35" i="13"/>
  <c r="T34" i="13"/>
  <c r="T33" i="13"/>
  <c r="AU37" i="13"/>
  <c r="W35" i="13"/>
  <c r="W34" i="13"/>
  <c r="W33" i="13"/>
  <c r="Z20" i="13"/>
  <c r="Z15" i="13"/>
  <c r="AU13" i="13"/>
  <c r="AE21" i="13"/>
  <c r="AU28" i="13"/>
  <c r="AU40" i="13"/>
  <c r="AU22" i="13"/>
  <c r="AU30" i="13"/>
  <c r="AU39" i="13"/>
  <c r="Q14" i="13"/>
  <c r="Q21" i="13"/>
  <c r="Q29" i="13"/>
  <c r="AE42" i="13"/>
  <c r="AE22" i="13"/>
  <c r="AU14" i="13"/>
  <c r="AU25" i="13"/>
  <c r="AU35" i="13"/>
  <c r="AU42" i="13"/>
  <c r="AU23" i="13"/>
  <c r="Q13" i="13"/>
  <c r="Q28" i="13"/>
  <c r="Q38" i="13"/>
  <c r="Q15" i="13"/>
  <c r="Q22" i="13"/>
  <c r="Q30" i="13"/>
  <c r="Q39" i="13"/>
  <c r="AU24" i="13"/>
  <c r="AU32" i="13"/>
  <c r="AU27" i="13"/>
  <c r="AU26" i="13"/>
  <c r="AU36" i="13"/>
  <c r="AU11" i="13"/>
  <c r="Q42" i="13"/>
  <c r="Z17" i="13"/>
  <c r="Z32" i="13"/>
  <c r="Z21" i="13"/>
  <c r="Z19" i="13"/>
  <c r="AE17" i="13"/>
  <c r="AE32" i="13"/>
  <c r="AE30" i="13"/>
  <c r="AE16" i="13"/>
  <c r="AE31" i="13"/>
  <c r="AU38" i="13"/>
  <c r="AU21" i="13"/>
  <c r="AU29" i="13"/>
  <c r="AU31" i="13"/>
  <c r="Q17" i="13"/>
  <c r="Q24" i="13"/>
  <c r="Q32" i="13"/>
  <c r="Q41" i="13"/>
  <c r="Q19" i="13"/>
  <c r="Q26" i="13"/>
  <c r="Q36" i="13"/>
  <c r="Z23" i="13"/>
  <c r="Z26" i="13"/>
  <c r="Z22" i="13"/>
  <c r="Z25" i="13"/>
  <c r="Z30" i="13"/>
  <c r="Z12" i="13"/>
  <c r="Z27" i="13"/>
  <c r="Z36" i="13"/>
  <c r="Z24" i="13"/>
  <c r="Z14" i="13"/>
  <c r="Z29" i="13"/>
  <c r="Z16" i="13"/>
  <c r="Z31" i="13"/>
  <c r="Z13" i="13"/>
  <c r="Z28" i="13"/>
  <c r="Z18" i="13"/>
  <c r="Z35" i="13"/>
  <c r="BG24" i="12"/>
  <c r="W29" i="13"/>
  <c r="BG33" i="12"/>
  <c r="BG32" i="12"/>
  <c r="BG34" i="12"/>
  <c r="EM49" i="12"/>
  <c r="ES51" i="12"/>
  <c r="FA15" i="12"/>
  <c r="FA22" i="12"/>
  <c r="FA30" i="12"/>
  <c r="BG25" i="12"/>
  <c r="EM44" i="12"/>
  <c r="FA18" i="12"/>
  <c r="FA17" i="12"/>
  <c r="FA28" i="12"/>
  <c r="ES52" i="12"/>
  <c r="T21" i="13"/>
  <c r="W13" i="13"/>
  <c r="FA14" i="12"/>
  <c r="FA19" i="12"/>
  <c r="FA26" i="12"/>
  <c r="FA13" i="12"/>
  <c r="FA32" i="12"/>
  <c r="FA25" i="12"/>
  <c r="FA16" i="12"/>
  <c r="FA23" i="12"/>
  <c r="FA31" i="12"/>
  <c r="FA21" i="12"/>
  <c r="FA29" i="12"/>
  <c r="T28" i="13"/>
  <c r="W18" i="13"/>
  <c r="W28" i="13"/>
  <c r="W25" i="13"/>
  <c r="T16" i="13"/>
  <c r="T23" i="13"/>
  <c r="T31" i="13"/>
  <c r="T19" i="13"/>
  <c r="CW63" i="12"/>
  <c r="CX63" i="12"/>
  <c r="ED54" i="12"/>
  <c r="F105" i="12" s="1"/>
  <c r="ED63" i="12"/>
  <c r="DX63" i="12"/>
  <c r="DX54" i="12"/>
  <c r="ES48" i="12"/>
  <c r="ES46" i="12"/>
  <c r="BI23" i="12"/>
  <c r="BI31" i="12"/>
  <c r="BI26" i="12"/>
  <c r="BK24" i="12"/>
  <c r="BK32" i="12"/>
  <c r="BI24" i="12"/>
  <c r="BI32" i="12"/>
  <c r="BI21" i="12"/>
  <c r="BI29" i="12"/>
  <c r="BI20" i="12"/>
  <c r="BI27" i="12"/>
  <c r="BI36" i="12"/>
  <c r="BK28" i="12"/>
  <c r="BI28" i="12"/>
  <c r="BI22" i="12"/>
  <c r="BI25" i="12"/>
  <c r="BI30" i="12"/>
  <c r="W16" i="13"/>
  <c r="W31" i="13"/>
  <c r="W15" i="13"/>
  <c r="W22" i="13"/>
  <c r="W30" i="13"/>
  <c r="W20" i="13"/>
  <c r="BG29" i="12"/>
  <c r="BG31" i="12"/>
  <c r="W21" i="13"/>
  <c r="BG22" i="12"/>
  <c r="BG30" i="12"/>
  <c r="BG20" i="12"/>
  <c r="BG35" i="12"/>
  <c r="W17" i="13"/>
  <c r="W24" i="13"/>
  <c r="W32" i="13"/>
  <c r="W23" i="13"/>
  <c r="W14" i="13"/>
  <c r="W19" i="13"/>
  <c r="W26" i="13"/>
  <c r="W12" i="13"/>
  <c r="W27" i="13"/>
  <c r="BG28" i="12"/>
  <c r="BG21" i="12"/>
  <c r="BG23" i="12"/>
  <c r="BG26" i="12"/>
  <c r="BG27" i="12"/>
  <c r="EY17" i="12"/>
  <c r="EY41" i="12"/>
  <c r="EY42" i="12"/>
  <c r="EY16" i="12"/>
  <c r="EY23" i="12"/>
  <c r="EY31" i="12"/>
  <c r="EY40" i="12"/>
  <c r="T14" i="13"/>
  <c r="T29" i="13"/>
  <c r="EY22" i="12"/>
  <c r="EY39" i="12"/>
  <c r="FA12" i="12"/>
  <c r="FA20" i="12"/>
  <c r="FA27" i="12"/>
  <c r="EY13" i="12"/>
  <c r="EY28" i="12"/>
  <c r="EY38" i="12"/>
  <c r="EY18" i="12"/>
  <c r="EY35" i="12"/>
  <c r="T26" i="13"/>
  <c r="EY24" i="12"/>
  <c r="EY32" i="12"/>
  <c r="EY25" i="12"/>
  <c r="EY21" i="12"/>
  <c r="T22" i="13"/>
  <c r="T13" i="13"/>
  <c r="T18" i="13"/>
  <c r="EY19" i="12"/>
  <c r="EY36" i="12"/>
  <c r="T12" i="13"/>
  <c r="T20" i="13"/>
  <c r="T27" i="13"/>
  <c r="FA24" i="12"/>
  <c r="EY14" i="12"/>
  <c r="EY29" i="12"/>
  <c r="T15" i="13"/>
  <c r="T30" i="13"/>
  <c r="T17" i="13"/>
  <c r="T24" i="13"/>
  <c r="T32" i="13"/>
  <c r="T25" i="13"/>
  <c r="FA35" i="12"/>
  <c r="EY26" i="12"/>
  <c r="CV63" i="12"/>
  <c r="AQ19" i="13"/>
  <c r="AQ26" i="13"/>
  <c r="AQ36" i="13"/>
  <c r="AQ18" i="13"/>
  <c r="AQ16" i="13"/>
  <c r="AQ23" i="13"/>
  <c r="AQ31" i="13"/>
  <c r="AQ40" i="13"/>
  <c r="AQ14" i="13"/>
  <c r="AQ17" i="13"/>
  <c r="AQ24" i="13"/>
  <c r="AQ32" i="13"/>
  <c r="AQ35" i="13"/>
  <c r="F63" i="5"/>
  <c r="F62" i="5"/>
  <c r="AQ41" i="13"/>
  <c r="F64" i="5"/>
  <c r="AQ15" i="13"/>
  <c r="AQ22" i="13"/>
  <c r="AQ30" i="13"/>
  <c r="AQ39" i="13"/>
  <c r="AQ29" i="13"/>
  <c r="AQ12" i="13"/>
  <c r="AQ20" i="13"/>
  <c r="AQ27" i="13"/>
  <c r="AQ37" i="13"/>
  <c r="AQ25" i="13"/>
  <c r="AQ13" i="13"/>
  <c r="AQ28" i="13"/>
  <c r="AQ38" i="13"/>
  <c r="AQ21" i="13"/>
  <c r="AQ42" i="13"/>
  <c r="F64" i="4"/>
  <c r="F62" i="4"/>
  <c r="F63" i="4"/>
  <c r="ES45" i="12"/>
  <c r="ES47" i="12"/>
  <c r="AU20" i="13"/>
  <c r="AU18" i="13"/>
  <c r="AU12" i="13"/>
  <c r="AU19" i="13"/>
  <c r="ES50" i="12"/>
  <c r="AU17" i="13"/>
  <c r="AU41" i="13"/>
  <c r="AU15" i="13"/>
  <c r="AU16" i="13"/>
  <c r="EM27" i="12"/>
  <c r="EM24" i="12"/>
  <c r="EM38" i="12"/>
  <c r="EM16" i="12"/>
  <c r="EM23" i="12"/>
  <c r="EM26" i="12"/>
  <c r="EO20" i="12"/>
  <c r="EN54" i="12"/>
  <c r="F111" i="12" s="1"/>
  <c r="EN63" i="12"/>
  <c r="EM39" i="12"/>
  <c r="EM18" i="12"/>
  <c r="EM28" i="12"/>
  <c r="EM41" i="12"/>
  <c r="EM25" i="12"/>
  <c r="EM35" i="12"/>
  <c r="EM12" i="12"/>
  <c r="DY61" i="12"/>
  <c r="DY63" i="12"/>
  <c r="ER54" i="12"/>
  <c r="ER63" i="12"/>
  <c r="EM22" i="12"/>
  <c r="EM19" i="12"/>
  <c r="EM20" i="12"/>
  <c r="EM21" i="12"/>
  <c r="EM30" i="12"/>
  <c r="EM31" i="12"/>
  <c r="EM13" i="12"/>
  <c r="EM15" i="12"/>
  <c r="EM32" i="12"/>
  <c r="EM29" i="12"/>
  <c r="EM42" i="12"/>
  <c r="EM17" i="12"/>
  <c r="EM36" i="12"/>
  <c r="CY63" i="12"/>
  <c r="F54" i="4"/>
  <c r="F57" i="4"/>
  <c r="D58" i="4"/>
  <c r="D60" i="4" s="1"/>
  <c r="D56" i="8"/>
  <c r="D58" i="8" s="1"/>
  <c r="F54" i="5"/>
  <c r="F55" i="5" s="1"/>
  <c r="F56" i="5" s="1"/>
  <c r="F57" i="5"/>
  <c r="D58" i="5"/>
  <c r="D60" i="5" s="1"/>
  <c r="G54" i="13" l="1"/>
  <c r="AM32" i="13"/>
  <c r="AM27" i="13"/>
  <c r="AM34" i="13"/>
  <c r="AM23" i="13"/>
  <c r="AM17" i="13"/>
  <c r="AM31" i="13"/>
  <c r="AM14" i="13"/>
  <c r="AM15" i="13"/>
  <c r="AM12" i="13"/>
  <c r="AM16" i="13"/>
  <c r="Q54" i="13"/>
  <c r="AM25" i="13"/>
  <c r="AM33" i="13"/>
  <c r="AM20" i="13"/>
  <c r="AM29" i="13"/>
  <c r="AY33" i="13"/>
  <c r="AM35" i="13"/>
  <c r="J54" i="13"/>
  <c r="AM13" i="13"/>
  <c r="AM22" i="13"/>
  <c r="M54" i="13"/>
  <c r="AM19" i="13"/>
  <c r="AM18" i="13"/>
  <c r="AM30" i="13"/>
  <c r="AM28" i="13"/>
  <c r="AI17" i="13"/>
  <c r="AI23" i="13"/>
  <c r="AC35" i="13"/>
  <c r="AI27" i="13"/>
  <c r="DX61" i="12"/>
  <c r="G102" i="12" s="1"/>
  <c r="H102" i="12" s="1"/>
  <c r="F102" i="12"/>
  <c r="ER61" i="12"/>
  <c r="G113" i="12" s="1"/>
  <c r="H113" i="12" s="1"/>
  <c r="F113" i="12"/>
  <c r="AI18" i="13"/>
  <c r="AI24" i="13"/>
  <c r="AC26" i="13"/>
  <c r="AI20" i="13"/>
  <c r="AC27" i="13"/>
  <c r="AC18" i="13"/>
  <c r="AC23" i="13"/>
  <c r="AC28" i="13"/>
  <c r="AQ55" i="13"/>
  <c r="AC34" i="13"/>
  <c r="AC33" i="13"/>
  <c r="AI33" i="13"/>
  <c r="AI35" i="13"/>
  <c r="AI34" i="13"/>
  <c r="CL61" i="12"/>
  <c r="G82" i="12" s="1"/>
  <c r="H82" i="12" s="1"/>
  <c r="CM63" i="12"/>
  <c r="CM62" i="12" s="1"/>
  <c r="CM54" i="12"/>
  <c r="CB61" i="12"/>
  <c r="G77" i="12" s="1"/>
  <c r="H77" i="12" s="1"/>
  <c r="F55" i="4"/>
  <c r="F56" i="4" s="1"/>
  <c r="AI19" i="13"/>
  <c r="AI25" i="13"/>
  <c r="AI26" i="13"/>
  <c r="AI22" i="13"/>
  <c r="AI29" i="13"/>
  <c r="AI28" i="13"/>
  <c r="AI21" i="13"/>
  <c r="AI16" i="13"/>
  <c r="AD54" i="13"/>
  <c r="E61" i="13" s="1"/>
  <c r="AW22" i="13"/>
  <c r="AC32" i="13"/>
  <c r="EN61" i="12"/>
  <c r="G111" i="12" s="1"/>
  <c r="H111" i="12" s="1"/>
  <c r="AY26" i="13"/>
  <c r="AY25" i="13"/>
  <c r="AY29" i="13"/>
  <c r="AY19" i="13"/>
  <c r="AY18" i="13"/>
  <c r="AY22" i="13"/>
  <c r="AY24" i="13"/>
  <c r="AY21" i="13"/>
  <c r="AY28" i="13"/>
  <c r="AY27" i="13"/>
  <c r="AY17" i="13"/>
  <c r="AY20" i="13"/>
  <c r="AY16" i="13"/>
  <c r="AC12" i="13"/>
  <c r="AW28" i="13"/>
  <c r="AC25" i="13"/>
  <c r="AC30" i="13"/>
  <c r="AC16" i="13"/>
  <c r="AC24" i="13"/>
  <c r="AC19" i="13"/>
  <c r="AC21" i="13"/>
  <c r="AC29" i="13"/>
  <c r="AC20" i="13"/>
  <c r="AC22" i="13"/>
  <c r="AC31" i="13"/>
  <c r="AC17" i="13"/>
  <c r="AC13" i="13"/>
  <c r="AC15" i="13"/>
  <c r="AC14" i="13"/>
  <c r="AW18" i="13"/>
  <c r="AW27" i="13"/>
  <c r="AW14" i="13"/>
  <c r="AW16" i="13"/>
  <c r="AW19" i="13"/>
  <c r="AW20" i="13"/>
  <c r="AW24" i="13"/>
  <c r="AW26" i="13"/>
  <c r="AW29" i="13"/>
  <c r="AW23" i="13"/>
  <c r="AW21" i="13"/>
  <c r="AW17" i="13"/>
  <c r="AW32" i="13"/>
  <c r="AW30" i="13"/>
  <c r="AW12" i="13"/>
  <c r="AW31" i="13"/>
  <c r="AW15" i="13"/>
  <c r="AW13" i="13"/>
  <c r="AW25" i="13"/>
  <c r="DY62" i="12"/>
  <c r="AQ57" i="13"/>
  <c r="AQ54" i="13"/>
  <c r="AU57" i="13"/>
  <c r="ES54" i="12"/>
  <c r="ES63" i="12"/>
  <c r="ES61" i="12"/>
  <c r="EO63" i="12"/>
  <c r="EO54" i="12"/>
  <c r="EO61" i="12"/>
  <c r="F58" i="5"/>
  <c r="F60" i="5" s="1"/>
  <c r="E58" i="5"/>
  <c r="E60" i="5" s="1"/>
  <c r="FK17" i="12"/>
  <c r="FC17" i="12"/>
  <c r="AE11" i="13"/>
  <c r="AE57" i="13" s="1"/>
  <c r="AO54" i="13"/>
  <c r="AN54" i="13"/>
  <c r="X44" i="13"/>
  <c r="V44" i="13"/>
  <c r="U44" i="13"/>
  <c r="S44" i="13"/>
  <c r="R44" i="13"/>
  <c r="P44" i="13"/>
  <c r="N44" i="13"/>
  <c r="L44" i="13"/>
  <c r="K44" i="13"/>
  <c r="I44" i="13"/>
  <c r="H44" i="13"/>
  <c r="F44" i="13"/>
  <c r="D44" i="13"/>
  <c r="CF42" i="13"/>
  <c r="BL42" i="13"/>
  <c r="CF41" i="13"/>
  <c r="BK41" i="13"/>
  <c r="BL41" i="13"/>
  <c r="CF40" i="13"/>
  <c r="BK40" i="13"/>
  <c r="BL40" i="13"/>
  <c r="CF39" i="13"/>
  <c r="BK39" i="13"/>
  <c r="BL39" i="13"/>
  <c r="CF38" i="13"/>
  <c r="BK38" i="13"/>
  <c r="BZ38" i="13"/>
  <c r="BM38" i="13"/>
  <c r="CF37" i="13"/>
  <c r="BK37" i="13"/>
  <c r="BZ37" i="13"/>
  <c r="BM37" i="13"/>
  <c r="CF36" i="13"/>
  <c r="BK36" i="13"/>
  <c r="BZ36" i="13"/>
  <c r="BL35" i="13"/>
  <c r="BM35" i="13"/>
  <c r="CF32" i="13"/>
  <c r="BF32" i="13"/>
  <c r="BK32" i="13"/>
  <c r="BZ32" i="13"/>
  <c r="BL32" i="13"/>
  <c r="BK31" i="13"/>
  <c r="BL31" i="13"/>
  <c r="CF30" i="13"/>
  <c r="CK30" i="13"/>
  <c r="BK30" i="13"/>
  <c r="BZ30" i="13"/>
  <c r="BL30" i="13"/>
  <c r="BM30" i="13"/>
  <c r="CF15" i="13"/>
  <c r="CK15" i="13"/>
  <c r="BK15" i="13"/>
  <c r="BZ15" i="13"/>
  <c r="BL15" i="13"/>
  <c r="CF14" i="13"/>
  <c r="CK14" i="13"/>
  <c r="BK14" i="13"/>
  <c r="BL14" i="13"/>
  <c r="BM14" i="13"/>
  <c r="CF13" i="13"/>
  <c r="CK13" i="13"/>
  <c r="BF13" i="13"/>
  <c r="BK13" i="13"/>
  <c r="BZ13" i="13"/>
  <c r="BL13" i="13"/>
  <c r="BM13" i="13"/>
  <c r="CF12" i="13"/>
  <c r="CK12" i="13"/>
  <c r="BK12" i="13"/>
  <c r="BZ12" i="13"/>
  <c r="BL12" i="13"/>
  <c r="CK9" i="13"/>
  <c r="CJ9" i="13"/>
  <c r="CH9" i="13"/>
  <c r="CG9" i="13"/>
  <c r="CF9" i="13"/>
  <c r="CB9" i="13"/>
  <c r="CA9" i="13"/>
  <c r="BZ9" i="13"/>
  <c r="BM9" i="13"/>
  <c r="BL9" i="13"/>
  <c r="BK9" i="13"/>
  <c r="BF9" i="13"/>
  <c r="BE9" i="13"/>
  <c r="BD9" i="13"/>
  <c r="BC9" i="13"/>
  <c r="BB9" i="13"/>
  <c r="C9" i="13"/>
  <c r="CK42" i="13"/>
  <c r="CK41" i="13"/>
  <c r="CK40" i="13"/>
  <c r="CK39" i="13"/>
  <c r="FR36" i="12"/>
  <c r="FR19" i="12"/>
  <c r="FR18" i="12"/>
  <c r="FR17" i="12"/>
  <c r="FR14" i="12"/>
  <c r="FR13" i="12"/>
  <c r="FR12" i="12"/>
  <c r="X11" i="12"/>
  <c r="V42" i="13"/>
  <c r="BF42" i="13" s="1"/>
  <c r="V41" i="13"/>
  <c r="BF41" i="13" s="1"/>
  <c r="V40" i="13"/>
  <c r="BF40" i="13" s="1"/>
  <c r="V39" i="13"/>
  <c r="BF39" i="13" s="1"/>
  <c r="V38" i="13"/>
  <c r="V37" i="13"/>
  <c r="V36" i="13"/>
  <c r="BF36" i="13" s="1"/>
  <c r="AD36" i="12"/>
  <c r="AD16" i="12"/>
  <c r="AD12" i="12"/>
  <c r="V11" i="12"/>
  <c r="DF11" i="12" s="1"/>
  <c r="U11" i="12"/>
  <c r="DD11" i="12" s="1"/>
  <c r="S36" i="13"/>
  <c r="AH36" i="13" s="1"/>
  <c r="AH12" i="12"/>
  <c r="AH13" i="12"/>
  <c r="AH14" i="12"/>
  <c r="AH36" i="12"/>
  <c r="AH11" i="12"/>
  <c r="AW54" i="12"/>
  <c r="AV54" i="12"/>
  <c r="AQ54" i="12"/>
  <c r="AP54" i="12"/>
  <c r="AO54" i="12"/>
  <c r="AN54" i="12"/>
  <c r="AM54" i="12"/>
  <c r="AL54" i="12"/>
  <c r="AK54" i="12"/>
  <c r="AJ54" i="12"/>
  <c r="FF44" i="12"/>
  <c r="FG44" i="12" s="1"/>
  <c r="FD44" i="12"/>
  <c r="FE44" i="12" s="1"/>
  <c r="X44" i="12"/>
  <c r="BH44" i="12" s="1"/>
  <c r="V44" i="12"/>
  <c r="U44" i="12"/>
  <c r="BF44" i="12" s="1"/>
  <c r="S44" i="12"/>
  <c r="EZ44" i="12" s="1"/>
  <c r="FA44" i="12" s="1"/>
  <c r="R44" i="12"/>
  <c r="EX44" i="12" s="1"/>
  <c r="EY44" i="12" s="1"/>
  <c r="P44" i="12"/>
  <c r="CX44" i="12" s="1"/>
  <c r="CY44" i="12" s="1"/>
  <c r="N44" i="12"/>
  <c r="CV44" i="12" s="1"/>
  <c r="CW44" i="12" s="1"/>
  <c r="L44" i="12"/>
  <c r="ED44" i="12" s="1"/>
  <c r="K44" i="12"/>
  <c r="DX44" i="12" s="1"/>
  <c r="DY44" i="12" s="1"/>
  <c r="I44" i="12"/>
  <c r="H44" i="12"/>
  <c r="EH44" i="12" s="1"/>
  <c r="F44" i="12"/>
  <c r="BP44" i="12" s="1"/>
  <c r="BQ44" i="12" s="1"/>
  <c r="D44" i="12"/>
  <c r="FR9" i="12"/>
  <c r="FP9" i="12"/>
  <c r="FL9" i="12"/>
  <c r="C9" i="12"/>
  <c r="BB8" i="12"/>
  <c r="AZ8" i="12"/>
  <c r="AX8" i="12"/>
  <c r="AT8" i="12"/>
  <c r="AR8" i="12"/>
  <c r="AH8" i="12"/>
  <c r="AF8" i="12"/>
  <c r="AD8" i="12"/>
  <c r="F50" i="11"/>
  <c r="E50" i="11"/>
  <c r="D50" i="11"/>
  <c r="F49" i="11"/>
  <c r="E49" i="11"/>
  <c r="D49" i="11"/>
  <c r="F48" i="11"/>
  <c r="E48" i="11"/>
  <c r="D48" i="11"/>
  <c r="F43" i="11"/>
  <c r="E43" i="11"/>
  <c r="D43" i="11"/>
  <c r="F40" i="11"/>
  <c r="E40" i="11"/>
  <c r="D40" i="11"/>
  <c r="F39" i="11"/>
  <c r="E39" i="11"/>
  <c r="D39" i="11"/>
  <c r="G37" i="11"/>
  <c r="H37" i="11" s="1"/>
  <c r="G36" i="11"/>
  <c r="H36" i="11" s="1"/>
  <c r="G35" i="11"/>
  <c r="H35" i="11" s="1"/>
  <c r="G34" i="11"/>
  <c r="H34" i="11" s="1"/>
  <c r="G33" i="11"/>
  <c r="H33" i="11" s="1"/>
  <c r="G32" i="11"/>
  <c r="H32" i="11" s="1"/>
  <c r="G31" i="11"/>
  <c r="H31" i="11" s="1"/>
  <c r="G30" i="11"/>
  <c r="H30" i="11" s="1"/>
  <c r="G29" i="11"/>
  <c r="H29" i="11" s="1"/>
  <c r="G28" i="11"/>
  <c r="H28" i="11" s="1"/>
  <c r="G27" i="11"/>
  <c r="H27" i="11" s="1"/>
  <c r="G26" i="11"/>
  <c r="H26" i="11" s="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G50" i="11" s="1"/>
  <c r="D14" i="11"/>
  <c r="D13" i="11"/>
  <c r="G12" i="11"/>
  <c r="G39" i="11" s="1"/>
  <c r="F61" i="13" l="1"/>
  <c r="E73" i="13"/>
  <c r="DD54" i="12"/>
  <c r="DD63" i="12"/>
  <c r="DE61" i="12"/>
  <c r="DE11" i="12"/>
  <c r="DF63" i="12"/>
  <c r="DG61" i="12"/>
  <c r="DF54" i="12"/>
  <c r="DG11" i="12"/>
  <c r="Z11" i="12"/>
  <c r="FB11" i="12"/>
  <c r="W11" i="12"/>
  <c r="Z52" i="12"/>
  <c r="Z47" i="12"/>
  <c r="Z53" i="12"/>
  <c r="Z54" i="12"/>
  <c r="Z45" i="12"/>
  <c r="V11" i="13"/>
  <c r="BI11" i="12"/>
  <c r="AP44" i="13"/>
  <c r="CJ40" i="13"/>
  <c r="CJ11" i="13"/>
  <c r="CJ41" i="13"/>
  <c r="BI37" i="12"/>
  <c r="X37" i="13"/>
  <c r="BI40" i="12"/>
  <c r="X40" i="13"/>
  <c r="X42" i="13"/>
  <c r="BI38" i="12"/>
  <c r="X38" i="13"/>
  <c r="BI39" i="12"/>
  <c r="X39" i="13"/>
  <c r="BI41" i="12"/>
  <c r="X41" i="13"/>
  <c r="U40" i="13"/>
  <c r="AL40" i="13" s="1"/>
  <c r="AM40" i="13" s="1"/>
  <c r="BG36" i="12"/>
  <c r="U36" i="13"/>
  <c r="AL36" i="13" s="1"/>
  <c r="AM36" i="13" s="1"/>
  <c r="BG38" i="12"/>
  <c r="U38" i="13"/>
  <c r="AL38" i="13" s="1"/>
  <c r="AM38" i="13" s="1"/>
  <c r="BG39" i="12"/>
  <c r="U39" i="13"/>
  <c r="AL39" i="13" s="1"/>
  <c r="AM39" i="13" s="1"/>
  <c r="U41" i="13"/>
  <c r="AL41" i="13" s="1"/>
  <c r="AM41" i="13" s="1"/>
  <c r="BG37" i="12"/>
  <c r="U37" i="13"/>
  <c r="AL37" i="13" s="1"/>
  <c r="AM37" i="13" s="1"/>
  <c r="U42" i="13"/>
  <c r="AL42" i="13" s="1"/>
  <c r="AM42" i="13" s="1"/>
  <c r="BG11" i="12"/>
  <c r="U11" i="13"/>
  <c r="AW36" i="13"/>
  <c r="T36" i="13"/>
  <c r="FA37" i="12"/>
  <c r="S37" i="13"/>
  <c r="FA40" i="12"/>
  <c r="S40" i="13"/>
  <c r="AH40" i="13" s="1"/>
  <c r="FA11" i="12"/>
  <c r="S11" i="13"/>
  <c r="FA42" i="12"/>
  <c r="S42" i="13"/>
  <c r="FA39" i="12"/>
  <c r="S39" i="13"/>
  <c r="AH39" i="13" s="1"/>
  <c r="R11" i="13"/>
  <c r="FA38" i="12"/>
  <c r="S38" i="13"/>
  <c r="AH38" i="13" s="1"/>
  <c r="FA41" i="12"/>
  <c r="S41" i="13"/>
  <c r="CA31" i="13"/>
  <c r="ED61" i="12"/>
  <c r="G105" i="12" s="1"/>
  <c r="H105" i="12" s="1"/>
  <c r="ES62" i="12"/>
  <c r="EO62" i="12"/>
  <c r="FA36" i="12"/>
  <c r="ER44" i="12"/>
  <c r="EE11" i="12"/>
  <c r="EE22" i="12"/>
  <c r="EE21" i="12"/>
  <c r="EE20" i="12"/>
  <c r="EE36" i="12"/>
  <c r="EE35" i="12"/>
  <c r="EE32" i="12"/>
  <c r="EE31" i="12"/>
  <c r="EE30" i="12"/>
  <c r="EE29" i="12"/>
  <c r="EE28" i="12"/>
  <c r="EE27" i="12"/>
  <c r="EE26" i="12"/>
  <c r="EE25" i="12"/>
  <c r="EE24" i="12"/>
  <c r="EE23" i="12"/>
  <c r="FR37" i="12"/>
  <c r="FS37" i="12" s="1"/>
  <c r="FR40" i="12"/>
  <c r="FS40" i="12" s="1"/>
  <c r="FR42" i="12"/>
  <c r="FS42" i="12" s="1"/>
  <c r="FR11" i="12"/>
  <c r="FS11" i="12" s="1"/>
  <c r="BK11" i="12"/>
  <c r="FR38" i="12"/>
  <c r="FS38" i="12" s="1"/>
  <c r="FR39" i="12"/>
  <c r="FS39" i="12" s="1"/>
  <c r="FR41" i="12"/>
  <c r="FS41" i="12" s="1"/>
  <c r="BY11" i="12"/>
  <c r="FS17" i="12"/>
  <c r="BY17" i="12"/>
  <c r="AY31" i="13"/>
  <c r="CG39" i="13"/>
  <c r="CG40" i="13"/>
  <c r="BY14" i="12"/>
  <c r="BY37" i="12"/>
  <c r="BY42" i="12"/>
  <c r="AI30" i="13"/>
  <c r="FS19" i="12"/>
  <c r="FS36" i="12"/>
  <c r="FC19" i="12"/>
  <c r="FC42" i="12"/>
  <c r="BY18" i="12"/>
  <c r="EE12" i="12"/>
  <c r="EE16" i="12"/>
  <c r="EE38" i="12"/>
  <c r="EE40" i="12"/>
  <c r="FS12" i="12"/>
  <c r="CC42" i="12"/>
  <c r="EE37" i="12"/>
  <c r="EE14" i="12"/>
  <c r="EE18" i="12"/>
  <c r="EE39" i="12"/>
  <c r="CC39" i="12"/>
  <c r="CC41" i="12"/>
  <c r="FC12" i="12"/>
  <c r="BY12" i="12"/>
  <c r="BY16" i="12"/>
  <c r="BY39" i="12"/>
  <c r="FS14" i="12"/>
  <c r="FS18" i="12"/>
  <c r="FC14" i="12"/>
  <c r="FC18" i="12"/>
  <c r="FC38" i="12"/>
  <c r="EE19" i="12"/>
  <c r="FS13" i="12"/>
  <c r="FC13" i="12"/>
  <c r="FC37" i="12"/>
  <c r="FC40" i="12"/>
  <c r="AD19" i="12"/>
  <c r="AE19" i="12" s="1"/>
  <c r="FJ13" i="12"/>
  <c r="FK13" i="12" s="1"/>
  <c r="EI16" i="12"/>
  <c r="FJ37" i="12"/>
  <c r="FK37" i="12" s="1"/>
  <c r="FJ40" i="12"/>
  <c r="FK40" i="12" s="1"/>
  <c r="FP14" i="12"/>
  <c r="FQ14" i="12" s="1"/>
  <c r="FP18" i="12"/>
  <c r="FQ18" i="12" s="1"/>
  <c r="FP41" i="12"/>
  <c r="FQ41" i="12" s="1"/>
  <c r="FL38" i="12"/>
  <c r="FM38" i="12" s="1"/>
  <c r="AD40" i="12"/>
  <c r="AE40" i="12" s="1"/>
  <c r="AT37" i="12"/>
  <c r="AU37" i="12" s="1"/>
  <c r="AR13" i="12"/>
  <c r="AS13" i="12" s="1"/>
  <c r="AH41" i="12"/>
  <c r="AI41" i="12" s="1"/>
  <c r="AR12" i="12"/>
  <c r="AS12" i="12" s="1"/>
  <c r="AR14" i="12"/>
  <c r="AS14" i="12" s="1"/>
  <c r="AR36" i="12"/>
  <c r="AS36" i="12" s="1"/>
  <c r="BB38" i="12"/>
  <c r="BC38" i="12" s="1"/>
  <c r="FP19" i="12"/>
  <c r="FQ19" i="12" s="1"/>
  <c r="FP13" i="12"/>
  <c r="FQ13" i="12" s="1"/>
  <c r="FP38" i="12"/>
  <c r="FQ38" i="12" s="1"/>
  <c r="AX40" i="12"/>
  <c r="AY40" i="12" s="1"/>
  <c r="V52" i="12"/>
  <c r="FJ11" i="12"/>
  <c r="BB40" i="12"/>
  <c r="BC40" i="12" s="1"/>
  <c r="AB16" i="12"/>
  <c r="AC16" i="12" s="1"/>
  <c r="AZ18" i="12"/>
  <c r="BA18" i="12" s="1"/>
  <c r="AZ17" i="12"/>
  <c r="BA17" i="12" s="1"/>
  <c r="AR16" i="12"/>
  <c r="AS16" i="12" s="1"/>
  <c r="AR18" i="12"/>
  <c r="AS18" i="12" s="1"/>
  <c r="AR41" i="12"/>
  <c r="AS41" i="12" s="1"/>
  <c r="S54" i="12"/>
  <c r="FJ12" i="12"/>
  <c r="FK12" i="12" s="1"/>
  <c r="FJ16" i="12"/>
  <c r="FK16" i="12" s="1"/>
  <c r="FJ36" i="12"/>
  <c r="FK36" i="12" s="1"/>
  <c r="FJ39" i="12"/>
  <c r="FK39" i="12" s="1"/>
  <c r="AH39" i="12"/>
  <c r="AI39" i="12" s="1"/>
  <c r="EI12" i="12"/>
  <c r="BB14" i="12"/>
  <c r="BC14" i="12" s="1"/>
  <c r="AT16" i="12"/>
  <c r="AU16" i="12" s="1"/>
  <c r="AX17" i="12"/>
  <c r="AY17" i="12" s="1"/>
  <c r="BB18" i="12"/>
  <c r="BC18" i="12" s="1"/>
  <c r="AT36" i="12"/>
  <c r="AU36" i="12" s="1"/>
  <c r="BB41" i="12"/>
  <c r="BC41" i="12" s="1"/>
  <c r="FP11" i="12"/>
  <c r="FQ11" i="12" s="1"/>
  <c r="AX18" i="12"/>
  <c r="AY18" i="12" s="1"/>
  <c r="AZ8" i="13"/>
  <c r="BE12" i="13"/>
  <c r="CJ35" i="13"/>
  <c r="CJ39" i="13"/>
  <c r="BC39" i="13"/>
  <c r="CJ30" i="13"/>
  <c r="CB35" i="13"/>
  <c r="BF37" i="13"/>
  <c r="CG38" i="13"/>
  <c r="BF12" i="13"/>
  <c r="CH30" i="13"/>
  <c r="CJ13" i="13"/>
  <c r="BF15" i="13"/>
  <c r="BF30" i="13"/>
  <c r="CA32" i="13"/>
  <c r="BB11" i="13"/>
  <c r="CG12" i="13"/>
  <c r="CH13" i="13"/>
  <c r="CG14" i="13"/>
  <c r="CA15" i="13"/>
  <c r="CA30" i="13"/>
  <c r="CJ31" i="13"/>
  <c r="BM31" i="13"/>
  <c r="CH32" i="13"/>
  <c r="CG32" i="13"/>
  <c r="CJ32" i="13"/>
  <c r="CG41" i="13"/>
  <c r="CJ42" i="13"/>
  <c r="CA13" i="13"/>
  <c r="CB31" i="13"/>
  <c r="BB36" i="13"/>
  <c r="CB12" i="13"/>
  <c r="BD30" i="13"/>
  <c r="CH35" i="13"/>
  <c r="CH40" i="13"/>
  <c r="BB35" i="13"/>
  <c r="BE15" i="13"/>
  <c r="CH31" i="13"/>
  <c r="CG37" i="13"/>
  <c r="AI31" i="13"/>
  <c r="CB13" i="13"/>
  <c r="AI14" i="13"/>
  <c r="BM15" i="13"/>
  <c r="AI15" i="13"/>
  <c r="CF35" i="13"/>
  <c r="BC37" i="13"/>
  <c r="CH38" i="13"/>
  <c r="BE30" i="13"/>
  <c r="AY30" i="13"/>
  <c r="CG30" i="13"/>
  <c r="BC32" i="13"/>
  <c r="CK32" i="13"/>
  <c r="CK35" i="13"/>
  <c r="BM36" i="13"/>
  <c r="AI36" i="13"/>
  <c r="P47" i="13"/>
  <c r="BC31" i="13"/>
  <c r="BK35" i="13"/>
  <c r="CB36" i="13"/>
  <c r="CH42" i="13"/>
  <c r="BK42" i="13"/>
  <c r="BZ11" i="13"/>
  <c r="BM12" i="13"/>
  <c r="AI12" i="13"/>
  <c r="BE13" i="13"/>
  <c r="BD13" i="13"/>
  <c r="AY13" i="13"/>
  <c r="CG13" i="13"/>
  <c r="CH14" i="13"/>
  <c r="BZ14" i="13"/>
  <c r="BC14" i="13"/>
  <c r="BF14" i="13"/>
  <c r="CB15" i="13"/>
  <c r="CB30" i="13"/>
  <c r="CG35" i="13"/>
  <c r="CH37" i="13"/>
  <c r="BF38" i="13"/>
  <c r="AG11" i="13"/>
  <c r="BL11" i="13"/>
  <c r="CH12" i="13"/>
  <c r="BD12" i="13"/>
  <c r="AY12" i="13"/>
  <c r="CJ12" i="13"/>
  <c r="BC13" i="13"/>
  <c r="AI13" i="13"/>
  <c r="CA14" i="13"/>
  <c r="CB14" i="13"/>
  <c r="CH15" i="13"/>
  <c r="BD15" i="13"/>
  <c r="AY15" i="13"/>
  <c r="CJ15" i="13"/>
  <c r="BC30" i="13"/>
  <c r="BD32" i="13"/>
  <c r="AG35" i="13"/>
  <c r="AY36" i="13"/>
  <c r="CJ36" i="13"/>
  <c r="CH39" i="13"/>
  <c r="BC12" i="13"/>
  <c r="BE14" i="13"/>
  <c r="BD14" i="13"/>
  <c r="AY14" i="13"/>
  <c r="CJ14" i="13"/>
  <c r="BC15" i="13"/>
  <c r="CG15" i="13"/>
  <c r="BD31" i="13"/>
  <c r="BE31" i="13"/>
  <c r="AI32" i="13"/>
  <c r="BD35" i="13"/>
  <c r="CG36" i="13"/>
  <c r="CG42" i="13"/>
  <c r="CH41" i="13"/>
  <c r="AZ11" i="12"/>
  <c r="BA11" i="12" s="1"/>
  <c r="CC38" i="12"/>
  <c r="AH38" i="12"/>
  <c r="AI38" i="12" s="1"/>
  <c r="AD41" i="12"/>
  <c r="AE41" i="12" s="1"/>
  <c r="FP17" i="12"/>
  <c r="FQ17" i="12" s="1"/>
  <c r="BB17" i="12"/>
  <c r="BC17" i="12" s="1"/>
  <c r="AB12" i="12"/>
  <c r="AC12" i="12" s="1"/>
  <c r="AH18" i="12"/>
  <c r="AI18" i="12" s="1"/>
  <c r="BY36" i="12"/>
  <c r="BG12" i="12"/>
  <c r="BI12" i="12"/>
  <c r="AX13" i="12"/>
  <c r="AY13" i="12" s="1"/>
  <c r="AX37" i="12"/>
  <c r="AY37" i="12" s="1"/>
  <c r="EI39" i="12"/>
  <c r="AT39" i="12"/>
  <c r="AU39" i="12" s="1"/>
  <c r="AT12" i="12"/>
  <c r="AU12" i="12" s="1"/>
  <c r="EI36" i="12"/>
  <c r="AB40" i="12"/>
  <c r="AC40" i="12" s="1"/>
  <c r="FP40" i="12"/>
  <c r="FQ40" i="12" s="1"/>
  <c r="FL41" i="12"/>
  <c r="FM41" i="12" s="1"/>
  <c r="AZ38" i="12"/>
  <c r="BA38" i="12" s="1"/>
  <c r="FL18" i="12"/>
  <c r="FM18" i="12" s="1"/>
  <c r="FL14" i="12"/>
  <c r="FM14" i="12" s="1"/>
  <c r="FL17" i="12"/>
  <c r="FM17" i="12" s="1"/>
  <c r="K45" i="12"/>
  <c r="AR17" i="12"/>
  <c r="AS17" i="12" s="1"/>
  <c r="AR40" i="12"/>
  <c r="AS40" i="12" s="1"/>
  <c r="AT13" i="12"/>
  <c r="AU13" i="12" s="1"/>
  <c r="EI37" i="12"/>
  <c r="FJ38" i="12"/>
  <c r="FK38" i="12" s="1"/>
  <c r="FJ41" i="12"/>
  <c r="FK41" i="12" s="1"/>
  <c r="BK17" i="12"/>
  <c r="FP16" i="12"/>
  <c r="FQ16" i="12" s="1"/>
  <c r="N45" i="12"/>
  <c r="AF18" i="12"/>
  <c r="AG18" i="12" s="1"/>
  <c r="BY13" i="12"/>
  <c r="AF40" i="12"/>
  <c r="AG40" i="12" s="1"/>
  <c r="AD14" i="12"/>
  <c r="AE14" i="12" s="1"/>
  <c r="AD38" i="12"/>
  <c r="AE38" i="12" s="1"/>
  <c r="AX36" i="12"/>
  <c r="AY36" i="12" s="1"/>
  <c r="FP37" i="12"/>
  <c r="FQ37" i="12" s="1"/>
  <c r="BB37" i="12"/>
  <c r="BC37" i="12" s="1"/>
  <c r="FC39" i="12"/>
  <c r="AX39" i="12"/>
  <c r="AY39" i="12" s="1"/>
  <c r="FL37" i="12"/>
  <c r="FM37" i="12" s="1"/>
  <c r="AZ37" i="12"/>
  <c r="BA37" i="12" s="1"/>
  <c r="AH40" i="12"/>
  <c r="AI40" i="12" s="1"/>
  <c r="CC40" i="12"/>
  <c r="AH37" i="12"/>
  <c r="AI37" i="12" s="1"/>
  <c r="AH17" i="12"/>
  <c r="AI17" i="12" s="1"/>
  <c r="AF37" i="12"/>
  <c r="AG37" i="12" s="1"/>
  <c r="AX12" i="12"/>
  <c r="AY12" i="12" s="1"/>
  <c r="FC16" i="12"/>
  <c r="BB13" i="12"/>
  <c r="BC13" i="12" s="1"/>
  <c r="AB17" i="12"/>
  <c r="AC17" i="12" s="1"/>
  <c r="V54" i="12"/>
  <c r="AB11" i="12"/>
  <c r="AC11" i="12" s="1"/>
  <c r="D47" i="12"/>
  <c r="FL40" i="12"/>
  <c r="FM40" i="12" s="1"/>
  <c r="AZ40" i="12"/>
  <c r="BA40" i="12" s="1"/>
  <c r="FL13" i="12"/>
  <c r="FM13" i="12" s="1"/>
  <c r="AZ13" i="12"/>
  <c r="BA13" i="12" s="1"/>
  <c r="AB39" i="12"/>
  <c r="AC39" i="12" s="1"/>
  <c r="AB36" i="12"/>
  <c r="AC36" i="12" s="1"/>
  <c r="H45" i="12"/>
  <c r="I53" i="12"/>
  <c r="AB13" i="12"/>
  <c r="AC13" i="12" s="1"/>
  <c r="BK13" i="12"/>
  <c r="AX16" i="12"/>
  <c r="AY16" i="12" s="1"/>
  <c r="AF17" i="12"/>
  <c r="AG17" i="12" s="1"/>
  <c r="AD18" i="12"/>
  <c r="AE18" i="12" s="1"/>
  <c r="AB37" i="12"/>
  <c r="AC37" i="12" s="1"/>
  <c r="BY40" i="12"/>
  <c r="AB14" i="12"/>
  <c r="AC14" i="12" s="1"/>
  <c r="AZ36" i="12"/>
  <c r="BA36" i="12" s="1"/>
  <c r="FL11" i="12"/>
  <c r="FM11" i="12" s="1"/>
  <c r="AI36" i="12"/>
  <c r="AI12" i="12"/>
  <c r="BK19" i="12"/>
  <c r="BI17" i="12"/>
  <c r="L45" i="12"/>
  <c r="L53" i="12"/>
  <c r="ED53" i="12" s="1"/>
  <c r="AD37" i="12"/>
  <c r="AE37" i="12" s="1"/>
  <c r="BB16" i="12"/>
  <c r="BC16" i="12" s="1"/>
  <c r="FP36" i="12"/>
  <c r="FQ36" i="12" s="1"/>
  <c r="FP39" i="12"/>
  <c r="FQ39" i="12" s="1"/>
  <c r="AX14" i="12"/>
  <c r="AY14" i="12" s="1"/>
  <c r="AT17" i="12"/>
  <c r="AU17" i="12" s="1"/>
  <c r="FJ18" i="12"/>
  <c r="FK18" i="12" s="1"/>
  <c r="BB19" i="12"/>
  <c r="BC19" i="12" s="1"/>
  <c r="AX38" i="12"/>
  <c r="AY38" i="12" s="1"/>
  <c r="EI40" i="12"/>
  <c r="AX41" i="12"/>
  <c r="AY41" i="12" s="1"/>
  <c r="AD13" i="12"/>
  <c r="AE13" i="12" s="1"/>
  <c r="AZ14" i="12"/>
  <c r="BA14" i="12" s="1"/>
  <c r="EI17" i="12"/>
  <c r="BG40" i="12"/>
  <c r="AZ41" i="12"/>
  <c r="BA41" i="12" s="1"/>
  <c r="EE41" i="12"/>
  <c r="F52" i="12"/>
  <c r="BP52" i="12" s="1"/>
  <c r="BQ52" i="12" s="1"/>
  <c r="R45" i="12"/>
  <c r="BY41" i="12"/>
  <c r="AD39" i="12"/>
  <c r="AE39" i="12" s="1"/>
  <c r="AI11" i="12"/>
  <c r="AF13" i="12"/>
  <c r="AG13" i="12" s="1"/>
  <c r="AH16" i="12"/>
  <c r="AI16" i="12" s="1"/>
  <c r="FL16" i="12"/>
  <c r="FM16" i="12" s="1"/>
  <c r="AH19" i="12"/>
  <c r="AI19" i="12" s="1"/>
  <c r="AR38" i="12"/>
  <c r="AS38" i="12" s="1"/>
  <c r="K47" i="12"/>
  <c r="DX47" i="12" s="1"/>
  <c r="DY47" i="12" s="1"/>
  <c r="U54" i="12"/>
  <c r="AZ16" i="12"/>
  <c r="BA16" i="12" s="1"/>
  <c r="BK18" i="12"/>
  <c r="FL39" i="12"/>
  <c r="FM39" i="12" s="1"/>
  <c r="K53" i="13"/>
  <c r="K52" i="13"/>
  <c r="K47" i="13"/>
  <c r="K45" i="13"/>
  <c r="N53" i="13"/>
  <c r="N52" i="13"/>
  <c r="N47" i="13"/>
  <c r="N45" i="13"/>
  <c r="CH11" i="13"/>
  <c r="CA12" i="13"/>
  <c r="BB31" i="13"/>
  <c r="BF31" i="13"/>
  <c r="BZ31" i="13"/>
  <c r="AG32" i="13"/>
  <c r="AY32" i="13"/>
  <c r="CB32" i="13"/>
  <c r="BE35" i="13"/>
  <c r="AY35" i="13"/>
  <c r="BZ35" i="13"/>
  <c r="CA36" i="13"/>
  <c r="BE38" i="13"/>
  <c r="BL38" i="13"/>
  <c r="AG38" i="13"/>
  <c r="CJ38" i="13"/>
  <c r="BC40" i="13"/>
  <c r="CG11" i="13"/>
  <c r="BB14" i="13"/>
  <c r="BB30" i="13"/>
  <c r="BM41" i="13"/>
  <c r="CL9" i="13"/>
  <c r="H53" i="13"/>
  <c r="H52" i="13"/>
  <c r="H45" i="13"/>
  <c r="H47" i="13"/>
  <c r="L53" i="13"/>
  <c r="L52" i="13"/>
  <c r="L47" i="13"/>
  <c r="L45" i="13"/>
  <c r="P53" i="13"/>
  <c r="P52" i="13"/>
  <c r="P45" i="13"/>
  <c r="V52" i="13"/>
  <c r="AG12" i="13"/>
  <c r="AG13" i="13"/>
  <c r="AG14" i="13"/>
  <c r="AG15" i="13"/>
  <c r="AG30" i="13"/>
  <c r="CK31" i="13"/>
  <c r="BE32" i="13"/>
  <c r="BM32" i="13"/>
  <c r="BC35" i="13"/>
  <c r="BE36" i="13"/>
  <c r="BL36" i="13"/>
  <c r="AG36" i="13"/>
  <c r="BC38" i="13"/>
  <c r="CK38" i="13"/>
  <c r="BB38" i="13"/>
  <c r="BE42" i="13"/>
  <c r="BZ42" i="13"/>
  <c r="F52" i="13"/>
  <c r="F47" i="13"/>
  <c r="F53" i="13"/>
  <c r="F45" i="13"/>
  <c r="BB12" i="13"/>
  <c r="BB13" i="13"/>
  <c r="BB15" i="13"/>
  <c r="CK37" i="13"/>
  <c r="BB37" i="13"/>
  <c r="D52" i="13"/>
  <c r="D47" i="13"/>
  <c r="D53" i="13"/>
  <c r="D45" i="13"/>
  <c r="I52" i="13"/>
  <c r="I47" i="13"/>
  <c r="I53" i="13"/>
  <c r="I45" i="13"/>
  <c r="BE11" i="13"/>
  <c r="BM11" i="13"/>
  <c r="CF11" i="13"/>
  <c r="CK11" i="13"/>
  <c r="AG31" i="13"/>
  <c r="BB32" i="13"/>
  <c r="CA35" i="13"/>
  <c r="BF35" i="13"/>
  <c r="CH36" i="13"/>
  <c r="BC36" i="13"/>
  <c r="CK36" i="13"/>
  <c r="BE37" i="13"/>
  <c r="BL37" i="13"/>
  <c r="AG37" i="13"/>
  <c r="BC42" i="13"/>
  <c r="BZ39" i="13"/>
  <c r="BM42" i="13"/>
  <c r="BM39" i="13"/>
  <c r="BE40" i="13"/>
  <c r="BZ40" i="13"/>
  <c r="BM40" i="13"/>
  <c r="BE41" i="13"/>
  <c r="BZ41" i="13"/>
  <c r="BC41" i="13"/>
  <c r="AG39" i="13"/>
  <c r="AG40" i="13"/>
  <c r="AG41" i="13"/>
  <c r="AG42" i="13"/>
  <c r="BE39" i="13"/>
  <c r="BB39" i="13"/>
  <c r="BB40" i="13"/>
  <c r="BB41" i="13"/>
  <c r="BB42" i="13"/>
  <c r="AT40" i="12"/>
  <c r="AU40" i="12" s="1"/>
  <c r="EI13" i="12"/>
  <c r="FP12" i="12"/>
  <c r="FQ12" i="12" s="1"/>
  <c r="FJ14" i="12"/>
  <c r="FK14" i="12" s="1"/>
  <c r="FD47" i="12"/>
  <c r="FE47" i="12" s="1"/>
  <c r="FD53" i="12"/>
  <c r="FE53" i="12" s="1"/>
  <c r="AT41" i="12"/>
  <c r="AU41" i="12" s="1"/>
  <c r="EI18" i="12"/>
  <c r="BB12" i="12"/>
  <c r="BC12" i="12" s="1"/>
  <c r="AT18" i="12"/>
  <c r="AU18" i="12" s="1"/>
  <c r="AT38" i="12"/>
  <c r="AU38" i="12" s="1"/>
  <c r="EI41" i="12"/>
  <c r="FR16" i="12"/>
  <c r="FS16" i="12" s="1"/>
  <c r="BB36" i="12"/>
  <c r="BC36" i="12" s="1"/>
  <c r="EI38" i="12"/>
  <c r="BB39" i="12"/>
  <c r="BC39" i="12" s="1"/>
  <c r="FJ19" i="12"/>
  <c r="FK19" i="12" s="1"/>
  <c r="X53" i="12"/>
  <c r="BH53" i="12" s="1"/>
  <c r="AZ12" i="12"/>
  <c r="BA12" i="12" s="1"/>
  <c r="FL36" i="12"/>
  <c r="FM36" i="12" s="1"/>
  <c r="AB38" i="12"/>
  <c r="AC38" i="12" s="1"/>
  <c r="AZ39" i="12"/>
  <c r="BA39" i="12" s="1"/>
  <c r="U45" i="12"/>
  <c r="FL12" i="12"/>
  <c r="FM12" i="12" s="1"/>
  <c r="BK14" i="12"/>
  <c r="AB41" i="12"/>
  <c r="AC41" i="12" s="1"/>
  <c r="V47" i="12"/>
  <c r="AD15" i="12"/>
  <c r="AE15" i="12" s="1"/>
  <c r="AB18" i="12"/>
  <c r="AC18" i="12" s="1"/>
  <c r="U53" i="12"/>
  <c r="BF53" i="12" s="1"/>
  <c r="BY38" i="12"/>
  <c r="R53" i="12"/>
  <c r="EX53" i="12" s="1"/>
  <c r="EY53" i="12" s="1"/>
  <c r="AF36" i="12"/>
  <c r="AG36" i="12" s="1"/>
  <c r="R54" i="12"/>
  <c r="AF41" i="12"/>
  <c r="AG41" i="12" s="1"/>
  <c r="AF16" i="12"/>
  <c r="AG16" i="12" s="1"/>
  <c r="AF38" i="12"/>
  <c r="AG38" i="12" s="1"/>
  <c r="AR39" i="12"/>
  <c r="AS39" i="12" s="1"/>
  <c r="P53" i="12"/>
  <c r="CX53" i="12" s="1"/>
  <c r="CY53" i="12" s="1"/>
  <c r="N52" i="12"/>
  <c r="CV52" i="12" s="1"/>
  <c r="CW52" i="12" s="1"/>
  <c r="AF19" i="12"/>
  <c r="AG19" i="12" s="1"/>
  <c r="EE17" i="12"/>
  <c r="AR37" i="12"/>
  <c r="AS37" i="12" s="1"/>
  <c r="P47" i="12"/>
  <c r="CX47" i="12" s="1"/>
  <c r="CY47" i="12" s="1"/>
  <c r="EE13" i="12"/>
  <c r="P45" i="12"/>
  <c r="P52" i="12"/>
  <c r="CX52" i="12" s="1"/>
  <c r="CY52" i="12" s="1"/>
  <c r="P54" i="12"/>
  <c r="AF12" i="12"/>
  <c r="AG12" i="12" s="1"/>
  <c r="N54" i="12"/>
  <c r="AF39" i="12"/>
  <c r="AG39" i="12" s="1"/>
  <c r="FP42" i="12"/>
  <c r="FQ42" i="12" s="1"/>
  <c r="FJ42" i="12"/>
  <c r="FK42" i="12" s="1"/>
  <c r="AT14" i="12"/>
  <c r="AU14" i="12" s="1"/>
  <c r="EI14" i="12"/>
  <c r="FF53" i="12"/>
  <c r="FG53" i="12" s="1"/>
  <c r="FF47" i="12"/>
  <c r="FG47" i="12" s="1"/>
  <c r="FF52" i="12"/>
  <c r="FG52" i="12" s="1"/>
  <c r="FP15" i="12"/>
  <c r="FQ15" i="12" s="1"/>
  <c r="FC15" i="12"/>
  <c r="FC41" i="12"/>
  <c r="AX19" i="12"/>
  <c r="AY19" i="12" s="1"/>
  <c r="AT19" i="12"/>
  <c r="AU19" i="12" s="1"/>
  <c r="FD52" i="12"/>
  <c r="FE52" i="12" s="1"/>
  <c r="EI42" i="12"/>
  <c r="EI19" i="12"/>
  <c r="BB15" i="12"/>
  <c r="BC15" i="12" s="1"/>
  <c r="BB42" i="12"/>
  <c r="BC42" i="12" s="1"/>
  <c r="FR15" i="12"/>
  <c r="FS15" i="12" s="1"/>
  <c r="AX42" i="12"/>
  <c r="AY42" i="12" s="1"/>
  <c r="AX15" i="12"/>
  <c r="AY15" i="12" s="1"/>
  <c r="FJ15" i="12"/>
  <c r="FK15" i="12" s="1"/>
  <c r="AT42" i="12"/>
  <c r="AU42" i="12" s="1"/>
  <c r="X45" i="12"/>
  <c r="X47" i="12"/>
  <c r="BH47" i="12" s="1"/>
  <c r="AT15" i="12"/>
  <c r="AU15" i="12" s="1"/>
  <c r="X54" i="12"/>
  <c r="EI15" i="12"/>
  <c r="X52" i="12"/>
  <c r="BH52" i="12" s="1"/>
  <c r="V45" i="12"/>
  <c r="V46" i="12" s="1"/>
  <c r="V53" i="12"/>
  <c r="AD42" i="12"/>
  <c r="AE42" i="12" s="1"/>
  <c r="BI19" i="12"/>
  <c r="BI15" i="12"/>
  <c r="U47" i="12"/>
  <c r="BF47" i="12" s="1"/>
  <c r="U52" i="12"/>
  <c r="BF52" i="12" s="1"/>
  <c r="S45" i="12"/>
  <c r="S47" i="12"/>
  <c r="EZ47" i="12" s="1"/>
  <c r="FA47" i="12" s="1"/>
  <c r="S53" i="12"/>
  <c r="EZ53" i="12" s="1"/>
  <c r="FA53" i="12" s="1"/>
  <c r="S52" i="12"/>
  <c r="EZ52" i="12" s="1"/>
  <c r="FA52" i="12" s="1"/>
  <c r="AR42" i="12"/>
  <c r="AS42" i="12" s="1"/>
  <c r="AR19" i="12"/>
  <c r="AS19" i="12" s="1"/>
  <c r="BY15" i="12"/>
  <c r="R47" i="12"/>
  <c r="EX47" i="12" s="1"/>
  <c r="EY47" i="12" s="1"/>
  <c r="BY19" i="12"/>
  <c r="AF42" i="12"/>
  <c r="AG42" i="12" s="1"/>
  <c r="R52" i="12"/>
  <c r="EX52" i="12" s="1"/>
  <c r="EY52" i="12" s="1"/>
  <c r="EE15" i="12"/>
  <c r="AR15" i="12"/>
  <c r="AS15" i="12" s="1"/>
  <c r="EE42" i="12"/>
  <c r="N47" i="12"/>
  <c r="CV47" i="12" s="1"/>
  <c r="CW47" i="12" s="1"/>
  <c r="N53" i="12"/>
  <c r="CV53" i="12" s="1"/>
  <c r="CW53" i="12" s="1"/>
  <c r="AF15" i="12"/>
  <c r="AF14" i="12"/>
  <c r="AG14" i="12" s="1"/>
  <c r="L47" i="12"/>
  <c r="ED47" i="12" s="1"/>
  <c r="L52" i="12"/>
  <c r="ED52" i="12" s="1"/>
  <c r="L54" i="12"/>
  <c r="FL42" i="12"/>
  <c r="FM42" i="12" s="1"/>
  <c r="AH15" i="12"/>
  <c r="AI15" i="12" s="1"/>
  <c r="AH42" i="12"/>
  <c r="AI42" i="12" s="1"/>
  <c r="K52" i="12"/>
  <c r="DX52" i="12" s="1"/>
  <c r="DY52" i="12" s="1"/>
  <c r="K53" i="12"/>
  <c r="DX53" i="12" s="1"/>
  <c r="DY53" i="12" s="1"/>
  <c r="BG15" i="12"/>
  <c r="K54" i="12"/>
  <c r="AB42" i="12"/>
  <c r="AC42" i="12" s="1"/>
  <c r="I54" i="12"/>
  <c r="I45" i="12"/>
  <c r="I52" i="12"/>
  <c r="ER52" i="12" s="1"/>
  <c r="AZ42" i="12"/>
  <c r="BA42" i="12" s="1"/>
  <c r="FL19" i="12"/>
  <c r="FM19" i="12" s="1"/>
  <c r="I47" i="12"/>
  <c r="H53" i="12"/>
  <c r="EH53" i="12" s="1"/>
  <c r="H47" i="12"/>
  <c r="EH47" i="12" s="1"/>
  <c r="H52" i="12"/>
  <c r="EH52" i="12" s="1"/>
  <c r="H54" i="12"/>
  <c r="AB19" i="12"/>
  <c r="AC19" i="12" s="1"/>
  <c r="AZ15" i="12"/>
  <c r="BA15" i="12" s="1"/>
  <c r="FL15" i="12"/>
  <c r="FM15" i="12" s="1"/>
  <c r="F47" i="12"/>
  <c r="BP47" i="12" s="1"/>
  <c r="BQ47" i="12" s="1"/>
  <c r="F53" i="12"/>
  <c r="BP53" i="12" s="1"/>
  <c r="BQ53" i="12" s="1"/>
  <c r="AZ19" i="12"/>
  <c r="F45" i="12"/>
  <c r="D52" i="12"/>
  <c r="D53" i="12"/>
  <c r="D54" i="12"/>
  <c r="AB15" i="12"/>
  <c r="AC15" i="12" s="1"/>
  <c r="D45" i="12"/>
  <c r="D46" i="12" s="1"/>
  <c r="AE12" i="12"/>
  <c r="AE36" i="12"/>
  <c r="FT9" i="12"/>
  <c r="BI42" i="12"/>
  <c r="BI18" i="12"/>
  <c r="BI13" i="12"/>
  <c r="BI16" i="12"/>
  <c r="BK12" i="12"/>
  <c r="BG19" i="12"/>
  <c r="BG17" i="12"/>
  <c r="BG14" i="12"/>
  <c r="BG42" i="12"/>
  <c r="BG41" i="12"/>
  <c r="BG18" i="12"/>
  <c r="BG13" i="12"/>
  <c r="BK16" i="12"/>
  <c r="BK15" i="12"/>
  <c r="AI13" i="12"/>
  <c r="AI14" i="12"/>
  <c r="BI14" i="12"/>
  <c r="AE16" i="12"/>
  <c r="BG16" i="12"/>
  <c r="F44" i="11"/>
  <c r="D41" i="11"/>
  <c r="D42" i="11" s="1"/>
  <c r="H20" i="11"/>
  <c r="F41" i="11"/>
  <c r="F42" i="11" s="1"/>
  <c r="E41" i="11"/>
  <c r="E42" i="11" s="1"/>
  <c r="G40" i="11"/>
  <c r="G44" i="11" s="1"/>
  <c r="G41" i="11"/>
  <c r="G42" i="11" s="1"/>
  <c r="G43" i="11"/>
  <c r="G48" i="11"/>
  <c r="G49" i="11"/>
  <c r="F73" i="13" l="1"/>
  <c r="G73" i="13" s="1"/>
  <c r="G61" i="13"/>
  <c r="AH42" i="13"/>
  <c r="AI42" i="13" s="1"/>
  <c r="Z37" i="13"/>
  <c r="AX37" i="13"/>
  <c r="AY37" i="13" s="1"/>
  <c r="X54" i="13"/>
  <c r="AH41" i="13"/>
  <c r="AI41" i="13" s="1"/>
  <c r="R54" i="13"/>
  <c r="AH11" i="13"/>
  <c r="AI11" i="13" s="1"/>
  <c r="Z39" i="13"/>
  <c r="AX39" i="13"/>
  <c r="Z42" i="13"/>
  <c r="AX42" i="13"/>
  <c r="AY42" i="13" s="1"/>
  <c r="CA11" i="13"/>
  <c r="S54" i="13"/>
  <c r="AH37" i="13"/>
  <c r="AI37" i="13" s="1"/>
  <c r="BD11" i="13"/>
  <c r="AL11" i="13"/>
  <c r="U54" i="13"/>
  <c r="W11" i="13"/>
  <c r="Z40" i="13"/>
  <c r="AX40" i="13"/>
  <c r="Z41" i="13"/>
  <c r="AX41" i="13"/>
  <c r="Z38" i="13"/>
  <c r="Z52" i="13" s="1"/>
  <c r="AX38" i="13"/>
  <c r="BC11" i="13"/>
  <c r="V54" i="13"/>
  <c r="DE63" i="12"/>
  <c r="DE54" i="12"/>
  <c r="DF61" i="12"/>
  <c r="G93" i="12" s="1"/>
  <c r="H93" i="12" s="1"/>
  <c r="F93" i="12"/>
  <c r="FB54" i="12"/>
  <c r="FC11" i="12"/>
  <c r="DG62" i="12"/>
  <c r="DG54" i="12"/>
  <c r="DG63" i="12"/>
  <c r="K95" i="12"/>
  <c r="L95" i="12" s="1"/>
  <c r="DE62" i="12"/>
  <c r="DD61" i="12"/>
  <c r="G92" i="12" s="1"/>
  <c r="H92" i="12" s="1"/>
  <c r="F92" i="12"/>
  <c r="Z46" i="12"/>
  <c r="V53" i="13"/>
  <c r="V45" i="13"/>
  <c r="V46" i="13" s="1"/>
  <c r="V47" i="13"/>
  <c r="BF11" i="13"/>
  <c r="BF54" i="13" s="1"/>
  <c r="BF55" i="13" s="1"/>
  <c r="CC54" i="12"/>
  <c r="CC63" i="12"/>
  <c r="CC62" i="12" s="1"/>
  <c r="BK11" i="13"/>
  <c r="BK54" i="13" s="1"/>
  <c r="BK55" i="13" s="1"/>
  <c r="BD37" i="13"/>
  <c r="AC37" i="13"/>
  <c r="BD41" i="13"/>
  <c r="AC41" i="13"/>
  <c r="CA40" i="13"/>
  <c r="AI40" i="13"/>
  <c r="W42" i="13"/>
  <c r="AC42" i="13"/>
  <c r="BD39" i="13"/>
  <c r="AC39" i="13"/>
  <c r="CA38" i="13"/>
  <c r="AI38" i="13"/>
  <c r="CA39" i="13"/>
  <c r="AI39" i="13"/>
  <c r="AC11" i="13"/>
  <c r="BD38" i="13"/>
  <c r="AC38" i="13"/>
  <c r="AC40" i="13"/>
  <c r="CB38" i="13"/>
  <c r="CB40" i="13"/>
  <c r="X47" i="13"/>
  <c r="FD63" i="12"/>
  <c r="BD42" i="13"/>
  <c r="CB42" i="13"/>
  <c r="FE54" i="12"/>
  <c r="U52" i="13"/>
  <c r="FD54" i="12"/>
  <c r="CB41" i="13"/>
  <c r="X52" i="13"/>
  <c r="CB37" i="13"/>
  <c r="CB11" i="13"/>
  <c r="CJ37" i="13"/>
  <c r="CJ54" i="13" s="1"/>
  <c r="CJ55" i="13" s="1"/>
  <c r="X45" i="13"/>
  <c r="X46" i="13" s="1"/>
  <c r="S52" i="13"/>
  <c r="AY40" i="13"/>
  <c r="AY41" i="13"/>
  <c r="AY11" i="13"/>
  <c r="AY38" i="13"/>
  <c r="AY39" i="13"/>
  <c r="CB39" i="13"/>
  <c r="R47" i="13"/>
  <c r="X53" i="13"/>
  <c r="EY11" i="12"/>
  <c r="U53" i="13"/>
  <c r="U47" i="13"/>
  <c r="W40" i="13"/>
  <c r="W39" i="13"/>
  <c r="W36" i="13"/>
  <c r="AC36" i="13"/>
  <c r="BD40" i="13"/>
  <c r="BD36" i="13"/>
  <c r="CL36" i="13" s="1"/>
  <c r="CM36" i="13" s="1"/>
  <c r="U45" i="13"/>
  <c r="U46" i="13" s="1"/>
  <c r="W37" i="13"/>
  <c r="W41" i="13"/>
  <c r="W38" i="13"/>
  <c r="R52" i="13"/>
  <c r="CA37" i="13"/>
  <c r="AW41" i="13"/>
  <c r="T41" i="13"/>
  <c r="T11" i="13"/>
  <c r="T42" i="13"/>
  <c r="AW42" i="13"/>
  <c r="AW37" i="13"/>
  <c r="T37" i="13"/>
  <c r="CA41" i="13"/>
  <c r="CA42" i="13"/>
  <c r="S45" i="13"/>
  <c r="S46" i="13" s="1"/>
  <c r="S53" i="13"/>
  <c r="R45" i="13"/>
  <c r="R46" i="13" s="1"/>
  <c r="FB63" i="12"/>
  <c r="T38" i="13"/>
  <c r="AW38" i="13"/>
  <c r="AW39" i="13"/>
  <c r="T39" i="13"/>
  <c r="T40" i="13"/>
  <c r="R53" i="13"/>
  <c r="S47" i="13"/>
  <c r="AP52" i="13"/>
  <c r="AP45" i="13"/>
  <c r="AP53" i="13"/>
  <c r="AP47" i="13"/>
  <c r="S46" i="12"/>
  <c r="EZ46" i="12" s="1"/>
  <c r="FA46" i="12" s="1"/>
  <c r="EZ45" i="12"/>
  <c r="FA45" i="12" s="1"/>
  <c r="FD46" i="12"/>
  <c r="FE46" i="12" s="1"/>
  <c r="FD45" i="12"/>
  <c r="FE45" i="12" s="1"/>
  <c r="R46" i="12"/>
  <c r="EX46" i="12" s="1"/>
  <c r="EY46" i="12" s="1"/>
  <c r="EX45" i="12"/>
  <c r="EY45" i="12" s="1"/>
  <c r="FF46" i="12"/>
  <c r="FG46" i="12" s="1"/>
  <c r="FF45" i="12"/>
  <c r="FG45" i="12" s="1"/>
  <c r="FK11" i="12"/>
  <c r="FK63" i="12" s="1"/>
  <c r="FJ63" i="12"/>
  <c r="EE63" i="12"/>
  <c r="I46" i="12"/>
  <c r="I48" i="12" s="1"/>
  <c r="ER45" i="12"/>
  <c r="ER47" i="12"/>
  <c r="H46" i="12"/>
  <c r="EH46" i="12" s="1"/>
  <c r="EH45" i="12"/>
  <c r="FM61" i="12"/>
  <c r="FQ61" i="12"/>
  <c r="L46" i="12"/>
  <c r="ED46" i="12" s="1"/>
  <c r="ED45" i="12"/>
  <c r="K46" i="12"/>
  <c r="DX46" i="12" s="1"/>
  <c r="DY46" i="12" s="1"/>
  <c r="DX45" i="12"/>
  <c r="DY45" i="12" s="1"/>
  <c r="DY54" i="12"/>
  <c r="FS61" i="12"/>
  <c r="EE61" i="12"/>
  <c r="N46" i="12"/>
  <c r="CV46" i="12" s="1"/>
  <c r="CW46" i="12" s="1"/>
  <c r="CV45" i="12"/>
  <c r="CW45" i="12" s="1"/>
  <c r="P46" i="12"/>
  <c r="CX46" i="12" s="1"/>
  <c r="CY46" i="12" s="1"/>
  <c r="CX45" i="12"/>
  <c r="CY45" i="12" s="1"/>
  <c r="F46" i="12"/>
  <c r="BP46" i="12" s="1"/>
  <c r="BQ46" i="12" s="1"/>
  <c r="BP45" i="12"/>
  <c r="BQ45" i="12" s="1"/>
  <c r="X46" i="12"/>
  <c r="BH46" i="12" s="1"/>
  <c r="BH45" i="12"/>
  <c r="U46" i="12"/>
  <c r="BF46" i="12" s="1"/>
  <c r="BF45" i="12"/>
  <c r="AG55" i="13"/>
  <c r="FS63" i="12"/>
  <c r="FS54" i="12"/>
  <c r="FM63" i="12"/>
  <c r="FM54" i="12"/>
  <c r="FQ54" i="12"/>
  <c r="FQ63" i="12"/>
  <c r="EE54" i="12"/>
  <c r="J47" i="12"/>
  <c r="G54" i="12"/>
  <c r="FR54" i="12"/>
  <c r="FR61" i="12" s="1"/>
  <c r="CF54" i="13"/>
  <c r="CF55" i="13" s="1"/>
  <c r="J52" i="13"/>
  <c r="CL14" i="13"/>
  <c r="CM14" i="13" s="1"/>
  <c r="G53" i="13"/>
  <c r="CL32" i="13"/>
  <c r="CM32" i="13" s="1"/>
  <c r="M52" i="13"/>
  <c r="G45" i="13"/>
  <c r="G46" i="13" s="1"/>
  <c r="BZ54" i="13"/>
  <c r="BZ55" i="13" s="1"/>
  <c r="AE54" i="13"/>
  <c r="AT53" i="13"/>
  <c r="BC54" i="13"/>
  <c r="BC55" i="13" s="1"/>
  <c r="M47" i="13"/>
  <c r="CL15" i="13"/>
  <c r="CM15" i="13" s="1"/>
  <c r="M53" i="13"/>
  <c r="AU54" i="13"/>
  <c r="CH54" i="13"/>
  <c r="CH55" i="13" s="1"/>
  <c r="BL54" i="13"/>
  <c r="BL55" i="13" s="1"/>
  <c r="CL13" i="13"/>
  <c r="CM13" i="13" s="1"/>
  <c r="J47" i="13"/>
  <c r="CL30" i="13"/>
  <c r="CM30" i="13" s="1"/>
  <c r="AG54" i="13"/>
  <c r="AG57" i="13"/>
  <c r="J45" i="12"/>
  <c r="J46" i="12" s="1"/>
  <c r="M47" i="12"/>
  <c r="T45" i="12"/>
  <c r="T46" i="12" s="1"/>
  <c r="FP54" i="12"/>
  <c r="FP61" i="12" s="1"/>
  <c r="J54" i="12"/>
  <c r="M52" i="12"/>
  <c r="G45" i="12"/>
  <c r="G46" i="12" s="1"/>
  <c r="T54" i="12"/>
  <c r="AD52" i="12"/>
  <c r="FL54" i="12"/>
  <c r="FL61" i="12" s="1"/>
  <c r="BB53" i="12"/>
  <c r="AH53" i="12"/>
  <c r="J52" i="12"/>
  <c r="G47" i="12"/>
  <c r="AH52" i="12"/>
  <c r="G53" i="12"/>
  <c r="W52" i="12"/>
  <c r="J53" i="12"/>
  <c r="D46" i="13"/>
  <c r="L46" i="13"/>
  <c r="BM54" i="13"/>
  <c r="BM55" i="13" s="1"/>
  <c r="CL12" i="13"/>
  <c r="CM12" i="13" s="1"/>
  <c r="M45" i="13"/>
  <c r="AD53" i="13"/>
  <c r="J45" i="13"/>
  <c r="CL31" i="13"/>
  <c r="CM31" i="13" s="1"/>
  <c r="G47" i="13"/>
  <c r="Q52" i="13"/>
  <c r="Q47" i="13"/>
  <c r="Q53" i="13"/>
  <c r="Q45" i="13"/>
  <c r="P46" i="13"/>
  <c r="P48" i="13" s="1"/>
  <c r="BE54" i="13"/>
  <c r="BE55" i="13" s="1"/>
  <c r="AT52" i="13"/>
  <c r="F46" i="13"/>
  <c r="H46" i="13"/>
  <c r="H48" i="13" s="1"/>
  <c r="CG54" i="13"/>
  <c r="CG55" i="13" s="1"/>
  <c r="J53" i="13"/>
  <c r="N46" i="13"/>
  <c r="CL35" i="13"/>
  <c r="CM35" i="13" s="1"/>
  <c r="G52" i="13"/>
  <c r="CK54" i="13"/>
  <c r="CK55" i="13" s="1"/>
  <c r="I46" i="13"/>
  <c r="AT54" i="13"/>
  <c r="BB54" i="13"/>
  <c r="BB55" i="13" s="1"/>
  <c r="AD52" i="13"/>
  <c r="K46" i="13"/>
  <c r="BB52" i="12"/>
  <c r="W53" i="12"/>
  <c r="V48" i="12"/>
  <c r="V50" i="12" s="1"/>
  <c r="T52" i="12"/>
  <c r="AF52" i="12"/>
  <c r="Q45" i="12"/>
  <c r="Q46" i="12" s="1"/>
  <c r="BB54" i="12"/>
  <c r="AX54" i="12"/>
  <c r="AX53" i="12"/>
  <c r="AT54" i="12"/>
  <c r="AT52" i="12"/>
  <c r="AX52" i="12"/>
  <c r="AT53" i="12"/>
  <c r="W54" i="12"/>
  <c r="W47" i="12"/>
  <c r="AD54" i="12"/>
  <c r="W45" i="12"/>
  <c r="W46" i="12" s="1"/>
  <c r="AD53" i="12"/>
  <c r="AB54" i="12"/>
  <c r="T47" i="12"/>
  <c r="AR53" i="12"/>
  <c r="AR52" i="12"/>
  <c r="AR54" i="12"/>
  <c r="AF54" i="12"/>
  <c r="T53" i="12"/>
  <c r="Q47" i="12"/>
  <c r="AS54" i="12"/>
  <c r="Q52" i="12"/>
  <c r="AG15" i="12"/>
  <c r="AG52" i="12" s="1"/>
  <c r="AF53" i="12"/>
  <c r="Q53" i="12"/>
  <c r="Q54" i="12"/>
  <c r="AZ54" i="12"/>
  <c r="AH54" i="12"/>
  <c r="M53" i="12"/>
  <c r="M54" i="12"/>
  <c r="M45" i="12"/>
  <c r="M46" i="12" s="1"/>
  <c r="AI52" i="12"/>
  <c r="BA19" i="12"/>
  <c r="BA52" i="12" s="1"/>
  <c r="AZ53" i="12"/>
  <c r="AZ52" i="12"/>
  <c r="G52" i="12"/>
  <c r="AB53" i="12"/>
  <c r="AB52" i="12"/>
  <c r="AI54" i="12"/>
  <c r="BC52" i="12"/>
  <c r="BC54" i="12"/>
  <c r="BC53" i="12"/>
  <c r="AS53" i="12"/>
  <c r="AI53" i="12"/>
  <c r="AY52" i="12"/>
  <c r="AY54" i="12"/>
  <c r="AY53" i="12"/>
  <c r="AS52" i="12"/>
  <c r="D48" i="12"/>
  <c r="D50" i="12" s="1"/>
  <c r="AC52" i="12"/>
  <c r="AC53" i="12"/>
  <c r="AC54" i="12"/>
  <c r="AU53" i="12"/>
  <c r="AU54" i="12"/>
  <c r="AU52" i="12"/>
  <c r="AE53" i="12"/>
  <c r="AE54" i="12"/>
  <c r="AE52" i="12"/>
  <c r="F46" i="11"/>
  <c r="D44" i="11"/>
  <c r="D46" i="11" s="1"/>
  <c r="E46" i="11"/>
  <c r="G46" i="11"/>
  <c r="E44" i="11"/>
  <c r="AM11" i="13" l="1"/>
  <c r="Z54" i="13"/>
  <c r="T54" i="13"/>
  <c r="W54" i="13"/>
  <c r="F119" i="12"/>
  <c r="FD61" i="12"/>
  <c r="G119" i="12" s="1"/>
  <c r="H119" i="12" s="1"/>
  <c r="FC63" i="12"/>
  <c r="FC61" i="12"/>
  <c r="FC54" i="12"/>
  <c r="F118" i="12"/>
  <c r="F123" i="12" s="1"/>
  <c r="FB61" i="12"/>
  <c r="G118" i="12" s="1"/>
  <c r="H118" i="12" s="1"/>
  <c r="Z48" i="12"/>
  <c r="Z50" i="12" s="1"/>
  <c r="V48" i="13"/>
  <c r="V50" i="13" s="1"/>
  <c r="CL11" i="13"/>
  <c r="CM11" i="13" s="1"/>
  <c r="CL38" i="13"/>
  <c r="CM38" i="13" s="1"/>
  <c r="CL39" i="13"/>
  <c r="CM39" i="13" s="1"/>
  <c r="U48" i="13"/>
  <c r="U50" i="13" s="1"/>
  <c r="CL40" i="13"/>
  <c r="CM40" i="13" s="1"/>
  <c r="AH54" i="13"/>
  <c r="AI55" i="13"/>
  <c r="CL42" i="13"/>
  <c r="CM42" i="13" s="1"/>
  <c r="CL41" i="13"/>
  <c r="CM41" i="13" s="1"/>
  <c r="FE63" i="12"/>
  <c r="CB54" i="13"/>
  <c r="CB55" i="13" s="1"/>
  <c r="N48" i="12"/>
  <c r="N50" i="12" s="1"/>
  <c r="CV50" i="12" s="1"/>
  <c r="CW50" i="12" s="1"/>
  <c r="FE61" i="12"/>
  <c r="J121" i="12" s="1"/>
  <c r="T52" i="13"/>
  <c r="AY57" i="13"/>
  <c r="AX54" i="13"/>
  <c r="AX52" i="13"/>
  <c r="AY52" i="13"/>
  <c r="Z47" i="13"/>
  <c r="Z53" i="13"/>
  <c r="AY53" i="13"/>
  <c r="AY55" i="13"/>
  <c r="AY54" i="13"/>
  <c r="Z45" i="13"/>
  <c r="Z46" i="13" s="1"/>
  <c r="AX53" i="13"/>
  <c r="BD54" i="13"/>
  <c r="BD55" i="13" s="1"/>
  <c r="W52" i="13"/>
  <c r="AB52" i="13"/>
  <c r="AC55" i="13"/>
  <c r="AC54" i="13"/>
  <c r="W47" i="13"/>
  <c r="AB54" i="13"/>
  <c r="W53" i="13"/>
  <c r="W45" i="13"/>
  <c r="W46" i="13" s="1"/>
  <c r="AB53" i="13"/>
  <c r="CA54" i="13"/>
  <c r="CA55" i="13" s="1"/>
  <c r="R48" i="13"/>
  <c r="R50" i="13" s="1"/>
  <c r="CL37" i="13"/>
  <c r="CM37" i="13" s="1"/>
  <c r="S48" i="13"/>
  <c r="S50" i="13" s="1"/>
  <c r="T47" i="13"/>
  <c r="R48" i="12"/>
  <c r="R50" i="12" s="1"/>
  <c r="EX50" i="12" s="1"/>
  <c r="EY50" i="12" s="1"/>
  <c r="K48" i="12"/>
  <c r="DX48" i="12" s="1"/>
  <c r="DY48" i="12" s="1"/>
  <c r="H48" i="12"/>
  <c r="EH48" i="12" s="1"/>
  <c r="AC57" i="13"/>
  <c r="T45" i="13"/>
  <c r="T46" i="13" s="1"/>
  <c r="T53" i="13"/>
  <c r="AV54" i="13"/>
  <c r="S48" i="12"/>
  <c r="EZ48" i="12" s="1"/>
  <c r="FA48" i="12" s="1"/>
  <c r="P48" i="12"/>
  <c r="P50" i="12" s="1"/>
  <c r="CX50" i="12" s="1"/>
  <c r="CY50" i="12" s="1"/>
  <c r="K48" i="13"/>
  <c r="K50" i="13" s="1"/>
  <c r="AP46" i="13"/>
  <c r="AW55" i="13"/>
  <c r="I68" i="13" s="1"/>
  <c r="J68" i="13" s="1"/>
  <c r="FD50" i="12"/>
  <c r="FE50" i="12" s="1"/>
  <c r="FD48" i="12"/>
  <c r="FE48" i="12" s="1"/>
  <c r="L48" i="12"/>
  <c r="ED48" i="12" s="1"/>
  <c r="FF50" i="12"/>
  <c r="FG50" i="12" s="1"/>
  <c r="FF48" i="12"/>
  <c r="FG48" i="12" s="1"/>
  <c r="I50" i="12"/>
  <c r="ER50" i="12" s="1"/>
  <c r="ER48" i="12"/>
  <c r="X48" i="12"/>
  <c r="X50" i="12" s="1"/>
  <c r="BH50" i="12" s="1"/>
  <c r="ER46" i="12"/>
  <c r="F48" i="12"/>
  <c r="BP48" i="12" s="1"/>
  <c r="BQ48" i="12" s="1"/>
  <c r="U48" i="12"/>
  <c r="U50" i="12" s="1"/>
  <c r="BF50" i="12" s="1"/>
  <c r="AU55" i="13"/>
  <c r="AE52" i="13"/>
  <c r="AE55" i="13"/>
  <c r="EE62" i="12"/>
  <c r="FS62" i="12"/>
  <c r="FQ62" i="12"/>
  <c r="FM62" i="12"/>
  <c r="T48" i="12"/>
  <c r="T50" i="12" s="1"/>
  <c r="BA54" i="12"/>
  <c r="AG56" i="13"/>
  <c r="AU53" i="13"/>
  <c r="AU52" i="13"/>
  <c r="AE53" i="13"/>
  <c r="M48" i="12"/>
  <c r="M50" i="12" s="1"/>
  <c r="BA53" i="12"/>
  <c r="G48" i="12"/>
  <c r="G50" i="12" s="1"/>
  <c r="J46" i="13"/>
  <c r="AC52" i="13"/>
  <c r="AC53" i="13"/>
  <c r="X48" i="13"/>
  <c r="X50" i="13" s="1"/>
  <c r="I48" i="13"/>
  <c r="I50" i="13" s="1"/>
  <c r="F48" i="13"/>
  <c r="F50" i="13" s="1"/>
  <c r="Q46" i="13"/>
  <c r="M46" i="13"/>
  <c r="P50" i="13"/>
  <c r="N48" i="13"/>
  <c r="N50" i="13" s="1"/>
  <c r="H50" i="13"/>
  <c r="AG52" i="13"/>
  <c r="AG53" i="13"/>
  <c r="G48" i="13"/>
  <c r="G50" i="13" s="1"/>
  <c r="L48" i="13"/>
  <c r="L50" i="13" s="1"/>
  <c r="D48" i="13"/>
  <c r="D50" i="13" s="1"/>
  <c r="W48" i="12"/>
  <c r="W50" i="12" s="1"/>
  <c r="AG54" i="12"/>
  <c r="AG53" i="12"/>
  <c r="Q48" i="12"/>
  <c r="Q50" i="12" s="1"/>
  <c r="J48" i="12"/>
  <c r="J50" i="12" s="1"/>
  <c r="E64" i="10"/>
  <c r="D64" i="10"/>
  <c r="E63" i="10"/>
  <c r="D63" i="10"/>
  <c r="E62" i="10"/>
  <c r="D62" i="10"/>
  <c r="E57" i="10"/>
  <c r="D57" i="10"/>
  <c r="E54" i="10"/>
  <c r="D54" i="10"/>
  <c r="E53" i="10"/>
  <c r="D53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25" i="10"/>
  <c r="G24" i="10"/>
  <c r="G23" i="10"/>
  <c r="G22" i="10"/>
  <c r="G21" i="10"/>
  <c r="G19" i="10"/>
  <c r="D14" i="10"/>
  <c r="D13" i="10"/>
  <c r="F53" i="10"/>
  <c r="K68" i="13" l="1"/>
  <c r="J73" i="13"/>
  <c r="K73" i="13" s="1"/>
  <c r="AI53" i="13"/>
  <c r="FC62" i="12"/>
  <c r="AI52" i="13"/>
  <c r="AI57" i="13"/>
  <c r="AI56" i="13" s="1"/>
  <c r="AI54" i="13"/>
  <c r="Z48" i="13"/>
  <c r="Z50" i="13" s="1"/>
  <c r="AY56" i="13"/>
  <c r="FE62" i="12"/>
  <c r="CV48" i="12"/>
  <c r="CW48" i="12" s="1"/>
  <c r="S50" i="12"/>
  <c r="EZ50" i="12" s="1"/>
  <c r="FA50" i="12" s="1"/>
  <c r="EX48" i="12"/>
  <c r="EY48" i="12" s="1"/>
  <c r="W48" i="13"/>
  <c r="W50" i="13" s="1"/>
  <c r="H50" i="12"/>
  <c r="EH50" i="12" s="1"/>
  <c r="AC56" i="13"/>
  <c r="CL54" i="13"/>
  <c r="CL55" i="13" s="1"/>
  <c r="T48" i="13"/>
  <c r="T50" i="13" s="1"/>
  <c r="CX48" i="12"/>
  <c r="CY48" i="12" s="1"/>
  <c r="K50" i="12"/>
  <c r="DX50" i="12" s="1"/>
  <c r="DY50" i="12" s="1"/>
  <c r="L50" i="12"/>
  <c r="ED50" i="12" s="1"/>
  <c r="AW54" i="13"/>
  <c r="AW57" i="13"/>
  <c r="AP50" i="13"/>
  <c r="AP48" i="13"/>
  <c r="AK56" i="13"/>
  <c r="AQ56" i="13"/>
  <c r="BH48" i="12"/>
  <c r="F50" i="12"/>
  <c r="BP50" i="12" s="1"/>
  <c r="BQ50" i="12" s="1"/>
  <c r="BF48" i="12"/>
  <c r="F64" i="10"/>
  <c r="H123" i="12"/>
  <c r="G123" i="12"/>
  <c r="AU56" i="13"/>
  <c r="AE56" i="13"/>
  <c r="J48" i="13"/>
  <c r="J50" i="13" s="1"/>
  <c r="M48" i="13"/>
  <c r="M50" i="13" s="1"/>
  <c r="Q48" i="13"/>
  <c r="Q50" i="13" s="1"/>
  <c r="G20" i="10"/>
  <c r="D55" i="10"/>
  <c r="D56" i="10" s="1"/>
  <c r="E55" i="10"/>
  <c r="E56" i="10" s="1"/>
  <c r="F54" i="10"/>
  <c r="F55" i="10"/>
  <c r="F56" i="10" s="1"/>
  <c r="F57" i="10"/>
  <c r="F62" i="10"/>
  <c r="F63" i="10"/>
  <c r="AW56" i="13" l="1"/>
  <c r="E58" i="10"/>
  <c r="E60" i="10" s="1"/>
  <c r="F58" i="10"/>
  <c r="F60" i="10" s="1"/>
  <c r="D58" i="10"/>
  <c r="D60" i="10" s="1"/>
  <c r="E62" i="8" l="1"/>
  <c r="E61" i="8"/>
  <c r="E60" i="8"/>
  <c r="E55" i="8"/>
  <c r="E52" i="8"/>
  <c r="F51" i="8"/>
  <c r="E51" i="8"/>
  <c r="G26" i="8"/>
  <c r="G25" i="8"/>
  <c r="G24" i="8"/>
  <c r="G23" i="8"/>
  <c r="G22" i="8"/>
  <c r="G21" i="8"/>
  <c r="G20" i="8" l="1"/>
  <c r="G18" i="8"/>
  <c r="F62" i="8"/>
  <c r="G19" i="8"/>
  <c r="E53" i="8"/>
  <c r="E54" i="8" s="1"/>
  <c r="F52" i="8"/>
  <c r="F53" i="8"/>
  <c r="F54" i="8" s="1"/>
  <c r="F55" i="8"/>
  <c r="F60" i="8"/>
  <c r="F61" i="8"/>
  <c r="F56" i="8" l="1"/>
  <c r="F58" i="8" s="1"/>
  <c r="E56" i="8"/>
  <c r="E58" i="8" s="1"/>
  <c r="E66" i="7" l="1"/>
  <c r="D66" i="7"/>
  <c r="E65" i="7"/>
  <c r="D65" i="7"/>
  <c r="E64" i="7"/>
  <c r="D64" i="7"/>
  <c r="E59" i="7"/>
  <c r="D59" i="7"/>
  <c r="E56" i="7"/>
  <c r="E57" i="7" s="1"/>
  <c r="E58" i="7" s="1"/>
  <c r="D56" i="7"/>
  <c r="D57" i="7" s="1"/>
  <c r="D58" i="7" s="1"/>
  <c r="F55" i="7"/>
  <c r="E55" i="7"/>
  <c r="D55" i="7"/>
  <c r="G25" i="7"/>
  <c r="F24" i="7"/>
  <c r="G24" i="7" s="1"/>
  <c r="F23" i="7"/>
  <c r="G23" i="7" s="1"/>
  <c r="F22" i="7"/>
  <c r="G22" i="7" s="1"/>
  <c r="F21" i="7"/>
  <c r="D14" i="7"/>
  <c r="D13" i="7"/>
  <c r="G21" i="7" l="1"/>
  <c r="G19" i="7"/>
  <c r="F66" i="7"/>
  <c r="E60" i="7"/>
  <c r="E62" i="7" s="1"/>
  <c r="D60" i="7"/>
  <c r="D62" i="7" s="1"/>
  <c r="F65" i="7"/>
  <c r="F57" i="7"/>
  <c r="F58" i="7" s="1"/>
  <c r="F59" i="7"/>
  <c r="G20" i="7"/>
  <c r="F64" i="7"/>
  <c r="F56" i="7"/>
  <c r="F60" i="7" l="1"/>
  <c r="F62" i="7" s="1"/>
  <c r="F63" i="6" l="1"/>
  <c r="D63" i="6"/>
  <c r="F62" i="6"/>
  <c r="D62" i="6"/>
  <c r="F61" i="6"/>
  <c r="D61" i="6"/>
  <c r="D53" i="6"/>
  <c r="D54" i="6" s="1"/>
  <c r="D55" i="6" s="1"/>
  <c r="G52" i="6"/>
  <c r="F52" i="6"/>
  <c r="D52" i="6"/>
  <c r="H32" i="6"/>
  <c r="H31" i="6"/>
  <c r="H30" i="6"/>
  <c r="H29" i="6"/>
  <c r="H28" i="6"/>
  <c r="H27" i="6"/>
  <c r="H26" i="6"/>
  <c r="H25" i="6"/>
  <c r="H24" i="6"/>
  <c r="H23" i="6"/>
  <c r="H22" i="6"/>
  <c r="D14" i="6"/>
  <c r="D13" i="6"/>
  <c r="H19" i="6" l="1"/>
  <c r="H21" i="6"/>
  <c r="G63" i="6"/>
  <c r="D57" i="6"/>
  <c r="D59" i="6" s="1"/>
  <c r="G56" i="6"/>
  <c r="G62" i="6"/>
  <c r="H20" i="6"/>
  <c r="G61" i="6"/>
  <c r="G54" i="6"/>
  <c r="G55" i="6" s="1"/>
  <c r="G53" i="6"/>
  <c r="G57" i="6" l="1"/>
  <c r="G59" i="6" s="1"/>
  <c r="F57" i="6"/>
  <c r="F59" i="6" s="1"/>
  <c r="G36" i="5" l="1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D13" i="5"/>
  <c r="G19" i="5" l="1"/>
  <c r="G36" i="4" l="1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D14" i="4"/>
  <c r="G20" i="4" l="1"/>
  <c r="D62" i="3" l="1"/>
  <c r="G52" i="3"/>
  <c r="G63" i="3" l="1"/>
  <c r="G61" i="3"/>
  <c r="G62" i="3"/>
  <c r="G53" i="3"/>
  <c r="G54" i="3" s="1"/>
  <c r="G55" i="3" s="1"/>
  <c r="H19" i="3"/>
  <c r="G56" i="3"/>
  <c r="F59" i="3"/>
  <c r="D59" i="3"/>
  <c r="G57" i="3" l="1"/>
  <c r="G59" i="3" s="1"/>
  <c r="F58" i="4" l="1"/>
  <c r="F60" i="4" s="1"/>
  <c r="FT19" i="12" l="1"/>
  <c r="FU19" i="12" s="1"/>
  <c r="FT12" i="12"/>
  <c r="FT13" i="12"/>
  <c r="FU13" i="12" s="1"/>
  <c r="FT14" i="12"/>
  <c r="FU14" i="12" s="1"/>
  <c r="FT15" i="12"/>
  <c r="FU15" i="12" s="1"/>
  <c r="FT39" i="12"/>
  <c r="FU39" i="12" s="1"/>
  <c r="FT17" i="12"/>
  <c r="FU17" i="12" s="1"/>
  <c r="FT18" i="12"/>
  <c r="FU18" i="12" s="1"/>
  <c r="FT40" i="12"/>
  <c r="FU40" i="12" s="1"/>
  <c r="FT41" i="12"/>
  <c r="FU41" i="12" s="1"/>
  <c r="FT42" i="12"/>
  <c r="FU42" i="12" s="1"/>
  <c r="FT36" i="12"/>
  <c r="FU36" i="12" s="1"/>
  <c r="FT16" i="12"/>
  <c r="FU16" i="12" s="1"/>
  <c r="FT37" i="12"/>
  <c r="FU37" i="12" s="1"/>
  <c r="FT38" i="12"/>
  <c r="FU38" i="12" s="1"/>
  <c r="FU12" i="12" l="1"/>
  <c r="FT11" i="12"/>
  <c r="FU11" i="12" s="1"/>
  <c r="FT54" i="12" l="1"/>
  <c r="FT61" i="12" s="1"/>
  <c r="AR52" i="13" l="1"/>
  <c r="AR53" i="13"/>
  <c r="AS11" i="13"/>
  <c r="AS54" i="13" s="1"/>
  <c r="AS52" i="13" l="1"/>
  <c r="AS53" i="13"/>
  <c r="AS57" i="13"/>
  <c r="AS56" i="13" l="1"/>
</calcChain>
</file>

<file path=xl/sharedStrings.xml><?xml version="1.0" encoding="utf-8"?>
<sst xmlns="http://schemas.openxmlformats.org/spreadsheetml/2006/main" count="1646" uniqueCount="359">
  <si>
    <t>No</t>
  </si>
  <si>
    <t>NIM</t>
  </si>
  <si>
    <t>Nama Mahasiswa</t>
  </si>
  <si>
    <t>24.01.55.0002</t>
  </si>
  <si>
    <t>NADIA SALSABILLA PUTRI</t>
  </si>
  <si>
    <t>24.01.55.0003</t>
  </si>
  <si>
    <t>LISA RAHMAWATI</t>
  </si>
  <si>
    <t>24.01.55.0004</t>
  </si>
  <si>
    <t>NAZWA FITRI AULIA</t>
  </si>
  <si>
    <t>24.01.55.0005</t>
  </si>
  <si>
    <t>RAFFAEL ANGGARA ARYA DEWA</t>
  </si>
  <si>
    <t>24.01.55.0006</t>
  </si>
  <si>
    <t>YUMROTUL MUKAROMAH</t>
  </si>
  <si>
    <t>24.01.55.0007</t>
  </si>
  <si>
    <t>USWATUN AULIA PANGESTIKA</t>
  </si>
  <si>
    <t>24.01.55.0008</t>
  </si>
  <si>
    <t>VINCENT LISTANEOF SANTOSO</t>
  </si>
  <si>
    <t>24.01.55.0009</t>
  </si>
  <si>
    <t>RETNO AJENG PUSPITASARI</t>
  </si>
  <si>
    <t>24.01.55.0010</t>
  </si>
  <si>
    <t>IQBAL FAHAR</t>
  </si>
  <si>
    <t>24.01.55.0011</t>
  </si>
  <si>
    <t>SHABRINA AULIA PUTRI</t>
  </si>
  <si>
    <t>24.01.55.0012</t>
  </si>
  <si>
    <t>ADELA PUTRI AJI</t>
  </si>
  <si>
    <t>24.01.55.0013</t>
  </si>
  <si>
    <t>AMELIA RISKI KURNIAWATI</t>
  </si>
  <si>
    <t>24.01.55.0014</t>
  </si>
  <si>
    <t>DAFFA IQBAL MAULANA</t>
  </si>
  <si>
    <t>24.01.55.0015</t>
  </si>
  <si>
    <t>KAISYA AUDIA VIERA</t>
  </si>
  <si>
    <t>24.01.55.0016</t>
  </si>
  <si>
    <t>LAILLA FATIMAH AZZAHRA</t>
  </si>
  <si>
    <t>24.01.55.3001</t>
  </si>
  <si>
    <t>REZA TANJUNG SETIAWAN</t>
  </si>
  <si>
    <t>24.01.55.3002</t>
  </si>
  <si>
    <t>MUHAMAD SATRIA AMBORO WIJAYA</t>
  </si>
  <si>
    <t>24.01.55.3003</t>
  </si>
  <si>
    <t>ANANTA SOFIANNUR</t>
  </si>
  <si>
    <t>24.01.55.3004</t>
  </si>
  <si>
    <t>RISTRAWAN WIRAWINELDA</t>
  </si>
  <si>
    <t>Kode Matakuliah</t>
  </si>
  <si>
    <t>Nama Matakuliah</t>
  </si>
  <si>
    <t>Kategori</t>
  </si>
  <si>
    <t>SKS</t>
  </si>
  <si>
    <t>ID</t>
  </si>
  <si>
    <t>Smtr</t>
  </si>
  <si>
    <t>MK1</t>
  </si>
  <si>
    <t>P.20.01.55.1.01</t>
  </si>
  <si>
    <t>TEORI MANAJEMEN</t>
  </si>
  <si>
    <t>Wajib</t>
  </si>
  <si>
    <t>V</t>
  </si>
  <si>
    <t>MK2</t>
  </si>
  <si>
    <t>P.20.01.55.1.02</t>
  </si>
  <si>
    <t>TEORI ORGANISASI</t>
  </si>
  <si>
    <t>MK3</t>
  </si>
  <si>
    <t>P.20.01.55.1.03</t>
  </si>
  <si>
    <t>KONSEP SISTEM DAN TEKNOLOGI INFORMASI</t>
  </si>
  <si>
    <t>MK4</t>
  </si>
  <si>
    <t>P.20.01.55.1.04</t>
  </si>
  <si>
    <t>LOGIKA DAN ALGORITMA</t>
  </si>
  <si>
    <t>MK5</t>
  </si>
  <si>
    <t>P.20.01.55.1.05</t>
  </si>
  <si>
    <t>BAHASA PEMROGRAMAN</t>
  </si>
  <si>
    <t>MK6</t>
  </si>
  <si>
    <t>P.20.01.55.1.06</t>
  </si>
  <si>
    <t>LOGIKA MATEMATIKA</t>
  </si>
  <si>
    <t>MK7</t>
  </si>
  <si>
    <t>MANAJEMEN BASIS DATA</t>
  </si>
  <si>
    <t>P.20.01.55.1.07</t>
  </si>
  <si>
    <t>MK8</t>
  </si>
  <si>
    <t>BAHASA INGGRIS DASAR</t>
  </si>
  <si>
    <t>U.20.01.55.1.01</t>
  </si>
  <si>
    <t>MK59</t>
  </si>
  <si>
    <t>Total</t>
  </si>
  <si>
    <t>FORM MONITORING DAN EVALUASI</t>
  </si>
  <si>
    <t>KETERCAPAIAN CAPAIAN PEMBELAJARAN MATAKULIAH(CPMK) PADA SATU ANGKATAN</t>
  </si>
  <si>
    <t>Tahun Akademik</t>
  </si>
  <si>
    <t>: 2024/2025</t>
  </si>
  <si>
    <t>Program Studi</t>
  </si>
  <si>
    <t>: Sistem Informasi</t>
  </si>
  <si>
    <t>Fakultas</t>
  </si>
  <si>
    <t>: Teknologi Informasi dan Industri</t>
  </si>
  <si>
    <t>SKS Matakuliah</t>
  </si>
  <si>
    <t>: 2</t>
  </si>
  <si>
    <t>Semester/ Kelas</t>
  </si>
  <si>
    <t>: I / A1+DLC</t>
  </si>
  <si>
    <t>Dosen Pengampu</t>
  </si>
  <si>
    <t>Nilai Akhir MK</t>
  </si>
  <si>
    <t>Nilai Huruf</t>
  </si>
  <si>
    <t>CPL01</t>
  </si>
  <si>
    <t>CPL13</t>
  </si>
  <si>
    <t>CPMK014</t>
  </si>
  <si>
    <t>CPMK131</t>
  </si>
  <si>
    <t>&lt;=65</t>
  </si>
  <si>
    <t>&lt;85</t>
  </si>
  <si>
    <t>&gt;=85</t>
  </si>
  <si>
    <t>Jumlah mhsw yg lulus CPMK</t>
  </si>
  <si>
    <t>Minimal</t>
  </si>
  <si>
    <t>Maksimal</t>
  </si>
  <si>
    <t>Rata-Rata</t>
  </si>
  <si>
    <t>CPMK012</t>
  </si>
  <si>
    <t>Tidak KRS/Tidak Aktif</t>
  </si>
  <si>
    <t>CPL04</t>
  </si>
  <si>
    <t>CPL03</t>
  </si>
  <si>
    <t>CPMK011</t>
  </si>
  <si>
    <t>CPMK041</t>
  </si>
  <si>
    <t>CPMK031</t>
  </si>
  <si>
    <t>: 3</t>
  </si>
  <si>
    <t>: 2.</t>
  </si>
  <si>
    <t>CPL09</t>
  </si>
  <si>
    <t>CPMK033</t>
  </si>
  <si>
    <t>CPMK092</t>
  </si>
  <si>
    <t>CPMK032</t>
  </si>
  <si>
    <t>CPL02</t>
  </si>
  <si>
    <t>CPMK013</t>
  </si>
  <si>
    <t>CPMK021</t>
  </si>
  <si>
    <t>CPL10</t>
  </si>
  <si>
    <t>CPL12</t>
  </si>
  <si>
    <t>CPL14</t>
  </si>
  <si>
    <t>CPMK101</t>
  </si>
  <si>
    <t>CPMK121</t>
  </si>
  <si>
    <t>CPMK141</t>
  </si>
  <si>
    <t>: U.24.01.55.1.03</t>
  </si>
  <si>
    <t>: KEWARGANEGARAAN</t>
  </si>
  <si>
    <t>: 1.YU.2.03.07.063 - R. SOELISTIJADI, S.SOS, M.Kom.</t>
  </si>
  <si>
    <t>CPMK122</t>
  </si>
  <si>
    <t>Nilai Akhir Matakuliah</t>
  </si>
  <si>
    <t>Nilai</t>
  </si>
  <si>
    <t>D,G,J,T</t>
  </si>
  <si>
    <t>U</t>
  </si>
  <si>
    <t>N,Q</t>
  </si>
  <si>
    <t>K</t>
  </si>
  <si>
    <t>O,R</t>
  </si>
  <si>
    <t>X,AB,AF</t>
  </si>
  <si>
    <t>Y,AC,AG</t>
  </si>
  <si>
    <t>E,H, L,V</t>
  </si>
  <si>
    <t>Z,AD,AH</t>
  </si>
  <si>
    <t>E,H,L,V</t>
  </si>
  <si>
    <t>Capaian (%)</t>
  </si>
  <si>
    <t>CPL05</t>
  </si>
  <si>
    <t>CPL06</t>
  </si>
  <si>
    <t>CPL07</t>
  </si>
  <si>
    <t>CPL08</t>
  </si>
  <si>
    <t>CPL11</t>
  </si>
  <si>
    <t>CPMK091</t>
  </si>
  <si>
    <t>CPMK142</t>
  </si>
  <si>
    <t>SMT-I</t>
  </si>
  <si>
    <t>CPMK022</t>
  </si>
  <si>
    <t>CPMK023</t>
  </si>
  <si>
    <t>CPMK024</t>
  </si>
  <si>
    <t>CPMK042</t>
  </si>
  <si>
    <t>CPMK051</t>
  </si>
  <si>
    <t>CPMK052</t>
  </si>
  <si>
    <t>CPMK061</t>
  </si>
  <si>
    <t>CPMK062</t>
  </si>
  <si>
    <t>CPMK063</t>
  </si>
  <si>
    <t>CPMK064</t>
  </si>
  <si>
    <t>CPMK071</t>
  </si>
  <si>
    <t>CPMK072</t>
  </si>
  <si>
    <t>CPMK073</t>
  </si>
  <si>
    <t>CPMK081</t>
  </si>
  <si>
    <t>CPMK082</t>
  </si>
  <si>
    <t>CPMK102</t>
  </si>
  <si>
    <t>CPMK111</t>
  </si>
  <si>
    <t>CPMK112</t>
  </si>
  <si>
    <t>CPMK132</t>
  </si>
  <si>
    <t>&lt;65</t>
  </si>
  <si>
    <t>Rata-Rata CPMK</t>
  </si>
  <si>
    <t>CPL</t>
  </si>
  <si>
    <t>Total Capaian</t>
  </si>
  <si>
    <t>%</t>
  </si>
  <si>
    <t>Status</t>
  </si>
  <si>
    <t>Catatan :</t>
  </si>
  <si>
    <t>Pengukuran CPL di tingkat mata kuliah pada satu angkatan (2024)</t>
  </si>
  <si>
    <t>CPMK</t>
  </si>
  <si>
    <t>Rata-Rata CPMK Per-MK</t>
  </si>
  <si>
    <t>Peserta</t>
  </si>
  <si>
    <t>Lulus</t>
  </si>
  <si>
    <t>Pengukuran CPMK di tingkat mata kuliah pada satu angkatan (2024)</t>
  </si>
  <si>
    <t>Tidak KRS/ Tidak Aktif</t>
  </si>
  <si>
    <t>CPL tercapai jika nilai capaian CPL&gt;=70 %</t>
  </si>
  <si>
    <r>
      <rPr>
        <sz val="11"/>
        <color theme="0"/>
        <rFont val="Aptos Narrow"/>
        <family val="2"/>
        <scheme val="minor"/>
      </rPr>
      <t xml:space="preserve">Rerata </t>
    </r>
    <r>
      <rPr>
        <b/>
        <sz val="11"/>
        <color theme="0"/>
        <rFont val="Aptos Narrow"/>
        <family val="2"/>
        <scheme val="minor"/>
      </rPr>
      <t>Capaian</t>
    </r>
  </si>
  <si>
    <t>24.05.52.0002</t>
  </si>
  <si>
    <t>SNEHA JAYA BAIDURI</t>
  </si>
  <si>
    <t>24.05.52.0003</t>
  </si>
  <si>
    <t>ALFARIESSA GIFTHA ANDREA PITALOKA</t>
  </si>
  <si>
    <t>24.05.52.0004</t>
  </si>
  <si>
    <t>MAHARANI PUTRI RUSTIANTI</t>
  </si>
  <si>
    <t>24.05.52.0005</t>
  </si>
  <si>
    <t>FLORA SUCI FERONIKA</t>
  </si>
  <si>
    <t>24.05.52.0006</t>
  </si>
  <si>
    <t>AATHIRA AUFA AZ-ZAHRA</t>
  </si>
  <si>
    <t>24.05.52.0007</t>
  </si>
  <si>
    <t>SHEILA MONA PUTRI IKSANTI</t>
  </si>
  <si>
    <t>24.05.52.0008</t>
  </si>
  <si>
    <t>RAIHAN RIFA MAHARADITYA</t>
  </si>
  <si>
    <t>24.05.52.0009</t>
  </si>
  <si>
    <t>MARLINA DWI SAPUTRI</t>
  </si>
  <si>
    <t>24.05.52.0011</t>
  </si>
  <si>
    <t>JONATHAN REXY FERDINAN</t>
  </si>
  <si>
    <t>24.05.52.0012</t>
  </si>
  <si>
    <t>GITA TEONANDA ARELLIA</t>
  </si>
  <si>
    <t>24.05.52.0014</t>
  </si>
  <si>
    <t>ARELIA SALSABILA SAFITRI</t>
  </si>
  <si>
    <t>24.05.52.0015</t>
  </si>
  <si>
    <t>JULLER IBEL LAURENTIUS TURNIP</t>
  </si>
  <si>
    <t>24.05.52.0016</t>
  </si>
  <si>
    <t>GADING BINTANG WICAKSONO</t>
  </si>
  <si>
    <t>24.05.52.0017</t>
  </si>
  <si>
    <t>VINA OKITA</t>
  </si>
  <si>
    <t>24.05.52.0018</t>
  </si>
  <si>
    <t>VIMAS CHARIZA ANGGRAINY</t>
  </si>
  <si>
    <t>24.05.52.0019</t>
  </si>
  <si>
    <t>KADIZHA OKTI FAUSTA</t>
  </si>
  <si>
    <t>24.05.52.0020</t>
  </si>
  <si>
    <t>FIRMAN AKBAR SAMUDRA</t>
  </si>
  <si>
    <t>24.05.52.0021</t>
  </si>
  <si>
    <t>JESSICA OKTAVIANA BASTAMAN</t>
  </si>
  <si>
    <t>24.05.52.0022</t>
  </si>
  <si>
    <t>AHMAD NABIL FEBRI SAPUTRA</t>
  </si>
  <si>
    <t>24.05.52.0023</t>
  </si>
  <si>
    <t>NABILA SASKIA PUTRI</t>
  </si>
  <si>
    <t>24.05.52.0024</t>
  </si>
  <si>
    <t>SAFRILLA LAURINTA</t>
  </si>
  <si>
    <t>24.05.52.0026</t>
  </si>
  <si>
    <t>ALIFVINDA MUTIARA BALQIS</t>
  </si>
  <si>
    <t>24.05.52.3001</t>
  </si>
  <si>
    <t>ROFIQ MUHANDANU FAISAL KHULUD F</t>
  </si>
  <si>
    <t>24.05.52.3002</t>
  </si>
  <si>
    <t>AJENG SUKMA ANDRIYANI</t>
  </si>
  <si>
    <t>24.05.52.3003</t>
  </si>
  <si>
    <t>MARETA SARI PURBANINGRUM</t>
  </si>
  <si>
    <t>24.05.52.3004</t>
  </si>
  <si>
    <t>ARFIANI ARIFAH</t>
  </si>
  <si>
    <t>24.05.52.3005</t>
  </si>
  <si>
    <t>AULIA SAHWA KAILA</t>
  </si>
  <si>
    <t>24.05.52.3006</t>
  </si>
  <si>
    <t>FELICITAS DIVA RAHAYUNINGSIH N</t>
  </si>
  <si>
    <t>24.05.52.3008</t>
  </si>
  <si>
    <t>GRACIELLA NATHANIA KUSUMADEWI</t>
  </si>
  <si>
    <t>24.05.52.3009</t>
  </si>
  <si>
    <t>DEBY KARUNIA ANGGRAENI</t>
  </si>
  <si>
    <t>24.05.52.3010</t>
  </si>
  <si>
    <t>PUTRY MEINERS ELISABET FAHIK</t>
  </si>
  <si>
    <t>24.05.52.3011</t>
  </si>
  <si>
    <t>AMINATUL AROFAH</t>
  </si>
  <si>
    <t>24.05.52.3012</t>
  </si>
  <si>
    <t>RORO AYU SUKMAWATI</t>
  </si>
  <si>
    <t>: Akuntansi</t>
  </si>
  <si>
    <t>: Ekonomika dan Bisnis</t>
  </si>
  <si>
    <t>24.05.52.0013</t>
  </si>
  <si>
    <t>MUHAMMAD MAFTUF</t>
  </si>
  <si>
    <t>ROFIQ MUHANDANU FAISAL K</t>
  </si>
  <si>
    <t>CPMK103</t>
  </si>
  <si>
    <t>CPMK104</t>
  </si>
  <si>
    <t>CPMK114</t>
  </si>
  <si>
    <t>CPMK115</t>
  </si>
  <si>
    <t>: English for Business</t>
  </si>
  <si>
    <t>: UU.24.05.52.1.03</t>
  </si>
  <si>
    <t>CPMK123</t>
  </si>
  <si>
    <t>: 1. L.0308 SARAH SUMPONOGATI, S.S, M.Li.</t>
  </si>
  <si>
    <t>CPMK043</t>
  </si>
  <si>
    <t>CPMK044</t>
  </si>
  <si>
    <t>CPMK045</t>
  </si>
  <si>
    <t>CPMK046</t>
  </si>
  <si>
    <t>CPMK047</t>
  </si>
  <si>
    <t>CPMK053</t>
  </si>
  <si>
    <t>CPMK054</t>
  </si>
  <si>
    <t>CPMK055</t>
  </si>
  <si>
    <t>CPMK056</t>
  </si>
  <si>
    <t>CPMK057</t>
  </si>
  <si>
    <t>CPMK058</t>
  </si>
  <si>
    <t>CPMK074</t>
  </si>
  <si>
    <t>CPMK075</t>
  </si>
  <si>
    <t>CPMK076</t>
  </si>
  <si>
    <t>CPMK083</t>
  </si>
  <si>
    <t>CPMK093</t>
  </si>
  <si>
    <t>CPMK105</t>
  </si>
  <si>
    <t>CPMK113</t>
  </si>
  <si>
    <t>CPMK124</t>
  </si>
  <si>
    <t>CPMK125</t>
  </si>
  <si>
    <t>24.05.72.0004</t>
  </si>
  <si>
    <t>TAN, JANINA SHINE DESTINY</t>
  </si>
  <si>
    <t>24.05.72.0003</t>
  </si>
  <si>
    <t>AULIA CHICHI ANGGRAENI</t>
  </si>
  <si>
    <t>CPMK025</t>
  </si>
  <si>
    <t>Nilai Akhir</t>
  </si>
  <si>
    <t>: 1. Y.2.00.04.114 CAHYANI NUSWANDARI, SE., M.Si., Ak CA</t>
  </si>
  <si>
    <t>: 1. YU.2.16.05.101 SARTIKA WULANDARI, S.Pd., M.Si</t>
  </si>
  <si>
    <t>: 2. YU.2.01.10.038 	IDA NURHAYATI	, SE., M.Si</t>
  </si>
  <si>
    <t>: 1. Y.2.92.07.083 Dr. CEACILIA SRIMINDARTI, S.Pd, M.Si</t>
  </si>
  <si>
    <t>CPMK41</t>
  </si>
  <si>
    <t>CPMK42</t>
  </si>
  <si>
    <t>L</t>
  </si>
  <si>
    <t>MK16</t>
  </si>
  <si>
    <t>I</t>
  </si>
  <si>
    <t>P.24.05.52.3.11</t>
  </si>
  <si>
    <t>Akuntansi Keuangan Menengah 1</t>
  </si>
  <si>
    <t>MK17</t>
  </si>
  <si>
    <t>P.24.05.52.3.12</t>
  </si>
  <si>
    <t>Statistika 1</t>
  </si>
  <si>
    <t>MK18</t>
  </si>
  <si>
    <t>P.24.05.52.3.13</t>
  </si>
  <si>
    <t>Pengauditan 1</t>
  </si>
  <si>
    <t>MK19</t>
  </si>
  <si>
    <t>P.24.05.52.3.14</t>
  </si>
  <si>
    <t>Akuntansi Pajak</t>
  </si>
  <si>
    <t>MK20</t>
  </si>
  <si>
    <t>P.24.05.52.3.15</t>
  </si>
  <si>
    <t>Akuntansi Manajemen</t>
  </si>
  <si>
    <t>MK21</t>
  </si>
  <si>
    <t>P.24.05.52.3.16</t>
  </si>
  <si>
    <t>Manajemen Keuangan</t>
  </si>
  <si>
    <t>MK22</t>
  </si>
  <si>
    <t>U.24.05.52.3.06</t>
  </si>
  <si>
    <t>Entrepreneurship for Start-up</t>
  </si>
  <si>
    <t>: 2025/2026</t>
  </si>
  <si>
    <t>: P.24.05.52.3.11</t>
  </si>
  <si>
    <t>: Akuntansi Keuangan Menengah 1</t>
  </si>
  <si>
    <t>: P.24.05.52.3.12</t>
  </si>
  <si>
    <t>: Statistika 1</t>
  </si>
  <si>
    <t>CPMK44</t>
  </si>
  <si>
    <t>CPMK46</t>
  </si>
  <si>
    <t>: 1. Y.3.00.05.074 - BATARA DANIEL BAGANA, SE, MM</t>
  </si>
  <si>
    <t>: 2. Y.2.88.07.047 - GREGORIUS ANGGANA LISIANTARA, SPd, M.M</t>
  </si>
  <si>
    <t>: P.24.05.52.3.13</t>
  </si>
  <si>
    <t>CPMK81</t>
  </si>
  <si>
    <t>CPMK91</t>
  </si>
  <si>
    <t>: 1.Y.2.00.02.115 - ACHMAD BADJURI, SE., M.Si, A.kt</t>
  </si>
  <si>
    <t>: 2025/20256</t>
  </si>
  <si>
    <t>: P.24.05.52.3.14</t>
  </si>
  <si>
    <t>: Akuntansi Pajak</t>
  </si>
  <si>
    <t>: 2. Y.3.00.10.075 RACHMAWATI MEITA OKTAVIANI, S.E.,M.Si., Ak. CA</t>
  </si>
  <si>
    <t>: P.24.05.52.3.15</t>
  </si>
  <si>
    <t>: Akuntansi Manajemen</t>
  </si>
  <si>
    <t>: P.24.05.52.3.16</t>
  </si>
  <si>
    <t>: Manajemen Keuangan</t>
  </si>
  <si>
    <t>CPMK61</t>
  </si>
  <si>
    <t>CPMK62</t>
  </si>
  <si>
    <t>: 1. Y.2.92.07.078 SRI SUDARSI, SE., M.Si</t>
  </si>
  <si>
    <t>: 2. Y.3.00.05.074 BATARA DANIEL BAGANA, SE, MM</t>
  </si>
  <si>
    <t>: U.24.05.52.3.06</t>
  </si>
  <si>
    <t>: Entrepreneurship for Start-up</t>
  </si>
  <si>
    <t>ALFARIESSA GIFTHA ANDREA P</t>
  </si>
  <si>
    <t>: Pengauditan 1</t>
  </si>
  <si>
    <t>SMT-III</t>
  </si>
  <si>
    <t>D,E,F</t>
  </si>
  <si>
    <t>R,S,H,I</t>
  </si>
  <si>
    <t>U,V</t>
  </si>
  <si>
    <t>N</t>
  </si>
  <si>
    <t>O,P</t>
  </si>
  <si>
    <t>X,Y</t>
  </si>
  <si>
    <t>H,I,R,S</t>
  </si>
  <si>
    <t>Rata-rata</t>
  </si>
  <si>
    <t>[Mata Kuliah Semester 3]</t>
  </si>
  <si>
    <t xml:space="preserve">: 1. YU.2.18.09.114 KRISTINA ANINDITA HAYUNINGTIAS, S.E., M.M.	</t>
  </si>
  <si>
    <t>Capaian CPMK Semester 3</t>
  </si>
  <si>
    <t>Capaian CPL Semester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</si>
</sst>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b/>
      <sz val="8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9"/>
      <color rgb="FF1F1F1F"/>
      <name val="Times New Roman"/>
      <family val="1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4E291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horizontal="right" wrapText="1"/>
    </xf>
    <xf numFmtId="0" fontId="0" fillId="0" borderId="4" xfId="0" applyBorder="1" applyAlignment="1">
      <alignment horizontal="center" wrapText="1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/>
    <xf numFmtId="0" fontId="1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7" borderId="16" xfId="0" applyFill="1" applyBorder="1" applyAlignment="1">
      <alignment wrapText="1"/>
    </xf>
    <xf numFmtId="0" fontId="0" fillId="7" borderId="6" xfId="0" applyFill="1" applyBorder="1" applyAlignment="1">
      <alignment horizontal="center" wrapText="1"/>
    </xf>
    <xf numFmtId="0" fontId="0" fillId="4" borderId="16" xfId="0" applyFill="1" applyBorder="1" applyAlignment="1">
      <alignment wrapText="1"/>
    </xf>
    <xf numFmtId="0" fontId="0" fillId="4" borderId="6" xfId="0" applyFill="1" applyBorder="1" applyAlignment="1">
      <alignment horizontal="center" wrapText="1"/>
    </xf>
    <xf numFmtId="0" fontId="0" fillId="8" borderId="2" xfId="0" applyFill="1" applyBorder="1" applyAlignment="1">
      <alignment wrapText="1"/>
    </xf>
    <xf numFmtId="0" fontId="0" fillId="9" borderId="3" xfId="0" applyFill="1" applyBorder="1" applyAlignment="1">
      <alignment horizontal="center" wrapText="1"/>
    </xf>
    <xf numFmtId="1" fontId="0" fillId="9" borderId="3" xfId="0" applyNumberFormat="1" applyFill="1" applyBorder="1" applyAlignment="1">
      <alignment horizontal="center" wrapText="1"/>
    </xf>
    <xf numFmtId="0" fontId="0" fillId="10" borderId="2" xfId="0" applyFill="1" applyBorder="1" applyAlignment="1">
      <alignment wrapText="1"/>
    </xf>
    <xf numFmtId="0" fontId="0" fillId="10" borderId="3" xfId="0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11" fillId="0" borderId="4" xfId="0" applyFont="1" applyBorder="1" applyAlignment="1">
      <alignment wrapText="1"/>
    </xf>
    <xf numFmtId="9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2" fontId="0" fillId="0" borderId="1" xfId="0" applyNumberFormat="1" applyBorder="1" applyAlignment="1">
      <alignment horizontal="center" wrapText="1"/>
    </xf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5" xfId="0" applyBorder="1" applyAlignment="1">
      <alignment horizontal="center" vertical="center"/>
    </xf>
    <xf numFmtId="2" fontId="0" fillId="11" borderId="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2" fontId="0" fillId="16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2" fontId="0" fillId="0" borderId="4" xfId="0" applyNumberFormat="1" applyBorder="1" applyAlignment="1">
      <alignment horizontal="right" wrapText="1"/>
    </xf>
    <xf numFmtId="2" fontId="0" fillId="0" borderId="4" xfId="1" applyNumberFormat="1" applyFont="1" applyBorder="1" applyAlignment="1">
      <alignment horizontal="right" wrapText="1"/>
    </xf>
    <xf numFmtId="0" fontId="11" fillId="0" borderId="22" xfId="0" applyFont="1" applyBorder="1" applyAlignment="1">
      <alignment wrapText="1"/>
    </xf>
    <xf numFmtId="0" fontId="0" fillId="0" borderId="22" xfId="0" applyBorder="1" applyAlignment="1">
      <alignment horizontal="right" wrapText="1"/>
    </xf>
    <xf numFmtId="9" fontId="0" fillId="0" borderId="1" xfId="1" applyFont="1" applyBorder="1"/>
    <xf numFmtId="0" fontId="2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/>
    </xf>
    <xf numFmtId="0" fontId="0" fillId="2" borderId="1" xfId="0" applyFill="1" applyBorder="1"/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9" fontId="0" fillId="0" borderId="4" xfId="1" applyFont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5" fillId="0" borderId="0" xfId="0" applyFont="1"/>
    <xf numFmtId="2" fontId="15" fillId="0" borderId="0" xfId="0" applyNumberFormat="1" applyFont="1"/>
    <xf numFmtId="9" fontId="0" fillId="0" borderId="0" xfId="1" applyFont="1"/>
    <xf numFmtId="9" fontId="0" fillId="0" borderId="1" xfId="1" applyFont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7" fillId="0" borderId="27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9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2" fontId="18" fillId="6" borderId="1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Border="1"/>
    <xf numFmtId="2" fontId="18" fillId="0" borderId="0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7" borderId="16" xfId="0" applyFont="1" applyFill="1" applyBorder="1" applyAlignment="1">
      <alignment wrapText="1"/>
    </xf>
    <xf numFmtId="0" fontId="18" fillId="7" borderId="6" xfId="0" applyFont="1" applyFill="1" applyBorder="1" applyAlignment="1">
      <alignment horizontal="center" wrapText="1"/>
    </xf>
    <xf numFmtId="0" fontId="18" fillId="4" borderId="16" xfId="0" applyFont="1" applyFill="1" applyBorder="1" applyAlignment="1">
      <alignment wrapText="1"/>
    </xf>
    <xf numFmtId="0" fontId="18" fillId="8" borderId="2" xfId="0" applyFont="1" applyFill="1" applyBorder="1" applyAlignment="1">
      <alignment wrapText="1"/>
    </xf>
    <xf numFmtId="0" fontId="18" fillId="9" borderId="3" xfId="0" applyFont="1" applyFill="1" applyBorder="1" applyAlignment="1">
      <alignment horizontal="center" wrapText="1"/>
    </xf>
    <xf numFmtId="1" fontId="18" fillId="9" borderId="3" xfId="0" applyNumberFormat="1" applyFont="1" applyFill="1" applyBorder="1" applyAlignment="1">
      <alignment horizontal="center" wrapText="1"/>
    </xf>
    <xf numFmtId="0" fontId="18" fillId="10" borderId="2" xfId="0" applyFont="1" applyFill="1" applyBorder="1" applyAlignment="1">
      <alignment wrapText="1"/>
    </xf>
    <xf numFmtId="0" fontId="18" fillId="10" borderId="3" xfId="0" applyFont="1" applyFill="1" applyBorder="1" applyAlignment="1">
      <alignment horizontal="center" wrapText="1"/>
    </xf>
    <xf numFmtId="0" fontId="18" fillId="0" borderId="2" xfId="0" applyFont="1" applyBorder="1" applyAlignment="1">
      <alignment wrapText="1"/>
    </xf>
    <xf numFmtId="0" fontId="18" fillId="0" borderId="3" xfId="0" applyFont="1" applyBorder="1" applyAlignment="1">
      <alignment horizontal="center" wrapText="1"/>
    </xf>
    <xf numFmtId="0" fontId="18" fillId="0" borderId="4" xfId="0" applyFont="1" applyBorder="1" applyAlignment="1">
      <alignment wrapText="1"/>
    </xf>
    <xf numFmtId="0" fontId="20" fillId="0" borderId="4" xfId="0" applyFont="1" applyBorder="1" applyAlignment="1">
      <alignment wrapText="1"/>
    </xf>
    <xf numFmtId="9" fontId="18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wrapText="1"/>
    </xf>
    <xf numFmtId="2" fontId="18" fillId="0" borderId="4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2" fontId="18" fillId="4" borderId="6" xfId="0" applyNumberFormat="1" applyFont="1" applyFill="1" applyBorder="1" applyAlignment="1">
      <alignment horizontal="center" wrapText="1"/>
    </xf>
    <xf numFmtId="0" fontId="0" fillId="0" borderId="0" xfId="0" applyFill="1" applyBorder="1" applyAlignment="1">
      <alignment horizontal="left"/>
    </xf>
    <xf numFmtId="2" fontId="0" fillId="0" borderId="0" xfId="0" applyNumberFormat="1" applyFill="1" applyBorder="1" applyAlignment="1">
      <alignment horizontal="center"/>
    </xf>
    <xf numFmtId="0" fontId="18" fillId="2" borderId="0" xfId="0" applyFont="1" applyFill="1"/>
    <xf numFmtId="0" fontId="18" fillId="0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/>
    </xf>
    <xf numFmtId="2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16" xfId="0" applyFill="1" applyBorder="1" applyAlignment="1">
      <alignment wrapText="1"/>
    </xf>
    <xf numFmtId="0" fontId="0" fillId="2" borderId="6" xfId="0" applyFill="1" applyBorder="1" applyAlignment="1">
      <alignment horizontal="center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1" fontId="0" fillId="2" borderId="3" xfId="0" applyNumberFormat="1" applyFill="1" applyBorder="1" applyAlignment="1">
      <alignment horizontal="center" wrapText="1"/>
    </xf>
    <xf numFmtId="0" fontId="0" fillId="2" borderId="4" xfId="0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9" fontId="0" fillId="2" borderId="4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wrapText="1"/>
    </xf>
    <xf numFmtId="2" fontId="0" fillId="2" borderId="4" xfId="0" applyNumberFormat="1" applyFill="1" applyBorder="1" applyAlignment="1">
      <alignment horizontal="center" wrapText="1"/>
    </xf>
    <xf numFmtId="0" fontId="18" fillId="0" borderId="0" xfId="0" applyNumberFormat="1" applyFont="1"/>
    <xf numFmtId="0" fontId="18" fillId="4" borderId="16" xfId="0" applyNumberFormat="1" applyFont="1" applyFill="1" applyBorder="1" applyAlignment="1">
      <alignment wrapText="1"/>
    </xf>
    <xf numFmtId="0" fontId="18" fillId="4" borderId="6" xfId="0" applyNumberFormat="1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9" fontId="0" fillId="2" borderId="1" xfId="1" applyFont="1" applyFill="1" applyBorder="1"/>
    <xf numFmtId="9" fontId="0" fillId="0" borderId="0" xfId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0" fontId="15" fillId="2" borderId="0" xfId="0" applyFont="1" applyFill="1"/>
    <xf numFmtId="2" fontId="0" fillId="2" borderId="1" xfId="0" applyNumberFormat="1" applyFill="1" applyBorder="1"/>
    <xf numFmtId="9" fontId="0" fillId="2" borderId="1" xfId="1" applyFont="1" applyFill="1" applyBorder="1" applyAlignment="1">
      <alignment horizontal="center"/>
    </xf>
    <xf numFmtId="9" fontId="0" fillId="2" borderId="4" xfId="1" applyFont="1" applyFill="1" applyBorder="1" applyAlignment="1">
      <alignment horizontal="center" vertical="center" wrapText="1"/>
    </xf>
    <xf numFmtId="2" fontId="15" fillId="2" borderId="0" xfId="0" applyNumberFormat="1" applyFont="1" applyFill="1"/>
    <xf numFmtId="2" fontId="0" fillId="2" borderId="1" xfId="0" applyNumberFormat="1" applyFill="1" applyBorder="1" applyAlignment="1">
      <alignment horizontal="center" wrapText="1"/>
    </xf>
    <xf numFmtId="9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0" xfId="1" applyNumberFormat="1" applyFont="1"/>
    <xf numFmtId="0" fontId="0" fillId="0" borderId="13" xfId="1" applyNumberFormat="1" applyFont="1" applyBorder="1" applyAlignment="1">
      <alignment horizontal="center" vertical="center"/>
    </xf>
    <xf numFmtId="0" fontId="0" fillId="0" borderId="15" xfId="1" applyNumberFormat="1" applyFont="1" applyBorder="1" applyAlignment="1">
      <alignment horizontal="center" vertical="center"/>
    </xf>
    <xf numFmtId="0" fontId="0" fillId="2" borderId="1" xfId="1" applyNumberFormat="1" applyFont="1" applyFill="1" applyBorder="1"/>
    <xf numFmtId="2" fontId="22" fillId="0" borderId="1" xfId="1" applyNumberFormat="1" applyFont="1" applyBorder="1" applyAlignment="1">
      <alignment horizontal="center"/>
    </xf>
    <xf numFmtId="2" fontId="0" fillId="0" borderId="1" xfId="1" applyNumberFormat="1" applyFont="1" applyBorder="1"/>
    <xf numFmtId="2" fontId="0" fillId="0" borderId="13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9" fontId="22" fillId="0" borderId="1" xfId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3" fillId="0" borderId="2" xfId="0" applyFont="1" applyBorder="1" applyAlignment="1">
      <alignment vertical="center" wrapText="1"/>
    </xf>
    <xf numFmtId="0" fontId="23" fillId="0" borderId="26" xfId="0" applyFont="1" applyBorder="1" applyAlignment="1">
      <alignment vertical="center" wrapText="1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4" fillId="6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2" fontId="24" fillId="6" borderId="1" xfId="0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7" borderId="6" xfId="0" applyFont="1" applyFill="1" applyBorder="1" applyAlignment="1">
      <alignment horizontal="center" wrapText="1"/>
    </xf>
    <xf numFmtId="0" fontId="24" fillId="9" borderId="3" xfId="0" applyFont="1" applyFill="1" applyBorder="1" applyAlignment="1">
      <alignment horizontal="center" wrapText="1"/>
    </xf>
    <xf numFmtId="0" fontId="24" fillId="10" borderId="3" xfId="0" applyFont="1" applyFill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9" fontId="24" fillId="0" borderId="4" xfId="0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wrapText="1"/>
    </xf>
    <xf numFmtId="2" fontId="24" fillId="0" borderId="4" xfId="0" applyNumberFormat="1" applyFont="1" applyBorder="1" applyAlignment="1">
      <alignment horizontal="center" wrapText="1"/>
    </xf>
    <xf numFmtId="0" fontId="24" fillId="4" borderId="6" xfId="0" applyNumberFormat="1" applyFont="1" applyFill="1" applyBorder="1" applyAlignment="1">
      <alignment horizontal="center" wrapText="1"/>
    </xf>
    <xf numFmtId="0" fontId="0" fillId="4" borderId="6" xfId="0" applyNumberFormat="1" applyFill="1" applyBorder="1" applyAlignment="1">
      <alignment horizontal="center" wrapText="1"/>
    </xf>
    <xf numFmtId="0" fontId="26" fillId="0" borderId="0" xfId="0" applyFont="1" applyAlignment="1">
      <alignment vertic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/>
    <xf numFmtId="0" fontId="18" fillId="2" borderId="14" xfId="0" applyFont="1" applyFill="1" applyBorder="1" applyAlignment="1">
      <alignment horizontal="center"/>
    </xf>
    <xf numFmtId="0" fontId="0" fillId="2" borderId="22" xfId="0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" fontId="0" fillId="0" borderId="1" xfId="1" applyNumberFormat="1" applyFont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0" borderId="13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3" borderId="29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0" fillId="0" borderId="31" xfId="0" applyBorder="1"/>
    <xf numFmtId="0" fontId="4" fillId="0" borderId="32" xfId="0" applyFont="1" applyBorder="1" applyAlignment="1">
      <alignment vertical="center"/>
    </xf>
    <xf numFmtId="0" fontId="5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16" fillId="0" borderId="35" xfId="0" applyFont="1" applyBorder="1" applyAlignment="1">
      <alignment horizontal="center" vertical="center" wrapText="1"/>
    </xf>
    <xf numFmtId="0" fontId="0" fillId="0" borderId="36" xfId="0" applyBorder="1"/>
    <xf numFmtId="0" fontId="4" fillId="0" borderId="1" xfId="0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0" fontId="0" fillId="0" borderId="38" xfId="0" applyBorder="1"/>
    <xf numFmtId="0" fontId="4" fillId="0" borderId="39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0" fillId="0" borderId="0" xfId="0" applyFill="1"/>
    <xf numFmtId="0" fontId="10" fillId="2" borderId="0" xfId="0" applyFont="1" applyFill="1"/>
    <xf numFmtId="0" fontId="0" fillId="16" borderId="15" xfId="0" applyFill="1" applyBorder="1" applyAlignment="1">
      <alignment horizontal="center"/>
    </xf>
    <xf numFmtId="0" fontId="0" fillId="0" borderId="0" xfId="1" applyNumberFormat="1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8" fillId="12" borderId="1" xfId="0" applyFont="1" applyFill="1" applyBorder="1" applyAlignment="1">
      <alignment horizontal="center"/>
    </xf>
    <xf numFmtId="2" fontId="0" fillId="0" borderId="11" xfId="0" applyNumberFormat="1" applyBorder="1"/>
    <xf numFmtId="9" fontId="0" fillId="0" borderId="11" xfId="1" applyFont="1" applyBorder="1"/>
    <xf numFmtId="0" fontId="0" fillId="0" borderId="1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quotePrefix="1" applyNumberFormat="1" applyBorder="1" applyAlignment="1">
      <alignment horizontal="center"/>
    </xf>
    <xf numFmtId="0" fontId="11" fillId="0" borderId="0" xfId="0" applyFont="1" applyBorder="1" applyAlignment="1">
      <alignment wrapText="1"/>
    </xf>
    <xf numFmtId="2" fontId="0" fillId="0" borderId="0" xfId="0" applyNumberFormat="1" applyBorder="1" applyAlignment="1">
      <alignment horizontal="center" wrapText="1"/>
    </xf>
    <xf numFmtId="9" fontId="0" fillId="2" borderId="0" xfId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5" borderId="7" xfId="0" applyFont="1" applyFill="1" applyBorder="1" applyAlignment="1">
      <alignment horizontal="right" vertical="center"/>
    </xf>
    <xf numFmtId="0" fontId="9" fillId="5" borderId="8" xfId="0" applyFont="1" applyFill="1" applyBorder="1" applyAlignment="1">
      <alignment horizontal="right" vertical="center"/>
    </xf>
    <xf numFmtId="0" fontId="9" fillId="5" borderId="9" xfId="0" applyFont="1" applyFill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4" fillId="6" borderId="11" xfId="0" applyFont="1" applyFill="1" applyBorder="1" applyAlignment="1">
      <alignment horizontal="center"/>
    </xf>
    <xf numFmtId="0" fontId="24" fillId="6" borderId="12" xfId="0" applyFont="1" applyFill="1" applyBorder="1" applyAlignment="1">
      <alignment horizontal="center"/>
    </xf>
    <xf numFmtId="0" fontId="18" fillId="6" borderId="13" xfId="0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18" fillId="6" borderId="1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/>
    </xf>
    <xf numFmtId="0" fontId="18" fillId="6" borderId="18" xfId="0" applyFont="1" applyFill="1" applyBorder="1" applyAlignment="1">
      <alignment horizontal="center"/>
    </xf>
    <xf numFmtId="0" fontId="18" fillId="6" borderId="20" xfId="0" applyFont="1" applyFill="1" applyBorder="1" applyAlignment="1">
      <alignment horizontal="center"/>
    </xf>
    <xf numFmtId="0" fontId="18" fillId="6" borderId="0" xfId="0" applyFont="1" applyFill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9" fontId="0" fillId="0" borderId="13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8" fillId="11" borderId="11" xfId="0" applyFont="1" applyFill="1" applyBorder="1" applyAlignment="1">
      <alignment horizontal="center"/>
    </xf>
    <xf numFmtId="0" fontId="18" fillId="11" borderId="12" xfId="0" applyFont="1" applyFill="1" applyBorder="1" applyAlignment="1">
      <alignment horizontal="center"/>
    </xf>
    <xf numFmtId="0" fontId="18" fillId="11" borderId="21" xfId="0" applyFont="1" applyFill="1" applyBorder="1" applyAlignment="1">
      <alignment horizontal="center"/>
    </xf>
    <xf numFmtId="0" fontId="18" fillId="12" borderId="11" xfId="0" applyFont="1" applyFill="1" applyBorder="1" applyAlignment="1">
      <alignment horizontal="center"/>
    </xf>
    <xf numFmtId="0" fontId="18" fillId="12" borderId="2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6" borderId="13" xfId="0" applyFill="1" applyBorder="1" applyAlignment="1">
      <alignment horizontal="center" vertical="center" wrapText="1"/>
    </xf>
    <xf numFmtId="0" fontId="0" fillId="16" borderId="14" xfId="0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3" borderId="13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4" borderId="13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0" fillId="16" borderId="19" xfId="0" applyFill="1" applyBorder="1" applyAlignment="1">
      <alignment horizontal="center"/>
    </xf>
    <xf numFmtId="0" fontId="0" fillId="16" borderId="20" xfId="0" applyFill="1" applyBorder="1" applyAlignment="1">
      <alignment horizontal="center"/>
    </xf>
    <xf numFmtId="0" fontId="0" fillId="16" borderId="42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2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Capaian</a:t>
            </a:r>
            <a:r>
              <a:rPr lang="en-ID" baseline="0"/>
              <a:t> Rata-rata CPL - [Semester I]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'[10]Penguk.MK-CPL-I'!$C$44:$C$57</c:f>
              <c:strCache>
                <c:ptCount val="14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  <c:pt idx="12">
                  <c:v>CPL13</c:v>
                </c:pt>
                <c:pt idx="13">
                  <c:v>CPL14</c:v>
                </c:pt>
              </c:strCache>
            </c:strRef>
          </c:cat>
          <c:val>
            <c:numRef>
              <c:f>'[10]Penguk.MK-CPL-I'!$F$44:$F$57</c:f>
              <c:numCache>
                <c:formatCode>General</c:formatCode>
                <c:ptCount val="14"/>
                <c:pt idx="0">
                  <c:v>0.8274545219638243</c:v>
                </c:pt>
                <c:pt idx="1">
                  <c:v>0.77250000000000019</c:v>
                </c:pt>
                <c:pt idx="2">
                  <c:v>0.7645264705882352</c:v>
                </c:pt>
                <c:pt idx="3">
                  <c:v>0.79136842105263161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0.75394705882352941</c:v>
                </c:pt>
                <c:pt idx="9">
                  <c:v>0.80412777777777755</c:v>
                </c:pt>
                <c:pt idx="10">
                  <c:v>0</c:v>
                </c:pt>
                <c:pt idx="11">
                  <c:v>0.73652777777777778</c:v>
                </c:pt>
                <c:pt idx="12">
                  <c:v>0.87748405797101459</c:v>
                </c:pt>
                <c:pt idx="13">
                  <c:v>0.71722222222222209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0-4FDE-869D-00AEF36EF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752095"/>
        <c:axId val="754734815"/>
      </c:radarChart>
      <c:catAx>
        <c:axId val="7547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34815"/>
        <c:crosses val="autoZero"/>
        <c:auto val="1"/>
        <c:lblAlgn val="ctr"/>
        <c:lblOffset val="100"/>
        <c:noMultiLvlLbl val="0"/>
      </c:catAx>
      <c:valAx>
        <c:axId val="75473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5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Tingkat Rata-rata Capaian CPMK</a:t>
            </a:r>
            <a:r>
              <a:rPr lang="en-ID" baseline="0"/>
              <a:t> Matakuliah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'Penguk.CPMK-Smt1'!$D$66:$D$121</c:f>
              <c:strCache>
                <c:ptCount val="5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CPMK025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CPMK043</c:v>
                </c:pt>
                <c:pt idx="14">
                  <c:v>CPMK044</c:v>
                </c:pt>
                <c:pt idx="15">
                  <c:v>CPMK045</c:v>
                </c:pt>
                <c:pt idx="16">
                  <c:v>CPMK046</c:v>
                </c:pt>
                <c:pt idx="17">
                  <c:v>CPMK047</c:v>
                </c:pt>
                <c:pt idx="18">
                  <c:v>CPMK051</c:v>
                </c:pt>
                <c:pt idx="19">
                  <c:v>CPMK052</c:v>
                </c:pt>
                <c:pt idx="20">
                  <c:v>CPMK053</c:v>
                </c:pt>
                <c:pt idx="21">
                  <c:v>CPMK054</c:v>
                </c:pt>
                <c:pt idx="22">
                  <c:v>CPMK055</c:v>
                </c:pt>
                <c:pt idx="23">
                  <c:v>CPMK056</c:v>
                </c:pt>
                <c:pt idx="24">
                  <c:v>CPMK057</c:v>
                </c:pt>
                <c:pt idx="25">
                  <c:v>CPMK058</c:v>
                </c:pt>
                <c:pt idx="26">
                  <c:v>CPMK061</c:v>
                </c:pt>
                <c:pt idx="27">
                  <c:v>CPMK062</c:v>
                </c:pt>
                <c:pt idx="28">
                  <c:v>CPMK063</c:v>
                </c:pt>
                <c:pt idx="29">
                  <c:v>CPMK064</c:v>
                </c:pt>
                <c:pt idx="30">
                  <c:v>CPMK071</c:v>
                </c:pt>
                <c:pt idx="31">
                  <c:v>CPMK072</c:v>
                </c:pt>
                <c:pt idx="32">
                  <c:v>CPMK073</c:v>
                </c:pt>
                <c:pt idx="33">
                  <c:v>CPMK074</c:v>
                </c:pt>
                <c:pt idx="34">
                  <c:v>CPMK075</c:v>
                </c:pt>
                <c:pt idx="35">
                  <c:v>CPMK076</c:v>
                </c:pt>
                <c:pt idx="36">
                  <c:v>CPMK081</c:v>
                </c:pt>
                <c:pt idx="37">
                  <c:v>CPMK082</c:v>
                </c:pt>
                <c:pt idx="38">
                  <c:v>CPMK083</c:v>
                </c:pt>
                <c:pt idx="39">
                  <c:v>CPMK091</c:v>
                </c:pt>
                <c:pt idx="40">
                  <c:v>CPMK092</c:v>
                </c:pt>
                <c:pt idx="41">
                  <c:v>CPMK093</c:v>
                </c:pt>
                <c:pt idx="42">
                  <c:v>CPMK101</c:v>
                </c:pt>
                <c:pt idx="43">
                  <c:v>CPMK102</c:v>
                </c:pt>
                <c:pt idx="44">
                  <c:v>CPMK103</c:v>
                </c:pt>
                <c:pt idx="45">
                  <c:v>CPMK104</c:v>
                </c:pt>
                <c:pt idx="46">
                  <c:v>CPMK105</c:v>
                </c:pt>
                <c:pt idx="47">
                  <c:v>CPMK111</c:v>
                </c:pt>
                <c:pt idx="48">
                  <c:v>CPMK112</c:v>
                </c:pt>
                <c:pt idx="49">
                  <c:v>CPMK113</c:v>
                </c:pt>
                <c:pt idx="50">
                  <c:v>CPMK114</c:v>
                </c:pt>
                <c:pt idx="51">
                  <c:v>CPMK115</c:v>
                </c:pt>
                <c:pt idx="52">
                  <c:v>CPMK121</c:v>
                </c:pt>
                <c:pt idx="53">
                  <c:v>CPMK122</c:v>
                </c:pt>
                <c:pt idx="54">
                  <c:v>CPMK123</c:v>
                </c:pt>
                <c:pt idx="55">
                  <c:v>CPMK124</c:v>
                </c:pt>
              </c:strCache>
            </c:strRef>
          </c:cat>
          <c:val>
            <c:numRef>
              <c:f>'Penguk.CPMK-Smt1'!$G$66:$G$121</c:f>
              <c:numCache>
                <c:formatCode>0%</c:formatCode>
                <c:ptCount val="56"/>
                <c:pt idx="4">
                  <c:v>0.78403437500000017</c:v>
                </c:pt>
                <c:pt idx="6">
                  <c:v>0.72718749999999999</c:v>
                </c:pt>
                <c:pt idx="7">
                  <c:v>0.74110937500000007</c:v>
                </c:pt>
                <c:pt idx="11">
                  <c:v>0.82740625000000023</c:v>
                </c:pt>
                <c:pt idx="12">
                  <c:v>0.80241249999999975</c:v>
                </c:pt>
                <c:pt idx="14">
                  <c:v>0.77040625000000007</c:v>
                </c:pt>
                <c:pt idx="16">
                  <c:v>0.75878124999999996</c:v>
                </c:pt>
                <c:pt idx="26">
                  <c:v>0.72706249999999994</c:v>
                </c:pt>
                <c:pt idx="27">
                  <c:v>0.81565625000000008</c:v>
                </c:pt>
                <c:pt idx="36">
                  <c:v>0.80241249999999975</c:v>
                </c:pt>
                <c:pt idx="39">
                  <c:v>0.76602812500000017</c:v>
                </c:pt>
                <c:pt idx="45">
                  <c:v>0.7253562499999997</c:v>
                </c:pt>
                <c:pt idx="47">
                  <c:v>0.72513437499999978</c:v>
                </c:pt>
                <c:pt idx="48">
                  <c:v>0.74541875000000002</c:v>
                </c:pt>
                <c:pt idx="52">
                  <c:v>0.72949999999999993</c:v>
                </c:pt>
                <c:pt idx="53">
                  <c:v>0.81565625000000008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3-409E-A902-F64CA88D0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116447"/>
        <c:axId val="2133114527"/>
      </c:radarChart>
      <c:catAx>
        <c:axId val="213311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4527"/>
        <c:crosses val="autoZero"/>
        <c:auto val="1"/>
        <c:lblAlgn val="ctr"/>
        <c:lblOffset val="100"/>
        <c:noMultiLvlLbl val="0"/>
      </c:catAx>
      <c:valAx>
        <c:axId val="21331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</a:t>
            </a:r>
            <a:r>
              <a:rPr lang="en-ID" baseline="0"/>
              <a:t> Tingkat Ketercapaian CPMK Program Studi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'Penguk.CPMK-Smt1'!$D$66:$D$121</c:f>
              <c:strCache>
                <c:ptCount val="5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CPMK025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CPMK043</c:v>
                </c:pt>
                <c:pt idx="14">
                  <c:v>CPMK044</c:v>
                </c:pt>
                <c:pt idx="15">
                  <c:v>CPMK045</c:v>
                </c:pt>
                <c:pt idx="16">
                  <c:v>CPMK046</c:v>
                </c:pt>
                <c:pt idx="17">
                  <c:v>CPMK047</c:v>
                </c:pt>
                <c:pt idx="18">
                  <c:v>CPMK051</c:v>
                </c:pt>
                <c:pt idx="19">
                  <c:v>CPMK052</c:v>
                </c:pt>
                <c:pt idx="20">
                  <c:v>CPMK053</c:v>
                </c:pt>
                <c:pt idx="21">
                  <c:v>CPMK054</c:v>
                </c:pt>
                <c:pt idx="22">
                  <c:v>CPMK055</c:v>
                </c:pt>
                <c:pt idx="23">
                  <c:v>CPMK056</c:v>
                </c:pt>
                <c:pt idx="24">
                  <c:v>CPMK057</c:v>
                </c:pt>
                <c:pt idx="25">
                  <c:v>CPMK058</c:v>
                </c:pt>
                <c:pt idx="26">
                  <c:v>CPMK061</c:v>
                </c:pt>
                <c:pt idx="27">
                  <c:v>CPMK062</c:v>
                </c:pt>
                <c:pt idx="28">
                  <c:v>CPMK063</c:v>
                </c:pt>
                <c:pt idx="29">
                  <c:v>CPMK064</c:v>
                </c:pt>
                <c:pt idx="30">
                  <c:v>CPMK071</c:v>
                </c:pt>
                <c:pt idx="31">
                  <c:v>CPMK072</c:v>
                </c:pt>
                <c:pt idx="32">
                  <c:v>CPMK073</c:v>
                </c:pt>
                <c:pt idx="33">
                  <c:v>CPMK074</c:v>
                </c:pt>
                <c:pt idx="34">
                  <c:v>CPMK075</c:v>
                </c:pt>
                <c:pt idx="35">
                  <c:v>CPMK076</c:v>
                </c:pt>
                <c:pt idx="36">
                  <c:v>CPMK081</c:v>
                </c:pt>
                <c:pt idx="37">
                  <c:v>CPMK082</c:v>
                </c:pt>
                <c:pt idx="38">
                  <c:v>CPMK083</c:v>
                </c:pt>
                <c:pt idx="39">
                  <c:v>CPMK091</c:v>
                </c:pt>
                <c:pt idx="40">
                  <c:v>CPMK092</c:v>
                </c:pt>
                <c:pt idx="41">
                  <c:v>CPMK093</c:v>
                </c:pt>
                <c:pt idx="42">
                  <c:v>CPMK101</c:v>
                </c:pt>
                <c:pt idx="43">
                  <c:v>CPMK102</c:v>
                </c:pt>
                <c:pt idx="44">
                  <c:v>CPMK103</c:v>
                </c:pt>
                <c:pt idx="45">
                  <c:v>CPMK104</c:v>
                </c:pt>
                <c:pt idx="46">
                  <c:v>CPMK105</c:v>
                </c:pt>
                <c:pt idx="47">
                  <c:v>CPMK111</c:v>
                </c:pt>
                <c:pt idx="48">
                  <c:v>CPMK112</c:v>
                </c:pt>
                <c:pt idx="49">
                  <c:v>CPMK113</c:v>
                </c:pt>
                <c:pt idx="50">
                  <c:v>CPMK114</c:v>
                </c:pt>
                <c:pt idx="51">
                  <c:v>CPMK115</c:v>
                </c:pt>
                <c:pt idx="52">
                  <c:v>CPMK121</c:v>
                </c:pt>
                <c:pt idx="53">
                  <c:v>CPMK122</c:v>
                </c:pt>
                <c:pt idx="54">
                  <c:v>CPMK123</c:v>
                </c:pt>
                <c:pt idx="55">
                  <c:v>CPMK124</c:v>
                </c:pt>
              </c:strCache>
            </c:strRef>
          </c:cat>
          <c:val>
            <c:numRef>
              <c:f>'Penguk.CPMK-Smt1'!$K$66:$K$121</c:f>
              <c:numCache>
                <c:formatCode>0%</c:formatCode>
                <c:ptCount val="56"/>
                <c:pt idx="2">
                  <c:v>0</c:v>
                </c:pt>
                <c:pt idx="4">
                  <c:v>0.96875</c:v>
                </c:pt>
                <c:pt idx="6">
                  <c:v>0.96875</c:v>
                </c:pt>
                <c:pt idx="7">
                  <c:v>0.8125</c:v>
                </c:pt>
                <c:pt idx="8">
                  <c:v>0</c:v>
                </c:pt>
                <c:pt idx="9">
                  <c:v>0</c:v>
                </c:pt>
                <c:pt idx="11">
                  <c:v>0.84375</c:v>
                </c:pt>
                <c:pt idx="12">
                  <c:v>0.84375</c:v>
                </c:pt>
                <c:pt idx="13">
                  <c:v>0</c:v>
                </c:pt>
                <c:pt idx="14">
                  <c:v>0.96875</c:v>
                </c:pt>
                <c:pt idx="15">
                  <c:v>0</c:v>
                </c:pt>
                <c:pt idx="16">
                  <c:v>0.96875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0.96875</c:v>
                </c:pt>
                <c:pt idx="27">
                  <c:v>0.96875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0.9375</c:v>
                </c:pt>
                <c:pt idx="37">
                  <c:v>0</c:v>
                </c:pt>
                <c:pt idx="38">
                  <c:v>0</c:v>
                </c:pt>
                <c:pt idx="39">
                  <c:v>0.9375</c:v>
                </c:pt>
                <c:pt idx="40">
                  <c:v>0</c:v>
                </c:pt>
                <c:pt idx="41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0.90625</c:v>
                </c:pt>
                <c:pt idx="46">
                  <c:v>0</c:v>
                </c:pt>
                <c:pt idx="47">
                  <c:v>0.84375</c:v>
                </c:pt>
                <c:pt idx="5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F-4FDE-9940-705CA821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107807"/>
        <c:axId val="2133113567"/>
      </c:radarChart>
      <c:catAx>
        <c:axId val="213310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3567"/>
        <c:crosses val="autoZero"/>
        <c:auto val="1"/>
        <c:lblAlgn val="ctr"/>
        <c:lblOffset val="100"/>
        <c:noMultiLvlLbl val="0"/>
      </c:catAx>
      <c:valAx>
        <c:axId val="213311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0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Tingkat Rata-rata Capaian CPMK Matakuliah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36C-403E-83FA-5CF81D40A1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36C-403E-83FA-5CF81D40A1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36C-403E-83FA-5CF81D40A1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36C-403E-83FA-5CF81D40A12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136C-403E-83FA-5CF81D40A12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136C-403E-83FA-5CF81D40A12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136C-403E-83FA-5CF81D40A12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136C-403E-83FA-5CF81D40A12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136C-403E-83FA-5CF81D40A12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136C-403E-83FA-5CF81D40A12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136C-403E-83FA-5CF81D40A12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136C-403E-83FA-5CF81D40A128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136C-403E-83FA-5CF81D40A128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136C-403E-83FA-5CF81D40A128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136C-403E-83FA-5CF81D40A128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136C-403E-83FA-5CF81D40A128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136C-403E-83FA-5CF81D40A12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136C-403E-83FA-5CF81D40A12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136C-403E-83FA-5CF81D40A128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136C-403E-83FA-5CF81D40A12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136C-403E-83FA-5CF81D40A12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136C-403E-83FA-5CF81D40A12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136C-403E-83FA-5CF81D40A128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136C-403E-83FA-5CF81D40A12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136C-403E-83FA-5CF81D40A128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136C-403E-83FA-5CF81D40A128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136C-403E-83FA-5CF81D40A128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136C-403E-83FA-5CF81D40A12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136C-403E-83FA-5CF81D40A128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136C-403E-83FA-5CF81D40A128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136C-403E-83FA-5CF81D40A128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136C-403E-83FA-5CF81D40A128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136C-403E-83FA-5CF81D40A128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136C-403E-83FA-5CF81D40A128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136C-403E-83FA-5CF81D40A128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136C-403E-83FA-5CF81D40A128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279B-4C60-861B-4D62F01EEC8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279B-4C60-861B-4D62F01EEC89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279B-4C60-861B-4D62F01EEC8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F-279B-4C60-861B-4D62F01EEC8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279B-4C60-861B-4D62F01EEC89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279B-4C60-861B-4D62F01EEC89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279B-4C60-861B-4D62F01EEC89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279B-4C60-861B-4D62F01EEC89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279B-4C60-861B-4D62F01EEC89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279B-4C60-861B-4D62F01EEC89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279B-4C60-861B-4D62F01EEC89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279B-4C60-861B-4D62F01EEC89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279B-4C60-861B-4D62F01EEC89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279B-4C60-861B-4D62F01EEC89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279B-4C60-861B-4D62F01EEC89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279B-4C60-861B-4D62F01EEC89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279B-4C60-861B-4D62F01EEC89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279B-4C60-861B-4D62F01EEC89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279B-4C60-861B-4D62F01EEC89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F-E25E-44F6-A8F3-2332300169B0}"/>
              </c:ext>
            </c:extLst>
          </c:dPt>
          <c:cat>
            <c:strRef>
              <c:f>'Penguk.CPMK-Smt1'!$D$66:$D$121</c:f>
              <c:strCache>
                <c:ptCount val="5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CPMK025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CPMK043</c:v>
                </c:pt>
                <c:pt idx="14">
                  <c:v>CPMK044</c:v>
                </c:pt>
                <c:pt idx="15">
                  <c:v>CPMK045</c:v>
                </c:pt>
                <c:pt idx="16">
                  <c:v>CPMK046</c:v>
                </c:pt>
                <c:pt idx="17">
                  <c:v>CPMK047</c:v>
                </c:pt>
                <c:pt idx="18">
                  <c:v>CPMK051</c:v>
                </c:pt>
                <c:pt idx="19">
                  <c:v>CPMK052</c:v>
                </c:pt>
                <c:pt idx="20">
                  <c:v>CPMK053</c:v>
                </c:pt>
                <c:pt idx="21">
                  <c:v>CPMK054</c:v>
                </c:pt>
                <c:pt idx="22">
                  <c:v>CPMK055</c:v>
                </c:pt>
                <c:pt idx="23">
                  <c:v>CPMK056</c:v>
                </c:pt>
                <c:pt idx="24">
                  <c:v>CPMK057</c:v>
                </c:pt>
                <c:pt idx="25">
                  <c:v>CPMK058</c:v>
                </c:pt>
                <c:pt idx="26">
                  <c:v>CPMK061</c:v>
                </c:pt>
                <c:pt idx="27">
                  <c:v>CPMK062</c:v>
                </c:pt>
                <c:pt idx="28">
                  <c:v>CPMK063</c:v>
                </c:pt>
                <c:pt idx="29">
                  <c:v>CPMK064</c:v>
                </c:pt>
                <c:pt idx="30">
                  <c:v>CPMK071</c:v>
                </c:pt>
                <c:pt idx="31">
                  <c:v>CPMK072</c:v>
                </c:pt>
                <c:pt idx="32">
                  <c:v>CPMK073</c:v>
                </c:pt>
                <c:pt idx="33">
                  <c:v>CPMK074</c:v>
                </c:pt>
                <c:pt idx="34">
                  <c:v>CPMK075</c:v>
                </c:pt>
                <c:pt idx="35">
                  <c:v>CPMK076</c:v>
                </c:pt>
                <c:pt idx="36">
                  <c:v>CPMK081</c:v>
                </c:pt>
                <c:pt idx="37">
                  <c:v>CPMK082</c:v>
                </c:pt>
                <c:pt idx="38">
                  <c:v>CPMK083</c:v>
                </c:pt>
                <c:pt idx="39">
                  <c:v>CPMK091</c:v>
                </c:pt>
                <c:pt idx="40">
                  <c:v>CPMK092</c:v>
                </c:pt>
                <c:pt idx="41">
                  <c:v>CPMK093</c:v>
                </c:pt>
                <c:pt idx="42">
                  <c:v>CPMK101</c:v>
                </c:pt>
                <c:pt idx="43">
                  <c:v>CPMK102</c:v>
                </c:pt>
                <c:pt idx="44">
                  <c:v>CPMK103</c:v>
                </c:pt>
                <c:pt idx="45">
                  <c:v>CPMK104</c:v>
                </c:pt>
                <c:pt idx="46">
                  <c:v>CPMK105</c:v>
                </c:pt>
                <c:pt idx="47">
                  <c:v>CPMK111</c:v>
                </c:pt>
                <c:pt idx="48">
                  <c:v>CPMK112</c:v>
                </c:pt>
                <c:pt idx="49">
                  <c:v>CPMK113</c:v>
                </c:pt>
                <c:pt idx="50">
                  <c:v>CPMK114</c:v>
                </c:pt>
                <c:pt idx="51">
                  <c:v>CPMK115</c:v>
                </c:pt>
                <c:pt idx="52">
                  <c:v>CPMK121</c:v>
                </c:pt>
                <c:pt idx="53">
                  <c:v>CPMK122</c:v>
                </c:pt>
                <c:pt idx="54">
                  <c:v>CPMK123</c:v>
                </c:pt>
                <c:pt idx="55">
                  <c:v>CPMK124</c:v>
                </c:pt>
              </c:strCache>
            </c:strRef>
          </c:cat>
          <c:val>
            <c:numRef>
              <c:f>'Penguk.CPMK-Smt1'!$J$66:$J$121</c:f>
              <c:numCache>
                <c:formatCode>0</c:formatCode>
                <c:ptCount val="56"/>
                <c:pt idx="4">
                  <c:v>31</c:v>
                </c:pt>
                <c:pt idx="6">
                  <c:v>31</c:v>
                </c:pt>
                <c:pt idx="7">
                  <c:v>26</c:v>
                </c:pt>
                <c:pt idx="8">
                  <c:v>0</c:v>
                </c:pt>
                <c:pt idx="9">
                  <c:v>0</c:v>
                </c:pt>
                <c:pt idx="11">
                  <c:v>27</c:v>
                </c:pt>
                <c:pt idx="12">
                  <c:v>27</c:v>
                </c:pt>
                <c:pt idx="14">
                  <c:v>31</c:v>
                </c:pt>
                <c:pt idx="16">
                  <c:v>31</c:v>
                </c:pt>
                <c:pt idx="25">
                  <c:v>0</c:v>
                </c:pt>
                <c:pt idx="26">
                  <c:v>31</c:v>
                </c:pt>
                <c:pt idx="27">
                  <c:v>31</c:v>
                </c:pt>
                <c:pt idx="28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30</c:v>
                </c:pt>
                <c:pt idx="39">
                  <c:v>30</c:v>
                </c:pt>
                <c:pt idx="45">
                  <c:v>29</c:v>
                </c:pt>
                <c:pt idx="46">
                  <c:v>0</c:v>
                </c:pt>
                <c:pt idx="47">
                  <c:v>27</c:v>
                </c:pt>
                <c:pt idx="48">
                  <c:v>38</c:v>
                </c:pt>
                <c:pt idx="52">
                  <c:v>26</c:v>
                </c:pt>
                <c:pt idx="53">
                  <c:v>31</c:v>
                </c:pt>
                <c:pt idx="5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6-4BA1-AD11-2690C35ED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0817520"/>
        <c:axId val="1360815600"/>
        <c:axId val="0"/>
      </c:bar3DChart>
      <c:catAx>
        <c:axId val="13608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15600"/>
        <c:crosses val="autoZero"/>
        <c:auto val="1"/>
        <c:lblAlgn val="ctr"/>
        <c:lblOffset val="100"/>
        <c:noMultiLvlLbl val="0"/>
      </c:catAx>
      <c:valAx>
        <c:axId val="13608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1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Persentase Tingkat Ketercapaian CPMK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A29-4937-B236-6AD32ADD95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D15-4373-9218-0A1627CB54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3D15-4373-9218-0A1627CB54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3D15-4373-9218-0A1627CB549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3D15-4373-9218-0A1627CB549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3D15-4373-9218-0A1627CB549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3D15-4373-9218-0A1627CB549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3D15-4373-9218-0A1627CB549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3D15-4373-9218-0A1627CB549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3D15-4373-9218-0A1627CB549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3D15-4373-9218-0A1627CB549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3D15-4373-9218-0A1627CB549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3D15-4373-9218-0A1627CB54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3D15-4373-9218-0A1627CB549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3D15-4373-9218-0A1627CB549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3D15-4373-9218-0A1627CB549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3D15-4373-9218-0A1627CB549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3D15-4373-9218-0A1627CB549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3D15-4373-9218-0A1627CB549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3D15-4373-9218-0A1627CB549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3D15-4373-9218-0A1627CB549E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3D15-4373-9218-0A1627CB549E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3D15-4373-9218-0A1627CB549E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3D15-4373-9218-0A1627CB549E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3D15-4373-9218-0A1627CB549E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3D15-4373-9218-0A1627CB549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3D15-4373-9218-0A1627CB549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3D15-4373-9218-0A1627CB549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3D15-4373-9218-0A1627CB549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3D15-4373-9218-0A1627CB549E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3D15-4373-9218-0A1627CB549E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3D15-4373-9218-0A1627CB549E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3D15-4373-9218-0A1627CB549E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3D15-4373-9218-0A1627CB549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3D15-4373-9218-0A1627CB549E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3D15-4373-9218-0A1627CB549E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3D15-4373-9218-0A1627CB549E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3D15-4373-9218-0A1627CB549E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3D15-4373-9218-0A1627CB549E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F-3D15-4373-9218-0A1627CB549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3D15-4373-9218-0A1627CB549E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3D15-4373-9218-0A1627CB549E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3D15-4373-9218-0A1627CB549E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3D15-4373-9218-0A1627CB549E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3D15-4373-9218-0A1627CB549E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3D15-4373-9218-0A1627CB549E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3D15-4373-9218-0A1627CB549E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3D15-4373-9218-0A1627CB549E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3D15-4373-9218-0A1627CB549E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3D15-4373-9218-0A1627CB549E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3D15-4373-9218-0A1627CB549E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3D15-4373-9218-0A1627CB549E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3D15-4373-9218-0A1627CB549E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3D15-4373-9218-0A1627CB549E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3D15-4373-9218-0A1627CB549E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F-3D15-4373-9218-0A1627CB549E}"/>
              </c:ext>
            </c:extLst>
          </c:dPt>
          <c:cat>
            <c:strRef>
              <c:f>'Penguk.CPMK-Smt1'!$D$66:$D$121</c:f>
              <c:strCache>
                <c:ptCount val="5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CPMK025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CPMK043</c:v>
                </c:pt>
                <c:pt idx="14">
                  <c:v>CPMK044</c:v>
                </c:pt>
                <c:pt idx="15">
                  <c:v>CPMK045</c:v>
                </c:pt>
                <c:pt idx="16">
                  <c:v>CPMK046</c:v>
                </c:pt>
                <c:pt idx="17">
                  <c:v>CPMK047</c:v>
                </c:pt>
                <c:pt idx="18">
                  <c:v>CPMK051</c:v>
                </c:pt>
                <c:pt idx="19">
                  <c:v>CPMK052</c:v>
                </c:pt>
                <c:pt idx="20">
                  <c:v>CPMK053</c:v>
                </c:pt>
                <c:pt idx="21">
                  <c:v>CPMK054</c:v>
                </c:pt>
                <c:pt idx="22">
                  <c:v>CPMK055</c:v>
                </c:pt>
                <c:pt idx="23">
                  <c:v>CPMK056</c:v>
                </c:pt>
                <c:pt idx="24">
                  <c:v>CPMK057</c:v>
                </c:pt>
                <c:pt idx="25">
                  <c:v>CPMK058</c:v>
                </c:pt>
                <c:pt idx="26">
                  <c:v>CPMK061</c:v>
                </c:pt>
                <c:pt idx="27">
                  <c:v>CPMK062</c:v>
                </c:pt>
                <c:pt idx="28">
                  <c:v>CPMK063</c:v>
                </c:pt>
                <c:pt idx="29">
                  <c:v>CPMK064</c:v>
                </c:pt>
                <c:pt idx="30">
                  <c:v>CPMK071</c:v>
                </c:pt>
                <c:pt idx="31">
                  <c:v>CPMK072</c:v>
                </c:pt>
                <c:pt idx="32">
                  <c:v>CPMK073</c:v>
                </c:pt>
                <c:pt idx="33">
                  <c:v>CPMK074</c:v>
                </c:pt>
                <c:pt idx="34">
                  <c:v>CPMK075</c:v>
                </c:pt>
                <c:pt idx="35">
                  <c:v>CPMK076</c:v>
                </c:pt>
                <c:pt idx="36">
                  <c:v>CPMK081</c:v>
                </c:pt>
                <c:pt idx="37">
                  <c:v>CPMK082</c:v>
                </c:pt>
                <c:pt idx="38">
                  <c:v>CPMK083</c:v>
                </c:pt>
                <c:pt idx="39">
                  <c:v>CPMK091</c:v>
                </c:pt>
                <c:pt idx="40">
                  <c:v>CPMK092</c:v>
                </c:pt>
                <c:pt idx="41">
                  <c:v>CPMK093</c:v>
                </c:pt>
                <c:pt idx="42">
                  <c:v>CPMK101</c:v>
                </c:pt>
                <c:pt idx="43">
                  <c:v>CPMK102</c:v>
                </c:pt>
                <c:pt idx="44">
                  <c:v>CPMK103</c:v>
                </c:pt>
                <c:pt idx="45">
                  <c:v>CPMK104</c:v>
                </c:pt>
                <c:pt idx="46">
                  <c:v>CPMK105</c:v>
                </c:pt>
                <c:pt idx="47">
                  <c:v>CPMK111</c:v>
                </c:pt>
                <c:pt idx="48">
                  <c:v>CPMK112</c:v>
                </c:pt>
                <c:pt idx="49">
                  <c:v>CPMK113</c:v>
                </c:pt>
                <c:pt idx="50">
                  <c:v>CPMK114</c:v>
                </c:pt>
                <c:pt idx="51">
                  <c:v>CPMK115</c:v>
                </c:pt>
                <c:pt idx="52">
                  <c:v>CPMK121</c:v>
                </c:pt>
                <c:pt idx="53">
                  <c:v>CPMK122</c:v>
                </c:pt>
                <c:pt idx="54">
                  <c:v>CPMK123</c:v>
                </c:pt>
                <c:pt idx="55">
                  <c:v>CPMK124</c:v>
                </c:pt>
              </c:strCache>
            </c:strRef>
          </c:cat>
          <c:val>
            <c:numRef>
              <c:f>'Penguk.CPMK-Smt1'!$K$66:$K$121</c:f>
              <c:numCache>
                <c:formatCode>0%</c:formatCode>
                <c:ptCount val="56"/>
                <c:pt idx="2">
                  <c:v>0</c:v>
                </c:pt>
                <c:pt idx="4">
                  <c:v>0.96875</c:v>
                </c:pt>
                <c:pt idx="6">
                  <c:v>0.96875</c:v>
                </c:pt>
                <c:pt idx="7">
                  <c:v>0.8125</c:v>
                </c:pt>
                <c:pt idx="8">
                  <c:v>0</c:v>
                </c:pt>
                <c:pt idx="9">
                  <c:v>0</c:v>
                </c:pt>
                <c:pt idx="11">
                  <c:v>0.84375</c:v>
                </c:pt>
                <c:pt idx="12">
                  <c:v>0.84375</c:v>
                </c:pt>
                <c:pt idx="13">
                  <c:v>0</c:v>
                </c:pt>
                <c:pt idx="14">
                  <c:v>0.96875</c:v>
                </c:pt>
                <c:pt idx="15">
                  <c:v>0</c:v>
                </c:pt>
                <c:pt idx="16">
                  <c:v>0.96875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0.96875</c:v>
                </c:pt>
                <c:pt idx="27">
                  <c:v>0.96875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0.9375</c:v>
                </c:pt>
                <c:pt idx="37">
                  <c:v>0</c:v>
                </c:pt>
                <c:pt idx="38">
                  <c:v>0</c:v>
                </c:pt>
                <c:pt idx="39">
                  <c:v>0.9375</c:v>
                </c:pt>
                <c:pt idx="40">
                  <c:v>0</c:v>
                </c:pt>
                <c:pt idx="41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0.90625</c:v>
                </c:pt>
                <c:pt idx="46">
                  <c:v>0</c:v>
                </c:pt>
                <c:pt idx="47">
                  <c:v>0.84375</c:v>
                </c:pt>
                <c:pt idx="5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B-4773-9DAD-8FB54DBA3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0784096"/>
        <c:axId val="1550780736"/>
        <c:axId val="0"/>
      </c:bar3DChart>
      <c:catAx>
        <c:axId val="15507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80736"/>
        <c:crosses val="autoZero"/>
        <c:auto val="1"/>
        <c:lblAlgn val="ctr"/>
        <c:lblOffset val="100"/>
        <c:noMultiLvlLbl val="0"/>
      </c:catAx>
      <c:valAx>
        <c:axId val="1550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Rata-rata Capaian CPMK Semester</a:t>
            </a:r>
            <a:r>
              <a:rPr lang="en-ID" baseline="0"/>
              <a:t> I Angkatan 2024</a:t>
            </a:r>
          </a:p>
          <a:p>
            <a:pPr>
              <a:defRPr/>
            </a:pP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02A-4434-B85A-B4ACA248D9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02A-4434-B85A-B4ACA248D9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902A-4434-B85A-B4ACA248D9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902A-4434-B85A-B4ACA248D9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902A-4434-B85A-B4ACA248D95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902A-4434-B85A-B4ACA248D95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902A-4434-B85A-B4ACA248D95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902A-4434-B85A-B4ACA248D95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902A-4434-B85A-B4ACA248D95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902A-4434-B85A-B4ACA248D95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902A-4434-B85A-B4ACA248D95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902A-4434-B85A-B4ACA248D9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902A-4434-B85A-B4ACA248D95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902A-4434-B85A-B4ACA248D95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902A-4434-B85A-B4ACA248D95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902A-4434-B85A-B4ACA248D95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902A-4434-B85A-B4ACA248D95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902A-4434-B85A-B4ACA248D95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902A-4434-B85A-B4ACA248D95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902A-4434-B85A-B4ACA248D95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902A-4434-B85A-B4ACA248D95E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902A-4434-B85A-B4ACA248D95E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902A-4434-B85A-B4ACA248D95E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902A-4434-B85A-B4ACA248D95E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902A-4434-B85A-B4ACA248D95E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902A-4434-B85A-B4ACA248D95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902A-4434-B85A-B4ACA248D95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902A-4434-B85A-B4ACA248D95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902A-4434-B85A-B4ACA248D9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902A-4434-B85A-B4ACA248D95E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902A-4434-B85A-B4ACA248D95E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902A-4434-B85A-B4ACA248D95E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902A-4434-B85A-B4ACA248D95E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902A-4434-B85A-B4ACA248D95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902A-4434-B85A-B4ACA248D95E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902A-4434-B85A-B4ACA248D9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'[10]Penguk.MK-CPL-I'!$BP$8:$CY$8</c:f>
              <c:strCache>
                <c:ptCount val="3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CPMK014</c:v>
                </c:pt>
                <c:pt idx="4">
                  <c:v>CPMK021</c:v>
                </c:pt>
                <c:pt idx="5">
                  <c:v>CPMK022</c:v>
                </c:pt>
                <c:pt idx="6">
                  <c:v>CPMK023</c:v>
                </c:pt>
                <c:pt idx="7">
                  <c:v>CPMK024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CPMK051</c:v>
                </c:pt>
                <c:pt idx="14">
                  <c:v>CPMK052</c:v>
                </c:pt>
                <c:pt idx="15">
                  <c:v>CPMK061</c:v>
                </c:pt>
                <c:pt idx="16">
                  <c:v>CPMK062</c:v>
                </c:pt>
                <c:pt idx="17">
                  <c:v>CPMK063</c:v>
                </c:pt>
                <c:pt idx="18">
                  <c:v>CPMK064</c:v>
                </c:pt>
                <c:pt idx="19">
                  <c:v>CPMK071</c:v>
                </c:pt>
                <c:pt idx="20">
                  <c:v>CPMK072</c:v>
                </c:pt>
                <c:pt idx="21">
                  <c:v>CPMK073</c:v>
                </c:pt>
                <c:pt idx="22">
                  <c:v>CPMK081</c:v>
                </c:pt>
                <c:pt idx="23">
                  <c:v>CPMK082</c:v>
                </c:pt>
                <c:pt idx="24">
                  <c:v>CPMK091</c:v>
                </c:pt>
                <c:pt idx="25">
                  <c:v>CPMK092</c:v>
                </c:pt>
                <c:pt idx="26">
                  <c:v>CPMK101</c:v>
                </c:pt>
                <c:pt idx="27">
                  <c:v>CPMK102</c:v>
                </c:pt>
                <c:pt idx="28">
                  <c:v>CPMK111</c:v>
                </c:pt>
                <c:pt idx="29">
                  <c:v>CPMK112</c:v>
                </c:pt>
                <c:pt idx="30">
                  <c:v>CPMK121</c:v>
                </c:pt>
                <c:pt idx="31">
                  <c:v>CPMK122</c:v>
                </c:pt>
                <c:pt idx="32">
                  <c:v>CPMK131</c:v>
                </c:pt>
                <c:pt idx="33">
                  <c:v>CPMK132</c:v>
                </c:pt>
                <c:pt idx="34">
                  <c:v>CPMK141</c:v>
                </c:pt>
                <c:pt idx="35">
                  <c:v>CPMK142</c:v>
                </c:pt>
              </c:strCache>
            </c:strRef>
          </c:cat>
          <c:val>
            <c:numRef>
              <c:f>'[10]Penguk.MK-CPL-I'!$BP$42:$CY$42</c:f>
              <c:numCache>
                <c:formatCode>General</c:formatCode>
                <c:ptCount val="36"/>
                <c:pt idx="0">
                  <c:v>0.79069444444444437</c:v>
                </c:pt>
                <c:pt idx="1">
                  <c:v>0.8412777777777779</c:v>
                </c:pt>
                <c:pt idx="2">
                  <c:v>0.80412777777777777</c:v>
                </c:pt>
                <c:pt idx="3">
                  <c:v>0.87131111111111104</c:v>
                </c:pt>
                <c:pt idx="4">
                  <c:v>0.73652777777777789</c:v>
                </c:pt>
                <c:pt idx="9">
                  <c:v>0.74609375</c:v>
                </c:pt>
                <c:pt idx="10">
                  <c:v>0.7853</c:v>
                </c:pt>
                <c:pt idx="11">
                  <c:v>0.79738888888888881</c:v>
                </c:pt>
                <c:pt idx="24">
                  <c:v>0.74599411764705903</c:v>
                </c:pt>
                <c:pt idx="25">
                  <c:v>0.80529375000000003</c:v>
                </c:pt>
                <c:pt idx="26">
                  <c:v>0.80584117647058806</c:v>
                </c:pt>
                <c:pt idx="30">
                  <c:v>0.7767187499999999</c:v>
                </c:pt>
                <c:pt idx="31">
                  <c:v>0.77671875000000001</c:v>
                </c:pt>
                <c:pt idx="32">
                  <c:v>0.89290244565217392</c:v>
                </c:pt>
                <c:pt idx="34">
                  <c:v>0.760625</c:v>
                </c:pt>
                <c:pt idx="35">
                  <c:v>0.76062500000000011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02A-4434-B85A-B4ACA248D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8791712"/>
        <c:axId val="1558792192"/>
        <c:axId val="0"/>
      </c:bar3DChart>
      <c:catAx>
        <c:axId val="15587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92192"/>
        <c:crosses val="autoZero"/>
        <c:auto val="1"/>
        <c:lblAlgn val="ctr"/>
        <c:lblOffset val="100"/>
        <c:noMultiLvlLbl val="0"/>
      </c:catAx>
      <c:valAx>
        <c:axId val="155879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9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Tingkat Ketercapaian CPL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'Penguk.CPL-Smt1'!$J$60</c:f>
              <c:strCache>
                <c:ptCount val="1"/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2A9-414F-9F14-B1F1266FB35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2A9-414F-9F14-B1F1266FB35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2A9-414F-9F14-B1F1266FB35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D2A9-414F-9F14-B1F1266FB35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D2A9-414F-9F14-B1F1266FB35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D2A9-414F-9F14-B1F1266FB35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D2A9-414F-9F14-B1F1266FB3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D2A9-414F-9F14-B1F1266FB35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D2A9-414F-9F14-B1F1266FB35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D2A9-414F-9F14-B1F1266FB35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D2A9-414F-9F14-B1F1266FB355}"/>
              </c:ext>
            </c:extLst>
          </c:dPt>
          <c:cat>
            <c:strRef>
              <c:f>'Penguk.CPL-Smt1'!$C$61:$C$71</c:f>
              <c:strCache>
                <c:ptCount val="11"/>
                <c:pt idx="0">
                  <c:v>CPL02</c:v>
                </c:pt>
                <c:pt idx="1">
                  <c:v>CPL03</c:v>
                </c:pt>
                <c:pt idx="2">
                  <c:v>CPL04</c:v>
                </c:pt>
                <c:pt idx="3">
                  <c:v>CPL05</c:v>
                </c:pt>
                <c:pt idx="4">
                  <c:v>CPL06</c:v>
                </c:pt>
                <c:pt idx="5">
                  <c:v>CPL07</c:v>
                </c:pt>
                <c:pt idx="6">
                  <c:v>CPL08</c:v>
                </c:pt>
                <c:pt idx="7">
                  <c:v>CPL09</c:v>
                </c:pt>
                <c:pt idx="8">
                  <c:v>CPL10</c:v>
                </c:pt>
                <c:pt idx="9">
                  <c:v>CPL11</c:v>
                </c:pt>
                <c:pt idx="10">
                  <c:v>CPL12</c:v>
                </c:pt>
              </c:strCache>
            </c:strRef>
          </c:cat>
          <c:val>
            <c:numRef>
              <c:f>'Penguk.CPL-Smt1'!$J$61:$J$71</c:f>
              <c:numCache>
                <c:formatCode>0%</c:formatCode>
                <c:ptCount val="11"/>
                <c:pt idx="0">
                  <c:v>0.8125</c:v>
                </c:pt>
                <c:pt idx="1">
                  <c:v>0</c:v>
                </c:pt>
                <c:pt idx="2">
                  <c:v>0.96875</c:v>
                </c:pt>
                <c:pt idx="3">
                  <c:v>0</c:v>
                </c:pt>
                <c:pt idx="4">
                  <c:v>0.96875</c:v>
                </c:pt>
                <c:pt idx="5">
                  <c:v>0</c:v>
                </c:pt>
                <c:pt idx="6">
                  <c:v>0.9375</c:v>
                </c:pt>
                <c:pt idx="7">
                  <c:v>0.8125</c:v>
                </c:pt>
                <c:pt idx="8">
                  <c:v>0.9375</c:v>
                </c:pt>
                <c:pt idx="9">
                  <c:v>0</c:v>
                </c:pt>
                <c:pt idx="10">
                  <c:v>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E-4AA2-ADC1-E73524D2A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7383184"/>
        <c:axId val="1627383664"/>
        <c:axId val="0"/>
      </c:bar3DChart>
      <c:catAx>
        <c:axId val="16273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3664"/>
        <c:crosses val="autoZero"/>
        <c:auto val="1"/>
        <c:lblAlgn val="ctr"/>
        <c:lblOffset val="100"/>
        <c:noMultiLvlLbl val="0"/>
      </c:catAx>
      <c:valAx>
        <c:axId val="16273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Persentase Tingkat Ketercapaian CPL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'Penguk.CPL-Smt1'!$J$60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'Penguk.CPL-Smt1'!$C$61:$C$71</c:f>
              <c:strCache>
                <c:ptCount val="11"/>
                <c:pt idx="0">
                  <c:v>CPL02</c:v>
                </c:pt>
                <c:pt idx="1">
                  <c:v>CPL03</c:v>
                </c:pt>
                <c:pt idx="2">
                  <c:v>CPL04</c:v>
                </c:pt>
                <c:pt idx="3">
                  <c:v>CPL05</c:v>
                </c:pt>
                <c:pt idx="4">
                  <c:v>CPL06</c:v>
                </c:pt>
                <c:pt idx="5">
                  <c:v>CPL07</c:v>
                </c:pt>
                <c:pt idx="6">
                  <c:v>CPL08</c:v>
                </c:pt>
                <c:pt idx="7">
                  <c:v>CPL09</c:v>
                </c:pt>
                <c:pt idx="8">
                  <c:v>CPL10</c:v>
                </c:pt>
                <c:pt idx="9">
                  <c:v>CPL11</c:v>
                </c:pt>
                <c:pt idx="10">
                  <c:v>CPL12</c:v>
                </c:pt>
              </c:strCache>
            </c:strRef>
          </c:cat>
          <c:val>
            <c:numRef>
              <c:f>'Penguk.CPL-Smt1'!$J$61:$J$71</c:f>
              <c:numCache>
                <c:formatCode>0%</c:formatCode>
                <c:ptCount val="11"/>
                <c:pt idx="0">
                  <c:v>0.8125</c:v>
                </c:pt>
                <c:pt idx="1">
                  <c:v>0</c:v>
                </c:pt>
                <c:pt idx="2">
                  <c:v>0.96875</c:v>
                </c:pt>
                <c:pt idx="3">
                  <c:v>0</c:v>
                </c:pt>
                <c:pt idx="4">
                  <c:v>0.96875</c:v>
                </c:pt>
                <c:pt idx="5">
                  <c:v>0</c:v>
                </c:pt>
                <c:pt idx="6">
                  <c:v>0.9375</c:v>
                </c:pt>
                <c:pt idx="7">
                  <c:v>0.8125</c:v>
                </c:pt>
                <c:pt idx="8">
                  <c:v>0.9375</c:v>
                </c:pt>
                <c:pt idx="9">
                  <c:v>0</c:v>
                </c:pt>
                <c:pt idx="10">
                  <c:v>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7-48CB-8DE0-49E47E365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79344"/>
        <c:axId val="1627384144"/>
      </c:radarChart>
      <c:catAx>
        <c:axId val="162737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4144"/>
        <c:crosses val="autoZero"/>
        <c:auto val="1"/>
        <c:lblAlgn val="ctr"/>
        <c:lblOffset val="100"/>
        <c:noMultiLvlLbl val="0"/>
      </c:catAx>
      <c:valAx>
        <c:axId val="16273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Tingkat Rata-rata</a:t>
            </a:r>
            <a:r>
              <a:rPr lang="en-ID" baseline="0"/>
              <a:t> Ketercapaian CPL Program Studi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'Penguk.CPL-Smt1'!$F$60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'Penguk.CPL-Smt1'!$C$61:$C$71</c:f>
              <c:strCache>
                <c:ptCount val="11"/>
                <c:pt idx="0">
                  <c:v>CPL02</c:v>
                </c:pt>
                <c:pt idx="1">
                  <c:v>CPL03</c:v>
                </c:pt>
                <c:pt idx="2">
                  <c:v>CPL04</c:v>
                </c:pt>
                <c:pt idx="3">
                  <c:v>CPL05</c:v>
                </c:pt>
                <c:pt idx="4">
                  <c:v>CPL06</c:v>
                </c:pt>
                <c:pt idx="5">
                  <c:v>CPL07</c:v>
                </c:pt>
                <c:pt idx="6">
                  <c:v>CPL08</c:v>
                </c:pt>
                <c:pt idx="7">
                  <c:v>CPL09</c:v>
                </c:pt>
                <c:pt idx="8">
                  <c:v>CPL10</c:v>
                </c:pt>
                <c:pt idx="9">
                  <c:v>CPL11</c:v>
                </c:pt>
                <c:pt idx="10">
                  <c:v>CPL12</c:v>
                </c:pt>
              </c:strCache>
            </c:strRef>
          </c:cat>
          <c:val>
            <c:numRef>
              <c:f>'Penguk.CPL-Smt1'!$F$61:$F$71</c:f>
              <c:numCache>
                <c:formatCode>0%</c:formatCode>
                <c:ptCount val="11"/>
                <c:pt idx="0">
                  <c:v>0.73992140625000002</c:v>
                </c:pt>
                <c:pt idx="1">
                  <c:v>0</c:v>
                </c:pt>
                <c:pt idx="2">
                  <c:v>0.79033593750000009</c:v>
                </c:pt>
                <c:pt idx="4">
                  <c:v>0.77135937500000007</c:v>
                </c:pt>
                <c:pt idx="5">
                  <c:v>0</c:v>
                </c:pt>
                <c:pt idx="6">
                  <c:v>0.80241249999999975</c:v>
                </c:pt>
                <c:pt idx="7">
                  <c:v>0.76602812500000017</c:v>
                </c:pt>
                <c:pt idx="8">
                  <c:v>0.7253562499999997</c:v>
                </c:pt>
                <c:pt idx="9">
                  <c:v>0.72658616071428561</c:v>
                </c:pt>
                <c:pt idx="10">
                  <c:v>0.772578125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8-4A2E-A6A3-62308BCE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81744"/>
        <c:axId val="1627382704"/>
      </c:radarChart>
      <c:catAx>
        <c:axId val="162738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2704"/>
        <c:crosses val="autoZero"/>
        <c:auto val="1"/>
        <c:lblAlgn val="ctr"/>
        <c:lblOffset val="100"/>
        <c:noMultiLvlLbl val="0"/>
      </c:catAx>
      <c:valAx>
        <c:axId val="16273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Tingkat Rata-Rata Ketercapaian CPL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'Penguk.CPL-Smt1'!$F$60</c:f>
              <c:strCache>
                <c:ptCount val="1"/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D91-4F72-9AB2-04C8D748BC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790-4BEB-A28D-9D52E0B7707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790-4BEB-A28D-9D52E0B7707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A790-4BEB-A28D-9D52E0B7707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A790-4BEB-A28D-9D52E0B7707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A790-4BEB-A28D-9D52E0B7707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A790-4BEB-A28D-9D52E0B7707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A790-4BEB-A28D-9D52E0B7707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A790-4BEB-A28D-9D52E0B7707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A790-4BEB-A28D-9D52E0B7707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A790-4BEB-A28D-9D52E0B7707F}"/>
              </c:ext>
            </c:extLst>
          </c:dPt>
          <c:cat>
            <c:strRef>
              <c:f>'Penguk.CPL-Smt1'!$C$61:$C$71</c:f>
              <c:strCache>
                <c:ptCount val="11"/>
                <c:pt idx="0">
                  <c:v>CPL02</c:v>
                </c:pt>
                <c:pt idx="1">
                  <c:v>CPL03</c:v>
                </c:pt>
                <c:pt idx="2">
                  <c:v>CPL04</c:v>
                </c:pt>
                <c:pt idx="3">
                  <c:v>CPL05</c:v>
                </c:pt>
                <c:pt idx="4">
                  <c:v>CPL06</c:v>
                </c:pt>
                <c:pt idx="5">
                  <c:v>CPL07</c:v>
                </c:pt>
                <c:pt idx="6">
                  <c:v>CPL08</c:v>
                </c:pt>
                <c:pt idx="7">
                  <c:v>CPL09</c:v>
                </c:pt>
                <c:pt idx="8">
                  <c:v>CPL10</c:v>
                </c:pt>
                <c:pt idx="9">
                  <c:v>CPL11</c:v>
                </c:pt>
                <c:pt idx="10">
                  <c:v>CPL12</c:v>
                </c:pt>
              </c:strCache>
            </c:strRef>
          </c:cat>
          <c:val>
            <c:numRef>
              <c:f>'Penguk.CPL-Smt1'!$F$61:$F$71</c:f>
              <c:numCache>
                <c:formatCode>0%</c:formatCode>
                <c:ptCount val="11"/>
                <c:pt idx="0">
                  <c:v>0.73992140625000002</c:v>
                </c:pt>
                <c:pt idx="1">
                  <c:v>0</c:v>
                </c:pt>
                <c:pt idx="2">
                  <c:v>0.79033593750000009</c:v>
                </c:pt>
                <c:pt idx="4">
                  <c:v>0.77135937500000007</c:v>
                </c:pt>
                <c:pt idx="5">
                  <c:v>0</c:v>
                </c:pt>
                <c:pt idx="6">
                  <c:v>0.80241249999999975</c:v>
                </c:pt>
                <c:pt idx="7">
                  <c:v>0.76602812500000017</c:v>
                </c:pt>
                <c:pt idx="8">
                  <c:v>0.7253562499999997</c:v>
                </c:pt>
                <c:pt idx="9">
                  <c:v>0.72658616071428561</c:v>
                </c:pt>
                <c:pt idx="10">
                  <c:v>0.772578125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9-41BE-B8D9-FB57B18BD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5712816"/>
        <c:axId val="1425718576"/>
        <c:axId val="0"/>
      </c:bar3DChart>
      <c:catAx>
        <c:axId val="14257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18576"/>
        <c:crosses val="autoZero"/>
        <c:auto val="1"/>
        <c:lblAlgn val="ctr"/>
        <c:lblOffset val="100"/>
        <c:noMultiLvlLbl val="0"/>
      </c:catAx>
      <c:valAx>
        <c:axId val="14257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1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60</xdr:row>
      <xdr:rowOff>171450</xdr:rowOff>
    </xdr:from>
    <xdr:to>
      <xdr:col>13</xdr:col>
      <xdr:colOff>187325</xdr:colOff>
      <xdr:row>61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C5D9D-70B4-41EA-8F20-C7A00820C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77438</xdr:colOff>
      <xdr:row>64</xdr:row>
      <xdr:rowOff>5009</xdr:rowOff>
    </xdr:from>
    <xdr:to>
      <xdr:col>19</xdr:col>
      <xdr:colOff>425450</xdr:colOff>
      <xdr:row>95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61436-E13B-9ED0-D030-CEF2C61F8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85127</xdr:colOff>
      <xdr:row>97</xdr:row>
      <xdr:rowOff>102611</xdr:rowOff>
    </xdr:from>
    <xdr:to>
      <xdr:col>19</xdr:col>
      <xdr:colOff>389927</xdr:colOff>
      <xdr:row>121</xdr:row>
      <xdr:rowOff>92029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FF0999-9E56-5709-43CF-8DDDBD95F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783167</xdr:colOff>
      <xdr:row>63</xdr:row>
      <xdr:rowOff>173307</xdr:rowOff>
    </xdr:from>
    <xdr:to>
      <xdr:col>25</xdr:col>
      <xdr:colOff>751418</xdr:colOff>
      <xdr:row>95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0648D2-48F6-6C7B-862C-F20808ABA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761629</xdr:colOff>
      <xdr:row>97</xdr:row>
      <xdr:rowOff>59263</xdr:rowOff>
    </xdr:from>
    <xdr:to>
      <xdr:col>25</xdr:col>
      <xdr:colOff>773246</xdr:colOff>
      <xdr:row>121</xdr:row>
      <xdr:rowOff>49609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AE7CE2-B653-E2FD-AE62-542338C4C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599279</xdr:colOff>
      <xdr:row>56</xdr:row>
      <xdr:rowOff>21431</xdr:rowOff>
    </xdr:from>
    <xdr:to>
      <xdr:col>73</xdr:col>
      <xdr:colOff>174625</xdr:colOff>
      <xdr:row>71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D324E4-F6F8-4416-8345-56C6AD138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868890</xdr:colOff>
      <xdr:row>57</xdr:row>
      <xdr:rowOff>156634</xdr:rowOff>
    </xdr:from>
    <xdr:to>
      <xdr:col>25</xdr:col>
      <xdr:colOff>514350</xdr:colOff>
      <xdr:row>75</xdr:row>
      <xdr:rowOff>99484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3FA87-2255-C0C0-637C-D7CC8FC7C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98425</xdr:colOff>
      <xdr:row>57</xdr:row>
      <xdr:rowOff>141817</xdr:rowOff>
    </xdr:from>
    <xdr:to>
      <xdr:col>19</xdr:col>
      <xdr:colOff>781049</xdr:colOff>
      <xdr:row>75</xdr:row>
      <xdr:rowOff>122767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62EF6D-69CE-CE0B-6D08-FA298E875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45508</xdr:colOff>
      <xdr:row>76</xdr:row>
      <xdr:rowOff>67733</xdr:rowOff>
    </xdr:from>
    <xdr:to>
      <xdr:col>19</xdr:col>
      <xdr:colOff>819149</xdr:colOff>
      <xdr:row>93</xdr:row>
      <xdr:rowOff>40217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95E042-B38D-F34C-28D1-7ABE23085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877358</xdr:colOff>
      <xdr:row>76</xdr:row>
      <xdr:rowOff>40216</xdr:rowOff>
    </xdr:from>
    <xdr:to>
      <xdr:col>25</xdr:col>
      <xdr:colOff>539750</xdr:colOff>
      <xdr:row>93</xdr:row>
      <xdr:rowOff>27516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A95414-A51B-7F9C-BEE5-9F2230458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Teori%20Manajemen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Teori%20Organisasi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PSTI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LOGIKA%20DAN%20ALGORITMA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BAHASA%20PEMROGRAMAN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MANAJEMEN%20BASIS%20DATA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BAHASA%20INGGRIS%20DASAR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AGAMA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KEWARGANEGARAAN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Capaian_CPL/Pengukuran_Ketercapaian_CPL_Seluruh_Matakuliah_Dalam_Satu_Semester(Template&amp;Contoh%20SI%20Semester%20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ngkatan2024"/>
      <sheetName val="Penguk.MK-CPL-I"/>
      <sheetName val="Sheet2"/>
      <sheetName val="Pengukuran.MK-CPL-II"/>
      <sheetName val="Pengukuran.MK-CPL-I+II"/>
      <sheetName val="Sheet1"/>
    </sheetNames>
    <sheetDataSet>
      <sheetData sheetId="0"/>
      <sheetData sheetId="1">
        <row r="8">
          <cell r="BP8" t="str">
            <v>CPMK011</v>
          </cell>
          <cell r="BQ8" t="str">
            <v>CPMK012</v>
          </cell>
          <cell r="BR8" t="str">
            <v>CPMK013</v>
          </cell>
          <cell r="BS8" t="str">
            <v>CPMK014</v>
          </cell>
          <cell r="BT8" t="str">
            <v>CPMK021</v>
          </cell>
          <cell r="BU8" t="str">
            <v>CPMK022</v>
          </cell>
          <cell r="BV8" t="str">
            <v>CPMK023</v>
          </cell>
          <cell r="BW8" t="str">
            <v>CPMK024</v>
          </cell>
          <cell r="BX8" t="str">
            <v>CPMK031</v>
          </cell>
          <cell r="BY8" t="str">
            <v>CPMK032</v>
          </cell>
          <cell r="BZ8" t="str">
            <v>CPMK033</v>
          </cell>
          <cell r="CA8" t="str">
            <v>CPMK041</v>
          </cell>
          <cell r="CB8" t="str">
            <v>CPMK042</v>
          </cell>
          <cell r="CC8" t="str">
            <v>CPMK051</v>
          </cell>
          <cell r="CD8" t="str">
            <v>CPMK052</v>
          </cell>
          <cell r="CE8" t="str">
            <v>CPMK061</v>
          </cell>
          <cell r="CF8" t="str">
            <v>CPMK062</v>
          </cell>
          <cell r="CG8" t="str">
            <v>CPMK063</v>
          </cell>
          <cell r="CH8" t="str">
            <v>CPMK064</v>
          </cell>
          <cell r="CI8" t="str">
            <v>CPMK071</v>
          </cell>
          <cell r="CJ8" t="str">
            <v>CPMK072</v>
          </cell>
          <cell r="CK8" t="str">
            <v>CPMK073</v>
          </cell>
          <cell r="CL8" t="str">
            <v>CPMK081</v>
          </cell>
          <cell r="CM8" t="str">
            <v>CPMK082</v>
          </cell>
          <cell r="CN8" t="str">
            <v>CPMK091</v>
          </cell>
          <cell r="CO8" t="str">
            <v>CPMK092</v>
          </cell>
          <cell r="CP8" t="str">
            <v>CPMK101</v>
          </cell>
          <cell r="CQ8" t="str">
            <v>CPMK102</v>
          </cell>
          <cell r="CR8" t="str">
            <v>CPMK111</v>
          </cell>
          <cell r="CS8" t="str">
            <v>CPMK112</v>
          </cell>
          <cell r="CT8" t="str">
            <v>CPMK121</v>
          </cell>
          <cell r="CU8" t="str">
            <v>CPMK122</v>
          </cell>
          <cell r="CV8" t="str">
            <v>CPMK131</v>
          </cell>
          <cell r="CW8" t="str">
            <v>CPMK132</v>
          </cell>
          <cell r="CX8" t="str">
            <v>CPMK141</v>
          </cell>
          <cell r="CY8" t="str">
            <v>CPMK142</v>
          </cell>
        </row>
        <row r="42">
          <cell r="BP42">
            <v>0.79069444444444437</v>
          </cell>
          <cell r="BQ42">
            <v>0.8412777777777779</v>
          </cell>
          <cell r="BR42">
            <v>0.80412777777777777</v>
          </cell>
          <cell r="BS42">
            <v>0.87131111111111104</v>
          </cell>
          <cell r="BT42">
            <v>0.73652777777777789</v>
          </cell>
          <cell r="BU42"/>
          <cell r="BV42"/>
          <cell r="BW42"/>
          <cell r="BX42"/>
          <cell r="BY42">
            <v>0.74609375</v>
          </cell>
          <cell r="BZ42">
            <v>0.7853</v>
          </cell>
          <cell r="CA42">
            <v>0.79738888888888881</v>
          </cell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  <cell r="CL42"/>
          <cell r="CM42"/>
          <cell r="CN42">
            <v>0.74599411764705903</v>
          </cell>
          <cell r="CO42">
            <v>0.80529375000000003</v>
          </cell>
          <cell r="CP42">
            <v>0.80584117647058806</v>
          </cell>
          <cell r="CQ42"/>
          <cell r="CR42"/>
          <cell r="CS42"/>
          <cell r="CT42">
            <v>0.7767187499999999</v>
          </cell>
          <cell r="CU42">
            <v>0.77671875000000001</v>
          </cell>
          <cell r="CV42">
            <v>0.89290244565217392</v>
          </cell>
          <cell r="CW42"/>
          <cell r="CX42">
            <v>0.760625</v>
          </cell>
          <cell r="CY42">
            <v>0.76062500000000011</v>
          </cell>
        </row>
        <row r="44">
          <cell r="C44" t="str">
            <v>CPL01</v>
          </cell>
          <cell r="F44">
            <v>0.8274545219638243</v>
          </cell>
        </row>
        <row r="45">
          <cell r="C45" t="str">
            <v>CPL02</v>
          </cell>
          <cell r="F45">
            <v>0.77250000000000019</v>
          </cell>
        </row>
        <row r="46">
          <cell r="C46" t="str">
            <v>CPL03</v>
          </cell>
          <cell r="F46">
            <v>0.7645264705882352</v>
          </cell>
        </row>
        <row r="47">
          <cell r="C47" t="str">
            <v>CPL04</v>
          </cell>
          <cell r="F47">
            <v>0.79136842105263161</v>
          </cell>
        </row>
        <row r="48">
          <cell r="C48" t="str">
            <v>CPL05</v>
          </cell>
          <cell r="F48">
            <v>0</v>
          </cell>
        </row>
        <row r="49">
          <cell r="C49" t="str">
            <v>CPL06</v>
          </cell>
          <cell r="F49">
            <v>0</v>
          </cell>
        </row>
        <row r="50">
          <cell r="C50" t="str">
            <v>CPL07</v>
          </cell>
          <cell r="F50">
            <v>0</v>
          </cell>
        </row>
        <row r="51">
          <cell r="C51" t="str">
            <v>CPL08</v>
          </cell>
          <cell r="F51">
            <v>0</v>
          </cell>
        </row>
        <row r="52">
          <cell r="C52" t="str">
            <v>CPL09</v>
          </cell>
          <cell r="F52">
            <v>0.75394705882352941</v>
          </cell>
        </row>
        <row r="53">
          <cell r="C53" t="str">
            <v>CPL10</v>
          </cell>
          <cell r="F53">
            <v>0.80412777777777755</v>
          </cell>
        </row>
        <row r="54">
          <cell r="C54" t="str">
            <v>CPL11</v>
          </cell>
          <cell r="F54">
            <v>0</v>
          </cell>
        </row>
        <row r="55">
          <cell r="C55" t="str">
            <v>CPL12</v>
          </cell>
          <cell r="F55">
            <v>0.73652777777777778</v>
          </cell>
        </row>
        <row r="56">
          <cell r="C56" t="str">
            <v>CPL13</v>
          </cell>
          <cell r="F56">
            <v>0.87748405797101459</v>
          </cell>
        </row>
        <row r="57">
          <cell r="C57" t="str">
            <v>CPL14</v>
          </cell>
          <cell r="F57">
            <v>0.71722222222222209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198A-8F73-4456-92CB-F1D59CC534B4}">
  <dimension ref="A1:C37"/>
  <sheetViews>
    <sheetView topLeftCell="A16" workbookViewId="0">
      <selection activeCell="C39" sqref="C39"/>
    </sheetView>
  </sheetViews>
  <sheetFormatPr defaultRowHeight="14"/>
  <cols>
    <col min="1" max="1" width="3.08203125" bestFit="1" customWidth="1"/>
    <col min="2" max="2" width="12.4140625" bestFit="1" customWidth="1"/>
    <col min="3" max="3" width="37.8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96">
        <v>1</v>
      </c>
      <c r="B2" s="4" t="s">
        <v>183</v>
      </c>
      <c r="C2" s="4" t="s">
        <v>184</v>
      </c>
    </row>
    <row r="3" spans="1:3">
      <c r="A3" s="96">
        <v>2</v>
      </c>
      <c r="B3" s="4" t="s">
        <v>185</v>
      </c>
      <c r="C3" s="4" t="s">
        <v>186</v>
      </c>
    </row>
    <row r="4" spans="1:3">
      <c r="A4" s="96">
        <v>3</v>
      </c>
      <c r="B4" s="4" t="s">
        <v>187</v>
      </c>
      <c r="C4" s="4" t="s">
        <v>188</v>
      </c>
    </row>
    <row r="5" spans="1:3">
      <c r="A5" s="96">
        <v>4</v>
      </c>
      <c r="B5" s="4" t="s">
        <v>189</v>
      </c>
      <c r="C5" s="4" t="s">
        <v>190</v>
      </c>
    </row>
    <row r="6" spans="1:3">
      <c r="A6" s="96">
        <v>5</v>
      </c>
      <c r="B6" s="4" t="s">
        <v>191</v>
      </c>
      <c r="C6" s="4" t="s">
        <v>192</v>
      </c>
    </row>
    <row r="7" spans="1:3">
      <c r="A7" s="96">
        <v>6</v>
      </c>
      <c r="B7" s="4" t="s">
        <v>193</v>
      </c>
      <c r="C7" s="4" t="s">
        <v>194</v>
      </c>
    </row>
    <row r="8" spans="1:3">
      <c r="A8" s="96">
        <v>7</v>
      </c>
      <c r="B8" s="4" t="s">
        <v>195</v>
      </c>
      <c r="C8" s="4" t="s">
        <v>196</v>
      </c>
    </row>
    <row r="9" spans="1:3">
      <c r="A9" s="96">
        <v>8</v>
      </c>
      <c r="B9" s="4" t="s">
        <v>197</v>
      </c>
      <c r="C9" s="4" t="s">
        <v>198</v>
      </c>
    </row>
    <row r="10" spans="1:3">
      <c r="A10" s="96">
        <v>9</v>
      </c>
      <c r="B10" s="4" t="s">
        <v>199</v>
      </c>
      <c r="C10" s="4" t="s">
        <v>200</v>
      </c>
    </row>
    <row r="11" spans="1:3">
      <c r="A11" s="96">
        <v>10</v>
      </c>
      <c r="B11" s="4" t="s">
        <v>201</v>
      </c>
      <c r="C11" s="4" t="s">
        <v>202</v>
      </c>
    </row>
    <row r="12" spans="1:3">
      <c r="A12" s="96">
        <v>11</v>
      </c>
      <c r="B12" s="4" t="s">
        <v>251</v>
      </c>
      <c r="C12" s="4" t="s">
        <v>252</v>
      </c>
    </row>
    <row r="13" spans="1:3">
      <c r="A13" s="96">
        <v>12</v>
      </c>
      <c r="B13" s="4" t="s">
        <v>203</v>
      </c>
      <c r="C13" s="4" t="s">
        <v>204</v>
      </c>
    </row>
    <row r="14" spans="1:3">
      <c r="A14" s="96">
        <v>13</v>
      </c>
      <c r="B14" s="4" t="s">
        <v>205</v>
      </c>
      <c r="C14" s="4" t="s">
        <v>206</v>
      </c>
    </row>
    <row r="15" spans="1:3">
      <c r="A15" s="96">
        <v>14</v>
      </c>
      <c r="B15" s="4" t="s">
        <v>207</v>
      </c>
      <c r="C15" s="4" t="s">
        <v>208</v>
      </c>
    </row>
    <row r="16" spans="1:3">
      <c r="A16" s="96">
        <v>15</v>
      </c>
      <c r="B16" s="4" t="s">
        <v>209</v>
      </c>
      <c r="C16" s="4" t="s">
        <v>210</v>
      </c>
    </row>
    <row r="17" spans="1:3">
      <c r="A17" s="96">
        <v>16</v>
      </c>
      <c r="B17" s="4" t="s">
        <v>211</v>
      </c>
      <c r="C17" s="4" t="s">
        <v>212</v>
      </c>
    </row>
    <row r="18" spans="1:3">
      <c r="A18" s="96">
        <v>17</v>
      </c>
      <c r="B18" s="4" t="s">
        <v>213</v>
      </c>
      <c r="C18" s="4" t="s">
        <v>214</v>
      </c>
    </row>
    <row r="19" spans="1:3">
      <c r="A19" s="96">
        <v>18</v>
      </c>
      <c r="B19" s="4" t="s">
        <v>215</v>
      </c>
      <c r="C19" s="4" t="s">
        <v>216</v>
      </c>
    </row>
    <row r="20" spans="1:3">
      <c r="A20" s="96">
        <v>19</v>
      </c>
      <c r="B20" s="4" t="s">
        <v>217</v>
      </c>
      <c r="C20" s="4" t="s">
        <v>218</v>
      </c>
    </row>
    <row r="21" spans="1:3">
      <c r="A21" s="96">
        <v>20</v>
      </c>
      <c r="B21" s="4" t="s">
        <v>219</v>
      </c>
      <c r="C21" s="4" t="s">
        <v>220</v>
      </c>
    </row>
    <row r="22" spans="1:3">
      <c r="A22" s="96">
        <v>21</v>
      </c>
      <c r="B22" s="4" t="s">
        <v>221</v>
      </c>
      <c r="C22" s="4" t="s">
        <v>222</v>
      </c>
    </row>
    <row r="23" spans="1:3">
      <c r="A23" s="96">
        <v>22</v>
      </c>
      <c r="B23" s="4" t="s">
        <v>223</v>
      </c>
      <c r="C23" s="4" t="s">
        <v>224</v>
      </c>
    </row>
    <row r="24" spans="1:3">
      <c r="A24" s="96">
        <v>23</v>
      </c>
      <c r="B24" s="4" t="s">
        <v>225</v>
      </c>
      <c r="C24" s="4" t="s">
        <v>226</v>
      </c>
    </row>
    <row r="25" spans="1:3">
      <c r="A25" s="177">
        <v>24</v>
      </c>
      <c r="B25" s="4" t="s">
        <v>282</v>
      </c>
      <c r="C25" s="4" t="s">
        <v>283</v>
      </c>
    </row>
    <row r="26" spans="1:3">
      <c r="A26" s="177">
        <v>25</v>
      </c>
      <c r="B26" s="4" t="s">
        <v>284</v>
      </c>
      <c r="C26" s="4" t="s">
        <v>285</v>
      </c>
    </row>
    <row r="27" spans="1:3">
      <c r="A27" s="177">
        <v>26</v>
      </c>
      <c r="B27" s="4" t="s">
        <v>227</v>
      </c>
      <c r="C27" s="4" t="s">
        <v>228</v>
      </c>
    </row>
    <row r="28" spans="1:3">
      <c r="A28" s="177">
        <v>27</v>
      </c>
      <c r="B28" s="4" t="s">
        <v>229</v>
      </c>
      <c r="C28" s="4" t="s">
        <v>230</v>
      </c>
    </row>
    <row r="29" spans="1:3">
      <c r="A29" s="177">
        <v>28</v>
      </c>
      <c r="B29" s="4" t="s">
        <v>231</v>
      </c>
      <c r="C29" s="4" t="s">
        <v>232</v>
      </c>
    </row>
    <row r="30" spans="1:3">
      <c r="A30" s="177">
        <v>29</v>
      </c>
      <c r="B30" s="4" t="s">
        <v>233</v>
      </c>
      <c r="C30" s="4" t="s">
        <v>234</v>
      </c>
    </row>
    <row r="31" spans="1:3">
      <c r="A31" s="177">
        <v>30</v>
      </c>
      <c r="B31" s="4" t="s">
        <v>235</v>
      </c>
      <c r="C31" s="4" t="s">
        <v>236</v>
      </c>
    </row>
    <row r="32" spans="1:3">
      <c r="A32" s="177">
        <v>31</v>
      </c>
      <c r="B32" s="4" t="s">
        <v>237</v>
      </c>
      <c r="C32" s="4" t="s">
        <v>238</v>
      </c>
    </row>
    <row r="33" spans="1:3">
      <c r="A33" s="177">
        <v>32</v>
      </c>
      <c r="B33" s="4" t="s">
        <v>239</v>
      </c>
      <c r="C33" s="4" t="s">
        <v>240</v>
      </c>
    </row>
    <row r="34" spans="1:3">
      <c r="A34" s="177">
        <v>33</v>
      </c>
      <c r="B34" s="4" t="s">
        <v>241</v>
      </c>
      <c r="C34" s="4" t="s">
        <v>242</v>
      </c>
    </row>
    <row r="35" spans="1:3">
      <c r="A35" s="177">
        <v>34</v>
      </c>
      <c r="B35" s="4" t="s">
        <v>243</v>
      </c>
      <c r="C35" s="4" t="s">
        <v>244</v>
      </c>
    </row>
    <row r="36" spans="1:3">
      <c r="A36" s="177">
        <v>35</v>
      </c>
      <c r="B36" s="4" t="s">
        <v>245</v>
      </c>
      <c r="C36" s="4" t="s">
        <v>246</v>
      </c>
    </row>
    <row r="37" spans="1:3">
      <c r="A37" s="177">
        <v>36</v>
      </c>
      <c r="B37" s="4" t="s">
        <v>247</v>
      </c>
      <c r="C37" s="4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8024-372E-473F-9241-86A76A638724}">
  <dimension ref="A1:AV937"/>
  <sheetViews>
    <sheetView workbookViewId="0">
      <selection activeCell="E2" sqref="E2:E8"/>
    </sheetView>
  </sheetViews>
  <sheetFormatPr defaultRowHeight="14" customHeight="1"/>
  <cols>
    <col min="1" max="1" width="3.1640625" bestFit="1" customWidth="1"/>
    <col min="2" max="2" width="5.5" bestFit="1" customWidth="1"/>
    <col min="3" max="3" width="4.9140625" bestFit="1" customWidth="1"/>
    <col min="4" max="4" width="15.1640625" bestFit="1" customWidth="1"/>
    <col min="5" max="5" width="43.9140625" bestFit="1" customWidth="1"/>
    <col min="6" max="6" width="8.08203125" bestFit="1" customWidth="1"/>
    <col min="7" max="7" width="4.4140625" bestFit="1" customWidth="1"/>
    <col min="8" max="15" width="1.75" bestFit="1" customWidth="1"/>
  </cols>
  <sheetData>
    <row r="1" spans="1:48" ht="14" customHeight="1" thickBot="1">
      <c r="A1" s="22" t="s">
        <v>0</v>
      </c>
      <c r="B1" s="23" t="s">
        <v>45</v>
      </c>
      <c r="C1" s="22" t="s">
        <v>46</v>
      </c>
      <c r="D1" s="22" t="s">
        <v>41</v>
      </c>
      <c r="E1" s="23" t="s">
        <v>42</v>
      </c>
      <c r="F1" s="23" t="s">
        <v>43</v>
      </c>
      <c r="G1" s="23" t="s">
        <v>44</v>
      </c>
      <c r="H1" s="222">
        <v>1</v>
      </c>
      <c r="I1" s="222">
        <v>2</v>
      </c>
      <c r="J1" s="222">
        <v>3</v>
      </c>
      <c r="K1" s="222">
        <v>4</v>
      </c>
      <c r="L1" s="24">
        <v>5</v>
      </c>
      <c r="M1" s="24">
        <v>6</v>
      </c>
      <c r="N1" s="24">
        <v>7</v>
      </c>
      <c r="O1" s="24">
        <v>8</v>
      </c>
      <c r="P1" s="2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0"/>
      <c r="AF1" s="12" t="s">
        <v>0</v>
      </c>
      <c r="AG1" s="13"/>
      <c r="AH1" s="12" t="s">
        <v>41</v>
      </c>
      <c r="AI1" s="14" t="s">
        <v>42</v>
      </c>
      <c r="AJ1" s="12" t="s">
        <v>43</v>
      </c>
      <c r="AK1" s="14" t="s">
        <v>44</v>
      </c>
      <c r="AL1" s="15">
        <v>1</v>
      </c>
      <c r="AM1" s="15">
        <v>2</v>
      </c>
      <c r="AN1" s="15">
        <v>3</v>
      </c>
      <c r="AO1" s="15">
        <v>4</v>
      </c>
      <c r="AP1" s="15">
        <v>5</v>
      </c>
      <c r="AQ1" s="15">
        <v>6</v>
      </c>
      <c r="AR1" s="15">
        <v>7</v>
      </c>
      <c r="AS1" s="15">
        <v>8</v>
      </c>
      <c r="AT1" s="9"/>
      <c r="AU1" s="9"/>
      <c r="AV1" s="9"/>
    </row>
    <row r="2" spans="1:48" ht="14" customHeight="1" thickBot="1">
      <c r="A2" s="26">
        <v>1</v>
      </c>
      <c r="B2" s="26" t="s">
        <v>295</v>
      </c>
      <c r="C2" s="26" t="s">
        <v>296</v>
      </c>
      <c r="D2" s="180" t="s">
        <v>297</v>
      </c>
      <c r="E2" s="97" t="s">
        <v>298</v>
      </c>
      <c r="F2" s="27" t="s">
        <v>50</v>
      </c>
      <c r="G2" s="223">
        <v>3</v>
      </c>
      <c r="H2" s="224"/>
      <c r="I2" s="225"/>
      <c r="J2" s="226" t="s">
        <v>51</v>
      </c>
      <c r="K2" s="227"/>
      <c r="L2" s="228"/>
      <c r="M2" s="28"/>
      <c r="N2" s="28"/>
      <c r="O2" s="28"/>
      <c r="P2" s="25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0"/>
      <c r="AF2" s="16">
        <v>1</v>
      </c>
      <c r="AG2" s="16" t="s">
        <v>47</v>
      </c>
      <c r="AH2" s="17" t="s">
        <v>48</v>
      </c>
      <c r="AI2" s="18" t="s">
        <v>49</v>
      </c>
      <c r="AJ2" s="6" t="s">
        <v>50</v>
      </c>
      <c r="AK2" s="7">
        <v>2</v>
      </c>
      <c r="AL2" s="8" t="s">
        <v>51</v>
      </c>
      <c r="AM2" s="5"/>
      <c r="AN2" s="5"/>
      <c r="AO2" s="5"/>
      <c r="AP2" s="5"/>
      <c r="AQ2" s="5"/>
      <c r="AR2" s="5"/>
      <c r="AS2" s="5"/>
      <c r="AT2" s="9"/>
      <c r="AU2" s="9"/>
      <c r="AV2" s="9"/>
    </row>
    <row r="3" spans="1:48" ht="14" customHeight="1" thickBot="1">
      <c r="A3" s="26">
        <v>2</v>
      </c>
      <c r="B3" s="26" t="s">
        <v>299</v>
      </c>
      <c r="C3" s="26" t="s">
        <v>296</v>
      </c>
      <c r="D3" s="181" t="s">
        <v>300</v>
      </c>
      <c r="E3" s="99" t="s">
        <v>301</v>
      </c>
      <c r="F3" s="27" t="s">
        <v>50</v>
      </c>
      <c r="G3" s="229">
        <v>3</v>
      </c>
      <c r="H3" s="230"/>
      <c r="I3" s="231"/>
      <c r="J3" s="232" t="s">
        <v>51</v>
      </c>
      <c r="K3" s="233"/>
      <c r="L3" s="228"/>
      <c r="M3" s="28"/>
      <c r="N3" s="28"/>
      <c r="O3" s="28"/>
      <c r="P3" s="25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0"/>
      <c r="AF3" s="16">
        <v>2</v>
      </c>
      <c r="AG3" s="16" t="s">
        <v>52</v>
      </c>
      <c r="AH3" s="17" t="s">
        <v>53</v>
      </c>
      <c r="AI3" s="18" t="s">
        <v>54</v>
      </c>
      <c r="AJ3" s="6" t="s">
        <v>50</v>
      </c>
      <c r="AK3" s="7">
        <v>2</v>
      </c>
      <c r="AL3" s="8" t="s">
        <v>51</v>
      </c>
      <c r="AM3" s="5"/>
      <c r="AN3" s="5"/>
      <c r="AO3" s="5"/>
      <c r="AP3" s="5"/>
      <c r="AQ3" s="5"/>
      <c r="AR3" s="5"/>
      <c r="AS3" s="5"/>
      <c r="AT3" s="9"/>
      <c r="AU3" s="9"/>
      <c r="AV3" s="9"/>
    </row>
    <row r="4" spans="1:48" ht="14" customHeight="1" thickBot="1">
      <c r="A4" s="26">
        <v>3</v>
      </c>
      <c r="B4" s="26" t="s">
        <v>302</v>
      </c>
      <c r="C4" s="26" t="s">
        <v>296</v>
      </c>
      <c r="D4" s="181" t="s">
        <v>303</v>
      </c>
      <c r="E4" s="99" t="s">
        <v>304</v>
      </c>
      <c r="F4" s="27" t="s">
        <v>50</v>
      </c>
      <c r="G4" s="229">
        <v>3</v>
      </c>
      <c r="H4" s="230"/>
      <c r="I4" s="231"/>
      <c r="J4" s="232" t="s">
        <v>51</v>
      </c>
      <c r="K4" s="233"/>
      <c r="L4" s="228"/>
      <c r="M4" s="28"/>
      <c r="N4" s="28"/>
      <c r="O4" s="28"/>
      <c r="P4" s="25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0"/>
      <c r="AF4" s="16">
        <v>3</v>
      </c>
      <c r="AG4" s="16" t="s">
        <v>55</v>
      </c>
      <c r="AH4" s="17" t="s">
        <v>56</v>
      </c>
      <c r="AI4" s="18" t="s">
        <v>57</v>
      </c>
      <c r="AJ4" s="6" t="s">
        <v>50</v>
      </c>
      <c r="AK4" s="7">
        <v>2</v>
      </c>
      <c r="AL4" s="8" t="s">
        <v>51</v>
      </c>
      <c r="AM4" s="5"/>
      <c r="AN4" s="5"/>
      <c r="AO4" s="5"/>
      <c r="AP4" s="5"/>
      <c r="AQ4" s="5"/>
      <c r="AR4" s="5"/>
      <c r="AS4" s="5"/>
      <c r="AT4" s="9"/>
      <c r="AU4" s="9"/>
      <c r="AV4" s="9"/>
    </row>
    <row r="5" spans="1:48" ht="14" customHeight="1" thickBot="1">
      <c r="A5" s="26">
        <v>4</v>
      </c>
      <c r="B5" s="26" t="s">
        <v>305</v>
      </c>
      <c r="C5" s="26" t="s">
        <v>296</v>
      </c>
      <c r="D5" s="181" t="s">
        <v>306</v>
      </c>
      <c r="E5" s="99" t="s">
        <v>307</v>
      </c>
      <c r="F5" s="27" t="s">
        <v>50</v>
      </c>
      <c r="G5" s="229">
        <v>2</v>
      </c>
      <c r="H5" s="230"/>
      <c r="I5" s="231"/>
      <c r="J5" s="232" t="s">
        <v>51</v>
      </c>
      <c r="K5" s="233"/>
      <c r="L5" s="228"/>
      <c r="M5" s="28"/>
      <c r="N5" s="28"/>
      <c r="O5" s="28"/>
      <c r="P5" s="25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0"/>
      <c r="AF5" s="16">
        <v>4</v>
      </c>
      <c r="AG5" s="16" t="s">
        <v>58</v>
      </c>
      <c r="AH5" s="17" t="s">
        <v>59</v>
      </c>
      <c r="AI5" s="18" t="s">
        <v>60</v>
      </c>
      <c r="AJ5" s="6" t="s">
        <v>50</v>
      </c>
      <c r="AK5" s="7">
        <v>3</v>
      </c>
      <c r="AL5" s="8" t="s">
        <v>51</v>
      </c>
      <c r="AM5" s="5"/>
      <c r="AN5" s="5"/>
      <c r="AO5" s="5"/>
      <c r="AP5" s="5"/>
      <c r="AQ5" s="5"/>
      <c r="AR5" s="5"/>
      <c r="AS5" s="5"/>
      <c r="AT5" s="9"/>
      <c r="AU5" s="9"/>
      <c r="AV5" s="9"/>
    </row>
    <row r="6" spans="1:48" ht="14" customHeight="1" thickBot="1">
      <c r="A6" s="26">
        <v>5</v>
      </c>
      <c r="B6" s="26" t="s">
        <v>308</v>
      </c>
      <c r="C6" s="26" t="s">
        <v>296</v>
      </c>
      <c r="D6" s="181" t="s">
        <v>309</v>
      </c>
      <c r="E6" s="99" t="s">
        <v>310</v>
      </c>
      <c r="F6" s="27" t="s">
        <v>50</v>
      </c>
      <c r="G6" s="229">
        <v>3</v>
      </c>
      <c r="H6" s="230"/>
      <c r="I6" s="231"/>
      <c r="J6" s="232" t="s">
        <v>51</v>
      </c>
      <c r="K6" s="233"/>
      <c r="L6" s="228"/>
      <c r="M6" s="28"/>
      <c r="N6" s="28"/>
      <c r="O6" s="28"/>
      <c r="P6" s="25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0"/>
      <c r="AF6" s="16">
        <v>5</v>
      </c>
      <c r="AG6" s="16" t="s">
        <v>61</v>
      </c>
      <c r="AH6" s="17" t="s">
        <v>62</v>
      </c>
      <c r="AI6" s="18" t="s">
        <v>63</v>
      </c>
      <c r="AJ6" s="6" t="s">
        <v>50</v>
      </c>
      <c r="AK6" s="7">
        <v>2</v>
      </c>
      <c r="AL6" s="8" t="s">
        <v>51</v>
      </c>
      <c r="AM6" s="5"/>
      <c r="AN6" s="5"/>
      <c r="AO6" s="5"/>
      <c r="AP6" s="5"/>
      <c r="AQ6" s="5"/>
      <c r="AR6" s="5"/>
      <c r="AS6" s="5"/>
      <c r="AT6" s="9"/>
      <c r="AU6" s="9"/>
      <c r="AV6" s="9"/>
    </row>
    <row r="7" spans="1:48" ht="14" customHeight="1" thickBot="1">
      <c r="A7" s="26">
        <v>6</v>
      </c>
      <c r="B7" s="26" t="s">
        <v>311</v>
      </c>
      <c r="C7" s="26" t="s">
        <v>296</v>
      </c>
      <c r="D7" s="181" t="s">
        <v>312</v>
      </c>
      <c r="E7" s="99" t="s">
        <v>313</v>
      </c>
      <c r="F7" s="27" t="s">
        <v>50</v>
      </c>
      <c r="G7" s="229">
        <v>3</v>
      </c>
      <c r="H7" s="230"/>
      <c r="I7" s="231"/>
      <c r="J7" s="232" t="s">
        <v>51</v>
      </c>
      <c r="K7" s="233"/>
      <c r="L7" s="228"/>
      <c r="M7" s="28"/>
      <c r="N7" s="28"/>
      <c r="O7" s="28"/>
      <c r="P7" s="25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0"/>
      <c r="AF7" s="16">
        <v>6</v>
      </c>
      <c r="AG7" s="16" t="s">
        <v>64</v>
      </c>
      <c r="AH7" s="17" t="s">
        <v>65</v>
      </c>
      <c r="AI7" s="18" t="s">
        <v>66</v>
      </c>
      <c r="AJ7" s="6" t="s">
        <v>50</v>
      </c>
      <c r="AK7" s="7">
        <v>3</v>
      </c>
      <c r="AL7" s="8" t="s">
        <v>51</v>
      </c>
      <c r="AM7" s="5"/>
      <c r="AN7" s="19"/>
      <c r="AO7" s="5"/>
      <c r="AP7" s="5"/>
      <c r="AQ7" s="5"/>
      <c r="AR7" s="5"/>
      <c r="AS7" s="5"/>
      <c r="AT7" s="9"/>
      <c r="AU7" s="9"/>
      <c r="AV7" s="9"/>
    </row>
    <row r="8" spans="1:48" ht="14" customHeight="1" thickBot="1">
      <c r="A8" s="26">
        <v>7</v>
      </c>
      <c r="B8" s="26" t="s">
        <v>314</v>
      </c>
      <c r="C8" s="26" t="s">
        <v>296</v>
      </c>
      <c r="D8" s="98" t="s">
        <v>315</v>
      </c>
      <c r="E8" s="100" t="s">
        <v>316</v>
      </c>
      <c r="F8" s="27" t="s">
        <v>50</v>
      </c>
      <c r="G8" s="229">
        <v>3</v>
      </c>
      <c r="H8" s="234"/>
      <c r="I8" s="235"/>
      <c r="J8" s="236" t="s">
        <v>51</v>
      </c>
      <c r="K8" s="237"/>
      <c r="L8" s="228"/>
      <c r="M8" s="28"/>
      <c r="N8" s="28"/>
      <c r="O8" s="28"/>
      <c r="P8" s="25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0"/>
      <c r="AF8" s="16">
        <v>7</v>
      </c>
      <c r="AG8" s="16" t="s">
        <v>67</v>
      </c>
      <c r="AH8" s="17" t="s">
        <v>69</v>
      </c>
      <c r="AI8" s="18" t="s">
        <v>68</v>
      </c>
      <c r="AJ8" s="6" t="s">
        <v>50</v>
      </c>
      <c r="AK8" s="7">
        <v>3</v>
      </c>
      <c r="AL8" s="8" t="s">
        <v>51</v>
      </c>
      <c r="AM8" s="5"/>
      <c r="AN8" s="5"/>
      <c r="AO8" s="5"/>
      <c r="AP8" s="5"/>
      <c r="AQ8" s="5"/>
      <c r="AR8" s="5"/>
      <c r="AS8" s="5"/>
      <c r="AT8" s="9"/>
      <c r="AU8" s="9"/>
      <c r="AV8" s="9"/>
    </row>
    <row r="9" spans="1:48" ht="14" customHeight="1" thickBot="1">
      <c r="A9" s="256">
        <f>SUM(G2:G8)</f>
        <v>20</v>
      </c>
      <c r="B9" s="257"/>
      <c r="C9" s="257"/>
      <c r="D9" s="257"/>
      <c r="E9" s="258"/>
      <c r="F9" s="28"/>
      <c r="G9" s="28"/>
      <c r="H9" s="238"/>
      <c r="I9" s="238"/>
      <c r="J9" s="238"/>
      <c r="K9" s="238"/>
      <c r="L9" s="28"/>
      <c r="M9" s="28"/>
      <c r="N9" s="28"/>
      <c r="O9" s="28"/>
      <c r="P9" s="25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0"/>
      <c r="AF9" s="16">
        <v>8</v>
      </c>
      <c r="AG9" s="16" t="s">
        <v>70</v>
      </c>
      <c r="AH9" s="17" t="s">
        <v>72</v>
      </c>
      <c r="AI9" s="18" t="s">
        <v>71</v>
      </c>
      <c r="AJ9" s="6" t="s">
        <v>50</v>
      </c>
      <c r="AK9" s="7">
        <v>2</v>
      </c>
      <c r="AL9" s="8" t="s">
        <v>51</v>
      </c>
      <c r="AM9" s="5"/>
      <c r="AN9" s="5"/>
      <c r="AO9" s="5"/>
      <c r="AP9" s="5"/>
      <c r="AQ9" s="5"/>
      <c r="AR9" s="5"/>
      <c r="AS9" s="5"/>
      <c r="AT9" s="9"/>
      <c r="AU9" s="9"/>
      <c r="AV9" s="9"/>
    </row>
    <row r="10" spans="1:48" ht="14" customHeight="1" thickBo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48" ht="14" customHeight="1" thickBo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ht="14" customHeight="1" thickBo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ht="14" customHeight="1" thickBo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ht="14" customHeight="1" thickBo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ht="14" customHeight="1" thickBo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ht="14" customHeight="1" thickBo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ht="14" customHeight="1" thickBo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ht="14" customHeight="1" thickBo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ht="14" customHeight="1" thickBo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ht="14" customHeight="1" thickBo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ht="14" customHeight="1" thickBo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ht="14" customHeight="1" thickBo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ht="14" customHeight="1" thickBo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ht="14" customHeight="1" thickBo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ht="14" customHeight="1" thickBo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ht="14" customHeight="1" thickBo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ht="14" customHeight="1" thickBo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ht="14" customHeight="1" thickBo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ht="14" customHeight="1" thickBo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ht="14" customHeight="1" thickBo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ht="14" customHeight="1" thickBo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ht="14" customHeight="1" thickBo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ht="14" customHeight="1" thickBo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ht="14" customHeight="1" thickBo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ht="14" customHeight="1" thickBo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ht="14" customHeight="1" thickBo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ht="14" customHeight="1" thickBo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ht="14" customHeight="1" thickBo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ht="14" customHeight="1" thickBo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ht="14" customHeight="1" thickBo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ht="14" customHeight="1" thickBo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ht="14" customHeight="1" thickBo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ht="14" customHeight="1" thickBo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ht="14" customHeight="1" thickBo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ht="14" customHeight="1" thickBo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ht="14" customHeight="1" thickBo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ht="14" customHeight="1" thickBo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ht="14" customHeight="1" thickBo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ht="14" customHeight="1" thickBo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ht="14" customHeight="1" thickBo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ht="14" customHeight="1" thickBo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ht="14" customHeight="1" thickBo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ht="14" customHeight="1" thickBo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ht="14" customHeight="1" thickBo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ht="14" customHeight="1" thickBo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ht="14" customHeight="1" thickBo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ht="14" customHeight="1" thickBo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ht="14" customHeight="1" thickBo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ht="14" customHeight="1" thickBo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ht="14" customHeight="1" thickBo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ht="14" customHeight="1" thickBo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ht="14" customHeight="1" thickBo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ht="14" customHeight="1" thickBo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ht="14" customHeight="1" thickBo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ht="14" customHeight="1" thickBo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ht="14" customHeight="1" thickBo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ht="14" customHeight="1" thickBo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ht="14" customHeight="1" thickBo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ht="14" customHeight="1" thickBo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ht="14" customHeight="1" thickBo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ht="14" customHeight="1" thickBo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ht="14" customHeight="1" thickBo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ht="14" customHeight="1" thickBo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ht="14" customHeight="1" thickBo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ht="14" customHeight="1" thickBo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ht="14" customHeight="1" thickBo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ht="14" customHeight="1" thickBo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ht="14" customHeight="1" thickBo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ht="14" customHeight="1" thickBo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ht="14" customHeight="1" thickBo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ht="14" customHeight="1" thickBo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ht="14" customHeight="1" thickBo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ht="14" customHeight="1" thickBo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ht="14" customHeight="1" thickBo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ht="14" customHeight="1" thickBo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ht="14" customHeight="1" thickBo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ht="14" customHeight="1" thickBo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ht="14" customHeight="1" thickBo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ht="14" customHeight="1" thickBo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ht="14" customHeight="1" thickBo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ht="14" customHeight="1" thickBo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ht="14" customHeight="1" thickBo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ht="14" customHeight="1" thickBo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ht="14" customHeight="1" thickBo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ht="14" customHeight="1" thickBo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ht="14" customHeight="1" thickBo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ht="14" customHeight="1" thickBo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ht="14" customHeight="1" thickBo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ht="14" customHeight="1" thickBo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ht="14" customHeight="1" thickBo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ht="14" customHeight="1" thickBo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ht="14" customHeight="1" thickBo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ht="14" customHeight="1" thickBo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ht="14" customHeight="1" thickBo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ht="14" customHeight="1" thickBo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ht="14" customHeight="1" thickBo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ht="14" customHeight="1" thickBo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ht="14" customHeight="1" thickBo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ht="14" customHeight="1" thickBo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ht="14" customHeight="1" thickBo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ht="14" customHeight="1" thickBo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ht="14" customHeight="1" thickBo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ht="14" customHeight="1" thickBo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ht="14" customHeight="1" thickBo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ht="14" customHeight="1" thickBo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ht="14" customHeight="1" thickBo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ht="14" customHeight="1" thickBo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ht="14" customHeight="1" thickBo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ht="14" customHeight="1" thickBo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ht="14" customHeight="1" thickBo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ht="14" customHeight="1" thickBo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ht="14" customHeight="1" thickBo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ht="14" customHeight="1" thickBo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ht="14" customHeight="1" thickBo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ht="14" customHeight="1" thickBo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ht="14" customHeight="1" thickBo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ht="14" customHeight="1" thickBo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ht="14" customHeight="1" thickBo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ht="14" customHeight="1" thickBo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ht="14" customHeight="1" thickBo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ht="14" customHeight="1" thickBo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ht="14" customHeight="1" thickBo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ht="14" customHeight="1" thickBo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ht="14" customHeight="1" thickBo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ht="14" customHeight="1" thickBo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ht="14" customHeight="1" thickBo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4" customHeight="1" thickBo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4" customHeight="1" thickBo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ht="14" customHeight="1" thickBo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ht="14" customHeight="1" thickBo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ht="14" customHeight="1" thickBo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ht="14" customHeight="1" thickBo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ht="14" customHeight="1" thickBo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ht="14" customHeight="1" thickBo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ht="14" customHeight="1" thickBo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ht="14" customHeight="1" thickBo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ht="14" customHeight="1" thickBo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ht="14" customHeight="1" thickBo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ht="14" customHeight="1" thickBo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ht="14" customHeight="1" thickBo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ht="14" customHeight="1" thickBo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ht="14" customHeight="1" thickBo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ht="14" customHeight="1" thickBo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ht="14" customHeight="1" thickBo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ht="14" customHeight="1" thickBo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ht="14" customHeight="1" thickBo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ht="14" customHeight="1" thickBo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ht="14" customHeight="1" thickBo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ht="14" customHeight="1" thickBo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ht="14" customHeight="1" thickBo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ht="14" customHeight="1" thickBo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ht="14" customHeight="1" thickBo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ht="14" customHeight="1" thickBo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ht="14" customHeight="1" thickBo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ht="14" customHeight="1" thickBo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ht="14" customHeight="1" thickBo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ht="14" customHeight="1" thickBo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ht="14" customHeight="1" thickBo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ht="14" customHeight="1" thickBo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ht="14" customHeight="1" thickBo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ht="14" customHeight="1" thickBo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ht="14" customHeight="1" thickBo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ht="14" customHeight="1" thickBo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ht="14" customHeight="1" thickBo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ht="14" customHeight="1" thickBo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ht="14" customHeight="1" thickBo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ht="14" customHeight="1" thickBo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ht="14" customHeight="1" thickBo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ht="14" customHeight="1" thickBo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ht="14" customHeight="1" thickBo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ht="14" customHeight="1" thickBo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ht="14" customHeight="1" thickBo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ht="14" customHeight="1" thickBo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ht="14" customHeight="1" thickBo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ht="14" customHeight="1" thickBo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ht="14" customHeight="1" thickBo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ht="14" customHeight="1" thickBo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ht="14" customHeight="1" thickBo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ht="14" customHeight="1" thickBo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ht="14" customHeight="1" thickBo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ht="14" customHeight="1" thickBo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ht="14" customHeight="1" thickBo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ht="14" customHeight="1" thickBo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ht="14" customHeight="1" thickBo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ht="14" customHeight="1" thickBo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ht="14" customHeight="1" thickBo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ht="14" customHeight="1" thickBo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ht="14" customHeight="1" thickBo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ht="14" customHeight="1" thickBo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ht="14" customHeight="1" thickBo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ht="14" customHeight="1" thickBo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ht="14" customHeight="1" thickBo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ht="14" customHeight="1" thickBo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ht="14" customHeight="1" thickBo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ht="14" customHeight="1" thickBo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ht="14" customHeight="1" thickBo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ht="14" customHeight="1" thickBo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ht="14" customHeight="1" thickBo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ht="14" customHeight="1" thickBo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ht="14" customHeight="1" thickBo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ht="14" customHeight="1" thickBo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ht="14" customHeight="1" thickBo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ht="14" customHeight="1" thickBo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ht="14" customHeight="1" thickBo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ht="14" customHeight="1" thickBo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ht="14" customHeight="1" thickBo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ht="14" customHeight="1" thickBo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ht="14" customHeight="1" thickBo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ht="14" customHeight="1" thickBo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ht="14" customHeight="1" thickBo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ht="14" customHeight="1" thickBo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ht="14" customHeight="1" thickBo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ht="14" customHeight="1" thickBo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ht="14" customHeight="1" thickBo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ht="14" customHeight="1" thickBo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ht="14" customHeight="1" thickBo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ht="14" customHeight="1" thickBo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ht="14" customHeight="1" thickBo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ht="14" customHeight="1" thickBo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ht="14" customHeight="1" thickBo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ht="14" customHeight="1" thickBo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ht="14" customHeight="1" thickBo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ht="14" customHeight="1" thickBo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ht="14" customHeight="1" thickBo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ht="14" customHeight="1" thickBo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ht="14" customHeight="1" thickBo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ht="14" customHeight="1" thickBo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ht="14" customHeight="1" thickBo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ht="14" customHeight="1" thickBo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ht="14" customHeight="1" thickBo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ht="14" customHeight="1" thickBo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ht="14" customHeight="1" thickBo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ht="14" customHeight="1" thickBo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ht="14" customHeight="1" thickBo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ht="14" customHeight="1" thickBo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ht="14" customHeight="1" thickBo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ht="14" customHeight="1" thickBo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ht="14" customHeight="1" thickBo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ht="14" customHeight="1" thickBo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ht="14" customHeight="1" thickBo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ht="14" customHeight="1" thickBo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ht="14" customHeight="1" thickBo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ht="14" customHeight="1" thickBo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ht="14" customHeight="1" thickBo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ht="14" customHeight="1" thickBo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ht="14" customHeight="1" thickBo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ht="14" customHeight="1" thickBo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ht="14" customHeight="1" thickBo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ht="14" customHeight="1" thickBo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ht="14" customHeight="1" thickBo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ht="14" customHeight="1" thickBo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ht="14" customHeight="1" thickBo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ht="14" customHeight="1" thickBo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ht="14" customHeight="1" thickBo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ht="14" customHeight="1" thickBo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ht="14" customHeight="1" thickBo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ht="14" customHeight="1" thickBo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ht="14" customHeight="1" thickBo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ht="14" customHeight="1" thickBo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ht="14" customHeight="1" thickBo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ht="14" customHeight="1" thickBo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ht="14" customHeight="1" thickBo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ht="14" customHeight="1" thickBo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ht="14" customHeight="1" thickBo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ht="14" customHeight="1" thickBo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ht="14" customHeight="1" thickBo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ht="14" customHeight="1" thickBo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ht="14" customHeight="1" thickBo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ht="14" customHeight="1" thickBo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ht="14" customHeight="1" thickBo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ht="14" customHeight="1" thickBo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ht="14" customHeight="1" thickBo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ht="14" customHeight="1" thickBo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ht="14" customHeight="1" thickBo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ht="14" customHeight="1" thickBo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ht="14" customHeight="1" thickBo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ht="14" customHeight="1" thickBo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ht="14" customHeight="1" thickBo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ht="14" customHeight="1" thickBo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ht="14" customHeight="1" thickBo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ht="14" customHeight="1" thickBo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ht="14" customHeight="1" thickBo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ht="14" customHeight="1" thickBo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ht="14" customHeight="1" thickBo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ht="14" customHeight="1" thickBo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ht="14" customHeight="1" thickBo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ht="14" customHeight="1" thickBo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ht="14" customHeight="1" thickBo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ht="14" customHeight="1" thickBo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ht="14" customHeight="1" thickBo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ht="14" customHeight="1" thickBo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ht="14" customHeight="1" thickBo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ht="14" customHeight="1" thickBo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ht="14" customHeight="1" thickBo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ht="14" customHeight="1" thickBo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ht="14" customHeight="1" thickBo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ht="14" customHeight="1" thickBo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ht="14" customHeight="1" thickBo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ht="14" customHeight="1" thickBo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ht="14" customHeight="1" thickBo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ht="14" customHeight="1" thickBo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ht="14" customHeight="1" thickBo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ht="14" customHeight="1" thickBo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ht="14" customHeight="1" thickBo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ht="14" customHeight="1" thickBo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ht="14" customHeight="1" thickBo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ht="14" customHeight="1" thickBo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ht="14" customHeight="1" thickBo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ht="14" customHeight="1" thickBo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ht="14" customHeight="1" thickBo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ht="14" customHeight="1" thickBo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ht="14" customHeight="1" thickBo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ht="14" customHeight="1" thickBo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ht="14" customHeight="1" thickBo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ht="14" customHeight="1" thickBo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ht="14" customHeight="1" thickBo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ht="14" customHeight="1" thickBo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ht="14" customHeight="1" thickBo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ht="14" customHeight="1" thickBo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ht="14" customHeight="1" thickBo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ht="14" customHeight="1" thickBo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ht="14" customHeight="1" thickBo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ht="14" customHeight="1" thickBo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ht="14" customHeight="1" thickBo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ht="14" customHeight="1" thickBo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ht="14" customHeight="1" thickBo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ht="14" customHeight="1" thickBo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ht="14" customHeight="1" thickBo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ht="14" customHeight="1" thickBo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ht="14" customHeight="1" thickBo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ht="14" customHeight="1" thickBo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ht="14" customHeight="1" thickBo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ht="14" customHeight="1" thickBo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ht="14" customHeight="1" thickBo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ht="14" customHeight="1" thickBo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ht="14" customHeight="1" thickBo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ht="14" customHeight="1" thickBo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ht="14" customHeight="1" thickBo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ht="14" customHeight="1" thickBo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ht="14" customHeight="1" thickBo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ht="14" customHeight="1" thickBo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ht="14" customHeight="1" thickBo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ht="14" customHeight="1" thickBo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ht="14" customHeight="1" thickBo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ht="14" customHeight="1" thickBo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ht="14" customHeight="1" thickBo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ht="14" customHeight="1" thickBo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ht="14" customHeight="1" thickBo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ht="14" customHeight="1" thickBo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ht="14" customHeight="1" thickBo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ht="14" customHeight="1" thickBo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ht="14" customHeight="1" thickBo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ht="14" customHeight="1" thickBo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ht="14" customHeight="1" thickBo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ht="14" customHeight="1" thickBo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ht="14" customHeight="1" thickBo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ht="14" customHeight="1" thickBo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ht="14" customHeight="1" thickBo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ht="14" customHeight="1" thickBo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ht="14" customHeight="1" thickBo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ht="14" customHeight="1" thickBo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ht="14" customHeight="1" thickBo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ht="14" customHeight="1" thickBo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ht="14" customHeight="1" thickBo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ht="14" customHeight="1" thickBo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ht="14" customHeight="1" thickBo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ht="14" customHeight="1" thickBo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ht="14" customHeight="1" thickBo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ht="14" customHeight="1" thickBo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ht="14" customHeight="1" thickBo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ht="14" customHeight="1" thickBo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ht="14" customHeight="1" thickBo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ht="14" customHeight="1" thickBo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ht="14" customHeight="1" thickBo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ht="14" customHeight="1" thickBo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ht="14" customHeight="1" thickBo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ht="14" customHeight="1" thickBo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ht="14" customHeight="1" thickBo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ht="14" customHeight="1" thickBo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ht="14" customHeight="1" thickBo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ht="14" customHeight="1" thickBo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ht="14" customHeight="1" thickBo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ht="14" customHeight="1" thickBo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ht="14" customHeight="1" thickBo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ht="14" customHeight="1" thickBo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ht="14" customHeight="1" thickBo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ht="14" customHeight="1" thickBo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ht="14" customHeight="1" thickBo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ht="14" customHeight="1" thickBo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ht="14" customHeight="1" thickBo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ht="14" customHeight="1" thickBo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ht="14" customHeight="1" thickBo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ht="14" customHeight="1" thickBo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ht="14" customHeight="1" thickBo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ht="14" customHeight="1" thickBo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ht="14" customHeight="1" thickBo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ht="14" customHeight="1" thickBo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ht="14" customHeight="1" thickBo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ht="14" customHeight="1" thickBo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ht="14" customHeight="1" thickBo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ht="14" customHeight="1" thickBo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ht="14" customHeight="1" thickBo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ht="14" customHeight="1" thickBo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ht="14" customHeight="1" thickBo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ht="14" customHeight="1" thickBo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ht="14" customHeight="1" thickBo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ht="14" customHeight="1" thickBo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ht="14" customHeight="1" thickBo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ht="14" customHeight="1" thickBo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ht="14" customHeight="1" thickBo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ht="14" customHeight="1" thickBo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ht="14" customHeight="1" thickBo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ht="14" customHeight="1" thickBo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ht="14" customHeight="1" thickBo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ht="14" customHeight="1" thickBo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ht="14" customHeight="1" thickBo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ht="14" customHeight="1" thickBo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ht="14" customHeight="1" thickBo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ht="14" customHeight="1" thickBo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ht="14" customHeight="1" thickBo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ht="14" customHeight="1" thickBo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ht="14" customHeight="1" thickBo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ht="14" customHeight="1" thickBo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ht="14" customHeight="1" thickBo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ht="14" customHeight="1" thickBo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ht="14" customHeight="1" thickBo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ht="14" customHeight="1" thickBo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ht="14" customHeight="1" thickBo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ht="14" customHeight="1" thickBo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ht="14" customHeight="1" thickBo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ht="14" customHeight="1" thickBo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ht="14" customHeight="1" thickBo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ht="14" customHeight="1" thickBo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ht="14" customHeight="1" thickBo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ht="14" customHeight="1" thickBo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ht="14" customHeight="1" thickBo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ht="14" customHeight="1" thickBo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ht="14" customHeight="1" thickBo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ht="14" customHeight="1" thickBo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ht="14" customHeight="1" thickBo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ht="14" customHeight="1" thickBo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ht="14" customHeight="1" thickBo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ht="14" customHeight="1" thickBo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ht="14" customHeight="1" thickBo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ht="14" customHeight="1" thickBo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ht="14" customHeight="1" thickBo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ht="14" customHeight="1" thickBo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ht="14" customHeight="1" thickBo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ht="14" customHeight="1" thickBo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ht="14" customHeight="1" thickBo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ht="14" customHeight="1" thickBo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ht="14" customHeight="1" thickBo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ht="14" customHeight="1" thickBo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ht="14" customHeight="1" thickBo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ht="14" customHeight="1" thickBo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ht="14" customHeight="1" thickBo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ht="14" customHeight="1" thickBo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ht="14" customHeight="1" thickBo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ht="14" customHeight="1" thickBo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ht="14" customHeight="1" thickBo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ht="14" customHeight="1" thickBo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ht="14" customHeight="1" thickBo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ht="14" customHeight="1" thickBo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ht="14" customHeight="1" thickBo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ht="14" customHeight="1" thickBo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ht="14" customHeight="1" thickBo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ht="14" customHeight="1" thickBo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ht="14" customHeight="1" thickBo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ht="14" customHeight="1" thickBo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ht="14" customHeight="1" thickBo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ht="14" customHeight="1" thickBo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ht="14" customHeight="1" thickBo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ht="14" customHeight="1" thickBo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ht="14" customHeight="1" thickBo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 spans="1:48" ht="14" customHeight="1" thickBo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 spans="1:48" ht="14" customHeight="1" thickBo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 spans="1:48" ht="14" customHeight="1" thickBo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 spans="1:48" ht="14" customHeight="1" thickBo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 spans="1:48" ht="14" customHeight="1" thickBo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 spans="1:48" ht="14" customHeight="1" thickBo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 spans="1:48" ht="14" customHeight="1" thickBo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 spans="1:48" ht="14" customHeight="1" thickBo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 spans="1:48" ht="14" customHeight="1" thickBo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 spans="1:48" ht="14" customHeight="1" thickBo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 spans="1:48" ht="14" customHeight="1" thickBo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 spans="1:48" ht="14" customHeight="1" thickBo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 spans="1:48" ht="14" customHeight="1" thickBo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 spans="1:48" ht="14" customHeight="1" thickBo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 spans="1:48" ht="14" customHeight="1" thickBo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 spans="1:48" ht="14" customHeight="1" thickBo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 spans="1:48" ht="14" customHeight="1" thickBo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 spans="1:48" ht="14" customHeight="1" thickBo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 spans="1:48" ht="14" customHeight="1" thickBo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 spans="1:48" ht="14" customHeight="1" thickBo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 spans="1:48" ht="14" customHeight="1" thickBo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 spans="1:48" ht="14" customHeight="1" thickBo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 spans="1:48" ht="14" customHeight="1" thickBo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 spans="1:48" ht="14" customHeight="1" thickBo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 spans="1:48" ht="14" customHeight="1" thickBo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 spans="1:48" ht="14" customHeight="1" thickBo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 spans="1:48" ht="14" customHeight="1" thickBo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 spans="1:48" ht="14" customHeight="1" thickBo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 spans="1:48" ht="14" customHeight="1" thickBo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 spans="1:48" ht="14" customHeight="1" thickBo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 spans="1:48" ht="14" customHeight="1" thickBo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 spans="1:48" ht="14" customHeight="1" thickBo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 spans="1:48" ht="14" customHeight="1" thickBo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 spans="1:48" ht="14" customHeight="1" thickBo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 spans="1:48" ht="14" customHeight="1" thickBo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 spans="1:48" ht="14" customHeight="1" thickBo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 spans="1:48" ht="14" customHeight="1" thickBo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 spans="1:48" ht="14" customHeight="1" thickBo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 spans="1:48" ht="14" customHeight="1" thickBo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 spans="1:48" ht="14" customHeight="1" thickBo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 spans="1:48" ht="14" customHeight="1" thickBo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 spans="1:48" ht="14" customHeight="1" thickBo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 spans="1:48" ht="14" customHeight="1" thickBo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 spans="1:48" ht="14" customHeight="1" thickBo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 spans="1:48" ht="14" customHeight="1" thickBo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 spans="1:48" ht="14" customHeight="1" thickBo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 spans="1:48" ht="14" customHeight="1" thickBo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 spans="1:48" ht="14" customHeight="1" thickBo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 spans="1:48" ht="14" customHeight="1" thickBo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 spans="1:48" ht="14" customHeight="1" thickBo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 spans="1:48" ht="14" customHeight="1" thickBo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 spans="1:48" ht="14" customHeight="1" thickBo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 spans="1:48" ht="14" customHeight="1" thickBo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 spans="1:48" ht="14" customHeight="1" thickBo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 spans="1:48" ht="14" customHeight="1" thickBo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 spans="1:48" ht="14" customHeight="1" thickBo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 spans="1:48" ht="14" customHeight="1" thickBo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 spans="1:48" ht="14" customHeight="1" thickBo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 spans="1:48" ht="14" customHeight="1" thickBo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 spans="1:48" ht="14" customHeight="1" thickBo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 spans="1:48" ht="14" customHeight="1" thickBo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 spans="1:48" ht="14" customHeight="1" thickBo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 spans="1:48" ht="14" customHeight="1" thickBo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 spans="1:48" ht="14" customHeight="1" thickBo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 spans="1:48" ht="14" customHeight="1" thickBo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 spans="1:48" ht="14" customHeight="1" thickBo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 spans="1:48" ht="14" customHeight="1" thickBo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 spans="1:48" ht="14" customHeight="1" thickBo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 spans="1:48" ht="14" customHeight="1" thickBo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 spans="1:48" ht="14" customHeight="1" thickBo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 spans="1:48" ht="14" customHeight="1" thickBo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 spans="1:48" ht="14" customHeight="1" thickBo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 spans="1:48" ht="14" customHeight="1" thickBo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 spans="1:48" ht="14" customHeight="1" thickBo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 spans="1:48" ht="14" customHeight="1" thickBo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 spans="1:48" ht="14" customHeight="1" thickBo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 spans="1:48" ht="14" customHeight="1" thickBo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 spans="1:48" ht="14" customHeight="1" thickBo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 spans="1:48" ht="14" customHeight="1" thickBo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 spans="1:48" ht="14" customHeight="1" thickBo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 spans="1:48" ht="14" customHeight="1" thickBo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 spans="1:48" ht="14" customHeight="1" thickBo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 spans="1:48" ht="14" customHeight="1" thickBo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 spans="1:48" ht="14" customHeight="1" thickBo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 spans="1:48" ht="14" customHeight="1" thickBo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 spans="1:48" ht="14" customHeight="1" thickBo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 spans="1:48" ht="14" customHeight="1" thickBo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 spans="1:48" ht="14" customHeight="1" thickBo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 spans="1:48" ht="14" customHeight="1" thickBo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 spans="1:48" ht="14" customHeight="1" thickBo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 spans="1:48" ht="14" customHeight="1" thickBo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 spans="1:48" ht="14" customHeight="1" thickBo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 spans="1:48" ht="14" customHeight="1" thickBo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 spans="1:48" ht="14" customHeight="1" thickBo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 spans="1:48" ht="14" customHeight="1" thickBo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 spans="1:48" ht="14" customHeight="1" thickBo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 spans="1:48" ht="14" customHeight="1" thickBo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 spans="1:48" ht="14" customHeight="1" thickBo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 spans="1:48" ht="14" customHeight="1" thickBo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 spans="1:48" ht="14" customHeight="1" thickBo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 spans="1:48" ht="14" customHeight="1" thickBo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 spans="1:48" ht="14" customHeight="1" thickBo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 spans="1:48" ht="14" customHeight="1" thickBo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 spans="1:48" ht="14" customHeight="1" thickBo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 spans="1:48" ht="14" customHeight="1" thickBo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 spans="1:48" ht="14" customHeight="1" thickBo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 spans="1:48" ht="14" customHeight="1" thickBo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 spans="1:48" ht="14" customHeight="1" thickBo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 spans="1:48" ht="14" customHeight="1" thickBo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 spans="1:48" ht="14" customHeight="1" thickBo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 spans="1:48" ht="14" customHeight="1" thickBo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 spans="1:48" ht="14" customHeight="1" thickBo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 spans="1:48" ht="14" customHeight="1" thickBo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 spans="1:48" ht="14" customHeight="1" thickBo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 spans="1:48" ht="14" customHeight="1" thickBo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 spans="1:48" ht="14" customHeight="1" thickBo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 spans="1:48" ht="14" customHeight="1" thickBo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 spans="1:48" ht="14" customHeight="1" thickBo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 spans="1:48" ht="14" customHeight="1" thickBo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 spans="1:48" ht="14" customHeight="1" thickBo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 spans="1:48" ht="14" customHeight="1" thickBo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 spans="1:48" ht="14" customHeight="1" thickBo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 spans="1:48" ht="14" customHeight="1" thickBo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 spans="1:48" ht="14" customHeight="1" thickBo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 spans="1:48" ht="14" customHeight="1" thickBo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 spans="1:48" ht="14" customHeight="1" thickBo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 spans="1:48" ht="14" customHeight="1" thickBo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 spans="1:48" ht="14" customHeight="1" thickBo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 spans="1:48" ht="14" customHeight="1" thickBo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 spans="1:48" ht="14" customHeight="1" thickBo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 spans="1:48" ht="14" customHeight="1" thickBo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 spans="1:48" ht="14" customHeight="1" thickBo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 spans="1:48" ht="14" customHeight="1" thickBo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 spans="1:48" ht="14" customHeight="1" thickBo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 spans="1:48" ht="14" customHeight="1" thickBo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 spans="1:48" ht="14" customHeight="1" thickBo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 spans="1:48" ht="14" customHeight="1" thickBo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 spans="1:48" ht="14" customHeight="1" thickBo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 spans="1:48" ht="14" customHeight="1" thickBo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 spans="1:48" ht="14" customHeight="1" thickBo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 spans="1:48" ht="14" customHeight="1" thickBo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 spans="1:48" ht="14" customHeight="1" thickBo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 spans="1:48" ht="14" customHeight="1" thickBo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 spans="1:48" ht="14" customHeight="1" thickBo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 spans="1:48" ht="14" customHeight="1" thickBo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 spans="1:48" ht="14" customHeight="1" thickBo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 spans="1:48" ht="14" customHeight="1" thickBo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 spans="1:48" ht="14" customHeight="1" thickBo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 spans="1:48" ht="14" customHeight="1" thickBo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 spans="1:48" ht="14" customHeight="1" thickBo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 spans="1:48" ht="14" customHeight="1" thickBo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 spans="1:48" ht="14" customHeight="1" thickBo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 spans="1:48" ht="14" customHeight="1" thickBo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 spans="1:48" ht="14" customHeight="1" thickBo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 spans="1:48" ht="14" customHeight="1" thickBo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 spans="1:48" ht="14" customHeight="1" thickBo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 spans="1:48" ht="14" customHeight="1" thickBo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 spans="1:48" ht="14" customHeight="1" thickBo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 spans="1:48" ht="14" customHeight="1" thickBo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 spans="1:48" ht="14" customHeight="1" thickBo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 spans="1:48" ht="14" customHeight="1" thickBo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 spans="1:48" ht="14" customHeight="1" thickBo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 spans="1:48" ht="14" customHeight="1" thickBo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 spans="1:48" ht="14" customHeight="1" thickBo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 spans="1:48" ht="14" customHeight="1" thickBo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 spans="1:48" ht="14" customHeight="1" thickBo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 spans="1:48" ht="14" customHeight="1" thickBo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 spans="1:48" ht="14" customHeight="1" thickBo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 spans="1:48" ht="14" customHeight="1" thickBo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 spans="1:48" ht="14" customHeight="1" thickBo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 spans="1:48" ht="14" customHeight="1" thickBo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 spans="1:48" ht="14" customHeight="1" thickBo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 spans="1:48" ht="14" customHeight="1" thickBo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 spans="1:48" ht="14" customHeight="1" thickBo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 spans="1:48" ht="14" customHeight="1" thickBo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 spans="1:48" ht="14" customHeight="1" thickBo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 spans="1:48" ht="14" customHeight="1" thickBo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 spans="1:48" ht="14" customHeight="1" thickBo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 spans="1:48" ht="14" customHeight="1" thickBo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 spans="1:48" ht="14" customHeight="1" thickBo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 spans="1:48" ht="14" customHeight="1" thickBo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 spans="1:48" ht="14" customHeight="1" thickBo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 spans="1:48" ht="14" customHeight="1" thickBo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 spans="1:48" ht="14" customHeight="1" thickBo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 spans="1:48" ht="14" customHeight="1" thickBo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 spans="1:48" ht="14" customHeight="1" thickBo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 spans="1:48" ht="14" customHeight="1" thickBo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 spans="1:48" ht="14" customHeight="1" thickBo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 spans="1:48" ht="14" customHeight="1" thickBo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 spans="1:48" ht="14" customHeight="1" thickBo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 spans="1:48" ht="14" customHeight="1" thickBo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 spans="1:48" ht="14" customHeight="1" thickBo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 spans="1:48" ht="14" customHeight="1" thickBo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 spans="1:48" ht="14" customHeight="1" thickBo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 spans="1:48" ht="14" customHeight="1" thickBo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 spans="1:48" ht="14" customHeight="1" thickBo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 spans="1:48" ht="14" customHeight="1" thickBo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 spans="1:48" ht="14" customHeight="1" thickBo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 spans="1:48" ht="14" customHeight="1" thickBo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 spans="1:48" ht="14" customHeight="1" thickBo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 spans="1:48" ht="14" customHeight="1" thickBo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 spans="1:48" ht="14" customHeight="1" thickBo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 spans="1:48" ht="14" customHeight="1" thickBo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 spans="1:48" ht="14" customHeight="1" thickBo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 spans="1:48" ht="14" customHeight="1" thickBo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 spans="1:48" ht="14" customHeight="1" thickBo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 spans="1:48" ht="14" customHeight="1" thickBo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 spans="1:48" ht="14" customHeight="1" thickBo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 spans="1:48" ht="14" customHeight="1" thickBo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 spans="1:48" ht="14" customHeight="1" thickBo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 spans="1:48" ht="14" customHeight="1" thickBo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 spans="1:48" ht="14" customHeight="1" thickBo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 spans="1:48" ht="14" customHeight="1" thickBo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 spans="1:48" ht="14" customHeight="1" thickBo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 spans="1:48" ht="14" customHeight="1" thickBo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 spans="1:48" ht="14" customHeight="1" thickBo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 spans="1:48" ht="14" customHeight="1" thickBo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 spans="1:48" ht="14" customHeight="1" thickBo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 spans="1:48" ht="14" customHeight="1" thickBo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 spans="1:48" ht="14" customHeight="1" thickBo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 spans="1:48" ht="14" customHeight="1" thickBo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 spans="1:48" ht="14" customHeight="1" thickBo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 spans="1:48" ht="14" customHeight="1" thickBo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 spans="1:48" ht="14" customHeight="1" thickBo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 spans="1:48" ht="14" customHeight="1" thickBo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 spans="1:48" ht="14" customHeight="1" thickBo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 spans="1:48" ht="14" customHeight="1" thickBo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 spans="1:48" ht="14" customHeight="1" thickBo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 spans="1:48" ht="14" customHeight="1" thickBo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 spans="1:48" ht="14" customHeight="1" thickBo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 spans="1:48" ht="14" customHeight="1" thickBo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 spans="1:48" ht="14" customHeight="1" thickBo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 spans="1:48" ht="14" customHeight="1" thickBo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 spans="1:48" ht="14" customHeight="1" thickBo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 spans="1:48" ht="14" customHeight="1" thickBo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 spans="1:48" ht="14" customHeight="1" thickBo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 spans="1:48" ht="14" customHeight="1" thickBo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 spans="1:48" ht="14" customHeight="1" thickBo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 spans="1:48" ht="14" customHeight="1" thickBo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 spans="1:48" ht="14" customHeight="1" thickBo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 spans="1:48" ht="14" customHeight="1" thickBo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 spans="1:48" ht="14" customHeight="1" thickBo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 spans="1:48" ht="14" customHeight="1" thickBo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 spans="1:48" ht="14" customHeight="1" thickBo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 spans="1:48" ht="14" customHeight="1" thickBo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 spans="1:48" ht="14" customHeight="1" thickBo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 spans="1:48" ht="14" customHeight="1" thickBo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 spans="1:48" ht="14" customHeight="1" thickBo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 spans="1:48" ht="14" customHeight="1" thickBo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 spans="1:48" ht="14" customHeight="1" thickBo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 spans="1:48" ht="14" customHeight="1" thickBo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 spans="1:48" ht="14" customHeight="1" thickBo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 spans="1:48" ht="14" customHeight="1" thickBo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 spans="1:48" ht="14" customHeight="1" thickBo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 spans="1:48" ht="14" customHeight="1" thickBo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 spans="1:48" ht="14" customHeight="1" thickBo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 spans="1:48" ht="14" customHeight="1" thickBo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 spans="1:48" ht="14" customHeight="1" thickBo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 spans="1:48" ht="14" customHeight="1" thickBo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 spans="1:48" ht="14" customHeight="1" thickBo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 spans="1:48" ht="14" customHeight="1" thickBo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 spans="1:48" ht="14" customHeight="1" thickBo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 spans="1:48" ht="14" customHeight="1" thickBo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 spans="1:48" ht="14" customHeight="1" thickBo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 spans="1:48" ht="14" customHeight="1" thickBo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 spans="1:48" ht="14" customHeight="1" thickBo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 spans="1:48" ht="14" customHeight="1" thickBo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 spans="1:48" ht="14" customHeight="1" thickBo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 spans="1:48" ht="14" customHeight="1" thickBo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 spans="1:48" ht="14" customHeight="1" thickBo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 spans="1:48" ht="14" customHeight="1" thickBo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 spans="1:48" ht="14" customHeight="1" thickBo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 spans="1:48" ht="14" customHeight="1" thickBo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 spans="1:48" ht="14" customHeight="1" thickBo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 spans="1:48" ht="14" customHeight="1" thickBo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 spans="1:48" ht="14" customHeight="1" thickBo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 spans="1:48" ht="14" customHeight="1" thickBo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 spans="1:48" ht="14" customHeight="1" thickBo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 spans="1:48" ht="14" customHeight="1" thickBo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 spans="1:48" ht="14" customHeight="1" thickBo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 spans="1:48" ht="14" customHeight="1" thickBo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 spans="1:48" ht="14" customHeight="1" thickBo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 spans="1:48" ht="14" customHeight="1" thickBo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 spans="1:48" ht="14" customHeight="1" thickBo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 spans="1:48" ht="14" customHeight="1" thickBo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 spans="1:48" ht="14" customHeight="1" thickBo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 spans="1:48" ht="14" customHeight="1" thickBo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 spans="1:48" ht="14" customHeight="1" thickBo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 spans="1:48" ht="14" customHeight="1" thickBo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 spans="1:48" ht="14" customHeight="1" thickBo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 spans="1:48" ht="14" customHeight="1" thickBo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 spans="1:48" ht="14" customHeight="1" thickBo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 spans="1:48" ht="14" customHeight="1" thickBo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 spans="1:48" ht="14" customHeight="1" thickBo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 spans="1:48" ht="14" customHeight="1" thickBo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 spans="1:48" ht="14" customHeight="1" thickBo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 spans="1:48" ht="14" customHeight="1" thickBo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 spans="1:48" ht="14" customHeight="1" thickBo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 spans="1:48" ht="14" customHeight="1" thickBo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 spans="1:48" ht="14" customHeight="1" thickBo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 spans="1:48" ht="14" customHeight="1" thickBo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 spans="1:48" ht="14" customHeight="1" thickBo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 spans="1:48" ht="14" customHeight="1" thickBo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 spans="1:48" ht="14" customHeight="1" thickBo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 spans="1:48" ht="14" customHeight="1" thickBo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 spans="1:48" ht="14" customHeight="1" thickBo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 spans="1:48" ht="14" customHeight="1" thickBo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 spans="1:48" ht="14" customHeight="1" thickBo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 spans="1:48" ht="14" customHeight="1" thickBo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 spans="1:48" ht="14" customHeight="1" thickBo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 spans="1:48" ht="14" customHeight="1" thickBo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 spans="1:48" ht="14" customHeight="1" thickBo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 spans="1:48" ht="14" customHeight="1" thickBo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 spans="1:48" ht="14" customHeight="1" thickBo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 spans="1:48" ht="14" customHeight="1" thickBo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 spans="1:48" ht="14" customHeight="1" thickBo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 spans="1:48" ht="14" customHeight="1" thickBo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 spans="1:48" ht="14" customHeight="1" thickBo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 spans="1:48" ht="14" customHeight="1" thickBo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 spans="1:48" ht="14" customHeight="1" thickBo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 spans="1:48" ht="14" customHeight="1" thickBo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 spans="1:48" ht="14" customHeight="1" thickBo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 spans="1:48" ht="14" customHeight="1" thickBo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 spans="1:48" ht="14" customHeight="1" thickBo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 spans="1:48" ht="14" customHeight="1" thickBo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 spans="1:48" ht="14" customHeight="1" thickBo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 spans="1:48" ht="14" customHeight="1" thickBo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 spans="1:48" ht="14" customHeight="1" thickBo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 spans="1:48" ht="14" customHeight="1" thickBo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 spans="1:48" ht="14" customHeight="1" thickBo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 spans="1:48" ht="14" customHeight="1" thickBo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 spans="1:48" ht="14" customHeight="1" thickBo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 spans="1:48" ht="14" customHeight="1" thickBo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 spans="1:48" ht="14" customHeight="1" thickBo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 spans="1:48" ht="14" customHeight="1" thickBo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 spans="1:48" ht="14" customHeight="1" thickBo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 spans="1:48" ht="14" customHeight="1" thickBo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 spans="1:48" ht="14" customHeight="1" thickBo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 spans="1:48" ht="14" customHeight="1" thickBo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 spans="1:48" ht="14" customHeight="1" thickBo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 spans="1:48" ht="14" customHeight="1" thickBo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 spans="1:48" ht="14" customHeight="1" thickBo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 spans="1:48" ht="14" customHeight="1" thickBo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 spans="1:48" ht="14" customHeight="1" thickBo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 spans="1:48" ht="14" customHeight="1" thickBo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 spans="1:48" ht="14" customHeight="1" thickBo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 spans="1:48" ht="14" customHeight="1" thickBo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 spans="1:48" ht="14" customHeight="1" thickBo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 spans="1:48" ht="14" customHeight="1" thickBo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 spans="1:48" ht="14" customHeight="1" thickBo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 spans="1:48" ht="14" customHeight="1" thickBo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 spans="1:48" ht="14" customHeight="1" thickBo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 spans="1:48" ht="14" customHeight="1" thickBo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 spans="1:48" ht="14" customHeight="1" thickBo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 spans="1:48" ht="14" customHeight="1" thickBo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 spans="1:48" ht="14" customHeight="1" thickBo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 spans="1:48" ht="14" customHeight="1" thickBo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 spans="1:48" ht="14" customHeight="1" thickBo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 spans="1:48" ht="14" customHeight="1" thickBo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 spans="1:48" ht="14" customHeight="1" thickBo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 spans="1:48" ht="14" customHeight="1" thickBo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 spans="1:48" ht="14" customHeight="1" thickBo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 spans="1:48" ht="14" customHeight="1" thickBo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 spans="1:48" ht="14" customHeight="1" thickBo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 spans="1:48" ht="14" customHeight="1" thickBo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 spans="1:48" ht="14" customHeight="1" thickBo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 spans="1:48" ht="14" customHeight="1" thickBo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 spans="1:48" ht="14" customHeight="1" thickBo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 spans="1:48" ht="14" customHeight="1" thickBo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 spans="1:48" ht="14" customHeight="1" thickBo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 spans="1:48" ht="14" customHeight="1" thickBo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 spans="1:48" ht="14" customHeight="1" thickBo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 spans="1:48" ht="14" customHeight="1" thickBo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 spans="1:48" ht="14" customHeight="1" thickBo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 spans="1:48" ht="14" customHeight="1" thickBo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 spans="1:48" ht="14" customHeight="1" thickBo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 spans="1:48" ht="14" customHeight="1" thickBo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 spans="1:48" ht="14" customHeight="1" thickBo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 spans="1:48" ht="14" customHeight="1" thickBo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 spans="1:48" ht="14" customHeight="1" thickBo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 spans="1:48" ht="14" customHeight="1" thickBo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 spans="1:48" ht="14" customHeight="1" thickBo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 spans="1:48" ht="14" customHeight="1" thickBo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 spans="1:48" ht="14" customHeight="1" thickBo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 spans="1:48" ht="14" customHeight="1" thickBo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 spans="1:48" ht="14" customHeight="1" thickBo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 spans="1:48" ht="14" customHeight="1" thickBo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 spans="1:48" ht="14" customHeight="1" thickBo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 spans="1:48" ht="14" customHeight="1" thickBo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 spans="1:48" ht="14" customHeight="1" thickBo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 spans="1:48" ht="14" customHeight="1" thickBo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 spans="1:48" ht="14" customHeight="1" thickBo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 spans="1:48" ht="14" customHeight="1" thickBo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 spans="1:48" ht="14" customHeight="1" thickBo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 spans="1:48" ht="14" customHeight="1" thickBo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 spans="1:48" ht="14" customHeight="1" thickBo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 spans="1:48" ht="14" customHeight="1" thickBo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 spans="1:48" ht="14" customHeight="1" thickBo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 spans="1:48" ht="14" customHeight="1" thickBo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 spans="1:48" ht="14" customHeight="1" thickBo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 spans="1:48" ht="14" customHeight="1" thickBo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 spans="1:48" ht="14" customHeight="1" thickBo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 spans="1:48" ht="14" customHeight="1" thickBo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 spans="1:48" ht="14" customHeight="1" thickBo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 spans="1:48" ht="14" customHeight="1" thickBo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 spans="1:48" ht="14" customHeight="1" thickBo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 spans="1:48" ht="14" customHeight="1" thickBo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 spans="1:48" ht="14" customHeight="1" thickBo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 spans="1:48" ht="14" customHeight="1" thickBo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 spans="1:48" ht="14" customHeight="1" thickBo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 spans="1:48" ht="14" customHeight="1" thickBo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 spans="1:48" ht="14" customHeight="1" thickBo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 spans="1:48" ht="14" customHeight="1" thickBo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 spans="1:48" ht="14" customHeight="1" thickBo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 spans="1:48" ht="14" customHeight="1" thickBo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 spans="1:48" ht="14" customHeight="1" thickBo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 spans="1:48" ht="14" customHeight="1" thickBo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 spans="1:48" ht="14" customHeight="1" thickBo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 spans="1:48" ht="14" customHeight="1" thickBo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 spans="1:48" ht="14" customHeight="1" thickBo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 spans="1:48" ht="14" customHeight="1" thickBo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 spans="1:48" ht="14" customHeight="1" thickBo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 spans="1:48" ht="14" customHeight="1" thickBo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 spans="1:48" ht="14" customHeight="1" thickBo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 spans="1:48" ht="14" customHeight="1" thickBo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 spans="1:48" ht="14" customHeight="1" thickBo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 spans="1:48" ht="14" customHeight="1" thickBo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 spans="1:48" ht="14" customHeight="1" thickBo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 spans="1:48" ht="14" customHeight="1" thickBo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 spans="1:48" ht="14" customHeight="1" thickBo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 spans="1:48" ht="14" customHeight="1" thickBo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 spans="1:48" ht="14" customHeight="1" thickBo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 spans="1:48" ht="14" customHeight="1" thickBo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 spans="1:48" ht="14" customHeight="1" thickBo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 spans="1:48" ht="14" customHeight="1" thickBo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 spans="1:48" ht="14" customHeight="1" thickBo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 spans="1:48" ht="14" customHeight="1" thickBo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 spans="1:48" ht="14" customHeight="1" thickBo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 spans="1:48" ht="14" customHeight="1" thickBo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 spans="1:48" ht="14" customHeight="1" thickBo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 spans="1:48" ht="14" customHeight="1" thickBo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 spans="1:48" ht="14" customHeight="1" thickBo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 spans="1:48" ht="14" customHeight="1" thickBo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 spans="1:48" ht="14" customHeight="1" thickBo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 spans="1:48" ht="14" customHeight="1" thickBo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 spans="1:48" ht="14" customHeight="1" thickBo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 spans="1:48" ht="14" customHeight="1" thickBo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 spans="1:48" ht="14" customHeight="1" thickBo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 spans="1:48" ht="14" customHeight="1" thickBo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 spans="1:48" ht="14" customHeight="1" thickBo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 spans="1:48" ht="14" customHeight="1" thickBo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 spans="1:48" ht="14" customHeight="1" thickBo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 spans="1:48" ht="14" customHeight="1" thickBo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</sheetData>
  <mergeCells count="1">
    <mergeCell ref="A9:E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8CD1-7886-4823-974E-B600145CC16B}">
  <dimension ref="A1:W63"/>
  <sheetViews>
    <sheetView view="pageBreakPreview" topLeftCell="A16" zoomScaleNormal="120" zoomScaleSheetLayoutView="100" workbookViewId="0">
      <selection activeCell="B30" sqref="B30:C30"/>
    </sheetView>
  </sheetViews>
  <sheetFormatPr defaultRowHeight="14"/>
  <cols>
    <col min="1" max="1" width="4" customWidth="1"/>
    <col min="2" max="2" width="11.75" customWidth="1"/>
    <col min="3" max="3" width="30.5" customWidth="1"/>
    <col min="4" max="6" width="9" style="184" customWidth="1"/>
    <col min="7" max="7" width="11.25" customWidth="1"/>
    <col min="8" max="8" width="7.75" customWidth="1"/>
    <col min="10" max="10" width="13" customWidth="1"/>
  </cols>
  <sheetData>
    <row r="1" spans="1:23" ht="18">
      <c r="A1" s="259" t="s">
        <v>75</v>
      </c>
      <c r="B1" s="259"/>
      <c r="C1" s="259"/>
      <c r="D1" s="259"/>
      <c r="E1" s="259"/>
      <c r="F1" s="259"/>
      <c r="G1" s="259"/>
      <c r="H1" s="259"/>
      <c r="I1" s="259"/>
      <c r="J1" s="30"/>
    </row>
    <row r="2" spans="1:23" ht="18.5" thickBot="1">
      <c r="A2" s="260" t="s">
        <v>76</v>
      </c>
      <c r="B2" s="260"/>
      <c r="C2" s="260"/>
      <c r="D2" s="260"/>
      <c r="E2" s="260"/>
      <c r="F2" s="260"/>
      <c r="G2" s="260"/>
      <c r="H2" s="260"/>
      <c r="I2" s="260"/>
      <c r="J2" s="30"/>
    </row>
    <row r="4" spans="1:23">
      <c r="A4" t="s">
        <v>77</v>
      </c>
      <c r="C4" t="s">
        <v>317</v>
      </c>
      <c r="E4" s="357" t="s">
        <v>79</v>
      </c>
      <c r="F4" s="357"/>
      <c r="G4" t="s">
        <v>249</v>
      </c>
    </row>
    <row r="5" spans="1:23">
      <c r="A5" t="s">
        <v>41</v>
      </c>
      <c r="C5" s="31" t="s">
        <v>318</v>
      </c>
      <c r="E5" s="357" t="s">
        <v>81</v>
      </c>
      <c r="F5" s="357"/>
      <c r="G5" t="s">
        <v>250</v>
      </c>
    </row>
    <row r="6" spans="1:23">
      <c r="A6" t="s">
        <v>42</v>
      </c>
      <c r="C6" t="s">
        <v>319</v>
      </c>
    </row>
    <row r="7" spans="1:23">
      <c r="A7" t="s">
        <v>83</v>
      </c>
      <c r="C7" t="s">
        <v>108</v>
      </c>
    </row>
    <row r="8" spans="1:23">
      <c r="A8" t="s">
        <v>85</v>
      </c>
      <c r="C8" t="s">
        <v>86</v>
      </c>
    </row>
    <row r="9" spans="1:23">
      <c r="A9" t="s">
        <v>87</v>
      </c>
      <c r="C9" t="s">
        <v>288</v>
      </c>
    </row>
    <row r="11" spans="1:23">
      <c r="C11" s="32"/>
      <c r="D11" s="185"/>
      <c r="E11" s="185"/>
      <c r="F11" s="185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</row>
    <row r="12" spans="1:23" s="102" customFormat="1" ht="12.5">
      <c r="C12" s="103"/>
      <c r="D12" s="261" t="str">
        <f>'ListMKSmt-1'!B2</f>
        <v>MK16</v>
      </c>
      <c r="E12" s="262"/>
      <c r="F12" s="262"/>
      <c r="G12" s="263" t="s">
        <v>88</v>
      </c>
      <c r="H12" s="263" t="s">
        <v>89</v>
      </c>
    </row>
    <row r="13" spans="1:23" s="102" customFormat="1" ht="12.5">
      <c r="C13" s="103"/>
      <c r="D13" s="261" t="str">
        <f>'ListMKSmt-1'!D2</f>
        <v>P.24.05.52.3.11</v>
      </c>
      <c r="E13" s="262"/>
      <c r="F13" s="262"/>
      <c r="G13" s="264"/>
      <c r="H13" s="264"/>
    </row>
    <row r="14" spans="1:23" s="102" customFormat="1" ht="12.5">
      <c r="C14" s="103"/>
      <c r="D14" s="261" t="str">
        <f>'ListMKSmt-1'!E2</f>
        <v>Akuntansi Keuangan Menengah 1</v>
      </c>
      <c r="E14" s="262"/>
      <c r="F14" s="262"/>
      <c r="G14" s="264"/>
      <c r="H14" s="264"/>
    </row>
    <row r="15" spans="1:23" s="102" customFormat="1" ht="12.5">
      <c r="C15" s="103"/>
      <c r="D15" s="186" t="s">
        <v>114</v>
      </c>
      <c r="E15" s="186" t="s">
        <v>114</v>
      </c>
      <c r="F15" s="186" t="s">
        <v>114</v>
      </c>
      <c r="G15" s="264"/>
      <c r="H15" s="264"/>
    </row>
    <row r="16" spans="1:23" s="102" customFormat="1" ht="12.5">
      <c r="C16" s="103"/>
      <c r="D16" s="186" t="s">
        <v>148</v>
      </c>
      <c r="E16" s="186" t="s">
        <v>150</v>
      </c>
      <c r="F16" s="186" t="s">
        <v>286</v>
      </c>
      <c r="G16" s="264"/>
      <c r="H16" s="264"/>
    </row>
    <row r="17" spans="1:8" s="102" customFormat="1" ht="12.5">
      <c r="C17" s="103"/>
      <c r="D17" s="186">
        <v>23</v>
      </c>
      <c r="E17" s="186">
        <v>42</v>
      </c>
      <c r="F17" s="186">
        <v>35</v>
      </c>
      <c r="G17" s="265"/>
      <c r="H17" s="265"/>
    </row>
    <row r="18" spans="1:8" s="102" customFormat="1" ht="13">
      <c r="A18" s="104" t="s">
        <v>0</v>
      </c>
      <c r="B18" s="104" t="s">
        <v>1</v>
      </c>
      <c r="C18" s="104" t="s">
        <v>2</v>
      </c>
      <c r="D18" s="187"/>
      <c r="E18" s="187"/>
      <c r="F18" s="187"/>
      <c r="G18" s="104"/>
      <c r="H18" s="104"/>
    </row>
    <row r="19" spans="1:8" s="102" customFormat="1" ht="12.5">
      <c r="A19" s="105">
        <v>1</v>
      </c>
      <c r="B19" s="106" t="s">
        <v>183</v>
      </c>
      <c r="C19" s="106" t="s">
        <v>184</v>
      </c>
      <c r="D19" s="188">
        <v>83.7</v>
      </c>
      <c r="E19" s="188">
        <v>82.26</v>
      </c>
      <c r="F19" s="188">
        <v>88.86</v>
      </c>
      <c r="G19" s="107">
        <f>IFERROR((D19*($D$17/100))+(E19*($E$17/100))+(F19*($F$17/100)),"")</f>
        <v>84.901200000000003</v>
      </c>
      <c r="H19" s="107" t="str">
        <f>IFERROR(VLOOKUP(G19,[1]Sheet1!$AA$1:$AB$10,2),"")</f>
        <v>A-</v>
      </c>
    </row>
    <row r="20" spans="1:8" s="102" customFormat="1" ht="12.5">
      <c r="A20" s="105">
        <v>2</v>
      </c>
      <c r="B20" s="106" t="s">
        <v>185</v>
      </c>
      <c r="C20" s="106" t="s">
        <v>344</v>
      </c>
      <c r="D20" s="188">
        <v>79.13</v>
      </c>
      <c r="E20" s="188">
        <v>73.569999999999993</v>
      </c>
      <c r="F20" s="188">
        <v>84.71</v>
      </c>
      <c r="G20" s="107">
        <f t="shared" ref="G20:G50" si="0">IFERROR((D20*($D$17/100))+(E20*($E$17/100))+(F20*($F$17/100)),"")</f>
        <v>78.747799999999998</v>
      </c>
      <c r="H20" s="107" t="str">
        <f>IFERROR(VLOOKUP(G20,[1]Sheet1!$AA$1:$AB$10,2),"")</f>
        <v>B+</v>
      </c>
    </row>
    <row r="21" spans="1:8" s="102" customFormat="1" ht="12.5">
      <c r="A21" s="105">
        <v>3</v>
      </c>
      <c r="B21" s="106" t="s">
        <v>187</v>
      </c>
      <c r="C21" s="106" t="s">
        <v>188</v>
      </c>
      <c r="D21" s="188">
        <v>78.91</v>
      </c>
      <c r="E21" s="188">
        <v>72.260000000000005</v>
      </c>
      <c r="F21" s="188">
        <v>74</v>
      </c>
      <c r="G21" s="107">
        <f t="shared" si="0"/>
        <v>74.398499999999999</v>
      </c>
      <c r="H21" s="107" t="str">
        <f>IFERROR(VLOOKUP(G21,[1]Sheet1!$AA$1:$AB$10,2),"")</f>
        <v>B</v>
      </c>
    </row>
    <row r="22" spans="1:8" s="102" customFormat="1" ht="12.5">
      <c r="A22" s="105">
        <v>4</v>
      </c>
      <c r="B22" s="106" t="s">
        <v>189</v>
      </c>
      <c r="C22" s="106" t="s">
        <v>190</v>
      </c>
      <c r="D22" s="188">
        <v>66.739999999999995</v>
      </c>
      <c r="E22" s="188">
        <v>58.21</v>
      </c>
      <c r="F22" s="188">
        <v>72.14</v>
      </c>
      <c r="G22" s="107">
        <f t="shared" si="0"/>
        <v>65.047399999999996</v>
      </c>
      <c r="H22" s="107" t="str">
        <f>IFERROR(VLOOKUP(G22,[1]Sheet1!$AA$1:$AB$10,2),"")</f>
        <v>C+</v>
      </c>
    </row>
    <row r="23" spans="1:8" s="102" customFormat="1" ht="12.5">
      <c r="A23" s="105">
        <v>5</v>
      </c>
      <c r="B23" s="106" t="s">
        <v>191</v>
      </c>
      <c r="C23" s="106" t="s">
        <v>192</v>
      </c>
      <c r="D23" s="188">
        <v>76.3</v>
      </c>
      <c r="E23" s="188">
        <v>69.64</v>
      </c>
      <c r="F23" s="188">
        <v>75</v>
      </c>
      <c r="G23" s="107">
        <f t="shared" si="0"/>
        <v>73.047799999999995</v>
      </c>
      <c r="H23" s="107" t="str">
        <f>IFERROR(VLOOKUP(G23,[1]Sheet1!$AA$1:$AB$10,2),"")</f>
        <v>B</v>
      </c>
    </row>
    <row r="24" spans="1:8" s="102" customFormat="1" ht="12.5">
      <c r="A24" s="105">
        <v>6</v>
      </c>
      <c r="B24" s="106" t="s">
        <v>193</v>
      </c>
      <c r="C24" s="106" t="s">
        <v>194</v>
      </c>
      <c r="D24" s="188">
        <v>64.13</v>
      </c>
      <c r="E24" s="188">
        <v>49.64</v>
      </c>
      <c r="F24" s="188">
        <v>55</v>
      </c>
      <c r="G24" s="107">
        <f t="shared" si="0"/>
        <v>54.848700000000001</v>
      </c>
      <c r="H24" s="107" t="str">
        <f>IFERROR(VLOOKUP(G24,[1]Sheet1!$AA$1:$AB$10,2),"")</f>
        <v>C-</v>
      </c>
    </row>
    <row r="25" spans="1:8" s="102" customFormat="1" ht="12.5">
      <c r="A25" s="105">
        <v>7</v>
      </c>
      <c r="B25" s="106" t="s">
        <v>195</v>
      </c>
      <c r="C25" s="106" t="s">
        <v>196</v>
      </c>
      <c r="D25" s="188">
        <v>92.17</v>
      </c>
      <c r="E25" s="188">
        <v>80.239999999999995</v>
      </c>
      <c r="F25" s="188">
        <v>61.57</v>
      </c>
      <c r="G25" s="107">
        <f t="shared" si="0"/>
        <v>76.449399999999997</v>
      </c>
      <c r="H25" s="107" t="str">
        <f>IFERROR(VLOOKUP(G25,[1]Sheet1!$AA$1:$AB$10,2),"")</f>
        <v>B+</v>
      </c>
    </row>
    <row r="26" spans="1:8" s="102" customFormat="1" ht="12.5">
      <c r="A26" s="105">
        <v>8</v>
      </c>
      <c r="B26" s="106" t="s">
        <v>197</v>
      </c>
      <c r="C26" s="106" t="s">
        <v>198</v>
      </c>
      <c r="D26" s="188">
        <v>72.83</v>
      </c>
      <c r="E26" s="188">
        <v>67.739999999999995</v>
      </c>
      <c r="F26" s="188">
        <v>80.709999999999994</v>
      </c>
      <c r="G26" s="107">
        <f t="shared" si="0"/>
        <v>73.450199999999995</v>
      </c>
      <c r="H26" s="107" t="str">
        <f>IFERROR(VLOOKUP(G26,[1]Sheet1!$AA$1:$AB$10,2),"")</f>
        <v>B</v>
      </c>
    </row>
    <row r="27" spans="1:8" s="102" customFormat="1" ht="12.5">
      <c r="A27" s="105">
        <v>9</v>
      </c>
      <c r="B27" s="106" t="s">
        <v>199</v>
      </c>
      <c r="C27" s="106" t="s">
        <v>200</v>
      </c>
      <c r="D27" s="188">
        <v>70.959999999999994</v>
      </c>
      <c r="E27" s="188">
        <v>62.9</v>
      </c>
      <c r="F27" s="188">
        <v>77.03</v>
      </c>
      <c r="G27" s="107">
        <f t="shared" si="0"/>
        <v>69.699299999999994</v>
      </c>
      <c r="H27" s="107" t="str">
        <f>IFERROR(VLOOKUP(G27,[1]Sheet1!$AA$1:$AB$10,2),"")</f>
        <v>B-</v>
      </c>
    </row>
    <row r="28" spans="1:8" s="102" customFormat="1" ht="12.5">
      <c r="A28" s="105">
        <v>10</v>
      </c>
      <c r="B28" s="106" t="s">
        <v>201</v>
      </c>
      <c r="C28" s="106" t="s">
        <v>202</v>
      </c>
      <c r="D28" s="188">
        <v>89.13</v>
      </c>
      <c r="E28" s="188">
        <v>82.86</v>
      </c>
      <c r="F28" s="188">
        <v>84.86</v>
      </c>
      <c r="G28" s="107">
        <f t="shared" si="0"/>
        <v>85.002099999999999</v>
      </c>
      <c r="H28" s="107" t="str">
        <f>IFERROR(VLOOKUP(G28,[1]Sheet1!$AA$1:$AB$10,2),"")</f>
        <v>A-</v>
      </c>
    </row>
    <row r="29" spans="1:8" s="102" customFormat="1" ht="12.5">
      <c r="A29" s="105">
        <v>11</v>
      </c>
      <c r="B29" s="106" t="s">
        <v>203</v>
      </c>
      <c r="C29" s="106" t="s">
        <v>204</v>
      </c>
      <c r="D29" s="188">
        <v>87.91</v>
      </c>
      <c r="E29" s="188">
        <v>82.67</v>
      </c>
      <c r="F29" s="188">
        <v>86.31</v>
      </c>
      <c r="G29" s="107">
        <f t="shared" si="0"/>
        <v>85.149200000000008</v>
      </c>
      <c r="H29" s="107" t="str">
        <f>IFERROR(VLOOKUP(G29,[1]Sheet1!$AA$1:$AB$10,2),"")</f>
        <v>A-</v>
      </c>
    </row>
    <row r="30" spans="1:8" s="102" customFormat="1" ht="12.5">
      <c r="A30" s="105">
        <v>12</v>
      </c>
      <c r="B30" s="106" t="s">
        <v>205</v>
      </c>
      <c r="C30" s="106" t="s">
        <v>206</v>
      </c>
      <c r="D30" s="188">
        <v>0</v>
      </c>
      <c r="E30" s="188">
        <v>0</v>
      </c>
      <c r="F30" s="188">
        <v>0</v>
      </c>
      <c r="G30" s="107">
        <f t="shared" si="0"/>
        <v>0</v>
      </c>
      <c r="H30" s="107" t="str">
        <f>IFERROR(VLOOKUP(G30,[1]Sheet1!$AA$1:$AB$10,2),"")</f>
        <v>E</v>
      </c>
    </row>
    <row r="31" spans="1:8" s="102" customFormat="1" ht="12.5">
      <c r="A31" s="105">
        <v>13</v>
      </c>
      <c r="B31" s="106" t="s">
        <v>207</v>
      </c>
      <c r="C31" s="106" t="s">
        <v>208</v>
      </c>
      <c r="D31" s="188">
        <v>81.739999999999995</v>
      </c>
      <c r="E31" s="188">
        <v>73.81</v>
      </c>
      <c r="F31" s="188">
        <v>82.57</v>
      </c>
      <c r="G31" s="107">
        <f t="shared" si="0"/>
        <v>78.699899999999985</v>
      </c>
      <c r="H31" s="107" t="str">
        <f>IFERROR(VLOOKUP(G31,[1]Sheet1!$AA$1:$AB$10,2),"")</f>
        <v>B+</v>
      </c>
    </row>
    <row r="32" spans="1:8" s="102" customFormat="1" ht="12.5">
      <c r="A32" s="105">
        <v>14</v>
      </c>
      <c r="B32" s="106" t="s">
        <v>209</v>
      </c>
      <c r="C32" s="106" t="s">
        <v>210</v>
      </c>
      <c r="D32" s="188">
        <v>93.91</v>
      </c>
      <c r="E32" s="188">
        <v>88.57</v>
      </c>
      <c r="F32" s="188">
        <v>86</v>
      </c>
      <c r="G32" s="107">
        <f t="shared" si="0"/>
        <v>88.898699999999991</v>
      </c>
      <c r="H32" s="107" t="str">
        <f>IFERROR(VLOOKUP(G32,[1]Sheet1!$AA$1:$AB$10,2),"")</f>
        <v>A-</v>
      </c>
    </row>
    <row r="33" spans="1:8" s="102" customFormat="1" ht="12.5">
      <c r="A33" s="105">
        <v>15</v>
      </c>
      <c r="B33" s="106" t="s">
        <v>211</v>
      </c>
      <c r="C33" s="106" t="s">
        <v>212</v>
      </c>
      <c r="D33" s="188">
        <v>76.09</v>
      </c>
      <c r="E33" s="188">
        <v>69.290000000000006</v>
      </c>
      <c r="F33" s="188">
        <v>86.71</v>
      </c>
      <c r="G33" s="107">
        <f t="shared" si="0"/>
        <v>76.950999999999993</v>
      </c>
      <c r="H33" s="107" t="str">
        <f>IFERROR(VLOOKUP(G33,[1]Sheet1!$AA$1:$AB$10,2),"")</f>
        <v>B+</v>
      </c>
    </row>
    <row r="34" spans="1:8" s="102" customFormat="1" ht="12.5">
      <c r="A34" s="105">
        <v>16</v>
      </c>
      <c r="B34" s="106" t="s">
        <v>213</v>
      </c>
      <c r="C34" s="106" t="s">
        <v>214</v>
      </c>
      <c r="D34" s="188">
        <v>81.3</v>
      </c>
      <c r="E34" s="188">
        <v>74.52</v>
      </c>
      <c r="F34" s="188">
        <v>79.86</v>
      </c>
      <c r="G34" s="107">
        <f t="shared" si="0"/>
        <v>77.948399999999992</v>
      </c>
      <c r="H34" s="107" t="str">
        <f>IFERROR(VLOOKUP(G34,[1]Sheet1!$AA$1:$AB$10,2),"")</f>
        <v>B+</v>
      </c>
    </row>
    <row r="35" spans="1:8" s="102" customFormat="1" ht="12.5">
      <c r="A35" s="105">
        <v>17</v>
      </c>
      <c r="B35" s="106" t="s">
        <v>215</v>
      </c>
      <c r="C35" s="106" t="s">
        <v>216</v>
      </c>
      <c r="D35" s="188">
        <v>91.74</v>
      </c>
      <c r="E35" s="188">
        <v>80.95</v>
      </c>
      <c r="F35" s="188">
        <v>64.290000000000006</v>
      </c>
      <c r="G35" s="107">
        <f t="shared" si="0"/>
        <v>77.600700000000003</v>
      </c>
      <c r="H35" s="107" t="str">
        <f>IFERROR(VLOOKUP(G35,[1]Sheet1!$AA$1:$AB$10,2),"")</f>
        <v>B+</v>
      </c>
    </row>
    <row r="36" spans="1:8" s="102" customFormat="1" ht="12.5">
      <c r="A36" s="105">
        <v>18</v>
      </c>
      <c r="B36" s="106" t="s">
        <v>217</v>
      </c>
      <c r="C36" s="106" t="s">
        <v>218</v>
      </c>
      <c r="D36" s="188">
        <v>83.91</v>
      </c>
      <c r="E36" s="188">
        <v>72.38</v>
      </c>
      <c r="F36" s="188">
        <v>65.430000000000007</v>
      </c>
      <c r="G36" s="107">
        <f t="shared" si="0"/>
        <v>72.599400000000003</v>
      </c>
      <c r="H36" s="107" t="str">
        <f>IFERROR(VLOOKUP(G36,[1]Sheet1!$AA$1:$AB$10,2),"")</f>
        <v>B</v>
      </c>
    </row>
    <row r="37" spans="1:8" s="102" customFormat="1" ht="12.5">
      <c r="A37" s="105">
        <v>19</v>
      </c>
      <c r="B37" s="106" t="s">
        <v>219</v>
      </c>
      <c r="C37" s="106" t="s">
        <v>220</v>
      </c>
      <c r="D37" s="188">
        <v>83.7</v>
      </c>
      <c r="E37" s="188">
        <v>80.599999999999994</v>
      </c>
      <c r="F37" s="188">
        <v>82.71</v>
      </c>
      <c r="G37" s="107">
        <f t="shared" si="0"/>
        <v>82.05149999999999</v>
      </c>
      <c r="H37" s="107" t="str">
        <f>IFERROR(VLOOKUP(G37,[1]Sheet1!$AA$1:$AB$10,2),"")</f>
        <v>B+</v>
      </c>
    </row>
    <row r="38" spans="1:8" s="102" customFormat="1" ht="12.5">
      <c r="A38" s="105">
        <v>20</v>
      </c>
      <c r="B38" s="106" t="s">
        <v>221</v>
      </c>
      <c r="C38" s="106" t="s">
        <v>222</v>
      </c>
      <c r="D38" s="188">
        <v>47.35</v>
      </c>
      <c r="E38" s="188">
        <v>42.12</v>
      </c>
      <c r="F38" s="188">
        <v>37.909999999999997</v>
      </c>
      <c r="G38" s="107">
        <f t="shared" si="0"/>
        <v>41.849399999999996</v>
      </c>
      <c r="H38" s="107" t="str">
        <f>IFERROR(VLOOKUP(G38,[1]Sheet1!$AA$1:$AB$10,2),"")</f>
        <v>E</v>
      </c>
    </row>
    <row r="39" spans="1:8" s="102" customFormat="1" ht="12.5">
      <c r="A39" s="105">
        <v>21</v>
      </c>
      <c r="B39" s="106" t="s">
        <v>223</v>
      </c>
      <c r="C39" s="106" t="s">
        <v>224</v>
      </c>
      <c r="D39" s="188">
        <v>89.13</v>
      </c>
      <c r="E39" s="188">
        <v>78.81</v>
      </c>
      <c r="F39" s="188">
        <v>67</v>
      </c>
      <c r="G39" s="107">
        <f t="shared" si="0"/>
        <v>77.0501</v>
      </c>
      <c r="H39" s="107" t="str">
        <f>IFERROR(VLOOKUP(G39,[1]Sheet1!$AA$1:$AB$10,2),"")</f>
        <v>B+</v>
      </c>
    </row>
    <row r="40" spans="1:8" s="102" customFormat="1" ht="12.5">
      <c r="A40" s="105">
        <v>22</v>
      </c>
      <c r="B40" s="106" t="s">
        <v>225</v>
      </c>
      <c r="C40" s="106" t="s">
        <v>226</v>
      </c>
      <c r="D40" s="188">
        <v>82.61</v>
      </c>
      <c r="E40" s="188">
        <v>75.239999999999995</v>
      </c>
      <c r="F40" s="188">
        <v>77.709999999999994</v>
      </c>
      <c r="G40" s="107">
        <f t="shared" si="0"/>
        <v>77.799599999999998</v>
      </c>
      <c r="H40" s="107" t="str">
        <f>IFERROR(VLOOKUP(G40,[1]Sheet1!$AA$1:$AB$10,2),"")</f>
        <v>B+</v>
      </c>
    </row>
    <row r="41" spans="1:8" s="102" customFormat="1">
      <c r="A41" s="105">
        <v>23</v>
      </c>
      <c r="B41" s="4" t="s">
        <v>284</v>
      </c>
      <c r="C41" s="109" t="s">
        <v>285</v>
      </c>
      <c r="D41" s="188">
        <v>84.78</v>
      </c>
      <c r="E41" s="188">
        <v>82.02</v>
      </c>
      <c r="F41" s="188">
        <v>80.569999999999993</v>
      </c>
      <c r="G41" s="107">
        <f t="shared" si="0"/>
        <v>82.147300000000001</v>
      </c>
      <c r="H41" s="107" t="str">
        <f>IFERROR(VLOOKUP(G41,[1]Sheet1!$AA$1:$AB$10,2),"")</f>
        <v>B+</v>
      </c>
    </row>
    <row r="42" spans="1:8" s="102" customFormat="1">
      <c r="A42" s="105">
        <v>24</v>
      </c>
      <c r="B42" s="4" t="s">
        <v>282</v>
      </c>
      <c r="C42" s="4" t="s">
        <v>283</v>
      </c>
      <c r="D42" s="188">
        <v>73.91</v>
      </c>
      <c r="E42" s="188">
        <v>69.52</v>
      </c>
      <c r="F42" s="188">
        <v>74</v>
      </c>
      <c r="G42" s="107">
        <f t="shared" si="0"/>
        <v>72.097700000000003</v>
      </c>
      <c r="H42" s="107" t="str">
        <f>IFERROR(VLOOKUP(G42,[1]Sheet1!$AA$1:$AB$10,2),"")</f>
        <v>B</v>
      </c>
    </row>
    <row r="43" spans="1:8" s="102" customFormat="1" ht="12.5">
      <c r="A43" s="105">
        <v>25</v>
      </c>
      <c r="B43" s="106" t="s">
        <v>227</v>
      </c>
      <c r="C43" s="106" t="s">
        <v>253</v>
      </c>
      <c r="D43" s="188">
        <v>78</v>
      </c>
      <c r="E43" s="188">
        <v>62.24</v>
      </c>
      <c r="F43" s="188">
        <v>39.200000000000003</v>
      </c>
      <c r="G43" s="107">
        <f t="shared" si="0"/>
        <v>57.800799999999995</v>
      </c>
      <c r="H43" s="107" t="str">
        <f>IFERROR(VLOOKUP(G43,[1]Sheet1!$AA$1:$AB$10,2),"")</f>
        <v>C</v>
      </c>
    </row>
    <row r="44" spans="1:8" s="102" customFormat="1" ht="12.5">
      <c r="A44" s="105">
        <v>26</v>
      </c>
      <c r="B44" s="106" t="s">
        <v>229</v>
      </c>
      <c r="C44" s="106" t="s">
        <v>230</v>
      </c>
      <c r="D44" s="188">
        <v>82.48</v>
      </c>
      <c r="E44" s="188">
        <v>80.400000000000006</v>
      </c>
      <c r="F44" s="188">
        <v>81.17</v>
      </c>
      <c r="G44" s="107">
        <f t="shared" si="0"/>
        <v>81.147899999999993</v>
      </c>
      <c r="H44" s="107" t="str">
        <f>IFERROR(VLOOKUP(G44,[1]Sheet1!$AA$1:$AB$10,2),"")</f>
        <v>B+</v>
      </c>
    </row>
    <row r="45" spans="1:8" s="102" customFormat="1" ht="12.5">
      <c r="A45" s="105">
        <v>27</v>
      </c>
      <c r="B45" s="106" t="s">
        <v>231</v>
      </c>
      <c r="C45" s="106" t="s">
        <v>232</v>
      </c>
      <c r="D45" s="188">
        <v>92.26</v>
      </c>
      <c r="E45" s="188">
        <v>89.45</v>
      </c>
      <c r="F45" s="188">
        <v>84.6</v>
      </c>
      <c r="G45" s="107">
        <f t="shared" si="0"/>
        <v>88.398800000000008</v>
      </c>
      <c r="H45" s="107" t="str">
        <f>IFERROR(VLOOKUP(G45,[1]Sheet1!$AA$1:$AB$10,2),"")</f>
        <v>A-</v>
      </c>
    </row>
    <row r="46" spans="1:8" s="102" customFormat="1" ht="12.5">
      <c r="A46" s="105">
        <v>28</v>
      </c>
      <c r="B46" s="106" t="s">
        <v>233</v>
      </c>
      <c r="C46" s="106" t="s">
        <v>234</v>
      </c>
      <c r="D46" s="188">
        <v>70.959999999999994</v>
      </c>
      <c r="E46" s="188">
        <v>74.33</v>
      </c>
      <c r="F46" s="188">
        <v>88.17</v>
      </c>
      <c r="G46" s="107">
        <f t="shared" si="0"/>
        <v>78.398899999999998</v>
      </c>
      <c r="H46" s="107" t="str">
        <f>IFERROR(VLOOKUP(G46,[1]Sheet1!$AA$1:$AB$10,2),"")</f>
        <v>B+</v>
      </c>
    </row>
    <row r="47" spans="1:8" s="102" customFormat="1" ht="12.5">
      <c r="A47" s="105">
        <v>29</v>
      </c>
      <c r="B47" s="106" t="s">
        <v>237</v>
      </c>
      <c r="C47" s="106" t="s">
        <v>238</v>
      </c>
      <c r="D47" s="188">
        <v>78.7</v>
      </c>
      <c r="E47" s="188">
        <v>80.12</v>
      </c>
      <c r="F47" s="188">
        <v>85.71</v>
      </c>
      <c r="G47" s="107">
        <f t="shared" si="0"/>
        <v>81.749899999999997</v>
      </c>
      <c r="H47" s="107" t="str">
        <f>IFERROR(VLOOKUP(G47,[1]Sheet1!$AA$1:$AB$10,2),"")</f>
        <v>B+</v>
      </c>
    </row>
    <row r="48" spans="1:8" s="102" customFormat="1" ht="12.5">
      <c r="A48" s="105">
        <v>30</v>
      </c>
      <c r="B48" s="106" t="s">
        <v>239</v>
      </c>
      <c r="C48" s="106" t="s">
        <v>240</v>
      </c>
      <c r="D48" s="188">
        <v>95.43</v>
      </c>
      <c r="E48" s="188">
        <v>95.71</v>
      </c>
      <c r="F48" s="188">
        <v>98.29</v>
      </c>
      <c r="G48" s="107">
        <f t="shared" si="0"/>
        <v>96.548599999999993</v>
      </c>
      <c r="H48" s="107" t="str">
        <f>IFERROR(VLOOKUP(G48,[1]Sheet1!$AA$1:$AB$10,2),"")</f>
        <v>A</v>
      </c>
    </row>
    <row r="49" spans="1:8" s="102" customFormat="1" ht="12.5">
      <c r="A49" s="105">
        <v>31</v>
      </c>
      <c r="B49" s="106" t="s">
        <v>241</v>
      </c>
      <c r="C49" s="106" t="s">
        <v>242</v>
      </c>
      <c r="D49" s="188">
        <v>88.48</v>
      </c>
      <c r="E49" s="188">
        <v>86.31</v>
      </c>
      <c r="F49" s="188">
        <v>84.86</v>
      </c>
      <c r="G49" s="107">
        <f t="shared" si="0"/>
        <v>86.301599999999993</v>
      </c>
      <c r="H49" s="107" t="str">
        <f>IFERROR(VLOOKUP(G49,[1]Sheet1!$AA$1:$AB$10,2),"")</f>
        <v>A-</v>
      </c>
    </row>
    <row r="50" spans="1:8" s="102" customFormat="1" ht="12.5">
      <c r="A50" s="105">
        <v>32</v>
      </c>
      <c r="B50" s="106" t="s">
        <v>243</v>
      </c>
      <c r="C50" s="106" t="s">
        <v>244</v>
      </c>
      <c r="D50" s="188">
        <v>90.52</v>
      </c>
      <c r="E50" s="188">
        <v>88.62</v>
      </c>
      <c r="F50" s="188">
        <v>84.6</v>
      </c>
      <c r="G50" s="107">
        <f t="shared" si="0"/>
        <v>87.649999999999991</v>
      </c>
      <c r="H50" s="107" t="str">
        <f>IFERROR(VLOOKUP(G50,[1]Sheet1!$AA$1:$AB$10,2),"")</f>
        <v>A-</v>
      </c>
    </row>
    <row r="51" spans="1:8" s="102" customFormat="1" ht="12.5">
      <c r="A51" s="108"/>
      <c r="B51" s="109"/>
      <c r="D51" s="189"/>
      <c r="E51" s="189"/>
      <c r="F51" s="189"/>
      <c r="G51" s="110"/>
      <c r="H51" s="110"/>
    </row>
    <row r="52" spans="1:8" s="102" customFormat="1" ht="13" thickBot="1">
      <c r="C52" s="103"/>
      <c r="D52" s="185" t="str">
        <f>D16</f>
        <v>CPMK022</v>
      </c>
      <c r="E52" s="185" t="str">
        <f>E16</f>
        <v>CPMK024</v>
      </c>
      <c r="F52" s="185" t="str">
        <f>F16</f>
        <v>CPMK025</v>
      </c>
      <c r="G52" s="111" t="str">
        <f>G12</f>
        <v>Nilai Akhir MK</v>
      </c>
    </row>
    <row r="53" spans="1:8" s="102" customFormat="1" ht="13" thickBot="1">
      <c r="C53" s="112" t="s">
        <v>180</v>
      </c>
      <c r="D53" s="190">
        <f>IFERROR(COUNTIF(D19:D50,""),"")</f>
        <v>0</v>
      </c>
      <c r="E53" s="190">
        <f>IFERROR(COUNTIF(E19:E50,""),"")</f>
        <v>0</v>
      </c>
      <c r="F53" s="190">
        <f>IFERROR(COUNTIF(F19:F50,""),"")</f>
        <v>0</v>
      </c>
      <c r="G53" s="190">
        <f>IFERROR(COUNTIF(G19:G50,""),"")</f>
        <v>0</v>
      </c>
    </row>
    <row r="54" spans="1:8" s="102" customFormat="1" ht="13" thickBot="1">
      <c r="C54" s="114" t="s">
        <v>94</v>
      </c>
      <c r="D54" s="197">
        <f>IFERROR(COUNTIF(D19:D50,C54)+COUNTIF(D19:D50,""),"")-D53</f>
        <v>3</v>
      </c>
      <c r="E54" s="197">
        <f>IFERROR(COUNTIF(E19:E50,C54)+COUNTIF(E19:E50,""),"")-E53</f>
        <v>6</v>
      </c>
      <c r="F54" s="197">
        <f>IFERROR(COUNTIF(F19:F50,C54)+COUNTIF(F19:F50,""),"")-F53</f>
        <v>6</v>
      </c>
      <c r="G54" s="152">
        <f>IFERROR(COUNTIF(G19:G50,C54)+COUNTIF(G19:G50,""),"")-G53</f>
        <v>4</v>
      </c>
    </row>
    <row r="55" spans="1:8" s="102" customFormat="1" ht="13" thickBot="1">
      <c r="C55" s="115" t="s">
        <v>95</v>
      </c>
      <c r="D55" s="191">
        <f>IFERROR(COUNTIF(D19:D50,C55)-D54,"")</f>
        <v>19</v>
      </c>
      <c r="E55" s="191">
        <f>IFERROR(COUNTIF(E19:E50,$C$55)-E54,"")</f>
        <v>21</v>
      </c>
      <c r="F55" s="191">
        <f>IFERROR(COUNTIF(F19:F50,$C$55)-F54,"")</f>
        <v>19</v>
      </c>
      <c r="G55" s="117">
        <f>IFERROR(COUNTIF(G19:G50,C55)-G54,"")</f>
        <v>21</v>
      </c>
    </row>
    <row r="56" spans="1:8" s="102" customFormat="1" ht="13" thickBot="1">
      <c r="C56" s="118" t="s">
        <v>96</v>
      </c>
      <c r="D56" s="192">
        <f>COUNTIF(D19:D50,$C$56)</f>
        <v>10</v>
      </c>
      <c r="E56" s="192">
        <f>COUNTIF(E19:E50,$C$56)</f>
        <v>5</v>
      </c>
      <c r="F56" s="192">
        <f>COUNTIF(F19:F50,$C$56)</f>
        <v>7</v>
      </c>
      <c r="G56" s="119">
        <f>IFERROR(COUNTIF(G19:G50,C56),"")</f>
        <v>7</v>
      </c>
    </row>
    <row r="57" spans="1:8" s="102" customFormat="1" ht="13" thickBot="1">
      <c r="C57" s="120" t="s">
        <v>74</v>
      </c>
      <c r="D57" s="193">
        <f>SUM(D53:D56)</f>
        <v>32</v>
      </c>
      <c r="E57" s="193">
        <f t="shared" ref="E57:F57" si="1">SUM(E53:E56)</f>
        <v>32</v>
      </c>
      <c r="F57" s="193">
        <f t="shared" si="1"/>
        <v>32</v>
      </c>
      <c r="G57" s="121">
        <f t="shared" ref="G57" si="2">SUM(G53:G56)</f>
        <v>32</v>
      </c>
    </row>
    <row r="58" spans="1:8" s="102" customFormat="1" ht="13" thickBot="1">
      <c r="C58" s="122"/>
      <c r="D58" s="185"/>
      <c r="E58" s="185"/>
      <c r="F58" s="185"/>
      <c r="G58" s="111"/>
    </row>
    <row r="59" spans="1:8" s="102" customFormat="1" ht="13" thickBot="1">
      <c r="C59" s="123" t="s">
        <v>97</v>
      </c>
      <c r="D59" s="194">
        <f>(D55+D56)/(D57-D53)</f>
        <v>0.90625</v>
      </c>
      <c r="E59" s="194"/>
      <c r="F59" s="194">
        <f>(F55+F56)/(F57-F53)</f>
        <v>0.8125</v>
      </c>
      <c r="G59" s="124">
        <f>(G55+G56)/(G57-G53)</f>
        <v>0.875</v>
      </c>
    </row>
    <row r="60" spans="1:8" s="102" customFormat="1" ht="13" thickBot="1">
      <c r="C60" s="122"/>
      <c r="D60" s="185"/>
      <c r="E60" s="185"/>
      <c r="F60" s="185"/>
      <c r="G60" s="111"/>
    </row>
    <row r="61" spans="1:8" s="102" customFormat="1" ht="13" thickBot="1">
      <c r="C61" s="123" t="s">
        <v>98</v>
      </c>
      <c r="D61" s="195">
        <f>MIN(D19:D50)</f>
        <v>0</v>
      </c>
      <c r="E61" s="195"/>
      <c r="F61" s="195">
        <f>MIN(F19:F50)</f>
        <v>0</v>
      </c>
      <c r="G61" s="125">
        <f>IFERROR(MIN(G19:G50),"")</f>
        <v>0</v>
      </c>
    </row>
    <row r="62" spans="1:8" s="102" customFormat="1" ht="13" thickBot="1">
      <c r="C62" s="123" t="s">
        <v>99</v>
      </c>
      <c r="D62" s="195">
        <f>MAX(D19:D36)</f>
        <v>93.91</v>
      </c>
      <c r="E62" s="195"/>
      <c r="F62" s="195">
        <f>MAX(F19:F50)</f>
        <v>98.29</v>
      </c>
      <c r="G62" s="125">
        <f>IFERROR(MAX(G19:G50),"")</f>
        <v>96.548599999999993</v>
      </c>
    </row>
    <row r="63" spans="1:8" s="102" customFormat="1" ht="13" thickBot="1">
      <c r="C63" s="123" t="s">
        <v>100</v>
      </c>
      <c r="D63" s="196">
        <f>AVERAGE(D19:D50)</f>
        <v>78.403437499999981</v>
      </c>
      <c r="E63" s="196"/>
      <c r="F63" s="196">
        <f>AVERAGE(F19:F50)</f>
        <v>74.110937500000006</v>
      </c>
      <c r="G63" s="126">
        <f>IFERROR(AVERAGE(G19:G50),"")</f>
        <v>74.513493749999995</v>
      </c>
    </row>
  </sheetData>
  <mergeCells count="9">
    <mergeCell ref="A1:I1"/>
    <mergeCell ref="A2:I2"/>
    <mergeCell ref="D12:F12"/>
    <mergeCell ref="G12:G17"/>
    <mergeCell ref="H12:H17"/>
    <mergeCell ref="D13:F13"/>
    <mergeCell ref="D14:F14"/>
    <mergeCell ref="E4:F4"/>
    <mergeCell ref="E5:F5"/>
  </mergeCells>
  <phoneticPr fontId="21" type="noConversion"/>
  <printOptions horizontalCentered="1"/>
  <pageMargins left="0.19685039370078741" right="0.11811023622047245" top="0.15748031496062992" bottom="0.15748031496062992" header="0" footer="0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2041-C74A-47E8-90FF-E348C56994EA}">
  <sheetPr>
    <pageSetUpPr fitToPage="1"/>
  </sheetPr>
  <dimension ref="A1:V64"/>
  <sheetViews>
    <sheetView view="pageBreakPreview" topLeftCell="A19" zoomScaleNormal="100" zoomScaleSheetLayoutView="100" workbookViewId="0">
      <selection activeCell="F8" sqref="F8"/>
    </sheetView>
  </sheetViews>
  <sheetFormatPr defaultRowHeight="14"/>
  <cols>
    <col min="1" max="1" width="4" customWidth="1"/>
    <col min="2" max="2" width="12.83203125" customWidth="1"/>
    <col min="3" max="3" width="34.25" customWidth="1"/>
    <col min="4" max="7" width="11.1640625" customWidth="1"/>
    <col min="9" max="9" width="13" customWidth="1"/>
  </cols>
  <sheetData>
    <row r="1" spans="1:22" ht="18">
      <c r="A1" s="259" t="s">
        <v>75</v>
      </c>
      <c r="B1" s="259"/>
      <c r="C1" s="259"/>
      <c r="D1" s="259"/>
      <c r="E1" s="259"/>
      <c r="F1" s="259"/>
      <c r="G1" s="259"/>
      <c r="H1" s="259"/>
      <c r="I1" s="30"/>
    </row>
    <row r="2" spans="1:22" ht="18.5" thickBot="1">
      <c r="A2" s="260" t="s">
        <v>76</v>
      </c>
      <c r="B2" s="260"/>
      <c r="C2" s="260"/>
      <c r="D2" s="260"/>
      <c r="E2" s="260"/>
      <c r="F2" s="260"/>
      <c r="G2" s="260"/>
      <c r="H2" s="260"/>
      <c r="I2" s="30"/>
    </row>
    <row r="4" spans="1:22">
      <c r="A4" t="s">
        <v>77</v>
      </c>
      <c r="C4" t="s">
        <v>317</v>
      </c>
      <c r="E4" t="s">
        <v>79</v>
      </c>
      <c r="F4" t="s">
        <v>249</v>
      </c>
    </row>
    <row r="5" spans="1:22">
      <c r="A5" t="s">
        <v>41</v>
      </c>
      <c r="C5" s="31" t="s">
        <v>320</v>
      </c>
      <c r="D5" s="31"/>
      <c r="E5" t="s">
        <v>81</v>
      </c>
      <c r="F5" t="s">
        <v>250</v>
      </c>
    </row>
    <row r="6" spans="1:22">
      <c r="A6" t="s">
        <v>42</v>
      </c>
      <c r="C6" t="s">
        <v>321</v>
      </c>
    </row>
    <row r="7" spans="1:22">
      <c r="A7" t="s">
        <v>83</v>
      </c>
      <c r="C7" t="s">
        <v>108</v>
      </c>
    </row>
    <row r="8" spans="1:22">
      <c r="A8" t="s">
        <v>85</v>
      </c>
      <c r="C8" t="s">
        <v>86</v>
      </c>
    </row>
    <row r="9" spans="1:22">
      <c r="A9" t="s">
        <v>87</v>
      </c>
      <c r="C9" t="s">
        <v>324</v>
      </c>
    </row>
    <row r="10" spans="1:22">
      <c r="C10" t="s">
        <v>325</v>
      </c>
    </row>
    <row r="11" spans="1:22">
      <c r="C11" s="32"/>
      <c r="D11" s="32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spans="1:22" s="102" customFormat="1" ht="12.5">
      <c r="C12" s="103"/>
      <c r="D12" s="266" t="s">
        <v>299</v>
      </c>
      <c r="E12" s="266"/>
      <c r="F12" s="263" t="s">
        <v>88</v>
      </c>
      <c r="G12" s="263" t="s">
        <v>89</v>
      </c>
    </row>
    <row r="13" spans="1:22" s="102" customFormat="1" ht="12.5">
      <c r="C13" s="103"/>
      <c r="D13" s="266" t="str">
        <f>'ListMKSmt-1'!D3</f>
        <v>P.24.05.52.3.12</v>
      </c>
      <c r="E13" s="266"/>
      <c r="F13" s="264"/>
      <c r="G13" s="264"/>
    </row>
    <row r="14" spans="1:22" s="102" customFormat="1" ht="12.5">
      <c r="C14" s="103"/>
      <c r="D14" s="266" t="str">
        <f>TRIM(MID(C6,3,100))</f>
        <v>Statistika 1</v>
      </c>
      <c r="E14" s="266"/>
      <c r="F14" s="264"/>
      <c r="G14" s="264"/>
    </row>
    <row r="15" spans="1:22" s="102" customFormat="1" ht="12.5">
      <c r="C15" s="103"/>
      <c r="D15" s="208" t="s">
        <v>103</v>
      </c>
      <c r="E15" s="208" t="s">
        <v>103</v>
      </c>
      <c r="F15" s="264"/>
      <c r="G15" s="264"/>
    </row>
    <row r="16" spans="1:22" s="102" customFormat="1" ht="12.5">
      <c r="C16" s="103"/>
      <c r="D16" s="208" t="s">
        <v>322</v>
      </c>
      <c r="E16" s="208" t="s">
        <v>323</v>
      </c>
      <c r="F16" s="264"/>
      <c r="G16" s="264"/>
    </row>
    <row r="17" spans="1:8" s="102" customFormat="1" ht="12.5">
      <c r="C17" s="103"/>
      <c r="D17" s="208">
        <v>50</v>
      </c>
      <c r="E17" s="208">
        <v>50</v>
      </c>
      <c r="F17" s="265"/>
      <c r="G17" s="265"/>
    </row>
    <row r="18" spans="1:8" s="131" customFormat="1" ht="13">
      <c r="A18" s="104" t="s">
        <v>0</v>
      </c>
      <c r="B18" s="104" t="s">
        <v>1</v>
      </c>
      <c r="C18" s="104" t="s">
        <v>2</v>
      </c>
      <c r="D18" s="104"/>
      <c r="E18" s="104"/>
      <c r="F18" s="104"/>
      <c r="G18" s="104"/>
      <c r="H18" s="132"/>
    </row>
    <row r="19" spans="1:8" s="102" customFormat="1" ht="12.5">
      <c r="A19" s="105">
        <v>1</v>
      </c>
      <c r="B19" s="106" t="s">
        <v>183</v>
      </c>
      <c r="C19" s="106" t="s">
        <v>184</v>
      </c>
      <c r="D19" s="107">
        <v>86.5</v>
      </c>
      <c r="E19" s="107">
        <v>86.5</v>
      </c>
      <c r="F19" s="107">
        <f>IFERROR((D19*($D$17/100))+(E19*($E$17/100)),"")</f>
        <v>86.5</v>
      </c>
      <c r="G19" s="107" t="str">
        <f>IFERROR(VLOOKUP(F19,[2]Sheet1!$AA$1:$AB$10,2),"")</f>
        <v>A-</v>
      </c>
    </row>
    <row r="20" spans="1:8" s="102" customFormat="1" ht="12.5">
      <c r="A20" s="105">
        <v>2</v>
      </c>
      <c r="B20" s="106" t="s">
        <v>185</v>
      </c>
      <c r="C20" s="106" t="s">
        <v>186</v>
      </c>
      <c r="D20" s="107">
        <v>75.7</v>
      </c>
      <c r="E20" s="107">
        <v>75.7</v>
      </c>
      <c r="F20" s="107">
        <f t="shared" ref="F20:F50" si="0">IFERROR((D20*($D$17/100))+(E20*($E$17/100)),"")</f>
        <v>75.7</v>
      </c>
      <c r="G20" s="107" t="str">
        <f>IFERROR(VLOOKUP(F20,[2]Sheet1!$AA$1:$AB$10,2),"")</f>
        <v>B+</v>
      </c>
    </row>
    <row r="21" spans="1:8" s="102" customFormat="1" ht="12.5">
      <c r="A21" s="105">
        <v>3</v>
      </c>
      <c r="B21" s="106" t="s">
        <v>187</v>
      </c>
      <c r="C21" s="106" t="s">
        <v>188</v>
      </c>
      <c r="D21" s="107">
        <v>81.3</v>
      </c>
      <c r="E21" s="107">
        <v>81.3</v>
      </c>
      <c r="F21" s="107">
        <f t="shared" si="0"/>
        <v>81.3</v>
      </c>
      <c r="G21" s="107" t="str">
        <f>IFERROR(VLOOKUP(F21,[2]Sheet1!$AA$1:$AB$10,2),"")</f>
        <v>B+</v>
      </c>
    </row>
    <row r="22" spans="1:8" s="102" customFormat="1" ht="12.5">
      <c r="A22" s="105">
        <v>4</v>
      </c>
      <c r="B22" s="106" t="s">
        <v>189</v>
      </c>
      <c r="C22" s="106" t="s">
        <v>190</v>
      </c>
      <c r="D22" s="107">
        <v>82</v>
      </c>
      <c r="E22" s="107">
        <v>70.099999999999994</v>
      </c>
      <c r="F22" s="107">
        <f t="shared" si="0"/>
        <v>76.05</v>
      </c>
      <c r="G22" s="107" t="str">
        <f>IFERROR(VLOOKUP(F22,[2]Sheet1!$AA$1:$AB$10,2),"")</f>
        <v>B+</v>
      </c>
    </row>
    <row r="23" spans="1:8" s="102" customFormat="1" ht="12.5">
      <c r="A23" s="105">
        <v>5</v>
      </c>
      <c r="B23" s="106" t="s">
        <v>191</v>
      </c>
      <c r="C23" s="106" t="s">
        <v>192</v>
      </c>
      <c r="D23" s="107">
        <v>82</v>
      </c>
      <c r="E23" s="107">
        <v>70.099999999999994</v>
      </c>
      <c r="F23" s="107">
        <f t="shared" si="0"/>
        <v>76.05</v>
      </c>
      <c r="G23" s="107" t="str">
        <f>IFERROR(VLOOKUP(F23,[2]Sheet1!$AA$1:$AB$10,2),"")</f>
        <v>B+</v>
      </c>
    </row>
    <row r="24" spans="1:8" s="102" customFormat="1" ht="12.5">
      <c r="A24" s="105">
        <v>6</v>
      </c>
      <c r="B24" s="106" t="s">
        <v>193</v>
      </c>
      <c r="C24" s="106" t="s">
        <v>194</v>
      </c>
      <c r="D24" s="107">
        <v>57.5</v>
      </c>
      <c r="E24" s="107">
        <v>73.599999999999994</v>
      </c>
      <c r="F24" s="107">
        <f t="shared" si="0"/>
        <v>65.55</v>
      </c>
      <c r="G24" s="107" t="str">
        <f>IFERROR(VLOOKUP(F24,[2]Sheet1!$AA$1:$AB$10,2),"")</f>
        <v>B-</v>
      </c>
    </row>
    <row r="25" spans="1:8" s="102" customFormat="1" ht="12.5">
      <c r="A25" s="105">
        <v>7</v>
      </c>
      <c r="B25" s="106" t="s">
        <v>195</v>
      </c>
      <c r="C25" s="106" t="s">
        <v>196</v>
      </c>
      <c r="D25" s="107">
        <v>81.3</v>
      </c>
      <c r="E25" s="107">
        <v>81.3</v>
      </c>
      <c r="F25" s="107">
        <f t="shared" si="0"/>
        <v>81.3</v>
      </c>
      <c r="G25" s="107" t="str">
        <f>IFERROR(VLOOKUP(F25,[2]Sheet1!$AA$1:$AB$10,2),"")</f>
        <v>B+</v>
      </c>
    </row>
    <row r="26" spans="1:8" s="102" customFormat="1" ht="12.5">
      <c r="A26" s="105">
        <v>8</v>
      </c>
      <c r="B26" s="106" t="s">
        <v>197</v>
      </c>
      <c r="C26" s="106" t="s">
        <v>198</v>
      </c>
      <c r="D26" s="107">
        <v>73.599999999999994</v>
      </c>
      <c r="E26" s="107">
        <v>68.7</v>
      </c>
      <c r="F26" s="107">
        <f t="shared" si="0"/>
        <v>71.150000000000006</v>
      </c>
      <c r="G26" s="107" t="str">
        <f>IFERROR(VLOOKUP(F26,[2]Sheet1!$AA$1:$AB$10,2),"")</f>
        <v>B</v>
      </c>
    </row>
    <row r="27" spans="1:8" s="102" customFormat="1" ht="12.5">
      <c r="A27" s="105">
        <v>9</v>
      </c>
      <c r="B27" s="106" t="s">
        <v>199</v>
      </c>
      <c r="C27" s="106" t="s">
        <v>200</v>
      </c>
      <c r="D27" s="107">
        <v>63.1</v>
      </c>
      <c r="E27" s="107">
        <v>59.6</v>
      </c>
      <c r="F27" s="107">
        <f t="shared" si="0"/>
        <v>61.35</v>
      </c>
      <c r="G27" s="107" t="str">
        <f>IFERROR(VLOOKUP(F27,[2]Sheet1!$AA$1:$AB$10,2),"")</f>
        <v>C+</v>
      </c>
    </row>
    <row r="28" spans="1:8" s="102" customFormat="1" ht="12.5">
      <c r="A28" s="105">
        <v>10</v>
      </c>
      <c r="B28" s="106" t="s">
        <v>201</v>
      </c>
      <c r="C28" s="106" t="s">
        <v>202</v>
      </c>
      <c r="D28" s="107">
        <v>77.099999999999994</v>
      </c>
      <c r="E28" s="107">
        <v>74.3</v>
      </c>
      <c r="F28" s="107">
        <f t="shared" si="0"/>
        <v>75.699999999999989</v>
      </c>
      <c r="G28" s="107" t="str">
        <f>IFERROR(VLOOKUP(F28,[2]Sheet1!$AA$1:$AB$10,2),"")</f>
        <v>B+</v>
      </c>
    </row>
    <row r="29" spans="1:8" s="102" customFormat="1" ht="12.5">
      <c r="A29" s="105">
        <v>12</v>
      </c>
      <c r="B29" s="106" t="s">
        <v>203</v>
      </c>
      <c r="C29" s="106" t="s">
        <v>204</v>
      </c>
      <c r="D29" s="107">
        <v>86</v>
      </c>
      <c r="E29" s="107">
        <v>86</v>
      </c>
      <c r="F29" s="107">
        <f t="shared" si="0"/>
        <v>86</v>
      </c>
      <c r="G29" s="107" t="str">
        <f>IFERROR(VLOOKUP(F29,[2]Sheet1!$AA$1:$AB$10,2),"")</f>
        <v>A-</v>
      </c>
    </row>
    <row r="30" spans="1:8" s="102" customFormat="1" ht="12.5">
      <c r="A30" s="105">
        <v>13</v>
      </c>
      <c r="B30" s="106" t="s">
        <v>205</v>
      </c>
      <c r="C30" s="106" t="s">
        <v>206</v>
      </c>
      <c r="D30" s="107">
        <v>0</v>
      </c>
      <c r="E30" s="107">
        <v>0</v>
      </c>
      <c r="F30" s="107">
        <f t="shared" si="0"/>
        <v>0</v>
      </c>
      <c r="G30" s="107" t="str">
        <f>IFERROR(VLOOKUP(F30,[2]Sheet1!$AA$1:$AB$10,2),"")</f>
        <v>E</v>
      </c>
    </row>
    <row r="31" spans="1:8" s="102" customFormat="1" ht="12.5">
      <c r="A31" s="105">
        <v>14</v>
      </c>
      <c r="B31" s="106" t="s">
        <v>207</v>
      </c>
      <c r="C31" s="106" t="s">
        <v>208</v>
      </c>
      <c r="D31" s="107">
        <v>71.5</v>
      </c>
      <c r="E31" s="107">
        <v>71.5</v>
      </c>
      <c r="F31" s="107">
        <f t="shared" si="0"/>
        <v>71.5</v>
      </c>
      <c r="G31" s="107" t="str">
        <f>IFERROR(VLOOKUP(F31,[2]Sheet1!$AA$1:$AB$10,2),"")</f>
        <v>B</v>
      </c>
    </row>
    <row r="32" spans="1:8" s="102" customFormat="1" ht="12.5">
      <c r="A32" s="105">
        <v>15</v>
      </c>
      <c r="B32" s="106" t="s">
        <v>209</v>
      </c>
      <c r="C32" s="106" t="s">
        <v>210</v>
      </c>
      <c r="D32" s="107">
        <v>81.099999999999994</v>
      </c>
      <c r="E32" s="107">
        <v>80.400000000000006</v>
      </c>
      <c r="F32" s="107">
        <f t="shared" si="0"/>
        <v>80.75</v>
      </c>
      <c r="G32" s="107" t="str">
        <f>IFERROR(VLOOKUP(F32,[2]Sheet1!$AA$1:$AB$10,2),"")</f>
        <v>B+</v>
      </c>
    </row>
    <row r="33" spans="1:7" s="102" customFormat="1" ht="12.5">
      <c r="A33" s="105">
        <v>16</v>
      </c>
      <c r="B33" s="106" t="s">
        <v>211</v>
      </c>
      <c r="C33" s="106" t="s">
        <v>212</v>
      </c>
      <c r="D33" s="107">
        <v>70.099999999999994</v>
      </c>
      <c r="E33" s="107">
        <v>70.8</v>
      </c>
      <c r="F33" s="107">
        <f t="shared" si="0"/>
        <v>70.449999999999989</v>
      </c>
      <c r="G33" s="107" t="str">
        <f>IFERROR(VLOOKUP(F33,[2]Sheet1!$AA$1:$AB$10,2),"")</f>
        <v>B</v>
      </c>
    </row>
    <row r="34" spans="1:7" s="102" customFormat="1" ht="12.5">
      <c r="A34" s="105">
        <v>17</v>
      </c>
      <c r="B34" s="106" t="s">
        <v>213</v>
      </c>
      <c r="C34" s="106" t="s">
        <v>214</v>
      </c>
      <c r="D34" s="107">
        <v>58.9</v>
      </c>
      <c r="E34" s="107">
        <v>62.4</v>
      </c>
      <c r="F34" s="107">
        <f t="shared" si="0"/>
        <v>60.65</v>
      </c>
      <c r="G34" s="107" t="str">
        <f>IFERROR(VLOOKUP(F34,[2]Sheet1!$AA$1:$AB$10,2),"")</f>
        <v>C+</v>
      </c>
    </row>
    <row r="35" spans="1:7" s="102" customFormat="1" ht="12.5">
      <c r="A35" s="105">
        <v>18</v>
      </c>
      <c r="B35" s="106" t="s">
        <v>215</v>
      </c>
      <c r="C35" s="106" t="s">
        <v>216</v>
      </c>
      <c r="D35" s="107">
        <v>80.400000000000006</v>
      </c>
      <c r="E35" s="107">
        <v>81.099999999999994</v>
      </c>
      <c r="F35" s="107">
        <f t="shared" si="0"/>
        <v>80.75</v>
      </c>
      <c r="G35" s="107" t="str">
        <f>IFERROR(VLOOKUP(F35,[2]Sheet1!$AA$1:$AB$10,2),"")</f>
        <v>B+</v>
      </c>
    </row>
    <row r="36" spans="1:7" s="102" customFormat="1" ht="12.5">
      <c r="A36" s="105">
        <v>19</v>
      </c>
      <c r="B36" s="106" t="s">
        <v>217</v>
      </c>
      <c r="C36" s="106" t="s">
        <v>218</v>
      </c>
      <c r="D36" s="107">
        <v>71.5</v>
      </c>
      <c r="E36" s="107">
        <v>70.099999999999994</v>
      </c>
      <c r="F36" s="107">
        <f t="shared" si="0"/>
        <v>70.8</v>
      </c>
      <c r="G36" s="107" t="str">
        <f>IFERROR(VLOOKUP(F36,[2]Sheet1!$AA$1:$AB$10,2),"")</f>
        <v>B</v>
      </c>
    </row>
    <row r="37" spans="1:7" s="102" customFormat="1" ht="12.5">
      <c r="A37" s="105">
        <v>20</v>
      </c>
      <c r="B37" s="106" t="s">
        <v>219</v>
      </c>
      <c r="C37" s="106" t="s">
        <v>220</v>
      </c>
      <c r="D37" s="107">
        <v>86.5</v>
      </c>
      <c r="E37" s="107">
        <v>86.5</v>
      </c>
      <c r="F37" s="107">
        <f t="shared" si="0"/>
        <v>86.5</v>
      </c>
      <c r="G37" s="107" t="str">
        <f>IFERROR(VLOOKUP(F37,[2]Sheet1!$AA$1:$AB$10,2),"")</f>
        <v>A-</v>
      </c>
    </row>
    <row r="38" spans="1:7" s="102" customFormat="1" ht="12.5">
      <c r="A38" s="105">
        <v>21</v>
      </c>
      <c r="B38" s="106" t="s">
        <v>221</v>
      </c>
      <c r="C38" s="106" t="s">
        <v>222</v>
      </c>
      <c r="D38" s="107">
        <v>66</v>
      </c>
      <c r="E38" s="107">
        <v>76.5</v>
      </c>
      <c r="F38" s="107">
        <f t="shared" si="0"/>
        <v>71.25</v>
      </c>
      <c r="G38" s="107" t="str">
        <f>IFERROR(VLOOKUP(F38,[2]Sheet1!$AA$1:$AB$10,2),"")</f>
        <v>B</v>
      </c>
    </row>
    <row r="39" spans="1:7" s="102" customFormat="1" ht="12.5">
      <c r="A39" s="105">
        <v>22</v>
      </c>
      <c r="B39" s="106" t="s">
        <v>223</v>
      </c>
      <c r="C39" s="106" t="s">
        <v>224</v>
      </c>
      <c r="D39" s="107">
        <v>81.099999999999994</v>
      </c>
      <c r="E39" s="107">
        <v>80.400000000000006</v>
      </c>
      <c r="F39" s="107">
        <f t="shared" si="0"/>
        <v>80.75</v>
      </c>
      <c r="G39" s="107" t="str">
        <f>IFERROR(VLOOKUP(F39,[2]Sheet1!$AA$1:$AB$10,2),"")</f>
        <v>B+</v>
      </c>
    </row>
    <row r="40" spans="1:7" s="102" customFormat="1" ht="12.5">
      <c r="A40" s="105">
        <v>23</v>
      </c>
      <c r="B40" s="106" t="s">
        <v>225</v>
      </c>
      <c r="C40" s="106" t="s">
        <v>226</v>
      </c>
      <c r="D40" s="107">
        <v>80.400000000000006</v>
      </c>
      <c r="E40" s="107">
        <v>81.099999999999994</v>
      </c>
      <c r="F40" s="107">
        <f t="shared" si="0"/>
        <v>80.75</v>
      </c>
      <c r="G40" s="107" t="str">
        <f>IFERROR(VLOOKUP(F40,[2]Sheet1!$AA$1:$AB$10,2),"")</f>
        <v>B+</v>
      </c>
    </row>
    <row r="41" spans="1:7" s="102" customFormat="1">
      <c r="A41" s="105">
        <v>24</v>
      </c>
      <c r="B41" s="4" t="s">
        <v>284</v>
      </c>
      <c r="C41" s="4" t="s">
        <v>285</v>
      </c>
      <c r="D41" s="107">
        <v>80.599999999999994</v>
      </c>
      <c r="E41" s="107">
        <v>73.599999999999994</v>
      </c>
      <c r="F41" s="107">
        <f t="shared" si="0"/>
        <v>77.099999999999994</v>
      </c>
      <c r="G41" s="107" t="str">
        <f>IFERROR(VLOOKUP(F41,[2]Sheet1!$AA$1:$AB$10,2),"")</f>
        <v>B+</v>
      </c>
    </row>
    <row r="42" spans="1:7" s="102" customFormat="1">
      <c r="A42" s="105">
        <v>25</v>
      </c>
      <c r="B42" s="4" t="s">
        <v>282</v>
      </c>
      <c r="C42" s="4" t="s">
        <v>283</v>
      </c>
      <c r="D42" s="107">
        <v>70.900000000000006</v>
      </c>
      <c r="E42" s="107">
        <v>70.900000000000006</v>
      </c>
      <c r="F42" s="107">
        <f t="shared" si="0"/>
        <v>70.900000000000006</v>
      </c>
      <c r="G42" s="107" t="str">
        <f>IFERROR(VLOOKUP(F42,[2]Sheet1!$AA$1:$AB$10,2),"")</f>
        <v>B</v>
      </c>
    </row>
    <row r="43" spans="1:7" s="102" customFormat="1">
      <c r="A43" s="105">
        <v>26</v>
      </c>
      <c r="B43" s="106" t="s">
        <v>227</v>
      </c>
      <c r="C43" s="106" t="s">
        <v>253</v>
      </c>
      <c r="D43" s="35">
        <v>85.2</v>
      </c>
      <c r="E43" s="35">
        <v>83.7</v>
      </c>
      <c r="F43" s="107">
        <f t="shared" si="0"/>
        <v>84.45</v>
      </c>
      <c r="G43" s="107" t="str">
        <f>IFERROR(VLOOKUP(F43,[2]Sheet1!$AA$1:$AB$10,2),"")</f>
        <v>A-</v>
      </c>
    </row>
    <row r="44" spans="1:7" s="102" customFormat="1">
      <c r="A44" s="105">
        <v>27</v>
      </c>
      <c r="B44" s="106" t="s">
        <v>229</v>
      </c>
      <c r="C44" s="106" t="s">
        <v>230</v>
      </c>
      <c r="D44" s="35">
        <v>92</v>
      </c>
      <c r="E44" s="35">
        <v>87.2</v>
      </c>
      <c r="F44" s="107">
        <f t="shared" si="0"/>
        <v>89.6</v>
      </c>
      <c r="G44" s="107" t="str">
        <f>IFERROR(VLOOKUP(F44,[2]Sheet1!$AA$1:$AB$10,2),"")</f>
        <v>A-</v>
      </c>
    </row>
    <row r="45" spans="1:7" s="102" customFormat="1">
      <c r="A45" s="105">
        <v>28</v>
      </c>
      <c r="B45" s="106" t="s">
        <v>231</v>
      </c>
      <c r="C45" s="106" t="s">
        <v>232</v>
      </c>
      <c r="D45" s="35">
        <v>92.7</v>
      </c>
      <c r="E45" s="35">
        <v>86.5</v>
      </c>
      <c r="F45" s="107">
        <f t="shared" si="0"/>
        <v>89.6</v>
      </c>
      <c r="G45" s="107" t="str">
        <f>IFERROR(VLOOKUP(F45,[2]Sheet1!$AA$1:$AB$10,2),"")</f>
        <v>A-</v>
      </c>
    </row>
    <row r="46" spans="1:7" s="102" customFormat="1">
      <c r="A46" s="105">
        <v>29</v>
      </c>
      <c r="B46" s="106" t="s">
        <v>233</v>
      </c>
      <c r="C46" s="106" t="s">
        <v>234</v>
      </c>
      <c r="D46" s="35">
        <v>85.8</v>
      </c>
      <c r="E46" s="35">
        <v>82.8</v>
      </c>
      <c r="F46" s="107">
        <f t="shared" si="0"/>
        <v>84.3</v>
      </c>
      <c r="G46" s="107" t="str">
        <f>IFERROR(VLOOKUP(F46,[2]Sheet1!$AA$1:$AB$10,2),"")</f>
        <v>B+</v>
      </c>
    </row>
    <row r="47" spans="1:7" s="102" customFormat="1">
      <c r="A47" s="105">
        <v>31</v>
      </c>
      <c r="B47" s="106" t="s">
        <v>237</v>
      </c>
      <c r="C47" s="106" t="s">
        <v>238</v>
      </c>
      <c r="D47" s="35">
        <v>90.6</v>
      </c>
      <c r="E47" s="35">
        <v>85.7</v>
      </c>
      <c r="F47" s="107">
        <f t="shared" si="0"/>
        <v>88.15</v>
      </c>
      <c r="G47" s="107" t="str">
        <f>IFERROR(VLOOKUP(F47,[2]Sheet1!$AA$1:$AB$10,2),"")</f>
        <v>A-</v>
      </c>
    </row>
    <row r="48" spans="1:7" s="102" customFormat="1">
      <c r="A48" s="105">
        <v>32</v>
      </c>
      <c r="B48" s="106" t="s">
        <v>239</v>
      </c>
      <c r="C48" s="106" t="s">
        <v>240</v>
      </c>
      <c r="D48" s="35">
        <v>92.7</v>
      </c>
      <c r="E48" s="35">
        <v>89.2</v>
      </c>
      <c r="F48" s="107">
        <f t="shared" si="0"/>
        <v>90.95</v>
      </c>
      <c r="G48" s="107" t="str">
        <f>IFERROR(VLOOKUP(F48,[2]Sheet1!$AA$1:$AB$10,2),"")</f>
        <v>A</v>
      </c>
    </row>
    <row r="49" spans="1:7" s="102" customFormat="1">
      <c r="A49" s="105">
        <v>33</v>
      </c>
      <c r="B49" s="106" t="s">
        <v>241</v>
      </c>
      <c r="C49" s="106" t="s">
        <v>242</v>
      </c>
      <c r="D49" s="35">
        <v>91.9</v>
      </c>
      <c r="E49" s="35">
        <v>92.1</v>
      </c>
      <c r="F49" s="107">
        <f t="shared" si="0"/>
        <v>92</v>
      </c>
      <c r="G49" s="107" t="str">
        <f>IFERROR(VLOOKUP(F49,[2]Sheet1!$AA$1:$AB$10,2),"")</f>
        <v>A</v>
      </c>
    </row>
    <row r="50" spans="1:7" s="102" customFormat="1">
      <c r="A50" s="105">
        <v>34</v>
      </c>
      <c r="B50" s="106" t="s">
        <v>243</v>
      </c>
      <c r="C50" s="106" t="s">
        <v>244</v>
      </c>
      <c r="D50" s="35">
        <v>89.3</v>
      </c>
      <c r="E50" s="35">
        <v>88.4</v>
      </c>
      <c r="F50" s="107">
        <f t="shared" si="0"/>
        <v>88.85</v>
      </c>
      <c r="G50" s="107" t="str">
        <f>IFERROR(VLOOKUP(F50,[2]Sheet1!$AA$1:$AB$10,2),"")</f>
        <v>A-</v>
      </c>
    </row>
    <row r="51" spans="1:7">
      <c r="A51" s="101"/>
      <c r="D51" s="129"/>
      <c r="E51" s="130"/>
      <c r="F51" s="130"/>
      <c r="G51" s="130"/>
    </row>
    <row r="52" spans="1:7">
      <c r="C52" s="32"/>
      <c r="D52" s="32"/>
      <c r="E52" s="33"/>
      <c r="F52" s="33"/>
    </row>
    <row r="53" spans="1:7" s="102" customFormat="1" ht="13" thickBot="1">
      <c r="C53" s="103"/>
      <c r="D53" s="111" t="str">
        <f>D16</f>
        <v>CPMK44</v>
      </c>
      <c r="E53" s="111" t="str">
        <f>E16</f>
        <v>CPMK46</v>
      </c>
      <c r="F53" s="111" t="s">
        <v>287</v>
      </c>
    </row>
    <row r="54" spans="1:7" s="102" customFormat="1" ht="13" thickBot="1">
      <c r="C54" s="112" t="s">
        <v>180</v>
      </c>
      <c r="D54" s="113">
        <f>IFERROR(COUNTIF(D19:D50,""),"")</f>
        <v>0</v>
      </c>
      <c r="E54" s="113">
        <f>IFERROR(COUNTIF(E19:E50,""),"")</f>
        <v>0</v>
      </c>
      <c r="F54" s="113">
        <f>IFERROR(COUNTIF(F19:F50,""),"")</f>
        <v>0</v>
      </c>
    </row>
    <row r="55" spans="1:7" s="150" customFormat="1" ht="13" thickBot="1">
      <c r="C55" s="151" t="s">
        <v>94</v>
      </c>
      <c r="D55" s="152">
        <f>IFERROR(COUNTIF(D19:D50,C55)+COUNTIF(D19:D50,""),"")-E54</f>
        <v>4</v>
      </c>
      <c r="E55" s="152">
        <f>IFERROR(COUNTIF(E19:E50,C55)+COUNTIF(E19:E50,""),"")-E54</f>
        <v>3</v>
      </c>
      <c r="F55" s="152">
        <f>IFERROR(COUNTIF(F19:F50,C55)+COUNTIF(F19:F50,""),"")-F54</f>
        <v>3</v>
      </c>
    </row>
    <row r="56" spans="1:7" s="102" customFormat="1" ht="13" thickBot="1">
      <c r="C56" s="115" t="s">
        <v>95</v>
      </c>
      <c r="D56" s="116">
        <f>IFERROR(COUNTIF(D19:D50,C56)-D55,"")</f>
        <v>17</v>
      </c>
      <c r="E56" s="116">
        <f>IFERROR(COUNTIF(E19:E50,C56)-E55,"")</f>
        <v>20</v>
      </c>
      <c r="F56" s="117">
        <f>IFERROR(COUNTIF(F19:F50,C56)-F55,"")</f>
        <v>20</v>
      </c>
    </row>
    <row r="57" spans="1:7" s="102" customFormat="1" ht="13" thickBot="1">
      <c r="C57" s="118" t="s">
        <v>96</v>
      </c>
      <c r="D57" s="119">
        <f>COUNTIF(D19:D50,C57)</f>
        <v>11</v>
      </c>
      <c r="E57" s="119">
        <f>IFERROR(COUNTIF(E19:E50,C57),"")</f>
        <v>9</v>
      </c>
      <c r="F57" s="119">
        <f>IFERROR(COUNTIF(F19:F50,C57),"")</f>
        <v>9</v>
      </c>
    </row>
    <row r="58" spans="1:7" s="102" customFormat="1" ht="13" thickBot="1">
      <c r="C58" s="120" t="s">
        <v>74</v>
      </c>
      <c r="D58" s="121">
        <f>SUM(D54:D57)</f>
        <v>32</v>
      </c>
      <c r="E58" s="121">
        <f>SUM(E54:E57)</f>
        <v>32</v>
      </c>
      <c r="F58" s="121">
        <f t="shared" ref="F58" si="1">SUM(F54:F57)</f>
        <v>32</v>
      </c>
    </row>
    <row r="59" spans="1:7" s="102" customFormat="1" ht="13" thickBot="1">
      <c r="C59" s="122"/>
      <c r="D59" s="111"/>
    </row>
    <row r="60" spans="1:7" s="102" customFormat="1" ht="13" thickBot="1">
      <c r="C60" s="123" t="s">
        <v>97</v>
      </c>
      <c r="D60" s="124">
        <f>(D56+D57)/(D58-D54)</f>
        <v>0.875</v>
      </c>
      <c r="E60" s="124">
        <f t="shared" ref="E60:F60" si="2">(E56+E57)/(E58-E54)</f>
        <v>0.90625</v>
      </c>
      <c r="F60" s="124">
        <f t="shared" si="2"/>
        <v>0.90625</v>
      </c>
    </row>
    <row r="61" spans="1:7" s="102" customFormat="1" ht="13" thickBot="1">
      <c r="C61" s="122"/>
      <c r="D61" s="111"/>
    </row>
    <row r="62" spans="1:7" s="102" customFormat="1" ht="13" thickBot="1">
      <c r="C62" s="123" t="s">
        <v>98</v>
      </c>
      <c r="D62" s="126">
        <f>MIN(D19:D50)</f>
        <v>0</v>
      </c>
      <c r="E62" s="126">
        <f>MIN(E19:E50)</f>
        <v>0</v>
      </c>
      <c r="F62" s="126">
        <f>IFERROR(MIN(F19:F50),"")</f>
        <v>0</v>
      </c>
    </row>
    <row r="63" spans="1:7" s="102" customFormat="1" ht="13" thickBot="1">
      <c r="C63" s="123" t="s">
        <v>99</v>
      </c>
      <c r="D63" s="126">
        <f>MAX(D19:D50)</f>
        <v>92.7</v>
      </c>
      <c r="E63" s="126">
        <f>MAX(E19:E50)</f>
        <v>92.1</v>
      </c>
      <c r="F63" s="126">
        <f>IFERROR(MAX(F19:F50),"")</f>
        <v>92</v>
      </c>
    </row>
    <row r="64" spans="1:7" s="102" customFormat="1" ht="13" thickBot="1">
      <c r="C64" s="123" t="s">
        <v>100</v>
      </c>
      <c r="D64" s="126">
        <f>AVERAGE(D19:D50)</f>
        <v>77.040625000000006</v>
      </c>
      <c r="E64" s="126">
        <f>AVERAGE(E19:E50)</f>
        <v>75.878124999999997</v>
      </c>
      <c r="F64" s="126">
        <f>IFERROR(AVERAGE(F19:F50),"")</f>
        <v>76.459374999999994</v>
      </c>
    </row>
  </sheetData>
  <mergeCells count="7">
    <mergeCell ref="A1:H1"/>
    <mergeCell ref="A2:H2"/>
    <mergeCell ref="F12:F17"/>
    <mergeCell ref="G12:G17"/>
    <mergeCell ref="D12:E12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FDD3-037F-4AD2-9867-87004BE6F4EA}">
  <dimension ref="A1:V64"/>
  <sheetViews>
    <sheetView view="pageBreakPreview" zoomScale="90" zoomScaleNormal="100" zoomScaleSheetLayoutView="90" workbookViewId="0">
      <selection activeCell="C19" sqref="C19"/>
    </sheetView>
  </sheetViews>
  <sheetFormatPr defaultRowHeight="14"/>
  <cols>
    <col min="1" max="1" width="4" customWidth="1"/>
    <col min="2" max="2" width="12.83203125" customWidth="1"/>
    <col min="3" max="3" width="35" customWidth="1"/>
    <col min="4" max="5" width="16.6640625" customWidth="1"/>
    <col min="6" max="6" width="12.6640625" customWidth="1"/>
    <col min="7" max="7" width="9.25" customWidth="1"/>
    <col min="9" max="9" width="13" customWidth="1"/>
  </cols>
  <sheetData>
    <row r="1" spans="1:22" ht="18">
      <c r="A1" s="259" t="s">
        <v>75</v>
      </c>
      <c r="B1" s="259"/>
      <c r="C1" s="259"/>
      <c r="D1" s="259"/>
      <c r="E1" s="259"/>
      <c r="F1" s="259"/>
      <c r="G1" s="259"/>
      <c r="H1" s="259"/>
      <c r="I1" s="30"/>
    </row>
    <row r="2" spans="1:22" ht="18.5" thickBot="1">
      <c r="A2" s="260" t="s">
        <v>76</v>
      </c>
      <c r="B2" s="260"/>
      <c r="C2" s="260"/>
      <c r="D2" s="260"/>
      <c r="E2" s="260"/>
      <c r="F2" s="260"/>
      <c r="G2" s="260"/>
      <c r="H2" s="260"/>
      <c r="I2" s="30"/>
    </row>
    <row r="4" spans="1:22">
      <c r="A4" t="s">
        <v>77</v>
      </c>
      <c r="C4" t="s">
        <v>317</v>
      </c>
      <c r="E4" t="s">
        <v>79</v>
      </c>
      <c r="F4" t="s">
        <v>249</v>
      </c>
    </row>
    <row r="5" spans="1:22">
      <c r="A5" t="s">
        <v>41</v>
      </c>
      <c r="C5" s="31" t="s">
        <v>326</v>
      </c>
      <c r="E5" t="s">
        <v>81</v>
      </c>
      <c r="F5" t="s">
        <v>250</v>
      </c>
    </row>
    <row r="6" spans="1:22">
      <c r="A6" t="s">
        <v>42</v>
      </c>
      <c r="C6" t="s">
        <v>345</v>
      </c>
    </row>
    <row r="7" spans="1:22">
      <c r="A7" t="s">
        <v>83</v>
      </c>
      <c r="C7" t="s">
        <v>108</v>
      </c>
    </row>
    <row r="8" spans="1:22">
      <c r="A8" t="s">
        <v>85</v>
      </c>
      <c r="C8" t="s">
        <v>86</v>
      </c>
    </row>
    <row r="9" spans="1:22">
      <c r="A9" t="s">
        <v>87</v>
      </c>
      <c r="C9" t="s">
        <v>329</v>
      </c>
    </row>
    <row r="11" spans="1:22">
      <c r="C11" s="32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spans="1:22">
      <c r="C12" s="32"/>
      <c r="D12" s="267" t="str">
        <f>'ListMKSmt-1'!B4</f>
        <v>MK18</v>
      </c>
      <c r="E12" s="268"/>
      <c r="F12" s="269" t="s">
        <v>88</v>
      </c>
      <c r="G12" s="269" t="s">
        <v>89</v>
      </c>
    </row>
    <row r="13" spans="1:22">
      <c r="C13" s="32"/>
      <c r="D13" s="272" t="str">
        <f>TRIM(MID(C5,2,20))</f>
        <v>P.24.05.52.3.13</v>
      </c>
      <c r="E13" s="272"/>
      <c r="F13" s="270"/>
      <c r="G13" s="270"/>
    </row>
    <row r="14" spans="1:22">
      <c r="C14" s="32"/>
      <c r="D14" s="273" t="str">
        <f>'ListMKSmt-1'!E4</f>
        <v>Pengauditan 1</v>
      </c>
      <c r="E14" s="274"/>
      <c r="F14" s="270"/>
      <c r="G14" s="270"/>
    </row>
    <row r="15" spans="1:22">
      <c r="C15" s="32"/>
      <c r="D15" s="34" t="s">
        <v>143</v>
      </c>
      <c r="E15" s="179" t="s">
        <v>110</v>
      </c>
      <c r="F15" s="270"/>
      <c r="G15" s="270"/>
    </row>
    <row r="16" spans="1:22">
      <c r="C16" s="32"/>
      <c r="D16" s="34" t="s">
        <v>327</v>
      </c>
      <c r="E16" s="34" t="s">
        <v>328</v>
      </c>
      <c r="F16" s="270"/>
      <c r="G16" s="270"/>
    </row>
    <row r="17" spans="1:7">
      <c r="C17" s="32"/>
      <c r="D17" s="34">
        <v>50</v>
      </c>
      <c r="E17" s="34">
        <v>50</v>
      </c>
      <c r="F17" s="271"/>
      <c r="G17" s="271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05">
        <v>1</v>
      </c>
      <c r="B19" s="106" t="s">
        <v>183</v>
      </c>
      <c r="C19" s="106" t="s">
        <v>184</v>
      </c>
      <c r="D19" s="35">
        <v>80.59</v>
      </c>
      <c r="E19" s="35">
        <v>78.06</v>
      </c>
      <c r="F19" s="35">
        <f>IFERROR((D19*($D$17/100))+(E19*($E$17/100)),"")</f>
        <v>79.325000000000003</v>
      </c>
      <c r="G19" s="35" t="str">
        <f>IFERROR(VLOOKUP(F19,[3]Sheet1!$AA$1:$AB$10,2),"")</f>
        <v>B+</v>
      </c>
    </row>
    <row r="20" spans="1:7">
      <c r="A20" s="105">
        <v>2</v>
      </c>
      <c r="B20" s="106" t="s">
        <v>185</v>
      </c>
      <c r="C20" s="106" t="s">
        <v>186</v>
      </c>
      <c r="D20" s="35">
        <v>77.06</v>
      </c>
      <c r="E20" s="35">
        <v>79.180000000000007</v>
      </c>
      <c r="F20" s="35">
        <f t="shared" ref="F20:F51" si="0">IFERROR((D20*($D$17/100))+(E20*($E$17/100)),"")</f>
        <v>78.12</v>
      </c>
      <c r="G20" s="35" t="str">
        <f>IFERROR(VLOOKUP(F20,[2]Sheet1!$AA$1:$AB$10,2),"")</f>
        <v>B+</v>
      </c>
    </row>
    <row r="21" spans="1:7">
      <c r="A21" s="105">
        <v>3</v>
      </c>
      <c r="B21" s="106" t="s">
        <v>187</v>
      </c>
      <c r="C21" s="106" t="s">
        <v>188</v>
      </c>
      <c r="D21" s="35">
        <v>76.47</v>
      </c>
      <c r="E21" s="35">
        <v>74.08</v>
      </c>
      <c r="F21" s="35">
        <f t="shared" si="0"/>
        <v>75.275000000000006</v>
      </c>
      <c r="G21" s="35" t="str">
        <f>IFERROR(VLOOKUP(F21,[2]Sheet1!$AA$1:$AB$10,2),"")</f>
        <v>B</v>
      </c>
    </row>
    <row r="22" spans="1:7">
      <c r="A22" s="105">
        <v>4</v>
      </c>
      <c r="B22" s="106" t="s">
        <v>189</v>
      </c>
      <c r="C22" s="106" t="s">
        <v>190</v>
      </c>
      <c r="D22" s="35">
        <v>64.47</v>
      </c>
      <c r="E22" s="35">
        <v>73.47</v>
      </c>
      <c r="F22" s="35">
        <f t="shared" si="0"/>
        <v>68.97</v>
      </c>
      <c r="G22" s="35" t="str">
        <f>IFERROR(VLOOKUP(F22,[2]Sheet1!$AA$1:$AB$10,2),"")</f>
        <v>B-</v>
      </c>
    </row>
    <row r="23" spans="1:7">
      <c r="A23" s="105">
        <v>5</v>
      </c>
      <c r="B23" s="106" t="s">
        <v>191</v>
      </c>
      <c r="C23" s="106" t="s">
        <v>192</v>
      </c>
      <c r="D23" s="35">
        <v>70.59</v>
      </c>
      <c r="E23" s="35">
        <v>79.39</v>
      </c>
      <c r="F23" s="35">
        <f t="shared" si="0"/>
        <v>74.990000000000009</v>
      </c>
      <c r="G23" s="35" t="str">
        <f>IFERROR(VLOOKUP(F23,[2]Sheet1!$AA$1:$AB$10,2),"")</f>
        <v>B</v>
      </c>
    </row>
    <row r="24" spans="1:7">
      <c r="A24" s="105">
        <v>6</v>
      </c>
      <c r="B24" s="106" t="s">
        <v>193</v>
      </c>
      <c r="C24" s="106" t="s">
        <v>194</v>
      </c>
      <c r="D24" s="35">
        <v>74.12</v>
      </c>
      <c r="E24" s="35">
        <v>75.099999999999994</v>
      </c>
      <c r="F24" s="35">
        <f t="shared" si="0"/>
        <v>74.61</v>
      </c>
      <c r="G24" s="35" t="str">
        <f>IFERROR(VLOOKUP(F24,[2]Sheet1!$AA$1:$AB$10,2),"")</f>
        <v>B</v>
      </c>
    </row>
    <row r="25" spans="1:7">
      <c r="A25" s="105">
        <v>7</v>
      </c>
      <c r="B25" s="106" t="s">
        <v>195</v>
      </c>
      <c r="C25" s="106" t="s">
        <v>196</v>
      </c>
      <c r="D25" s="35">
        <v>86.71</v>
      </c>
      <c r="E25" s="35">
        <v>82.35</v>
      </c>
      <c r="F25" s="35">
        <f t="shared" si="0"/>
        <v>84.53</v>
      </c>
      <c r="G25" s="35" t="str">
        <f>IFERROR(VLOOKUP(F25,[2]Sheet1!$AA$1:$AB$10,2),"")</f>
        <v>A-</v>
      </c>
    </row>
    <row r="26" spans="1:7">
      <c r="A26" s="105">
        <v>8</v>
      </c>
      <c r="B26" s="106" t="s">
        <v>197</v>
      </c>
      <c r="C26" s="106" t="s">
        <v>198</v>
      </c>
      <c r="D26" s="35">
        <v>80.94</v>
      </c>
      <c r="E26" s="35">
        <v>74.59</v>
      </c>
      <c r="F26" s="35">
        <f t="shared" si="0"/>
        <v>77.765000000000001</v>
      </c>
      <c r="G26" s="35" t="str">
        <f>IFERROR(VLOOKUP(F26,[2]Sheet1!$AA$1:$AB$10,2),"")</f>
        <v>B+</v>
      </c>
    </row>
    <row r="27" spans="1:7">
      <c r="A27" s="105">
        <v>9</v>
      </c>
      <c r="B27" s="106" t="s">
        <v>199</v>
      </c>
      <c r="C27" s="106" t="s">
        <v>200</v>
      </c>
      <c r="D27" s="35">
        <v>78.47</v>
      </c>
      <c r="E27" s="35">
        <v>74.180000000000007</v>
      </c>
      <c r="F27" s="35">
        <f t="shared" si="0"/>
        <v>76.325000000000003</v>
      </c>
      <c r="G27" s="35" t="str">
        <f>IFERROR(VLOOKUP(F27,[2]Sheet1!$AA$1:$AB$10,2),"")</f>
        <v>B+</v>
      </c>
    </row>
    <row r="28" spans="1:7">
      <c r="A28" s="105">
        <v>10</v>
      </c>
      <c r="B28" s="106" t="s">
        <v>201</v>
      </c>
      <c r="C28" s="106" t="s">
        <v>202</v>
      </c>
      <c r="D28" s="35">
        <v>86.12</v>
      </c>
      <c r="E28" s="35">
        <v>80.92</v>
      </c>
      <c r="F28" s="35">
        <f t="shared" si="0"/>
        <v>83.52000000000001</v>
      </c>
      <c r="G28" s="35" t="str">
        <f>IFERROR(VLOOKUP(F28,[2]Sheet1!$AA$1:$AB$10,2),"")</f>
        <v>B+</v>
      </c>
    </row>
    <row r="29" spans="1:7">
      <c r="A29" s="105">
        <v>12</v>
      </c>
      <c r="B29" s="106" t="s">
        <v>203</v>
      </c>
      <c r="C29" s="106" t="s">
        <v>204</v>
      </c>
      <c r="D29" s="35">
        <v>89.06</v>
      </c>
      <c r="E29" s="35">
        <v>87.35</v>
      </c>
      <c r="F29" s="35">
        <f t="shared" si="0"/>
        <v>88.204999999999998</v>
      </c>
      <c r="G29" s="35" t="str">
        <f>IFERROR(VLOOKUP(F29,[2]Sheet1!$AA$1:$AB$10,2),"")</f>
        <v>A-</v>
      </c>
    </row>
    <row r="30" spans="1:7">
      <c r="A30" s="105">
        <v>13</v>
      </c>
      <c r="B30" s="106" t="s">
        <v>205</v>
      </c>
      <c r="C30" s="106" t="s">
        <v>206</v>
      </c>
      <c r="D30" s="35">
        <v>63.76</v>
      </c>
      <c r="E30" s="35">
        <v>43.88</v>
      </c>
      <c r="F30" s="35">
        <f t="shared" si="0"/>
        <v>53.82</v>
      </c>
      <c r="G30" s="35" t="str">
        <f>IFERROR(VLOOKUP(F30,[2]Sheet1!$AA$1:$AB$10,2),"")</f>
        <v>C-</v>
      </c>
    </row>
    <row r="31" spans="1:7">
      <c r="A31" s="105">
        <v>14</v>
      </c>
      <c r="B31" s="106" t="s">
        <v>207</v>
      </c>
      <c r="C31" s="106" t="s">
        <v>208</v>
      </c>
      <c r="D31" s="35">
        <v>80.239999999999995</v>
      </c>
      <c r="E31" s="35">
        <v>74.69</v>
      </c>
      <c r="F31" s="35">
        <f t="shared" si="0"/>
        <v>77.465000000000003</v>
      </c>
      <c r="G31" s="35" t="str">
        <f>IFERROR(VLOOKUP(F31,[2]Sheet1!$AA$1:$AB$10,2),"")</f>
        <v>B+</v>
      </c>
    </row>
    <row r="32" spans="1:7">
      <c r="A32" s="105">
        <v>15</v>
      </c>
      <c r="B32" s="106" t="s">
        <v>209</v>
      </c>
      <c r="C32" s="106" t="s">
        <v>210</v>
      </c>
      <c r="D32" s="35">
        <v>85.53</v>
      </c>
      <c r="E32" s="35">
        <v>87.35</v>
      </c>
      <c r="F32" s="35">
        <f t="shared" si="0"/>
        <v>86.44</v>
      </c>
      <c r="G32" s="35" t="str">
        <f>IFERROR(VLOOKUP(F32,[2]Sheet1!$AA$1:$AB$10,2),"")</f>
        <v>A-</v>
      </c>
    </row>
    <row r="33" spans="1:7">
      <c r="A33" s="105">
        <v>16</v>
      </c>
      <c r="B33" s="106" t="s">
        <v>211</v>
      </c>
      <c r="C33" s="106" t="s">
        <v>212</v>
      </c>
      <c r="D33" s="35">
        <v>83.76</v>
      </c>
      <c r="E33" s="35">
        <v>81.33</v>
      </c>
      <c r="F33" s="35">
        <f t="shared" si="0"/>
        <v>82.545000000000002</v>
      </c>
      <c r="G33" s="35" t="str">
        <f>IFERROR(VLOOKUP(F33,[2]Sheet1!$AA$1:$AB$10,2),"")</f>
        <v>B+</v>
      </c>
    </row>
    <row r="34" spans="1:7">
      <c r="A34" s="105">
        <v>17</v>
      </c>
      <c r="B34" s="106" t="s">
        <v>213</v>
      </c>
      <c r="C34" s="106" t="s">
        <v>214</v>
      </c>
      <c r="D34" s="35">
        <v>76.709999999999994</v>
      </c>
      <c r="E34" s="35">
        <v>69.900000000000006</v>
      </c>
      <c r="F34" s="35">
        <f t="shared" si="0"/>
        <v>73.305000000000007</v>
      </c>
      <c r="G34" s="35" t="str">
        <f>IFERROR(VLOOKUP(F34,[2]Sheet1!$AA$1:$AB$10,2),"")</f>
        <v>B</v>
      </c>
    </row>
    <row r="35" spans="1:7">
      <c r="A35" s="105">
        <v>18</v>
      </c>
      <c r="B35" s="106" t="s">
        <v>215</v>
      </c>
      <c r="C35" s="106" t="s">
        <v>216</v>
      </c>
      <c r="D35" s="35">
        <v>82.59</v>
      </c>
      <c r="E35" s="35">
        <v>82.55</v>
      </c>
      <c r="F35" s="35">
        <f t="shared" si="0"/>
        <v>82.57</v>
      </c>
      <c r="G35" s="35" t="str">
        <f>IFERROR(VLOOKUP(F35,[2]Sheet1!$AA$1:$AB$10,2),"")</f>
        <v>B+</v>
      </c>
    </row>
    <row r="36" spans="1:7">
      <c r="A36" s="105">
        <v>19</v>
      </c>
      <c r="B36" s="106" t="s">
        <v>217</v>
      </c>
      <c r="C36" s="106" t="s">
        <v>218</v>
      </c>
      <c r="D36" s="35">
        <v>80.349999999999994</v>
      </c>
      <c r="E36" s="35">
        <v>69.900000000000006</v>
      </c>
      <c r="F36" s="35">
        <f t="shared" si="0"/>
        <v>75.125</v>
      </c>
      <c r="G36" s="35" t="str">
        <f>IFERROR(VLOOKUP(F36,[2]Sheet1!$AA$1:$AB$10,2),"")</f>
        <v>B</v>
      </c>
    </row>
    <row r="37" spans="1:7">
      <c r="A37" s="105">
        <v>20</v>
      </c>
      <c r="B37" s="106" t="s">
        <v>219</v>
      </c>
      <c r="C37" s="106" t="s">
        <v>220</v>
      </c>
      <c r="D37" s="35">
        <v>70.349999999999994</v>
      </c>
      <c r="E37" s="35">
        <v>74.08</v>
      </c>
      <c r="F37" s="35">
        <f t="shared" si="0"/>
        <v>72.215000000000003</v>
      </c>
      <c r="G37" s="35" t="str">
        <f>IFERROR(VLOOKUP(F37,[2]Sheet1!$AA$1:$AB$10,2),"")</f>
        <v>B</v>
      </c>
    </row>
    <row r="38" spans="1:7">
      <c r="A38" s="105">
        <v>21</v>
      </c>
      <c r="B38" s="106" t="s">
        <v>221</v>
      </c>
      <c r="C38" s="106" t="s">
        <v>222</v>
      </c>
      <c r="D38" s="35">
        <v>77.290000000000006</v>
      </c>
      <c r="E38" s="35">
        <v>59.18</v>
      </c>
      <c r="F38" s="35">
        <f t="shared" si="0"/>
        <v>68.234999999999999</v>
      </c>
      <c r="G38" s="35" t="str">
        <f>IFERROR(VLOOKUP(F38,[2]Sheet1!$AA$1:$AB$10,2),"")</f>
        <v>B-</v>
      </c>
    </row>
    <row r="39" spans="1:7">
      <c r="A39" s="105">
        <v>22</v>
      </c>
      <c r="B39" s="106" t="s">
        <v>223</v>
      </c>
      <c r="C39" s="106" t="s">
        <v>224</v>
      </c>
      <c r="D39" s="35">
        <v>77.290000000000006</v>
      </c>
      <c r="E39" s="35">
        <v>69.900000000000006</v>
      </c>
      <c r="F39" s="35">
        <f t="shared" si="0"/>
        <v>73.594999999999999</v>
      </c>
      <c r="G39" s="35" t="str">
        <f>IFERROR(VLOOKUP(F39,[2]Sheet1!$AA$1:$AB$10,2),"")</f>
        <v>B</v>
      </c>
    </row>
    <row r="40" spans="1:7">
      <c r="A40" s="105">
        <v>23</v>
      </c>
      <c r="B40" s="106" t="s">
        <v>225</v>
      </c>
      <c r="C40" s="106" t="s">
        <v>226</v>
      </c>
      <c r="D40" s="35">
        <v>70.819999999999993</v>
      </c>
      <c r="E40" s="35">
        <v>69.900000000000006</v>
      </c>
      <c r="F40" s="35">
        <f t="shared" si="0"/>
        <v>70.36</v>
      </c>
      <c r="G40" s="35" t="str">
        <f>IFERROR(VLOOKUP(F40,[2]Sheet1!$AA$1:$AB$10,2),"")</f>
        <v>B-</v>
      </c>
    </row>
    <row r="41" spans="1:7">
      <c r="A41" s="105">
        <v>24</v>
      </c>
      <c r="B41" s="4" t="s">
        <v>284</v>
      </c>
      <c r="C41" s="4" t="s">
        <v>285</v>
      </c>
      <c r="D41" s="35">
        <v>82.59</v>
      </c>
      <c r="E41" s="35">
        <v>75.61</v>
      </c>
      <c r="F41" s="35">
        <f t="shared" si="0"/>
        <v>79.099999999999994</v>
      </c>
      <c r="G41" s="35" t="str">
        <f>IFERROR(VLOOKUP(F41,[2]Sheet1!$AA$1:$AB$10,2),"")</f>
        <v>B+</v>
      </c>
    </row>
    <row r="42" spans="1:7">
      <c r="A42" s="105">
        <v>25</v>
      </c>
      <c r="B42" s="4" t="s">
        <v>282</v>
      </c>
      <c r="C42" s="4" t="s">
        <v>283</v>
      </c>
      <c r="D42" s="35">
        <v>70.59</v>
      </c>
      <c r="E42" s="35">
        <v>73.47</v>
      </c>
      <c r="F42" s="35">
        <f t="shared" si="0"/>
        <v>72.03</v>
      </c>
      <c r="G42" s="35" t="str">
        <f>IFERROR(VLOOKUP(F42,[2]Sheet1!$AA$1:$AB$10,2),"")</f>
        <v>B</v>
      </c>
    </row>
    <row r="43" spans="1:7">
      <c r="A43" s="105">
        <v>26</v>
      </c>
      <c r="B43" s="106" t="s">
        <v>227</v>
      </c>
      <c r="C43" s="106" t="s">
        <v>253</v>
      </c>
      <c r="D43" s="35">
        <v>83.75</v>
      </c>
      <c r="E43" s="35">
        <v>82.69</v>
      </c>
      <c r="F43" s="35">
        <f t="shared" si="0"/>
        <v>83.22</v>
      </c>
      <c r="G43" s="35" t="str">
        <f>IFERROR(VLOOKUP(F43,[2]Sheet1!$AA$1:$AB$10,2),"")</f>
        <v>B+</v>
      </c>
    </row>
    <row r="44" spans="1:7">
      <c r="A44" s="105">
        <v>27</v>
      </c>
      <c r="B44" s="106" t="s">
        <v>229</v>
      </c>
      <c r="C44" s="106" t="s">
        <v>230</v>
      </c>
      <c r="D44" s="35">
        <v>90</v>
      </c>
      <c r="E44" s="35">
        <v>82.69</v>
      </c>
      <c r="F44" s="35">
        <f t="shared" si="0"/>
        <v>86.344999999999999</v>
      </c>
      <c r="G44" s="35" t="str">
        <f>IFERROR(VLOOKUP(F44,[2]Sheet1!$AA$1:$AB$10,2),"")</f>
        <v>A-</v>
      </c>
    </row>
    <row r="45" spans="1:7">
      <c r="A45" s="105">
        <v>28</v>
      </c>
      <c r="B45" s="106" t="s">
        <v>231</v>
      </c>
      <c r="C45" s="106" t="s">
        <v>232</v>
      </c>
      <c r="D45" s="35">
        <v>77.5</v>
      </c>
      <c r="E45" s="35">
        <v>82.69</v>
      </c>
      <c r="F45" s="35">
        <f t="shared" si="0"/>
        <v>80.094999999999999</v>
      </c>
      <c r="G45" s="35" t="str">
        <f>IFERROR(VLOOKUP(F45,[2]Sheet1!$AA$1:$AB$10,2),"")</f>
        <v>B+</v>
      </c>
    </row>
    <row r="46" spans="1:7">
      <c r="A46" s="105">
        <v>29</v>
      </c>
      <c r="B46" s="106" t="s">
        <v>233</v>
      </c>
      <c r="C46" s="106" t="s">
        <v>234</v>
      </c>
      <c r="D46" s="35">
        <v>90</v>
      </c>
      <c r="E46" s="35">
        <v>82.69</v>
      </c>
      <c r="F46" s="35">
        <f t="shared" si="0"/>
        <v>86.344999999999999</v>
      </c>
      <c r="G46" s="35" t="str">
        <f>IFERROR(VLOOKUP(F46,[2]Sheet1!$AA$1:$AB$10,2),"")</f>
        <v>A-</v>
      </c>
    </row>
    <row r="47" spans="1:7">
      <c r="A47" s="105">
        <v>30</v>
      </c>
      <c r="B47" s="106" t="s">
        <v>235</v>
      </c>
      <c r="C47" s="106" t="s">
        <v>236</v>
      </c>
      <c r="D47" s="35">
        <v>90</v>
      </c>
      <c r="E47" s="35">
        <v>31.41</v>
      </c>
      <c r="F47" s="35">
        <f t="shared" si="0"/>
        <v>60.704999999999998</v>
      </c>
      <c r="G47" s="35" t="str">
        <f>IFERROR(VLOOKUP(F47,[2]Sheet1!$AA$1:$AB$10,2),"")</f>
        <v>C+</v>
      </c>
    </row>
    <row r="48" spans="1:7">
      <c r="A48" s="105">
        <v>31</v>
      </c>
      <c r="B48" s="106" t="s">
        <v>237</v>
      </c>
      <c r="C48" s="106" t="s">
        <v>238</v>
      </c>
      <c r="D48" s="35">
        <v>90</v>
      </c>
      <c r="E48" s="35">
        <v>82.69</v>
      </c>
      <c r="F48" s="35">
        <f t="shared" si="0"/>
        <v>86.344999999999999</v>
      </c>
      <c r="G48" s="35" t="str">
        <f>IFERROR(VLOOKUP(F48,[2]Sheet1!$AA$1:$AB$10,2),"")</f>
        <v>A-</v>
      </c>
    </row>
    <row r="49" spans="1:7">
      <c r="A49" s="105">
        <v>32</v>
      </c>
      <c r="B49" s="106" t="s">
        <v>239</v>
      </c>
      <c r="C49" s="106" t="s">
        <v>240</v>
      </c>
      <c r="D49" s="35">
        <v>90</v>
      </c>
      <c r="E49" s="35">
        <v>82.69</v>
      </c>
      <c r="F49" s="35">
        <f t="shared" si="0"/>
        <v>86.344999999999999</v>
      </c>
      <c r="G49" s="35" t="str">
        <f>IFERROR(VLOOKUP(F49,[2]Sheet1!$AA$1:$AB$10,2),"")</f>
        <v>A-</v>
      </c>
    </row>
    <row r="50" spans="1:7">
      <c r="A50" s="105">
        <v>33</v>
      </c>
      <c r="B50" s="106" t="s">
        <v>241</v>
      </c>
      <c r="C50" s="106" t="s">
        <v>242</v>
      </c>
      <c r="D50" s="35">
        <v>90</v>
      </c>
      <c r="E50" s="35">
        <v>82.05</v>
      </c>
      <c r="F50" s="35">
        <f>IFERROR((D50*($D$17/100))+(E50*($E$17/100)),"")</f>
        <v>86.025000000000006</v>
      </c>
      <c r="G50" s="35" t="str">
        <f>IFERROR(VLOOKUP(F50,[2]Sheet1!$AA$1:$AB$10,2),"")</f>
        <v>A-</v>
      </c>
    </row>
    <row r="51" spans="1:7">
      <c r="A51" s="105">
        <v>34</v>
      </c>
      <c r="B51" s="106" t="s">
        <v>243</v>
      </c>
      <c r="C51" s="106" t="s">
        <v>244</v>
      </c>
      <c r="D51" s="35">
        <v>90</v>
      </c>
      <c r="E51" s="35">
        <v>82.69</v>
      </c>
      <c r="F51" s="35">
        <f t="shared" si="0"/>
        <v>86.344999999999999</v>
      </c>
      <c r="G51" s="35" t="str">
        <f>IFERROR(VLOOKUP(F51,[2]Sheet1!$AA$1:$AB$10,2),"")</f>
        <v>A-</v>
      </c>
    </row>
    <row r="52" spans="1:7">
      <c r="C52" s="32"/>
      <c r="D52" s="33"/>
      <c r="E52" s="33"/>
      <c r="F52" s="33"/>
    </row>
    <row r="53" spans="1:7" s="102" customFormat="1" ht="13" thickBot="1">
      <c r="C53" s="103"/>
      <c r="D53" s="111" t="str">
        <f>D16</f>
        <v>CPMK81</v>
      </c>
      <c r="E53" s="111" t="str">
        <f>E16</f>
        <v>CPMK91</v>
      </c>
      <c r="F53" s="111" t="str">
        <f>F12</f>
        <v>Nilai Akhir MK</v>
      </c>
    </row>
    <row r="54" spans="1:7" s="102" customFormat="1" ht="13" thickBot="1">
      <c r="C54" s="112" t="s">
        <v>180</v>
      </c>
      <c r="D54" s="113">
        <f>IFERROR(COUNTIF(D19:D51,""),"")</f>
        <v>0</v>
      </c>
      <c r="E54" s="113">
        <f>IFERROR(COUNTIF(E19:E51,""),"")</f>
        <v>0</v>
      </c>
      <c r="F54" s="113">
        <f>IFERROR(COUNTIF(F19:F51,""),"")</f>
        <v>0</v>
      </c>
    </row>
    <row r="55" spans="1:7" s="102" customFormat="1" ht="13" thickBot="1">
      <c r="C55" s="114" t="s">
        <v>94</v>
      </c>
      <c r="D55" s="152">
        <f>IFERROR(COUNTIF(D19:D51,$C$55)+COUNTIF(D19:D51,""),"")-D54</f>
        <v>2</v>
      </c>
      <c r="E55" s="152">
        <f>IFERROR(COUNTIF(E19:E51,$C$55)+COUNTIF(E19:E51,""),"")-E54</f>
        <v>3</v>
      </c>
      <c r="F55" s="128">
        <f>IFERROR(COUNTIF(F19:F51,C55)+COUNTIF(F19:F51,""),"")-F54</f>
        <v>2</v>
      </c>
    </row>
    <row r="56" spans="1:7" s="102" customFormat="1" ht="13" thickBot="1">
      <c r="C56" s="115" t="s">
        <v>95</v>
      </c>
      <c r="D56" s="116">
        <f>IFERROR(COUNTIF(D19:D51,$C$56)-D55,"")</f>
        <v>20</v>
      </c>
      <c r="E56" s="116">
        <f>IFERROR(COUNTIF(E19:E51,$C$56)-E55,"")</f>
        <v>28</v>
      </c>
      <c r="F56" s="117">
        <f>IFERROR(COUNTIF(F19:F51,C56)-F55,"")</f>
        <v>23</v>
      </c>
    </row>
    <row r="57" spans="1:7" s="102" customFormat="1" ht="13" thickBot="1">
      <c r="C57" s="118" t="s">
        <v>96</v>
      </c>
      <c r="D57" s="119">
        <f>COUNTIF(D19:D51,$C$57)</f>
        <v>11</v>
      </c>
      <c r="E57" s="119">
        <f>COUNTIF(E19:E51,$C$57)</f>
        <v>2</v>
      </c>
      <c r="F57" s="119">
        <f>IFERROR(COUNTIF(F19:F51,C57),"")</f>
        <v>8</v>
      </c>
    </row>
    <row r="58" spans="1:7" s="102" customFormat="1" ht="13" thickBot="1">
      <c r="C58" s="120" t="s">
        <v>74</v>
      </c>
      <c r="D58" s="121">
        <f>SUM(D54:D57)</f>
        <v>33</v>
      </c>
      <c r="E58" s="121">
        <f t="shared" ref="E58:F58" si="1">SUM(E54:E57)</f>
        <v>33</v>
      </c>
      <c r="F58" s="121">
        <f t="shared" si="1"/>
        <v>33</v>
      </c>
    </row>
    <row r="59" spans="1:7" s="102" customFormat="1" ht="13" thickBot="1">
      <c r="C59" s="122"/>
      <c r="D59" s="111"/>
      <c r="E59" s="111"/>
      <c r="F59" s="111"/>
    </row>
    <row r="60" spans="1:7" s="102" customFormat="1" ht="13" thickBot="1">
      <c r="C60" s="123" t="s">
        <v>97</v>
      </c>
      <c r="D60" s="124">
        <f>(D56+D57)/(D58-D54)</f>
        <v>0.93939393939393945</v>
      </c>
      <c r="E60" s="124">
        <f>(E56+E57)/(E58-E54)</f>
        <v>0.90909090909090906</v>
      </c>
      <c r="F60" s="124">
        <f>(F56+F57)/(F58-F54)</f>
        <v>0.93939393939393945</v>
      </c>
    </row>
    <row r="61" spans="1:7" s="102" customFormat="1" ht="13" thickBot="1">
      <c r="C61" s="122"/>
      <c r="D61" s="111"/>
      <c r="E61" s="111"/>
      <c r="F61" s="111"/>
    </row>
    <row r="62" spans="1:7" s="102" customFormat="1" ht="13" thickBot="1">
      <c r="C62" s="123" t="s">
        <v>98</v>
      </c>
      <c r="D62" s="125">
        <f>MIN(D19:D51)</f>
        <v>63.76</v>
      </c>
      <c r="E62" s="125">
        <f>MIN(E19:E51)</f>
        <v>31.41</v>
      </c>
      <c r="F62" s="125">
        <f>IFERROR(MIN(F19:F51),"")</f>
        <v>53.82</v>
      </c>
    </row>
    <row r="63" spans="1:7" s="102" customFormat="1" ht="13" thickBot="1">
      <c r="C63" s="123" t="s">
        <v>99</v>
      </c>
      <c r="D63" s="125">
        <f>MAX(D19:D36)</f>
        <v>89.06</v>
      </c>
      <c r="E63" s="125">
        <f>MAX(E19:E51)</f>
        <v>87.35</v>
      </c>
      <c r="F63" s="125">
        <f>IFERROR(MAX(F19:F51),"")</f>
        <v>88.204999999999998</v>
      </c>
    </row>
    <row r="64" spans="1:7" s="102" customFormat="1" ht="13" thickBot="1">
      <c r="C64" s="123" t="s">
        <v>100</v>
      </c>
      <c r="D64" s="126">
        <f>AVERAGE(D19:D51)</f>
        <v>80.536969696969678</v>
      </c>
      <c r="E64" s="126">
        <f>AVERAGE(E19:E51)</f>
        <v>75.233333333333348</v>
      </c>
      <c r="F64" s="126">
        <f>IFERROR(AVERAGE(F19:F51),"")</f>
        <v>77.885151515151492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251A-DDE9-4DF8-8A4D-81C080AFA04A}">
  <sheetPr>
    <pageSetUpPr fitToPage="1"/>
  </sheetPr>
  <dimension ref="A1:W63"/>
  <sheetViews>
    <sheetView view="pageBreakPreview" zoomScaleNormal="100" zoomScaleSheetLayoutView="100" workbookViewId="0">
      <selection activeCell="E16" sqref="E16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6" width="9" style="33" customWidth="1"/>
    <col min="7" max="7" width="12.6640625" customWidth="1"/>
    <col min="10" max="10" width="13" customWidth="1"/>
  </cols>
  <sheetData>
    <row r="1" spans="1:23" ht="18">
      <c r="A1" s="259" t="s">
        <v>75</v>
      </c>
      <c r="B1" s="259"/>
      <c r="C1" s="259"/>
      <c r="D1" s="259"/>
      <c r="E1" s="259"/>
      <c r="F1" s="259"/>
      <c r="G1" s="259"/>
      <c r="H1" s="259"/>
      <c r="I1" s="259"/>
      <c r="J1" s="30"/>
    </row>
    <row r="2" spans="1:23" ht="18.5" thickBot="1">
      <c r="A2" s="260" t="s">
        <v>76</v>
      </c>
      <c r="B2" s="260"/>
      <c r="C2" s="260"/>
      <c r="D2" s="260"/>
      <c r="E2" s="260"/>
      <c r="F2" s="260"/>
      <c r="G2" s="260"/>
      <c r="H2" s="260"/>
      <c r="I2" s="260"/>
      <c r="J2" s="30"/>
    </row>
    <row r="4" spans="1:23">
      <c r="A4" t="s">
        <v>77</v>
      </c>
      <c r="C4" t="s">
        <v>330</v>
      </c>
      <c r="F4" s="33" t="s">
        <v>79</v>
      </c>
      <c r="G4" t="s">
        <v>249</v>
      </c>
    </row>
    <row r="5" spans="1:23">
      <c r="A5" t="s">
        <v>41</v>
      </c>
      <c r="C5" s="31" t="s">
        <v>331</v>
      </c>
      <c r="F5" s="33" t="s">
        <v>81</v>
      </c>
      <c r="G5" t="s">
        <v>250</v>
      </c>
    </row>
    <row r="6" spans="1:23">
      <c r="A6" t="s">
        <v>42</v>
      </c>
      <c r="C6" t="s">
        <v>332</v>
      </c>
    </row>
    <row r="7" spans="1:23">
      <c r="A7" t="s">
        <v>83</v>
      </c>
      <c r="C7" t="s">
        <v>84</v>
      </c>
    </row>
    <row r="8" spans="1:23">
      <c r="A8" t="s">
        <v>85</v>
      </c>
      <c r="C8" t="s">
        <v>86</v>
      </c>
    </row>
    <row r="9" spans="1:23">
      <c r="A9" t="s">
        <v>87</v>
      </c>
      <c r="C9" t="s">
        <v>289</v>
      </c>
    </row>
    <row r="10" spans="1:23">
      <c r="C10" t="s">
        <v>333</v>
      </c>
    </row>
    <row r="11" spans="1:23">
      <c r="C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</row>
    <row r="12" spans="1:23" s="102" customFormat="1" ht="12.5">
      <c r="C12" s="103"/>
      <c r="D12" s="266" t="s">
        <v>305</v>
      </c>
      <c r="E12" s="266"/>
      <c r="F12" s="266"/>
      <c r="G12" s="275" t="s">
        <v>88</v>
      </c>
      <c r="H12" s="275" t="s">
        <v>89</v>
      </c>
    </row>
    <row r="13" spans="1:23" s="102" customFormat="1" ht="12.5">
      <c r="C13" s="103"/>
      <c r="D13" s="266" t="str">
        <f>TRIM(MID(C5,2,20))</f>
        <v>P.24.05.52.3.14</v>
      </c>
      <c r="E13" s="266"/>
      <c r="F13" s="266"/>
      <c r="G13" s="275"/>
      <c r="H13" s="275"/>
    </row>
    <row r="14" spans="1:23" s="102" customFormat="1" ht="12.5">
      <c r="C14" s="103"/>
      <c r="D14" s="266" t="str">
        <f>TRIM(MID(C6,2,100))</f>
        <v>Akuntansi Pajak</v>
      </c>
      <c r="E14" s="266"/>
      <c r="F14" s="266"/>
      <c r="G14" s="275"/>
      <c r="H14" s="275"/>
    </row>
    <row r="15" spans="1:23" s="102" customFormat="1" ht="12.5">
      <c r="C15" s="103"/>
      <c r="D15" s="178" t="s">
        <v>117</v>
      </c>
      <c r="E15" s="178" t="s">
        <v>144</v>
      </c>
      <c r="F15" s="178" t="s">
        <v>144</v>
      </c>
      <c r="G15" s="275"/>
      <c r="H15" s="275"/>
    </row>
    <row r="16" spans="1:23" s="102" customFormat="1" ht="12.5">
      <c r="C16" s="103"/>
      <c r="D16" s="178" t="s">
        <v>255</v>
      </c>
      <c r="E16" s="178" t="s">
        <v>164</v>
      </c>
      <c r="F16" s="178" t="s">
        <v>165</v>
      </c>
      <c r="G16" s="275"/>
      <c r="H16" s="275"/>
    </row>
    <row r="17" spans="1:8" s="102" customFormat="1" ht="12.5">
      <c r="C17" s="103"/>
      <c r="D17" s="178">
        <v>37</v>
      </c>
      <c r="E17" s="178">
        <v>33</v>
      </c>
      <c r="F17" s="178">
        <v>30</v>
      </c>
      <c r="G17" s="275"/>
      <c r="H17" s="275"/>
    </row>
    <row r="18" spans="1:8" s="102" customFormat="1" ht="13">
      <c r="A18" s="104" t="s">
        <v>0</v>
      </c>
      <c r="B18" s="104" t="s">
        <v>1</v>
      </c>
      <c r="C18" s="104" t="s">
        <v>2</v>
      </c>
      <c r="D18" s="104"/>
      <c r="E18" s="104"/>
      <c r="F18" s="104"/>
      <c r="G18" s="104"/>
      <c r="H18" s="104"/>
    </row>
    <row r="19" spans="1:8" s="102" customFormat="1" ht="12.5">
      <c r="A19" s="105">
        <v>1</v>
      </c>
      <c r="B19" s="106" t="s">
        <v>183</v>
      </c>
      <c r="C19" s="106" t="s">
        <v>184</v>
      </c>
      <c r="D19" s="107">
        <v>72.650000000000006</v>
      </c>
      <c r="E19" s="107">
        <v>70.06</v>
      </c>
      <c r="F19" s="107">
        <v>85.5</v>
      </c>
      <c r="G19" s="107">
        <f>IFERROR((D19*($D$17/100))+(E19*($E$17/100))+(F19*($F$17/100)),"")</f>
        <v>75.650300000000001</v>
      </c>
      <c r="H19" s="107" t="str">
        <f>IFERROR(VLOOKUP(G21,[4]Sheet1!$AA$1:$AB$10,2),"")</f>
        <v>B-</v>
      </c>
    </row>
    <row r="20" spans="1:8" s="102" customFormat="1" ht="12.5">
      <c r="A20" s="105">
        <v>2</v>
      </c>
      <c r="B20" s="106" t="s">
        <v>185</v>
      </c>
      <c r="C20" s="106" t="s">
        <v>186</v>
      </c>
      <c r="D20" s="107">
        <v>79.05</v>
      </c>
      <c r="E20" s="107">
        <v>78.94</v>
      </c>
      <c r="F20" s="107">
        <v>85.67</v>
      </c>
      <c r="G20" s="107">
        <f t="shared" ref="G20:G50" si="0">IFERROR((D20*($D$17/100))+(E20*($E$17/100))+(F20*($F$17/100)),"")</f>
        <v>80.99969999999999</v>
      </c>
      <c r="H20" s="107" t="str">
        <f>IFERROR(VLOOKUP(G20,[4]Sheet1!$AA$1:$AB$10,2),"")</f>
        <v>B+</v>
      </c>
    </row>
    <row r="21" spans="1:8" s="102" customFormat="1" ht="12.5">
      <c r="A21" s="105">
        <v>3</v>
      </c>
      <c r="B21" s="106" t="s">
        <v>187</v>
      </c>
      <c r="C21" s="106" t="s">
        <v>188</v>
      </c>
      <c r="D21" s="107">
        <v>68.95</v>
      </c>
      <c r="E21" s="107">
        <v>68</v>
      </c>
      <c r="F21" s="107">
        <v>67</v>
      </c>
      <c r="G21" s="107">
        <f t="shared" si="0"/>
        <v>68.051500000000004</v>
      </c>
      <c r="H21" s="107" t="str">
        <f>IFERROR(VLOOKUP(G21,[4]Sheet1!$AA$1:$AB$10,2),"")</f>
        <v>B-</v>
      </c>
    </row>
    <row r="22" spans="1:8" s="102" customFormat="1" ht="12.5">
      <c r="A22" s="105">
        <v>4</v>
      </c>
      <c r="B22" s="106" t="s">
        <v>189</v>
      </c>
      <c r="C22" s="106" t="s">
        <v>190</v>
      </c>
      <c r="D22" s="107">
        <v>70.27</v>
      </c>
      <c r="E22" s="107">
        <v>72.58</v>
      </c>
      <c r="F22" s="107">
        <v>69.33</v>
      </c>
      <c r="G22" s="107">
        <f t="shared" si="0"/>
        <v>70.750299999999996</v>
      </c>
      <c r="H22" s="107" t="str">
        <f>IFERROR(VLOOKUP(G22,[4]Sheet1!$AA$1:$AB$10,2),"")</f>
        <v>B</v>
      </c>
    </row>
    <row r="23" spans="1:8" s="102" customFormat="1" ht="12.5">
      <c r="A23" s="105">
        <v>5</v>
      </c>
      <c r="B23" s="106" t="s">
        <v>191</v>
      </c>
      <c r="C23" s="106" t="s">
        <v>192</v>
      </c>
      <c r="D23" s="107">
        <v>78.41</v>
      </c>
      <c r="E23" s="107">
        <v>80.88</v>
      </c>
      <c r="F23" s="107">
        <v>78.67</v>
      </c>
      <c r="G23" s="107">
        <f t="shared" si="0"/>
        <v>79.303100000000001</v>
      </c>
      <c r="H23" s="107" t="str">
        <f>IFERROR(VLOOKUP(G23,[4]Sheet1!$AA$1:$AB$10,2),"")</f>
        <v>B+</v>
      </c>
    </row>
    <row r="24" spans="1:8" s="102" customFormat="1" ht="12.5">
      <c r="A24" s="105">
        <v>6</v>
      </c>
      <c r="B24" s="106" t="s">
        <v>193</v>
      </c>
      <c r="C24" s="106" t="s">
        <v>194</v>
      </c>
      <c r="D24" s="107">
        <v>65.540000000000006</v>
      </c>
      <c r="E24" s="107">
        <v>62.27</v>
      </c>
      <c r="F24" s="107">
        <v>76.5</v>
      </c>
      <c r="G24" s="107">
        <f t="shared" si="0"/>
        <v>67.748900000000006</v>
      </c>
      <c r="H24" s="107" t="str">
        <f>IFERROR(VLOOKUP(G24,[4]Sheet1!$AA$1:$AB$10,2),"")</f>
        <v>B-</v>
      </c>
    </row>
    <row r="25" spans="1:8" s="102" customFormat="1" ht="12.5">
      <c r="A25" s="105">
        <v>7</v>
      </c>
      <c r="B25" s="106" t="s">
        <v>195</v>
      </c>
      <c r="C25" s="106" t="s">
        <v>196</v>
      </c>
      <c r="D25" s="107">
        <v>85.14</v>
      </c>
      <c r="E25" s="107">
        <v>86.82</v>
      </c>
      <c r="F25" s="107">
        <v>79.5</v>
      </c>
      <c r="G25" s="107">
        <f t="shared" si="0"/>
        <v>84.002399999999994</v>
      </c>
      <c r="H25" s="107" t="str">
        <f>IFERROR(VLOOKUP(G25,[4]Sheet1!$AA$1:$AB$10,2),"")</f>
        <v>B+</v>
      </c>
    </row>
    <row r="26" spans="1:8" s="102" customFormat="1" ht="12.5">
      <c r="A26" s="105">
        <v>8</v>
      </c>
      <c r="B26" s="106" t="s">
        <v>197</v>
      </c>
      <c r="C26" s="106" t="s">
        <v>198</v>
      </c>
      <c r="D26" s="107">
        <v>66.22</v>
      </c>
      <c r="E26" s="107">
        <v>67.27</v>
      </c>
      <c r="F26" s="107">
        <v>70.17</v>
      </c>
      <c r="G26" s="107">
        <f t="shared" si="0"/>
        <v>67.751500000000007</v>
      </c>
      <c r="H26" s="107" t="str">
        <f>IFERROR(VLOOKUP(G26,[4]Sheet1!$AA$1:$AB$10,2),"")</f>
        <v>B-</v>
      </c>
    </row>
    <row r="27" spans="1:8" s="102" customFormat="1" ht="12.5">
      <c r="A27" s="105">
        <v>9</v>
      </c>
      <c r="B27" s="106" t="s">
        <v>199</v>
      </c>
      <c r="C27" s="106" t="s">
        <v>200</v>
      </c>
      <c r="D27" s="107">
        <v>60.81</v>
      </c>
      <c r="E27" s="107">
        <v>58.48</v>
      </c>
      <c r="F27" s="107">
        <v>62.33</v>
      </c>
      <c r="G27" s="107">
        <f t="shared" si="0"/>
        <v>60.497100000000003</v>
      </c>
      <c r="H27" s="107" t="str">
        <f>IFERROR(VLOOKUP(G27,[4]Sheet1!$AA$1:$AB$10,2),"")</f>
        <v>C+</v>
      </c>
    </row>
    <row r="28" spans="1:8" s="102" customFormat="1" ht="12.5">
      <c r="A28" s="105">
        <v>10</v>
      </c>
      <c r="B28" s="106" t="s">
        <v>201</v>
      </c>
      <c r="C28" s="106" t="s">
        <v>202</v>
      </c>
      <c r="D28" s="107">
        <v>76.489999999999995</v>
      </c>
      <c r="E28" s="107">
        <v>76.36</v>
      </c>
      <c r="F28" s="107">
        <v>77.33</v>
      </c>
      <c r="G28" s="107">
        <f t="shared" si="0"/>
        <v>76.699100000000001</v>
      </c>
      <c r="H28" s="107" t="str">
        <f>IFERROR(VLOOKUP(G28,[4]Sheet1!$AA$1:$AB$10,2),"")</f>
        <v>B+</v>
      </c>
    </row>
    <row r="29" spans="1:8" s="102" customFormat="1" ht="12.5">
      <c r="A29" s="105">
        <v>12</v>
      </c>
      <c r="B29" s="106" t="s">
        <v>203</v>
      </c>
      <c r="C29" s="106" t="s">
        <v>204</v>
      </c>
      <c r="D29" s="107">
        <v>75.680000000000007</v>
      </c>
      <c r="E29" s="107">
        <v>75.45</v>
      </c>
      <c r="F29" s="107">
        <v>80.33</v>
      </c>
      <c r="G29" s="107">
        <f t="shared" si="0"/>
        <v>76.999100000000013</v>
      </c>
      <c r="H29" s="107" t="str">
        <f>IFERROR(VLOOKUP(G29,[4]Sheet1!$AA$1:$AB$10,2),"")</f>
        <v>B+</v>
      </c>
    </row>
    <row r="30" spans="1:8" s="102" customFormat="1" ht="12.5">
      <c r="A30" s="105">
        <v>13</v>
      </c>
      <c r="B30" s="106" t="s">
        <v>205</v>
      </c>
      <c r="C30" s="106" t="s">
        <v>206</v>
      </c>
      <c r="D30" s="107">
        <v>0</v>
      </c>
      <c r="E30" s="107">
        <v>0</v>
      </c>
      <c r="F30" s="107">
        <v>0</v>
      </c>
      <c r="G30" s="107">
        <f t="shared" si="0"/>
        <v>0</v>
      </c>
      <c r="H30" s="107" t="str">
        <f>IFERROR(VLOOKUP(G30,[4]Sheet1!$AA$1:$AB$10,2),"")</f>
        <v>E</v>
      </c>
    </row>
    <row r="31" spans="1:8" s="102" customFormat="1" ht="12.5">
      <c r="A31" s="105">
        <v>14</v>
      </c>
      <c r="B31" s="106" t="s">
        <v>207</v>
      </c>
      <c r="C31" s="106" t="s">
        <v>208</v>
      </c>
      <c r="D31" s="107">
        <v>70.27</v>
      </c>
      <c r="E31" s="107">
        <v>72.12</v>
      </c>
      <c r="F31" s="107">
        <v>69</v>
      </c>
      <c r="G31" s="107">
        <f t="shared" si="0"/>
        <v>70.499499999999998</v>
      </c>
      <c r="H31" s="107" t="str">
        <f>IFERROR(VLOOKUP(G31,[4]Sheet1!$AA$1:$AB$10,2),"")</f>
        <v>B</v>
      </c>
    </row>
    <row r="32" spans="1:8" s="102" customFormat="1" ht="12.5">
      <c r="A32" s="105">
        <v>15</v>
      </c>
      <c r="B32" s="106" t="s">
        <v>209</v>
      </c>
      <c r="C32" s="106" t="s">
        <v>210</v>
      </c>
      <c r="D32" s="107">
        <v>79.73</v>
      </c>
      <c r="E32" s="107">
        <v>76.52</v>
      </c>
      <c r="F32" s="107">
        <v>86.67</v>
      </c>
      <c r="G32" s="107">
        <f t="shared" si="0"/>
        <v>80.752700000000004</v>
      </c>
      <c r="H32" s="107" t="str">
        <f>IFERROR(VLOOKUP(G32,[4]Sheet1!$AA$1:$AB$10,2),"")</f>
        <v>B+</v>
      </c>
    </row>
    <row r="33" spans="1:8" s="102" customFormat="1" ht="12.5">
      <c r="A33" s="105">
        <v>16</v>
      </c>
      <c r="B33" s="106" t="s">
        <v>211</v>
      </c>
      <c r="C33" s="106" t="s">
        <v>212</v>
      </c>
      <c r="D33" s="107">
        <v>81.760000000000005</v>
      </c>
      <c r="E33" s="107">
        <v>79.55</v>
      </c>
      <c r="F33" s="107">
        <v>86.67</v>
      </c>
      <c r="G33" s="107">
        <f t="shared" si="0"/>
        <v>82.503700000000009</v>
      </c>
      <c r="H33" s="107" t="str">
        <f>IFERROR(VLOOKUP(G33,[4]Sheet1!$AA$1:$AB$10,2),"")</f>
        <v>B+</v>
      </c>
    </row>
    <row r="34" spans="1:8" s="102" customFormat="1" ht="12.5">
      <c r="A34" s="105">
        <v>17</v>
      </c>
      <c r="B34" s="106" t="s">
        <v>213</v>
      </c>
      <c r="C34" s="106" t="s">
        <v>214</v>
      </c>
      <c r="D34" s="107">
        <v>66.89</v>
      </c>
      <c r="E34" s="107">
        <v>67.88</v>
      </c>
      <c r="F34" s="107">
        <v>65.33</v>
      </c>
      <c r="G34" s="107">
        <f t="shared" si="0"/>
        <v>66.748699999999999</v>
      </c>
      <c r="H34" s="107" t="str">
        <f>IFERROR(VLOOKUP(G34,[4]Sheet1!$AA$1:$AB$10,2),"")</f>
        <v>B-</v>
      </c>
    </row>
    <row r="35" spans="1:8" s="102" customFormat="1" ht="12.5">
      <c r="A35" s="105">
        <v>18</v>
      </c>
      <c r="B35" s="106" t="s">
        <v>215</v>
      </c>
      <c r="C35" s="106" t="s">
        <v>216</v>
      </c>
      <c r="D35" s="107">
        <v>68.239999999999995</v>
      </c>
      <c r="E35" s="107">
        <v>69.7</v>
      </c>
      <c r="F35" s="107">
        <v>70</v>
      </c>
      <c r="G35" s="107">
        <f t="shared" si="0"/>
        <v>69.249799999999993</v>
      </c>
      <c r="H35" s="107" t="str">
        <f>IFERROR(VLOOKUP(G35,[4]Sheet1!$AA$1:$AB$10,2),"")</f>
        <v>B-</v>
      </c>
    </row>
    <row r="36" spans="1:8" s="102" customFormat="1" ht="12.5">
      <c r="A36" s="105">
        <v>19</v>
      </c>
      <c r="B36" s="106" t="s">
        <v>217</v>
      </c>
      <c r="C36" s="106" t="s">
        <v>218</v>
      </c>
      <c r="D36" s="107">
        <v>75</v>
      </c>
      <c r="E36" s="107">
        <v>76.97</v>
      </c>
      <c r="F36" s="107">
        <v>76.17</v>
      </c>
      <c r="G36" s="107">
        <f t="shared" si="0"/>
        <v>76.001100000000008</v>
      </c>
      <c r="H36" s="107" t="str">
        <f>IFERROR(VLOOKUP(G36,[4]Sheet1!$AA$1:$AB$10,2),"")</f>
        <v>B+</v>
      </c>
    </row>
    <row r="37" spans="1:8" s="102" customFormat="1" ht="12.5">
      <c r="A37" s="105">
        <v>20</v>
      </c>
      <c r="B37" s="106" t="s">
        <v>219</v>
      </c>
      <c r="C37" s="106" t="s">
        <v>220</v>
      </c>
      <c r="D37" s="107">
        <v>67.569999999999993</v>
      </c>
      <c r="E37" s="107">
        <v>67.58</v>
      </c>
      <c r="F37" s="107">
        <v>73.17</v>
      </c>
      <c r="G37" s="107">
        <f t="shared" si="0"/>
        <v>69.253299999999996</v>
      </c>
      <c r="H37" s="107" t="str">
        <f>IFERROR(VLOOKUP(G37,[4]Sheet1!$AA$1:$AB$10,2),"")</f>
        <v>B-</v>
      </c>
    </row>
    <row r="38" spans="1:8" s="102" customFormat="1" ht="12.5">
      <c r="A38" s="105">
        <v>21</v>
      </c>
      <c r="B38" s="106" t="s">
        <v>221</v>
      </c>
      <c r="C38" s="106" t="s">
        <v>222</v>
      </c>
      <c r="D38" s="107">
        <v>67.92</v>
      </c>
      <c r="E38" s="107">
        <v>61.27</v>
      </c>
      <c r="F38" s="107">
        <v>62.67</v>
      </c>
      <c r="G38" s="107">
        <f t="shared" si="0"/>
        <v>64.150500000000008</v>
      </c>
      <c r="H38" s="107" t="str">
        <f>IFERROR(VLOOKUP(G38,[4]Sheet1!$AA$1:$AB$10,2),"")</f>
        <v>C+</v>
      </c>
    </row>
    <row r="39" spans="1:8" s="102" customFormat="1" ht="12.5">
      <c r="A39" s="105">
        <v>22</v>
      </c>
      <c r="B39" s="106" t="s">
        <v>223</v>
      </c>
      <c r="C39" s="106" t="s">
        <v>224</v>
      </c>
      <c r="D39" s="107">
        <v>77.569999999999993</v>
      </c>
      <c r="E39" s="107">
        <v>77.58</v>
      </c>
      <c r="F39" s="107">
        <v>75</v>
      </c>
      <c r="G39" s="107">
        <f t="shared" si="0"/>
        <v>76.802300000000002</v>
      </c>
      <c r="H39" s="107" t="str">
        <f>IFERROR(VLOOKUP(G39,[4]Sheet1!$AA$1:$AB$10,2),"")</f>
        <v>B+</v>
      </c>
    </row>
    <row r="40" spans="1:8" s="102" customFormat="1" ht="12.5">
      <c r="A40" s="105">
        <v>23</v>
      </c>
      <c r="B40" s="106" t="s">
        <v>225</v>
      </c>
      <c r="C40" s="106" t="s">
        <v>226</v>
      </c>
      <c r="D40" s="107">
        <v>74</v>
      </c>
      <c r="E40" s="107">
        <v>73.09</v>
      </c>
      <c r="F40" s="107">
        <v>74.67</v>
      </c>
      <c r="G40" s="107">
        <f t="shared" si="0"/>
        <v>73.900700000000001</v>
      </c>
      <c r="H40" s="107" t="str">
        <f>IFERROR(VLOOKUP(G40,[4]Sheet1!$AA$1:$AB$10,2),"")</f>
        <v>B</v>
      </c>
    </row>
    <row r="41" spans="1:8" s="102" customFormat="1" ht="12.5">
      <c r="A41" s="105">
        <v>24</v>
      </c>
      <c r="B41" s="106" t="s">
        <v>284</v>
      </c>
      <c r="C41" s="106" t="s">
        <v>285</v>
      </c>
      <c r="D41" s="107">
        <v>77.84</v>
      </c>
      <c r="E41" s="107">
        <v>77.58</v>
      </c>
      <c r="F41" s="107">
        <v>83.5</v>
      </c>
      <c r="G41" s="107">
        <f t="shared" si="0"/>
        <v>79.452200000000005</v>
      </c>
      <c r="H41" s="107" t="str">
        <f>IFERROR(VLOOKUP(G41,[4]Sheet1!$AA$1:$AB$10,2),"")</f>
        <v>B+</v>
      </c>
    </row>
    <row r="42" spans="1:8" s="102" customFormat="1" ht="12.5">
      <c r="A42" s="105">
        <v>25</v>
      </c>
      <c r="B42" s="106" t="s">
        <v>282</v>
      </c>
      <c r="C42" s="106" t="s">
        <v>283</v>
      </c>
      <c r="D42" s="107">
        <v>70.27</v>
      </c>
      <c r="E42" s="107">
        <v>72.58</v>
      </c>
      <c r="F42" s="107">
        <v>66.83</v>
      </c>
      <c r="G42" s="107">
        <f t="shared" si="0"/>
        <v>70.000299999999996</v>
      </c>
      <c r="H42" s="107" t="str">
        <f>IFERROR(VLOOKUP(G42,[4]Sheet1!$AA$1:$AB$10,2),"")</f>
        <v>B-</v>
      </c>
    </row>
    <row r="43" spans="1:8" s="102" customFormat="1" ht="12.5">
      <c r="A43" s="105">
        <v>26</v>
      </c>
      <c r="B43" s="106" t="s">
        <v>227</v>
      </c>
      <c r="C43" s="106" t="s">
        <v>253</v>
      </c>
      <c r="D43" s="107">
        <v>48.92</v>
      </c>
      <c r="E43" s="107">
        <v>50.91</v>
      </c>
      <c r="F43" s="107">
        <v>55</v>
      </c>
      <c r="G43" s="107">
        <f t="shared" si="0"/>
        <v>51.400700000000001</v>
      </c>
      <c r="H43" s="107" t="str">
        <f>IFERROR(VLOOKUP(G43,[4]Sheet1!$AA$1:$AB$10,2),"")</f>
        <v>C-</v>
      </c>
    </row>
    <row r="44" spans="1:8" s="102" customFormat="1" ht="12.5">
      <c r="A44" s="105">
        <v>27</v>
      </c>
      <c r="B44" s="106" t="s">
        <v>229</v>
      </c>
      <c r="C44" s="106" t="s">
        <v>230</v>
      </c>
      <c r="D44" s="107">
        <v>85.81</v>
      </c>
      <c r="E44" s="107">
        <v>86.36</v>
      </c>
      <c r="F44" s="107">
        <v>87.5</v>
      </c>
      <c r="G44" s="107">
        <f t="shared" si="0"/>
        <v>86.498500000000007</v>
      </c>
      <c r="H44" s="107" t="str">
        <f>IFERROR(VLOOKUP(G44,[4]Sheet1!$AA$1:$AB$10,2),"")</f>
        <v>A-</v>
      </c>
    </row>
    <row r="45" spans="1:8" s="102" customFormat="1" ht="12.5">
      <c r="A45" s="105">
        <v>28</v>
      </c>
      <c r="B45" s="106" t="s">
        <v>231</v>
      </c>
      <c r="C45" s="106" t="s">
        <v>232</v>
      </c>
      <c r="D45" s="107">
        <v>84.86</v>
      </c>
      <c r="E45" s="107">
        <v>85.45</v>
      </c>
      <c r="F45" s="107">
        <v>86.67</v>
      </c>
      <c r="G45" s="107">
        <f t="shared" si="0"/>
        <v>85.597700000000003</v>
      </c>
      <c r="H45" s="107" t="str">
        <f>IFERROR(VLOOKUP(G45,[4]Sheet1!$AA$1:$AB$10,2),"")</f>
        <v>A-</v>
      </c>
    </row>
    <row r="46" spans="1:8" s="102" customFormat="1" ht="12.5">
      <c r="A46" s="105">
        <v>29</v>
      </c>
      <c r="B46" s="106" t="s">
        <v>233</v>
      </c>
      <c r="C46" s="106" t="s">
        <v>234</v>
      </c>
      <c r="D46" s="107">
        <v>86.76</v>
      </c>
      <c r="E46" s="107">
        <v>87.27</v>
      </c>
      <c r="F46" s="107">
        <v>88.33</v>
      </c>
      <c r="G46" s="107">
        <f t="shared" si="0"/>
        <v>87.399299999999997</v>
      </c>
      <c r="H46" s="107" t="str">
        <f>IFERROR(VLOOKUP(G46,[4]Sheet1!$AA$1:$AB$10,2),"")</f>
        <v>A-</v>
      </c>
    </row>
    <row r="47" spans="1:8" s="102" customFormat="1" ht="12.5">
      <c r="A47" s="105">
        <v>31</v>
      </c>
      <c r="B47" s="106" t="s">
        <v>237</v>
      </c>
      <c r="C47" s="106" t="s">
        <v>238</v>
      </c>
      <c r="D47" s="107">
        <v>82.03</v>
      </c>
      <c r="E47" s="107">
        <v>82.73</v>
      </c>
      <c r="F47" s="107">
        <v>84.17</v>
      </c>
      <c r="G47" s="107">
        <f t="shared" si="0"/>
        <v>82.903000000000006</v>
      </c>
      <c r="H47" s="107" t="str">
        <f>IFERROR(VLOOKUP(G47,[4]Sheet1!$AA$1:$AB$10,2),"")</f>
        <v>B+</v>
      </c>
    </row>
    <row r="48" spans="1:8" s="102" customFormat="1" ht="12.5">
      <c r="A48" s="105">
        <v>32</v>
      </c>
      <c r="B48" s="106" t="s">
        <v>239</v>
      </c>
      <c r="C48" s="106" t="s">
        <v>240</v>
      </c>
      <c r="D48" s="107">
        <v>86.76</v>
      </c>
      <c r="E48" s="107">
        <v>87.27</v>
      </c>
      <c r="F48" s="107">
        <v>88.33</v>
      </c>
      <c r="G48" s="107">
        <f t="shared" si="0"/>
        <v>87.399299999999997</v>
      </c>
      <c r="H48" s="107" t="str">
        <f>IFERROR(VLOOKUP(G48,[4]Sheet1!$AA$1:$AB$10,2),"")</f>
        <v>A-</v>
      </c>
    </row>
    <row r="49" spans="1:8" s="102" customFormat="1" ht="12.5">
      <c r="A49" s="105">
        <v>33</v>
      </c>
      <c r="B49" s="106" t="s">
        <v>241</v>
      </c>
      <c r="C49" s="106" t="s">
        <v>242</v>
      </c>
      <c r="D49" s="107">
        <v>85.81</v>
      </c>
      <c r="E49" s="107">
        <v>86.36</v>
      </c>
      <c r="F49" s="107">
        <v>87.5</v>
      </c>
      <c r="G49" s="107">
        <f t="shared" si="0"/>
        <v>86.498500000000007</v>
      </c>
      <c r="H49" s="107" t="str">
        <f>IFERROR(VLOOKUP(G49,[4]Sheet1!$AA$1:$AB$10,2),"")</f>
        <v>A-</v>
      </c>
    </row>
    <row r="50" spans="1:8" s="102" customFormat="1" ht="12.5">
      <c r="A50" s="105">
        <v>34</v>
      </c>
      <c r="B50" s="106" t="s">
        <v>243</v>
      </c>
      <c r="C50" s="106" t="s">
        <v>244</v>
      </c>
      <c r="D50" s="107">
        <v>83.92</v>
      </c>
      <c r="E50" s="107">
        <v>84.55</v>
      </c>
      <c r="F50" s="107">
        <v>85.83</v>
      </c>
      <c r="G50" s="107">
        <f t="shared" si="0"/>
        <v>84.70089999999999</v>
      </c>
      <c r="H50" s="107" t="str">
        <f>IFERROR(VLOOKUP(G50,[4]Sheet1!$AA$1:$AB$10,2),"")</f>
        <v>A-</v>
      </c>
    </row>
    <row r="51" spans="1:8">
      <c r="C51" s="32"/>
      <c r="G51" s="33"/>
    </row>
    <row r="52" spans="1:8" ht="14.5" thickBot="1">
      <c r="C52" s="32"/>
      <c r="D52" s="33" t="str">
        <f>D16</f>
        <v>CPMK104</v>
      </c>
      <c r="E52" s="33" t="str">
        <f>E16</f>
        <v>CPMK111</v>
      </c>
      <c r="F52" s="33" t="str">
        <f>F16</f>
        <v>CPMK112</v>
      </c>
      <c r="G52" s="33" t="str">
        <f>G12</f>
        <v>Nilai Akhir MK</v>
      </c>
    </row>
    <row r="53" spans="1:8" ht="14.5" thickBot="1">
      <c r="C53" s="36" t="s">
        <v>102</v>
      </c>
      <c r="D53" s="37">
        <f>IFERROR(COUNTIF(D19:D50,""),"")</f>
        <v>0</v>
      </c>
      <c r="E53" s="37">
        <f>IFERROR(COUNTIF(E19:E50,""),"")</f>
        <v>0</v>
      </c>
      <c r="F53" s="37">
        <f>IFERROR(COUNTIF(F19:F50,""),"")</f>
        <v>0</v>
      </c>
      <c r="G53" s="37">
        <f>IFERROR(COUNTIF(G19:G50,""),"")</f>
        <v>0</v>
      </c>
    </row>
    <row r="54" spans="1:8" ht="14.5" thickBot="1">
      <c r="C54" s="38" t="s">
        <v>94</v>
      </c>
      <c r="D54" s="198">
        <f>IFERROR(COUNTIF(D19:D50,$C$54)+COUNTIF(D19:D50,""),"")-D53</f>
        <v>3</v>
      </c>
      <c r="E54" s="198">
        <f>IFERROR(COUNTIF(E19:E50,$C$54)+COUNTIF(E19:E50,""),"")-E53</f>
        <v>5</v>
      </c>
      <c r="F54" s="198">
        <f>IFERROR(COUNTIF(F19:F50,$C$54)+COUNTIF(F19:F50,""),"")-F53</f>
        <v>4</v>
      </c>
      <c r="G54" s="39">
        <f>IFERROR(COUNTIF(G19:G50,C54)+COUNTIF(G19:G50,""),"")</f>
        <v>4</v>
      </c>
    </row>
    <row r="55" spans="1:8" ht="14.5" thickBot="1">
      <c r="C55" s="40" t="s">
        <v>95</v>
      </c>
      <c r="D55" s="41">
        <f>IFERROR(COUNTIF(D19:D50,$C$55)-D54,"")</f>
        <v>24</v>
      </c>
      <c r="E55" s="41">
        <f>IFERROR(COUNTIF(E19:E50,$C$55)-E54,"")</f>
        <v>21</v>
      </c>
      <c r="F55" s="41">
        <f>IFERROR(COUNTIF(F19:F50,$C$55)-F54,"")</f>
        <v>18</v>
      </c>
      <c r="G55" s="42">
        <f>IFERROR(COUNTIF(G19:G50,C55)-G54,"")</f>
        <v>23</v>
      </c>
    </row>
    <row r="56" spans="1:8" ht="14.5" thickBot="1">
      <c r="C56" s="43" t="s">
        <v>96</v>
      </c>
      <c r="D56" s="44">
        <f>COUNTIF(D19:D50,$C$56)</f>
        <v>5</v>
      </c>
      <c r="E56" s="44">
        <f>COUNTIF(E19:E50,$C$56)</f>
        <v>6</v>
      </c>
      <c r="F56" s="44">
        <f>COUNTIF(F19:F50,$C$56)</f>
        <v>10</v>
      </c>
      <c r="G56" s="44">
        <f>IFERROR(COUNTIF(G19:G50,C56),"")</f>
        <v>5</v>
      </c>
    </row>
    <row r="57" spans="1:8" ht="14.5" thickBot="1">
      <c r="C57" s="45" t="s">
        <v>74</v>
      </c>
      <c r="D57" s="46">
        <f>SUM(D53:D56)</f>
        <v>32</v>
      </c>
      <c r="E57" s="46">
        <f>SUM(E53:E56)</f>
        <v>32</v>
      </c>
      <c r="F57" s="46">
        <f t="shared" ref="F57:G57" si="1">SUM(F53:F56)</f>
        <v>32</v>
      </c>
      <c r="G57" s="46">
        <f t="shared" si="1"/>
        <v>32</v>
      </c>
    </row>
    <row r="58" spans="1:8" ht="14.5" thickBot="1">
      <c r="C58" s="47"/>
      <c r="G58" s="33"/>
    </row>
    <row r="59" spans="1:8" ht="14.5" thickBot="1">
      <c r="C59" s="48" t="s">
        <v>97</v>
      </c>
      <c r="D59" s="49">
        <f>(D55+D56)/(D57-D53)</f>
        <v>0.90625</v>
      </c>
      <c r="E59" s="49"/>
      <c r="F59" s="49">
        <f>(F55+F56)/(F57-F53)</f>
        <v>0.875</v>
      </c>
      <c r="G59" s="49">
        <f>(G55+G56)/(G57-G53)</f>
        <v>0.875</v>
      </c>
    </row>
    <row r="60" spans="1:8" ht="14.5" thickBot="1">
      <c r="C60" s="47"/>
      <c r="G60" s="33"/>
    </row>
    <row r="61" spans="1:8" ht="14.5" thickBot="1">
      <c r="C61" s="48" t="s">
        <v>98</v>
      </c>
      <c r="D61" s="21">
        <f>MIN(D19:D50)</f>
        <v>0</v>
      </c>
      <c r="E61" s="21"/>
      <c r="F61" s="21">
        <f>MIN(F19:F50)</f>
        <v>0</v>
      </c>
      <c r="G61" s="50">
        <f>IFERROR(MIN(G19:G50),"")</f>
        <v>0</v>
      </c>
    </row>
    <row r="62" spans="1:8" ht="14.5" thickBot="1">
      <c r="C62" s="48" t="s">
        <v>99</v>
      </c>
      <c r="D62" s="21">
        <f>MAX(D19:D50)</f>
        <v>86.76</v>
      </c>
      <c r="E62" s="21"/>
      <c r="F62" s="21">
        <f>MAX(F19:F50)</f>
        <v>88.33</v>
      </c>
      <c r="G62" s="50">
        <f>IFERROR(MAX(G19:G50),"")</f>
        <v>87.399299999999997</v>
      </c>
    </row>
    <row r="63" spans="1:8" ht="14.5" thickBot="1">
      <c r="C63" s="48" t="s">
        <v>100</v>
      </c>
      <c r="D63" s="50">
        <f>AVERAGE(D19:D50)</f>
        <v>72.53562500000001</v>
      </c>
      <c r="E63" s="50"/>
      <c r="F63" s="50">
        <f>AVERAGE(F19:F50)</f>
        <v>74.541875000000005</v>
      </c>
      <c r="G63" s="50">
        <f>IFERROR(AVERAGE(G19:G50),"")</f>
        <v>73.130178125</v>
      </c>
    </row>
  </sheetData>
  <mergeCells count="7">
    <mergeCell ref="A1:I1"/>
    <mergeCell ref="A2:I2"/>
    <mergeCell ref="D12:F12"/>
    <mergeCell ref="G12:G17"/>
    <mergeCell ref="H12:H17"/>
    <mergeCell ref="D13:F13"/>
    <mergeCell ref="D14:F14"/>
  </mergeCells>
  <phoneticPr fontId="21" type="noConversion"/>
  <printOptions horizontalCentered="1"/>
  <pageMargins left="0.19685039370078741" right="0.11811023622047245" top="0.19685039370078741" bottom="0.15748031496062992" header="0" footer="0"/>
  <pageSetup paperSize="9"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9A6C-959A-4D6B-A858-19FE8B001863}">
  <sheetPr>
    <pageSetUpPr fitToPage="1"/>
  </sheetPr>
  <dimension ref="A1:V66"/>
  <sheetViews>
    <sheetView view="pageBreakPreview" zoomScale="110" zoomScaleNormal="100" zoomScaleSheetLayoutView="110" workbookViewId="0">
      <selection activeCell="D13" sqref="D13:E13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59" t="s">
        <v>75</v>
      </c>
      <c r="B1" s="259"/>
      <c r="C1" s="259"/>
      <c r="D1" s="259"/>
      <c r="E1" s="259"/>
      <c r="F1" s="259"/>
      <c r="G1" s="259"/>
      <c r="H1" s="259"/>
      <c r="I1" s="30"/>
    </row>
    <row r="2" spans="1:22" ht="18.5" thickBot="1">
      <c r="A2" s="260" t="s">
        <v>76</v>
      </c>
      <c r="B2" s="260"/>
      <c r="C2" s="260"/>
      <c r="D2" s="260"/>
      <c r="E2" s="260"/>
      <c r="F2" s="260"/>
      <c r="G2" s="260"/>
      <c r="H2" s="260"/>
      <c r="I2" s="30"/>
    </row>
    <row r="4" spans="1:22">
      <c r="A4" t="s">
        <v>77</v>
      </c>
      <c r="C4" t="s">
        <v>317</v>
      </c>
      <c r="E4" t="s">
        <v>79</v>
      </c>
      <c r="F4" t="s">
        <v>249</v>
      </c>
    </row>
    <row r="5" spans="1:22">
      <c r="A5" t="s">
        <v>41</v>
      </c>
      <c r="C5" s="31" t="s">
        <v>334</v>
      </c>
      <c r="E5" t="s">
        <v>81</v>
      </c>
      <c r="F5" t="s">
        <v>250</v>
      </c>
    </row>
    <row r="6" spans="1:22">
      <c r="A6" t="s">
        <v>42</v>
      </c>
      <c r="C6" t="s">
        <v>335</v>
      </c>
    </row>
    <row r="7" spans="1:22">
      <c r="A7" t="s">
        <v>83</v>
      </c>
      <c r="C7" t="s">
        <v>108</v>
      </c>
    </row>
    <row r="8" spans="1:22">
      <c r="A8" t="s">
        <v>85</v>
      </c>
      <c r="C8" t="s">
        <v>86</v>
      </c>
    </row>
    <row r="9" spans="1:22">
      <c r="A9" t="s">
        <v>87</v>
      </c>
      <c r="C9" t="s">
        <v>291</v>
      </c>
    </row>
    <row r="10" spans="1:22">
      <c r="C10" t="s">
        <v>290</v>
      </c>
    </row>
    <row r="11" spans="1:22">
      <c r="C11" s="32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spans="1:22" s="102" customFormat="1" ht="13">
      <c r="C12" s="199"/>
      <c r="D12" s="276" t="s">
        <v>308</v>
      </c>
      <c r="E12" s="277"/>
      <c r="F12" s="263" t="s">
        <v>88</v>
      </c>
      <c r="G12" s="263" t="s">
        <v>89</v>
      </c>
    </row>
    <row r="13" spans="1:22" s="102" customFormat="1" ht="13">
      <c r="C13" s="199"/>
      <c r="D13" s="266" t="str">
        <f>TRIM(MID(C5,2,20))</f>
        <v>P.24.05.52.3.15</v>
      </c>
      <c r="E13" s="266"/>
      <c r="F13" s="264"/>
      <c r="G13" s="264"/>
    </row>
    <row r="14" spans="1:22" s="102" customFormat="1" ht="12.5">
      <c r="C14" s="103"/>
      <c r="D14" s="278" t="str">
        <f>TRIM(MID(C6,2,100))</f>
        <v>Akuntansi Manajemen</v>
      </c>
      <c r="E14" s="279"/>
      <c r="F14" s="264"/>
      <c r="G14" s="264"/>
    </row>
    <row r="15" spans="1:22" s="102" customFormat="1" ht="12.5">
      <c r="C15" s="103"/>
      <c r="D15" s="178" t="s">
        <v>103</v>
      </c>
      <c r="E15" s="178" t="s">
        <v>103</v>
      </c>
      <c r="F15" s="264"/>
      <c r="G15" s="264"/>
    </row>
    <row r="16" spans="1:22" s="102" customFormat="1" ht="12.5">
      <c r="C16" s="103"/>
      <c r="D16" s="178" t="s">
        <v>292</v>
      </c>
      <c r="E16" s="178" t="s">
        <v>293</v>
      </c>
      <c r="F16" s="264"/>
      <c r="G16" s="264"/>
    </row>
    <row r="17" spans="1:7" s="102" customFormat="1" ht="12.5">
      <c r="C17" s="103"/>
      <c r="D17" s="178">
        <v>50</v>
      </c>
      <c r="E17" s="178">
        <v>50</v>
      </c>
      <c r="F17" s="265"/>
      <c r="G17" s="265"/>
    </row>
    <row r="18" spans="1:7" s="102" customFormat="1" ht="13">
      <c r="A18" s="104" t="s">
        <v>0</v>
      </c>
      <c r="B18" s="104" t="s">
        <v>1</v>
      </c>
      <c r="C18" s="104" t="s">
        <v>2</v>
      </c>
      <c r="D18" s="104"/>
      <c r="E18" s="104"/>
      <c r="F18" s="104"/>
      <c r="G18" s="104"/>
    </row>
    <row r="19" spans="1:7" s="102" customFormat="1" ht="12.5">
      <c r="A19" s="105">
        <v>1</v>
      </c>
      <c r="B19" s="106" t="s">
        <v>183</v>
      </c>
      <c r="C19" s="106" t="s">
        <v>184</v>
      </c>
      <c r="D19" s="107">
        <v>76.3</v>
      </c>
      <c r="E19" s="107">
        <v>76.3</v>
      </c>
      <c r="F19" s="107">
        <f>IFERROR((D19*($D$17/100))+(E19*($E$17/100)),"")</f>
        <v>76.3</v>
      </c>
      <c r="G19" s="107" t="str">
        <f>IFERROR(VLOOKUP(F21,[4]Sheet1!$AA$1:$AB$10,2),"")</f>
        <v>A</v>
      </c>
    </row>
    <row r="20" spans="1:7" s="102" customFormat="1" ht="12.5">
      <c r="A20" s="105">
        <v>2</v>
      </c>
      <c r="B20" s="106" t="s">
        <v>185</v>
      </c>
      <c r="C20" s="106" t="s">
        <v>186</v>
      </c>
      <c r="D20" s="107">
        <v>81.400000000000006</v>
      </c>
      <c r="E20" s="107">
        <v>81.400000000000006</v>
      </c>
      <c r="F20" s="107">
        <f>IFERROR((D20*($D$17/100))+(E20*($E$17/100)),"")</f>
        <v>81.400000000000006</v>
      </c>
      <c r="G20" s="107" t="str">
        <f>IFERROR(VLOOKUP(F20,[5]Sheet1!$AA$1:$AB$10,2),"")</f>
        <v>B+</v>
      </c>
    </row>
    <row r="21" spans="1:7" s="102" customFormat="1" ht="12.5">
      <c r="A21" s="105">
        <v>3</v>
      </c>
      <c r="B21" s="106" t="s">
        <v>187</v>
      </c>
      <c r="C21" s="106" t="s">
        <v>188</v>
      </c>
      <c r="D21" s="107">
        <v>92.6</v>
      </c>
      <c r="E21" s="107">
        <v>92.6</v>
      </c>
      <c r="F21" s="107">
        <f t="shared" ref="F21:F51" si="0">IFERROR((D21*($D$17/100))+(E21*($E$17/100)),"")</f>
        <v>92.6</v>
      </c>
      <c r="G21" s="107" t="str">
        <f>IFERROR(VLOOKUP(F21,[5]Sheet1!$AA$1:$AB$10,2),"")</f>
        <v>A</v>
      </c>
    </row>
    <row r="22" spans="1:7" s="102" customFormat="1" ht="12.5">
      <c r="A22" s="105">
        <v>4</v>
      </c>
      <c r="B22" s="106" t="s">
        <v>189</v>
      </c>
      <c r="C22" s="106" t="s">
        <v>190</v>
      </c>
      <c r="D22" s="107">
        <v>93.9</v>
      </c>
      <c r="E22" s="107">
        <v>93.9</v>
      </c>
      <c r="F22" s="107">
        <f t="shared" si="0"/>
        <v>93.9</v>
      </c>
      <c r="G22" s="107" t="str">
        <f>IFERROR(VLOOKUP(F22,[5]Sheet1!$AA$1:$AB$10,2),"")</f>
        <v>A</v>
      </c>
    </row>
    <row r="23" spans="1:7" s="102" customFormat="1" ht="12.5">
      <c r="A23" s="105">
        <v>5</v>
      </c>
      <c r="B23" s="106" t="s">
        <v>191</v>
      </c>
      <c r="C23" s="106" t="s">
        <v>192</v>
      </c>
      <c r="D23" s="107">
        <v>92.6</v>
      </c>
      <c r="E23" s="107">
        <v>92.6</v>
      </c>
      <c r="F23" s="107">
        <f t="shared" si="0"/>
        <v>92.6</v>
      </c>
      <c r="G23" s="107" t="str">
        <f>IFERROR(VLOOKUP(F23,[5]Sheet1!$AA$1:$AB$10,2),"")</f>
        <v>A</v>
      </c>
    </row>
    <row r="24" spans="1:7" s="102" customFormat="1" ht="12.5">
      <c r="A24" s="105">
        <v>6</v>
      </c>
      <c r="B24" s="106" t="s">
        <v>193</v>
      </c>
      <c r="C24" s="106" t="s">
        <v>194</v>
      </c>
      <c r="D24" s="107">
        <v>93.9</v>
      </c>
      <c r="E24" s="107">
        <v>93.9</v>
      </c>
      <c r="F24" s="107">
        <f t="shared" si="0"/>
        <v>93.9</v>
      </c>
      <c r="G24" s="107" t="str">
        <f>IFERROR(VLOOKUP(F24,[5]Sheet1!$AA$1:$AB$10,2),"")</f>
        <v>A</v>
      </c>
    </row>
    <row r="25" spans="1:7" s="102" customFormat="1" ht="12.5">
      <c r="A25" s="105">
        <v>7</v>
      </c>
      <c r="B25" s="106" t="s">
        <v>195</v>
      </c>
      <c r="C25" s="106" t="s">
        <v>196</v>
      </c>
      <c r="D25" s="107">
        <v>81.400000000000006</v>
      </c>
      <c r="E25" s="107">
        <v>81.400000000000006</v>
      </c>
      <c r="F25" s="107">
        <f t="shared" si="0"/>
        <v>81.400000000000006</v>
      </c>
      <c r="G25" s="107" t="str">
        <f>IFERROR(VLOOKUP(F25,[5]Sheet1!$AA$1:$AB$10,2),"")</f>
        <v>B+</v>
      </c>
    </row>
    <row r="26" spans="1:7" s="102" customFormat="1" ht="12.5">
      <c r="A26" s="105">
        <v>8</v>
      </c>
      <c r="B26" s="106" t="s">
        <v>197</v>
      </c>
      <c r="C26" s="106" t="s">
        <v>198</v>
      </c>
      <c r="D26" s="107">
        <v>81.400000000000006</v>
      </c>
      <c r="E26" s="107">
        <v>81.400000000000006</v>
      </c>
      <c r="F26" s="107">
        <f t="shared" si="0"/>
        <v>81.400000000000006</v>
      </c>
      <c r="G26" s="107" t="str">
        <f>IFERROR(VLOOKUP(F26,[5]Sheet1!$AA$1:$AB$10,2),"")</f>
        <v>B+</v>
      </c>
    </row>
    <row r="27" spans="1:7" s="102" customFormat="1" ht="12.5">
      <c r="A27" s="105">
        <v>9</v>
      </c>
      <c r="B27" s="106" t="s">
        <v>199</v>
      </c>
      <c r="C27" s="106" t="s">
        <v>200</v>
      </c>
      <c r="D27" s="107">
        <v>81.400000000000006</v>
      </c>
      <c r="E27" s="107">
        <v>81.400000000000006</v>
      </c>
      <c r="F27" s="107">
        <f t="shared" si="0"/>
        <v>81.400000000000006</v>
      </c>
      <c r="G27" s="107" t="str">
        <f>IFERROR(VLOOKUP(F27,[5]Sheet1!$AA$1:$AB$10,2),"")</f>
        <v>B+</v>
      </c>
    </row>
    <row r="28" spans="1:7" s="102" customFormat="1" ht="12.5">
      <c r="A28" s="105">
        <v>10</v>
      </c>
      <c r="B28" s="106" t="s">
        <v>201</v>
      </c>
      <c r="C28" s="106" t="s">
        <v>202</v>
      </c>
      <c r="D28" s="107">
        <v>93.9</v>
      </c>
      <c r="E28" s="107">
        <v>93.9</v>
      </c>
      <c r="F28" s="107">
        <f t="shared" si="0"/>
        <v>93.9</v>
      </c>
      <c r="G28" s="107" t="str">
        <f>IFERROR(VLOOKUP(F28,[5]Sheet1!$AA$1:$AB$10,2),"")</f>
        <v>A</v>
      </c>
    </row>
    <row r="29" spans="1:7" s="102" customFormat="1" ht="12.5">
      <c r="A29" s="105">
        <v>12</v>
      </c>
      <c r="B29" s="106" t="s">
        <v>203</v>
      </c>
      <c r="C29" s="106" t="s">
        <v>204</v>
      </c>
      <c r="D29" s="107">
        <v>93.9</v>
      </c>
      <c r="E29" s="107">
        <v>93.9</v>
      </c>
      <c r="F29" s="107">
        <f t="shared" si="0"/>
        <v>93.9</v>
      </c>
      <c r="G29" s="107" t="str">
        <f>IFERROR(VLOOKUP(F29,[5]Sheet1!$AA$1:$AB$10,2),"")</f>
        <v>A</v>
      </c>
    </row>
    <row r="30" spans="1:7" s="102" customFormat="1" ht="12.5">
      <c r="A30" s="105">
        <v>13</v>
      </c>
      <c r="B30" s="106" t="s">
        <v>205</v>
      </c>
      <c r="C30" s="106" t="s">
        <v>206</v>
      </c>
      <c r="D30" s="107">
        <v>9.4</v>
      </c>
      <c r="E30" s="107">
        <v>9.4</v>
      </c>
      <c r="F30" s="107">
        <f t="shared" si="0"/>
        <v>9.4</v>
      </c>
      <c r="G30" s="107" t="str">
        <f>IFERROR(VLOOKUP(F30,[5]Sheet1!$AA$1:$AB$10,2),"")</f>
        <v>E</v>
      </c>
    </row>
    <row r="31" spans="1:7" s="102" customFormat="1" ht="12.5">
      <c r="A31" s="105">
        <v>14</v>
      </c>
      <c r="B31" s="106" t="s">
        <v>207</v>
      </c>
      <c r="C31" s="106" t="s">
        <v>208</v>
      </c>
      <c r="D31" s="107">
        <v>76.900000000000006</v>
      </c>
      <c r="E31" s="107">
        <v>76.900000000000006</v>
      </c>
      <c r="F31" s="107">
        <f t="shared" si="0"/>
        <v>76.900000000000006</v>
      </c>
      <c r="G31" s="107" t="str">
        <f>IFERROR(VLOOKUP(F31,[5]Sheet1!$AA$1:$AB$10,2),"")</f>
        <v>B+</v>
      </c>
    </row>
    <row r="32" spans="1:7" s="102" customFormat="1" ht="12.5">
      <c r="A32" s="105">
        <v>15</v>
      </c>
      <c r="B32" s="106" t="s">
        <v>209</v>
      </c>
      <c r="C32" s="106" t="s">
        <v>210</v>
      </c>
      <c r="D32" s="107">
        <v>93.9</v>
      </c>
      <c r="E32" s="107">
        <v>93.9</v>
      </c>
      <c r="F32" s="107">
        <f t="shared" si="0"/>
        <v>93.9</v>
      </c>
      <c r="G32" s="107" t="str">
        <f>IFERROR(VLOOKUP(F32,[5]Sheet1!$AA$1:$AB$10,2),"")</f>
        <v>A</v>
      </c>
    </row>
    <row r="33" spans="1:7" s="102" customFormat="1" ht="12.5">
      <c r="A33" s="105">
        <v>16</v>
      </c>
      <c r="B33" s="106" t="s">
        <v>211</v>
      </c>
      <c r="C33" s="106" t="s">
        <v>212</v>
      </c>
      <c r="D33" s="107">
        <v>93.9</v>
      </c>
      <c r="E33" s="107">
        <v>93.9</v>
      </c>
      <c r="F33" s="107">
        <f t="shared" si="0"/>
        <v>93.9</v>
      </c>
      <c r="G33" s="107" t="str">
        <f>IFERROR(VLOOKUP(F33,[5]Sheet1!$AA$1:$AB$10,2),"")</f>
        <v>A</v>
      </c>
    </row>
    <row r="34" spans="1:7" s="102" customFormat="1" ht="12.5">
      <c r="A34" s="105">
        <v>17</v>
      </c>
      <c r="B34" s="106" t="s">
        <v>213</v>
      </c>
      <c r="C34" s="106" t="s">
        <v>214</v>
      </c>
      <c r="D34" s="107">
        <v>76.900000000000006</v>
      </c>
      <c r="E34" s="107">
        <v>76.900000000000006</v>
      </c>
      <c r="F34" s="107">
        <f t="shared" si="0"/>
        <v>76.900000000000006</v>
      </c>
      <c r="G34" s="107" t="str">
        <f>IFERROR(VLOOKUP(F34,[5]Sheet1!$AA$1:$AB$10,2),"")</f>
        <v>B+</v>
      </c>
    </row>
    <row r="35" spans="1:7" s="102" customFormat="1" ht="12.5">
      <c r="A35" s="105">
        <v>18</v>
      </c>
      <c r="B35" s="106" t="s">
        <v>215</v>
      </c>
      <c r="C35" s="106" t="s">
        <v>216</v>
      </c>
      <c r="D35" s="107">
        <v>81.400000000000006</v>
      </c>
      <c r="E35" s="107">
        <v>81.400000000000006</v>
      </c>
      <c r="F35" s="107">
        <f t="shared" si="0"/>
        <v>81.400000000000006</v>
      </c>
      <c r="G35" s="107" t="str">
        <f>IFERROR(VLOOKUP(F35,[5]Sheet1!$AA$1:$AB$10,2),"")</f>
        <v>B+</v>
      </c>
    </row>
    <row r="36" spans="1:7" s="102" customFormat="1" ht="12.5">
      <c r="A36" s="105">
        <v>19</v>
      </c>
      <c r="B36" s="106" t="s">
        <v>217</v>
      </c>
      <c r="C36" s="106" t="s">
        <v>218</v>
      </c>
      <c r="D36" s="107">
        <v>81.400000000000006</v>
      </c>
      <c r="E36" s="107">
        <v>81.400000000000006</v>
      </c>
      <c r="F36" s="107">
        <f t="shared" si="0"/>
        <v>81.400000000000006</v>
      </c>
      <c r="G36" s="107" t="str">
        <f>IFERROR(VLOOKUP(F36,[5]Sheet1!$AA$1:$AB$10,2),"")</f>
        <v>B+</v>
      </c>
    </row>
    <row r="37" spans="1:7" s="102" customFormat="1" ht="12.5">
      <c r="A37" s="105">
        <v>20</v>
      </c>
      <c r="B37" s="106" t="s">
        <v>219</v>
      </c>
      <c r="C37" s="106" t="s">
        <v>220</v>
      </c>
      <c r="D37" s="107">
        <v>93.9</v>
      </c>
      <c r="E37" s="107">
        <v>93.9</v>
      </c>
      <c r="F37" s="107">
        <f t="shared" si="0"/>
        <v>93.9</v>
      </c>
      <c r="G37" s="107" t="str">
        <f>IFERROR(VLOOKUP(F37,[5]Sheet1!$AA$1:$AB$10,2),"")</f>
        <v>A</v>
      </c>
    </row>
    <row r="38" spans="1:7" s="102" customFormat="1" ht="12.5">
      <c r="A38" s="105">
        <v>21</v>
      </c>
      <c r="B38" s="106" t="s">
        <v>221</v>
      </c>
      <c r="C38" s="106" t="s">
        <v>222</v>
      </c>
      <c r="D38" s="107">
        <v>70.400000000000006</v>
      </c>
      <c r="E38" s="107">
        <v>77.400000000000006</v>
      </c>
      <c r="F38" s="107">
        <f t="shared" si="0"/>
        <v>73.900000000000006</v>
      </c>
      <c r="G38" s="107" t="str">
        <f>IFERROR(VLOOKUP(F38,[5]Sheet1!$AA$1:$AB$10,2),"")</f>
        <v>B</v>
      </c>
    </row>
    <row r="39" spans="1:7" s="102" customFormat="1" ht="12.5">
      <c r="A39" s="105">
        <v>22</v>
      </c>
      <c r="B39" s="106" t="s">
        <v>223</v>
      </c>
      <c r="C39" s="106" t="s">
        <v>224</v>
      </c>
      <c r="D39" s="107">
        <v>93.9</v>
      </c>
      <c r="E39" s="107">
        <v>93.9</v>
      </c>
      <c r="F39" s="107">
        <f t="shared" si="0"/>
        <v>93.9</v>
      </c>
      <c r="G39" s="107" t="str">
        <f>IFERROR(VLOOKUP(F39,[5]Sheet1!$AA$1:$AB$10,2),"")</f>
        <v>A</v>
      </c>
    </row>
    <row r="40" spans="1:7" s="102" customFormat="1" ht="12.5">
      <c r="A40" s="105">
        <v>23</v>
      </c>
      <c r="B40" s="106" t="s">
        <v>225</v>
      </c>
      <c r="C40" s="106" t="s">
        <v>226</v>
      </c>
      <c r="D40" s="107">
        <v>93.3</v>
      </c>
      <c r="E40" s="107">
        <v>93.3</v>
      </c>
      <c r="F40" s="107">
        <f t="shared" si="0"/>
        <v>93.3</v>
      </c>
      <c r="G40" s="107" t="str">
        <f>IFERROR(VLOOKUP(F40,[5]Sheet1!$AA$1:$AB$10,2),"")</f>
        <v>A</v>
      </c>
    </row>
    <row r="41" spans="1:7" s="102" customFormat="1" ht="12.5">
      <c r="A41" s="105">
        <v>24</v>
      </c>
      <c r="B41" s="106" t="s">
        <v>284</v>
      </c>
      <c r="C41" s="106" t="s">
        <v>285</v>
      </c>
      <c r="D41" s="107">
        <v>81.400000000000006</v>
      </c>
      <c r="E41" s="107">
        <v>81.400000000000006</v>
      </c>
      <c r="F41" s="107">
        <f t="shared" si="0"/>
        <v>81.400000000000006</v>
      </c>
      <c r="G41" s="107" t="str">
        <f>IFERROR(VLOOKUP(F41,[5]Sheet1!$AA$1:$AB$10,2),"")</f>
        <v>B+</v>
      </c>
    </row>
    <row r="42" spans="1:7" s="102" customFormat="1" ht="12.5">
      <c r="A42" s="105">
        <v>25</v>
      </c>
      <c r="B42" s="106" t="s">
        <v>282</v>
      </c>
      <c r="C42" s="106" t="s">
        <v>283</v>
      </c>
      <c r="D42" s="107">
        <v>72.400000000000006</v>
      </c>
      <c r="E42" s="107">
        <v>72.400000000000006</v>
      </c>
      <c r="F42" s="107">
        <f t="shared" si="0"/>
        <v>72.400000000000006</v>
      </c>
      <c r="G42" s="107" t="str">
        <f>IFERROR(VLOOKUP(F42,[5]Sheet1!$AA$1:$AB$10,2),"")</f>
        <v>B</v>
      </c>
    </row>
    <row r="43" spans="1:7" s="102" customFormat="1" ht="12.5">
      <c r="A43" s="105">
        <v>26</v>
      </c>
      <c r="B43" s="106" t="s">
        <v>227</v>
      </c>
      <c r="C43" s="106" t="s">
        <v>253</v>
      </c>
      <c r="D43" s="107">
        <v>73</v>
      </c>
      <c r="E43" s="107">
        <v>73</v>
      </c>
      <c r="F43" s="107">
        <f t="shared" si="0"/>
        <v>73</v>
      </c>
      <c r="G43" s="107" t="str">
        <f>IFERROR(VLOOKUP(F43,[5]Sheet1!$AA$1:$AB$10,2),"")</f>
        <v>B</v>
      </c>
    </row>
    <row r="44" spans="1:7" s="102" customFormat="1" ht="12.5">
      <c r="A44" s="105">
        <v>27</v>
      </c>
      <c r="B44" s="106" t="s">
        <v>229</v>
      </c>
      <c r="C44" s="106" t="s">
        <v>230</v>
      </c>
      <c r="D44" s="107">
        <v>83</v>
      </c>
      <c r="E44" s="107">
        <v>73</v>
      </c>
      <c r="F44" s="107">
        <f t="shared" si="0"/>
        <v>78</v>
      </c>
      <c r="G44" s="107" t="str">
        <f>IFERROR(VLOOKUP(F44,[5]Sheet1!$AA$1:$AB$10,2),"")</f>
        <v>B+</v>
      </c>
    </row>
    <row r="45" spans="1:7" s="102" customFormat="1" ht="12.5">
      <c r="A45" s="105">
        <v>28</v>
      </c>
      <c r="B45" s="106" t="s">
        <v>231</v>
      </c>
      <c r="C45" s="106" t="s">
        <v>232</v>
      </c>
      <c r="D45" s="107">
        <v>83</v>
      </c>
      <c r="E45" s="107">
        <v>73</v>
      </c>
      <c r="F45" s="107">
        <f t="shared" si="0"/>
        <v>78</v>
      </c>
      <c r="G45" s="107" t="str">
        <f>IFERROR(VLOOKUP(F45,[5]Sheet1!$AA$1:$AB$10,2),"")</f>
        <v>B+</v>
      </c>
    </row>
    <row r="46" spans="1:7" s="102" customFormat="1" ht="12.5">
      <c r="A46" s="105">
        <v>29</v>
      </c>
      <c r="B46" s="106" t="s">
        <v>233</v>
      </c>
      <c r="C46" s="106" t="s">
        <v>234</v>
      </c>
      <c r="D46" s="107">
        <v>83</v>
      </c>
      <c r="E46" s="107">
        <v>73</v>
      </c>
      <c r="F46" s="107">
        <f t="shared" si="0"/>
        <v>78</v>
      </c>
      <c r="G46" s="107" t="str">
        <f>IFERROR(VLOOKUP(F46,[5]Sheet1!$AA$1:$AB$10,2),"")</f>
        <v>B+</v>
      </c>
    </row>
    <row r="47" spans="1:7" s="102" customFormat="1" ht="12.5">
      <c r="A47" s="105">
        <v>30</v>
      </c>
      <c r="B47" s="106" t="s">
        <v>235</v>
      </c>
      <c r="C47" s="106" t="s">
        <v>236</v>
      </c>
      <c r="D47" s="107">
        <v>93</v>
      </c>
      <c r="E47" s="107">
        <v>83</v>
      </c>
      <c r="F47" s="107">
        <f t="shared" si="0"/>
        <v>88</v>
      </c>
      <c r="G47" s="107" t="str">
        <f>IFERROR(VLOOKUP(F47,[5]Sheet1!$AA$1:$AB$10,2),"")</f>
        <v>A-</v>
      </c>
    </row>
    <row r="48" spans="1:7" s="102" customFormat="1" ht="12.5">
      <c r="A48" s="105">
        <v>31</v>
      </c>
      <c r="B48" s="106" t="s">
        <v>237</v>
      </c>
      <c r="C48" s="106" t="s">
        <v>238</v>
      </c>
      <c r="D48" s="107">
        <v>93</v>
      </c>
      <c r="E48" s="107">
        <v>83</v>
      </c>
      <c r="F48" s="107">
        <f t="shared" si="0"/>
        <v>88</v>
      </c>
      <c r="G48" s="107" t="str">
        <f>IFERROR(VLOOKUP(F48,[5]Sheet1!$AA$1:$AB$10,2),"")</f>
        <v>A-</v>
      </c>
    </row>
    <row r="49" spans="1:7" s="102" customFormat="1" ht="12.5">
      <c r="A49" s="105">
        <v>32</v>
      </c>
      <c r="B49" s="106" t="s">
        <v>239</v>
      </c>
      <c r="C49" s="106" t="s">
        <v>240</v>
      </c>
      <c r="D49" s="107">
        <v>83</v>
      </c>
      <c r="E49" s="107">
        <v>73</v>
      </c>
      <c r="F49" s="107">
        <f t="shared" si="0"/>
        <v>78</v>
      </c>
      <c r="G49" s="107" t="str">
        <f>IFERROR(VLOOKUP(F49,[5]Sheet1!$AA$1:$AB$10,2),"")</f>
        <v>B+</v>
      </c>
    </row>
    <row r="50" spans="1:7" s="102" customFormat="1" ht="12.5">
      <c r="A50" s="105">
        <v>33</v>
      </c>
      <c r="B50" s="106" t="s">
        <v>241</v>
      </c>
      <c r="C50" s="106" t="s">
        <v>242</v>
      </c>
      <c r="D50" s="107">
        <v>83</v>
      </c>
      <c r="E50" s="107">
        <v>73</v>
      </c>
      <c r="F50" s="107">
        <f t="shared" si="0"/>
        <v>78</v>
      </c>
      <c r="G50" s="107" t="str">
        <f>IFERROR(VLOOKUP(F50,[5]Sheet1!$AA$1:$AB$10,2),"")</f>
        <v>B+</v>
      </c>
    </row>
    <row r="51" spans="1:7" s="102" customFormat="1" ht="12.5">
      <c r="A51" s="105">
        <v>34</v>
      </c>
      <c r="B51" s="106" t="s">
        <v>243</v>
      </c>
      <c r="C51" s="106" t="s">
        <v>244</v>
      </c>
      <c r="D51" s="107">
        <v>84.9</v>
      </c>
      <c r="E51" s="107">
        <v>65.400000000000006</v>
      </c>
      <c r="F51" s="107">
        <f t="shared" si="0"/>
        <v>75.150000000000006</v>
      </c>
      <c r="G51" s="107" t="str">
        <f>IFERROR(VLOOKUP(F51,[5]Sheet1!$AA$1:$AB$10,2),"")</f>
        <v>B</v>
      </c>
    </row>
    <row r="52" spans="1:7" s="102" customFormat="1" ht="12.5">
      <c r="A52" s="105">
        <v>35</v>
      </c>
      <c r="B52" s="106" t="s">
        <v>245</v>
      </c>
      <c r="C52" s="106" t="s">
        <v>246</v>
      </c>
      <c r="D52" s="107"/>
      <c r="E52" s="107"/>
      <c r="F52" s="107"/>
      <c r="G52" s="107"/>
    </row>
    <row r="53" spans="1:7" s="102" customFormat="1" ht="12.5">
      <c r="A53" s="105">
        <v>36</v>
      </c>
      <c r="B53" s="106" t="s">
        <v>247</v>
      </c>
      <c r="C53" s="106" t="s">
        <v>248</v>
      </c>
      <c r="D53" s="107"/>
      <c r="E53" s="107"/>
      <c r="F53" s="107"/>
      <c r="G53" s="107"/>
    </row>
    <row r="54" spans="1:7">
      <c r="C54" s="32"/>
      <c r="D54" s="33"/>
      <c r="E54" s="33"/>
      <c r="F54" s="33"/>
    </row>
    <row r="55" spans="1:7" ht="14.5" thickBot="1">
      <c r="C55" s="32"/>
      <c r="D55" s="33" t="str">
        <f>D16</f>
        <v>CPMK41</v>
      </c>
      <c r="E55" s="33" t="str">
        <f>E16</f>
        <v>CPMK42</v>
      </c>
      <c r="F55" s="33" t="str">
        <f>F12</f>
        <v>Nilai Akhir MK</v>
      </c>
    </row>
    <row r="56" spans="1:7" ht="14.5" thickBot="1">
      <c r="C56" s="36" t="s">
        <v>102</v>
      </c>
      <c r="D56" s="37">
        <f>IFERROR(COUNTIF(D19:D53,""),"")</f>
        <v>2</v>
      </c>
      <c r="E56" s="37">
        <f>IFERROR(COUNTIF(E19:E53,""),"")</f>
        <v>2</v>
      </c>
      <c r="F56" s="37">
        <f>IFERROR(COUNTIF(F19:F53,""),"")</f>
        <v>2</v>
      </c>
    </row>
    <row r="57" spans="1:7" ht="14.5" thickBot="1">
      <c r="C57" s="38" t="s">
        <v>94</v>
      </c>
      <c r="D57" s="39">
        <f>IFERROR(COUNTIF(D19:D53,C57)+COUNTIF(D19:D53,""),"")-D56</f>
        <v>1</v>
      </c>
      <c r="E57" s="39">
        <f>COUNTIF(E19:E53,C57)+COUNTIF(E19:E53,"")-E56</f>
        <v>1</v>
      </c>
      <c r="F57" s="39">
        <f>IFERROR(COUNTIF(F19:F53,C57)+COUNTIF(F19:F53,""),"")</f>
        <v>3</v>
      </c>
    </row>
    <row r="58" spans="1:7" ht="14.5" thickBot="1">
      <c r="C58" s="40" t="s">
        <v>95</v>
      </c>
      <c r="D58" s="41">
        <f>IFERROR(COUNTIF(D19:D53,C58)-D57,"")</f>
        <v>19</v>
      </c>
      <c r="E58" s="41">
        <f>COUNTIF(E19:E53,C58)-E57</f>
        <v>21</v>
      </c>
      <c r="F58" s="42">
        <f>IFERROR(COUNTIF(F19:F53,C58)-F57,"")</f>
        <v>17</v>
      </c>
    </row>
    <row r="59" spans="1:7" ht="14.5" thickBot="1">
      <c r="C59" s="43" t="s">
        <v>96</v>
      </c>
      <c r="D59" s="44">
        <f>COUNTIF(D19:D53,C59)</f>
        <v>13</v>
      </c>
      <c r="E59" s="44">
        <f>COUNTIF(E19:E53,C59)</f>
        <v>11</v>
      </c>
      <c r="F59" s="44">
        <f>IFERROR(COUNTIF(F19:F53,C59),"")</f>
        <v>13</v>
      </c>
    </row>
    <row r="60" spans="1:7" ht="14.5" thickBot="1">
      <c r="C60" s="45" t="s">
        <v>74</v>
      </c>
      <c r="D60" s="46">
        <f>SUM(D56:D59)</f>
        <v>35</v>
      </c>
      <c r="E60" s="46">
        <f t="shared" ref="E60:F60" si="1">SUM(E56:E59)</f>
        <v>35</v>
      </c>
      <c r="F60" s="46">
        <f t="shared" si="1"/>
        <v>35</v>
      </c>
    </row>
    <row r="61" spans="1:7" ht="14.5" thickBot="1">
      <c r="C61" s="47"/>
      <c r="D61" s="33"/>
      <c r="E61" s="33"/>
      <c r="F61" s="33"/>
    </row>
    <row r="62" spans="1:7" ht="14.5" thickBot="1">
      <c r="C62" s="48" t="s">
        <v>97</v>
      </c>
      <c r="D62" s="49">
        <f>(D58+D59)/(D60-D56)</f>
        <v>0.96969696969696972</v>
      </c>
      <c r="E62" s="49">
        <f>(E58+E59)/(E60-E56)</f>
        <v>0.96969696969696972</v>
      </c>
      <c r="F62" s="49">
        <f>(F58+F59)/(F60-F56)</f>
        <v>0.90909090909090906</v>
      </c>
    </row>
    <row r="63" spans="1:7" ht="14.5" thickBot="1">
      <c r="C63" s="47"/>
      <c r="D63" s="33"/>
      <c r="E63" s="33"/>
      <c r="F63" s="33"/>
    </row>
    <row r="64" spans="1:7" ht="14.5" thickBot="1">
      <c r="C64" s="48" t="s">
        <v>98</v>
      </c>
      <c r="D64" s="21">
        <f>MIN(D19:D53)</f>
        <v>9.4</v>
      </c>
      <c r="E64" s="21">
        <f>MIN(E19:E53)</f>
        <v>9.4</v>
      </c>
      <c r="F64" s="50">
        <f>IFERROR(MIN(F19:F53),"")</f>
        <v>9.4</v>
      </c>
    </row>
    <row r="65" spans="3:6" ht="14.5" thickBot="1">
      <c r="C65" s="48" t="s">
        <v>99</v>
      </c>
      <c r="D65" s="21">
        <f>MAX(D19:D53)</f>
        <v>93.9</v>
      </c>
      <c r="E65" s="21">
        <f>MAX(E19:E53)</f>
        <v>93.9</v>
      </c>
      <c r="F65" s="50">
        <f>IFERROR(MAX(F19:F53),"")</f>
        <v>93.9</v>
      </c>
    </row>
    <row r="66" spans="3:6" ht="14.5" thickBot="1">
      <c r="C66" s="48" t="s">
        <v>100</v>
      </c>
      <c r="D66" s="50">
        <f>AVERAGE(D19:D53)</f>
        <v>83.051515151515176</v>
      </c>
      <c r="E66" s="50">
        <f>AVERAGE(E19:E53)</f>
        <v>80.551515151515176</v>
      </c>
      <c r="F66" s="50">
        <f>IFERROR(AVERAGE(F19:F53),"")</f>
        <v>81.801515151515176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A158-01A7-4416-AA4F-D2977131719E}">
  <dimension ref="A1:I62"/>
  <sheetViews>
    <sheetView view="pageBreakPreview" zoomScaleNormal="100" zoomScaleSheetLayoutView="100" workbookViewId="0">
      <selection activeCell="C58" sqref="C58:F62"/>
    </sheetView>
  </sheetViews>
  <sheetFormatPr defaultRowHeight="14"/>
  <cols>
    <col min="1" max="1" width="4" customWidth="1"/>
    <col min="2" max="2" width="12.83203125" customWidth="1"/>
    <col min="3" max="3" width="34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9" ht="18">
      <c r="A1" s="259" t="s">
        <v>75</v>
      </c>
      <c r="B1" s="259"/>
      <c r="C1" s="259"/>
      <c r="D1" s="259"/>
      <c r="E1" s="259"/>
      <c r="F1" s="259"/>
      <c r="G1" s="259"/>
      <c r="H1" s="259"/>
      <c r="I1" s="30"/>
    </row>
    <row r="2" spans="1:9" ht="18.5" thickBot="1">
      <c r="A2" s="260" t="s">
        <v>76</v>
      </c>
      <c r="B2" s="260"/>
      <c r="C2" s="260"/>
      <c r="D2" s="260"/>
      <c r="E2" s="260"/>
      <c r="F2" s="260"/>
      <c r="G2" s="260"/>
      <c r="H2" s="260"/>
      <c r="I2" s="30"/>
    </row>
    <row r="4" spans="1:9">
      <c r="A4" t="s">
        <v>77</v>
      </c>
      <c r="C4" t="s">
        <v>317</v>
      </c>
      <c r="E4" t="s">
        <v>79</v>
      </c>
      <c r="F4" t="s">
        <v>249</v>
      </c>
    </row>
    <row r="5" spans="1:9">
      <c r="A5" t="s">
        <v>41</v>
      </c>
      <c r="C5" s="31" t="s">
        <v>336</v>
      </c>
      <c r="E5" t="s">
        <v>81</v>
      </c>
      <c r="F5" t="s">
        <v>250</v>
      </c>
    </row>
    <row r="6" spans="1:9">
      <c r="A6" t="s">
        <v>42</v>
      </c>
      <c r="C6" t="s">
        <v>337</v>
      </c>
    </row>
    <row r="7" spans="1:9">
      <c r="A7" t="s">
        <v>83</v>
      </c>
      <c r="C7" t="s">
        <v>108</v>
      </c>
    </row>
    <row r="8" spans="1:9">
      <c r="A8" t="s">
        <v>85</v>
      </c>
      <c r="C8" t="s">
        <v>86</v>
      </c>
    </row>
    <row r="9" spans="1:9">
      <c r="A9" t="s">
        <v>87</v>
      </c>
      <c r="C9" t="s">
        <v>340</v>
      </c>
    </row>
    <row r="10" spans="1:9">
      <c r="C10" t="s">
        <v>341</v>
      </c>
    </row>
    <row r="11" spans="1:9">
      <c r="C11" s="32"/>
      <c r="D11" s="280" t="s">
        <v>311</v>
      </c>
      <c r="E11" s="281"/>
      <c r="F11" s="269" t="s">
        <v>88</v>
      </c>
      <c r="G11" s="269" t="s">
        <v>89</v>
      </c>
    </row>
    <row r="12" spans="1:9">
      <c r="C12" s="32"/>
      <c r="D12" s="272" t="str">
        <f>TRIM(MID(C5,2,20))</f>
        <v>P.24.05.52.3.16</v>
      </c>
      <c r="E12" s="272"/>
      <c r="F12" s="270"/>
      <c r="G12" s="270"/>
    </row>
    <row r="13" spans="1:9">
      <c r="C13" s="32"/>
      <c r="D13" s="272" t="str">
        <f>TRIM(MID(C6,2,100))</f>
        <v>Manajemen Keuangan</v>
      </c>
      <c r="E13" s="272"/>
      <c r="F13" s="270"/>
      <c r="G13" s="270"/>
    </row>
    <row r="14" spans="1:9">
      <c r="C14" s="32"/>
      <c r="D14" s="34" t="s">
        <v>141</v>
      </c>
      <c r="E14" s="34" t="s">
        <v>141</v>
      </c>
      <c r="F14" s="270"/>
      <c r="G14" s="270"/>
    </row>
    <row r="15" spans="1:9">
      <c r="C15" s="32"/>
      <c r="D15" s="34" t="s">
        <v>338</v>
      </c>
      <c r="E15" s="34" t="s">
        <v>339</v>
      </c>
      <c r="F15" s="270"/>
      <c r="G15" s="270"/>
    </row>
    <row r="16" spans="1:9">
      <c r="C16" s="32"/>
      <c r="D16" s="34">
        <v>50</v>
      </c>
      <c r="E16" s="34">
        <v>50</v>
      </c>
      <c r="F16" s="271"/>
      <c r="G16" s="271"/>
    </row>
    <row r="17" spans="1:7">
      <c r="A17" s="1" t="s">
        <v>0</v>
      </c>
      <c r="B17" s="1" t="s">
        <v>1</v>
      </c>
      <c r="C17" s="1" t="s">
        <v>2</v>
      </c>
      <c r="D17" s="1"/>
      <c r="E17" s="1"/>
      <c r="F17" s="1"/>
      <c r="G17" s="1"/>
    </row>
    <row r="18" spans="1:7">
      <c r="A18" s="105">
        <v>1</v>
      </c>
      <c r="B18" s="106" t="s">
        <v>183</v>
      </c>
      <c r="C18" s="106" t="s">
        <v>184</v>
      </c>
      <c r="D18" s="35">
        <v>75.5</v>
      </c>
      <c r="E18" s="35">
        <v>96.5</v>
      </c>
      <c r="F18" s="35">
        <f>IFERROR((D18*($D$16/100))+(E18*($E$16/100)),"")</f>
        <v>86</v>
      </c>
      <c r="G18" s="35" t="str">
        <f>IFERROR(VLOOKUP(F20,[4]Sheet1!$AA$1:$AB$10,2),"")</f>
        <v>B+</v>
      </c>
    </row>
    <row r="19" spans="1:7">
      <c r="A19" s="105">
        <v>2</v>
      </c>
      <c r="B19" s="106" t="s">
        <v>185</v>
      </c>
      <c r="C19" s="106" t="s">
        <v>186</v>
      </c>
      <c r="D19" s="35">
        <v>72</v>
      </c>
      <c r="E19" s="35">
        <v>82.5</v>
      </c>
      <c r="F19" s="35">
        <f t="shared" ref="F19:F49" si="0">IFERROR((D19*($D$16/100))+(E19*($E$16/100)),"")</f>
        <v>77.25</v>
      </c>
      <c r="G19" s="35" t="str">
        <f>IFERROR(VLOOKUP(F19,[6]Sheet1!$AA$1:$AB$10,2),"")</f>
        <v>B+</v>
      </c>
    </row>
    <row r="20" spans="1:7">
      <c r="A20" s="105">
        <v>3</v>
      </c>
      <c r="B20" s="106" t="s">
        <v>187</v>
      </c>
      <c r="C20" s="106" t="s">
        <v>188</v>
      </c>
      <c r="D20" s="35">
        <v>78.400000000000006</v>
      </c>
      <c r="E20" s="35">
        <v>85.4</v>
      </c>
      <c r="F20" s="35">
        <f t="shared" si="0"/>
        <v>81.900000000000006</v>
      </c>
      <c r="G20" s="35" t="str">
        <f>IFERROR(VLOOKUP(F20,[6]Sheet1!$AA$1:$AB$10,2),"")</f>
        <v>B+</v>
      </c>
    </row>
    <row r="21" spans="1:7">
      <c r="A21" s="105">
        <v>4</v>
      </c>
      <c r="B21" s="106" t="s">
        <v>189</v>
      </c>
      <c r="C21" s="106" t="s">
        <v>190</v>
      </c>
      <c r="D21" s="35">
        <v>74.900000000000006</v>
      </c>
      <c r="E21" s="35">
        <v>78.400000000000006</v>
      </c>
      <c r="F21" s="35">
        <f t="shared" si="0"/>
        <v>76.650000000000006</v>
      </c>
      <c r="G21" s="35" t="str">
        <f>IFERROR(VLOOKUP(F21,[6]Sheet1!$AA$1:$AB$10,2),"")</f>
        <v>B+</v>
      </c>
    </row>
    <row r="22" spans="1:7">
      <c r="A22" s="105">
        <v>5</v>
      </c>
      <c r="B22" s="106" t="s">
        <v>191</v>
      </c>
      <c r="C22" s="106" t="s">
        <v>192</v>
      </c>
      <c r="D22" s="35">
        <v>81.900000000000006</v>
      </c>
      <c r="E22" s="35">
        <v>81.900000000000006</v>
      </c>
      <c r="F22" s="35">
        <f t="shared" si="0"/>
        <v>81.900000000000006</v>
      </c>
      <c r="G22" s="35" t="str">
        <f>IFERROR(VLOOKUP(F22,[6]Sheet1!$AA$1:$AB$10,2),"")</f>
        <v>B+</v>
      </c>
    </row>
    <row r="23" spans="1:7">
      <c r="A23" s="105">
        <v>6</v>
      </c>
      <c r="B23" s="106" t="s">
        <v>193</v>
      </c>
      <c r="C23" s="106" t="s">
        <v>194</v>
      </c>
      <c r="D23" s="35">
        <v>66.5</v>
      </c>
      <c r="E23" s="35">
        <v>77</v>
      </c>
      <c r="F23" s="35">
        <f t="shared" si="0"/>
        <v>71.75</v>
      </c>
      <c r="G23" s="35" t="str">
        <f>IFERROR(VLOOKUP(F23,[6]Sheet1!$AA$1:$AB$10,2),"")</f>
        <v>B</v>
      </c>
    </row>
    <row r="24" spans="1:7">
      <c r="A24" s="105">
        <v>7</v>
      </c>
      <c r="B24" s="106" t="s">
        <v>195</v>
      </c>
      <c r="C24" s="106" t="s">
        <v>196</v>
      </c>
      <c r="D24" s="35">
        <v>75.5</v>
      </c>
      <c r="E24" s="35">
        <v>75.5</v>
      </c>
      <c r="F24" s="35">
        <f t="shared" si="0"/>
        <v>75.5</v>
      </c>
      <c r="G24" s="35" t="str">
        <f>IFERROR(VLOOKUP(F24,[6]Sheet1!$AA$1:$AB$10,2),"")</f>
        <v>B+</v>
      </c>
    </row>
    <row r="25" spans="1:7">
      <c r="A25" s="105">
        <v>8</v>
      </c>
      <c r="B25" s="106" t="s">
        <v>197</v>
      </c>
      <c r="C25" s="106" t="s">
        <v>198</v>
      </c>
      <c r="D25" s="35">
        <v>58</v>
      </c>
      <c r="E25" s="35">
        <v>93</v>
      </c>
      <c r="F25" s="35">
        <f t="shared" si="0"/>
        <v>75.5</v>
      </c>
      <c r="G25" s="35" t="str">
        <f>IFERROR(VLOOKUP(F25,[6]Sheet1!$AA$1:$AB$10,2),"")</f>
        <v>B+</v>
      </c>
    </row>
    <row r="26" spans="1:7">
      <c r="A26" s="105">
        <v>9</v>
      </c>
      <c r="B26" s="106" t="s">
        <v>199</v>
      </c>
      <c r="C26" s="106" t="s">
        <v>200</v>
      </c>
      <c r="D26" s="35">
        <v>64.400000000000006</v>
      </c>
      <c r="E26" s="35">
        <v>78.400000000000006</v>
      </c>
      <c r="F26" s="35">
        <f t="shared" si="0"/>
        <v>71.400000000000006</v>
      </c>
      <c r="G26" s="35" t="str">
        <f>IFERROR(VLOOKUP(F26,[6]Sheet1!$AA$1:$AB$10,2),"")</f>
        <v>B</v>
      </c>
    </row>
    <row r="27" spans="1:7">
      <c r="A27" s="105">
        <v>10</v>
      </c>
      <c r="B27" s="106" t="s">
        <v>201</v>
      </c>
      <c r="C27" s="106" t="s">
        <v>202</v>
      </c>
      <c r="D27" s="35">
        <v>75.5</v>
      </c>
      <c r="E27" s="35">
        <v>93</v>
      </c>
      <c r="F27" s="35">
        <f t="shared" si="0"/>
        <v>84.25</v>
      </c>
      <c r="G27" s="35" t="str">
        <f>IFERROR(VLOOKUP(F27,[6]Sheet1!$AA$1:$AB$10,2),"")</f>
        <v>B+</v>
      </c>
    </row>
    <row r="28" spans="1:7">
      <c r="A28" s="105">
        <v>12</v>
      </c>
      <c r="B28" s="106" t="s">
        <v>203</v>
      </c>
      <c r="C28" s="106" t="s">
        <v>204</v>
      </c>
      <c r="D28" s="35">
        <v>82.5</v>
      </c>
      <c r="E28" s="35">
        <v>89.5</v>
      </c>
      <c r="F28" s="35">
        <f t="shared" si="0"/>
        <v>86</v>
      </c>
      <c r="G28" s="35" t="str">
        <f>IFERROR(VLOOKUP(F28,[6]Sheet1!$AA$1:$AB$10,2),"")</f>
        <v>A-</v>
      </c>
    </row>
    <row r="29" spans="1:7">
      <c r="A29" s="105">
        <v>13</v>
      </c>
      <c r="B29" s="106" t="s">
        <v>205</v>
      </c>
      <c r="C29" s="106" t="s">
        <v>206</v>
      </c>
      <c r="D29" s="35">
        <v>0.6</v>
      </c>
      <c r="E29" s="35">
        <v>0.6</v>
      </c>
      <c r="F29" s="35">
        <f t="shared" si="0"/>
        <v>0.6</v>
      </c>
      <c r="G29" s="35" t="str">
        <f>IFERROR(VLOOKUP(F29,[6]Sheet1!$AA$1:$AB$10,2),"")</f>
        <v>E</v>
      </c>
    </row>
    <row r="30" spans="1:7">
      <c r="A30" s="105">
        <v>14</v>
      </c>
      <c r="B30" s="106" t="s">
        <v>207</v>
      </c>
      <c r="C30" s="106" t="s">
        <v>208</v>
      </c>
      <c r="D30" s="35">
        <v>58</v>
      </c>
      <c r="E30" s="35">
        <v>89.5</v>
      </c>
      <c r="F30" s="35">
        <f t="shared" si="0"/>
        <v>73.75</v>
      </c>
      <c r="G30" s="35" t="str">
        <f>IFERROR(VLOOKUP(F30,[6]Sheet1!$AA$1:$AB$10,2),"")</f>
        <v>B</v>
      </c>
    </row>
    <row r="31" spans="1:7">
      <c r="A31" s="105">
        <v>15</v>
      </c>
      <c r="B31" s="106" t="s">
        <v>209</v>
      </c>
      <c r="C31" s="106" t="s">
        <v>210</v>
      </c>
      <c r="D31" s="35">
        <v>82.5</v>
      </c>
      <c r="E31" s="35">
        <v>89.5</v>
      </c>
      <c r="F31" s="35">
        <f t="shared" si="0"/>
        <v>86</v>
      </c>
      <c r="G31" s="35" t="str">
        <f>IFERROR(VLOOKUP(F31,[6]Sheet1!$AA$1:$AB$10,2),"")</f>
        <v>A-</v>
      </c>
    </row>
    <row r="32" spans="1:7">
      <c r="A32" s="105">
        <v>16</v>
      </c>
      <c r="B32" s="106" t="s">
        <v>211</v>
      </c>
      <c r="C32" s="106" t="s">
        <v>212</v>
      </c>
      <c r="D32" s="35">
        <v>82.5</v>
      </c>
      <c r="E32" s="35">
        <v>86</v>
      </c>
      <c r="F32" s="35">
        <f t="shared" si="0"/>
        <v>84.25</v>
      </c>
      <c r="G32" s="35" t="str">
        <f>IFERROR(VLOOKUP(F32,[6]Sheet1!$AA$1:$AB$10,2),"")</f>
        <v>B+</v>
      </c>
    </row>
    <row r="33" spans="1:7">
      <c r="A33" s="105">
        <v>17</v>
      </c>
      <c r="B33" s="106" t="s">
        <v>213</v>
      </c>
      <c r="C33" s="106" t="s">
        <v>214</v>
      </c>
      <c r="D33" s="35">
        <v>58</v>
      </c>
      <c r="E33" s="35">
        <v>86</v>
      </c>
      <c r="F33" s="35">
        <f t="shared" si="0"/>
        <v>72</v>
      </c>
      <c r="G33" s="35" t="str">
        <f>IFERROR(VLOOKUP(F33,[6]Sheet1!$AA$1:$AB$10,2),"")</f>
        <v>B</v>
      </c>
    </row>
    <row r="34" spans="1:7">
      <c r="A34" s="105">
        <v>18</v>
      </c>
      <c r="B34" s="106" t="s">
        <v>215</v>
      </c>
      <c r="C34" s="106" t="s">
        <v>216</v>
      </c>
      <c r="D34" s="35">
        <v>70.8</v>
      </c>
      <c r="E34" s="35">
        <v>74.3</v>
      </c>
      <c r="F34" s="35">
        <f t="shared" si="0"/>
        <v>72.55</v>
      </c>
      <c r="G34" s="35" t="str">
        <f>IFERROR(VLOOKUP(F34,[6]Sheet1!$AA$1:$AB$10,2),"")</f>
        <v>B</v>
      </c>
    </row>
    <row r="35" spans="1:7">
      <c r="A35" s="105">
        <v>19</v>
      </c>
      <c r="B35" s="106" t="s">
        <v>217</v>
      </c>
      <c r="C35" s="106" t="s">
        <v>218</v>
      </c>
      <c r="D35" s="35">
        <v>85.4</v>
      </c>
      <c r="E35" s="35">
        <v>81.900000000000006</v>
      </c>
      <c r="F35" s="35">
        <f t="shared" si="0"/>
        <v>83.65</v>
      </c>
      <c r="G35" s="35" t="str">
        <f>IFERROR(VLOOKUP(F35,[6]Sheet1!$AA$1:$AB$10,2),"")</f>
        <v>B+</v>
      </c>
    </row>
    <row r="36" spans="1:7">
      <c r="A36" s="105">
        <v>20</v>
      </c>
      <c r="B36" s="106" t="s">
        <v>219</v>
      </c>
      <c r="C36" s="106" t="s">
        <v>220</v>
      </c>
      <c r="D36" s="35">
        <v>82.5</v>
      </c>
      <c r="E36" s="35">
        <v>96.5</v>
      </c>
      <c r="F36" s="35">
        <f t="shared" si="0"/>
        <v>89.5</v>
      </c>
      <c r="G36" s="35" t="str">
        <f>IFERROR(VLOOKUP(F36,[6]Sheet1!$AA$1:$AB$10,2),"")</f>
        <v>A-</v>
      </c>
    </row>
    <row r="37" spans="1:7">
      <c r="A37" s="105">
        <v>21</v>
      </c>
      <c r="B37" s="106" t="s">
        <v>221</v>
      </c>
      <c r="C37" s="106" t="s">
        <v>222</v>
      </c>
      <c r="D37" s="35">
        <v>64.599999999999994</v>
      </c>
      <c r="E37" s="35">
        <v>75.099999999999994</v>
      </c>
      <c r="F37" s="35">
        <f t="shared" si="0"/>
        <v>69.849999999999994</v>
      </c>
      <c r="G37" s="35" t="str">
        <f>IFERROR(VLOOKUP(F37,[6]Sheet1!$AA$1:$AB$10,2),"")</f>
        <v>B-</v>
      </c>
    </row>
    <row r="38" spans="1:7">
      <c r="A38" s="105">
        <v>22</v>
      </c>
      <c r="B38" s="106" t="s">
        <v>223</v>
      </c>
      <c r="C38" s="106" t="s">
        <v>224</v>
      </c>
      <c r="D38" s="35">
        <v>74.900000000000006</v>
      </c>
      <c r="E38" s="35">
        <v>85.4</v>
      </c>
      <c r="F38" s="35">
        <f t="shared" si="0"/>
        <v>80.150000000000006</v>
      </c>
      <c r="G38" s="35" t="str">
        <f>IFERROR(VLOOKUP(F38,[6]Sheet1!$AA$1:$AB$10,2),"")</f>
        <v>B+</v>
      </c>
    </row>
    <row r="39" spans="1:7">
      <c r="A39" s="105">
        <v>23</v>
      </c>
      <c r="B39" s="106" t="s">
        <v>225</v>
      </c>
      <c r="C39" s="106" t="s">
        <v>226</v>
      </c>
      <c r="D39" s="35">
        <v>75.5</v>
      </c>
      <c r="E39" s="35">
        <v>93</v>
      </c>
      <c r="F39" s="35">
        <f t="shared" si="0"/>
        <v>84.25</v>
      </c>
      <c r="G39" s="35" t="str">
        <f>IFERROR(VLOOKUP(F39,[6]Sheet1!$AA$1:$AB$10,2),"")</f>
        <v>B+</v>
      </c>
    </row>
    <row r="40" spans="1:7">
      <c r="A40" s="105">
        <v>24</v>
      </c>
      <c r="B40" s="4" t="s">
        <v>282</v>
      </c>
      <c r="C40" s="4" t="s">
        <v>283</v>
      </c>
      <c r="D40" s="35">
        <v>79</v>
      </c>
      <c r="E40" s="35">
        <v>96.5</v>
      </c>
      <c r="F40" s="35">
        <f t="shared" si="0"/>
        <v>87.75</v>
      </c>
      <c r="G40" s="35" t="str">
        <f>IFERROR(VLOOKUP(F40,[6]Sheet1!$AA$1:$AB$10,2),"")</f>
        <v>A-</v>
      </c>
    </row>
    <row r="41" spans="1:7">
      <c r="A41" s="105">
        <v>25</v>
      </c>
      <c r="B41" s="4" t="s">
        <v>284</v>
      </c>
      <c r="C41" s="4" t="s">
        <v>285</v>
      </c>
      <c r="D41" s="35">
        <v>65.900000000000006</v>
      </c>
      <c r="E41" s="35">
        <v>83.4</v>
      </c>
      <c r="F41" s="35">
        <f t="shared" si="0"/>
        <v>74.650000000000006</v>
      </c>
      <c r="G41" s="35" t="str">
        <f>IFERROR(VLOOKUP(F41,[6]Sheet1!$AA$1:$AB$10,2),"")</f>
        <v>B</v>
      </c>
    </row>
    <row r="42" spans="1:7">
      <c r="A42" s="105">
        <v>26</v>
      </c>
      <c r="B42" s="106" t="s">
        <v>227</v>
      </c>
      <c r="C42" s="106" t="s">
        <v>253</v>
      </c>
      <c r="D42" s="35">
        <v>75.650000000000006</v>
      </c>
      <c r="E42" s="35">
        <v>75.650000000000006</v>
      </c>
      <c r="F42" s="35">
        <f t="shared" si="0"/>
        <v>75.650000000000006</v>
      </c>
      <c r="G42" s="35" t="str">
        <f>IFERROR(VLOOKUP(F42,[6]Sheet1!$AA$1:$AB$10,2),"")</f>
        <v>B+</v>
      </c>
    </row>
    <row r="43" spans="1:7">
      <c r="A43" s="105">
        <v>27</v>
      </c>
      <c r="B43" s="106" t="s">
        <v>229</v>
      </c>
      <c r="C43" s="106" t="s">
        <v>230</v>
      </c>
      <c r="D43" s="35">
        <v>75.599999999999994</v>
      </c>
      <c r="E43" s="35">
        <v>75.599999999999994</v>
      </c>
      <c r="F43" s="35">
        <f t="shared" si="0"/>
        <v>75.599999999999994</v>
      </c>
      <c r="G43" s="35" t="str">
        <f>IFERROR(VLOOKUP(F43,[6]Sheet1!$AA$1:$AB$10,2),"")</f>
        <v>B+</v>
      </c>
    </row>
    <row r="44" spans="1:7">
      <c r="A44" s="105">
        <v>28</v>
      </c>
      <c r="B44" s="106" t="s">
        <v>231</v>
      </c>
      <c r="C44" s="106" t="s">
        <v>232</v>
      </c>
      <c r="D44" s="35">
        <v>83.05</v>
      </c>
      <c r="E44" s="35">
        <v>83.05</v>
      </c>
      <c r="F44" s="35">
        <f t="shared" si="0"/>
        <v>83.05</v>
      </c>
      <c r="G44" s="35" t="str">
        <f>IFERROR(VLOOKUP(F44,[6]Sheet1!$AA$1:$AB$10,2),"")</f>
        <v>B+</v>
      </c>
    </row>
    <row r="45" spans="1:7">
      <c r="A45" s="105">
        <v>29</v>
      </c>
      <c r="B45" s="106" t="s">
        <v>233</v>
      </c>
      <c r="C45" s="106" t="s">
        <v>234</v>
      </c>
      <c r="D45" s="35">
        <v>80.599999999999994</v>
      </c>
      <c r="E45" s="35">
        <v>80.599999999999994</v>
      </c>
      <c r="F45" s="35">
        <f t="shared" si="0"/>
        <v>80.599999999999994</v>
      </c>
      <c r="G45" s="35" t="str">
        <f>IFERROR(VLOOKUP(F45,[6]Sheet1!$AA$1:$AB$10,2),"")</f>
        <v>B+</v>
      </c>
    </row>
    <row r="46" spans="1:7">
      <c r="A46" s="105">
        <v>31</v>
      </c>
      <c r="B46" s="106" t="s">
        <v>237</v>
      </c>
      <c r="C46" s="106" t="s">
        <v>238</v>
      </c>
      <c r="D46" s="35">
        <v>81.900000000000006</v>
      </c>
      <c r="E46" s="35">
        <v>81.900000000000006</v>
      </c>
      <c r="F46" s="35">
        <f t="shared" si="0"/>
        <v>81.900000000000006</v>
      </c>
      <c r="G46" s="35" t="str">
        <f>IFERROR(VLOOKUP(F46,[6]Sheet1!$AA$1:$AB$10,2),"")</f>
        <v>B+</v>
      </c>
    </row>
    <row r="47" spans="1:7">
      <c r="A47" s="105">
        <v>32</v>
      </c>
      <c r="B47" s="106" t="s">
        <v>239</v>
      </c>
      <c r="C47" s="106" t="s">
        <v>240</v>
      </c>
      <c r="D47" s="35">
        <v>86.3</v>
      </c>
      <c r="E47" s="35">
        <v>86.3</v>
      </c>
      <c r="F47" s="35">
        <f t="shared" si="0"/>
        <v>86.3</v>
      </c>
      <c r="G47" s="35" t="str">
        <f>IFERROR(VLOOKUP(F47,[6]Sheet1!$AA$1:$AB$10,2),"")</f>
        <v>A-</v>
      </c>
    </row>
    <row r="48" spans="1:7">
      <c r="A48" s="105">
        <v>33</v>
      </c>
      <c r="B48" s="106" t="s">
        <v>241</v>
      </c>
      <c r="C48" s="106" t="s">
        <v>242</v>
      </c>
      <c r="D48" s="35">
        <v>79</v>
      </c>
      <c r="E48" s="35">
        <v>79</v>
      </c>
      <c r="F48" s="35">
        <f t="shared" si="0"/>
        <v>79</v>
      </c>
      <c r="G48" s="35" t="str">
        <f>IFERROR(VLOOKUP(F48,[6]Sheet1!$AA$1:$AB$10,2),"")</f>
        <v>B+</v>
      </c>
    </row>
    <row r="49" spans="1:7">
      <c r="A49" s="105">
        <v>34</v>
      </c>
      <c r="B49" s="106" t="s">
        <v>243</v>
      </c>
      <c r="C49" s="106" t="s">
        <v>244</v>
      </c>
      <c r="D49" s="35">
        <v>79.2</v>
      </c>
      <c r="E49" s="35">
        <v>79.2</v>
      </c>
      <c r="F49" s="35">
        <f t="shared" si="0"/>
        <v>79.2</v>
      </c>
      <c r="G49" s="35" t="str">
        <f>IFERROR(VLOOKUP(F49,[6]Sheet1!$AA$1:$AB$10,2),"")</f>
        <v>B+</v>
      </c>
    </row>
    <row r="50" spans="1:7">
      <c r="C50" s="32"/>
      <c r="D50" s="33"/>
      <c r="E50" s="33"/>
      <c r="F50" s="33"/>
    </row>
    <row r="51" spans="1:7" ht="14.5" thickBot="1">
      <c r="C51" s="32"/>
      <c r="D51" s="33" t="str">
        <f>D15</f>
        <v>CPMK61</v>
      </c>
      <c r="E51" s="33" t="str">
        <f>E15</f>
        <v>CPMK62</v>
      </c>
      <c r="F51" s="33" t="str">
        <f>F11</f>
        <v>Nilai Akhir MK</v>
      </c>
    </row>
    <row r="52" spans="1:7" ht="14.5" thickBot="1">
      <c r="C52" s="36" t="s">
        <v>102</v>
      </c>
      <c r="D52" s="37">
        <f>IFERROR(COUNTIF(D18:D49,""),"")</f>
        <v>0</v>
      </c>
      <c r="E52" s="37">
        <f>IFERROR(COUNTIF(E18:E49,""),"")</f>
        <v>0</v>
      </c>
      <c r="F52" s="37">
        <f>IFERROR(COUNTIF(F18:F49,""),"")</f>
        <v>0</v>
      </c>
    </row>
    <row r="53" spans="1:7" ht="14.5" thickBot="1">
      <c r="C53" s="38" t="s">
        <v>94</v>
      </c>
      <c r="D53" s="39">
        <f>IFERROR(COUNTIF(D18:D49,C53)+COUNTIF(D18:D49,""),"")-D52</f>
        <v>6</v>
      </c>
      <c r="E53" s="39">
        <f>COUNTIF(E18:E49,C53)+COUNTIF(E18:E49,"")-E52</f>
        <v>1</v>
      </c>
      <c r="F53" s="39">
        <f>IFERROR(COUNTIF(F18:F49,C53)+COUNTIF(F18:F49,""),"")</f>
        <v>1</v>
      </c>
    </row>
    <row r="54" spans="1:7" ht="14.5" thickBot="1">
      <c r="C54" s="40" t="s">
        <v>95</v>
      </c>
      <c r="D54" s="41">
        <f>IFERROR(COUNTIF(D18:D49,C54)-D53,"")</f>
        <v>24</v>
      </c>
      <c r="E54" s="41">
        <f>COUNTIF(E18:E49,C54)-E53</f>
        <v>17</v>
      </c>
      <c r="F54" s="42">
        <f>IFERROR(COUNTIF(F18:F49,C54)-F53,"")</f>
        <v>25</v>
      </c>
    </row>
    <row r="55" spans="1:7" ht="14.5" thickBot="1">
      <c r="C55" s="43" t="s">
        <v>96</v>
      </c>
      <c r="D55" s="44">
        <f>COUNTIF(D18:D49,C55)</f>
        <v>2</v>
      </c>
      <c r="E55" s="44">
        <f>COUNTIF(E18:E49,C55)</f>
        <v>14</v>
      </c>
      <c r="F55" s="44">
        <f>IFERROR(COUNTIF(F18:F49,C55),"")</f>
        <v>6</v>
      </c>
    </row>
    <row r="56" spans="1:7" ht="14.5" thickBot="1">
      <c r="C56" s="45" t="s">
        <v>74</v>
      </c>
      <c r="D56" s="46">
        <f>SUM(D52:D55)</f>
        <v>32</v>
      </c>
      <c r="E56" s="46">
        <f t="shared" ref="E56:F56" si="1">SUM(E52:E55)</f>
        <v>32</v>
      </c>
      <c r="F56" s="46">
        <f t="shared" si="1"/>
        <v>32</v>
      </c>
    </row>
    <row r="57" spans="1:7" ht="14.5" thickBot="1">
      <c r="C57" s="47"/>
      <c r="D57" s="33"/>
      <c r="E57" s="33"/>
      <c r="F57" s="33"/>
    </row>
    <row r="58" spans="1:7" ht="14.5" thickBot="1">
      <c r="C58" s="48" t="s">
        <v>97</v>
      </c>
      <c r="D58" s="49">
        <f>(D54+D55)/(D56-D52)</f>
        <v>0.8125</v>
      </c>
      <c r="E58" s="49">
        <f>(E54+E55)/(E56-E52)</f>
        <v>0.96875</v>
      </c>
      <c r="F58" s="49">
        <f>(F54+F55)/(F56-F52)</f>
        <v>0.96875</v>
      </c>
    </row>
    <row r="59" spans="1:7" ht="14.5" thickBot="1">
      <c r="C59" s="47"/>
      <c r="D59" s="33"/>
      <c r="E59" s="33"/>
      <c r="F59" s="33"/>
    </row>
    <row r="60" spans="1:7" ht="14.5" thickBot="1">
      <c r="C60" s="48" t="s">
        <v>98</v>
      </c>
      <c r="D60" s="21">
        <f>MIN(D18:D49)</f>
        <v>0.6</v>
      </c>
      <c r="E60" s="21">
        <f>MIN(E18:E49)</f>
        <v>0.6</v>
      </c>
      <c r="F60" s="50">
        <f>IFERROR(MIN(F18:F49),"")</f>
        <v>0.6</v>
      </c>
    </row>
    <row r="61" spans="1:7" ht="14.5" thickBot="1">
      <c r="C61" s="48" t="s">
        <v>99</v>
      </c>
      <c r="D61" s="21">
        <f>MAX(D18:D49)</f>
        <v>86.3</v>
      </c>
      <c r="E61" s="21">
        <f>MAX(E18:E49)</f>
        <v>96.5</v>
      </c>
      <c r="F61" s="50">
        <f>IFERROR(MAX(F18:F49),"")</f>
        <v>89.5</v>
      </c>
    </row>
    <row r="62" spans="1:7" ht="14.5" thickBot="1">
      <c r="C62" s="48" t="s">
        <v>100</v>
      </c>
      <c r="D62" s="50">
        <f>AVERAGE(D18:D49)</f>
        <v>72.706249999999997</v>
      </c>
      <c r="E62" s="50">
        <f>AVERAGE(E18:E49)</f>
        <v>81.565625000000011</v>
      </c>
      <c r="F62" s="50">
        <f>IFERROR(AVERAGE(F18:F49),"")</f>
        <v>77.135937500000011</v>
      </c>
    </row>
  </sheetData>
  <mergeCells count="7">
    <mergeCell ref="A1:H1"/>
    <mergeCell ref="A2:H2"/>
    <mergeCell ref="D11:E11"/>
    <mergeCell ref="F11:F16"/>
    <mergeCell ref="G11:G16"/>
    <mergeCell ref="D12:E12"/>
    <mergeCell ref="D13:E13"/>
  </mergeCells>
  <printOptions horizontalCentered="1"/>
  <pageMargins left="0.19685039370078741" right="0.11811023622047245" top="0.19685039370078741" bottom="0.15748031496062992" header="0" footer="0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A19C-1C04-4ECB-95D4-7A70CD68868A}">
  <sheetPr>
    <pageSetUpPr fitToPage="1"/>
  </sheetPr>
  <dimension ref="A1:U64"/>
  <sheetViews>
    <sheetView view="pageBreakPreview" zoomScale="90" zoomScaleNormal="100" zoomScaleSheetLayoutView="90" workbookViewId="0">
      <selection activeCell="C10" sqref="C10"/>
    </sheetView>
  </sheetViews>
  <sheetFormatPr defaultRowHeight="14"/>
  <cols>
    <col min="1" max="1" width="4" customWidth="1"/>
    <col min="2" max="2" width="12.83203125" customWidth="1"/>
    <col min="3" max="3" width="32.58203125" customWidth="1"/>
    <col min="4" max="4" width="15.1640625" customWidth="1"/>
    <col min="5" max="5" width="15.5" customWidth="1"/>
    <col min="7" max="7" width="14" customWidth="1"/>
    <col min="8" max="8" width="13" customWidth="1"/>
  </cols>
  <sheetData>
    <row r="1" spans="1:21" ht="18">
      <c r="A1" s="259" t="s">
        <v>75</v>
      </c>
      <c r="B1" s="259"/>
      <c r="C1" s="259"/>
      <c r="D1" s="259"/>
      <c r="E1" s="259"/>
      <c r="F1" s="259"/>
      <c r="G1" s="259"/>
      <c r="H1" s="30"/>
    </row>
    <row r="2" spans="1:21" ht="18.5" thickBot="1">
      <c r="A2" s="260" t="s">
        <v>76</v>
      </c>
      <c r="B2" s="260"/>
      <c r="C2" s="260"/>
      <c r="D2" s="260"/>
      <c r="E2" s="260"/>
      <c r="F2" s="260"/>
      <c r="G2" s="260"/>
      <c r="H2" s="30"/>
    </row>
    <row r="4" spans="1:21">
      <c r="A4" t="s">
        <v>77</v>
      </c>
      <c r="C4" t="s">
        <v>317</v>
      </c>
      <c r="E4" t="s">
        <v>249</v>
      </c>
    </row>
    <row r="5" spans="1:21">
      <c r="A5" t="s">
        <v>41</v>
      </c>
      <c r="C5" s="31" t="s">
        <v>342</v>
      </c>
      <c r="E5" t="s">
        <v>250</v>
      </c>
    </row>
    <row r="6" spans="1:21">
      <c r="A6" t="s">
        <v>42</v>
      </c>
      <c r="C6" t="s">
        <v>343</v>
      </c>
    </row>
    <row r="7" spans="1:21">
      <c r="A7" t="s">
        <v>83</v>
      </c>
      <c r="C7" t="s">
        <v>108</v>
      </c>
    </row>
    <row r="8" spans="1:21">
      <c r="A8" t="s">
        <v>85</v>
      </c>
      <c r="C8" t="s">
        <v>86</v>
      </c>
    </row>
    <row r="9" spans="1:21">
      <c r="A9" t="s">
        <v>87</v>
      </c>
      <c r="C9" t="s">
        <v>356</v>
      </c>
    </row>
    <row r="10" spans="1:21">
      <c r="C10" t="s">
        <v>109</v>
      </c>
    </row>
    <row r="11" spans="1:21">
      <c r="C11" s="32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</row>
    <row r="12" spans="1:21" ht="14" customHeight="1">
      <c r="C12" s="32"/>
      <c r="D12" s="280" t="s">
        <v>314</v>
      </c>
      <c r="E12" s="281"/>
      <c r="F12" s="269" t="s">
        <v>88</v>
      </c>
      <c r="G12" s="269" t="s">
        <v>89</v>
      </c>
    </row>
    <row r="13" spans="1:21">
      <c r="C13" s="32"/>
      <c r="D13" s="282" t="s">
        <v>316</v>
      </c>
      <c r="E13" s="282"/>
      <c r="F13" s="270"/>
      <c r="G13" s="270"/>
    </row>
    <row r="14" spans="1:21">
      <c r="C14" s="32"/>
      <c r="D14" s="272" t="str">
        <f>TRIM(MID(C5,2,100))</f>
        <v>U.24.05.52.3.06</v>
      </c>
      <c r="E14" s="272"/>
      <c r="F14" s="270"/>
      <c r="G14" s="270"/>
    </row>
    <row r="15" spans="1:21">
      <c r="C15" s="32"/>
      <c r="D15" s="209" t="s">
        <v>118</v>
      </c>
      <c r="E15" s="209" t="s">
        <v>118</v>
      </c>
      <c r="F15" s="270"/>
      <c r="G15" s="270"/>
    </row>
    <row r="16" spans="1:21">
      <c r="C16" s="32"/>
      <c r="D16" s="209" t="s">
        <v>121</v>
      </c>
      <c r="E16" s="209" t="s">
        <v>126</v>
      </c>
      <c r="F16" s="270"/>
      <c r="G16" s="270"/>
    </row>
    <row r="17" spans="1:7">
      <c r="C17" s="32"/>
      <c r="D17" s="209">
        <v>50</v>
      </c>
      <c r="E17" s="209">
        <v>50</v>
      </c>
      <c r="F17" s="271"/>
      <c r="G17" s="271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05">
        <v>1</v>
      </c>
      <c r="B19" s="106" t="s">
        <v>183</v>
      </c>
      <c r="C19" s="106" t="s">
        <v>184</v>
      </c>
      <c r="D19" s="35">
        <v>75.5</v>
      </c>
      <c r="E19" s="35">
        <v>96.5</v>
      </c>
      <c r="F19" s="35">
        <f>IFERROR((D19*($D$17/100))+(E19*($E$17/100)),"")</f>
        <v>86</v>
      </c>
      <c r="G19" s="35" t="str">
        <f>IFERROR(VLOOKUP(F21,[4]Sheet1!$AA$1:$AB$10,2),"")</f>
        <v>B+</v>
      </c>
    </row>
    <row r="20" spans="1:7">
      <c r="A20" s="105">
        <v>2</v>
      </c>
      <c r="B20" s="106" t="s">
        <v>185</v>
      </c>
      <c r="C20" s="106" t="s">
        <v>186</v>
      </c>
      <c r="D20" s="35">
        <v>72</v>
      </c>
      <c r="E20" s="35">
        <v>82.5</v>
      </c>
      <c r="F20" s="35">
        <f t="shared" ref="F20:F51" si="0">IFERROR((D20*($D$17/100))+(E20*($E$17/100)),"")</f>
        <v>77.25</v>
      </c>
      <c r="G20" s="35" t="str">
        <f>IFERROR(VLOOKUP(F20,[6]Sheet1!$AA$1:$AB$10,2),"")</f>
        <v>B+</v>
      </c>
    </row>
    <row r="21" spans="1:7">
      <c r="A21" s="105">
        <v>3</v>
      </c>
      <c r="B21" s="106" t="s">
        <v>187</v>
      </c>
      <c r="C21" s="106" t="s">
        <v>188</v>
      </c>
      <c r="D21" s="35">
        <v>78.400000000000006</v>
      </c>
      <c r="E21" s="35">
        <v>85.4</v>
      </c>
      <c r="F21" s="35">
        <f t="shared" si="0"/>
        <v>81.900000000000006</v>
      </c>
      <c r="G21" s="35" t="str">
        <f>IFERROR(VLOOKUP(F21,[6]Sheet1!$AA$1:$AB$10,2),"")</f>
        <v>B+</v>
      </c>
    </row>
    <row r="22" spans="1:7">
      <c r="A22" s="105">
        <v>4</v>
      </c>
      <c r="B22" s="106" t="s">
        <v>189</v>
      </c>
      <c r="C22" s="106" t="s">
        <v>190</v>
      </c>
      <c r="D22" s="35">
        <v>74.900000000000006</v>
      </c>
      <c r="E22" s="35">
        <v>78.400000000000006</v>
      </c>
      <c r="F22" s="35">
        <f t="shared" si="0"/>
        <v>76.650000000000006</v>
      </c>
      <c r="G22" s="35" t="str">
        <f>IFERROR(VLOOKUP(F22,[6]Sheet1!$AA$1:$AB$10,2),"")</f>
        <v>B+</v>
      </c>
    </row>
    <row r="23" spans="1:7">
      <c r="A23" s="105">
        <v>5</v>
      </c>
      <c r="B23" s="106" t="s">
        <v>191</v>
      </c>
      <c r="C23" s="106" t="s">
        <v>192</v>
      </c>
      <c r="D23" s="35">
        <v>81.900000000000006</v>
      </c>
      <c r="E23" s="35">
        <v>81.900000000000006</v>
      </c>
      <c r="F23" s="35">
        <f t="shared" si="0"/>
        <v>81.900000000000006</v>
      </c>
      <c r="G23" s="35" t="str">
        <f>IFERROR(VLOOKUP(F23,[6]Sheet1!$AA$1:$AB$10,2),"")</f>
        <v>B+</v>
      </c>
    </row>
    <row r="24" spans="1:7">
      <c r="A24" s="105">
        <v>6</v>
      </c>
      <c r="B24" s="106" t="s">
        <v>193</v>
      </c>
      <c r="C24" s="106" t="s">
        <v>194</v>
      </c>
      <c r="D24" s="35">
        <v>66.5</v>
      </c>
      <c r="E24" s="35">
        <v>77</v>
      </c>
      <c r="F24" s="35">
        <f t="shared" si="0"/>
        <v>71.75</v>
      </c>
      <c r="G24" s="35" t="str">
        <f>IFERROR(VLOOKUP(F24,[6]Sheet1!$AA$1:$AB$10,2),"")</f>
        <v>B</v>
      </c>
    </row>
    <row r="25" spans="1:7">
      <c r="A25" s="105">
        <v>7</v>
      </c>
      <c r="B25" s="106" t="s">
        <v>195</v>
      </c>
      <c r="C25" s="106" t="s">
        <v>196</v>
      </c>
      <c r="D25" s="35">
        <v>75.5</v>
      </c>
      <c r="E25" s="35">
        <v>75.5</v>
      </c>
      <c r="F25" s="35">
        <f t="shared" si="0"/>
        <v>75.5</v>
      </c>
      <c r="G25" s="35" t="str">
        <f>IFERROR(VLOOKUP(F25,[6]Sheet1!$AA$1:$AB$10,2),"")</f>
        <v>B+</v>
      </c>
    </row>
    <row r="26" spans="1:7">
      <c r="A26" s="105">
        <v>8</v>
      </c>
      <c r="B26" s="106" t="s">
        <v>197</v>
      </c>
      <c r="C26" s="106" t="s">
        <v>198</v>
      </c>
      <c r="D26" s="35">
        <v>58</v>
      </c>
      <c r="E26" s="35">
        <v>93</v>
      </c>
      <c r="F26" s="35">
        <f t="shared" si="0"/>
        <v>75.5</v>
      </c>
      <c r="G26" s="35" t="str">
        <f>IFERROR(VLOOKUP(F26,[6]Sheet1!$AA$1:$AB$10,2),"")</f>
        <v>B+</v>
      </c>
    </row>
    <row r="27" spans="1:7">
      <c r="A27" s="105">
        <v>9</v>
      </c>
      <c r="B27" s="106" t="s">
        <v>199</v>
      </c>
      <c r="C27" s="106" t="s">
        <v>200</v>
      </c>
      <c r="D27" s="35">
        <v>64.400000000000006</v>
      </c>
      <c r="E27" s="35">
        <v>78.400000000000006</v>
      </c>
      <c r="F27" s="35">
        <f t="shared" si="0"/>
        <v>71.400000000000006</v>
      </c>
      <c r="G27" s="35" t="str">
        <f>IFERROR(VLOOKUP(F27,[6]Sheet1!$AA$1:$AB$10,2),"")</f>
        <v>B</v>
      </c>
    </row>
    <row r="28" spans="1:7">
      <c r="A28" s="105">
        <v>10</v>
      </c>
      <c r="B28" s="106" t="s">
        <v>201</v>
      </c>
      <c r="C28" s="106" t="s">
        <v>202</v>
      </c>
      <c r="D28" s="35">
        <v>75.5</v>
      </c>
      <c r="E28" s="35">
        <v>93</v>
      </c>
      <c r="F28" s="35">
        <f t="shared" si="0"/>
        <v>84.25</v>
      </c>
      <c r="G28" s="35" t="str">
        <f>IFERROR(VLOOKUP(F28,[6]Sheet1!$AA$1:$AB$10,2),"")</f>
        <v>B+</v>
      </c>
    </row>
    <row r="29" spans="1:7">
      <c r="A29" s="105">
        <v>12</v>
      </c>
      <c r="B29" s="106" t="s">
        <v>203</v>
      </c>
      <c r="C29" s="106" t="s">
        <v>204</v>
      </c>
      <c r="D29" s="35">
        <v>82.5</v>
      </c>
      <c r="E29" s="35">
        <v>89.5</v>
      </c>
      <c r="F29" s="35">
        <f t="shared" si="0"/>
        <v>86</v>
      </c>
      <c r="G29" s="35" t="str">
        <f>IFERROR(VLOOKUP(F29,[6]Sheet1!$AA$1:$AB$10,2),"")</f>
        <v>A-</v>
      </c>
    </row>
    <row r="30" spans="1:7">
      <c r="A30" s="105">
        <v>13</v>
      </c>
      <c r="B30" s="106" t="s">
        <v>205</v>
      </c>
      <c r="C30" s="106" t="s">
        <v>206</v>
      </c>
      <c r="D30" s="35">
        <v>0.6</v>
      </c>
      <c r="E30" s="35">
        <v>0.6</v>
      </c>
      <c r="F30" s="35">
        <f t="shared" si="0"/>
        <v>0.6</v>
      </c>
      <c r="G30" s="35" t="str">
        <f>IFERROR(VLOOKUP(F30,[6]Sheet1!$AA$1:$AB$10,2),"")</f>
        <v>E</v>
      </c>
    </row>
    <row r="31" spans="1:7">
      <c r="A31" s="105">
        <v>14</v>
      </c>
      <c r="B31" s="106" t="s">
        <v>207</v>
      </c>
      <c r="C31" s="106" t="s">
        <v>208</v>
      </c>
      <c r="D31" s="35">
        <v>58</v>
      </c>
      <c r="E31" s="35">
        <v>89.5</v>
      </c>
      <c r="F31" s="35">
        <f t="shared" si="0"/>
        <v>73.75</v>
      </c>
      <c r="G31" s="35" t="str">
        <f>IFERROR(VLOOKUP(F31,[6]Sheet1!$AA$1:$AB$10,2),"")</f>
        <v>B</v>
      </c>
    </row>
    <row r="32" spans="1:7">
      <c r="A32" s="105">
        <v>15</v>
      </c>
      <c r="B32" s="106" t="s">
        <v>209</v>
      </c>
      <c r="C32" s="106" t="s">
        <v>210</v>
      </c>
      <c r="D32" s="35">
        <v>82.5</v>
      </c>
      <c r="E32" s="35">
        <v>89.5</v>
      </c>
      <c r="F32" s="35">
        <f t="shared" si="0"/>
        <v>86</v>
      </c>
      <c r="G32" s="35" t="str">
        <f>IFERROR(VLOOKUP(F32,[6]Sheet1!$AA$1:$AB$10,2),"")</f>
        <v>A-</v>
      </c>
    </row>
    <row r="33" spans="1:7">
      <c r="A33" s="105">
        <v>16</v>
      </c>
      <c r="B33" s="106" t="s">
        <v>211</v>
      </c>
      <c r="C33" s="106" t="s">
        <v>212</v>
      </c>
      <c r="D33" s="35">
        <v>82.5</v>
      </c>
      <c r="E33" s="35">
        <v>86</v>
      </c>
      <c r="F33" s="35">
        <f t="shared" si="0"/>
        <v>84.25</v>
      </c>
      <c r="G33" s="35" t="str">
        <f>IFERROR(VLOOKUP(F33,[6]Sheet1!$AA$1:$AB$10,2),"")</f>
        <v>B+</v>
      </c>
    </row>
    <row r="34" spans="1:7">
      <c r="A34" s="105">
        <v>17</v>
      </c>
      <c r="B34" s="106" t="s">
        <v>213</v>
      </c>
      <c r="C34" s="106" t="s">
        <v>214</v>
      </c>
      <c r="D34" s="35">
        <v>58</v>
      </c>
      <c r="E34" s="35">
        <v>86</v>
      </c>
      <c r="F34" s="35">
        <f t="shared" si="0"/>
        <v>72</v>
      </c>
      <c r="G34" s="35" t="str">
        <f>IFERROR(VLOOKUP(F34,[6]Sheet1!$AA$1:$AB$10,2),"")</f>
        <v>B</v>
      </c>
    </row>
    <row r="35" spans="1:7">
      <c r="A35" s="105">
        <v>18</v>
      </c>
      <c r="B35" s="106" t="s">
        <v>215</v>
      </c>
      <c r="C35" s="106" t="s">
        <v>216</v>
      </c>
      <c r="D35" s="35">
        <v>70.8</v>
      </c>
      <c r="E35" s="35">
        <v>74.3</v>
      </c>
      <c r="F35" s="35">
        <f t="shared" si="0"/>
        <v>72.55</v>
      </c>
      <c r="G35" s="35" t="str">
        <f>IFERROR(VLOOKUP(F35,[6]Sheet1!$AA$1:$AB$10,2),"")</f>
        <v>B</v>
      </c>
    </row>
    <row r="36" spans="1:7">
      <c r="A36" s="105">
        <v>19</v>
      </c>
      <c r="B36" s="106" t="s">
        <v>217</v>
      </c>
      <c r="C36" s="106" t="s">
        <v>218</v>
      </c>
      <c r="D36" s="35">
        <v>85.4</v>
      </c>
      <c r="E36" s="35">
        <v>81.900000000000006</v>
      </c>
      <c r="F36" s="35">
        <f t="shared" si="0"/>
        <v>83.65</v>
      </c>
      <c r="G36" s="35" t="str">
        <f>IFERROR(VLOOKUP(F36,[6]Sheet1!$AA$1:$AB$10,2),"")</f>
        <v>B+</v>
      </c>
    </row>
    <row r="37" spans="1:7">
      <c r="A37" s="105">
        <v>20</v>
      </c>
      <c r="B37" s="106" t="s">
        <v>219</v>
      </c>
      <c r="C37" s="106" t="s">
        <v>220</v>
      </c>
      <c r="D37" s="35">
        <v>82.5</v>
      </c>
      <c r="E37" s="35">
        <v>96.5</v>
      </c>
      <c r="F37" s="35">
        <f t="shared" si="0"/>
        <v>89.5</v>
      </c>
      <c r="G37" s="35" t="str">
        <f>IFERROR(VLOOKUP(F37,[6]Sheet1!$AA$1:$AB$10,2),"")</f>
        <v>A-</v>
      </c>
    </row>
    <row r="38" spans="1:7">
      <c r="A38" s="105">
        <v>21</v>
      </c>
      <c r="B38" s="106" t="s">
        <v>221</v>
      </c>
      <c r="C38" s="106" t="s">
        <v>222</v>
      </c>
      <c r="D38" s="35">
        <v>64.599999999999994</v>
      </c>
      <c r="E38" s="35">
        <v>75.099999999999994</v>
      </c>
      <c r="F38" s="35">
        <f t="shared" si="0"/>
        <v>69.849999999999994</v>
      </c>
      <c r="G38" s="35" t="str">
        <f>IFERROR(VLOOKUP(F38,[6]Sheet1!$AA$1:$AB$10,2),"")</f>
        <v>B-</v>
      </c>
    </row>
    <row r="39" spans="1:7">
      <c r="A39" s="105">
        <v>22</v>
      </c>
      <c r="B39" s="106" t="s">
        <v>223</v>
      </c>
      <c r="C39" s="106" t="s">
        <v>224</v>
      </c>
      <c r="D39" s="35">
        <v>74.900000000000006</v>
      </c>
      <c r="E39" s="35">
        <v>85.4</v>
      </c>
      <c r="F39" s="35">
        <f t="shared" si="0"/>
        <v>80.150000000000006</v>
      </c>
      <c r="G39" s="35" t="str">
        <f>IFERROR(VLOOKUP(F39,[6]Sheet1!$AA$1:$AB$10,2),"")</f>
        <v>B+</v>
      </c>
    </row>
    <row r="40" spans="1:7">
      <c r="A40" s="105">
        <v>23</v>
      </c>
      <c r="B40" s="106" t="s">
        <v>225</v>
      </c>
      <c r="C40" s="106" t="s">
        <v>226</v>
      </c>
      <c r="D40" s="35">
        <v>75.5</v>
      </c>
      <c r="E40" s="35">
        <v>93</v>
      </c>
      <c r="F40" s="35">
        <f t="shared" si="0"/>
        <v>84.25</v>
      </c>
      <c r="G40" s="35" t="str">
        <f>IFERROR(VLOOKUP(F40,[6]Sheet1!$AA$1:$AB$10,2),"")</f>
        <v>B+</v>
      </c>
    </row>
    <row r="41" spans="1:7">
      <c r="A41" s="105">
        <v>24</v>
      </c>
      <c r="B41" s="106" t="s">
        <v>284</v>
      </c>
      <c r="C41" s="106" t="s">
        <v>285</v>
      </c>
      <c r="D41" s="35">
        <v>79</v>
      </c>
      <c r="E41" s="35">
        <v>96.5</v>
      </c>
      <c r="F41" s="35">
        <f t="shared" si="0"/>
        <v>87.75</v>
      </c>
      <c r="G41" s="35" t="str">
        <f>IFERROR(VLOOKUP(F41,[6]Sheet1!$AA$1:$AB$10,2),"")</f>
        <v>A-</v>
      </c>
    </row>
    <row r="42" spans="1:7">
      <c r="A42" s="105">
        <v>25</v>
      </c>
      <c r="B42" s="106" t="s">
        <v>282</v>
      </c>
      <c r="C42" s="106" t="s">
        <v>283</v>
      </c>
      <c r="D42" s="35">
        <v>65.900000000000006</v>
      </c>
      <c r="E42" s="35">
        <v>83.4</v>
      </c>
      <c r="F42" s="35">
        <f t="shared" si="0"/>
        <v>74.650000000000006</v>
      </c>
      <c r="G42" s="35" t="str">
        <f>IFERROR(VLOOKUP(F42,[6]Sheet1!$AA$1:$AB$10,2),"")</f>
        <v>B</v>
      </c>
    </row>
    <row r="43" spans="1:7">
      <c r="A43" s="105">
        <v>26</v>
      </c>
      <c r="B43" s="106" t="s">
        <v>227</v>
      </c>
      <c r="C43" s="106" t="s">
        <v>253</v>
      </c>
      <c r="D43" s="35">
        <v>75.650000000000006</v>
      </c>
      <c r="E43" s="35">
        <v>75.650000000000006</v>
      </c>
      <c r="F43" s="35">
        <f t="shared" si="0"/>
        <v>75.650000000000006</v>
      </c>
      <c r="G43" s="35" t="str">
        <f>IFERROR(VLOOKUP(F43,[6]Sheet1!$AA$1:$AB$10,2),"")</f>
        <v>B+</v>
      </c>
    </row>
    <row r="44" spans="1:7">
      <c r="A44" s="105">
        <v>27</v>
      </c>
      <c r="B44" s="106" t="s">
        <v>229</v>
      </c>
      <c r="C44" s="106" t="s">
        <v>230</v>
      </c>
      <c r="D44" s="35">
        <v>75.599999999999994</v>
      </c>
      <c r="E44" s="35">
        <v>75.599999999999994</v>
      </c>
      <c r="F44" s="35">
        <f t="shared" si="0"/>
        <v>75.599999999999994</v>
      </c>
      <c r="G44" s="35" t="str">
        <f>IFERROR(VLOOKUP(F44,[6]Sheet1!$AA$1:$AB$10,2),"")</f>
        <v>B+</v>
      </c>
    </row>
    <row r="45" spans="1:7">
      <c r="A45" s="105">
        <v>28</v>
      </c>
      <c r="B45" s="106" t="s">
        <v>231</v>
      </c>
      <c r="C45" s="106" t="s">
        <v>232</v>
      </c>
      <c r="D45" s="35">
        <v>83.05</v>
      </c>
      <c r="E45" s="35">
        <v>83.05</v>
      </c>
      <c r="F45" s="35">
        <f t="shared" si="0"/>
        <v>83.05</v>
      </c>
      <c r="G45" s="35" t="str">
        <f>IFERROR(VLOOKUP(F45,[6]Sheet1!$AA$1:$AB$10,2),"")</f>
        <v>B+</v>
      </c>
    </row>
    <row r="46" spans="1:7">
      <c r="A46" s="105">
        <v>29</v>
      </c>
      <c r="B46" s="106" t="s">
        <v>233</v>
      </c>
      <c r="C46" s="106" t="s">
        <v>234</v>
      </c>
      <c r="D46" s="35">
        <v>80.599999999999994</v>
      </c>
      <c r="E46" s="35">
        <v>80.599999999999994</v>
      </c>
      <c r="F46" s="35">
        <f t="shared" si="0"/>
        <v>80.599999999999994</v>
      </c>
      <c r="G46" s="35" t="str">
        <f>IFERROR(VLOOKUP(F46,[6]Sheet1!$AA$1:$AB$10,2),"")</f>
        <v>B+</v>
      </c>
    </row>
    <row r="47" spans="1:7">
      <c r="A47" s="105">
        <v>30</v>
      </c>
      <c r="B47" s="106" t="s">
        <v>235</v>
      </c>
      <c r="C47" s="106" t="s">
        <v>236</v>
      </c>
      <c r="D47" s="35">
        <v>81.900000000000006</v>
      </c>
      <c r="E47" s="35">
        <v>81.900000000000006</v>
      </c>
      <c r="F47" s="35">
        <f t="shared" si="0"/>
        <v>81.900000000000006</v>
      </c>
      <c r="G47" s="35" t="str">
        <f>IFERROR(VLOOKUP(F47,[6]Sheet1!$AA$1:$AB$10,2),"")</f>
        <v>B+</v>
      </c>
    </row>
    <row r="48" spans="1:7">
      <c r="A48" s="105">
        <v>31</v>
      </c>
      <c r="B48" s="106" t="s">
        <v>237</v>
      </c>
      <c r="C48" s="106" t="s">
        <v>238</v>
      </c>
      <c r="D48" s="35">
        <v>86.3</v>
      </c>
      <c r="E48" s="35">
        <v>86.3</v>
      </c>
      <c r="F48" s="35">
        <f t="shared" si="0"/>
        <v>86.3</v>
      </c>
      <c r="G48" s="35" t="str">
        <f>IFERROR(VLOOKUP(F48,[6]Sheet1!$AA$1:$AB$10,2),"")</f>
        <v>A-</v>
      </c>
    </row>
    <row r="49" spans="1:7">
      <c r="A49" s="105">
        <v>32</v>
      </c>
      <c r="B49" s="106" t="s">
        <v>239</v>
      </c>
      <c r="C49" s="106" t="s">
        <v>240</v>
      </c>
      <c r="D49" s="35">
        <v>79</v>
      </c>
      <c r="E49" s="35">
        <v>79</v>
      </c>
      <c r="F49" s="35">
        <f t="shared" si="0"/>
        <v>79</v>
      </c>
      <c r="G49" s="35" t="str">
        <f>IFERROR(VLOOKUP(F49,[6]Sheet1!$AA$1:$AB$10,2),"")</f>
        <v>B+</v>
      </c>
    </row>
    <row r="50" spans="1:7">
      <c r="A50" s="105">
        <v>33</v>
      </c>
      <c r="B50" s="106" t="s">
        <v>241</v>
      </c>
      <c r="C50" s="106" t="s">
        <v>242</v>
      </c>
      <c r="D50" s="35">
        <v>79.2</v>
      </c>
      <c r="E50" s="35">
        <v>79.2</v>
      </c>
      <c r="F50" s="35">
        <f t="shared" si="0"/>
        <v>79.2</v>
      </c>
      <c r="G50" s="35" t="str">
        <f>IFERROR(VLOOKUP(F50,[6]Sheet1!$AA$1:$AB$10,2),"")</f>
        <v>B+</v>
      </c>
    </row>
    <row r="51" spans="1:7">
      <c r="A51" s="105">
        <v>34</v>
      </c>
      <c r="B51" s="106" t="s">
        <v>243</v>
      </c>
      <c r="C51" s="106" t="s">
        <v>244</v>
      </c>
      <c r="D51" s="35">
        <v>89.7</v>
      </c>
      <c r="E51" s="35">
        <f t="shared" ref="E51" si="1">IFERROR((D51*($D$17/100)),"")</f>
        <v>44.85</v>
      </c>
      <c r="F51" s="35">
        <f t="shared" si="0"/>
        <v>67.275000000000006</v>
      </c>
      <c r="G51" s="35" t="str">
        <f>IFERROR(VLOOKUP(F51,[6]Sheet1!$AA$1:$AB$10,2),"")</f>
        <v>B-</v>
      </c>
    </row>
    <row r="52" spans="1:7">
      <c r="C52" s="32"/>
      <c r="D52" s="33"/>
      <c r="E52" s="33"/>
    </row>
    <row r="53" spans="1:7" ht="14.5" thickBot="1">
      <c r="C53" s="32"/>
      <c r="D53" s="33" t="str">
        <f>D16</f>
        <v>CPMK121</v>
      </c>
      <c r="E53" s="33" t="str">
        <f>E16</f>
        <v>CPMK122</v>
      </c>
      <c r="F53" s="33" t="s">
        <v>74</v>
      </c>
    </row>
    <row r="54" spans="1:7" ht="14.5" thickBot="1">
      <c r="C54" s="36" t="s">
        <v>102</v>
      </c>
      <c r="D54" s="37">
        <f>IFERROR(COUNTIF(D20:D51,""),"")</f>
        <v>0</v>
      </c>
      <c r="E54" s="37">
        <f>IFERROR(COUNTIF(E20:E51,""),"")</f>
        <v>0</v>
      </c>
      <c r="F54" s="37">
        <f>IFERROR(COUNTIF(F20:F51,""),"")</f>
        <v>0</v>
      </c>
    </row>
    <row r="55" spans="1:7" ht="14.5" thickBot="1">
      <c r="C55" s="38" t="s">
        <v>94</v>
      </c>
      <c r="D55" s="39">
        <f>IFERROR(COUNTIF(D20:D51,C55)+COUNTIF(D20:D51,""),"")-D54</f>
        <v>6</v>
      </c>
      <c r="E55" s="39">
        <f>COUNTIF(E20:E51,C55)+COUNTIF(E20:E51,"")-E54</f>
        <v>2</v>
      </c>
      <c r="F55" s="39">
        <f>IFERROR(COUNTIF(F20:F51,C55)+COUNTIF(F20:F51,""),"")</f>
        <v>1</v>
      </c>
    </row>
    <row r="56" spans="1:7" ht="14.5" thickBot="1">
      <c r="C56" s="40" t="s">
        <v>95</v>
      </c>
      <c r="D56" s="41">
        <f>IFERROR(COUNTIF(D20:D51,C56)-D55,"")</f>
        <v>23</v>
      </c>
      <c r="E56" s="41">
        <f>COUNTIF(E20:E51,C56)-E55</f>
        <v>17</v>
      </c>
      <c r="F56" s="42">
        <f>IFERROR(COUNTIF(F20:F51,C56)-F55,"")</f>
        <v>26</v>
      </c>
    </row>
    <row r="57" spans="1:7" ht="14.5" thickBot="1">
      <c r="C57" s="43" t="s">
        <v>96</v>
      </c>
      <c r="D57" s="44">
        <f>COUNTIF(D20:D51,C57)</f>
        <v>3</v>
      </c>
      <c r="E57" s="44">
        <f>COUNTIF(E20:E51,C57)</f>
        <v>13</v>
      </c>
      <c r="F57" s="44">
        <f>IFERROR(COUNTIF(F20:F51,C57),"")</f>
        <v>5</v>
      </c>
    </row>
    <row r="58" spans="1:7" ht="14.5" thickBot="1">
      <c r="C58" s="45" t="s">
        <v>74</v>
      </c>
      <c r="D58" s="46">
        <f>SUM(D54:D57)</f>
        <v>32</v>
      </c>
      <c r="E58" s="46">
        <f t="shared" ref="E58:F58" si="2">SUM(E54:E57)</f>
        <v>32</v>
      </c>
      <c r="F58" s="46">
        <f t="shared" si="2"/>
        <v>32</v>
      </c>
    </row>
    <row r="59" spans="1:7" ht="14.5" thickBot="1">
      <c r="C59" s="47"/>
      <c r="D59" s="33"/>
      <c r="E59" s="33"/>
    </row>
    <row r="60" spans="1:7" ht="14.5" thickBot="1">
      <c r="C60" s="48" t="s">
        <v>97</v>
      </c>
      <c r="D60" s="49">
        <f>(D56+D57)/(D58-D54)</f>
        <v>0.8125</v>
      </c>
      <c r="E60" s="49">
        <f>(E56+E57)/(E58-E54)</f>
        <v>0.9375</v>
      </c>
      <c r="F60" s="49">
        <f>(F56+F57)/(F58-F54)</f>
        <v>0.96875</v>
      </c>
    </row>
    <row r="61" spans="1:7" ht="14.5" thickBot="1">
      <c r="C61" s="47"/>
      <c r="D61" s="33"/>
      <c r="E61" s="33"/>
      <c r="F61" s="33"/>
    </row>
    <row r="62" spans="1:7" ht="14.5" thickBot="1">
      <c r="C62" s="48" t="s">
        <v>98</v>
      </c>
      <c r="D62" s="21">
        <f>MIN(D20:D51)</f>
        <v>0.6</v>
      </c>
      <c r="E62" s="21">
        <f>MIN(E20:E51)</f>
        <v>0.6</v>
      </c>
      <c r="F62" s="50">
        <f>IFERROR(MIN(F20:F51),"")</f>
        <v>0.6</v>
      </c>
    </row>
    <row r="63" spans="1:7" ht="14.5" thickBot="1">
      <c r="C63" s="48" t="s">
        <v>99</v>
      </c>
      <c r="D63" s="21">
        <f>MAX(D20:D51)</f>
        <v>89.7</v>
      </c>
      <c r="E63" s="21">
        <f>MAX(E20:E51)</f>
        <v>96.5</v>
      </c>
      <c r="F63" s="50">
        <f>IFERROR(MAX(F20:F51),"")</f>
        <v>89.5</v>
      </c>
    </row>
    <row r="64" spans="1:7" ht="14.5" thickBot="1">
      <c r="C64" s="48" t="s">
        <v>100</v>
      </c>
      <c r="D64" s="50">
        <f>AVERAGE(D20:D51)</f>
        <v>73.149999999999991</v>
      </c>
      <c r="E64" s="50">
        <f>AVERAGE(E20:E51)</f>
        <v>79.951562500000009</v>
      </c>
      <c r="F64" s="50">
        <f>IFERROR(AVERAGE(F20:F51),"")</f>
        <v>76.550781250000014</v>
      </c>
    </row>
  </sheetData>
  <mergeCells count="7">
    <mergeCell ref="A1:G1"/>
    <mergeCell ref="A2:G2"/>
    <mergeCell ref="F12:F17"/>
    <mergeCell ref="D12:E12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04DD-9707-45AE-97F6-1CE0CA08D6FF}">
  <dimension ref="A1:V65"/>
  <sheetViews>
    <sheetView view="pageBreakPreview" zoomScaleNormal="100" zoomScaleSheetLayoutView="100" workbookViewId="0">
      <selection sqref="A1:XFD64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s="133" customFormat="1" ht="18">
      <c r="A1" s="283" t="s">
        <v>75</v>
      </c>
      <c r="B1" s="283"/>
      <c r="C1" s="283"/>
      <c r="D1" s="283"/>
      <c r="E1" s="283"/>
      <c r="F1" s="283"/>
      <c r="G1" s="283"/>
      <c r="H1" s="283"/>
      <c r="I1" s="240"/>
    </row>
    <row r="2" spans="1:22" s="133" customFormat="1" ht="18.5" thickBot="1">
      <c r="A2" s="284" t="s">
        <v>76</v>
      </c>
      <c r="B2" s="284"/>
      <c r="C2" s="284"/>
      <c r="D2" s="284"/>
      <c r="E2" s="284"/>
      <c r="F2" s="284"/>
      <c r="G2" s="284"/>
      <c r="H2" s="284"/>
      <c r="I2" s="240"/>
    </row>
    <row r="3" spans="1:22" s="133" customFormat="1"/>
    <row r="4" spans="1:22" s="133" customFormat="1">
      <c r="A4" s="133" t="s">
        <v>77</v>
      </c>
      <c r="C4" s="133" t="s">
        <v>78</v>
      </c>
      <c r="E4" s="133" t="s">
        <v>79</v>
      </c>
      <c r="F4" s="133" t="s">
        <v>249</v>
      </c>
    </row>
    <row r="5" spans="1:22" s="133" customFormat="1">
      <c r="A5" s="133" t="s">
        <v>41</v>
      </c>
      <c r="C5" s="134" t="s">
        <v>259</v>
      </c>
      <c r="E5" s="133" t="s">
        <v>81</v>
      </c>
      <c r="F5" s="133" t="s">
        <v>250</v>
      </c>
    </row>
    <row r="6" spans="1:22" s="133" customFormat="1">
      <c r="A6" s="133" t="s">
        <v>42</v>
      </c>
      <c r="C6" s="133" t="s">
        <v>258</v>
      </c>
    </row>
    <row r="7" spans="1:22" s="133" customFormat="1">
      <c r="A7" s="133" t="s">
        <v>83</v>
      </c>
      <c r="C7" s="133" t="s">
        <v>84</v>
      </c>
    </row>
    <row r="8" spans="1:22" s="133" customFormat="1">
      <c r="A8" s="133" t="s">
        <v>85</v>
      </c>
      <c r="C8" s="133" t="s">
        <v>86</v>
      </c>
    </row>
    <row r="9" spans="1:22" s="133" customFormat="1">
      <c r="A9" s="133" t="s">
        <v>87</v>
      </c>
      <c r="C9" s="133" t="s">
        <v>261</v>
      </c>
    </row>
    <row r="10" spans="1:22" s="133" customFormat="1">
      <c r="C10" s="133" t="s">
        <v>109</v>
      </c>
    </row>
    <row r="11" spans="1:22" s="133" customFormat="1">
      <c r="C11" s="135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</row>
    <row r="12" spans="1:22" s="133" customFormat="1">
      <c r="C12" s="135"/>
      <c r="D12" s="285" t="s">
        <v>70</v>
      </c>
      <c r="E12" s="286"/>
      <c r="F12" s="287" t="str">
        <f>CONCATENATE("Nilai Akhir MK","     ",D17+E17)</f>
        <v>Nilai Akhir MK     100</v>
      </c>
      <c r="G12" s="287" t="s">
        <v>89</v>
      </c>
    </row>
    <row r="13" spans="1:22" s="133" customFormat="1">
      <c r="C13" s="135"/>
      <c r="D13" s="290" t="str">
        <f>TRIM(MID(C5,3,100))</f>
        <v>UU.24.05.52.1.03</v>
      </c>
      <c r="E13" s="290"/>
      <c r="F13" s="288"/>
      <c r="G13" s="288"/>
    </row>
    <row r="14" spans="1:22" s="133" customFormat="1">
      <c r="C14" s="135"/>
      <c r="D14" s="290" t="str">
        <f>TRIM(MID(C6,3,100))</f>
        <v>English for Business</v>
      </c>
      <c r="E14" s="290"/>
      <c r="F14" s="288"/>
      <c r="G14" s="288"/>
    </row>
    <row r="15" spans="1:22" s="133" customFormat="1">
      <c r="C15" s="135"/>
      <c r="D15" s="210" t="s">
        <v>118</v>
      </c>
      <c r="E15" s="210" t="s">
        <v>118</v>
      </c>
      <c r="F15" s="288"/>
      <c r="G15" s="288"/>
    </row>
    <row r="16" spans="1:22" s="133" customFormat="1">
      <c r="C16" s="135"/>
      <c r="D16" s="210" t="s">
        <v>126</v>
      </c>
      <c r="E16" s="210" t="s">
        <v>260</v>
      </c>
      <c r="F16" s="288"/>
      <c r="G16" s="288"/>
    </row>
    <row r="17" spans="1:7" s="133" customFormat="1">
      <c r="C17" s="135"/>
      <c r="D17" s="210">
        <v>50</v>
      </c>
      <c r="E17" s="210">
        <v>50</v>
      </c>
      <c r="F17" s="289"/>
      <c r="G17" s="289"/>
    </row>
    <row r="18" spans="1:7" s="133" customFormat="1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 s="133" customFormat="1">
      <c r="A19" s="200">
        <v>1</v>
      </c>
      <c r="B19" s="201" t="s">
        <v>183</v>
      </c>
      <c r="C19" s="201" t="s">
        <v>184</v>
      </c>
      <c r="D19" s="138">
        <v>93.2</v>
      </c>
      <c r="E19" s="138">
        <v>97.5</v>
      </c>
      <c r="F19" s="138">
        <f>IFERROR((D19*($D$17/100))+(E19*($E$17/100)),"")</f>
        <v>95.35</v>
      </c>
      <c r="G19" s="138" t="str">
        <f>IFERROR(VLOOKUP(F20,[7]Sheet1!$AA$1:$AB$10,2),"")</f>
        <v>A</v>
      </c>
    </row>
    <row r="20" spans="1:7" s="133" customFormat="1">
      <c r="A20" s="200">
        <v>2</v>
      </c>
      <c r="B20" s="201" t="s">
        <v>185</v>
      </c>
      <c r="C20" s="201" t="s">
        <v>186</v>
      </c>
      <c r="D20" s="138">
        <v>95.5</v>
      </c>
      <c r="E20" s="138">
        <v>93.4</v>
      </c>
      <c r="F20" s="138">
        <f t="shared" ref="F20:F51" si="0">IFERROR((D20*($D$17/100))+(E20*($E$17/100)),"")</f>
        <v>94.45</v>
      </c>
      <c r="G20" s="138" t="str">
        <f>IFERROR(VLOOKUP(F20,[8]Sheet1!$AA$1:$AB$10,2),"")</f>
        <v>A</v>
      </c>
    </row>
    <row r="21" spans="1:7" s="133" customFormat="1">
      <c r="A21" s="200">
        <v>3</v>
      </c>
      <c r="B21" s="201" t="s">
        <v>187</v>
      </c>
      <c r="C21" s="201" t="s">
        <v>188</v>
      </c>
      <c r="D21" s="138">
        <v>94.7</v>
      </c>
      <c r="E21" s="138">
        <v>95.9</v>
      </c>
      <c r="F21" s="138">
        <f t="shared" si="0"/>
        <v>95.300000000000011</v>
      </c>
      <c r="G21" s="138" t="str">
        <f>IFERROR(VLOOKUP(F21,[8]Sheet1!$AA$1:$AB$10,2),"")</f>
        <v>A</v>
      </c>
    </row>
    <row r="22" spans="1:7" s="133" customFormat="1">
      <c r="A22" s="200">
        <v>4</v>
      </c>
      <c r="B22" s="201" t="s">
        <v>189</v>
      </c>
      <c r="C22" s="201" t="s">
        <v>190</v>
      </c>
      <c r="D22" s="138">
        <v>70.5</v>
      </c>
      <c r="E22" s="138">
        <v>89</v>
      </c>
      <c r="F22" s="138">
        <f t="shared" si="0"/>
        <v>79.75</v>
      </c>
      <c r="G22" s="138" t="str">
        <f>IFERROR(VLOOKUP(F22,[8]Sheet1!$AA$1:$AB$10,2),"")</f>
        <v>B+</v>
      </c>
    </row>
    <row r="23" spans="1:7" s="133" customFormat="1">
      <c r="A23" s="200">
        <v>5</v>
      </c>
      <c r="B23" s="201" t="s">
        <v>191</v>
      </c>
      <c r="C23" s="201" t="s">
        <v>192</v>
      </c>
      <c r="D23" s="138">
        <v>70.5</v>
      </c>
      <c r="E23" s="138">
        <v>89</v>
      </c>
      <c r="F23" s="138">
        <f t="shared" si="0"/>
        <v>79.75</v>
      </c>
      <c r="G23" s="138" t="str">
        <f>IFERROR(VLOOKUP(F23,[8]Sheet1!$AA$1:$AB$10,2),"")</f>
        <v>B+</v>
      </c>
    </row>
    <row r="24" spans="1:7" s="133" customFormat="1">
      <c r="A24" s="200">
        <v>6</v>
      </c>
      <c r="B24" s="201" t="s">
        <v>193</v>
      </c>
      <c r="C24" s="201" t="s">
        <v>194</v>
      </c>
      <c r="D24" s="138">
        <v>90.4</v>
      </c>
      <c r="E24" s="138">
        <v>97.5</v>
      </c>
      <c r="F24" s="138">
        <f t="shared" si="0"/>
        <v>93.95</v>
      </c>
      <c r="G24" s="138" t="str">
        <f>IFERROR(VLOOKUP(F24,[8]Sheet1!$AA$1:$AB$10,2),"")</f>
        <v>A</v>
      </c>
    </row>
    <row r="25" spans="1:7" s="133" customFormat="1">
      <c r="A25" s="200">
        <v>7</v>
      </c>
      <c r="B25" s="201" t="s">
        <v>195</v>
      </c>
      <c r="C25" s="201" t="s">
        <v>196</v>
      </c>
      <c r="D25" s="138">
        <v>80.5</v>
      </c>
      <c r="E25" s="138">
        <v>82.6</v>
      </c>
      <c r="F25" s="138">
        <f t="shared" si="0"/>
        <v>81.55</v>
      </c>
      <c r="G25" s="138" t="str">
        <f>IFERROR(VLOOKUP(F25,[8]Sheet1!$AA$1:$AB$10,2),"")</f>
        <v>B+</v>
      </c>
    </row>
    <row r="26" spans="1:7" s="133" customFormat="1">
      <c r="A26" s="200">
        <v>8</v>
      </c>
      <c r="B26" s="201" t="s">
        <v>197</v>
      </c>
      <c r="C26" s="201" t="s">
        <v>198</v>
      </c>
      <c r="D26" s="138">
        <v>93.2</v>
      </c>
      <c r="E26" s="138">
        <v>91</v>
      </c>
      <c r="F26" s="138">
        <f t="shared" si="0"/>
        <v>92.1</v>
      </c>
      <c r="G26" s="138" t="str">
        <f>IFERROR(VLOOKUP(F26,[8]Sheet1!$AA$1:$AB$10,2),"")</f>
        <v>A</v>
      </c>
    </row>
    <row r="27" spans="1:7" s="133" customFormat="1">
      <c r="A27" s="200">
        <v>9</v>
      </c>
      <c r="B27" s="201" t="s">
        <v>199</v>
      </c>
      <c r="C27" s="201" t="s">
        <v>200</v>
      </c>
      <c r="D27" s="138">
        <v>91.4</v>
      </c>
      <c r="E27" s="138">
        <v>91</v>
      </c>
      <c r="F27" s="138">
        <f t="shared" si="0"/>
        <v>91.2</v>
      </c>
      <c r="G27" s="138" t="str">
        <f>IFERROR(VLOOKUP(F27,[8]Sheet1!$AA$1:$AB$10,2),"")</f>
        <v>A</v>
      </c>
    </row>
    <row r="28" spans="1:7" s="133" customFormat="1">
      <c r="A28" s="200">
        <v>10</v>
      </c>
      <c r="B28" s="201" t="s">
        <v>201</v>
      </c>
      <c r="C28" s="201" t="s">
        <v>202</v>
      </c>
      <c r="D28" s="138">
        <v>79.2</v>
      </c>
      <c r="E28" s="138">
        <v>82.6</v>
      </c>
      <c r="F28" s="138">
        <f t="shared" si="0"/>
        <v>80.900000000000006</v>
      </c>
      <c r="G28" s="138" t="str">
        <f>IFERROR(VLOOKUP(F28,[8]Sheet1!$AA$1:$AB$10,2),"")</f>
        <v>B+</v>
      </c>
    </row>
    <row r="29" spans="1:7" s="133" customFormat="1">
      <c r="A29" s="200">
        <v>12</v>
      </c>
      <c r="B29" s="201" t="s">
        <v>203</v>
      </c>
      <c r="C29" s="201" t="s">
        <v>204</v>
      </c>
      <c r="D29" s="138">
        <v>90.9</v>
      </c>
      <c r="E29" s="138">
        <v>95.9</v>
      </c>
      <c r="F29" s="138">
        <f t="shared" si="0"/>
        <v>93.4</v>
      </c>
      <c r="G29" s="138" t="str">
        <f>IFERROR(VLOOKUP(F29,[8]Sheet1!$AA$1:$AB$10,2),"")</f>
        <v>A</v>
      </c>
    </row>
    <row r="30" spans="1:7" s="133" customFormat="1">
      <c r="A30" s="200">
        <v>13</v>
      </c>
      <c r="B30" s="201" t="s">
        <v>205</v>
      </c>
      <c r="C30" s="201" t="s">
        <v>206</v>
      </c>
      <c r="D30" s="138">
        <v>67</v>
      </c>
      <c r="E30" s="138">
        <v>96</v>
      </c>
      <c r="F30" s="138">
        <f t="shared" si="0"/>
        <v>81.5</v>
      </c>
      <c r="G30" s="138" t="str">
        <f>IFERROR(VLOOKUP(F30,[8]Sheet1!$AA$1:$AB$10,2),"")</f>
        <v>B+</v>
      </c>
    </row>
    <row r="31" spans="1:7" s="133" customFormat="1">
      <c r="A31" s="200">
        <v>14</v>
      </c>
      <c r="B31" s="201" t="s">
        <v>207</v>
      </c>
      <c r="C31" s="201" t="s">
        <v>208</v>
      </c>
      <c r="D31" s="138">
        <v>93.2</v>
      </c>
      <c r="E31" s="138">
        <v>94.9</v>
      </c>
      <c r="F31" s="138">
        <f t="shared" si="0"/>
        <v>94.050000000000011</v>
      </c>
      <c r="G31" s="138" t="str">
        <f>IFERROR(VLOOKUP(F31,[8]Sheet1!$AA$1:$AB$10,2),"")</f>
        <v>A</v>
      </c>
    </row>
    <row r="32" spans="1:7" s="133" customFormat="1">
      <c r="A32" s="200">
        <v>15</v>
      </c>
      <c r="B32" s="201" t="s">
        <v>209</v>
      </c>
      <c r="C32" s="201" t="s">
        <v>210</v>
      </c>
      <c r="D32" s="138">
        <v>91.4</v>
      </c>
      <c r="E32" s="138">
        <v>98</v>
      </c>
      <c r="F32" s="138">
        <f t="shared" si="0"/>
        <v>94.7</v>
      </c>
      <c r="G32" s="138" t="str">
        <f>IFERROR(VLOOKUP(F32,[8]Sheet1!$AA$1:$AB$10,2),"")</f>
        <v>A</v>
      </c>
    </row>
    <row r="33" spans="1:7" s="133" customFormat="1">
      <c r="A33" s="200">
        <v>16</v>
      </c>
      <c r="B33" s="201" t="s">
        <v>211</v>
      </c>
      <c r="C33" s="201" t="s">
        <v>212</v>
      </c>
      <c r="D33" s="138">
        <v>91.4</v>
      </c>
      <c r="E33" s="138">
        <v>98</v>
      </c>
      <c r="F33" s="138">
        <f t="shared" si="0"/>
        <v>94.7</v>
      </c>
      <c r="G33" s="138" t="str">
        <f>IFERROR(VLOOKUP(F33,[8]Sheet1!$AA$1:$AB$10,2),"")</f>
        <v>A</v>
      </c>
    </row>
    <row r="34" spans="1:7" s="133" customFormat="1">
      <c r="A34" s="200">
        <v>17</v>
      </c>
      <c r="B34" s="201" t="s">
        <v>213</v>
      </c>
      <c r="C34" s="201" t="s">
        <v>214</v>
      </c>
      <c r="D34" s="138">
        <v>71.5</v>
      </c>
      <c r="E34" s="138">
        <v>80.900000000000006</v>
      </c>
      <c r="F34" s="138">
        <f t="shared" si="0"/>
        <v>76.2</v>
      </c>
      <c r="G34" s="138" t="str">
        <f>IFERROR(VLOOKUP(F34,[8]Sheet1!$AA$1:$AB$10,2),"")</f>
        <v>B+</v>
      </c>
    </row>
    <row r="35" spans="1:7" s="133" customFormat="1">
      <c r="A35" s="200">
        <v>18</v>
      </c>
      <c r="B35" s="201" t="s">
        <v>215</v>
      </c>
      <c r="C35" s="201" t="s">
        <v>216</v>
      </c>
      <c r="D35" s="138">
        <v>81</v>
      </c>
      <c r="E35" s="138">
        <v>87.6</v>
      </c>
      <c r="F35" s="138">
        <f t="shared" si="0"/>
        <v>84.3</v>
      </c>
      <c r="G35" s="138" t="str">
        <f>IFERROR(VLOOKUP(F35,[8]Sheet1!$AA$1:$AB$10,2),"")</f>
        <v>B+</v>
      </c>
    </row>
    <row r="36" spans="1:7" s="133" customFormat="1">
      <c r="A36" s="200">
        <v>19</v>
      </c>
      <c r="B36" s="201" t="s">
        <v>217</v>
      </c>
      <c r="C36" s="201" t="s">
        <v>218</v>
      </c>
      <c r="D36" s="138">
        <v>85.8</v>
      </c>
      <c r="E36" s="138">
        <v>88.9</v>
      </c>
      <c r="F36" s="138">
        <f t="shared" si="0"/>
        <v>87.35</v>
      </c>
      <c r="G36" s="138" t="str">
        <f>IFERROR(VLOOKUP(F36,[8]Sheet1!$AA$1:$AB$10,2),"")</f>
        <v>A-</v>
      </c>
    </row>
    <row r="37" spans="1:7" s="133" customFormat="1">
      <c r="A37" s="200">
        <v>20</v>
      </c>
      <c r="B37" s="201" t="s">
        <v>219</v>
      </c>
      <c r="C37" s="201" t="s">
        <v>220</v>
      </c>
      <c r="D37" s="138">
        <v>92.2</v>
      </c>
      <c r="E37" s="138">
        <v>91.1</v>
      </c>
      <c r="F37" s="138">
        <f t="shared" si="0"/>
        <v>91.65</v>
      </c>
      <c r="G37" s="138" t="str">
        <f>IFERROR(VLOOKUP(F37,[8]Sheet1!$AA$1:$AB$10,2),"")</f>
        <v>A</v>
      </c>
    </row>
    <row r="38" spans="1:7" s="133" customFormat="1">
      <c r="A38" s="200">
        <v>21</v>
      </c>
      <c r="B38" s="201" t="s">
        <v>221</v>
      </c>
      <c r="C38" s="201" t="s">
        <v>222</v>
      </c>
      <c r="D38" s="138">
        <v>70.5</v>
      </c>
      <c r="E38" s="138">
        <v>82</v>
      </c>
      <c r="F38" s="138">
        <f t="shared" si="0"/>
        <v>76.25</v>
      </c>
      <c r="G38" s="138" t="str">
        <f>IFERROR(VLOOKUP(F38,[8]Sheet1!$AA$1:$AB$10,2),"")</f>
        <v>B+</v>
      </c>
    </row>
    <row r="39" spans="1:7" s="133" customFormat="1">
      <c r="A39" s="200">
        <v>22</v>
      </c>
      <c r="B39" s="201" t="s">
        <v>223</v>
      </c>
      <c r="C39" s="201" t="s">
        <v>224</v>
      </c>
      <c r="D39" s="138">
        <v>85.8</v>
      </c>
      <c r="E39" s="138">
        <v>95.4</v>
      </c>
      <c r="F39" s="138">
        <f t="shared" si="0"/>
        <v>90.6</v>
      </c>
      <c r="G39" s="138" t="str">
        <f>IFERROR(VLOOKUP(F39,[8]Sheet1!$AA$1:$AB$10,2),"")</f>
        <v>A</v>
      </c>
    </row>
    <row r="40" spans="1:7" s="133" customFormat="1">
      <c r="A40" s="200">
        <v>23</v>
      </c>
      <c r="B40" s="201" t="s">
        <v>225</v>
      </c>
      <c r="C40" s="201" t="s">
        <v>226</v>
      </c>
      <c r="D40" s="138">
        <v>87.6</v>
      </c>
      <c r="E40" s="138">
        <v>76</v>
      </c>
      <c r="F40" s="138">
        <f t="shared" si="0"/>
        <v>81.8</v>
      </c>
      <c r="G40" s="138" t="str">
        <f>IFERROR(VLOOKUP(F40,[8]Sheet1!$AA$1:$AB$10,2),"")</f>
        <v>B+</v>
      </c>
    </row>
    <row r="41" spans="1:7" s="133" customFormat="1">
      <c r="A41" s="200">
        <v>24</v>
      </c>
      <c r="B41" s="201" t="s">
        <v>227</v>
      </c>
      <c r="C41" s="201" t="s">
        <v>253</v>
      </c>
      <c r="D41" s="138">
        <v>77</v>
      </c>
      <c r="E41" s="138">
        <v>91</v>
      </c>
      <c r="F41" s="138">
        <f t="shared" si="0"/>
        <v>84</v>
      </c>
      <c r="G41" s="138" t="str">
        <f>IFERROR(VLOOKUP(F41,[8]Sheet1!$AA$1:$AB$10,2),"")</f>
        <v>B+</v>
      </c>
    </row>
    <row r="42" spans="1:7" s="133" customFormat="1">
      <c r="A42" s="200">
        <v>25</v>
      </c>
      <c r="B42" s="201" t="s">
        <v>229</v>
      </c>
      <c r="C42" s="201" t="s">
        <v>230</v>
      </c>
      <c r="D42" s="138">
        <v>91</v>
      </c>
      <c r="E42" s="138">
        <v>91</v>
      </c>
      <c r="F42" s="138">
        <f t="shared" si="0"/>
        <v>91</v>
      </c>
      <c r="G42" s="138" t="str">
        <f>IFERROR(VLOOKUP(F42,[8]Sheet1!$AA$1:$AB$10,2),"")</f>
        <v>A</v>
      </c>
    </row>
    <row r="43" spans="1:7" s="133" customFormat="1">
      <c r="A43" s="200">
        <v>26</v>
      </c>
      <c r="B43" s="201" t="s">
        <v>231</v>
      </c>
      <c r="C43" s="201" t="s">
        <v>232</v>
      </c>
      <c r="D43" s="138">
        <v>93.5</v>
      </c>
      <c r="E43" s="138">
        <v>92</v>
      </c>
      <c r="F43" s="138">
        <f t="shared" si="0"/>
        <v>92.75</v>
      </c>
      <c r="G43" s="138" t="str">
        <f>IFERROR(VLOOKUP(F43,[8]Sheet1!$AA$1:$AB$10,2),"")</f>
        <v>A</v>
      </c>
    </row>
    <row r="44" spans="1:7" s="133" customFormat="1">
      <c r="A44" s="200">
        <v>27</v>
      </c>
      <c r="B44" s="201" t="s">
        <v>233</v>
      </c>
      <c r="C44" s="201" t="s">
        <v>234</v>
      </c>
      <c r="D44" s="138">
        <v>91</v>
      </c>
      <c r="E44" s="138">
        <v>91</v>
      </c>
      <c r="F44" s="138">
        <f t="shared" si="0"/>
        <v>91</v>
      </c>
      <c r="G44" s="138" t="str">
        <f>IFERROR(VLOOKUP(F44,[8]Sheet1!$AA$1:$AB$10,2),"")</f>
        <v>A</v>
      </c>
    </row>
    <row r="45" spans="1:7" s="133" customFormat="1">
      <c r="A45" s="200">
        <v>28</v>
      </c>
      <c r="B45" s="201" t="s">
        <v>235</v>
      </c>
      <c r="C45" s="201" t="s">
        <v>236</v>
      </c>
      <c r="D45" s="138">
        <v>82</v>
      </c>
      <c r="E45" s="138">
        <v>82</v>
      </c>
      <c r="F45" s="138">
        <f t="shared" si="0"/>
        <v>82</v>
      </c>
      <c r="G45" s="138" t="str">
        <f>IFERROR(VLOOKUP(F45,[8]Sheet1!$AA$1:$AB$10,2),"")</f>
        <v>B+</v>
      </c>
    </row>
    <row r="46" spans="1:7" s="133" customFormat="1">
      <c r="A46" s="200">
        <v>29</v>
      </c>
      <c r="B46" s="201" t="s">
        <v>237</v>
      </c>
      <c r="C46" s="201" t="s">
        <v>238</v>
      </c>
      <c r="D46" s="138">
        <v>92</v>
      </c>
      <c r="E46" s="138">
        <v>92</v>
      </c>
      <c r="F46" s="138">
        <f t="shared" si="0"/>
        <v>92</v>
      </c>
      <c r="G46" s="138" t="str">
        <f>IFERROR(VLOOKUP(F46,[8]Sheet1!$AA$1:$AB$10,2),"")</f>
        <v>A</v>
      </c>
    </row>
    <row r="47" spans="1:7" s="133" customFormat="1">
      <c r="A47" s="200">
        <v>30</v>
      </c>
      <c r="B47" s="201" t="s">
        <v>239</v>
      </c>
      <c r="C47" s="201" t="s">
        <v>240</v>
      </c>
      <c r="D47" s="138">
        <v>91</v>
      </c>
      <c r="E47" s="138">
        <v>96.5</v>
      </c>
      <c r="F47" s="138">
        <f t="shared" si="0"/>
        <v>93.75</v>
      </c>
      <c r="G47" s="138" t="str">
        <f>IFERROR(VLOOKUP(F47,[8]Sheet1!$AA$1:$AB$10,2),"")</f>
        <v>A</v>
      </c>
    </row>
    <row r="48" spans="1:7" s="133" customFormat="1">
      <c r="A48" s="200">
        <v>31</v>
      </c>
      <c r="B48" s="201" t="s">
        <v>241</v>
      </c>
      <c r="C48" s="201" t="s">
        <v>242</v>
      </c>
      <c r="D48" s="138">
        <v>92</v>
      </c>
      <c r="E48" s="138">
        <v>94.5</v>
      </c>
      <c r="F48" s="138">
        <f t="shared" si="0"/>
        <v>93.25</v>
      </c>
      <c r="G48" s="138" t="str">
        <f>IFERROR(VLOOKUP(F48,[8]Sheet1!$AA$1:$AB$10,2),"")</f>
        <v>A</v>
      </c>
    </row>
    <row r="49" spans="1:7" s="133" customFormat="1">
      <c r="A49" s="200">
        <v>32</v>
      </c>
      <c r="B49" s="201" t="s">
        <v>243</v>
      </c>
      <c r="C49" s="201" t="s">
        <v>244</v>
      </c>
      <c r="D49" s="138">
        <v>91</v>
      </c>
      <c r="E49" s="138">
        <v>100</v>
      </c>
      <c r="F49" s="138">
        <f t="shared" si="0"/>
        <v>95.5</v>
      </c>
      <c r="G49" s="138" t="str">
        <f>IFERROR(VLOOKUP(F49,[8]Sheet1!$AA$1:$AB$10,2),"")</f>
        <v>A</v>
      </c>
    </row>
    <row r="50" spans="1:7" s="133" customFormat="1">
      <c r="A50" s="200">
        <v>33</v>
      </c>
      <c r="B50" s="201" t="s">
        <v>245</v>
      </c>
      <c r="C50" s="201" t="s">
        <v>246</v>
      </c>
      <c r="D50" s="138">
        <v>91</v>
      </c>
      <c r="E50" s="138">
        <v>91</v>
      </c>
      <c r="F50" s="138">
        <f t="shared" si="0"/>
        <v>91</v>
      </c>
      <c r="G50" s="138" t="str">
        <f>IFERROR(VLOOKUP(F50,[8]Sheet1!$AA$1:$AB$10,2),"")</f>
        <v>A</v>
      </c>
    </row>
    <row r="51" spans="1:7" s="133" customFormat="1">
      <c r="A51" s="202">
        <v>34</v>
      </c>
      <c r="B51" s="201" t="s">
        <v>247</v>
      </c>
      <c r="C51" s="201" t="s">
        <v>248</v>
      </c>
      <c r="D51" s="138">
        <v>67.5</v>
      </c>
      <c r="E51" s="138">
        <v>64</v>
      </c>
      <c r="F51" s="138">
        <f t="shared" si="0"/>
        <v>65.75</v>
      </c>
      <c r="G51" s="138" t="str">
        <f>IFERROR(VLOOKUP(F51,[8]Sheet1!$AA$1:$AB$10,2),"")</f>
        <v>B-</v>
      </c>
    </row>
    <row r="52" spans="1:7" s="133" customFormat="1">
      <c r="C52" s="135"/>
      <c r="D52" s="136"/>
      <c r="E52" s="136"/>
      <c r="F52" s="136"/>
    </row>
    <row r="53" spans="1:7" s="133" customFormat="1" ht="28.5" thickBot="1">
      <c r="C53" s="135"/>
      <c r="D53" s="136" t="str">
        <f>D16</f>
        <v>CPMK122</v>
      </c>
      <c r="E53" s="136" t="str">
        <f>E16</f>
        <v>CPMK123</v>
      </c>
      <c r="F53" s="139" t="str">
        <f>F12</f>
        <v>Nilai Akhir MK     100</v>
      </c>
    </row>
    <row r="54" spans="1:7" s="133" customFormat="1" ht="14.5" thickBot="1">
      <c r="C54" s="140" t="s">
        <v>102</v>
      </c>
      <c r="D54" s="141">
        <f>IFERROR(COUNTIF(D19:D51,""),"")</f>
        <v>0</v>
      </c>
      <c r="E54" s="141">
        <f>IFERROR(COUNTIF(E19:E51,""),"")</f>
        <v>0</v>
      </c>
      <c r="F54" s="141">
        <f>IFERROR(COUNTIF(F19:F51,""),"")</f>
        <v>0</v>
      </c>
    </row>
    <row r="55" spans="1:7" s="133" customFormat="1" ht="14.5" thickBot="1">
      <c r="C55" s="140" t="s">
        <v>94</v>
      </c>
      <c r="D55" s="141">
        <f>IFERROR(COUNTIF(D19:D51,C55)+COUNTIF(D19:D51,""),"")-D54</f>
        <v>0</v>
      </c>
      <c r="E55" s="141">
        <f>COUNTIF(E19:E51,C55)+COUNTIF(E19:E51,"")-E54</f>
        <v>1</v>
      </c>
      <c r="F55" s="141">
        <f>IFERROR(COUNTIF(F19:F51,C55)+COUNTIF(F19:F51,""),"")</f>
        <v>0</v>
      </c>
    </row>
    <row r="56" spans="1:7" s="133" customFormat="1" ht="14.5" thickBot="1">
      <c r="C56" s="142" t="s">
        <v>95</v>
      </c>
      <c r="D56" s="143">
        <f>IFERROR(COUNTIF(D19:D51,C56)-D55,"")</f>
        <v>11</v>
      </c>
      <c r="E56" s="143">
        <f>COUNTIF(E19:E51,C56)-E55</f>
        <v>6</v>
      </c>
      <c r="F56" s="144">
        <f>IFERROR(COUNTIF(F19:F51,C56)-F55,"")</f>
        <v>12</v>
      </c>
    </row>
    <row r="57" spans="1:7" s="133" customFormat="1" ht="14.5" thickBot="1">
      <c r="C57" s="142" t="s">
        <v>96</v>
      </c>
      <c r="D57" s="143">
        <f>COUNTIF(D19:D51,C57)</f>
        <v>22</v>
      </c>
      <c r="E57" s="143">
        <f>COUNTIF(E19:E51,C57)</f>
        <v>26</v>
      </c>
      <c r="F57" s="143">
        <f>IFERROR(COUNTIF(F19:F51,C57),"")</f>
        <v>21</v>
      </c>
    </row>
    <row r="58" spans="1:7" s="133" customFormat="1" ht="14.5" thickBot="1">
      <c r="C58" s="142" t="s">
        <v>74</v>
      </c>
      <c r="D58" s="143">
        <f>SUM(D54:D57)</f>
        <v>33</v>
      </c>
      <c r="E58" s="143">
        <f t="shared" ref="E58:F58" si="1">SUM(E54:E57)</f>
        <v>33</v>
      </c>
      <c r="F58" s="143">
        <f t="shared" si="1"/>
        <v>33</v>
      </c>
    </row>
    <row r="59" spans="1:7" s="133" customFormat="1">
      <c r="C59" s="203"/>
      <c r="D59" s="136"/>
      <c r="E59" s="136"/>
      <c r="F59" s="136"/>
    </row>
    <row r="60" spans="1:7" s="133" customFormat="1">
      <c r="C60" s="204" t="s">
        <v>97</v>
      </c>
      <c r="D60" s="205">
        <f>(D56+D57)/(D58-D54)</f>
        <v>1</v>
      </c>
      <c r="E60" s="205">
        <f>(E56+E57)/(E58-E54)</f>
        <v>0.96969696969696972</v>
      </c>
      <c r="F60" s="205">
        <f>(F56+F57)/(F58-F54)</f>
        <v>1</v>
      </c>
    </row>
    <row r="61" spans="1:7" s="133" customFormat="1">
      <c r="C61" s="134"/>
      <c r="D61" s="136"/>
      <c r="E61" s="136"/>
      <c r="F61" s="136"/>
    </row>
    <row r="62" spans="1:7" s="133" customFormat="1">
      <c r="C62" s="204" t="s">
        <v>98</v>
      </c>
      <c r="D62" s="206">
        <f>MIN(D19:D51)</f>
        <v>67</v>
      </c>
      <c r="E62" s="206">
        <f>MIN(E19:E51)</f>
        <v>64</v>
      </c>
      <c r="F62" s="162">
        <f>IFERROR(MIN(F19:F51),"")</f>
        <v>65.75</v>
      </c>
    </row>
    <row r="63" spans="1:7" s="133" customFormat="1">
      <c r="C63" s="204" t="s">
        <v>99</v>
      </c>
      <c r="D63" s="206">
        <f>MAX(D19:D51)</f>
        <v>95.5</v>
      </c>
      <c r="E63" s="206">
        <f>MAX(E19:E51)</f>
        <v>100</v>
      </c>
      <c r="F63" s="162">
        <f>IFERROR(MAX(F19:F51),"")</f>
        <v>95.5</v>
      </c>
    </row>
    <row r="64" spans="1:7" s="133" customFormat="1">
      <c r="C64" s="204" t="s">
        <v>100</v>
      </c>
      <c r="D64" s="162">
        <f>AVERAGE(D19:D51)</f>
        <v>85.648484848484856</v>
      </c>
      <c r="E64" s="162">
        <f>AVERAGE(E19:E51)</f>
        <v>90.278787878787881</v>
      </c>
      <c r="F64" s="162">
        <f>IFERROR(AVERAGE(F19:F51),"")</f>
        <v>87.963636363636368</v>
      </c>
    </row>
    <row r="65" spans="1:8">
      <c r="A65" s="239"/>
      <c r="B65" s="239"/>
      <c r="C65" s="239"/>
      <c r="D65" s="239"/>
      <c r="E65" s="239"/>
      <c r="F65" s="239"/>
      <c r="G65" s="239"/>
      <c r="H65" s="239"/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36A7-6292-42D8-896D-D7C99B257EF7}">
  <dimension ref="A1:W50"/>
  <sheetViews>
    <sheetView view="pageBreakPreview" topLeftCell="A16" zoomScaleNormal="100" zoomScaleSheetLayoutView="100" workbookViewId="0">
      <selection activeCell="D47" sqref="D47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6" width="15.25" customWidth="1"/>
    <col min="7" max="7" width="12.6640625" customWidth="1"/>
    <col min="10" max="10" width="13" customWidth="1"/>
  </cols>
  <sheetData>
    <row r="1" spans="1:23" ht="18">
      <c r="A1" s="283" t="s">
        <v>75</v>
      </c>
      <c r="B1" s="283"/>
      <c r="C1" s="283"/>
      <c r="D1" s="283"/>
      <c r="E1" s="283"/>
      <c r="F1" s="283"/>
      <c r="G1" s="283"/>
      <c r="H1" s="283"/>
      <c r="I1" s="283"/>
      <c r="J1" s="30"/>
    </row>
    <row r="2" spans="1:23" ht="18.5" thickBot="1">
      <c r="A2" s="284" t="s">
        <v>76</v>
      </c>
      <c r="B2" s="284"/>
      <c r="C2" s="284"/>
      <c r="D2" s="284"/>
      <c r="E2" s="284"/>
      <c r="F2" s="284"/>
      <c r="G2" s="284"/>
      <c r="H2" s="284"/>
      <c r="I2" s="284"/>
      <c r="J2" s="30"/>
    </row>
    <row r="3" spans="1:23">
      <c r="A3" s="133"/>
      <c r="B3" s="133"/>
      <c r="C3" s="133"/>
      <c r="D3" s="133"/>
      <c r="E3" s="133"/>
      <c r="F3" s="133"/>
      <c r="G3" s="133"/>
      <c r="H3" s="133"/>
      <c r="I3" s="133"/>
    </row>
    <row r="4" spans="1:23">
      <c r="A4" s="133" t="s">
        <v>77</v>
      </c>
      <c r="B4" s="133"/>
      <c r="C4" s="133" t="s">
        <v>78</v>
      </c>
      <c r="D4" s="133"/>
      <c r="E4" s="133" t="s">
        <v>79</v>
      </c>
      <c r="F4" s="133" t="s">
        <v>80</v>
      </c>
      <c r="G4" s="133"/>
      <c r="H4" s="133"/>
      <c r="I4" s="133"/>
    </row>
    <row r="5" spans="1:23">
      <c r="A5" s="133" t="s">
        <v>41</v>
      </c>
      <c r="B5" s="133"/>
      <c r="C5" s="134" t="s">
        <v>123</v>
      </c>
      <c r="D5" s="133"/>
      <c r="E5" s="133" t="s">
        <v>81</v>
      </c>
      <c r="F5" s="133" t="s">
        <v>82</v>
      </c>
      <c r="G5" s="133"/>
      <c r="H5" s="133"/>
      <c r="I5" s="133"/>
    </row>
    <row r="6" spans="1:23">
      <c r="A6" s="133" t="s">
        <v>42</v>
      </c>
      <c r="B6" s="133"/>
      <c r="C6" s="133" t="s">
        <v>124</v>
      </c>
      <c r="D6" s="133"/>
      <c r="E6" s="133"/>
      <c r="F6" s="133"/>
      <c r="G6" s="133"/>
      <c r="H6" s="133"/>
      <c r="I6" s="133"/>
    </row>
    <row r="7" spans="1:23">
      <c r="A7" s="133" t="s">
        <v>83</v>
      </c>
      <c r="B7" s="133"/>
      <c r="C7" s="133" t="s">
        <v>84</v>
      </c>
      <c r="D7" s="133"/>
      <c r="E7" s="133"/>
      <c r="F7" s="133"/>
      <c r="G7" s="133"/>
      <c r="H7" s="133"/>
      <c r="I7" s="133"/>
    </row>
    <row r="8" spans="1:23">
      <c r="A8" s="133" t="s">
        <v>85</v>
      </c>
      <c r="B8" s="133"/>
      <c r="C8" s="133" t="s">
        <v>86</v>
      </c>
      <c r="D8" s="133"/>
      <c r="E8" s="133"/>
      <c r="F8" s="133"/>
      <c r="G8" s="133"/>
      <c r="H8" s="133"/>
      <c r="I8" s="133"/>
    </row>
    <row r="9" spans="1:23">
      <c r="A9" s="133" t="s">
        <v>87</v>
      </c>
      <c r="B9" s="133"/>
      <c r="C9" s="133" t="s">
        <v>125</v>
      </c>
      <c r="D9" s="133"/>
      <c r="E9" s="133"/>
      <c r="F9" s="133"/>
      <c r="G9" s="133"/>
      <c r="H9" s="133"/>
      <c r="I9" s="133"/>
    </row>
    <row r="10" spans="1:23">
      <c r="A10" s="133"/>
      <c r="B10" s="133"/>
      <c r="C10" s="133" t="s">
        <v>109</v>
      </c>
      <c r="D10" s="133"/>
      <c r="E10" s="133"/>
      <c r="F10" s="133"/>
      <c r="G10" s="133"/>
      <c r="H10" s="133"/>
      <c r="I10" s="133"/>
    </row>
    <row r="11" spans="1:23">
      <c r="A11" s="133"/>
      <c r="B11" s="133"/>
      <c r="C11" s="135"/>
      <c r="D11" s="136"/>
      <c r="E11" s="136"/>
      <c r="F11" s="136"/>
      <c r="G11" s="136"/>
      <c r="H11" s="136"/>
      <c r="I11" s="136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</row>
    <row r="12" spans="1:23">
      <c r="A12" s="133"/>
      <c r="B12" s="133"/>
      <c r="C12" s="135"/>
      <c r="D12" s="285" t="s">
        <v>73</v>
      </c>
      <c r="E12" s="291"/>
      <c r="F12" s="286"/>
      <c r="G12" s="287" t="str">
        <f>CONCATENATE("Nilai Akhir MK","     ",D17+E17+F17)</f>
        <v>Nilai Akhir MK     100</v>
      </c>
      <c r="H12" s="287" t="s">
        <v>89</v>
      </c>
      <c r="I12" s="133"/>
    </row>
    <row r="13" spans="1:23">
      <c r="A13" s="133"/>
      <c r="B13" s="133"/>
      <c r="C13" s="135"/>
      <c r="D13" s="290" t="str">
        <f>TRIM(MID(C5,3,100))</f>
        <v>U.24.01.55.1.03</v>
      </c>
      <c r="E13" s="290"/>
      <c r="F13" s="290"/>
      <c r="G13" s="288"/>
      <c r="H13" s="288"/>
      <c r="I13" s="133"/>
    </row>
    <row r="14" spans="1:23">
      <c r="A14" s="133"/>
      <c r="B14" s="133"/>
      <c r="C14" s="135"/>
      <c r="D14" s="290" t="str">
        <f>TRIM(MID(C6,3,100))</f>
        <v>KEWARGANEGARAAN</v>
      </c>
      <c r="E14" s="290"/>
      <c r="F14" s="290"/>
      <c r="G14" s="288"/>
      <c r="H14" s="288"/>
      <c r="I14" s="133"/>
    </row>
    <row r="15" spans="1:23">
      <c r="A15" s="133"/>
      <c r="B15" s="133"/>
      <c r="C15" s="135"/>
      <c r="D15" s="90" t="s">
        <v>117</v>
      </c>
      <c r="E15" s="90" t="s">
        <v>118</v>
      </c>
      <c r="F15" s="90" t="s">
        <v>119</v>
      </c>
      <c r="G15" s="288"/>
      <c r="H15" s="288"/>
      <c r="I15" s="133"/>
    </row>
    <row r="16" spans="1:23">
      <c r="A16" s="133"/>
      <c r="B16" s="133"/>
      <c r="C16" s="135"/>
      <c r="D16" s="90" t="s">
        <v>120</v>
      </c>
      <c r="E16" s="90" t="s">
        <v>126</v>
      </c>
      <c r="F16" s="90" t="s">
        <v>122</v>
      </c>
      <c r="G16" s="288"/>
      <c r="H16" s="288"/>
      <c r="I16" s="133"/>
    </row>
    <row r="17" spans="1:9">
      <c r="A17" s="133"/>
      <c r="B17" s="133"/>
      <c r="C17" s="135"/>
      <c r="D17" s="90">
        <v>25</v>
      </c>
      <c r="E17" s="90">
        <v>45</v>
      </c>
      <c r="F17" s="90">
        <v>30</v>
      </c>
      <c r="G17" s="289"/>
      <c r="H17" s="289"/>
      <c r="I17" s="133"/>
    </row>
    <row r="18" spans="1:9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  <c r="H18" s="1"/>
      <c r="I18" s="133"/>
    </row>
    <row r="19" spans="1:9">
      <c r="A19" s="90">
        <v>1</v>
      </c>
      <c r="B19" s="90" t="s">
        <v>3</v>
      </c>
      <c r="C19" s="137" t="s">
        <v>4</v>
      </c>
      <c r="D19" s="138"/>
      <c r="E19" s="138"/>
      <c r="F19" s="138"/>
      <c r="G19" s="138"/>
      <c r="H19" s="138"/>
      <c r="I19" s="133"/>
    </row>
    <row r="20" spans="1:9">
      <c r="A20" s="90">
        <v>2</v>
      </c>
      <c r="B20" s="90" t="s">
        <v>5</v>
      </c>
      <c r="C20" s="137" t="s">
        <v>6</v>
      </c>
      <c r="D20" s="138">
        <v>93.86</v>
      </c>
      <c r="E20" s="138">
        <v>88.75</v>
      </c>
      <c r="F20" s="138">
        <v>85</v>
      </c>
      <c r="G20" s="138">
        <f t="shared" ref="G20:G37" si="0">IFERROR((D20*($D$17/100))+(E20*($E$17/100))+(F20*($F$17/100)),"")</f>
        <v>88.902500000000003</v>
      </c>
      <c r="H20" s="138" t="str">
        <f>IFERROR(VLOOKUP(G20,[9]Sheet1!$AA$1:$AB$10,2),"")</f>
        <v>A-</v>
      </c>
      <c r="I20" s="133"/>
    </row>
    <row r="21" spans="1:9">
      <c r="A21" s="90">
        <v>3</v>
      </c>
      <c r="B21" s="90" t="s">
        <v>7</v>
      </c>
      <c r="C21" s="137" t="s">
        <v>8</v>
      </c>
      <c r="D21" s="138">
        <v>88.21</v>
      </c>
      <c r="E21" s="138">
        <v>55</v>
      </c>
      <c r="F21" s="138">
        <v>70</v>
      </c>
      <c r="G21" s="138">
        <f t="shared" si="0"/>
        <v>67.802499999999995</v>
      </c>
      <c r="H21" s="138" t="str">
        <f>IFERROR(VLOOKUP(G21,[9]Sheet1!$AA$1:$AB$10,2),"")</f>
        <v>B-</v>
      </c>
      <c r="I21" s="133"/>
    </row>
    <row r="22" spans="1:9">
      <c r="A22" s="90">
        <v>4</v>
      </c>
      <c r="B22" s="90" t="s">
        <v>9</v>
      </c>
      <c r="C22" s="137" t="s">
        <v>10</v>
      </c>
      <c r="D22" s="138">
        <v>87.64</v>
      </c>
      <c r="E22" s="138">
        <v>69.25</v>
      </c>
      <c r="F22" s="138">
        <v>59</v>
      </c>
      <c r="G22" s="138">
        <f t="shared" si="0"/>
        <v>70.772500000000008</v>
      </c>
      <c r="H22" s="138" t="str">
        <f>IFERROR(VLOOKUP(G22,[9]Sheet1!$AA$1:$AB$10,2),"")</f>
        <v>B</v>
      </c>
      <c r="I22" s="133"/>
    </row>
    <row r="23" spans="1:9">
      <c r="A23" s="90">
        <v>5</v>
      </c>
      <c r="B23" s="90" t="s">
        <v>11</v>
      </c>
      <c r="C23" s="137" t="s">
        <v>12</v>
      </c>
      <c r="D23" s="138">
        <v>91</v>
      </c>
      <c r="E23" s="138">
        <v>79</v>
      </c>
      <c r="F23" s="138">
        <v>72</v>
      </c>
      <c r="G23" s="138">
        <f t="shared" si="0"/>
        <v>79.900000000000006</v>
      </c>
      <c r="H23" s="138" t="str">
        <f>IFERROR(VLOOKUP(G23,[9]Sheet1!$AA$1:$AB$10,2),"")</f>
        <v>B+</v>
      </c>
      <c r="I23" s="133"/>
    </row>
    <row r="24" spans="1:9">
      <c r="A24" s="90">
        <v>6</v>
      </c>
      <c r="B24" s="90" t="s">
        <v>13</v>
      </c>
      <c r="C24" s="137" t="s">
        <v>14</v>
      </c>
      <c r="D24" s="138">
        <v>84.64</v>
      </c>
      <c r="E24" s="138">
        <v>85</v>
      </c>
      <c r="F24" s="138">
        <v>80</v>
      </c>
      <c r="G24" s="138">
        <f t="shared" si="0"/>
        <v>83.41</v>
      </c>
      <c r="H24" s="138" t="str">
        <f>IFERROR(VLOOKUP(G24,[9]Sheet1!$AA$1:$AB$10,2),"")</f>
        <v>B+</v>
      </c>
      <c r="I24" s="133"/>
    </row>
    <row r="25" spans="1:9">
      <c r="A25" s="90">
        <v>7</v>
      </c>
      <c r="B25" s="90" t="s">
        <v>15</v>
      </c>
      <c r="C25" s="137" t="s">
        <v>16</v>
      </c>
      <c r="D25" s="138">
        <v>53.86</v>
      </c>
      <c r="E25" s="138">
        <v>12.5</v>
      </c>
      <c r="F25" s="138">
        <v>0</v>
      </c>
      <c r="G25" s="138">
        <f t="shared" si="0"/>
        <v>19.09</v>
      </c>
      <c r="H25" s="138" t="str">
        <f>IFERROR(VLOOKUP(G25,[9]Sheet1!$AA$1:$AB$10,2),"")</f>
        <v>E</v>
      </c>
      <c r="I25" s="133"/>
    </row>
    <row r="26" spans="1:9">
      <c r="A26" s="90">
        <v>8</v>
      </c>
      <c r="B26" s="90" t="s">
        <v>17</v>
      </c>
      <c r="C26" s="137" t="s">
        <v>18</v>
      </c>
      <c r="D26" s="138">
        <v>67.069999999999993</v>
      </c>
      <c r="E26" s="138">
        <v>62.75</v>
      </c>
      <c r="F26" s="138">
        <v>67</v>
      </c>
      <c r="G26" s="138">
        <f t="shared" si="0"/>
        <v>65.10499999999999</v>
      </c>
      <c r="H26" s="138" t="str">
        <f>IFERROR(VLOOKUP(G26,[9]Sheet1!$AA$1:$AB$10,2),"")</f>
        <v>C+</v>
      </c>
      <c r="I26" s="133"/>
    </row>
    <row r="27" spans="1:9">
      <c r="A27" s="90">
        <v>9</v>
      </c>
      <c r="B27" s="90" t="s">
        <v>19</v>
      </c>
      <c r="C27" s="137" t="s">
        <v>20</v>
      </c>
      <c r="D27" s="138">
        <v>85.5</v>
      </c>
      <c r="E27" s="138">
        <v>86.5</v>
      </c>
      <c r="F27" s="138">
        <v>82</v>
      </c>
      <c r="G27" s="138">
        <f t="shared" si="0"/>
        <v>84.9</v>
      </c>
      <c r="H27" s="138" t="str">
        <f>IFERROR(VLOOKUP(G27,[9]Sheet1!$AA$1:$AB$10,2),"")</f>
        <v>A-</v>
      </c>
      <c r="I27" s="133"/>
    </row>
    <row r="28" spans="1:9">
      <c r="A28" s="90">
        <v>10</v>
      </c>
      <c r="B28" s="90" t="s">
        <v>21</v>
      </c>
      <c r="C28" s="137" t="s">
        <v>22</v>
      </c>
      <c r="D28" s="138">
        <v>78.86</v>
      </c>
      <c r="E28" s="138">
        <v>86.25</v>
      </c>
      <c r="F28" s="138">
        <v>85</v>
      </c>
      <c r="G28" s="138">
        <f t="shared" si="0"/>
        <v>84.027500000000003</v>
      </c>
      <c r="H28" s="138" t="str">
        <f>IFERROR(VLOOKUP(G28,[9]Sheet1!$AA$1:$AB$10,2),"")</f>
        <v>B+</v>
      </c>
      <c r="I28" s="133"/>
    </row>
    <row r="29" spans="1:9">
      <c r="A29" s="90">
        <v>11</v>
      </c>
      <c r="B29" s="90" t="s">
        <v>23</v>
      </c>
      <c r="C29" s="137" t="s">
        <v>24</v>
      </c>
      <c r="D29" s="138">
        <v>82.64</v>
      </c>
      <c r="E29" s="138">
        <v>82.5</v>
      </c>
      <c r="F29" s="138">
        <v>80</v>
      </c>
      <c r="G29" s="138">
        <f t="shared" si="0"/>
        <v>81.784999999999997</v>
      </c>
      <c r="H29" s="138" t="str">
        <f>IFERROR(VLOOKUP(G29,[9]Sheet1!$AA$1:$AB$10,2),"")</f>
        <v>B+</v>
      </c>
      <c r="I29" s="133"/>
    </row>
    <row r="30" spans="1:9">
      <c r="A30" s="90">
        <v>12</v>
      </c>
      <c r="B30" s="90" t="s">
        <v>25</v>
      </c>
      <c r="C30" s="137" t="s">
        <v>26</v>
      </c>
      <c r="D30" s="138">
        <v>75.5</v>
      </c>
      <c r="E30" s="138">
        <v>79</v>
      </c>
      <c r="F30" s="138">
        <v>82</v>
      </c>
      <c r="G30" s="138">
        <f t="shared" si="0"/>
        <v>79.025000000000006</v>
      </c>
      <c r="H30" s="138" t="str">
        <f>IFERROR(VLOOKUP(G30,[9]Sheet1!$AA$1:$AB$10,2),"")</f>
        <v>B+</v>
      </c>
      <c r="I30" s="133"/>
    </row>
    <row r="31" spans="1:9">
      <c r="A31" s="90">
        <v>13</v>
      </c>
      <c r="B31" s="90" t="s">
        <v>27</v>
      </c>
      <c r="C31" s="137" t="s">
        <v>28</v>
      </c>
      <c r="D31" s="138">
        <v>89.93</v>
      </c>
      <c r="E31" s="138">
        <v>86.5</v>
      </c>
      <c r="F31" s="138">
        <v>82</v>
      </c>
      <c r="G31" s="138">
        <f t="shared" si="0"/>
        <v>86.007500000000007</v>
      </c>
      <c r="H31" s="138" t="str">
        <f>IFERROR(VLOOKUP(G31,[9]Sheet1!$AA$1:$AB$10,2),"")</f>
        <v>A-</v>
      </c>
      <c r="I31" s="133"/>
    </row>
    <row r="32" spans="1:9">
      <c r="A32" s="90">
        <v>14</v>
      </c>
      <c r="B32" s="90" t="s">
        <v>29</v>
      </c>
      <c r="C32" s="137" t="s">
        <v>30</v>
      </c>
      <c r="D32" s="138">
        <v>76.290000000000006</v>
      </c>
      <c r="E32" s="138">
        <v>84</v>
      </c>
      <c r="F32" s="138">
        <v>82</v>
      </c>
      <c r="G32" s="138">
        <f t="shared" si="0"/>
        <v>81.472499999999997</v>
      </c>
      <c r="H32" s="138" t="str">
        <f>IFERROR(VLOOKUP(G32,[9]Sheet1!$AA$1:$AB$10,2),"")</f>
        <v>B+</v>
      </c>
      <c r="I32" s="133"/>
    </row>
    <row r="33" spans="1:9">
      <c r="A33" s="90">
        <v>15</v>
      </c>
      <c r="B33" s="90" t="s">
        <v>31</v>
      </c>
      <c r="C33" s="137" t="s">
        <v>32</v>
      </c>
      <c r="D33" s="138">
        <v>71.64</v>
      </c>
      <c r="E33" s="138">
        <v>70</v>
      </c>
      <c r="F33" s="138">
        <v>70</v>
      </c>
      <c r="G33" s="138">
        <f t="shared" si="0"/>
        <v>70.41</v>
      </c>
      <c r="H33" s="138" t="str">
        <f>IFERROR(VLOOKUP(G33,[9]Sheet1!$AA$1:$AB$10,2),"")</f>
        <v>B</v>
      </c>
      <c r="I33" s="133"/>
    </row>
    <row r="34" spans="1:9">
      <c r="A34" s="90">
        <v>16</v>
      </c>
      <c r="B34" s="90" t="s">
        <v>33</v>
      </c>
      <c r="C34" s="137" t="s">
        <v>34</v>
      </c>
      <c r="D34" s="138">
        <v>83.29</v>
      </c>
      <c r="E34" s="138">
        <v>77.5</v>
      </c>
      <c r="F34" s="138">
        <v>70</v>
      </c>
      <c r="G34" s="138">
        <f t="shared" si="0"/>
        <v>76.697500000000005</v>
      </c>
      <c r="H34" s="138" t="str">
        <f>IFERROR(VLOOKUP(G34,[9]Sheet1!$AA$1:$AB$10,2),"")</f>
        <v>B+</v>
      </c>
      <c r="I34" s="133"/>
    </row>
    <row r="35" spans="1:9">
      <c r="A35" s="90">
        <v>17</v>
      </c>
      <c r="B35" s="90" t="s">
        <v>35</v>
      </c>
      <c r="C35" s="137" t="s">
        <v>36</v>
      </c>
      <c r="D35" s="138">
        <v>82.57</v>
      </c>
      <c r="E35" s="138">
        <v>78</v>
      </c>
      <c r="F35" s="138">
        <v>74</v>
      </c>
      <c r="G35" s="138">
        <f t="shared" si="0"/>
        <v>77.942499999999995</v>
      </c>
      <c r="H35" s="138" t="str">
        <f>IFERROR(VLOOKUP(G35,[9]Sheet1!$AA$1:$AB$10,2),"")</f>
        <v>B+</v>
      </c>
      <c r="I35" s="133"/>
    </row>
    <row r="36" spans="1:9">
      <c r="A36" s="90">
        <v>18</v>
      </c>
      <c r="B36" s="90" t="s">
        <v>37</v>
      </c>
      <c r="C36" s="137" t="s">
        <v>38</v>
      </c>
      <c r="D36" s="138">
        <v>77.430000000000007</v>
      </c>
      <c r="E36" s="138">
        <v>72.75</v>
      </c>
      <c r="F36" s="138">
        <v>77</v>
      </c>
      <c r="G36" s="138">
        <f t="shared" si="0"/>
        <v>75.195000000000007</v>
      </c>
      <c r="H36" s="138" t="str">
        <f>IFERROR(VLOOKUP(G36,[9]Sheet1!$AA$1:$AB$10,2),"")</f>
        <v>B</v>
      </c>
      <c r="I36" s="133"/>
    </row>
    <row r="37" spans="1:9">
      <c r="A37" s="90">
        <v>19</v>
      </c>
      <c r="B37" s="90" t="s">
        <v>39</v>
      </c>
      <c r="C37" s="137" t="s">
        <v>40</v>
      </c>
      <c r="D37" s="138">
        <v>77.5</v>
      </c>
      <c r="E37" s="138">
        <v>70.5</v>
      </c>
      <c r="F37" s="138">
        <v>74</v>
      </c>
      <c r="G37" s="138">
        <f t="shared" si="0"/>
        <v>73.3</v>
      </c>
      <c r="H37" s="138" t="str">
        <f>IFERROR(VLOOKUP(G37,[9]Sheet1!$AA$1:$AB$10,2),"")</f>
        <v>B</v>
      </c>
      <c r="I37" s="133"/>
    </row>
    <row r="38" spans="1:9">
      <c r="A38" s="133"/>
      <c r="B38" s="133"/>
      <c r="C38" s="135"/>
      <c r="D38" s="136"/>
      <c r="E38" s="136"/>
      <c r="F38" s="136"/>
      <c r="G38" s="136"/>
      <c r="H38" s="133"/>
      <c r="I38" s="133"/>
    </row>
    <row r="39" spans="1:9" ht="28.5" thickBot="1">
      <c r="A39" s="133"/>
      <c r="B39" s="133"/>
      <c r="C39" s="135"/>
      <c r="D39" s="136" t="str">
        <f t="shared" ref="D39:F39" si="1">D16</f>
        <v>CPMK101</v>
      </c>
      <c r="E39" s="136" t="str">
        <f t="shared" si="1"/>
        <v>CPMK122</v>
      </c>
      <c r="F39" s="136" t="str">
        <f t="shared" si="1"/>
        <v>CPMK141</v>
      </c>
      <c r="G39" s="139" t="str">
        <f>G12</f>
        <v>Nilai Akhir MK     100</v>
      </c>
      <c r="H39" s="133"/>
      <c r="I39" s="133"/>
    </row>
    <row r="40" spans="1:9" ht="14.5" thickBot="1">
      <c r="A40" s="133"/>
      <c r="B40" s="133"/>
      <c r="C40" s="140" t="s">
        <v>102</v>
      </c>
      <c r="D40" s="141">
        <f>IFERROR(COUNTIF(D19:D37,""),"")</f>
        <v>1</v>
      </c>
      <c r="E40" s="141">
        <f>IFERROR(COUNTIF(E19:E37,""),"")</f>
        <v>1</v>
      </c>
      <c r="F40" s="141">
        <f>IFERROR(COUNTIF(F19:F37,""),"")</f>
        <v>1</v>
      </c>
      <c r="G40" s="141">
        <f>IFERROR(COUNTIF(G19:G37,""),"")</f>
        <v>1</v>
      </c>
      <c r="H40" s="133"/>
      <c r="I40" s="133"/>
    </row>
    <row r="41" spans="1:9" ht="14.5" thickBot="1">
      <c r="A41" s="133"/>
      <c r="B41" s="133"/>
      <c r="C41" s="140" t="s">
        <v>94</v>
      </c>
      <c r="D41" s="141">
        <f>IFERROR(COUNTIF(D19:D37,C41)+COUNTIF(D19:D37,""),"")-D40</f>
        <v>1</v>
      </c>
      <c r="E41" s="141">
        <f>COUNTIF(E19:E37,C41)+COUNTIF(E19:E37,"")-E40</f>
        <v>3</v>
      </c>
      <c r="F41" s="141">
        <f>COUNTIF(F19:F37,C41)+COUNTIF(F19:F37,"")-F40</f>
        <v>2</v>
      </c>
      <c r="G41" s="141">
        <f>IFERROR(COUNTIF(G19:G37,C41)+COUNTIF(G19:G37,""),"")</f>
        <v>2</v>
      </c>
      <c r="H41" s="133"/>
      <c r="I41" s="133"/>
    </row>
    <row r="42" spans="1:9" ht="14.5" thickBot="1">
      <c r="A42" s="133"/>
      <c r="B42" s="133"/>
      <c r="C42" s="142" t="s">
        <v>95</v>
      </c>
      <c r="D42" s="143">
        <f>IFERROR(COUNTIF(D19:D37,C42)-D41,"")</f>
        <v>11</v>
      </c>
      <c r="E42" s="143">
        <f>COUNTIF(E19:E37,C42)-E41</f>
        <v>10</v>
      </c>
      <c r="F42" s="143">
        <f>COUNTIF(F19:F37,C42)-F41</f>
        <v>14</v>
      </c>
      <c r="G42" s="144">
        <f>IFERROR(COUNTIF(G19:G37,C42)-G41,"")</f>
        <v>14</v>
      </c>
      <c r="H42" s="133"/>
      <c r="I42" s="133"/>
    </row>
    <row r="43" spans="1:9" ht="14.5" thickBot="1">
      <c r="A43" s="133"/>
      <c r="B43" s="133"/>
      <c r="C43" s="142" t="s">
        <v>96</v>
      </c>
      <c r="D43" s="143">
        <f>COUNTIF(D19:D37,C43)</f>
        <v>6</v>
      </c>
      <c r="E43" s="143">
        <f>COUNTIF(E19:E37,C43)</f>
        <v>5</v>
      </c>
      <c r="F43" s="143">
        <f>COUNTIF(F19:F37,C43)</f>
        <v>2</v>
      </c>
      <c r="G43" s="143">
        <f>IFERROR(COUNTIF(G19:G37,C43),"")</f>
        <v>2</v>
      </c>
      <c r="H43" s="133"/>
      <c r="I43" s="133"/>
    </row>
    <row r="44" spans="1:9" ht="14.5" thickBot="1">
      <c r="A44" s="133"/>
      <c r="B44" s="133"/>
      <c r="C44" s="142" t="s">
        <v>74</v>
      </c>
      <c r="D44" s="143">
        <f>SUM(D40:D43)</f>
        <v>19</v>
      </c>
      <c r="E44" s="143">
        <f t="shared" ref="E44:G44" si="2">SUM(E40:E43)</f>
        <v>19</v>
      </c>
      <c r="F44" s="143">
        <f t="shared" si="2"/>
        <v>19</v>
      </c>
      <c r="G44" s="143">
        <f t="shared" si="2"/>
        <v>19</v>
      </c>
      <c r="H44" s="133"/>
      <c r="I44" s="133"/>
    </row>
    <row r="45" spans="1:9" ht="14.5" thickBot="1">
      <c r="A45" s="133"/>
      <c r="B45" s="133"/>
      <c r="C45" s="145"/>
      <c r="D45" s="136"/>
      <c r="E45" s="136"/>
      <c r="F45" s="136"/>
      <c r="G45" s="136"/>
      <c r="H45" s="133"/>
      <c r="I45" s="133"/>
    </row>
    <row r="46" spans="1:9" ht="14.5" thickBot="1">
      <c r="A46" s="133"/>
      <c r="B46" s="133"/>
      <c r="C46" s="146" t="s">
        <v>97</v>
      </c>
      <c r="D46" s="147">
        <f>(D42+D43)/(D44-D40)</f>
        <v>0.94444444444444442</v>
      </c>
      <c r="E46" s="147">
        <f>(E42+E43)/(E44-E40)</f>
        <v>0.83333333333333337</v>
      </c>
      <c r="F46" s="147">
        <f>(F42+F43)/(F44-F40)</f>
        <v>0.88888888888888884</v>
      </c>
      <c r="G46" s="147">
        <f>(G42+G43)/(G44-G40)</f>
        <v>0.88888888888888884</v>
      </c>
      <c r="H46" s="133"/>
      <c r="I46" s="133"/>
    </row>
    <row r="47" spans="1:9" ht="14.5" thickBot="1">
      <c r="A47" s="133"/>
      <c r="B47" s="133"/>
      <c r="C47" s="145"/>
      <c r="D47" s="136"/>
      <c r="E47" s="136"/>
      <c r="F47" s="136"/>
      <c r="G47" s="136"/>
      <c r="H47" s="133"/>
      <c r="I47" s="133"/>
    </row>
    <row r="48" spans="1:9" ht="14.5" thickBot="1">
      <c r="A48" s="133"/>
      <c r="B48" s="133"/>
      <c r="C48" s="146" t="s">
        <v>98</v>
      </c>
      <c r="D48" s="148">
        <f>MIN(D19:D37)</f>
        <v>53.86</v>
      </c>
      <c r="E48" s="148">
        <f>MIN(E19:E37)</f>
        <v>12.5</v>
      </c>
      <c r="F48" s="148">
        <f>MIN(F19:F37)</f>
        <v>0</v>
      </c>
      <c r="G48" s="149">
        <f>IFERROR(MIN(G19:G37),"")</f>
        <v>19.09</v>
      </c>
      <c r="H48" s="133"/>
      <c r="I48" s="133"/>
    </row>
    <row r="49" spans="1:9" ht="14.5" thickBot="1">
      <c r="A49" s="133"/>
      <c r="B49" s="133"/>
      <c r="C49" s="146" t="s">
        <v>99</v>
      </c>
      <c r="D49" s="148">
        <f>MAX(D19:D37)</f>
        <v>93.86</v>
      </c>
      <c r="E49" s="148">
        <f>MAX(E19:E37)</f>
        <v>88.75</v>
      </c>
      <c r="F49" s="148">
        <f>MAX(F19:F37)</f>
        <v>85</v>
      </c>
      <c r="G49" s="149">
        <f>IFERROR(MAX(G19:G37),"")</f>
        <v>88.902500000000003</v>
      </c>
      <c r="H49" s="133"/>
      <c r="I49" s="133"/>
    </row>
    <row r="50" spans="1:9" ht="14.5" thickBot="1">
      <c r="A50" s="133"/>
      <c r="B50" s="133"/>
      <c r="C50" s="146" t="s">
        <v>100</v>
      </c>
      <c r="D50" s="149">
        <f>AVERAGE(D19:D37)</f>
        <v>80.412777777777777</v>
      </c>
      <c r="E50" s="149">
        <f>AVERAGE(E19:E37)</f>
        <v>73.652777777777771</v>
      </c>
      <c r="F50" s="149">
        <f>AVERAGE(F19:F37)</f>
        <v>71.722222222222229</v>
      </c>
      <c r="G50" s="149">
        <f>IFERROR(AVERAGE(G19:G37),"")</f>
        <v>74.763611111111103</v>
      </c>
      <c r="H50" s="133"/>
      <c r="I50" s="133"/>
    </row>
  </sheetData>
  <mergeCells count="7">
    <mergeCell ref="A1:I1"/>
    <mergeCell ref="A2:I2"/>
    <mergeCell ref="D12:F12"/>
    <mergeCell ref="G12:G17"/>
    <mergeCell ref="H12:H17"/>
    <mergeCell ref="D13:F13"/>
    <mergeCell ref="D14:F14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1D97-2DE8-4EF7-A949-7C9B002CF8A6}">
  <dimension ref="A1:FU123"/>
  <sheetViews>
    <sheetView view="pageBreakPreview" topLeftCell="A19" zoomScale="64" zoomScaleNormal="82" zoomScaleSheetLayoutView="64" workbookViewId="0">
      <selection activeCell="C65" sqref="C65"/>
    </sheetView>
  </sheetViews>
  <sheetFormatPr defaultRowHeight="14"/>
  <cols>
    <col min="1" max="1" width="6" customWidth="1"/>
    <col min="2" max="2" width="13.1640625" customWidth="1"/>
    <col min="3" max="3" width="27" style="32" customWidth="1"/>
    <col min="4" max="6" width="8.9140625" style="33" customWidth="1"/>
    <col min="7" max="7" width="12.6640625" style="33" customWidth="1"/>
    <col min="8" max="9" width="12.08203125" style="33" customWidth="1"/>
    <col min="10" max="23" width="12.6640625" style="33" customWidth="1"/>
    <col min="24" max="25" width="13.25" style="33" customWidth="1"/>
    <col min="26" max="26" width="12.6640625" style="33" customWidth="1"/>
    <col min="27" max="27" width="8.75" style="33"/>
    <col min="28" max="28" width="10.6640625" style="33" hidden="1" customWidth="1"/>
    <col min="29" max="29" width="11.33203125" style="33" hidden="1" customWidth="1"/>
    <col min="30" max="30" width="0" style="33" hidden="1" customWidth="1"/>
    <col min="31" max="31" width="10.33203125" style="33" hidden="1" customWidth="1"/>
    <col min="32" max="32" width="0" hidden="1" customWidth="1"/>
    <col min="33" max="33" width="11.33203125" hidden="1" customWidth="1"/>
    <col min="34" max="34" width="0" hidden="1" customWidth="1"/>
    <col min="35" max="43" width="11.33203125" hidden="1" customWidth="1"/>
    <col min="44" max="44" width="0" hidden="1" customWidth="1"/>
    <col min="45" max="45" width="11.33203125" hidden="1" customWidth="1"/>
    <col min="46" max="46" width="0" hidden="1" customWidth="1"/>
    <col min="47" max="49" width="11.33203125" hidden="1" customWidth="1"/>
    <col min="50" max="50" width="0" hidden="1" customWidth="1"/>
    <col min="51" max="51" width="11.33203125" hidden="1" customWidth="1"/>
    <col min="52" max="52" width="0" hidden="1" customWidth="1"/>
    <col min="53" max="53" width="11.33203125" hidden="1" customWidth="1"/>
    <col min="54" max="54" width="0" hidden="1" customWidth="1"/>
    <col min="55" max="55" width="11.33203125" hidden="1" customWidth="1"/>
    <col min="56" max="57" width="0" hidden="1" customWidth="1"/>
    <col min="59" max="59" width="5.6640625" style="33" customWidth="1"/>
    <col min="61" max="61" width="5.6640625" customWidth="1"/>
    <col min="63" max="63" width="5.6640625" customWidth="1"/>
    <col min="65" max="65" width="7.08203125" customWidth="1"/>
    <col min="66" max="66" width="8.6640625" style="74"/>
    <col min="70" max="70" width="8.6640625" style="74"/>
    <col min="77" max="77" width="5.6640625" customWidth="1"/>
    <col min="79" max="79" width="5.6640625" customWidth="1"/>
    <col min="81" max="81" width="5.6640625" customWidth="1"/>
    <col min="82" max="82" width="7.75" customWidth="1"/>
    <col min="83" max="89" width="8.9140625" customWidth="1"/>
    <col min="100" max="100" width="8.6640625" style="74"/>
    <col min="101" max="101" width="7.1640625" customWidth="1"/>
    <col min="129" max="129" width="8.6640625" style="93"/>
    <col min="135" max="135" width="5.6640625" customWidth="1"/>
    <col min="137" max="137" width="5.6640625" customWidth="1"/>
    <col min="139" max="139" width="5.6640625" customWidth="1"/>
    <col min="140" max="140" width="8.58203125" style="167" customWidth="1"/>
    <col min="141" max="141" width="5.6640625" customWidth="1"/>
    <col min="142" max="142" width="9.08203125" customWidth="1"/>
    <col min="143" max="143" width="5.6640625" customWidth="1"/>
    <col min="144" max="144" width="7.83203125" customWidth="1"/>
    <col min="145" max="145" width="5.6640625" customWidth="1"/>
    <col min="159" max="159" width="6.83203125" customWidth="1"/>
    <col min="160" max="160" width="8.6640625" customWidth="1"/>
    <col min="161" max="161" width="5.6640625" customWidth="1"/>
    <col min="162" max="162" width="8.5" customWidth="1"/>
    <col min="163" max="163" width="5.6640625" customWidth="1"/>
    <col min="164" max="164" width="8.08203125" customWidth="1"/>
    <col min="165" max="165" width="5.6640625" customWidth="1"/>
    <col min="167" max="167" width="5.6640625" customWidth="1"/>
    <col min="168" max="168" width="8.6640625" style="133"/>
    <col min="169" max="169" width="5.6640625" style="133" customWidth="1"/>
    <col min="170" max="172" width="8.6640625" style="133"/>
    <col min="173" max="173" width="5.6640625" style="133" customWidth="1"/>
    <col min="174" max="174" width="8.6640625" style="133"/>
    <col min="175" max="175" width="5.6640625" style="133" customWidth="1"/>
    <col min="176" max="176" width="8.75" style="157"/>
    <col min="177" max="177" width="8.75" style="91"/>
  </cols>
  <sheetData>
    <row r="1" spans="1:177" ht="20">
      <c r="A1" s="53" t="s">
        <v>179</v>
      </c>
    </row>
    <row r="2" spans="1:177" ht="15.5">
      <c r="A2" s="54" t="s">
        <v>355</v>
      </c>
      <c r="AB2" s="55"/>
    </row>
    <row r="4" spans="1:177" s="33" customFormat="1" ht="14.5" customHeight="1">
      <c r="D4" s="310" t="str">
        <f>'ListMKSmt-1'!B2</f>
        <v>MK16</v>
      </c>
      <c r="E4" s="311"/>
      <c r="F4" s="312"/>
      <c r="G4" s="324" t="s">
        <v>127</v>
      </c>
      <c r="H4" s="313" t="str">
        <f>'ListMKSmt-1'!B3</f>
        <v>MK17</v>
      </c>
      <c r="I4" s="314"/>
      <c r="J4" s="327" t="s">
        <v>127</v>
      </c>
      <c r="K4" s="330" t="str">
        <f>'ListMKSmt-1'!B4</f>
        <v>MK18</v>
      </c>
      <c r="L4" s="331"/>
      <c r="M4" s="332" t="s">
        <v>127</v>
      </c>
      <c r="N4" s="316" t="str">
        <f>'ListMKSmt-1'!B5</f>
        <v>MK19</v>
      </c>
      <c r="O4" s="317"/>
      <c r="P4" s="318"/>
      <c r="Q4" s="338" t="s">
        <v>127</v>
      </c>
      <c r="R4" s="319" t="str">
        <f>'ListMKSmt-1'!B6</f>
        <v>MK20</v>
      </c>
      <c r="S4" s="320"/>
      <c r="T4" s="341" t="s">
        <v>127</v>
      </c>
      <c r="U4" s="280" t="s">
        <v>64</v>
      </c>
      <c r="V4" s="281"/>
      <c r="W4" s="269" t="s">
        <v>127</v>
      </c>
      <c r="X4" s="337" t="s">
        <v>67</v>
      </c>
      <c r="Y4" s="337"/>
      <c r="Z4" s="321" t="s">
        <v>127</v>
      </c>
      <c r="AB4" s="306" t="s">
        <v>128</v>
      </c>
      <c r="AC4" s="307"/>
      <c r="AD4" s="306" t="s">
        <v>128</v>
      </c>
      <c r="AE4" s="307"/>
      <c r="AF4" s="306" t="s">
        <v>128</v>
      </c>
      <c r="AG4" s="307"/>
      <c r="AH4" s="306" t="s">
        <v>128</v>
      </c>
      <c r="AI4" s="307"/>
      <c r="AJ4" s="306" t="s">
        <v>128</v>
      </c>
      <c r="AK4" s="307"/>
      <c r="AL4" s="306" t="s">
        <v>128</v>
      </c>
      <c r="AM4" s="307"/>
      <c r="AN4" s="306" t="s">
        <v>128</v>
      </c>
      <c r="AO4" s="307"/>
      <c r="AP4" s="306" t="s">
        <v>128</v>
      </c>
      <c r="AQ4" s="307"/>
      <c r="AR4" s="306" t="s">
        <v>128</v>
      </c>
      <c r="AS4" s="307"/>
      <c r="AT4" s="306" t="s">
        <v>128</v>
      </c>
      <c r="AU4" s="307"/>
      <c r="AV4" s="306" t="s">
        <v>128</v>
      </c>
      <c r="AW4" s="307"/>
      <c r="AX4" s="306" t="s">
        <v>128</v>
      </c>
      <c r="AY4" s="307"/>
      <c r="AZ4" s="306" t="s">
        <v>128</v>
      </c>
      <c r="BA4" s="307"/>
      <c r="BB4" s="306" t="s">
        <v>128</v>
      </c>
      <c r="BC4" s="307"/>
      <c r="BN4" s="85"/>
      <c r="BR4" s="85"/>
      <c r="CV4" s="85"/>
      <c r="DY4" s="86"/>
      <c r="EJ4" s="242"/>
      <c r="FL4" s="136"/>
      <c r="FM4" s="136"/>
      <c r="FN4" s="136"/>
      <c r="FO4" s="136"/>
      <c r="FP4" s="136"/>
      <c r="FQ4" s="136"/>
      <c r="FR4" s="136"/>
      <c r="FS4" s="136"/>
      <c r="FT4" s="243"/>
      <c r="FU4" s="244"/>
    </row>
    <row r="5" spans="1:177" s="33" customFormat="1">
      <c r="D5" s="310" t="str">
        <f>'ListMKSmt-1'!D2</f>
        <v>P.24.05.52.3.11</v>
      </c>
      <c r="E5" s="311"/>
      <c r="F5" s="312"/>
      <c r="G5" s="325"/>
      <c r="H5" s="313" t="str">
        <f>'ListMKSmt-1'!D3</f>
        <v>P.24.05.52.3.12</v>
      </c>
      <c r="I5" s="314"/>
      <c r="J5" s="328"/>
      <c r="K5" s="315" t="str">
        <f>'ListMKSmt-1'!D4</f>
        <v>P.24.05.52.3.13</v>
      </c>
      <c r="L5" s="315"/>
      <c r="M5" s="333"/>
      <c r="N5" s="316" t="str">
        <f>'ListMKSmt-1'!D5</f>
        <v>P.24.05.52.3.14</v>
      </c>
      <c r="O5" s="317"/>
      <c r="P5" s="318"/>
      <c r="Q5" s="339"/>
      <c r="R5" s="319" t="str">
        <f>'ListMKSmt-1'!D6</f>
        <v>P.24.05.52.3.15</v>
      </c>
      <c r="S5" s="320"/>
      <c r="T5" s="342"/>
      <c r="U5" s="280" t="str">
        <f>'ListMKSmt-1'!D7</f>
        <v>P.24.05.52.3.16</v>
      </c>
      <c r="V5" s="281"/>
      <c r="W5" s="270"/>
      <c r="X5" s="337" t="str">
        <f>'ListMKSmt-1'!D8</f>
        <v>U.24.05.52.3.06</v>
      </c>
      <c r="Y5" s="337"/>
      <c r="Z5" s="322"/>
      <c r="AB5" s="308"/>
      <c r="AC5" s="309"/>
      <c r="AD5" s="308"/>
      <c r="AE5" s="309"/>
      <c r="AF5" s="308"/>
      <c r="AG5" s="309"/>
      <c r="AH5" s="308"/>
      <c r="AI5" s="309"/>
      <c r="AJ5" s="308"/>
      <c r="AK5" s="309"/>
      <c r="AL5" s="308"/>
      <c r="AM5" s="309"/>
      <c r="AN5" s="308"/>
      <c r="AO5" s="309"/>
      <c r="AP5" s="308"/>
      <c r="AQ5" s="309"/>
      <c r="AR5" s="308"/>
      <c r="AS5" s="309"/>
      <c r="AT5" s="308"/>
      <c r="AU5" s="309"/>
      <c r="AV5" s="308"/>
      <c r="AW5" s="309"/>
      <c r="AX5" s="308"/>
      <c r="AY5" s="309"/>
      <c r="AZ5" s="308"/>
      <c r="BA5" s="309"/>
      <c r="BB5" s="308"/>
      <c r="BC5" s="309"/>
      <c r="BN5" s="85"/>
      <c r="BR5" s="85"/>
      <c r="CV5" s="85"/>
      <c r="DY5" s="86"/>
      <c r="EJ5" s="242"/>
      <c r="FL5" s="136"/>
      <c r="FM5" s="136"/>
      <c r="FN5" s="136"/>
      <c r="FO5" s="136"/>
      <c r="FP5" s="136"/>
      <c r="FQ5" s="136"/>
      <c r="FR5" s="136"/>
      <c r="FS5" s="136"/>
      <c r="FT5" s="243"/>
      <c r="FU5" s="244"/>
    </row>
    <row r="6" spans="1:177" s="33" customFormat="1">
      <c r="D6" s="310" t="str">
        <f>'ListMKSmt-1'!E2</f>
        <v>Akuntansi Keuangan Menengah 1</v>
      </c>
      <c r="E6" s="311"/>
      <c r="F6" s="312"/>
      <c r="G6" s="325"/>
      <c r="H6" s="313" t="str">
        <f>'ListMKSmt-1'!E3</f>
        <v>Statistika 1</v>
      </c>
      <c r="I6" s="314"/>
      <c r="J6" s="328"/>
      <c r="K6" s="335" t="str">
        <f>'ListMKSmt-1'!E4</f>
        <v>Pengauditan 1</v>
      </c>
      <c r="L6" s="336"/>
      <c r="M6" s="333"/>
      <c r="N6" s="316" t="str">
        <f>'ListMKSmt-1'!E5</f>
        <v>Akuntansi Pajak</v>
      </c>
      <c r="O6" s="317"/>
      <c r="P6" s="318"/>
      <c r="Q6" s="339"/>
      <c r="R6" s="319" t="str">
        <f>'ListMKSmt-1'!E6</f>
        <v>Akuntansi Manajemen</v>
      </c>
      <c r="S6" s="320"/>
      <c r="T6" s="342"/>
      <c r="U6" s="280" t="str">
        <f>'ListMKSmt-1'!E7</f>
        <v>Manajemen Keuangan</v>
      </c>
      <c r="V6" s="281"/>
      <c r="W6" s="270"/>
      <c r="X6" s="337" t="str">
        <f>'ListMKSmt-1'!E8</f>
        <v>Entrepreneurship for Start-up</v>
      </c>
      <c r="Y6" s="337"/>
      <c r="Z6" s="322"/>
      <c r="AB6" s="55" t="s">
        <v>129</v>
      </c>
      <c r="AC6" s="55"/>
      <c r="AD6" s="55" t="s">
        <v>130</v>
      </c>
      <c r="AE6" s="55"/>
      <c r="AF6" s="55" t="s">
        <v>131</v>
      </c>
      <c r="AG6" s="55"/>
      <c r="AH6" s="55" t="s">
        <v>132</v>
      </c>
      <c r="AI6" s="55"/>
      <c r="AJ6" s="55"/>
      <c r="AK6" s="55"/>
      <c r="AL6" s="55"/>
      <c r="AM6" s="55"/>
      <c r="AN6" s="55"/>
      <c r="AO6" s="55"/>
      <c r="AP6" s="55"/>
      <c r="AQ6" s="55"/>
      <c r="AR6" s="55" t="s">
        <v>133</v>
      </c>
      <c r="AS6" s="55"/>
      <c r="AT6" s="55" t="s">
        <v>134</v>
      </c>
      <c r="AU6" s="55"/>
      <c r="AV6" s="55"/>
      <c r="AW6" s="55"/>
      <c r="AX6" s="55" t="s">
        <v>135</v>
      </c>
      <c r="AY6" s="55"/>
      <c r="AZ6" s="55" t="s">
        <v>136</v>
      </c>
      <c r="BA6" s="55"/>
      <c r="BB6" s="55" t="s">
        <v>137</v>
      </c>
      <c r="BC6" s="55"/>
      <c r="BF6" s="294"/>
      <c r="BG6" s="295"/>
      <c r="BH6" s="295"/>
      <c r="BI6" s="295"/>
      <c r="BJ6" s="295"/>
      <c r="BK6" s="295"/>
      <c r="BL6" s="294" t="s">
        <v>347</v>
      </c>
      <c r="BM6" s="295"/>
      <c r="BN6" s="295"/>
      <c r="BO6" s="295"/>
      <c r="BP6" s="295"/>
      <c r="BQ6" s="295"/>
      <c r="BR6" s="295"/>
      <c r="BS6" s="295"/>
      <c r="BT6" s="296"/>
      <c r="BU6" s="218"/>
      <c r="BV6" s="294" t="s">
        <v>131</v>
      </c>
      <c r="BW6" s="295"/>
      <c r="BX6" s="295"/>
      <c r="BY6" s="295"/>
      <c r="BZ6" s="295"/>
      <c r="CA6" s="296"/>
      <c r="CB6" s="294" t="s">
        <v>348</v>
      </c>
      <c r="CC6" s="295"/>
      <c r="CD6" s="295"/>
      <c r="CE6" s="295"/>
      <c r="CF6" s="295"/>
      <c r="CG6" s="295"/>
      <c r="CH6" s="295"/>
      <c r="CI6" s="295"/>
      <c r="CJ6" s="295"/>
      <c r="CK6" s="295"/>
      <c r="CL6" s="295"/>
      <c r="CM6" s="296"/>
      <c r="CN6" s="294"/>
      <c r="CO6" s="295"/>
      <c r="CP6" s="295"/>
      <c r="CQ6" s="295"/>
      <c r="CR6" s="295"/>
      <c r="CS6" s="295"/>
      <c r="CT6" s="295"/>
      <c r="CU6" s="295"/>
      <c r="CV6" s="295"/>
      <c r="CW6" s="295"/>
      <c r="CX6" s="295"/>
      <c r="CY6" s="295"/>
      <c r="CZ6" s="295"/>
      <c r="DA6" s="295"/>
      <c r="DB6" s="295"/>
      <c r="DC6" s="296"/>
      <c r="DD6" s="294" t="s">
        <v>349</v>
      </c>
      <c r="DE6" s="295"/>
      <c r="DF6" s="295"/>
      <c r="DG6" s="295"/>
      <c r="DH6" s="295"/>
      <c r="DI6" s="295"/>
      <c r="DJ6" s="295"/>
      <c r="DK6" s="296"/>
      <c r="DL6" s="294"/>
      <c r="DM6" s="295"/>
      <c r="DN6" s="295"/>
      <c r="DO6" s="295"/>
      <c r="DP6" s="295"/>
      <c r="DQ6" s="295"/>
      <c r="DR6" s="295"/>
      <c r="DS6" s="295"/>
      <c r="DT6" s="295"/>
      <c r="DU6" s="295"/>
      <c r="DV6" s="295"/>
      <c r="DW6" s="296"/>
      <c r="DX6" s="294" t="s">
        <v>132</v>
      </c>
      <c r="DY6" s="295"/>
      <c r="DZ6" s="295"/>
      <c r="EA6" s="295"/>
      <c r="EB6" s="295"/>
      <c r="EC6" s="296"/>
      <c r="ED6" s="294" t="s">
        <v>294</v>
      </c>
      <c r="EE6" s="295"/>
      <c r="EF6" s="295"/>
      <c r="EG6" s="296"/>
      <c r="EH6" s="294" t="s">
        <v>350</v>
      </c>
      <c r="EI6" s="295"/>
      <c r="EJ6" s="295"/>
      <c r="EK6" s="295"/>
      <c r="EL6" s="295"/>
      <c r="EM6" s="295"/>
      <c r="EN6" s="295"/>
      <c r="EO6" s="295"/>
      <c r="EP6" s="295"/>
      <c r="EQ6" s="296"/>
      <c r="ER6" s="294" t="s">
        <v>351</v>
      </c>
      <c r="ES6" s="295"/>
      <c r="ET6" s="295"/>
      <c r="EU6" s="295"/>
      <c r="EV6" s="295"/>
      <c r="EW6" s="295"/>
      <c r="EX6" s="295"/>
      <c r="EY6" s="295"/>
      <c r="EZ6" s="295"/>
      <c r="FA6" s="296"/>
      <c r="FB6" s="294" t="s">
        <v>352</v>
      </c>
      <c r="FC6" s="295"/>
      <c r="FD6" s="295"/>
      <c r="FE6" s="295"/>
      <c r="FF6" s="295"/>
      <c r="FG6" s="295"/>
      <c r="FH6" s="295"/>
      <c r="FI6" s="295"/>
      <c r="FJ6" s="295"/>
      <c r="FK6" s="296"/>
      <c r="FL6" s="285" t="s">
        <v>138</v>
      </c>
      <c r="FM6" s="291"/>
      <c r="FN6" s="291"/>
      <c r="FO6" s="286"/>
      <c r="FP6" s="290" t="s">
        <v>137</v>
      </c>
      <c r="FQ6" s="290"/>
      <c r="FR6" s="290"/>
      <c r="FS6" s="290"/>
      <c r="FT6" s="243"/>
      <c r="FU6" s="244"/>
    </row>
    <row r="7" spans="1:177" s="33" customFormat="1" ht="14.5" customHeight="1">
      <c r="D7" s="153" t="str">
        <f>'MK1-TM'!D15</f>
        <v>CPL02</v>
      </c>
      <c r="E7" s="153" t="str">
        <f>'MK1-TM'!E15</f>
        <v>CPL02</v>
      </c>
      <c r="F7" s="153" t="str">
        <f>'MK1-TM'!F15</f>
        <v>CPL02</v>
      </c>
      <c r="G7" s="325"/>
      <c r="H7" s="245" t="str">
        <f>'MK2-TO'!D15</f>
        <v>CPL04</v>
      </c>
      <c r="I7" s="245" t="str">
        <f>'MK2-TO'!E15</f>
        <v>CPL04</v>
      </c>
      <c r="J7" s="328"/>
      <c r="K7" s="217" t="str">
        <f>'MK3-PSTI'!D15</f>
        <v>CPL08</v>
      </c>
      <c r="L7" s="217" t="str">
        <f>'MK3-PSTI'!E15</f>
        <v>CPL09</v>
      </c>
      <c r="M7" s="333"/>
      <c r="N7" s="59" t="str">
        <f>'MK4-L&amp;A'!D15</f>
        <v>CPL10</v>
      </c>
      <c r="O7" s="59" t="str">
        <f>'MK4-L&amp;A'!E15</f>
        <v>CPL11</v>
      </c>
      <c r="P7" s="59" t="str">
        <f>'MK4-L&amp;A'!F15</f>
        <v>CPL11</v>
      </c>
      <c r="Q7" s="339"/>
      <c r="R7" s="60" t="str">
        <f>'MK5-BP'!D15</f>
        <v>CPL04</v>
      </c>
      <c r="S7" s="60" t="str">
        <f>'MK5-BP'!E15</f>
        <v>CPL04</v>
      </c>
      <c r="T7" s="342"/>
      <c r="U7" s="209" t="str">
        <f>'MK7-MBD'!D14</f>
        <v>CPL06</v>
      </c>
      <c r="V7" s="209" t="str">
        <f>'MK7-MBD'!E14</f>
        <v>CPL06</v>
      </c>
      <c r="W7" s="270"/>
      <c r="X7" s="241" t="str">
        <f>MK8_BID!D15</f>
        <v>CPL12</v>
      </c>
      <c r="Y7" s="61" t="str">
        <f>MK8_BID!E15</f>
        <v>CPL12</v>
      </c>
      <c r="Z7" s="322"/>
      <c r="AB7" s="62" t="s">
        <v>90</v>
      </c>
      <c r="AC7" s="301" t="s">
        <v>139</v>
      </c>
      <c r="AD7" s="62" t="s">
        <v>114</v>
      </c>
      <c r="AE7" s="300" t="s">
        <v>139</v>
      </c>
      <c r="AF7" s="62" t="s">
        <v>104</v>
      </c>
      <c r="AG7" s="300" t="s">
        <v>139</v>
      </c>
      <c r="AH7" s="62" t="s">
        <v>103</v>
      </c>
      <c r="AI7" s="300" t="s">
        <v>139</v>
      </c>
      <c r="AJ7" s="62" t="s">
        <v>140</v>
      </c>
      <c r="AK7" s="300" t="s">
        <v>139</v>
      </c>
      <c r="AL7" s="62" t="s">
        <v>141</v>
      </c>
      <c r="AM7" s="300" t="s">
        <v>139</v>
      </c>
      <c r="AN7" s="62" t="s">
        <v>142</v>
      </c>
      <c r="AO7" s="300" t="s">
        <v>139</v>
      </c>
      <c r="AP7" s="62" t="s">
        <v>143</v>
      </c>
      <c r="AQ7" s="300" t="s">
        <v>139</v>
      </c>
      <c r="AR7" s="62" t="s">
        <v>110</v>
      </c>
      <c r="AS7" s="300" t="s">
        <v>139</v>
      </c>
      <c r="AT7" s="62" t="s">
        <v>117</v>
      </c>
      <c r="AU7" s="300" t="s">
        <v>139</v>
      </c>
      <c r="AV7" s="62" t="s">
        <v>144</v>
      </c>
      <c r="AW7" s="300" t="s">
        <v>139</v>
      </c>
      <c r="AX7" s="62" t="s">
        <v>118</v>
      </c>
      <c r="AY7" s="300" t="s">
        <v>139</v>
      </c>
      <c r="AZ7" s="62" t="s">
        <v>91</v>
      </c>
      <c r="BA7" s="300" t="s">
        <v>139</v>
      </c>
      <c r="BB7" s="62" t="s">
        <v>119</v>
      </c>
      <c r="BC7" s="301" t="s">
        <v>139</v>
      </c>
      <c r="BF7" s="294" t="s">
        <v>90</v>
      </c>
      <c r="BG7" s="295"/>
      <c r="BH7" s="295"/>
      <c r="BI7" s="295"/>
      <c r="BJ7" s="295"/>
      <c r="BK7" s="295"/>
      <c r="BL7" s="294" t="s">
        <v>114</v>
      </c>
      <c r="BM7" s="295"/>
      <c r="BN7" s="295"/>
      <c r="BO7" s="295"/>
      <c r="BP7" s="295"/>
      <c r="BQ7" s="295"/>
      <c r="BR7" s="295"/>
      <c r="BS7" s="295"/>
      <c r="BT7" s="296"/>
      <c r="BU7" s="218"/>
      <c r="BV7" s="294" t="s">
        <v>104</v>
      </c>
      <c r="BW7" s="295"/>
      <c r="BX7" s="295"/>
      <c r="BY7" s="295"/>
      <c r="BZ7" s="295"/>
      <c r="CA7" s="296"/>
      <c r="CB7" s="294" t="s">
        <v>103</v>
      </c>
      <c r="CC7" s="295"/>
      <c r="CD7" s="295"/>
      <c r="CE7" s="295"/>
      <c r="CF7" s="295"/>
      <c r="CG7" s="295"/>
      <c r="CH7" s="295"/>
      <c r="CI7" s="295"/>
      <c r="CJ7" s="295"/>
      <c r="CK7" s="295"/>
      <c r="CL7" s="295"/>
      <c r="CM7" s="296"/>
      <c r="CN7" s="294" t="s">
        <v>140</v>
      </c>
      <c r="CO7" s="295"/>
      <c r="CP7" s="295"/>
      <c r="CQ7" s="295"/>
      <c r="CR7" s="295"/>
      <c r="CS7" s="295"/>
      <c r="CT7" s="295"/>
      <c r="CU7" s="295"/>
      <c r="CV7" s="295"/>
      <c r="CW7" s="295"/>
      <c r="CX7" s="295"/>
      <c r="CY7" s="295"/>
      <c r="CZ7" s="295"/>
      <c r="DA7" s="295"/>
      <c r="DB7" s="295"/>
      <c r="DC7" s="296"/>
      <c r="DD7" s="294" t="s">
        <v>141</v>
      </c>
      <c r="DE7" s="295"/>
      <c r="DF7" s="295"/>
      <c r="DG7" s="295"/>
      <c r="DH7" s="295"/>
      <c r="DI7" s="295"/>
      <c r="DJ7" s="295"/>
      <c r="DK7" s="296"/>
      <c r="DL7" s="294" t="s">
        <v>142</v>
      </c>
      <c r="DM7" s="295"/>
      <c r="DN7" s="295"/>
      <c r="DO7" s="295"/>
      <c r="DP7" s="295"/>
      <c r="DQ7" s="295"/>
      <c r="DR7" s="295"/>
      <c r="DS7" s="295"/>
      <c r="DT7" s="295"/>
      <c r="DU7" s="295"/>
      <c r="DV7" s="295"/>
      <c r="DW7" s="296"/>
      <c r="DX7" s="294" t="s">
        <v>143</v>
      </c>
      <c r="DY7" s="295"/>
      <c r="DZ7" s="295"/>
      <c r="EA7" s="295"/>
      <c r="EB7" s="295"/>
      <c r="EC7" s="296"/>
      <c r="ED7" s="294" t="s">
        <v>110</v>
      </c>
      <c r="EE7" s="295"/>
      <c r="EF7" s="295"/>
      <c r="EG7" s="296"/>
      <c r="EH7" s="294" t="s">
        <v>117</v>
      </c>
      <c r="EI7" s="295"/>
      <c r="EJ7" s="295"/>
      <c r="EK7" s="295"/>
      <c r="EL7" s="295"/>
      <c r="EM7" s="295"/>
      <c r="EN7" s="295"/>
      <c r="EO7" s="295"/>
      <c r="EP7" s="295"/>
      <c r="EQ7" s="296"/>
      <c r="ER7" s="294" t="s">
        <v>144</v>
      </c>
      <c r="ES7" s="295"/>
      <c r="ET7" s="295"/>
      <c r="EU7" s="295"/>
      <c r="EV7" s="295"/>
      <c r="EW7" s="295"/>
      <c r="EX7" s="295"/>
      <c r="EY7" s="295"/>
      <c r="EZ7" s="295"/>
      <c r="FA7" s="296"/>
      <c r="FB7" s="294" t="s">
        <v>118</v>
      </c>
      <c r="FC7" s="295"/>
      <c r="FD7" s="295"/>
      <c r="FE7" s="295"/>
      <c r="FF7" s="295"/>
      <c r="FG7" s="295"/>
      <c r="FH7" s="295"/>
      <c r="FI7" s="295"/>
      <c r="FJ7" s="295"/>
      <c r="FK7" s="296"/>
      <c r="FL7" s="285" t="s">
        <v>91</v>
      </c>
      <c r="FM7" s="291"/>
      <c r="FN7" s="291"/>
      <c r="FO7" s="286"/>
      <c r="FP7" s="290" t="s">
        <v>119</v>
      </c>
      <c r="FQ7" s="290"/>
      <c r="FR7" s="290"/>
      <c r="FS7" s="290"/>
      <c r="FT7" s="243"/>
      <c r="FU7" s="244"/>
    </row>
    <row r="8" spans="1:177" s="33" customFormat="1">
      <c r="D8" s="153" t="str">
        <f>'MK1-TM'!D16</f>
        <v>CPMK022</v>
      </c>
      <c r="E8" s="153" t="str">
        <f>'MK1-TM'!E16</f>
        <v>CPMK024</v>
      </c>
      <c r="F8" s="153" t="str">
        <f>'MK1-TM'!F16</f>
        <v>CPMK025</v>
      </c>
      <c r="G8" s="325"/>
      <c r="H8" s="245" t="str">
        <f>'MK2-TO'!D16</f>
        <v>CPMK44</v>
      </c>
      <c r="I8" s="245" t="str">
        <f>'MK2-TO'!E16</f>
        <v>CPMK46</v>
      </c>
      <c r="J8" s="328"/>
      <c r="K8" s="217" t="str">
        <f>'MK3-PSTI'!D16</f>
        <v>CPMK81</v>
      </c>
      <c r="L8" s="217" t="str">
        <f>'MK3-PSTI'!E16</f>
        <v>CPMK91</v>
      </c>
      <c r="M8" s="333"/>
      <c r="N8" s="59" t="str">
        <f>'MK4-L&amp;A'!D16</f>
        <v>CPMK104</v>
      </c>
      <c r="O8" s="59" t="str">
        <f>'MK4-L&amp;A'!E16</f>
        <v>CPMK111</v>
      </c>
      <c r="P8" s="59" t="str">
        <f>'MK4-L&amp;A'!F16</f>
        <v>CPMK112</v>
      </c>
      <c r="Q8" s="339"/>
      <c r="R8" s="60" t="str">
        <f>'MK5-BP'!D16</f>
        <v>CPMK41</v>
      </c>
      <c r="S8" s="60" t="str">
        <f>'MK5-BP'!E16</f>
        <v>CPMK42</v>
      </c>
      <c r="T8" s="342"/>
      <c r="U8" s="209" t="str">
        <f>'MK7-MBD'!D15</f>
        <v>CPMK61</v>
      </c>
      <c r="V8" s="209" t="str">
        <f>'MK7-MBD'!E15</f>
        <v>CPMK62</v>
      </c>
      <c r="W8" s="270"/>
      <c r="X8" s="61" t="str">
        <f>MK8_BID!D16</f>
        <v>CPMK121</v>
      </c>
      <c r="Y8" s="61" t="str">
        <f>MK8_BID!E16</f>
        <v>CPMK122</v>
      </c>
      <c r="Z8" s="322"/>
      <c r="AA8" s="33" t="s">
        <v>346</v>
      </c>
      <c r="AB8" s="213">
        <v>215</v>
      </c>
      <c r="AC8" s="302"/>
      <c r="AD8" s="213" t="e">
        <f>#REF!</f>
        <v>#REF!</v>
      </c>
      <c r="AE8" s="300"/>
      <c r="AF8" s="213">
        <f>N9+R9</f>
        <v>87</v>
      </c>
      <c r="AG8" s="300"/>
      <c r="AH8" s="213" t="e">
        <f>#REF!</f>
        <v>#REF!</v>
      </c>
      <c r="AI8" s="300"/>
      <c r="AJ8" s="213"/>
      <c r="AK8" s="300"/>
      <c r="AL8" s="213"/>
      <c r="AM8" s="300"/>
      <c r="AN8" s="213"/>
      <c r="AO8" s="300"/>
      <c r="AP8" s="213"/>
      <c r="AQ8" s="300"/>
      <c r="AR8" s="213">
        <f>P9+S9</f>
        <v>80</v>
      </c>
      <c r="AS8" s="300"/>
      <c r="AT8" s="213" t="e">
        <f>X9+#REF!+#REF!</f>
        <v>#REF!</v>
      </c>
      <c r="AU8" s="300"/>
      <c r="AV8" s="213"/>
      <c r="AW8" s="300"/>
      <c r="AX8" s="213" t="e">
        <f>#REF!+#REF!+#REF!</f>
        <v>#REF!</v>
      </c>
      <c r="AY8" s="300"/>
      <c r="AZ8" s="213">
        <f>F9+I9+L9+V9</f>
        <v>185</v>
      </c>
      <c r="BA8" s="300"/>
      <c r="BB8" s="213" t="e">
        <f>#REF!+#REF!+#REF!</f>
        <v>#REF!</v>
      </c>
      <c r="BC8" s="302"/>
      <c r="BF8" s="220" t="s">
        <v>105</v>
      </c>
      <c r="BG8" s="297" t="s">
        <v>171</v>
      </c>
      <c r="BH8" s="220" t="s">
        <v>101</v>
      </c>
      <c r="BI8" s="297" t="s">
        <v>171</v>
      </c>
      <c r="BJ8" s="220" t="s">
        <v>115</v>
      </c>
      <c r="BK8" s="297" t="s">
        <v>171</v>
      </c>
      <c r="BL8" s="220" t="s">
        <v>116</v>
      </c>
      <c r="BM8" s="297" t="s">
        <v>171</v>
      </c>
      <c r="BN8" s="71" t="s">
        <v>148</v>
      </c>
      <c r="BO8" s="297" t="s">
        <v>171</v>
      </c>
      <c r="BP8" s="220" t="s">
        <v>149</v>
      </c>
      <c r="BQ8" s="297" t="s">
        <v>171</v>
      </c>
      <c r="BR8" s="71" t="s">
        <v>150</v>
      </c>
      <c r="BS8" s="297" t="s">
        <v>171</v>
      </c>
      <c r="BT8" s="213" t="s">
        <v>286</v>
      </c>
      <c r="BU8" s="215"/>
      <c r="BV8" s="220" t="s">
        <v>107</v>
      </c>
      <c r="BW8" s="297" t="s">
        <v>171</v>
      </c>
      <c r="BX8" s="220" t="s">
        <v>113</v>
      </c>
      <c r="BY8" s="297" t="s">
        <v>171</v>
      </c>
      <c r="BZ8" s="220" t="s">
        <v>111</v>
      </c>
      <c r="CA8" s="297" t="s">
        <v>171</v>
      </c>
      <c r="CB8" s="220" t="s">
        <v>106</v>
      </c>
      <c r="CC8" s="297" t="s">
        <v>171</v>
      </c>
      <c r="CD8" s="220" t="s">
        <v>151</v>
      </c>
      <c r="CE8" s="297" t="s">
        <v>171</v>
      </c>
      <c r="CF8" s="213" t="s">
        <v>262</v>
      </c>
      <c r="CG8" s="213"/>
      <c r="CH8" s="213" t="s">
        <v>263</v>
      </c>
      <c r="CI8" s="213"/>
      <c r="CJ8" s="213" t="s">
        <v>264</v>
      </c>
      <c r="CK8" s="213"/>
      <c r="CL8" s="220" t="s">
        <v>265</v>
      </c>
      <c r="CM8" s="297" t="s">
        <v>171</v>
      </c>
      <c r="CN8" s="220" t="s">
        <v>152</v>
      </c>
      <c r="CO8" s="297" t="s">
        <v>171</v>
      </c>
      <c r="CP8" s="213" t="s">
        <v>153</v>
      </c>
      <c r="CQ8" s="297" t="s">
        <v>171</v>
      </c>
      <c r="CR8" s="213" t="s">
        <v>267</v>
      </c>
      <c r="CS8" s="297" t="s">
        <v>171</v>
      </c>
      <c r="CT8" s="213" t="s">
        <v>268</v>
      </c>
      <c r="CU8" s="297" t="s">
        <v>171</v>
      </c>
      <c r="CV8" s="173" t="s">
        <v>269</v>
      </c>
      <c r="CW8" s="297" t="s">
        <v>171</v>
      </c>
      <c r="CX8" s="213" t="s">
        <v>270</v>
      </c>
      <c r="CY8" s="297" t="s">
        <v>171</v>
      </c>
      <c r="CZ8" s="213" t="s">
        <v>271</v>
      </c>
      <c r="DA8" s="297" t="s">
        <v>171</v>
      </c>
      <c r="DB8" s="220" t="s">
        <v>272</v>
      </c>
      <c r="DC8" s="297" t="s">
        <v>171</v>
      </c>
      <c r="DD8" s="220" t="s">
        <v>154</v>
      </c>
      <c r="DE8" s="297" t="s">
        <v>171</v>
      </c>
      <c r="DF8" s="220" t="s">
        <v>155</v>
      </c>
      <c r="DG8" s="297" t="s">
        <v>171</v>
      </c>
      <c r="DH8" s="220" t="s">
        <v>156</v>
      </c>
      <c r="DI8" s="297" t="s">
        <v>171</v>
      </c>
      <c r="DJ8" s="220" t="s">
        <v>157</v>
      </c>
      <c r="DK8" s="297" t="s">
        <v>171</v>
      </c>
      <c r="DL8" s="220" t="s">
        <v>158</v>
      </c>
      <c r="DM8" s="297" t="s">
        <v>171</v>
      </c>
      <c r="DN8" s="220" t="s">
        <v>159</v>
      </c>
      <c r="DO8" s="297" t="s">
        <v>171</v>
      </c>
      <c r="DP8" s="62" t="s">
        <v>160</v>
      </c>
      <c r="DQ8" s="297" t="s">
        <v>171</v>
      </c>
      <c r="DR8" s="62" t="s">
        <v>273</v>
      </c>
      <c r="DS8" s="297" t="s">
        <v>171</v>
      </c>
      <c r="DT8" s="62" t="s">
        <v>274</v>
      </c>
      <c r="DU8" s="297" t="s">
        <v>171</v>
      </c>
      <c r="DV8" s="220" t="s">
        <v>275</v>
      </c>
      <c r="DW8" s="297" t="s">
        <v>171</v>
      </c>
      <c r="DX8" s="220" t="s">
        <v>161</v>
      </c>
      <c r="DY8" s="304" t="s">
        <v>171</v>
      </c>
      <c r="DZ8" s="62" t="s">
        <v>162</v>
      </c>
      <c r="EA8" s="211" t="s">
        <v>171</v>
      </c>
      <c r="EB8" s="220" t="s">
        <v>276</v>
      </c>
      <c r="EC8" s="297" t="s">
        <v>171</v>
      </c>
      <c r="ED8" s="220" t="s">
        <v>145</v>
      </c>
      <c r="EE8" s="297" t="s">
        <v>171</v>
      </c>
      <c r="EF8" s="220" t="s">
        <v>112</v>
      </c>
      <c r="EG8" s="297" t="s">
        <v>171</v>
      </c>
      <c r="EH8" s="220" t="s">
        <v>120</v>
      </c>
      <c r="EI8" s="297" t="s">
        <v>171</v>
      </c>
      <c r="EJ8" s="168" t="s">
        <v>163</v>
      </c>
      <c r="EK8" s="213" t="s">
        <v>171</v>
      </c>
      <c r="EL8" s="213" t="s">
        <v>254</v>
      </c>
      <c r="EM8" s="213" t="s">
        <v>171</v>
      </c>
      <c r="EN8" s="213" t="s">
        <v>255</v>
      </c>
      <c r="EO8" s="213" t="s">
        <v>171</v>
      </c>
      <c r="EP8" s="220" t="s">
        <v>278</v>
      </c>
      <c r="EQ8" s="297" t="s">
        <v>171</v>
      </c>
      <c r="ER8" s="220" t="s">
        <v>164</v>
      </c>
      <c r="ES8" s="297" t="s">
        <v>171</v>
      </c>
      <c r="ET8" s="213" t="s">
        <v>165</v>
      </c>
      <c r="EU8" s="213" t="s">
        <v>171</v>
      </c>
      <c r="EV8" s="213" t="s">
        <v>279</v>
      </c>
      <c r="EW8" s="213" t="s">
        <v>171</v>
      </c>
      <c r="EX8" s="213" t="s">
        <v>256</v>
      </c>
      <c r="EY8" s="213" t="s">
        <v>171</v>
      </c>
      <c r="EZ8" s="220" t="s">
        <v>257</v>
      </c>
      <c r="FA8" s="297" t="s">
        <v>171</v>
      </c>
      <c r="FB8" s="220" t="s">
        <v>121</v>
      </c>
      <c r="FC8" s="297" t="s">
        <v>171</v>
      </c>
      <c r="FD8" s="213" t="s">
        <v>126</v>
      </c>
      <c r="FE8" s="213" t="s">
        <v>171</v>
      </c>
      <c r="FF8" s="213" t="s">
        <v>260</v>
      </c>
      <c r="FG8" s="213" t="s">
        <v>171</v>
      </c>
      <c r="FH8" s="213" t="s">
        <v>280</v>
      </c>
      <c r="FI8" s="213" t="s">
        <v>171</v>
      </c>
      <c r="FJ8" s="220" t="s">
        <v>281</v>
      </c>
      <c r="FK8" s="297" t="s">
        <v>171</v>
      </c>
      <c r="FL8" s="210" t="s">
        <v>93</v>
      </c>
      <c r="FM8" s="292" t="s">
        <v>171</v>
      </c>
      <c r="FN8" s="210" t="s">
        <v>166</v>
      </c>
      <c r="FO8" s="292" t="s">
        <v>171</v>
      </c>
      <c r="FP8" s="210" t="s">
        <v>122</v>
      </c>
      <c r="FQ8" s="292" t="s">
        <v>171</v>
      </c>
      <c r="FR8" s="210" t="s">
        <v>146</v>
      </c>
      <c r="FS8" s="292" t="s">
        <v>171</v>
      </c>
      <c r="FT8" s="243"/>
      <c r="FU8" s="244"/>
    </row>
    <row r="9" spans="1:177" s="33" customFormat="1">
      <c r="C9" s="33" t="e">
        <f>SUM(D9,F9,H9,I9,K9,#REF!,L9,N9,P9,R9,S9,U9,#REF!,V9,X9,#REF!,#REF!,#REF!,#REF!,#REF!,#REF!,#REF!,#REF!)</f>
        <v>#REF!</v>
      </c>
      <c r="D9" s="153">
        <f>'MK1-TM'!D17</f>
        <v>23</v>
      </c>
      <c r="E9" s="153">
        <f>'MK1-TM'!E17</f>
        <v>42</v>
      </c>
      <c r="F9" s="153">
        <f>'MK1-TM'!F17</f>
        <v>35</v>
      </c>
      <c r="G9" s="326"/>
      <c r="H9" s="245">
        <f>'MK2-TO'!D17</f>
        <v>50</v>
      </c>
      <c r="I9" s="245">
        <f>'MK2-TO'!E17</f>
        <v>50</v>
      </c>
      <c r="J9" s="329"/>
      <c r="K9" s="217">
        <f>'MK3-PSTI'!D17</f>
        <v>50</v>
      </c>
      <c r="L9" s="217">
        <f>'MK3-PSTI'!E17</f>
        <v>50</v>
      </c>
      <c r="M9" s="334"/>
      <c r="N9" s="59">
        <f>'MK4-L&amp;A'!D17</f>
        <v>37</v>
      </c>
      <c r="O9" s="59">
        <f>'MK4-L&amp;A'!E17</f>
        <v>33</v>
      </c>
      <c r="P9" s="59">
        <f>'MK4-L&amp;A'!F17</f>
        <v>30</v>
      </c>
      <c r="Q9" s="340"/>
      <c r="R9" s="60">
        <f>'MK5-BP'!D17</f>
        <v>50</v>
      </c>
      <c r="S9" s="60">
        <f>'MK5-BP'!E17</f>
        <v>50</v>
      </c>
      <c r="T9" s="343"/>
      <c r="U9" s="209">
        <f>'MK7-MBD'!D16</f>
        <v>50</v>
      </c>
      <c r="V9" s="209">
        <f>'MK7-MBD'!E16</f>
        <v>50</v>
      </c>
      <c r="W9" s="271"/>
      <c r="X9" s="61">
        <f>MK8_BID!D17</f>
        <v>50</v>
      </c>
      <c r="Y9" s="61">
        <f>'MK7-MBD'!E16</f>
        <v>50</v>
      </c>
      <c r="Z9" s="323"/>
      <c r="AB9" s="214"/>
      <c r="AC9" s="303"/>
      <c r="AD9" s="214"/>
      <c r="AE9" s="300"/>
      <c r="AF9" s="214"/>
      <c r="AG9" s="300"/>
      <c r="AH9" s="214"/>
      <c r="AI9" s="300"/>
      <c r="AJ9" s="214"/>
      <c r="AK9" s="300"/>
      <c r="AL9" s="214"/>
      <c r="AM9" s="300"/>
      <c r="AN9" s="214"/>
      <c r="AO9" s="300"/>
      <c r="AP9" s="214"/>
      <c r="AQ9" s="300"/>
      <c r="AR9" s="214"/>
      <c r="AS9" s="300"/>
      <c r="AT9" s="214"/>
      <c r="AU9" s="300"/>
      <c r="AV9" s="214"/>
      <c r="AW9" s="300"/>
      <c r="AX9" s="214"/>
      <c r="AY9" s="300"/>
      <c r="AZ9" s="214"/>
      <c r="BA9" s="300"/>
      <c r="BB9" s="214"/>
      <c r="BC9" s="303"/>
      <c r="BF9" s="220"/>
      <c r="BG9" s="298"/>
      <c r="BH9" s="220"/>
      <c r="BI9" s="298"/>
      <c r="BJ9" s="220"/>
      <c r="BK9" s="298"/>
      <c r="BL9" s="220"/>
      <c r="BM9" s="298"/>
      <c r="BN9" s="71">
        <f>D9</f>
        <v>23</v>
      </c>
      <c r="BO9" s="298"/>
      <c r="BP9" s="220"/>
      <c r="BQ9" s="298"/>
      <c r="BR9" s="71">
        <f>E9</f>
        <v>42</v>
      </c>
      <c r="BS9" s="298"/>
      <c r="BT9" s="62">
        <f>F9</f>
        <v>35</v>
      </c>
      <c r="BU9" s="216"/>
      <c r="BV9" s="220"/>
      <c r="BW9" s="298"/>
      <c r="BX9" s="220"/>
      <c r="BY9" s="298"/>
      <c r="BZ9" s="220"/>
      <c r="CA9" s="298"/>
      <c r="CB9" s="220">
        <f>R9</f>
        <v>50</v>
      </c>
      <c r="CC9" s="298"/>
      <c r="CD9" s="220">
        <f>K9</f>
        <v>50</v>
      </c>
      <c r="CE9" s="298"/>
      <c r="CF9" s="214"/>
      <c r="CG9" s="214"/>
      <c r="CH9" s="214">
        <f>H9</f>
        <v>50</v>
      </c>
      <c r="CI9" s="214"/>
      <c r="CJ9" s="214"/>
      <c r="CK9" s="214"/>
      <c r="CL9" s="220">
        <f>I9</f>
        <v>50</v>
      </c>
      <c r="CM9" s="298"/>
      <c r="CN9" s="220"/>
      <c r="CO9" s="298"/>
      <c r="CP9" s="214"/>
      <c r="CQ9" s="298"/>
      <c r="CR9" s="214"/>
      <c r="CS9" s="298"/>
      <c r="CT9" s="214"/>
      <c r="CU9" s="298"/>
      <c r="CV9" s="174">
        <f>N9</f>
        <v>37</v>
      </c>
      <c r="CW9" s="298"/>
      <c r="CX9" s="214">
        <v>50</v>
      </c>
      <c r="CY9" s="298"/>
      <c r="CZ9" s="214"/>
      <c r="DA9" s="298"/>
      <c r="DB9" s="220"/>
      <c r="DC9" s="298"/>
      <c r="DD9" s="220">
        <f>U9</f>
        <v>50</v>
      </c>
      <c r="DE9" s="298"/>
      <c r="DF9" s="220">
        <f>V9</f>
        <v>50</v>
      </c>
      <c r="DG9" s="298"/>
      <c r="DH9" s="220"/>
      <c r="DI9" s="298"/>
      <c r="DJ9" s="220"/>
      <c r="DK9" s="298"/>
      <c r="DL9" s="220"/>
      <c r="DM9" s="298"/>
      <c r="DN9" s="220"/>
      <c r="DO9" s="298"/>
      <c r="DP9" s="214"/>
      <c r="DQ9" s="298"/>
      <c r="DR9" s="214"/>
      <c r="DS9" s="298"/>
      <c r="DT9" s="214"/>
      <c r="DU9" s="298"/>
      <c r="DV9" s="220"/>
      <c r="DW9" s="298"/>
      <c r="DX9" s="220">
        <f>K9</f>
        <v>50</v>
      </c>
      <c r="DY9" s="305"/>
      <c r="DZ9" s="214"/>
      <c r="EA9" s="212"/>
      <c r="EB9" s="220"/>
      <c r="EC9" s="298"/>
      <c r="ED9" s="220">
        <f>L9</f>
        <v>50</v>
      </c>
      <c r="EE9" s="298"/>
      <c r="EF9" s="220"/>
      <c r="EG9" s="298"/>
      <c r="EH9" s="220"/>
      <c r="EI9" s="298"/>
      <c r="EJ9" s="169"/>
      <c r="EK9" s="214"/>
      <c r="EL9" s="214"/>
      <c r="EM9" s="214"/>
      <c r="EN9" s="214">
        <f>N9</f>
        <v>37</v>
      </c>
      <c r="EO9" s="214"/>
      <c r="EP9" s="220"/>
      <c r="EQ9" s="298"/>
      <c r="ER9" s="220">
        <f>O9</f>
        <v>33</v>
      </c>
      <c r="ES9" s="298"/>
      <c r="ET9" s="214">
        <f>P9</f>
        <v>30</v>
      </c>
      <c r="EU9" s="214"/>
      <c r="EV9" s="214"/>
      <c r="EW9" s="214"/>
      <c r="EX9" s="62">
        <f>R9</f>
        <v>50</v>
      </c>
      <c r="EY9" s="214"/>
      <c r="EZ9" s="220">
        <f>S9</f>
        <v>50</v>
      </c>
      <c r="FA9" s="298"/>
      <c r="FB9" s="220">
        <f>X9</f>
        <v>50</v>
      </c>
      <c r="FC9" s="298"/>
      <c r="FD9" s="214">
        <f>Y9</f>
        <v>50</v>
      </c>
      <c r="FE9" s="214"/>
      <c r="FF9" s="214"/>
      <c r="FG9" s="214"/>
      <c r="FH9" s="214"/>
      <c r="FI9" s="214"/>
      <c r="FJ9" s="220"/>
      <c r="FK9" s="298"/>
      <c r="FL9" s="210">
        <f>F9+I9+L9+V9</f>
        <v>185</v>
      </c>
      <c r="FM9" s="293"/>
      <c r="FN9" s="210"/>
      <c r="FO9" s="293"/>
      <c r="FP9" s="210" t="e">
        <f>#REF!+#REF!</f>
        <v>#REF!</v>
      </c>
      <c r="FQ9" s="293"/>
      <c r="FR9" s="210" t="e">
        <f>#REF!</f>
        <v>#REF!</v>
      </c>
      <c r="FS9" s="293"/>
      <c r="FT9" s="243" t="e">
        <f>SUM(BF9:FR9)</f>
        <v>#REF!</v>
      </c>
      <c r="FU9" s="244"/>
    </row>
    <row r="10" spans="1:177">
      <c r="A10" s="1" t="s">
        <v>0</v>
      </c>
      <c r="B10" s="1" t="s">
        <v>1</v>
      </c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F10" s="84"/>
      <c r="BG10" s="90"/>
      <c r="BH10" s="84"/>
      <c r="BI10" s="84"/>
      <c r="BJ10" s="84"/>
      <c r="BK10" s="84"/>
      <c r="BL10" s="84"/>
      <c r="BM10" s="84"/>
      <c r="BN10" s="158"/>
      <c r="BO10" s="84"/>
      <c r="BP10" s="84"/>
      <c r="BQ10" s="84"/>
      <c r="BR10" s="158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158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15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170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</row>
    <row r="11" spans="1:177">
      <c r="A11" s="105">
        <v>1</v>
      </c>
      <c r="B11" s="106" t="s">
        <v>183</v>
      </c>
      <c r="C11" s="106" t="s">
        <v>184</v>
      </c>
      <c r="D11" s="66">
        <f>'MK1-TM'!D19</f>
        <v>83.7</v>
      </c>
      <c r="E11" s="66">
        <f>'MK1-TM'!E19</f>
        <v>82.26</v>
      </c>
      <c r="F11" s="66">
        <f>'MK1-TM'!F19</f>
        <v>88.86</v>
      </c>
      <c r="G11" s="66">
        <f>IFERROR((D11*($D$9/100))+(E11*($E$9/100))+(F11*($F$9/100)),"")</f>
        <v>84.901200000000003</v>
      </c>
      <c r="H11" s="83">
        <f>'MK2-TO'!D19</f>
        <v>86.5</v>
      </c>
      <c r="I11" s="83">
        <f>'MK2-TO'!E19</f>
        <v>86.5</v>
      </c>
      <c r="J11" s="83">
        <f>IFERROR((H11*($H$9/100))+(I11*($I$9/100)),"")</f>
        <v>86.5</v>
      </c>
      <c r="K11" s="67">
        <f>'MK3-PSTI'!D19</f>
        <v>80.59</v>
      </c>
      <c r="L11" s="67">
        <f>'MK3-PSTI'!E19</f>
        <v>78.06</v>
      </c>
      <c r="M11" s="67">
        <f>IFERROR((K11*($K$9/100))+(L11*($L$9/100)),"")</f>
        <v>79.325000000000003</v>
      </c>
      <c r="N11" s="68">
        <f>IF('MK4-L&amp;A'!D19="","",'MK4-L&amp;A'!D19)</f>
        <v>72.650000000000006</v>
      </c>
      <c r="O11" s="68">
        <f>'MK4-L&amp;A'!E19</f>
        <v>70.06</v>
      </c>
      <c r="P11" s="68">
        <f>'MK4-L&amp;A'!F19</f>
        <v>85.5</v>
      </c>
      <c r="Q11" s="68">
        <f>IFERROR((N11*($N$9/100))+(O11*($O$9/100))+(P11*($P$9/100)),"")</f>
        <v>75.650300000000001</v>
      </c>
      <c r="R11" s="69">
        <f>'MK5-BP'!D19</f>
        <v>76.3</v>
      </c>
      <c r="S11" s="69">
        <f>'MK5-BP'!E19</f>
        <v>76.3</v>
      </c>
      <c r="T11" s="69">
        <f>IFERROR((R11*($R$9/100))+(S11*($S$9/100)),"")</f>
        <v>76.3</v>
      </c>
      <c r="U11" s="35">
        <f>IF('MK7-MBD'!D18="","",'MK7-MBD'!D18)</f>
        <v>75.5</v>
      </c>
      <c r="V11" s="35">
        <f>IF('MK7-MBD'!E18="","",'MK7-MBD'!E18)</f>
        <v>96.5</v>
      </c>
      <c r="W11" s="35">
        <f>IFERROR((U11*($R$9/100))+(V11*($S$9/100)),"")</f>
        <v>86</v>
      </c>
      <c r="X11" s="70">
        <f>IF(MK8_BID!D19="","",MK8_BID!D19)</f>
        <v>75.5</v>
      </c>
      <c r="Y11" s="70">
        <f>'MK7-MBD'!E18</f>
        <v>96.5</v>
      </c>
      <c r="Z11" s="70">
        <f>IFERROR((X11*($X$9/100))+(Y11*($Y$9/100)),"")</f>
        <v>86</v>
      </c>
      <c r="AB11" s="71">
        <f t="shared" ref="AB11:AB19" si="0">IFERROR((D11*($D$9/100)+H11*($H$9/100)+K11*($K$9/100)+U11*($U$9/100)),"")</f>
        <v>140.54599999999999</v>
      </c>
      <c r="AC11" s="72">
        <f>IFERROR(AB11/$AB$8*100,"")</f>
        <v>65.370232558139534</v>
      </c>
      <c r="AD11" s="71"/>
      <c r="AE11" s="72"/>
      <c r="AF11" s="71"/>
      <c r="AG11" s="72"/>
      <c r="AH11" s="71" t="str">
        <f>IFERROR((#REF!*(#REF!/100)),"")</f>
        <v/>
      </c>
      <c r="AI11" s="72" t="str">
        <f>IFERROR(AH11/$AH$8*100,"")</f>
        <v/>
      </c>
      <c r="AJ11" s="72"/>
      <c r="AK11" s="72"/>
      <c r="AL11" s="72"/>
      <c r="AM11" s="72"/>
      <c r="AN11" s="72"/>
      <c r="AO11" s="72"/>
      <c r="AP11" s="72"/>
      <c r="AQ11" s="72"/>
      <c r="AR11" s="71"/>
      <c r="AS11" s="72"/>
      <c r="AT11" s="71"/>
      <c r="AU11" s="72"/>
      <c r="AV11" s="72"/>
      <c r="AW11" s="72"/>
      <c r="AX11" s="71"/>
      <c r="AY11" s="72"/>
      <c r="AZ11" s="71">
        <f t="shared" ref="AZ11:AZ19" si="1">IFERROR((F11*($F$9/100)+I11*($I$9/100)+L11*($L$9/100)+V11*($V$9/100)),"")</f>
        <v>161.631</v>
      </c>
      <c r="BA11" s="72">
        <f>IFERROR(AZ11/$AZ$8*100,"")</f>
        <v>87.368108108108117</v>
      </c>
      <c r="BB11" s="2"/>
      <c r="BC11" s="71"/>
      <c r="BF11" s="4"/>
      <c r="BG11" s="81" t="str">
        <f>IF(BF11="","",BF11/$BF$9)</f>
        <v/>
      </c>
      <c r="BH11" s="4"/>
      <c r="BI11" s="81" t="str">
        <f>IF(BH11="","",BH11/$BH$9)</f>
        <v/>
      </c>
      <c r="BJ11" s="73"/>
      <c r="BK11" s="81" t="str">
        <f>IF(BJ11="","",BJ11/$BJ$9)</f>
        <v/>
      </c>
      <c r="BL11" s="73"/>
      <c r="BM11" s="81" t="str">
        <f>IF(BL11="","",BL11/$BL$9)</f>
        <v/>
      </c>
      <c r="BN11" s="73">
        <f>IF(D11="","",IFERROR(D11*($D$9/100),""))</f>
        <v>19.251000000000001</v>
      </c>
      <c r="BO11" s="79">
        <f>IF(BN11="","",BN11/$BN$9)</f>
        <v>0.83700000000000008</v>
      </c>
      <c r="BP11" s="73"/>
      <c r="BQ11" s="79" t="str">
        <f>IF(BP11="","",BP11/$BP$9)</f>
        <v/>
      </c>
      <c r="BR11" s="73">
        <f>IFERROR(IF(E11="","",IFERROR(E11*($E$9/100),"")),"")</f>
        <v>34.549199999999999</v>
      </c>
      <c r="BS11" s="79">
        <f>IF(BR11="","",BR11/$BR$9)</f>
        <v>0.8226</v>
      </c>
      <c r="BT11" s="172">
        <f>IFERROR(IF(F11="","",IFERROR(F11*($F$9/100),"")),"")</f>
        <v>31.100999999999999</v>
      </c>
      <c r="BU11" s="79">
        <f>IF(BT11="","",BT11/$BT$9)</f>
        <v>0.88859999999999995</v>
      </c>
      <c r="BV11" s="4"/>
      <c r="BW11" s="4"/>
      <c r="BX11" s="73"/>
      <c r="BY11" s="81" t="str">
        <f>IF(BX11="","",BX11/$BX$9)</f>
        <v/>
      </c>
      <c r="BZ11" s="73"/>
      <c r="CA11" s="81"/>
      <c r="CB11" s="73">
        <f t="shared" ref="CB11:CB42" si="2">IF(R11="","",IFERROR(R11*($R$9/100),""))</f>
        <v>38.15</v>
      </c>
      <c r="CC11" s="81">
        <f>IF(CB11="","",CB11/$CB$9)</f>
        <v>0.76300000000000001</v>
      </c>
      <c r="CD11" s="4">
        <f>IF(K11="","",IFERROR(K11*($K$9/100),""))</f>
        <v>40.295000000000002</v>
      </c>
      <c r="CE11" s="79">
        <f>IF(CD11="","",CD11/$CD$9)</f>
        <v>0.80590000000000006</v>
      </c>
      <c r="CF11" s="81"/>
      <c r="CG11" s="81"/>
      <c r="CH11" s="72">
        <f>IF(H11="","",IFERROR(H11*($H$9/100),""))</f>
        <v>43.25</v>
      </c>
      <c r="CI11" s="81">
        <f>IF(CH11="","",CH11/$CH$9)</f>
        <v>0.86499999999999999</v>
      </c>
      <c r="CJ11" s="81"/>
      <c r="CK11" s="81"/>
      <c r="CL11" s="4">
        <f>IF(I11="","",IFERROR(I11*($I$9/100),""))</f>
        <v>43.25</v>
      </c>
      <c r="CM11" s="79">
        <f t="shared" ref="CM11:CM42" si="3">IF(CL11="","",CL11/$CL$9)</f>
        <v>0.86499999999999999</v>
      </c>
      <c r="CN11" s="4"/>
      <c r="CO11" s="4"/>
      <c r="CP11" s="4"/>
      <c r="CQ11" s="4"/>
      <c r="CR11" s="4"/>
      <c r="CS11" s="4"/>
      <c r="CT11" s="4"/>
      <c r="CU11" s="4"/>
      <c r="CV11" s="73"/>
      <c r="CW11" s="79" t="str">
        <f t="shared" ref="CW11:CW32" si="4">IF(CV11="","",CV11/$CV$9)</f>
        <v/>
      </c>
      <c r="CX11" s="4"/>
      <c r="CY11" s="79" t="str">
        <f t="shared" ref="CY11:CY32" si="5">IF(CX11="","",CX11/$CX$9)</f>
        <v/>
      </c>
      <c r="CZ11" s="4"/>
      <c r="DA11" s="4"/>
      <c r="DB11" s="4"/>
      <c r="DC11" s="4"/>
      <c r="DD11" s="4">
        <f>IF(U11="","",IFERROR(U11*($U$9/100),""))</f>
        <v>37.75</v>
      </c>
      <c r="DE11" s="79">
        <f>IF(DD11="","",DD11/$DD$9)</f>
        <v>0.755</v>
      </c>
      <c r="DF11" s="4">
        <f>IF(V11="","",IFERROR(V11*($V$9/100),""))</f>
        <v>48.25</v>
      </c>
      <c r="DG11" s="79">
        <f>IF(DF11="","",DF11/$DF$9)</f>
        <v>0.96499999999999997</v>
      </c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73">
        <f>IF(K11="","",IFERROR(K11*($K$9/100),""))</f>
        <v>40.295000000000002</v>
      </c>
      <c r="DY11" s="79">
        <f t="shared" ref="DY11:DY32" si="6">IF(DX11="","",DX11/$DX$9)</f>
        <v>0.80590000000000006</v>
      </c>
      <c r="DZ11" s="4"/>
      <c r="EA11" s="4"/>
      <c r="EB11" s="4"/>
      <c r="EC11" s="4"/>
      <c r="ED11" s="73">
        <f>IF(L11="","",IFERROR(L11*($L$9/100),""))</f>
        <v>39.03</v>
      </c>
      <c r="EE11" s="81">
        <f t="shared" ref="EE11:EE32" si="7">IF(ED11="","",ED11/$ED$9)</f>
        <v>0.78060000000000007</v>
      </c>
      <c r="EF11" s="73"/>
      <c r="EG11" s="81"/>
      <c r="EH11" s="73"/>
      <c r="EI11" s="81" t="str">
        <f t="shared" ref="EI11:EI42" si="8">IF(EH11="","",EH11/$EH$9)</f>
        <v/>
      </c>
      <c r="EJ11" s="72"/>
      <c r="EK11" s="81" t="str">
        <f t="shared" ref="EK11:EK32" si="9">IF(EJ11="","",EJ11/$EJ$9)</f>
        <v/>
      </c>
      <c r="EL11" s="171"/>
      <c r="EM11" s="81" t="str">
        <f t="shared" ref="EM11:EM32" si="10">IF(EL11="","",EL11/$EL$9)</f>
        <v/>
      </c>
      <c r="EN11" s="72">
        <f>IF(N11="","",IFERROR(N11*($N$9/100),""))</f>
        <v>26.880500000000001</v>
      </c>
      <c r="EO11" s="81">
        <f t="shared" ref="EO11:EO42" si="11">IF(EN11="","",EN11/$EN$9)</f>
        <v>0.72650000000000003</v>
      </c>
      <c r="EP11" s="4"/>
      <c r="EQ11" s="4"/>
      <c r="ER11" s="73">
        <f>IF(O11="","",IFERROR(O11*($O$9/100),""))</f>
        <v>23.119800000000001</v>
      </c>
      <c r="ES11" s="79">
        <f t="shared" ref="ES11:ES42" si="12">IF(ER11="","",ER11/$ER$9)</f>
        <v>0.7006</v>
      </c>
      <c r="ET11" s="4">
        <f>IF(P11="","",IFERROR(P11*($P$9/100),""))</f>
        <v>25.65</v>
      </c>
      <c r="EU11" s="79">
        <f t="shared" ref="EU11:EU32" si="13">IF(ET11="","",ET11/$ET$9)</f>
        <v>0.85499999999999998</v>
      </c>
      <c r="EV11" s="4"/>
      <c r="EW11" s="4"/>
      <c r="EX11" s="4"/>
      <c r="EY11" s="79" t="str">
        <f t="shared" ref="EY11:EY32" si="14">IF(EX11="","",EX11/$EX$9)</f>
        <v/>
      </c>
      <c r="EZ11" s="4"/>
      <c r="FA11" s="79" t="str">
        <f t="shared" ref="FA11:FA32" si="15">IF(EZ11="","",EZ11/$EZ$9)</f>
        <v/>
      </c>
      <c r="FB11" s="4">
        <f>IF(X11="","",IFERROR(X11*($X$9/100),""))</f>
        <v>37.75</v>
      </c>
      <c r="FC11" s="79">
        <f t="shared" ref="FC11:FC19" si="16">IF(FB11="","",FB11/$FB$9)</f>
        <v>0.755</v>
      </c>
      <c r="FD11" s="4">
        <f>IF(Y11="","",IFERROR(Y11*($Y$9/100),""))</f>
        <v>48.25</v>
      </c>
      <c r="FE11" s="79">
        <f>IF(FD11="","",FD11/$FD$9)</f>
        <v>0.96499999999999997</v>
      </c>
      <c r="FF11" s="72"/>
      <c r="FG11" s="81"/>
      <c r="FH11" s="81"/>
      <c r="FI11" s="81"/>
      <c r="FJ11" s="73" t="str">
        <f>IFERROR(IF(#REF!="","",IFERROR(#REF!*(#REF!/100),""))+IF(#REF!="","",IFERROR(#REF!*(#REF!/100),"")),"")</f>
        <v/>
      </c>
      <c r="FK11" s="81" t="str">
        <f t="shared" ref="FK11:FK19" si="17">IF(FJ11="","",FJ11/$FJ$9)</f>
        <v/>
      </c>
      <c r="FL11" s="158">
        <f t="shared" ref="FL11:FL19" si="18">IFERROR(IF(F11="","",IFERROR(F11*($F$9/100),""))+IF(I11="","",IFERROR(I11*($I$9/100),""))+IF(L11="","",IFERROR(L11*($L$9/100),""))+IF(V11="","",IFERROR(V11*($V$9/100),"")),"")</f>
        <v>161.631</v>
      </c>
      <c r="FM11" s="159">
        <f t="shared" ref="FM11:FM19" si="19">IF(FL11="","",FL11/$FL$9)</f>
        <v>0.87368108108108111</v>
      </c>
      <c r="FN11" s="84"/>
      <c r="FO11" s="84"/>
      <c r="FP11" s="158" t="str">
        <f>IFERROR(IF(#REF!="","",IFERROR(#REF!*(#REF!/100),""))+IF(#REF!="","",IFERROR(#REF!*(#REF!/100),"")),"")</f>
        <v/>
      </c>
      <c r="FQ11" s="159" t="str">
        <f t="shared" ref="FQ11:FQ19" si="20">IF(FP11="","",FP11/$FP$9)</f>
        <v/>
      </c>
      <c r="FR11" s="158" t="str">
        <f>IFERROR(IF(#REF!="","",IFERROR(#REF!*(#REF!/100),"")),"")</f>
        <v/>
      </c>
      <c r="FS11" s="159" t="str">
        <f t="shared" ref="FS11:FS19" si="21">IF(FR11="","",FR11/$FR$9)</f>
        <v/>
      </c>
      <c r="FT11" s="157">
        <f t="shared" ref="FT11:FT19" si="22">SUM(BF11:FR11)</f>
        <v>752.48188108108104</v>
      </c>
      <c r="FU11" s="92" t="e">
        <f t="shared" ref="FU11:FU19" si="23">FT11/$FT$9</f>
        <v>#REF!</v>
      </c>
    </row>
    <row r="12" spans="1:177">
      <c r="A12" s="105">
        <v>2</v>
      </c>
      <c r="B12" s="106" t="s">
        <v>185</v>
      </c>
      <c r="C12" s="106" t="s">
        <v>344</v>
      </c>
      <c r="D12" s="66">
        <f>'MK1-TM'!D20</f>
        <v>79.13</v>
      </c>
      <c r="E12" s="66">
        <f>'MK1-TM'!E20</f>
        <v>73.569999999999993</v>
      </c>
      <c r="F12" s="66">
        <f>'MK1-TM'!F20</f>
        <v>84.71</v>
      </c>
      <c r="G12" s="66">
        <f t="shared" ref="G12:G42" si="24">IFERROR((D12*($D$9/100))+(E12*($E$9/100))+(F12*($F$9/100)),"")</f>
        <v>78.747799999999998</v>
      </c>
      <c r="H12" s="83">
        <f>'MK2-TO'!D20</f>
        <v>75.7</v>
      </c>
      <c r="I12" s="83">
        <f>'MK2-TO'!E20</f>
        <v>75.7</v>
      </c>
      <c r="J12" s="83">
        <f t="shared" ref="J12:J42" si="25">IFERROR((H12*($H$9/100))+(I12*($I$9/100)),"")</f>
        <v>75.7</v>
      </c>
      <c r="K12" s="67">
        <f>'MK3-PSTI'!D20</f>
        <v>77.06</v>
      </c>
      <c r="L12" s="67">
        <f>'MK3-PSTI'!E20</f>
        <v>79.180000000000007</v>
      </c>
      <c r="M12" s="67">
        <f t="shared" ref="M12:M42" si="26">IFERROR((K12*($K$9/100))+(L12*($L$9/100)),"")</f>
        <v>78.12</v>
      </c>
      <c r="N12" s="68">
        <f>IF('MK4-L&amp;A'!D20="","",'MK4-L&amp;A'!D20)</f>
        <v>79.05</v>
      </c>
      <c r="O12" s="68">
        <f>'MK4-L&amp;A'!E20</f>
        <v>78.94</v>
      </c>
      <c r="P12" s="68">
        <f>'MK4-L&amp;A'!F20</f>
        <v>85.67</v>
      </c>
      <c r="Q12" s="68">
        <f t="shared" ref="Q12:Q42" si="27">IFERROR((N12*($N$9/100))+(O12*($O$9/100))+(P12*($P$9/100)),"")</f>
        <v>80.99969999999999</v>
      </c>
      <c r="R12" s="69">
        <f>'MK5-BP'!D20</f>
        <v>81.400000000000006</v>
      </c>
      <c r="S12" s="69">
        <f>'MK5-BP'!E20</f>
        <v>81.400000000000006</v>
      </c>
      <c r="T12" s="69">
        <f t="shared" ref="T12:T42" si="28">IFERROR((R12*($R$9/100))+(S12*($S$9/100)),"")</f>
        <v>81.400000000000006</v>
      </c>
      <c r="U12" s="35">
        <f>IF('MK7-MBD'!D19="","",'MK7-MBD'!D19)</f>
        <v>72</v>
      </c>
      <c r="V12" s="35">
        <f>IF('MK7-MBD'!E19="","",'MK7-MBD'!E19)</f>
        <v>82.5</v>
      </c>
      <c r="W12" s="35">
        <f t="shared" ref="W12:W42" si="29">IFERROR((U12*($R$9/100))+(V12*($S$9/100)),"")</f>
        <v>77.25</v>
      </c>
      <c r="X12" s="70">
        <f>IF(MK8_BID!D20="","",MK8_BID!D20)</f>
        <v>72</v>
      </c>
      <c r="Y12" s="70">
        <f>'MK7-MBD'!E19</f>
        <v>82.5</v>
      </c>
      <c r="Z12" s="70">
        <f t="shared" ref="Z12:Z42" si="30">IFERROR((X12*($X$9/100))+(Y12*($Y$9/100)),"")</f>
        <v>77.25</v>
      </c>
      <c r="AB12" s="71">
        <f t="shared" si="0"/>
        <v>130.57990000000001</v>
      </c>
      <c r="AC12" s="72">
        <f>IFERROR(AB12/$AB$8*100,"")</f>
        <v>60.734837209302327</v>
      </c>
      <c r="AD12" s="71" t="str">
        <f>IFERROR((#REF!*(#REF!/100)),"")</f>
        <v/>
      </c>
      <c r="AE12" s="72" t="str">
        <f t="shared" ref="AE12:AE42" si="31">IFERROR(AD12/$AD$8*100,"")</f>
        <v/>
      </c>
      <c r="AF12" s="71">
        <f t="shared" ref="AF12:AF19" si="32">IFERROR((N12*($N$9/100)+R12*($R$9/100)),"")</f>
        <v>69.948499999999996</v>
      </c>
      <c r="AG12" s="72">
        <f t="shared" ref="AG12:AG42" si="33">IFERROR(AF12/$AF$8*100,"")</f>
        <v>80.400574712643675</v>
      </c>
      <c r="AH12" s="71" t="str">
        <f>IFERROR((#REF!*(#REF!/100)),"")</f>
        <v/>
      </c>
      <c r="AI12" s="72" t="str">
        <f t="shared" ref="AI12:AI42" si="34">IFERROR(AH12/$AH$8*100,"")</f>
        <v/>
      </c>
      <c r="AJ12" s="72"/>
      <c r="AK12" s="72"/>
      <c r="AL12" s="72"/>
      <c r="AM12" s="72"/>
      <c r="AN12" s="72"/>
      <c r="AO12" s="72"/>
      <c r="AP12" s="72"/>
      <c r="AQ12" s="72"/>
      <c r="AR12" s="71">
        <f t="shared" ref="AR12:AR19" si="35">IFERROR((P12*($P$9/100)+S12*($S$9/100)),"")</f>
        <v>66.40100000000001</v>
      </c>
      <c r="AS12" s="72">
        <f>IFERROR(AR12/$AR$8*100,"")</f>
        <v>83.001250000000013</v>
      </c>
      <c r="AT12" s="71" t="str">
        <f>IFERROR((X12*($X$9/100)+#REF!*(#REF!/100)+#REF!*(#REF!/100)),"")</f>
        <v/>
      </c>
      <c r="AU12" s="72" t="str">
        <f t="shared" ref="AU12:AU42" si="36">IFERROR(AT12/$AT$8*100,"")</f>
        <v/>
      </c>
      <c r="AV12" s="72"/>
      <c r="AW12" s="72"/>
      <c r="AX12" s="71" t="str">
        <f>IFERROR((#REF!*(#REF!/100)+#REF!*(#REF!/100)+#REF!*(#REF!/100)),"")</f>
        <v/>
      </c>
      <c r="AY12" s="72" t="str">
        <f>IFERROR(AX12/$AX$8*100,"")</f>
        <v/>
      </c>
      <c r="AZ12" s="71">
        <f t="shared" si="1"/>
        <v>148.33850000000001</v>
      </c>
      <c r="BA12" s="72">
        <f>IFERROR(AZ12/$AZ$8*100,"")</f>
        <v>80.182972972972976</v>
      </c>
      <c r="BB12" s="2" t="str">
        <f>IFERROR((#REF!*(#REF!/100)+(#REF!*(#REF!/100))+(#REF!*(#REF!/100))),"")</f>
        <v/>
      </c>
      <c r="BC12" s="71" t="str">
        <f>IFERROR(BB12/$BB$8*100,"")</f>
        <v/>
      </c>
      <c r="BF12" s="4"/>
      <c r="BG12" s="81" t="str">
        <f>IF(BF12="","",BF12/$BF$9)</f>
        <v/>
      </c>
      <c r="BH12" s="4"/>
      <c r="BI12" s="81" t="str">
        <f>IF(BH12="","",BH12/$BH$9)</f>
        <v/>
      </c>
      <c r="BJ12" s="73"/>
      <c r="BK12" s="81" t="str">
        <f>IF(BJ12="","",BJ12/$BJ$9)</f>
        <v/>
      </c>
      <c r="BL12" s="73"/>
      <c r="BM12" s="81" t="str">
        <f t="shared" ref="BM12:BM42" si="37">IF(BL12="","",BL12/$BL$9)</f>
        <v/>
      </c>
      <c r="BN12" s="73">
        <f t="shared" ref="BN12:BN42" si="38">IF(D12="","",IFERROR(D12*($D$9/100),""))</f>
        <v>18.1999</v>
      </c>
      <c r="BO12" s="79">
        <f t="shared" ref="BO12:BO42" si="39">IF(BN12="","",BN12/$BN$9)</f>
        <v>0.7913</v>
      </c>
      <c r="BP12" s="73"/>
      <c r="BQ12" s="79" t="str">
        <f t="shared" ref="BQ12:BQ42" si="40">IF(BP12="","",BP12/$BP$9)</f>
        <v/>
      </c>
      <c r="BR12" s="73">
        <f t="shared" ref="BR12:BR42" si="41">IFERROR(IF(E12="","",IFERROR(E12*($E$9/100),"")),"")</f>
        <v>30.899399999999996</v>
      </c>
      <c r="BS12" s="79">
        <f t="shared" ref="BS12:BS42" si="42">IF(BR12="","",BR12/$BR$9)</f>
        <v>0.73569999999999991</v>
      </c>
      <c r="BT12" s="172">
        <f t="shared" ref="BT12:BT41" si="43">IFERROR(IF(F12="","",IFERROR(F12*($F$9/100),"")),"")</f>
        <v>29.648499999999995</v>
      </c>
      <c r="BU12" s="79">
        <f t="shared" ref="BU12:BU42" si="44">IF(BT12="","",BT12/$BT$9)</f>
        <v>0.84709999999999985</v>
      </c>
      <c r="BV12" s="4"/>
      <c r="BW12" s="4"/>
      <c r="BX12" s="73"/>
      <c r="BY12" s="81" t="str">
        <f t="shared" ref="BY12:BY42" si="45">IF(BX12="","",BX12/$BX$9)</f>
        <v/>
      </c>
      <c r="BZ12" s="73"/>
      <c r="CA12" s="81"/>
      <c r="CB12" s="73">
        <f t="shared" si="2"/>
        <v>40.700000000000003</v>
      </c>
      <c r="CC12" s="81">
        <f t="shared" ref="CC12:CC37" si="46">IF(CB12="","",CB12/$CB$9)</f>
        <v>0.81400000000000006</v>
      </c>
      <c r="CD12" s="4">
        <f t="shared" ref="CD12:CD42" si="47">IF(K12="","",IFERROR(K12*($K$9/100),""))</f>
        <v>38.53</v>
      </c>
      <c r="CE12" s="79">
        <f t="shared" ref="CE12:CE41" si="48">IF(CD12="","",CD12/$CD$9)</f>
        <v>0.77060000000000006</v>
      </c>
      <c r="CF12" s="81"/>
      <c r="CG12" s="81"/>
      <c r="CH12" s="72">
        <f t="shared" ref="CH12:CH42" si="49">IF(H12="","",IFERROR(H12*($H$9/100),""))</f>
        <v>37.85</v>
      </c>
      <c r="CI12" s="81">
        <f t="shared" ref="CI12:CI42" si="50">IF(CH12="","",CH12/$CH$9)</f>
        <v>0.75700000000000001</v>
      </c>
      <c r="CJ12" s="81"/>
      <c r="CK12" s="81"/>
      <c r="CL12" s="4">
        <f t="shared" ref="CL12:CL42" si="51">IF(I12="","",IFERROR(I12*($I$9/100),""))</f>
        <v>37.85</v>
      </c>
      <c r="CM12" s="79">
        <f t="shared" si="3"/>
        <v>0.75700000000000001</v>
      </c>
      <c r="CN12" s="4"/>
      <c r="CO12" s="4"/>
      <c r="CP12" s="4"/>
      <c r="CQ12" s="4"/>
      <c r="CR12" s="4"/>
      <c r="CS12" s="4"/>
      <c r="CT12" s="4"/>
      <c r="CU12" s="4"/>
      <c r="CV12" s="73"/>
      <c r="CW12" s="79" t="str">
        <f t="shared" si="4"/>
        <v/>
      </c>
      <c r="CX12" s="4"/>
      <c r="CY12" s="79" t="str">
        <f t="shared" si="5"/>
        <v/>
      </c>
      <c r="CZ12" s="4"/>
      <c r="DA12" s="4"/>
      <c r="DB12" s="4"/>
      <c r="DC12" s="4"/>
      <c r="DD12" s="4">
        <f t="shared" ref="DD12:DD42" si="52">IF(U12="","",IFERROR(U12*($U$9/100),""))</f>
        <v>36</v>
      </c>
      <c r="DE12" s="79">
        <f t="shared" ref="DE12:DE42" si="53">IF(DD12="","",DD12/$DD$9)</f>
        <v>0.72</v>
      </c>
      <c r="DF12" s="4">
        <f t="shared" ref="DF12:DF42" si="54">IF(V12="","",IFERROR(V12*($V$9/100),""))</f>
        <v>41.25</v>
      </c>
      <c r="DG12" s="79">
        <f t="shared" ref="DG12:DG42" si="55">IF(DF12="","",DF12/$DF$9)</f>
        <v>0.82499999999999996</v>
      </c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73">
        <f t="shared" ref="DX12:DX42" si="56">IF(K12="","",IFERROR(K12*($K$9/100),""))</f>
        <v>38.53</v>
      </c>
      <c r="DY12" s="79">
        <f t="shared" si="6"/>
        <v>0.77060000000000006</v>
      </c>
      <c r="DZ12" s="4"/>
      <c r="EA12" s="4"/>
      <c r="EB12" s="4"/>
      <c r="EC12" s="4"/>
      <c r="ED12" s="73">
        <f t="shared" ref="ED12:ED42" si="57">IF(L12="","",IFERROR(L12*($L$9/100),""))</f>
        <v>39.590000000000003</v>
      </c>
      <c r="EE12" s="81">
        <f t="shared" si="7"/>
        <v>0.79180000000000006</v>
      </c>
      <c r="EF12" s="73"/>
      <c r="EG12" s="81"/>
      <c r="EH12" s="73"/>
      <c r="EI12" s="81" t="str">
        <f t="shared" si="8"/>
        <v/>
      </c>
      <c r="EJ12" s="72"/>
      <c r="EK12" s="81" t="str">
        <f t="shared" si="9"/>
        <v/>
      </c>
      <c r="EL12" s="171"/>
      <c r="EM12" s="81" t="str">
        <f t="shared" si="10"/>
        <v/>
      </c>
      <c r="EN12" s="72">
        <f t="shared" ref="EN12:EN42" si="58">IF(N12="","",IFERROR(N12*($N$9/100),""))</f>
        <v>29.2485</v>
      </c>
      <c r="EO12" s="81">
        <f t="shared" si="11"/>
        <v>0.79049999999999998</v>
      </c>
      <c r="EP12" s="4"/>
      <c r="EQ12" s="4"/>
      <c r="ER12" s="73">
        <f t="shared" ref="ER12:ER42" si="59">IF(O12="","",IFERROR(O12*($O$9/100),""))</f>
        <v>26.0502</v>
      </c>
      <c r="ES12" s="79">
        <f t="shared" si="12"/>
        <v>0.78939999999999999</v>
      </c>
      <c r="ET12" s="4">
        <f t="shared" ref="ET12:ET42" si="60">IF(P12="","",IFERROR(P12*($P$9/100),""))</f>
        <v>25.701000000000001</v>
      </c>
      <c r="EU12" s="79">
        <f t="shared" si="13"/>
        <v>0.85670000000000002</v>
      </c>
      <c r="EV12" s="4"/>
      <c r="EW12" s="4"/>
      <c r="EX12" s="4"/>
      <c r="EY12" s="79" t="str">
        <f t="shared" si="14"/>
        <v/>
      </c>
      <c r="EZ12" s="4"/>
      <c r="FA12" s="79" t="str">
        <f t="shared" si="15"/>
        <v/>
      </c>
      <c r="FB12" s="4">
        <f t="shared" ref="FB12:FB41" si="61">IF(X12="","",IFERROR(X12*($X$9/100),""))</f>
        <v>36</v>
      </c>
      <c r="FC12" s="81">
        <f t="shared" si="16"/>
        <v>0.72</v>
      </c>
      <c r="FD12" s="4">
        <f t="shared" ref="FD12:FD42" si="62">IF(Y12="","",IFERROR(Y12*($Y$9/100),""))</f>
        <v>41.25</v>
      </c>
      <c r="FE12" s="79">
        <f t="shared" ref="FE12:FE42" si="63">IF(FD12="","",FD12/$FD$9)</f>
        <v>0.82499999999999996</v>
      </c>
      <c r="FF12" s="72"/>
      <c r="FG12" s="81"/>
      <c r="FH12" s="81"/>
      <c r="FI12" s="81"/>
      <c r="FJ12" s="73" t="str">
        <f>IFERROR(IF(#REF!="","",IFERROR(#REF!*(#REF!/100),""))+IF(#REF!="","",IFERROR(#REF!*(#REF!/100),"")),"")</f>
        <v/>
      </c>
      <c r="FK12" s="81" t="str">
        <f t="shared" si="17"/>
        <v/>
      </c>
      <c r="FL12" s="158">
        <f t="shared" si="18"/>
        <v>148.33850000000001</v>
      </c>
      <c r="FM12" s="159">
        <f t="shared" si="19"/>
        <v>0.80182972972972977</v>
      </c>
      <c r="FN12" s="84"/>
      <c r="FO12" s="84"/>
      <c r="FP12" s="158" t="str">
        <f>IFERROR(IF(#REF!="","",IFERROR(#REF!*(#REF!/100),""))+IF(#REF!="","",IFERROR(#REF!*(#REF!/100),"")),"")</f>
        <v/>
      </c>
      <c r="FQ12" s="159" t="str">
        <f t="shared" si="20"/>
        <v/>
      </c>
      <c r="FR12" s="158" t="str">
        <f>IFERROR(IF(#REF!="","",IFERROR(#REF!*(#REF!/100),"")),"")</f>
        <v/>
      </c>
      <c r="FS12" s="159" t="str">
        <f t="shared" si="21"/>
        <v/>
      </c>
      <c r="FT12" s="157">
        <f t="shared" si="22"/>
        <v>708.99952972972994</v>
      </c>
      <c r="FU12" s="92" t="e">
        <f t="shared" si="23"/>
        <v>#REF!</v>
      </c>
    </row>
    <row r="13" spans="1:177">
      <c r="A13" s="105">
        <v>3</v>
      </c>
      <c r="B13" s="106" t="s">
        <v>187</v>
      </c>
      <c r="C13" s="106" t="s">
        <v>188</v>
      </c>
      <c r="D13" s="66">
        <f>'MK1-TM'!D21</f>
        <v>78.91</v>
      </c>
      <c r="E13" s="66">
        <f>'MK1-TM'!E21</f>
        <v>72.260000000000005</v>
      </c>
      <c r="F13" s="66">
        <f>'MK1-TM'!F21</f>
        <v>74</v>
      </c>
      <c r="G13" s="66">
        <f t="shared" si="24"/>
        <v>74.398499999999999</v>
      </c>
      <c r="H13" s="83">
        <f>'MK2-TO'!D21</f>
        <v>81.3</v>
      </c>
      <c r="I13" s="83">
        <f>'MK2-TO'!E21</f>
        <v>81.3</v>
      </c>
      <c r="J13" s="83">
        <f t="shared" si="25"/>
        <v>81.3</v>
      </c>
      <c r="K13" s="67">
        <f>'MK3-PSTI'!D21</f>
        <v>76.47</v>
      </c>
      <c r="L13" s="67">
        <f>'MK3-PSTI'!E21</f>
        <v>74.08</v>
      </c>
      <c r="M13" s="67">
        <f t="shared" si="26"/>
        <v>75.275000000000006</v>
      </c>
      <c r="N13" s="68">
        <f>IF('MK4-L&amp;A'!D21="","",'MK4-L&amp;A'!D21)</f>
        <v>68.95</v>
      </c>
      <c r="O13" s="68">
        <f>'MK4-L&amp;A'!E21</f>
        <v>68</v>
      </c>
      <c r="P13" s="68">
        <f>'MK4-L&amp;A'!F21</f>
        <v>67</v>
      </c>
      <c r="Q13" s="68">
        <f t="shared" si="27"/>
        <v>68.051500000000004</v>
      </c>
      <c r="R13" s="69">
        <f>'MK5-BP'!D21</f>
        <v>92.6</v>
      </c>
      <c r="S13" s="69">
        <f>'MK5-BP'!E21</f>
        <v>92.6</v>
      </c>
      <c r="T13" s="69">
        <f t="shared" si="28"/>
        <v>92.6</v>
      </c>
      <c r="U13" s="35">
        <f>IF('MK7-MBD'!D20="","",'MK7-MBD'!D20)</f>
        <v>78.400000000000006</v>
      </c>
      <c r="V13" s="35">
        <f>IF('MK7-MBD'!E20="","",'MK7-MBD'!E20)</f>
        <v>85.4</v>
      </c>
      <c r="W13" s="35">
        <f t="shared" si="29"/>
        <v>81.900000000000006</v>
      </c>
      <c r="X13" s="70">
        <f>IF(MK8_BID!D21="","",MK8_BID!D21)</f>
        <v>78.400000000000006</v>
      </c>
      <c r="Y13" s="70">
        <f>'MK7-MBD'!E20</f>
        <v>85.4</v>
      </c>
      <c r="Z13" s="70">
        <f t="shared" si="30"/>
        <v>81.900000000000006</v>
      </c>
      <c r="AB13" s="71">
        <f t="shared" si="0"/>
        <v>136.23430000000002</v>
      </c>
      <c r="AC13" s="72">
        <f t="shared" ref="AC13:AC42" si="64">IFERROR(AB13/$AB$8*100,"")</f>
        <v>63.364790697674422</v>
      </c>
      <c r="AD13" s="71" t="str">
        <f>IFERROR((#REF!*(#REF!/100)),"")</f>
        <v/>
      </c>
      <c r="AE13" s="72" t="str">
        <f t="shared" si="31"/>
        <v/>
      </c>
      <c r="AF13" s="71">
        <f t="shared" si="32"/>
        <v>71.811499999999995</v>
      </c>
      <c r="AG13" s="72">
        <f t="shared" si="33"/>
        <v>82.541954022988492</v>
      </c>
      <c r="AH13" s="71" t="str">
        <f>IFERROR((#REF!*(#REF!/100)),"")</f>
        <v/>
      </c>
      <c r="AI13" s="72" t="str">
        <f t="shared" si="34"/>
        <v/>
      </c>
      <c r="AJ13" s="72"/>
      <c r="AK13" s="72"/>
      <c r="AL13" s="72"/>
      <c r="AM13" s="72"/>
      <c r="AN13" s="72"/>
      <c r="AO13" s="72"/>
      <c r="AP13" s="72"/>
      <c r="AQ13" s="72"/>
      <c r="AR13" s="71">
        <f t="shared" si="35"/>
        <v>66.399999999999991</v>
      </c>
      <c r="AS13" s="72">
        <f t="shared" ref="AS13:AS42" si="65">IFERROR(AR13/$AR$8*100,"")</f>
        <v>82.999999999999986</v>
      </c>
      <c r="AT13" s="71" t="str">
        <f>IFERROR((X13*($X$9/100)+#REF!*(#REF!/100)+#REF!*(#REF!/100)),"")</f>
        <v/>
      </c>
      <c r="AU13" s="72" t="str">
        <f t="shared" si="36"/>
        <v/>
      </c>
      <c r="AV13" s="72"/>
      <c r="AW13" s="72"/>
      <c r="AX13" s="71" t="str">
        <f>IFERROR((#REF!*(#REF!/100)+#REF!*(#REF!/100)+#REF!*(#REF!/100)),"")</f>
        <v/>
      </c>
      <c r="AY13" s="72" t="str">
        <f t="shared" ref="AY13:AY42" si="66">IFERROR(AX13/$AX$8*100,"")</f>
        <v/>
      </c>
      <c r="AZ13" s="71">
        <f t="shared" si="1"/>
        <v>146.29000000000002</v>
      </c>
      <c r="BA13" s="72">
        <f t="shared" ref="BA13:BA42" si="67">IFERROR(AZ13/$AZ$8*100,"")</f>
        <v>79.075675675675683</v>
      </c>
      <c r="BB13" s="2" t="str">
        <f>IFERROR((#REF!*(#REF!/100)+(#REF!*(#REF!/100))+(#REF!*(#REF!/100))),"")</f>
        <v/>
      </c>
      <c r="BC13" s="71" t="str">
        <f t="shared" ref="BC13:BC42" si="68">IFERROR(BB13/$BB$8*100,"")</f>
        <v/>
      </c>
      <c r="BF13" s="4"/>
      <c r="BG13" s="81" t="str">
        <f t="shared" ref="BG13:BG42" si="69">IF(BF13="","",BF13/$BF$9)</f>
        <v/>
      </c>
      <c r="BH13" s="4"/>
      <c r="BI13" s="81" t="str">
        <f t="shared" ref="BI13:BI42" si="70">IF(BH13="","",BH13/$BH$9)</f>
        <v/>
      </c>
      <c r="BJ13" s="73"/>
      <c r="BK13" s="81" t="str">
        <f t="shared" ref="BK13:BK32" si="71">IF(BJ13="","",BJ13/$BJ$9)</f>
        <v/>
      </c>
      <c r="BL13" s="73"/>
      <c r="BM13" s="81" t="str">
        <f t="shared" si="37"/>
        <v/>
      </c>
      <c r="BN13" s="73">
        <f t="shared" si="38"/>
        <v>18.1493</v>
      </c>
      <c r="BO13" s="79">
        <f t="shared" si="39"/>
        <v>0.78910000000000002</v>
      </c>
      <c r="BP13" s="73"/>
      <c r="BQ13" s="79" t="str">
        <f t="shared" si="40"/>
        <v/>
      </c>
      <c r="BR13" s="73">
        <f t="shared" si="41"/>
        <v>30.3492</v>
      </c>
      <c r="BS13" s="79">
        <f t="shared" si="42"/>
        <v>0.72260000000000002</v>
      </c>
      <c r="BT13" s="172">
        <f t="shared" si="43"/>
        <v>25.9</v>
      </c>
      <c r="BU13" s="79">
        <f t="shared" si="44"/>
        <v>0.74</v>
      </c>
      <c r="BV13" s="4"/>
      <c r="BW13" s="4"/>
      <c r="BX13" s="73"/>
      <c r="BY13" s="81" t="str">
        <f t="shared" si="45"/>
        <v/>
      </c>
      <c r="BZ13" s="73"/>
      <c r="CA13" s="81"/>
      <c r="CB13" s="73">
        <f t="shared" si="2"/>
        <v>46.3</v>
      </c>
      <c r="CC13" s="81">
        <f t="shared" si="46"/>
        <v>0.92599999999999993</v>
      </c>
      <c r="CD13" s="4">
        <f t="shared" si="47"/>
        <v>38.234999999999999</v>
      </c>
      <c r="CE13" s="79">
        <f t="shared" si="48"/>
        <v>0.76469999999999994</v>
      </c>
      <c r="CF13" s="81"/>
      <c r="CG13" s="81"/>
      <c r="CH13" s="72">
        <f t="shared" si="49"/>
        <v>40.65</v>
      </c>
      <c r="CI13" s="81">
        <f t="shared" si="50"/>
        <v>0.81299999999999994</v>
      </c>
      <c r="CJ13" s="81"/>
      <c r="CK13" s="81"/>
      <c r="CL13" s="4">
        <f t="shared" si="51"/>
        <v>40.65</v>
      </c>
      <c r="CM13" s="79">
        <f t="shared" si="3"/>
        <v>0.81299999999999994</v>
      </c>
      <c r="CN13" s="4"/>
      <c r="CO13" s="4"/>
      <c r="CP13" s="4"/>
      <c r="CQ13" s="4"/>
      <c r="CR13" s="4"/>
      <c r="CS13" s="4"/>
      <c r="CT13" s="4"/>
      <c r="CU13" s="4"/>
      <c r="CV13" s="73"/>
      <c r="CW13" s="79" t="str">
        <f t="shared" si="4"/>
        <v/>
      </c>
      <c r="CX13" s="4"/>
      <c r="CY13" s="79" t="str">
        <f t="shared" si="5"/>
        <v/>
      </c>
      <c r="CZ13" s="4"/>
      <c r="DA13" s="4"/>
      <c r="DB13" s="4"/>
      <c r="DC13" s="4"/>
      <c r="DD13" s="4">
        <f t="shared" si="52"/>
        <v>39.200000000000003</v>
      </c>
      <c r="DE13" s="79">
        <f t="shared" si="53"/>
        <v>0.78400000000000003</v>
      </c>
      <c r="DF13" s="4">
        <f t="shared" si="54"/>
        <v>42.7</v>
      </c>
      <c r="DG13" s="79">
        <f t="shared" si="55"/>
        <v>0.85400000000000009</v>
      </c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73">
        <f t="shared" si="56"/>
        <v>38.234999999999999</v>
      </c>
      <c r="DY13" s="79">
        <f t="shared" si="6"/>
        <v>0.76469999999999994</v>
      </c>
      <c r="DZ13" s="4"/>
      <c r="EA13" s="4"/>
      <c r="EB13" s="4"/>
      <c r="EC13" s="4"/>
      <c r="ED13" s="73">
        <f t="shared" si="57"/>
        <v>37.04</v>
      </c>
      <c r="EE13" s="81">
        <f t="shared" si="7"/>
        <v>0.74080000000000001</v>
      </c>
      <c r="EF13" s="73"/>
      <c r="EG13" s="81"/>
      <c r="EH13" s="73"/>
      <c r="EI13" s="81" t="str">
        <f t="shared" si="8"/>
        <v/>
      </c>
      <c r="EJ13" s="72"/>
      <c r="EK13" s="81" t="str">
        <f t="shared" si="9"/>
        <v/>
      </c>
      <c r="EL13" s="171"/>
      <c r="EM13" s="81" t="str">
        <f t="shared" si="10"/>
        <v/>
      </c>
      <c r="EN13" s="72">
        <f t="shared" si="58"/>
        <v>25.511500000000002</v>
      </c>
      <c r="EO13" s="81">
        <f t="shared" si="11"/>
        <v>0.6895</v>
      </c>
      <c r="EP13" s="4"/>
      <c r="EQ13" s="4"/>
      <c r="ER13" s="73">
        <f t="shared" si="59"/>
        <v>22.44</v>
      </c>
      <c r="ES13" s="79">
        <f t="shared" si="12"/>
        <v>0.68</v>
      </c>
      <c r="ET13" s="4">
        <f t="shared" si="60"/>
        <v>20.099999999999998</v>
      </c>
      <c r="EU13" s="79">
        <f t="shared" si="13"/>
        <v>0.66999999999999993</v>
      </c>
      <c r="EV13" s="4"/>
      <c r="EW13" s="4"/>
      <c r="EX13" s="4"/>
      <c r="EY13" s="79" t="str">
        <f t="shared" si="14"/>
        <v/>
      </c>
      <c r="EZ13" s="4"/>
      <c r="FA13" s="79" t="str">
        <f t="shared" si="15"/>
        <v/>
      </c>
      <c r="FB13" s="4">
        <f t="shared" si="61"/>
        <v>39.200000000000003</v>
      </c>
      <c r="FC13" s="81">
        <f t="shared" si="16"/>
        <v>0.78400000000000003</v>
      </c>
      <c r="FD13" s="4">
        <f t="shared" si="62"/>
        <v>42.7</v>
      </c>
      <c r="FE13" s="79">
        <f t="shared" si="63"/>
        <v>0.85400000000000009</v>
      </c>
      <c r="FF13" s="72"/>
      <c r="FG13" s="81"/>
      <c r="FH13" s="81"/>
      <c r="FI13" s="81"/>
      <c r="FJ13" s="73" t="str">
        <f>IFERROR(IF(#REF!="","",IFERROR(#REF!*(#REF!/100),""))+IF(#REF!="","",IFERROR(#REF!*(#REF!/100),"")),"")</f>
        <v/>
      </c>
      <c r="FK13" s="81" t="str">
        <f t="shared" si="17"/>
        <v/>
      </c>
      <c r="FL13" s="158">
        <f t="shared" si="18"/>
        <v>146.29000000000002</v>
      </c>
      <c r="FM13" s="159">
        <f t="shared" si="19"/>
        <v>0.79075675675675683</v>
      </c>
      <c r="FN13" s="84"/>
      <c r="FO13" s="84"/>
      <c r="FP13" s="158" t="str">
        <f>IFERROR(IF(#REF!="","",IFERROR(#REF!*(#REF!/100),""))+IF(#REF!="","",IFERROR(#REF!*(#REF!/100),"")),"")</f>
        <v/>
      </c>
      <c r="FQ13" s="159" t="str">
        <f t="shared" si="20"/>
        <v/>
      </c>
      <c r="FR13" s="158" t="str">
        <f>IFERROR(IF(#REF!="","",IFERROR(#REF!*(#REF!/100),"")),"")</f>
        <v/>
      </c>
      <c r="FS13" s="159" t="str">
        <f t="shared" si="21"/>
        <v/>
      </c>
      <c r="FT13" s="157">
        <f t="shared" si="22"/>
        <v>706.83015675675688</v>
      </c>
      <c r="FU13" s="92" t="e">
        <f t="shared" si="23"/>
        <v>#REF!</v>
      </c>
    </row>
    <row r="14" spans="1:177">
      <c r="A14" s="105">
        <v>4</v>
      </c>
      <c r="B14" s="106" t="s">
        <v>189</v>
      </c>
      <c r="C14" s="106" t="s">
        <v>190</v>
      </c>
      <c r="D14" s="66">
        <f>'MK1-TM'!D22</f>
        <v>66.739999999999995</v>
      </c>
      <c r="E14" s="66">
        <f>'MK1-TM'!E22</f>
        <v>58.21</v>
      </c>
      <c r="F14" s="66">
        <f>'MK1-TM'!F22</f>
        <v>72.14</v>
      </c>
      <c r="G14" s="66">
        <f t="shared" si="24"/>
        <v>65.047399999999996</v>
      </c>
      <c r="H14" s="83">
        <f>'MK2-TO'!D22</f>
        <v>82</v>
      </c>
      <c r="I14" s="83">
        <f>'MK2-TO'!E22</f>
        <v>70.099999999999994</v>
      </c>
      <c r="J14" s="83">
        <f t="shared" si="25"/>
        <v>76.05</v>
      </c>
      <c r="K14" s="67">
        <f>'MK3-PSTI'!D22</f>
        <v>64.47</v>
      </c>
      <c r="L14" s="67">
        <f>'MK3-PSTI'!E22</f>
        <v>73.47</v>
      </c>
      <c r="M14" s="67">
        <f t="shared" si="26"/>
        <v>68.97</v>
      </c>
      <c r="N14" s="68">
        <f>IF('MK4-L&amp;A'!D22="","",'MK4-L&amp;A'!D22)</f>
        <v>70.27</v>
      </c>
      <c r="O14" s="68">
        <f>'MK4-L&amp;A'!E22</f>
        <v>72.58</v>
      </c>
      <c r="P14" s="68">
        <f>'MK4-L&amp;A'!F22</f>
        <v>69.33</v>
      </c>
      <c r="Q14" s="68">
        <f t="shared" si="27"/>
        <v>70.750299999999996</v>
      </c>
      <c r="R14" s="69">
        <f>'MK5-BP'!D22</f>
        <v>93.9</v>
      </c>
      <c r="S14" s="69">
        <f>'MK5-BP'!E22</f>
        <v>93.9</v>
      </c>
      <c r="T14" s="69">
        <f t="shared" si="28"/>
        <v>93.9</v>
      </c>
      <c r="U14" s="35">
        <f>IF('MK7-MBD'!D21="","",'MK7-MBD'!D21)</f>
        <v>74.900000000000006</v>
      </c>
      <c r="V14" s="35">
        <f>IF('MK7-MBD'!E21="","",'MK7-MBD'!E21)</f>
        <v>78.400000000000006</v>
      </c>
      <c r="W14" s="35">
        <f t="shared" si="29"/>
        <v>76.650000000000006</v>
      </c>
      <c r="X14" s="70">
        <f>IF(MK8_BID!D22="","",MK8_BID!D22)</f>
        <v>74.900000000000006</v>
      </c>
      <c r="Y14" s="70">
        <f>'MK7-MBD'!E21</f>
        <v>78.400000000000006</v>
      </c>
      <c r="Z14" s="70">
        <f t="shared" si="30"/>
        <v>76.650000000000006</v>
      </c>
      <c r="AB14" s="71">
        <f t="shared" si="0"/>
        <v>126.0352</v>
      </c>
      <c r="AC14" s="72">
        <f t="shared" si="64"/>
        <v>58.621023255813952</v>
      </c>
      <c r="AD14" s="71" t="str">
        <f>IFERROR((#REF!*(#REF!/100)),"")</f>
        <v/>
      </c>
      <c r="AE14" s="72" t="str">
        <f t="shared" si="31"/>
        <v/>
      </c>
      <c r="AF14" s="71">
        <f t="shared" si="32"/>
        <v>72.9499</v>
      </c>
      <c r="AG14" s="72">
        <f t="shared" si="33"/>
        <v>83.850459770114938</v>
      </c>
      <c r="AH14" s="71" t="str">
        <f>IFERROR((#REF!*(#REF!/100)),"")</f>
        <v/>
      </c>
      <c r="AI14" s="72" t="str">
        <f t="shared" si="34"/>
        <v/>
      </c>
      <c r="AJ14" s="72"/>
      <c r="AK14" s="72"/>
      <c r="AL14" s="72"/>
      <c r="AM14" s="72"/>
      <c r="AN14" s="72"/>
      <c r="AO14" s="72"/>
      <c r="AP14" s="72"/>
      <c r="AQ14" s="72"/>
      <c r="AR14" s="71">
        <f t="shared" si="35"/>
        <v>67.748999999999995</v>
      </c>
      <c r="AS14" s="72">
        <f t="shared" si="65"/>
        <v>84.686250000000001</v>
      </c>
      <c r="AT14" s="71" t="str">
        <f>IFERROR((X14*($X$9/100)+#REF!*(#REF!/100)+#REF!*(#REF!/100)),"")</f>
        <v/>
      </c>
      <c r="AU14" s="72" t="str">
        <f t="shared" si="36"/>
        <v/>
      </c>
      <c r="AV14" s="72"/>
      <c r="AW14" s="72"/>
      <c r="AX14" s="71" t="str">
        <f>IFERROR((#REF!*(#REF!/100)+#REF!*(#REF!/100)+#REF!*(#REF!/100)),"")</f>
        <v/>
      </c>
      <c r="AY14" s="72" t="str">
        <f t="shared" si="66"/>
        <v/>
      </c>
      <c r="AZ14" s="71">
        <f t="shared" si="1"/>
        <v>136.23399999999998</v>
      </c>
      <c r="BA14" s="72">
        <f t="shared" si="67"/>
        <v>73.64</v>
      </c>
      <c r="BB14" s="2" t="str">
        <f>IFERROR((#REF!*(#REF!/100)+#REF!*(#REF!/100)+#REF!*(#REF!/100)),"")</f>
        <v/>
      </c>
      <c r="BC14" s="71" t="str">
        <f t="shared" si="68"/>
        <v/>
      </c>
      <c r="BF14" s="4"/>
      <c r="BG14" s="81" t="str">
        <f t="shared" si="69"/>
        <v/>
      </c>
      <c r="BH14" s="4"/>
      <c r="BI14" s="81" t="str">
        <f t="shared" si="70"/>
        <v/>
      </c>
      <c r="BJ14" s="73"/>
      <c r="BK14" s="81" t="str">
        <f t="shared" si="71"/>
        <v/>
      </c>
      <c r="BL14" s="73"/>
      <c r="BM14" s="81" t="str">
        <f t="shared" si="37"/>
        <v/>
      </c>
      <c r="BN14" s="73">
        <f t="shared" si="38"/>
        <v>15.350199999999999</v>
      </c>
      <c r="BO14" s="79">
        <f t="shared" si="39"/>
        <v>0.66739999999999999</v>
      </c>
      <c r="BP14" s="73"/>
      <c r="BQ14" s="79" t="str">
        <f t="shared" si="40"/>
        <v/>
      </c>
      <c r="BR14" s="73">
        <f t="shared" si="41"/>
        <v>24.4482</v>
      </c>
      <c r="BS14" s="79">
        <f t="shared" si="42"/>
        <v>0.58209999999999995</v>
      </c>
      <c r="BT14" s="172">
        <f t="shared" si="43"/>
        <v>25.248999999999999</v>
      </c>
      <c r="BU14" s="79">
        <f t="shared" si="44"/>
        <v>0.72139999999999993</v>
      </c>
      <c r="BV14" s="4"/>
      <c r="BW14" s="4"/>
      <c r="BX14" s="73"/>
      <c r="BY14" s="81" t="str">
        <f t="shared" si="45"/>
        <v/>
      </c>
      <c r="BZ14" s="73"/>
      <c r="CA14" s="81"/>
      <c r="CB14" s="73">
        <f t="shared" si="2"/>
        <v>46.95</v>
      </c>
      <c r="CC14" s="81">
        <f t="shared" si="46"/>
        <v>0.93900000000000006</v>
      </c>
      <c r="CD14" s="4">
        <f t="shared" si="47"/>
        <v>32.234999999999999</v>
      </c>
      <c r="CE14" s="79">
        <f t="shared" si="48"/>
        <v>0.64469999999999994</v>
      </c>
      <c r="CF14" s="81"/>
      <c r="CG14" s="81"/>
      <c r="CH14" s="72">
        <f t="shared" si="49"/>
        <v>41</v>
      </c>
      <c r="CI14" s="81">
        <f t="shared" si="50"/>
        <v>0.82</v>
      </c>
      <c r="CJ14" s="81"/>
      <c r="CK14" s="81"/>
      <c r="CL14" s="4">
        <f t="shared" si="51"/>
        <v>35.049999999999997</v>
      </c>
      <c r="CM14" s="79">
        <f t="shared" si="3"/>
        <v>0.70099999999999996</v>
      </c>
      <c r="CN14" s="4"/>
      <c r="CO14" s="4"/>
      <c r="CP14" s="4"/>
      <c r="CQ14" s="4"/>
      <c r="CR14" s="4"/>
      <c r="CS14" s="4"/>
      <c r="CT14" s="4"/>
      <c r="CU14" s="4"/>
      <c r="CV14" s="73"/>
      <c r="CW14" s="79" t="str">
        <f t="shared" si="4"/>
        <v/>
      </c>
      <c r="CX14" s="4"/>
      <c r="CY14" s="79" t="str">
        <f t="shared" si="5"/>
        <v/>
      </c>
      <c r="CZ14" s="4"/>
      <c r="DA14" s="4"/>
      <c r="DB14" s="4"/>
      <c r="DC14" s="4"/>
      <c r="DD14" s="4">
        <f t="shared" si="52"/>
        <v>37.450000000000003</v>
      </c>
      <c r="DE14" s="79">
        <f t="shared" si="53"/>
        <v>0.74900000000000011</v>
      </c>
      <c r="DF14" s="4">
        <f t="shared" si="54"/>
        <v>39.200000000000003</v>
      </c>
      <c r="DG14" s="79">
        <f t="shared" si="55"/>
        <v>0.78400000000000003</v>
      </c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73">
        <f t="shared" si="56"/>
        <v>32.234999999999999</v>
      </c>
      <c r="DY14" s="79">
        <f t="shared" si="6"/>
        <v>0.64469999999999994</v>
      </c>
      <c r="DZ14" s="4"/>
      <c r="EA14" s="4"/>
      <c r="EB14" s="4"/>
      <c r="EC14" s="4"/>
      <c r="ED14" s="73">
        <f t="shared" si="57"/>
        <v>36.734999999999999</v>
      </c>
      <c r="EE14" s="81">
        <f t="shared" si="7"/>
        <v>0.73470000000000002</v>
      </c>
      <c r="EF14" s="73"/>
      <c r="EG14" s="81"/>
      <c r="EH14" s="73"/>
      <c r="EI14" s="81" t="str">
        <f t="shared" si="8"/>
        <v/>
      </c>
      <c r="EJ14" s="72"/>
      <c r="EK14" s="81" t="str">
        <f t="shared" si="9"/>
        <v/>
      </c>
      <c r="EL14" s="171"/>
      <c r="EM14" s="81" t="str">
        <f t="shared" si="10"/>
        <v/>
      </c>
      <c r="EN14" s="72">
        <f t="shared" si="58"/>
        <v>25.999899999999997</v>
      </c>
      <c r="EO14" s="81">
        <f t="shared" si="11"/>
        <v>0.70269999999999988</v>
      </c>
      <c r="EP14" s="4"/>
      <c r="EQ14" s="4"/>
      <c r="ER14" s="73">
        <f t="shared" si="59"/>
        <v>23.9514</v>
      </c>
      <c r="ES14" s="79">
        <f t="shared" si="12"/>
        <v>0.7258</v>
      </c>
      <c r="ET14" s="4">
        <f t="shared" si="60"/>
        <v>20.798999999999999</v>
      </c>
      <c r="EU14" s="79">
        <f t="shared" si="13"/>
        <v>0.69330000000000003</v>
      </c>
      <c r="EV14" s="4"/>
      <c r="EW14" s="4"/>
      <c r="EX14" s="4"/>
      <c r="EY14" s="79" t="str">
        <f t="shared" si="14"/>
        <v/>
      </c>
      <c r="EZ14" s="4"/>
      <c r="FA14" s="79" t="str">
        <f t="shared" si="15"/>
        <v/>
      </c>
      <c r="FB14" s="4">
        <f t="shared" si="61"/>
        <v>37.450000000000003</v>
      </c>
      <c r="FC14" s="81">
        <f t="shared" si="16"/>
        <v>0.74900000000000011</v>
      </c>
      <c r="FD14" s="4">
        <f t="shared" si="62"/>
        <v>39.200000000000003</v>
      </c>
      <c r="FE14" s="79">
        <f t="shared" si="63"/>
        <v>0.78400000000000003</v>
      </c>
      <c r="FF14" s="72"/>
      <c r="FG14" s="81"/>
      <c r="FH14" s="81"/>
      <c r="FI14" s="81"/>
      <c r="FJ14" s="73" t="str">
        <f>IFERROR(IF(#REF!="","",IFERROR(#REF!*(#REF!/100),""))+IF(#REF!="","",IFERROR(#REF!*(#REF!/100),"")),"")</f>
        <v/>
      </c>
      <c r="FK14" s="81" t="str">
        <f t="shared" si="17"/>
        <v/>
      </c>
      <c r="FL14" s="158">
        <f t="shared" si="18"/>
        <v>136.23399999999998</v>
      </c>
      <c r="FM14" s="159">
        <f t="shared" si="19"/>
        <v>0.73639999999999994</v>
      </c>
      <c r="FN14" s="84"/>
      <c r="FO14" s="84"/>
      <c r="FP14" s="158" t="str">
        <f>IFERROR(IF(#REF!="","",IFERROR(#REF!*(#REF!/100),""))+IF(#REF!="","",IFERROR(#REF!*(#REF!/100),"")),"")</f>
        <v/>
      </c>
      <c r="FQ14" s="159" t="str">
        <f t="shared" si="20"/>
        <v/>
      </c>
      <c r="FR14" s="158" t="str">
        <f>IFERROR(IF(#REF!="","",IFERROR(#REF!*(#REF!/100),"")),"")</f>
        <v/>
      </c>
      <c r="FS14" s="159" t="str">
        <f t="shared" si="21"/>
        <v/>
      </c>
      <c r="FT14" s="157">
        <f t="shared" si="22"/>
        <v>661.91589999999997</v>
      </c>
      <c r="FU14" s="92" t="e">
        <f t="shared" si="23"/>
        <v>#REF!</v>
      </c>
    </row>
    <row r="15" spans="1:177">
      <c r="A15" s="105">
        <v>5</v>
      </c>
      <c r="B15" s="106" t="s">
        <v>191</v>
      </c>
      <c r="C15" s="106" t="s">
        <v>192</v>
      </c>
      <c r="D15" s="66">
        <f>'MK1-TM'!D23</f>
        <v>76.3</v>
      </c>
      <c r="E15" s="66">
        <f>'MK1-TM'!E23</f>
        <v>69.64</v>
      </c>
      <c r="F15" s="66">
        <f>'MK1-TM'!F23</f>
        <v>75</v>
      </c>
      <c r="G15" s="66">
        <f t="shared" si="24"/>
        <v>73.047799999999995</v>
      </c>
      <c r="H15" s="83">
        <f>'MK2-TO'!D23</f>
        <v>82</v>
      </c>
      <c r="I15" s="83">
        <f>'MK2-TO'!E23</f>
        <v>70.099999999999994</v>
      </c>
      <c r="J15" s="83">
        <f t="shared" si="25"/>
        <v>76.05</v>
      </c>
      <c r="K15" s="67">
        <f>'MK3-PSTI'!D23</f>
        <v>70.59</v>
      </c>
      <c r="L15" s="67">
        <f>'MK3-PSTI'!E23</f>
        <v>79.39</v>
      </c>
      <c r="M15" s="67">
        <f t="shared" si="26"/>
        <v>74.990000000000009</v>
      </c>
      <c r="N15" s="68">
        <f>IF('MK4-L&amp;A'!D23="","",'MK4-L&amp;A'!D23)</f>
        <v>78.41</v>
      </c>
      <c r="O15" s="68">
        <f>'MK4-L&amp;A'!E23</f>
        <v>80.88</v>
      </c>
      <c r="P15" s="68">
        <f>'MK4-L&amp;A'!F23</f>
        <v>78.67</v>
      </c>
      <c r="Q15" s="68">
        <f t="shared" si="27"/>
        <v>79.303100000000001</v>
      </c>
      <c r="R15" s="69">
        <f>'MK5-BP'!D23</f>
        <v>92.6</v>
      </c>
      <c r="S15" s="69">
        <f>'MK5-BP'!E23</f>
        <v>92.6</v>
      </c>
      <c r="T15" s="69">
        <f t="shared" si="28"/>
        <v>92.6</v>
      </c>
      <c r="U15" s="35">
        <f>IF('MK7-MBD'!D22="","",'MK7-MBD'!D22)</f>
        <v>81.900000000000006</v>
      </c>
      <c r="V15" s="35">
        <f>IF('MK7-MBD'!E22="","",'MK7-MBD'!E22)</f>
        <v>81.900000000000006</v>
      </c>
      <c r="W15" s="35">
        <f t="shared" si="29"/>
        <v>81.900000000000006</v>
      </c>
      <c r="X15" s="70">
        <f>IF(MK8_BID!D23="","",MK8_BID!D23)</f>
        <v>81.900000000000006</v>
      </c>
      <c r="Y15" s="70">
        <f>'MK7-MBD'!E22</f>
        <v>81.900000000000006</v>
      </c>
      <c r="Z15" s="70">
        <f t="shared" si="30"/>
        <v>81.900000000000006</v>
      </c>
      <c r="AB15" s="71">
        <f t="shared" si="0"/>
        <v>134.79399999999998</v>
      </c>
      <c r="AC15" s="72">
        <f t="shared" si="64"/>
        <v>62.694883720930228</v>
      </c>
      <c r="AD15" s="71" t="str">
        <f>IFERROR((#REF!*(#REF!/100)),"")</f>
        <v/>
      </c>
      <c r="AE15" s="72" t="str">
        <f t="shared" si="31"/>
        <v/>
      </c>
      <c r="AF15" s="71">
        <f t="shared" si="32"/>
        <v>75.311700000000002</v>
      </c>
      <c r="AG15" s="72">
        <f t="shared" si="33"/>
        <v>86.565172413793107</v>
      </c>
      <c r="AH15" s="71" t="str">
        <f>IFERROR((#REF!*(#REF!/100)),"")</f>
        <v/>
      </c>
      <c r="AI15" s="72" t="str">
        <f t="shared" si="34"/>
        <v/>
      </c>
      <c r="AJ15" s="72"/>
      <c r="AK15" s="72"/>
      <c r="AL15" s="72"/>
      <c r="AM15" s="72"/>
      <c r="AN15" s="72"/>
      <c r="AO15" s="72"/>
      <c r="AP15" s="72"/>
      <c r="AQ15" s="72"/>
      <c r="AR15" s="71">
        <f t="shared" si="35"/>
        <v>69.900999999999996</v>
      </c>
      <c r="AS15" s="72">
        <f t="shared" si="65"/>
        <v>87.376249999999999</v>
      </c>
      <c r="AT15" s="71" t="str">
        <f>IFERROR((X15*($X$9/100)+#REF!*(#REF!/100)+#REF!*(#REF!/100)),"")</f>
        <v/>
      </c>
      <c r="AU15" s="72" t="str">
        <f t="shared" si="36"/>
        <v/>
      </c>
      <c r="AV15" s="72"/>
      <c r="AW15" s="72"/>
      <c r="AX15" s="71" t="str">
        <f>IFERROR((#REF!*(#REF!/100)+#REF!*(#REF!/100)+#REF!*(#REF!/100)),"")</f>
        <v/>
      </c>
      <c r="AY15" s="72" t="str">
        <f t="shared" si="66"/>
        <v/>
      </c>
      <c r="AZ15" s="71">
        <f t="shared" si="1"/>
        <v>141.94499999999999</v>
      </c>
      <c r="BA15" s="72">
        <f t="shared" si="67"/>
        <v>76.727027027027034</v>
      </c>
      <c r="BB15" s="2" t="str">
        <f>IFERROR((#REF!*(#REF!/100)+#REF!*(#REF!/100)+#REF!*(#REF!/100)),"")</f>
        <v/>
      </c>
      <c r="BC15" s="71" t="str">
        <f t="shared" si="68"/>
        <v/>
      </c>
      <c r="BF15" s="4"/>
      <c r="BG15" s="81" t="str">
        <f t="shared" si="69"/>
        <v/>
      </c>
      <c r="BH15" s="4"/>
      <c r="BI15" s="81" t="str">
        <f t="shared" si="70"/>
        <v/>
      </c>
      <c r="BJ15" s="73"/>
      <c r="BK15" s="81" t="str">
        <f t="shared" si="71"/>
        <v/>
      </c>
      <c r="BL15" s="73"/>
      <c r="BM15" s="81" t="str">
        <f t="shared" si="37"/>
        <v/>
      </c>
      <c r="BN15" s="73">
        <f t="shared" si="38"/>
        <v>17.548999999999999</v>
      </c>
      <c r="BO15" s="79">
        <f t="shared" si="39"/>
        <v>0.76300000000000001</v>
      </c>
      <c r="BP15" s="73"/>
      <c r="BQ15" s="79" t="str">
        <f t="shared" si="40"/>
        <v/>
      </c>
      <c r="BR15" s="73">
        <f t="shared" si="41"/>
        <v>29.248799999999999</v>
      </c>
      <c r="BS15" s="79">
        <f t="shared" si="42"/>
        <v>0.69640000000000002</v>
      </c>
      <c r="BT15" s="172">
        <f t="shared" si="43"/>
        <v>26.25</v>
      </c>
      <c r="BU15" s="79">
        <f t="shared" si="44"/>
        <v>0.75</v>
      </c>
      <c r="BV15" s="4"/>
      <c r="BW15" s="4"/>
      <c r="BX15" s="73"/>
      <c r="BY15" s="81" t="str">
        <f t="shared" si="45"/>
        <v/>
      </c>
      <c r="BZ15" s="73"/>
      <c r="CA15" s="81"/>
      <c r="CB15" s="73">
        <f t="shared" si="2"/>
        <v>46.3</v>
      </c>
      <c r="CC15" s="81">
        <f t="shared" si="46"/>
        <v>0.92599999999999993</v>
      </c>
      <c r="CD15" s="4">
        <f t="shared" si="47"/>
        <v>35.295000000000002</v>
      </c>
      <c r="CE15" s="79">
        <f t="shared" si="48"/>
        <v>0.70590000000000008</v>
      </c>
      <c r="CF15" s="81"/>
      <c r="CG15" s="81"/>
      <c r="CH15" s="72">
        <f t="shared" si="49"/>
        <v>41</v>
      </c>
      <c r="CI15" s="81">
        <f t="shared" si="50"/>
        <v>0.82</v>
      </c>
      <c r="CJ15" s="81"/>
      <c r="CK15" s="81"/>
      <c r="CL15" s="4">
        <f t="shared" si="51"/>
        <v>35.049999999999997</v>
      </c>
      <c r="CM15" s="79">
        <f t="shared" si="3"/>
        <v>0.70099999999999996</v>
      </c>
      <c r="CN15" s="4"/>
      <c r="CO15" s="4"/>
      <c r="CP15" s="4"/>
      <c r="CQ15" s="4"/>
      <c r="CR15" s="4"/>
      <c r="CS15" s="4"/>
      <c r="CT15" s="4"/>
      <c r="CU15" s="4"/>
      <c r="CV15" s="73"/>
      <c r="CW15" s="79" t="str">
        <f t="shared" si="4"/>
        <v/>
      </c>
      <c r="CX15" s="4"/>
      <c r="CY15" s="79" t="str">
        <f t="shared" si="5"/>
        <v/>
      </c>
      <c r="CZ15" s="4"/>
      <c r="DA15" s="4"/>
      <c r="DB15" s="4"/>
      <c r="DC15" s="4"/>
      <c r="DD15" s="4">
        <f t="shared" si="52"/>
        <v>40.950000000000003</v>
      </c>
      <c r="DE15" s="79">
        <f t="shared" si="53"/>
        <v>0.81900000000000006</v>
      </c>
      <c r="DF15" s="4">
        <f t="shared" si="54"/>
        <v>40.950000000000003</v>
      </c>
      <c r="DG15" s="79">
        <f t="shared" si="55"/>
        <v>0.81900000000000006</v>
      </c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73">
        <f t="shared" si="56"/>
        <v>35.295000000000002</v>
      </c>
      <c r="DY15" s="79">
        <f t="shared" si="6"/>
        <v>0.70590000000000008</v>
      </c>
      <c r="DZ15" s="4"/>
      <c r="EA15" s="4"/>
      <c r="EB15" s="4"/>
      <c r="EC15" s="4"/>
      <c r="ED15" s="73">
        <f t="shared" si="57"/>
        <v>39.695</v>
      </c>
      <c r="EE15" s="81">
        <f t="shared" si="7"/>
        <v>0.79390000000000005</v>
      </c>
      <c r="EF15" s="73"/>
      <c r="EG15" s="81"/>
      <c r="EH15" s="73"/>
      <c r="EI15" s="81" t="str">
        <f t="shared" si="8"/>
        <v/>
      </c>
      <c r="EJ15" s="72"/>
      <c r="EK15" s="81" t="str">
        <f t="shared" si="9"/>
        <v/>
      </c>
      <c r="EL15" s="171"/>
      <c r="EM15" s="81" t="str">
        <f t="shared" si="10"/>
        <v/>
      </c>
      <c r="EN15" s="72">
        <f t="shared" si="58"/>
        <v>29.011699999999998</v>
      </c>
      <c r="EO15" s="81">
        <f t="shared" si="11"/>
        <v>0.78409999999999991</v>
      </c>
      <c r="EP15" s="4"/>
      <c r="EQ15" s="4"/>
      <c r="ER15" s="73">
        <f t="shared" si="59"/>
        <v>26.6904</v>
      </c>
      <c r="ES15" s="79">
        <f t="shared" si="12"/>
        <v>0.80879999999999996</v>
      </c>
      <c r="ET15" s="4">
        <f t="shared" si="60"/>
        <v>23.600999999999999</v>
      </c>
      <c r="EU15" s="79">
        <f t="shared" si="13"/>
        <v>0.78669999999999995</v>
      </c>
      <c r="EV15" s="4"/>
      <c r="EW15" s="4"/>
      <c r="EX15" s="4"/>
      <c r="EY15" s="79" t="str">
        <f t="shared" si="14"/>
        <v/>
      </c>
      <c r="EZ15" s="4"/>
      <c r="FA15" s="79" t="str">
        <f t="shared" si="15"/>
        <v/>
      </c>
      <c r="FB15" s="4">
        <f t="shared" si="61"/>
        <v>40.950000000000003</v>
      </c>
      <c r="FC15" s="81">
        <f t="shared" si="16"/>
        <v>0.81900000000000006</v>
      </c>
      <c r="FD15" s="4">
        <f t="shared" si="62"/>
        <v>40.950000000000003</v>
      </c>
      <c r="FE15" s="79">
        <f t="shared" si="63"/>
        <v>0.81900000000000006</v>
      </c>
      <c r="FF15" s="72"/>
      <c r="FG15" s="81"/>
      <c r="FH15" s="81"/>
      <c r="FI15" s="81"/>
      <c r="FJ15" s="73" t="str">
        <f>IFERROR(IF(#REF!="","",IFERROR(#REF!*(#REF!/100),""))+IF(#REF!="","",IFERROR(#REF!*(#REF!/100),"")),"")</f>
        <v/>
      </c>
      <c r="FK15" s="81" t="str">
        <f t="shared" si="17"/>
        <v/>
      </c>
      <c r="FL15" s="158">
        <f t="shared" si="18"/>
        <v>141.94499999999999</v>
      </c>
      <c r="FM15" s="159">
        <f t="shared" si="19"/>
        <v>0.76727027027027028</v>
      </c>
      <c r="FN15" s="84"/>
      <c r="FO15" s="84"/>
      <c r="FP15" s="158" t="str">
        <f>IFERROR(IF(#REF!="","",IFERROR(#REF!*(#REF!/100),""))+IF(#REF!="","",IFERROR(#REF!*(#REF!/100),"")),"")</f>
        <v/>
      </c>
      <c r="FQ15" s="159" t="str">
        <f t="shared" si="20"/>
        <v/>
      </c>
      <c r="FR15" s="158" t="str">
        <f>IFERROR(IF(#REF!="","",IFERROR(#REF!*(#REF!/100),"")),"")</f>
        <v/>
      </c>
      <c r="FS15" s="159" t="str">
        <f t="shared" si="21"/>
        <v/>
      </c>
      <c r="FT15" s="157">
        <f t="shared" si="22"/>
        <v>704.0158702702704</v>
      </c>
      <c r="FU15" s="92" t="e">
        <f t="shared" si="23"/>
        <v>#REF!</v>
      </c>
    </row>
    <row r="16" spans="1:177">
      <c r="A16" s="105">
        <v>6</v>
      </c>
      <c r="B16" s="106" t="s">
        <v>193</v>
      </c>
      <c r="C16" s="106" t="s">
        <v>194</v>
      </c>
      <c r="D16" s="66">
        <f>'MK1-TM'!D24</f>
        <v>64.13</v>
      </c>
      <c r="E16" s="66">
        <f>'MK1-TM'!E24</f>
        <v>49.64</v>
      </c>
      <c r="F16" s="66">
        <f>'MK1-TM'!F24</f>
        <v>55</v>
      </c>
      <c r="G16" s="66">
        <f t="shared" si="24"/>
        <v>54.848700000000001</v>
      </c>
      <c r="H16" s="83">
        <f>'MK2-TO'!D24</f>
        <v>57.5</v>
      </c>
      <c r="I16" s="83">
        <f>'MK2-TO'!E24</f>
        <v>73.599999999999994</v>
      </c>
      <c r="J16" s="83">
        <f t="shared" si="25"/>
        <v>65.55</v>
      </c>
      <c r="K16" s="67">
        <f>'MK3-PSTI'!D24</f>
        <v>74.12</v>
      </c>
      <c r="L16" s="67">
        <f>'MK3-PSTI'!E24</f>
        <v>75.099999999999994</v>
      </c>
      <c r="M16" s="67">
        <f t="shared" si="26"/>
        <v>74.61</v>
      </c>
      <c r="N16" s="68">
        <f>IF('MK4-L&amp;A'!D24="","",'MK4-L&amp;A'!D24)</f>
        <v>65.540000000000006</v>
      </c>
      <c r="O16" s="68">
        <f>'MK4-L&amp;A'!E24</f>
        <v>62.27</v>
      </c>
      <c r="P16" s="68">
        <f>'MK4-L&amp;A'!F24</f>
        <v>76.5</v>
      </c>
      <c r="Q16" s="68">
        <f t="shared" si="27"/>
        <v>67.748900000000006</v>
      </c>
      <c r="R16" s="69">
        <f>'MK5-BP'!D24</f>
        <v>93.9</v>
      </c>
      <c r="S16" s="69">
        <f>'MK5-BP'!E24</f>
        <v>93.9</v>
      </c>
      <c r="T16" s="69">
        <f t="shared" si="28"/>
        <v>93.9</v>
      </c>
      <c r="U16" s="35">
        <f>IF('MK7-MBD'!D23="","",'MK7-MBD'!D23)</f>
        <v>66.5</v>
      </c>
      <c r="V16" s="35">
        <f>IF('MK7-MBD'!E23="","",'MK7-MBD'!E23)</f>
        <v>77</v>
      </c>
      <c r="W16" s="35">
        <f t="shared" si="29"/>
        <v>71.75</v>
      </c>
      <c r="X16" s="70">
        <f>IF(MK8_BID!D24="","",MK8_BID!D24)</f>
        <v>66.5</v>
      </c>
      <c r="Y16" s="70">
        <f>'MK7-MBD'!E23</f>
        <v>77</v>
      </c>
      <c r="Z16" s="70">
        <f t="shared" si="30"/>
        <v>71.75</v>
      </c>
      <c r="AB16" s="71">
        <f t="shared" si="0"/>
        <v>113.8099</v>
      </c>
      <c r="AC16" s="72">
        <f t="shared" si="64"/>
        <v>52.934837209302323</v>
      </c>
      <c r="AD16" s="71" t="str">
        <f>IFERROR((#REF!*(#REF!/100)),"")</f>
        <v/>
      </c>
      <c r="AE16" s="72" t="str">
        <f t="shared" si="31"/>
        <v/>
      </c>
      <c r="AF16" s="71">
        <f t="shared" si="32"/>
        <v>71.19980000000001</v>
      </c>
      <c r="AG16" s="72">
        <f t="shared" si="33"/>
        <v>81.838850574712652</v>
      </c>
      <c r="AH16" s="71" t="str">
        <f>IFERROR((#REF!*(#REF!/100)),"")</f>
        <v/>
      </c>
      <c r="AI16" s="72" t="str">
        <f t="shared" si="34"/>
        <v/>
      </c>
      <c r="AJ16" s="72"/>
      <c r="AK16" s="72"/>
      <c r="AL16" s="72"/>
      <c r="AM16" s="72"/>
      <c r="AN16" s="72"/>
      <c r="AO16" s="72"/>
      <c r="AP16" s="72"/>
      <c r="AQ16" s="72"/>
      <c r="AR16" s="71">
        <f t="shared" si="35"/>
        <v>69.900000000000006</v>
      </c>
      <c r="AS16" s="72">
        <f t="shared" si="65"/>
        <v>87.375</v>
      </c>
      <c r="AT16" s="71" t="str">
        <f>IFERROR((X16*($X$9/100)+#REF!*(#REF!/100)+#REF!*(#REF!/100)),"")</f>
        <v/>
      </c>
      <c r="AU16" s="72" t="str">
        <f t="shared" si="36"/>
        <v/>
      </c>
      <c r="AV16" s="72"/>
      <c r="AW16" s="72"/>
      <c r="AX16" s="71" t="str">
        <f>IFERROR((#REF!*(#REF!/100)+#REF!*(#REF!/100)+#REF!*(#REF!/100)),"")</f>
        <v/>
      </c>
      <c r="AY16" s="72" t="str">
        <f t="shared" si="66"/>
        <v/>
      </c>
      <c r="AZ16" s="71">
        <f t="shared" si="1"/>
        <v>132.1</v>
      </c>
      <c r="BA16" s="72">
        <f t="shared" si="67"/>
        <v>71.405405405405403</v>
      </c>
      <c r="BB16" s="2" t="str">
        <f>IFERROR((#REF!*(#REF!/100)+#REF!*(#REF!/100)+#REF!*(#REF!/100)),"")</f>
        <v/>
      </c>
      <c r="BC16" s="71" t="str">
        <f t="shared" si="68"/>
        <v/>
      </c>
      <c r="BF16" s="4"/>
      <c r="BG16" s="81" t="str">
        <f t="shared" si="69"/>
        <v/>
      </c>
      <c r="BH16" s="4"/>
      <c r="BI16" s="81" t="str">
        <f t="shared" si="70"/>
        <v/>
      </c>
      <c r="BJ16" s="73"/>
      <c r="BK16" s="81" t="str">
        <f t="shared" si="71"/>
        <v/>
      </c>
      <c r="BL16" s="73"/>
      <c r="BM16" s="81" t="str">
        <f t="shared" si="37"/>
        <v/>
      </c>
      <c r="BN16" s="73">
        <f t="shared" si="38"/>
        <v>14.7499</v>
      </c>
      <c r="BO16" s="79">
        <f t="shared" si="39"/>
        <v>0.64129999999999998</v>
      </c>
      <c r="BP16" s="73"/>
      <c r="BQ16" s="79" t="str">
        <f t="shared" si="40"/>
        <v/>
      </c>
      <c r="BR16" s="73">
        <f t="shared" si="41"/>
        <v>20.848800000000001</v>
      </c>
      <c r="BS16" s="79">
        <f t="shared" si="42"/>
        <v>0.49640000000000001</v>
      </c>
      <c r="BT16" s="172">
        <f t="shared" si="43"/>
        <v>19.25</v>
      </c>
      <c r="BU16" s="79">
        <f t="shared" si="44"/>
        <v>0.55000000000000004</v>
      </c>
      <c r="BV16" s="4"/>
      <c r="BW16" s="4"/>
      <c r="BX16" s="73"/>
      <c r="BY16" s="81" t="str">
        <f t="shared" si="45"/>
        <v/>
      </c>
      <c r="BZ16" s="73"/>
      <c r="CA16" s="81"/>
      <c r="CB16" s="73">
        <f t="shared" si="2"/>
        <v>46.95</v>
      </c>
      <c r="CC16" s="81">
        <f t="shared" si="46"/>
        <v>0.93900000000000006</v>
      </c>
      <c r="CD16" s="4">
        <f t="shared" si="47"/>
        <v>37.06</v>
      </c>
      <c r="CE16" s="79">
        <f t="shared" si="48"/>
        <v>0.74120000000000008</v>
      </c>
      <c r="CF16" s="81"/>
      <c r="CG16" s="81"/>
      <c r="CH16" s="72">
        <f t="shared" si="49"/>
        <v>28.75</v>
      </c>
      <c r="CI16" s="81">
        <f t="shared" si="50"/>
        <v>0.57499999999999996</v>
      </c>
      <c r="CJ16" s="81"/>
      <c r="CK16" s="81"/>
      <c r="CL16" s="4">
        <f t="shared" si="51"/>
        <v>36.799999999999997</v>
      </c>
      <c r="CM16" s="79">
        <f t="shared" si="3"/>
        <v>0.73599999999999999</v>
      </c>
      <c r="CN16" s="4"/>
      <c r="CO16" s="4"/>
      <c r="CP16" s="4"/>
      <c r="CQ16" s="4"/>
      <c r="CR16" s="4"/>
      <c r="CS16" s="4"/>
      <c r="CT16" s="4"/>
      <c r="CU16" s="4"/>
      <c r="CV16" s="73"/>
      <c r="CW16" s="79" t="str">
        <f t="shared" si="4"/>
        <v/>
      </c>
      <c r="CX16" s="4"/>
      <c r="CY16" s="79" t="str">
        <f t="shared" si="5"/>
        <v/>
      </c>
      <c r="CZ16" s="4"/>
      <c r="DA16" s="4"/>
      <c r="DB16" s="4"/>
      <c r="DC16" s="4"/>
      <c r="DD16" s="4">
        <f t="shared" si="52"/>
        <v>33.25</v>
      </c>
      <c r="DE16" s="79">
        <f t="shared" si="53"/>
        <v>0.66500000000000004</v>
      </c>
      <c r="DF16" s="4">
        <f t="shared" si="54"/>
        <v>38.5</v>
      </c>
      <c r="DG16" s="79">
        <f t="shared" si="55"/>
        <v>0.77</v>
      </c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73">
        <f t="shared" si="56"/>
        <v>37.06</v>
      </c>
      <c r="DY16" s="79">
        <f t="shared" si="6"/>
        <v>0.74120000000000008</v>
      </c>
      <c r="DZ16" s="4"/>
      <c r="EA16" s="4"/>
      <c r="EB16" s="4"/>
      <c r="EC16" s="4"/>
      <c r="ED16" s="73">
        <f t="shared" si="57"/>
        <v>37.549999999999997</v>
      </c>
      <c r="EE16" s="81">
        <f t="shared" si="7"/>
        <v>0.75099999999999989</v>
      </c>
      <c r="EF16" s="73"/>
      <c r="EG16" s="81"/>
      <c r="EH16" s="73"/>
      <c r="EI16" s="81" t="str">
        <f t="shared" si="8"/>
        <v/>
      </c>
      <c r="EJ16" s="72"/>
      <c r="EK16" s="81" t="str">
        <f t="shared" si="9"/>
        <v/>
      </c>
      <c r="EL16" s="171"/>
      <c r="EM16" s="81" t="str">
        <f t="shared" si="10"/>
        <v/>
      </c>
      <c r="EN16" s="72">
        <f t="shared" si="58"/>
        <v>24.2498</v>
      </c>
      <c r="EO16" s="81">
        <f t="shared" si="11"/>
        <v>0.65539999999999998</v>
      </c>
      <c r="EP16" s="4"/>
      <c r="EQ16" s="4"/>
      <c r="ER16" s="73">
        <f t="shared" si="59"/>
        <v>20.549100000000003</v>
      </c>
      <c r="ES16" s="79">
        <f t="shared" si="12"/>
        <v>0.62270000000000003</v>
      </c>
      <c r="ET16" s="4">
        <f t="shared" si="60"/>
        <v>22.95</v>
      </c>
      <c r="EU16" s="79">
        <f t="shared" si="13"/>
        <v>0.76500000000000001</v>
      </c>
      <c r="EV16" s="4"/>
      <c r="EW16" s="4"/>
      <c r="EX16" s="4"/>
      <c r="EY16" s="79" t="str">
        <f t="shared" si="14"/>
        <v/>
      </c>
      <c r="EZ16" s="4"/>
      <c r="FA16" s="79" t="str">
        <f t="shared" si="15"/>
        <v/>
      </c>
      <c r="FB16" s="4">
        <f t="shared" si="61"/>
        <v>33.25</v>
      </c>
      <c r="FC16" s="81">
        <f t="shared" si="16"/>
        <v>0.66500000000000004</v>
      </c>
      <c r="FD16" s="4">
        <f t="shared" si="62"/>
        <v>38.5</v>
      </c>
      <c r="FE16" s="79">
        <f t="shared" si="63"/>
        <v>0.77</v>
      </c>
      <c r="FF16" s="72"/>
      <c r="FG16" s="81"/>
      <c r="FH16" s="81"/>
      <c r="FI16" s="81"/>
      <c r="FJ16" s="73" t="str">
        <f>IFERROR(IF(#REF!="","",IFERROR(#REF!*(#REF!/100),""))+IF(#REF!="","",IFERROR(#REF!*(#REF!/100),"")),"")</f>
        <v/>
      </c>
      <c r="FK16" s="81" t="str">
        <f t="shared" si="17"/>
        <v/>
      </c>
      <c r="FL16" s="158">
        <f t="shared" si="18"/>
        <v>132.1</v>
      </c>
      <c r="FM16" s="159">
        <f t="shared" si="19"/>
        <v>0.71405405405405398</v>
      </c>
      <c r="FN16" s="84"/>
      <c r="FO16" s="84"/>
      <c r="FP16" s="158" t="str">
        <f>IFERROR(IF(#REF!="","",IFERROR(#REF!*(#REF!/100),""))+IF(#REF!="","",IFERROR(#REF!*(#REF!/100),"")),"")</f>
        <v/>
      </c>
      <c r="FQ16" s="159" t="str">
        <f t="shared" si="20"/>
        <v/>
      </c>
      <c r="FR16" s="158" t="str">
        <f>IFERROR(IF(#REF!="","",IFERROR(#REF!*(#REF!/100),"")),"")</f>
        <v/>
      </c>
      <c r="FS16" s="159" t="str">
        <f t="shared" si="21"/>
        <v/>
      </c>
      <c r="FT16" s="157">
        <f t="shared" si="22"/>
        <v>634.16585405405385</v>
      </c>
      <c r="FU16" s="92" t="e">
        <f t="shared" si="23"/>
        <v>#REF!</v>
      </c>
    </row>
    <row r="17" spans="1:177">
      <c r="A17" s="105">
        <v>7</v>
      </c>
      <c r="B17" s="106" t="s">
        <v>195</v>
      </c>
      <c r="C17" s="106" t="s">
        <v>196</v>
      </c>
      <c r="D17" s="66">
        <f>'MK1-TM'!D25</f>
        <v>92.17</v>
      </c>
      <c r="E17" s="66">
        <f>'MK1-TM'!E25</f>
        <v>80.239999999999995</v>
      </c>
      <c r="F17" s="66">
        <f>'MK1-TM'!F25</f>
        <v>61.57</v>
      </c>
      <c r="G17" s="66">
        <f t="shared" si="24"/>
        <v>76.449399999999997</v>
      </c>
      <c r="H17" s="83">
        <f>'MK2-TO'!D25</f>
        <v>81.3</v>
      </c>
      <c r="I17" s="83">
        <f>'MK2-TO'!E25</f>
        <v>81.3</v>
      </c>
      <c r="J17" s="83">
        <f t="shared" si="25"/>
        <v>81.3</v>
      </c>
      <c r="K17" s="67">
        <f>'MK3-PSTI'!D25</f>
        <v>86.71</v>
      </c>
      <c r="L17" s="67">
        <f>'MK3-PSTI'!E25</f>
        <v>82.35</v>
      </c>
      <c r="M17" s="67">
        <f t="shared" si="26"/>
        <v>84.53</v>
      </c>
      <c r="N17" s="68">
        <f>IF('MK4-L&amp;A'!D25="","",'MK4-L&amp;A'!D25)</f>
        <v>85.14</v>
      </c>
      <c r="O17" s="68">
        <f>'MK4-L&amp;A'!E25</f>
        <v>86.82</v>
      </c>
      <c r="P17" s="68">
        <f>'MK4-L&amp;A'!F25</f>
        <v>79.5</v>
      </c>
      <c r="Q17" s="68">
        <f t="shared" si="27"/>
        <v>84.002399999999994</v>
      </c>
      <c r="R17" s="69">
        <f>'MK5-BP'!D25</f>
        <v>81.400000000000006</v>
      </c>
      <c r="S17" s="69">
        <f>'MK5-BP'!E25</f>
        <v>81.400000000000006</v>
      </c>
      <c r="T17" s="69">
        <f t="shared" si="28"/>
        <v>81.400000000000006</v>
      </c>
      <c r="U17" s="35">
        <f>IF('MK7-MBD'!D24="","",'MK7-MBD'!D24)</f>
        <v>75.5</v>
      </c>
      <c r="V17" s="35">
        <f>IF('MK7-MBD'!E24="","",'MK7-MBD'!E24)</f>
        <v>75.5</v>
      </c>
      <c r="W17" s="35">
        <f t="shared" si="29"/>
        <v>75.5</v>
      </c>
      <c r="X17" s="70">
        <f>IF(MK8_BID!D25="","",MK8_BID!D25)</f>
        <v>75.5</v>
      </c>
      <c r="Y17" s="70">
        <f>'MK7-MBD'!E24</f>
        <v>75.5</v>
      </c>
      <c r="Z17" s="70">
        <f t="shared" si="30"/>
        <v>75.5</v>
      </c>
      <c r="AB17" s="71">
        <f t="shared" si="0"/>
        <v>142.95409999999998</v>
      </c>
      <c r="AC17" s="72">
        <f t="shared" si="64"/>
        <v>66.490279069767439</v>
      </c>
      <c r="AD17" s="71"/>
      <c r="AE17" s="72"/>
      <c r="AF17" s="71">
        <f t="shared" si="32"/>
        <v>72.201800000000006</v>
      </c>
      <c r="AG17" s="72">
        <f t="shared" si="33"/>
        <v>82.990574712643678</v>
      </c>
      <c r="AH17" s="71" t="str">
        <f>IFERROR((#REF!*(#REF!/100)),"")</f>
        <v/>
      </c>
      <c r="AI17" s="72" t="str">
        <f t="shared" si="34"/>
        <v/>
      </c>
      <c r="AJ17" s="72"/>
      <c r="AK17" s="72"/>
      <c r="AL17" s="72"/>
      <c r="AM17" s="72"/>
      <c r="AN17" s="72"/>
      <c r="AO17" s="72"/>
      <c r="AP17" s="72"/>
      <c r="AQ17" s="72"/>
      <c r="AR17" s="71">
        <f t="shared" si="35"/>
        <v>64.55</v>
      </c>
      <c r="AS17" s="72">
        <f t="shared" si="65"/>
        <v>80.6875</v>
      </c>
      <c r="AT17" s="71" t="str">
        <f>IFERROR((X17*($X$9/100)+#REF!*(#REF!/100)+#REF!*(#REF!/100)),"")</f>
        <v/>
      </c>
      <c r="AU17" s="72" t="str">
        <f t="shared" si="36"/>
        <v/>
      </c>
      <c r="AV17" s="72"/>
      <c r="AW17" s="72"/>
      <c r="AX17" s="71" t="str">
        <f>IFERROR((#REF!*(#REF!/100)+#REF!*(#REF!/100)+#REF!*(#REF!/100)),"")</f>
        <v/>
      </c>
      <c r="AY17" s="72" t="str">
        <f t="shared" si="66"/>
        <v/>
      </c>
      <c r="AZ17" s="71">
        <f t="shared" si="1"/>
        <v>141.12450000000001</v>
      </c>
      <c r="BA17" s="72">
        <f t="shared" si="67"/>
        <v>76.283513513513526</v>
      </c>
      <c r="BB17" s="2" t="str">
        <f>IFERROR((#REF!*(#REF!/100)+#REF!*(#REF!/100)+#REF!*(#REF!/100)),"")</f>
        <v/>
      </c>
      <c r="BC17" s="71" t="str">
        <f t="shared" si="68"/>
        <v/>
      </c>
      <c r="BF17" s="4"/>
      <c r="BG17" s="81" t="str">
        <f t="shared" si="69"/>
        <v/>
      </c>
      <c r="BH17" s="4"/>
      <c r="BI17" s="81" t="str">
        <f t="shared" si="70"/>
        <v/>
      </c>
      <c r="BJ17" s="73"/>
      <c r="BK17" s="81" t="str">
        <f t="shared" si="71"/>
        <v/>
      </c>
      <c r="BL17" s="73"/>
      <c r="BM17" s="81" t="str">
        <f t="shared" si="37"/>
        <v/>
      </c>
      <c r="BN17" s="73">
        <f t="shared" si="38"/>
        <v>21.199100000000001</v>
      </c>
      <c r="BO17" s="79">
        <f t="shared" si="39"/>
        <v>0.92170000000000007</v>
      </c>
      <c r="BP17" s="73"/>
      <c r="BQ17" s="79" t="str">
        <f t="shared" si="40"/>
        <v/>
      </c>
      <c r="BR17" s="73">
        <f t="shared" si="41"/>
        <v>33.700799999999994</v>
      </c>
      <c r="BS17" s="79">
        <f t="shared" si="42"/>
        <v>0.80239999999999989</v>
      </c>
      <c r="BT17" s="172">
        <f t="shared" si="43"/>
        <v>21.549499999999998</v>
      </c>
      <c r="BU17" s="79">
        <f t="shared" si="44"/>
        <v>0.61569999999999991</v>
      </c>
      <c r="BV17" s="4"/>
      <c r="BW17" s="4"/>
      <c r="BX17" s="73"/>
      <c r="BY17" s="81" t="str">
        <f t="shared" si="45"/>
        <v/>
      </c>
      <c r="BZ17" s="73"/>
      <c r="CA17" s="81"/>
      <c r="CB17" s="73">
        <f t="shared" si="2"/>
        <v>40.700000000000003</v>
      </c>
      <c r="CC17" s="81">
        <f t="shared" si="46"/>
        <v>0.81400000000000006</v>
      </c>
      <c r="CD17" s="4">
        <f t="shared" si="47"/>
        <v>43.354999999999997</v>
      </c>
      <c r="CE17" s="79">
        <f t="shared" si="48"/>
        <v>0.86709999999999998</v>
      </c>
      <c r="CF17" s="81"/>
      <c r="CG17" s="81"/>
      <c r="CH17" s="72">
        <f t="shared" si="49"/>
        <v>40.65</v>
      </c>
      <c r="CI17" s="81">
        <f t="shared" si="50"/>
        <v>0.81299999999999994</v>
      </c>
      <c r="CJ17" s="81"/>
      <c r="CK17" s="81"/>
      <c r="CL17" s="4">
        <f t="shared" si="51"/>
        <v>40.65</v>
      </c>
      <c r="CM17" s="79">
        <f t="shared" si="3"/>
        <v>0.81299999999999994</v>
      </c>
      <c r="CN17" s="4"/>
      <c r="CO17" s="4"/>
      <c r="CP17" s="4"/>
      <c r="CQ17" s="4"/>
      <c r="CR17" s="4"/>
      <c r="CS17" s="4"/>
      <c r="CT17" s="4"/>
      <c r="CU17" s="4"/>
      <c r="CV17" s="73"/>
      <c r="CW17" s="79" t="str">
        <f t="shared" si="4"/>
        <v/>
      </c>
      <c r="CX17" s="4"/>
      <c r="CY17" s="79" t="str">
        <f t="shared" si="5"/>
        <v/>
      </c>
      <c r="CZ17" s="4"/>
      <c r="DA17" s="4"/>
      <c r="DB17" s="4"/>
      <c r="DC17" s="4"/>
      <c r="DD17" s="4">
        <f t="shared" si="52"/>
        <v>37.75</v>
      </c>
      <c r="DE17" s="79">
        <f t="shared" si="53"/>
        <v>0.755</v>
      </c>
      <c r="DF17" s="4">
        <f t="shared" si="54"/>
        <v>37.75</v>
      </c>
      <c r="DG17" s="79">
        <f t="shared" si="55"/>
        <v>0.755</v>
      </c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73">
        <f t="shared" si="56"/>
        <v>43.354999999999997</v>
      </c>
      <c r="DY17" s="79">
        <f t="shared" si="6"/>
        <v>0.86709999999999998</v>
      </c>
      <c r="DZ17" s="4"/>
      <c r="EA17" s="4"/>
      <c r="EB17" s="4"/>
      <c r="EC17" s="4"/>
      <c r="ED17" s="73">
        <f t="shared" si="57"/>
        <v>41.174999999999997</v>
      </c>
      <c r="EE17" s="81">
        <f t="shared" si="7"/>
        <v>0.8234999999999999</v>
      </c>
      <c r="EF17" s="73"/>
      <c r="EG17" s="81"/>
      <c r="EH17" s="73"/>
      <c r="EI17" s="81" t="str">
        <f t="shared" si="8"/>
        <v/>
      </c>
      <c r="EJ17" s="72"/>
      <c r="EK17" s="81" t="str">
        <f t="shared" si="9"/>
        <v/>
      </c>
      <c r="EL17" s="171"/>
      <c r="EM17" s="81" t="str">
        <f t="shared" si="10"/>
        <v/>
      </c>
      <c r="EN17" s="72">
        <f t="shared" si="58"/>
        <v>31.501799999999999</v>
      </c>
      <c r="EO17" s="81">
        <f t="shared" si="11"/>
        <v>0.85139999999999993</v>
      </c>
      <c r="EP17" s="4"/>
      <c r="EQ17" s="4"/>
      <c r="ER17" s="73">
        <f t="shared" si="59"/>
        <v>28.650600000000001</v>
      </c>
      <c r="ES17" s="79">
        <f t="shared" si="12"/>
        <v>0.86819999999999997</v>
      </c>
      <c r="ET17" s="4">
        <f t="shared" si="60"/>
        <v>23.849999999999998</v>
      </c>
      <c r="EU17" s="79">
        <f t="shared" si="13"/>
        <v>0.79499999999999993</v>
      </c>
      <c r="EV17" s="4"/>
      <c r="EW17" s="4"/>
      <c r="EX17" s="4"/>
      <c r="EY17" s="79" t="str">
        <f t="shared" si="14"/>
        <v/>
      </c>
      <c r="EZ17" s="4"/>
      <c r="FA17" s="79" t="str">
        <f t="shared" si="15"/>
        <v/>
      </c>
      <c r="FB17" s="4">
        <f t="shared" si="61"/>
        <v>37.75</v>
      </c>
      <c r="FC17" s="81">
        <f t="shared" si="16"/>
        <v>0.755</v>
      </c>
      <c r="FD17" s="4">
        <f t="shared" si="62"/>
        <v>37.75</v>
      </c>
      <c r="FE17" s="79">
        <f t="shared" si="63"/>
        <v>0.755</v>
      </c>
      <c r="FF17" s="72"/>
      <c r="FG17" s="81"/>
      <c r="FH17" s="81"/>
      <c r="FI17" s="81"/>
      <c r="FJ17" s="73"/>
      <c r="FK17" s="81" t="str">
        <f t="shared" si="17"/>
        <v/>
      </c>
      <c r="FL17" s="158">
        <f t="shared" si="18"/>
        <v>141.12450000000001</v>
      </c>
      <c r="FM17" s="159">
        <f t="shared" si="19"/>
        <v>0.76283513513513523</v>
      </c>
      <c r="FN17" s="84"/>
      <c r="FO17" s="84"/>
      <c r="FP17" s="158" t="str">
        <f>IFERROR(IF(#REF!="","",IFERROR(#REF!*(#REF!/100),""))+IF(#REF!="","",IFERROR(#REF!*(#REF!/100),"")),"")</f>
        <v/>
      </c>
      <c r="FQ17" s="159" t="str">
        <f t="shared" si="20"/>
        <v/>
      </c>
      <c r="FR17" s="158" t="str">
        <f>IFERROR(IF(#REF!="","",IFERROR(#REF!*(#REF!/100),"")),"")</f>
        <v/>
      </c>
      <c r="FS17" s="159" t="str">
        <f t="shared" si="21"/>
        <v/>
      </c>
      <c r="FT17" s="157">
        <f t="shared" si="22"/>
        <v>716.0962351351352</v>
      </c>
      <c r="FU17" s="92" t="e">
        <f t="shared" si="23"/>
        <v>#REF!</v>
      </c>
    </row>
    <row r="18" spans="1:177">
      <c r="A18" s="105">
        <v>8</v>
      </c>
      <c r="B18" s="106" t="s">
        <v>197</v>
      </c>
      <c r="C18" s="106" t="s">
        <v>198</v>
      </c>
      <c r="D18" s="66">
        <f>'MK1-TM'!D26</f>
        <v>72.83</v>
      </c>
      <c r="E18" s="66">
        <f>'MK1-TM'!E26</f>
        <v>67.739999999999995</v>
      </c>
      <c r="F18" s="66">
        <f>'MK1-TM'!F26</f>
        <v>80.709999999999994</v>
      </c>
      <c r="G18" s="66">
        <f t="shared" si="24"/>
        <v>73.450199999999995</v>
      </c>
      <c r="H18" s="83">
        <f>'MK2-TO'!D26</f>
        <v>73.599999999999994</v>
      </c>
      <c r="I18" s="83">
        <f>'MK2-TO'!E26</f>
        <v>68.7</v>
      </c>
      <c r="J18" s="83">
        <f t="shared" si="25"/>
        <v>71.150000000000006</v>
      </c>
      <c r="K18" s="67">
        <f>'MK3-PSTI'!D26</f>
        <v>80.94</v>
      </c>
      <c r="L18" s="67">
        <f>'MK3-PSTI'!E26</f>
        <v>74.59</v>
      </c>
      <c r="M18" s="67">
        <f t="shared" si="26"/>
        <v>77.765000000000001</v>
      </c>
      <c r="N18" s="68">
        <f>IF('MK4-L&amp;A'!D26="","",'MK4-L&amp;A'!D26)</f>
        <v>66.22</v>
      </c>
      <c r="O18" s="68">
        <f>'MK4-L&amp;A'!E26</f>
        <v>67.27</v>
      </c>
      <c r="P18" s="68">
        <f>'MK4-L&amp;A'!F26</f>
        <v>70.17</v>
      </c>
      <c r="Q18" s="68">
        <f t="shared" si="27"/>
        <v>67.751500000000007</v>
      </c>
      <c r="R18" s="69">
        <f>'MK5-BP'!D26</f>
        <v>81.400000000000006</v>
      </c>
      <c r="S18" s="69">
        <f>'MK5-BP'!E26</f>
        <v>81.400000000000006</v>
      </c>
      <c r="T18" s="69">
        <f t="shared" si="28"/>
        <v>81.400000000000006</v>
      </c>
      <c r="U18" s="35">
        <f>IF('MK7-MBD'!D25="","",'MK7-MBD'!D25)</f>
        <v>58</v>
      </c>
      <c r="V18" s="35">
        <f>IF('MK7-MBD'!E25="","",'MK7-MBD'!E25)</f>
        <v>93</v>
      </c>
      <c r="W18" s="35">
        <f t="shared" si="29"/>
        <v>75.5</v>
      </c>
      <c r="X18" s="70">
        <f>IF(MK8_BID!D26="","",MK8_BID!D26)</f>
        <v>58</v>
      </c>
      <c r="Y18" s="70">
        <f>'MK7-MBD'!E25</f>
        <v>93</v>
      </c>
      <c r="Z18" s="70">
        <f t="shared" si="30"/>
        <v>75.5</v>
      </c>
      <c r="AB18" s="71">
        <f t="shared" si="0"/>
        <v>123.0209</v>
      </c>
      <c r="AC18" s="72">
        <f t="shared" si="64"/>
        <v>57.219023255813951</v>
      </c>
      <c r="AD18" s="71" t="str">
        <f>IFERROR((#REF!*(#REF!/100)),"")</f>
        <v/>
      </c>
      <c r="AE18" s="72" t="str">
        <f t="shared" si="31"/>
        <v/>
      </c>
      <c r="AF18" s="71">
        <f t="shared" si="32"/>
        <v>65.201400000000007</v>
      </c>
      <c r="AG18" s="72">
        <f t="shared" si="33"/>
        <v>74.94413793103449</v>
      </c>
      <c r="AH18" s="71" t="str">
        <f>IFERROR((#REF!*(#REF!/100)),"")</f>
        <v/>
      </c>
      <c r="AI18" s="72" t="str">
        <f t="shared" si="34"/>
        <v/>
      </c>
      <c r="AJ18" s="72"/>
      <c r="AK18" s="72"/>
      <c r="AL18" s="72"/>
      <c r="AM18" s="72"/>
      <c r="AN18" s="72"/>
      <c r="AO18" s="72"/>
      <c r="AP18" s="72"/>
      <c r="AQ18" s="72"/>
      <c r="AR18" s="71">
        <f t="shared" si="35"/>
        <v>61.751000000000005</v>
      </c>
      <c r="AS18" s="72">
        <f t="shared" si="65"/>
        <v>77.188749999999999</v>
      </c>
      <c r="AT18" s="71" t="str">
        <f>IFERROR((X18*($X$9/100)+#REF!*(#REF!/100)+#REF!*(#REF!/100)),"")</f>
        <v/>
      </c>
      <c r="AU18" s="72" t="str">
        <f t="shared" si="36"/>
        <v/>
      </c>
      <c r="AV18" s="72"/>
      <c r="AW18" s="72"/>
      <c r="AX18" s="71" t="str">
        <f>IFERROR((#REF!*(#REF!/100)+#REF!*(#REF!/100)+#REF!*(#REF!/100)),"")</f>
        <v/>
      </c>
      <c r="AY18" s="72" t="str">
        <f t="shared" si="66"/>
        <v/>
      </c>
      <c r="AZ18" s="71">
        <f t="shared" si="1"/>
        <v>146.39350000000002</v>
      </c>
      <c r="BA18" s="72">
        <f t="shared" si="67"/>
        <v>79.131621621621633</v>
      </c>
      <c r="BB18" s="2" t="str">
        <f>IFERROR((#REF!*(#REF!/100)+#REF!*(#REF!/100)+#REF!*(#REF!/100)),"")</f>
        <v/>
      </c>
      <c r="BC18" s="71" t="str">
        <f t="shared" si="68"/>
        <v/>
      </c>
      <c r="BF18" s="4"/>
      <c r="BG18" s="81" t="str">
        <f t="shared" si="69"/>
        <v/>
      </c>
      <c r="BH18" s="4"/>
      <c r="BI18" s="81" t="str">
        <f t="shared" si="70"/>
        <v/>
      </c>
      <c r="BJ18" s="73"/>
      <c r="BK18" s="81" t="str">
        <f t="shared" si="71"/>
        <v/>
      </c>
      <c r="BL18" s="73"/>
      <c r="BM18" s="81" t="str">
        <f t="shared" si="37"/>
        <v/>
      </c>
      <c r="BN18" s="73">
        <f t="shared" si="38"/>
        <v>16.750900000000001</v>
      </c>
      <c r="BO18" s="79">
        <f t="shared" si="39"/>
        <v>0.72830000000000006</v>
      </c>
      <c r="BP18" s="73"/>
      <c r="BQ18" s="79" t="str">
        <f t="shared" si="40"/>
        <v/>
      </c>
      <c r="BR18" s="73">
        <f t="shared" si="41"/>
        <v>28.450799999999997</v>
      </c>
      <c r="BS18" s="79">
        <f t="shared" si="42"/>
        <v>0.67739999999999989</v>
      </c>
      <c r="BT18" s="172">
        <f t="shared" si="43"/>
        <v>28.248499999999996</v>
      </c>
      <c r="BU18" s="79">
        <f t="shared" si="44"/>
        <v>0.80709999999999993</v>
      </c>
      <c r="BV18" s="4"/>
      <c r="BW18" s="4"/>
      <c r="BX18" s="73"/>
      <c r="BY18" s="81" t="str">
        <f t="shared" si="45"/>
        <v/>
      </c>
      <c r="BZ18" s="73"/>
      <c r="CA18" s="81"/>
      <c r="CB18" s="73">
        <f t="shared" si="2"/>
        <v>40.700000000000003</v>
      </c>
      <c r="CC18" s="81">
        <f t="shared" si="46"/>
        <v>0.81400000000000006</v>
      </c>
      <c r="CD18" s="4">
        <f t="shared" si="47"/>
        <v>40.47</v>
      </c>
      <c r="CE18" s="79">
        <f t="shared" si="48"/>
        <v>0.80940000000000001</v>
      </c>
      <c r="CF18" s="81"/>
      <c r="CG18" s="81"/>
      <c r="CH18" s="72">
        <f t="shared" si="49"/>
        <v>36.799999999999997</v>
      </c>
      <c r="CI18" s="81">
        <f t="shared" si="50"/>
        <v>0.73599999999999999</v>
      </c>
      <c r="CJ18" s="81"/>
      <c r="CK18" s="81"/>
      <c r="CL18" s="4">
        <f t="shared" si="51"/>
        <v>34.35</v>
      </c>
      <c r="CM18" s="79">
        <f t="shared" si="3"/>
        <v>0.68700000000000006</v>
      </c>
      <c r="CN18" s="4"/>
      <c r="CO18" s="4"/>
      <c r="CP18" s="4"/>
      <c r="CQ18" s="4"/>
      <c r="CR18" s="4"/>
      <c r="CS18" s="4"/>
      <c r="CT18" s="4"/>
      <c r="CU18" s="4"/>
      <c r="CV18" s="73"/>
      <c r="CW18" s="79" t="str">
        <f t="shared" si="4"/>
        <v/>
      </c>
      <c r="CX18" s="4"/>
      <c r="CY18" s="79" t="str">
        <f t="shared" si="5"/>
        <v/>
      </c>
      <c r="CZ18" s="4"/>
      <c r="DA18" s="4"/>
      <c r="DB18" s="4"/>
      <c r="DC18" s="4"/>
      <c r="DD18" s="4">
        <f t="shared" si="52"/>
        <v>29</v>
      </c>
      <c r="DE18" s="79">
        <f t="shared" si="53"/>
        <v>0.57999999999999996</v>
      </c>
      <c r="DF18" s="4">
        <f t="shared" si="54"/>
        <v>46.5</v>
      </c>
      <c r="DG18" s="79">
        <f t="shared" si="55"/>
        <v>0.93</v>
      </c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73">
        <f t="shared" si="56"/>
        <v>40.47</v>
      </c>
      <c r="DY18" s="79">
        <f t="shared" si="6"/>
        <v>0.80940000000000001</v>
      </c>
      <c r="DZ18" s="4"/>
      <c r="EA18" s="4"/>
      <c r="EB18" s="4"/>
      <c r="EC18" s="4"/>
      <c r="ED18" s="73">
        <f t="shared" si="57"/>
        <v>37.295000000000002</v>
      </c>
      <c r="EE18" s="81">
        <f t="shared" si="7"/>
        <v>0.74590000000000001</v>
      </c>
      <c r="EF18" s="73"/>
      <c r="EG18" s="81"/>
      <c r="EH18" s="73"/>
      <c r="EI18" s="81" t="str">
        <f t="shared" si="8"/>
        <v/>
      </c>
      <c r="EJ18" s="72"/>
      <c r="EK18" s="81" t="str">
        <f t="shared" si="9"/>
        <v/>
      </c>
      <c r="EL18" s="171"/>
      <c r="EM18" s="81" t="str">
        <f t="shared" si="10"/>
        <v/>
      </c>
      <c r="EN18" s="72">
        <f t="shared" si="58"/>
        <v>24.5014</v>
      </c>
      <c r="EO18" s="81">
        <f t="shared" si="11"/>
        <v>0.66220000000000001</v>
      </c>
      <c r="EP18" s="4"/>
      <c r="EQ18" s="4"/>
      <c r="ER18" s="73">
        <f t="shared" si="59"/>
        <v>22.199100000000001</v>
      </c>
      <c r="ES18" s="79">
        <f t="shared" si="12"/>
        <v>0.67270000000000008</v>
      </c>
      <c r="ET18" s="4">
        <f t="shared" si="60"/>
        <v>21.050999999999998</v>
      </c>
      <c r="EU18" s="79">
        <f t="shared" si="13"/>
        <v>0.70169999999999999</v>
      </c>
      <c r="EV18" s="4"/>
      <c r="EW18" s="4"/>
      <c r="EX18" s="4"/>
      <c r="EY18" s="79" t="str">
        <f t="shared" si="14"/>
        <v/>
      </c>
      <c r="EZ18" s="4"/>
      <c r="FA18" s="79" t="str">
        <f t="shared" si="15"/>
        <v/>
      </c>
      <c r="FB18" s="4">
        <f t="shared" si="61"/>
        <v>29</v>
      </c>
      <c r="FC18" s="81">
        <f t="shared" si="16"/>
        <v>0.57999999999999996</v>
      </c>
      <c r="FD18" s="4">
        <f t="shared" si="62"/>
        <v>46.5</v>
      </c>
      <c r="FE18" s="79">
        <f t="shared" si="63"/>
        <v>0.93</v>
      </c>
      <c r="FF18" s="72"/>
      <c r="FG18" s="81"/>
      <c r="FH18" s="81"/>
      <c r="FI18" s="81"/>
      <c r="FJ18" s="73" t="str">
        <f>IFERROR(IF(#REF!="","",IFERROR(#REF!*(#REF!/100),""))+IF(#REF!="","",IFERROR(#REF!*(#REF!/100),"")),"")</f>
        <v/>
      </c>
      <c r="FK18" s="81" t="str">
        <f t="shared" si="17"/>
        <v/>
      </c>
      <c r="FL18" s="158">
        <f t="shared" si="18"/>
        <v>146.39350000000002</v>
      </c>
      <c r="FM18" s="159">
        <f t="shared" si="19"/>
        <v>0.79131621621621628</v>
      </c>
      <c r="FN18" s="84"/>
      <c r="FO18" s="84"/>
      <c r="FP18" s="158" t="str">
        <f>IFERROR(IF(#REF!="","",IFERROR(#REF!*(#REF!/100),""))+IF(#REF!="","",IFERROR(#REF!*(#REF!/100),"")),"")</f>
        <v/>
      </c>
      <c r="FQ18" s="159" t="str">
        <f t="shared" si="20"/>
        <v/>
      </c>
      <c r="FR18" s="158" t="str">
        <f>IFERROR(IF(#REF!="","",IFERROR(#REF!*(#REF!/100),"")),"")</f>
        <v/>
      </c>
      <c r="FS18" s="159" t="str">
        <f t="shared" si="21"/>
        <v/>
      </c>
      <c r="FT18" s="157">
        <f t="shared" si="22"/>
        <v>681.34261621621613</v>
      </c>
      <c r="FU18" s="92" t="e">
        <f t="shared" si="23"/>
        <v>#REF!</v>
      </c>
    </row>
    <row r="19" spans="1:177">
      <c r="A19" s="105">
        <v>9</v>
      </c>
      <c r="B19" s="106" t="s">
        <v>199</v>
      </c>
      <c r="C19" s="106" t="s">
        <v>200</v>
      </c>
      <c r="D19" s="66">
        <f>'MK1-TM'!D27</f>
        <v>70.959999999999994</v>
      </c>
      <c r="E19" s="66">
        <f>'MK1-TM'!E27</f>
        <v>62.9</v>
      </c>
      <c r="F19" s="66">
        <f>'MK1-TM'!F27</f>
        <v>77.03</v>
      </c>
      <c r="G19" s="66">
        <f t="shared" si="24"/>
        <v>69.699299999999994</v>
      </c>
      <c r="H19" s="83">
        <f>'MK2-TO'!D27</f>
        <v>63.1</v>
      </c>
      <c r="I19" s="83">
        <f>'MK2-TO'!E27</f>
        <v>59.6</v>
      </c>
      <c r="J19" s="83">
        <f t="shared" si="25"/>
        <v>61.35</v>
      </c>
      <c r="K19" s="67">
        <f>'MK3-PSTI'!D27</f>
        <v>78.47</v>
      </c>
      <c r="L19" s="67">
        <f>'MK3-PSTI'!E27</f>
        <v>74.180000000000007</v>
      </c>
      <c r="M19" s="67">
        <f t="shared" si="26"/>
        <v>76.325000000000003</v>
      </c>
      <c r="N19" s="68">
        <f>IF('MK4-L&amp;A'!D27="","",'MK4-L&amp;A'!D27)</f>
        <v>60.81</v>
      </c>
      <c r="O19" s="68">
        <f>'MK4-L&amp;A'!E27</f>
        <v>58.48</v>
      </c>
      <c r="P19" s="68">
        <f>'MK4-L&amp;A'!F27</f>
        <v>62.33</v>
      </c>
      <c r="Q19" s="68">
        <f t="shared" si="27"/>
        <v>60.497100000000003</v>
      </c>
      <c r="R19" s="69">
        <f>'MK5-BP'!D27</f>
        <v>81.400000000000006</v>
      </c>
      <c r="S19" s="69">
        <f>'MK5-BP'!E27</f>
        <v>81.400000000000006</v>
      </c>
      <c r="T19" s="69">
        <f t="shared" si="28"/>
        <v>81.400000000000006</v>
      </c>
      <c r="U19" s="35">
        <f>IF('MK7-MBD'!D26="","",'MK7-MBD'!D26)</f>
        <v>64.400000000000006</v>
      </c>
      <c r="V19" s="35">
        <f>IF('MK7-MBD'!E26="","",'MK7-MBD'!E26)</f>
        <v>78.400000000000006</v>
      </c>
      <c r="W19" s="35">
        <f t="shared" si="29"/>
        <v>71.400000000000006</v>
      </c>
      <c r="X19" s="70">
        <f>IF(MK8_BID!D27="","",MK8_BID!D27)</f>
        <v>64.400000000000006</v>
      </c>
      <c r="Y19" s="70">
        <f>'MK7-MBD'!E26</f>
        <v>78.400000000000006</v>
      </c>
      <c r="Z19" s="70">
        <f t="shared" si="30"/>
        <v>71.400000000000006</v>
      </c>
      <c r="AB19" s="71">
        <f t="shared" si="0"/>
        <v>119.3058</v>
      </c>
      <c r="AC19" s="72">
        <f t="shared" si="64"/>
        <v>55.491069767441857</v>
      </c>
      <c r="AD19" s="71" t="str">
        <f>IFERROR((#REF!*(#REF!/100)),"")</f>
        <v/>
      </c>
      <c r="AE19" s="72" t="str">
        <f t="shared" si="31"/>
        <v/>
      </c>
      <c r="AF19" s="71">
        <f t="shared" si="32"/>
        <v>63.199700000000007</v>
      </c>
      <c r="AG19" s="72">
        <f t="shared" si="33"/>
        <v>72.643333333333331</v>
      </c>
      <c r="AH19" s="71" t="str">
        <f>IFERROR((#REF!*(#REF!/100)),"")</f>
        <v/>
      </c>
      <c r="AI19" s="72" t="str">
        <f t="shared" si="34"/>
        <v/>
      </c>
      <c r="AJ19" s="72"/>
      <c r="AK19" s="72"/>
      <c r="AL19" s="72"/>
      <c r="AM19" s="72"/>
      <c r="AN19" s="72"/>
      <c r="AO19" s="72"/>
      <c r="AP19" s="72"/>
      <c r="AQ19" s="72"/>
      <c r="AR19" s="71">
        <f t="shared" si="35"/>
        <v>59.399000000000001</v>
      </c>
      <c r="AS19" s="72">
        <f t="shared" si="65"/>
        <v>74.248750000000001</v>
      </c>
      <c r="AT19" s="71" t="str">
        <f>IFERROR((X19*($X$9/100)+#REF!*(#REF!/100)+#REF!*(#REF!/100)),"")</f>
        <v/>
      </c>
      <c r="AU19" s="72" t="str">
        <f t="shared" si="36"/>
        <v/>
      </c>
      <c r="AV19" s="72"/>
      <c r="AW19" s="72"/>
      <c r="AX19" s="71" t="str">
        <f>IFERROR((#REF!*(#REF!/100)+#REF!*(#REF!/100)+#REF!*(#REF!/100)),"")</f>
        <v/>
      </c>
      <c r="AY19" s="72" t="str">
        <f t="shared" si="66"/>
        <v/>
      </c>
      <c r="AZ19" s="71">
        <f t="shared" si="1"/>
        <v>133.0505</v>
      </c>
      <c r="BA19" s="72">
        <f t="shared" si="67"/>
        <v>71.919189189189197</v>
      </c>
      <c r="BB19" s="2" t="str">
        <f>IFERROR((#REF!*(#REF!/100)+#REF!*(#REF!/100)+#REF!*(#REF!/100)),"")</f>
        <v/>
      </c>
      <c r="BC19" s="71" t="str">
        <f t="shared" si="68"/>
        <v/>
      </c>
      <c r="BF19" s="4"/>
      <c r="BG19" s="81" t="str">
        <f t="shared" si="69"/>
        <v/>
      </c>
      <c r="BH19" s="4"/>
      <c r="BI19" s="81" t="str">
        <f t="shared" si="70"/>
        <v/>
      </c>
      <c r="BJ19" s="73"/>
      <c r="BK19" s="81" t="str">
        <f t="shared" si="71"/>
        <v/>
      </c>
      <c r="BL19" s="73"/>
      <c r="BM19" s="81" t="str">
        <f t="shared" si="37"/>
        <v/>
      </c>
      <c r="BN19" s="73">
        <f t="shared" si="38"/>
        <v>16.320799999999998</v>
      </c>
      <c r="BO19" s="79">
        <f t="shared" si="39"/>
        <v>0.7095999999999999</v>
      </c>
      <c r="BP19" s="73"/>
      <c r="BQ19" s="79" t="str">
        <f t="shared" si="40"/>
        <v/>
      </c>
      <c r="BR19" s="73">
        <f t="shared" si="41"/>
        <v>26.417999999999999</v>
      </c>
      <c r="BS19" s="79">
        <f t="shared" si="42"/>
        <v>0.629</v>
      </c>
      <c r="BT19" s="172">
        <f t="shared" si="43"/>
        <v>26.9605</v>
      </c>
      <c r="BU19" s="79">
        <f t="shared" si="44"/>
        <v>0.77029999999999998</v>
      </c>
      <c r="BV19" s="4"/>
      <c r="BW19" s="4"/>
      <c r="BX19" s="73"/>
      <c r="BY19" s="81" t="str">
        <f t="shared" si="45"/>
        <v/>
      </c>
      <c r="BZ19" s="73"/>
      <c r="CA19" s="81"/>
      <c r="CB19" s="73">
        <f t="shared" si="2"/>
        <v>40.700000000000003</v>
      </c>
      <c r="CC19" s="81">
        <f t="shared" si="46"/>
        <v>0.81400000000000006</v>
      </c>
      <c r="CD19" s="4">
        <f t="shared" si="47"/>
        <v>39.234999999999999</v>
      </c>
      <c r="CE19" s="79">
        <f t="shared" si="48"/>
        <v>0.78469999999999995</v>
      </c>
      <c r="CF19" s="81"/>
      <c r="CG19" s="81"/>
      <c r="CH19" s="72">
        <f t="shared" si="49"/>
        <v>31.55</v>
      </c>
      <c r="CI19" s="81">
        <f t="shared" si="50"/>
        <v>0.63100000000000001</v>
      </c>
      <c r="CJ19" s="81"/>
      <c r="CK19" s="81"/>
      <c r="CL19" s="4">
        <f t="shared" si="51"/>
        <v>29.8</v>
      </c>
      <c r="CM19" s="79">
        <f t="shared" si="3"/>
        <v>0.59599999999999997</v>
      </c>
      <c r="CN19" s="4"/>
      <c r="CO19" s="4"/>
      <c r="CP19" s="4"/>
      <c r="CQ19" s="4"/>
      <c r="CR19" s="4"/>
      <c r="CS19" s="4"/>
      <c r="CT19" s="4"/>
      <c r="CU19" s="4"/>
      <c r="CV19" s="73"/>
      <c r="CW19" s="79" t="str">
        <f t="shared" si="4"/>
        <v/>
      </c>
      <c r="CX19" s="4"/>
      <c r="CY19" s="79" t="str">
        <f t="shared" si="5"/>
        <v/>
      </c>
      <c r="CZ19" s="4"/>
      <c r="DA19" s="4"/>
      <c r="DB19" s="4"/>
      <c r="DC19" s="4"/>
      <c r="DD19" s="4">
        <f t="shared" si="52"/>
        <v>32.200000000000003</v>
      </c>
      <c r="DE19" s="79">
        <f t="shared" si="53"/>
        <v>0.64400000000000002</v>
      </c>
      <c r="DF19" s="4">
        <f t="shared" si="54"/>
        <v>39.200000000000003</v>
      </c>
      <c r="DG19" s="79">
        <f t="shared" si="55"/>
        <v>0.78400000000000003</v>
      </c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73">
        <f t="shared" si="56"/>
        <v>39.234999999999999</v>
      </c>
      <c r="DY19" s="79">
        <f t="shared" si="6"/>
        <v>0.78469999999999995</v>
      </c>
      <c r="DZ19" s="4"/>
      <c r="EA19" s="4"/>
      <c r="EB19" s="4"/>
      <c r="EC19" s="4"/>
      <c r="ED19" s="73">
        <f t="shared" si="57"/>
        <v>37.090000000000003</v>
      </c>
      <c r="EE19" s="81">
        <f t="shared" si="7"/>
        <v>0.74180000000000001</v>
      </c>
      <c r="EF19" s="73"/>
      <c r="EG19" s="81"/>
      <c r="EH19" s="73"/>
      <c r="EI19" s="81" t="str">
        <f t="shared" si="8"/>
        <v/>
      </c>
      <c r="EJ19" s="72"/>
      <c r="EK19" s="81" t="str">
        <f t="shared" si="9"/>
        <v/>
      </c>
      <c r="EL19" s="171"/>
      <c r="EM19" s="81" t="str">
        <f t="shared" si="10"/>
        <v/>
      </c>
      <c r="EN19" s="72">
        <f t="shared" si="58"/>
        <v>22.499700000000001</v>
      </c>
      <c r="EO19" s="81">
        <f t="shared" si="11"/>
        <v>0.60809999999999997</v>
      </c>
      <c r="EP19" s="4"/>
      <c r="EQ19" s="4"/>
      <c r="ER19" s="73">
        <f t="shared" si="59"/>
        <v>19.298400000000001</v>
      </c>
      <c r="ES19" s="79">
        <f t="shared" si="12"/>
        <v>0.58479999999999999</v>
      </c>
      <c r="ET19" s="4">
        <f t="shared" si="60"/>
        <v>18.698999999999998</v>
      </c>
      <c r="EU19" s="79">
        <f t="shared" si="13"/>
        <v>0.62329999999999997</v>
      </c>
      <c r="EV19" s="4"/>
      <c r="EW19" s="4"/>
      <c r="EX19" s="4"/>
      <c r="EY19" s="79" t="str">
        <f t="shared" si="14"/>
        <v/>
      </c>
      <c r="EZ19" s="4"/>
      <c r="FA19" s="79" t="str">
        <f t="shared" si="15"/>
        <v/>
      </c>
      <c r="FB19" s="4">
        <f t="shared" si="61"/>
        <v>32.200000000000003</v>
      </c>
      <c r="FC19" s="81">
        <f t="shared" si="16"/>
        <v>0.64400000000000002</v>
      </c>
      <c r="FD19" s="4">
        <f t="shared" si="62"/>
        <v>39.200000000000003</v>
      </c>
      <c r="FE19" s="79">
        <f t="shared" si="63"/>
        <v>0.78400000000000003</v>
      </c>
      <c r="FF19" s="72"/>
      <c r="FG19" s="81"/>
      <c r="FH19" s="81"/>
      <c r="FI19" s="81"/>
      <c r="FJ19" s="73" t="str">
        <f>IFERROR(IF(#REF!="","",IFERROR(#REF!*(#REF!/100),""))+IF(#REF!="","",IFERROR(#REF!*(#REF!/100),"")),"")</f>
        <v/>
      </c>
      <c r="FK19" s="81" t="str">
        <f t="shared" si="17"/>
        <v/>
      </c>
      <c r="FL19" s="158">
        <f t="shared" si="18"/>
        <v>133.0505</v>
      </c>
      <c r="FM19" s="159">
        <f t="shared" si="19"/>
        <v>0.71919189189189192</v>
      </c>
      <c r="FN19" s="84"/>
      <c r="FO19" s="84"/>
      <c r="FP19" s="158" t="str">
        <f>IFERROR(IF(#REF!="","",IFERROR(#REF!*(#REF!/100),""))+IF(#REF!="","",IFERROR(#REF!*(#REF!/100),"")),"")</f>
        <v/>
      </c>
      <c r="FQ19" s="159" t="str">
        <f t="shared" si="20"/>
        <v/>
      </c>
      <c r="FR19" s="158" t="str">
        <f>IFERROR(IF(#REF!="","",IFERROR(#REF!*(#REF!/100),"")),"")</f>
        <v/>
      </c>
      <c r="FS19" s="159" t="str">
        <f t="shared" si="21"/>
        <v/>
      </c>
      <c r="FT19" s="157">
        <f t="shared" si="22"/>
        <v>635.50939189189194</v>
      </c>
      <c r="FU19" s="92" t="e">
        <f t="shared" si="23"/>
        <v>#REF!</v>
      </c>
    </row>
    <row r="20" spans="1:177">
      <c r="A20" s="105">
        <v>10</v>
      </c>
      <c r="B20" s="106" t="s">
        <v>201</v>
      </c>
      <c r="C20" s="106" t="s">
        <v>202</v>
      </c>
      <c r="D20" s="66">
        <f>'MK1-TM'!D28</f>
        <v>89.13</v>
      </c>
      <c r="E20" s="66">
        <f>'MK1-TM'!E28</f>
        <v>82.86</v>
      </c>
      <c r="F20" s="66">
        <f>'MK1-TM'!F28</f>
        <v>84.86</v>
      </c>
      <c r="G20" s="66">
        <f t="shared" si="24"/>
        <v>85.002099999999999</v>
      </c>
      <c r="H20" s="83">
        <f>'MK2-TO'!D28</f>
        <v>77.099999999999994</v>
      </c>
      <c r="I20" s="83">
        <f>'MK2-TO'!E28</f>
        <v>74.3</v>
      </c>
      <c r="J20" s="83">
        <f t="shared" si="25"/>
        <v>75.699999999999989</v>
      </c>
      <c r="K20" s="67">
        <f>'MK3-PSTI'!D28</f>
        <v>86.12</v>
      </c>
      <c r="L20" s="67">
        <f>'MK3-PSTI'!E28</f>
        <v>80.92</v>
      </c>
      <c r="M20" s="67">
        <f t="shared" si="26"/>
        <v>83.52000000000001</v>
      </c>
      <c r="N20" s="68">
        <f>IF('MK4-L&amp;A'!D28="","",'MK4-L&amp;A'!D28)</f>
        <v>76.489999999999995</v>
      </c>
      <c r="O20" s="68">
        <f>'MK4-L&amp;A'!E28</f>
        <v>76.36</v>
      </c>
      <c r="P20" s="68">
        <f>'MK4-L&amp;A'!F28</f>
        <v>77.33</v>
      </c>
      <c r="Q20" s="68">
        <f t="shared" si="27"/>
        <v>76.699100000000001</v>
      </c>
      <c r="R20" s="69">
        <f>'MK5-BP'!D28</f>
        <v>93.9</v>
      </c>
      <c r="S20" s="69">
        <f>'MK5-BP'!E28</f>
        <v>93.9</v>
      </c>
      <c r="T20" s="69">
        <f t="shared" si="28"/>
        <v>93.9</v>
      </c>
      <c r="U20" s="35">
        <f>IF('MK7-MBD'!D27="","",'MK7-MBD'!D27)</f>
        <v>75.5</v>
      </c>
      <c r="V20" s="35">
        <f>IF('MK7-MBD'!E27="","",'MK7-MBD'!E27)</f>
        <v>93</v>
      </c>
      <c r="W20" s="35">
        <f t="shared" si="29"/>
        <v>84.25</v>
      </c>
      <c r="X20" s="70">
        <f>IF(MK8_BID!D28="","",MK8_BID!D28)</f>
        <v>75.5</v>
      </c>
      <c r="Y20" s="70">
        <f>'MK7-MBD'!E27</f>
        <v>93</v>
      </c>
      <c r="Z20" s="70">
        <f t="shared" si="30"/>
        <v>84.25</v>
      </c>
      <c r="AB20" s="71"/>
      <c r="AC20" s="72"/>
      <c r="AD20" s="71"/>
      <c r="AE20" s="72"/>
      <c r="AF20" s="71"/>
      <c r="AG20" s="72"/>
      <c r="AH20" s="71"/>
      <c r="AI20" s="72"/>
      <c r="AJ20" s="72"/>
      <c r="AK20" s="72"/>
      <c r="AL20" s="72"/>
      <c r="AM20" s="72"/>
      <c r="AN20" s="72"/>
      <c r="AO20" s="72"/>
      <c r="AP20" s="72"/>
      <c r="AQ20" s="72"/>
      <c r="AR20" s="71"/>
      <c r="AS20" s="72"/>
      <c r="AT20" s="71"/>
      <c r="AU20" s="72"/>
      <c r="AV20" s="72"/>
      <c r="AW20" s="72"/>
      <c r="AX20" s="71"/>
      <c r="AY20" s="72"/>
      <c r="AZ20" s="71"/>
      <c r="BA20" s="72"/>
      <c r="BB20" s="127"/>
      <c r="BC20" s="71"/>
      <c r="BF20" s="4"/>
      <c r="BG20" s="81" t="str">
        <f t="shared" si="69"/>
        <v/>
      </c>
      <c r="BH20" s="4"/>
      <c r="BI20" s="81" t="str">
        <f t="shared" si="70"/>
        <v/>
      </c>
      <c r="BJ20" s="73"/>
      <c r="BK20" s="81" t="str">
        <f t="shared" si="71"/>
        <v/>
      </c>
      <c r="BL20" s="73"/>
      <c r="BM20" s="81" t="str">
        <f t="shared" si="37"/>
        <v/>
      </c>
      <c r="BN20" s="73">
        <f t="shared" si="38"/>
        <v>20.4999</v>
      </c>
      <c r="BO20" s="79">
        <f t="shared" si="39"/>
        <v>0.89129999999999998</v>
      </c>
      <c r="BP20" s="73"/>
      <c r="BQ20" s="79" t="str">
        <f t="shared" si="40"/>
        <v/>
      </c>
      <c r="BR20" s="73">
        <f t="shared" si="41"/>
        <v>34.801200000000001</v>
      </c>
      <c r="BS20" s="79">
        <f t="shared" si="42"/>
        <v>0.8286</v>
      </c>
      <c r="BT20" s="172">
        <f t="shared" si="43"/>
        <v>29.700999999999997</v>
      </c>
      <c r="BU20" s="79">
        <f t="shared" si="44"/>
        <v>0.84859999999999991</v>
      </c>
      <c r="BV20" s="4"/>
      <c r="BW20" s="4"/>
      <c r="BX20" s="73"/>
      <c r="BY20" s="81"/>
      <c r="BZ20" s="73"/>
      <c r="CA20" s="81"/>
      <c r="CB20" s="73">
        <f t="shared" si="2"/>
        <v>46.95</v>
      </c>
      <c r="CC20" s="81">
        <f t="shared" si="46"/>
        <v>0.93900000000000006</v>
      </c>
      <c r="CD20" s="4">
        <f t="shared" si="47"/>
        <v>43.06</v>
      </c>
      <c r="CE20" s="79">
        <f t="shared" si="48"/>
        <v>0.86120000000000008</v>
      </c>
      <c r="CF20" s="81"/>
      <c r="CG20" s="81"/>
      <c r="CH20" s="72">
        <f t="shared" si="49"/>
        <v>38.549999999999997</v>
      </c>
      <c r="CI20" s="81">
        <f t="shared" si="50"/>
        <v>0.77099999999999991</v>
      </c>
      <c r="CJ20" s="81"/>
      <c r="CK20" s="81"/>
      <c r="CL20" s="4">
        <f t="shared" si="51"/>
        <v>37.15</v>
      </c>
      <c r="CM20" s="79">
        <f t="shared" si="3"/>
        <v>0.74299999999999999</v>
      </c>
      <c r="CN20" s="4"/>
      <c r="CO20" s="4"/>
      <c r="CP20" s="4"/>
      <c r="CQ20" s="4"/>
      <c r="CR20" s="4"/>
      <c r="CS20" s="4"/>
      <c r="CT20" s="4"/>
      <c r="CU20" s="4"/>
      <c r="CV20" s="73"/>
      <c r="CW20" s="79" t="str">
        <f t="shared" si="4"/>
        <v/>
      </c>
      <c r="CX20" s="4"/>
      <c r="CY20" s="79" t="str">
        <f t="shared" si="5"/>
        <v/>
      </c>
      <c r="CZ20" s="4"/>
      <c r="DA20" s="4"/>
      <c r="DB20" s="4"/>
      <c r="DC20" s="4"/>
      <c r="DD20" s="4">
        <f t="shared" si="52"/>
        <v>37.75</v>
      </c>
      <c r="DE20" s="79">
        <f t="shared" si="53"/>
        <v>0.755</v>
      </c>
      <c r="DF20" s="4">
        <f t="shared" si="54"/>
        <v>46.5</v>
      </c>
      <c r="DG20" s="79">
        <f t="shared" si="55"/>
        <v>0.93</v>
      </c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73">
        <f t="shared" si="56"/>
        <v>43.06</v>
      </c>
      <c r="DY20" s="79">
        <f t="shared" si="6"/>
        <v>0.86120000000000008</v>
      </c>
      <c r="DZ20" s="4"/>
      <c r="EA20" s="4"/>
      <c r="EB20" s="4"/>
      <c r="EC20" s="4"/>
      <c r="ED20" s="73">
        <f t="shared" si="57"/>
        <v>40.46</v>
      </c>
      <c r="EE20" s="81">
        <f t="shared" si="7"/>
        <v>0.80920000000000003</v>
      </c>
      <c r="EF20" s="73"/>
      <c r="EG20" s="81"/>
      <c r="EH20" s="73"/>
      <c r="EI20" s="81" t="str">
        <f t="shared" si="8"/>
        <v/>
      </c>
      <c r="EJ20" s="72"/>
      <c r="EK20" s="81" t="str">
        <f t="shared" si="9"/>
        <v/>
      </c>
      <c r="EL20" s="171"/>
      <c r="EM20" s="81" t="str">
        <f t="shared" si="10"/>
        <v/>
      </c>
      <c r="EN20" s="72">
        <f t="shared" si="58"/>
        <v>28.301299999999998</v>
      </c>
      <c r="EO20" s="81">
        <f t="shared" si="11"/>
        <v>0.76489999999999991</v>
      </c>
      <c r="EP20" s="4"/>
      <c r="EQ20" s="4"/>
      <c r="ER20" s="73">
        <f t="shared" si="59"/>
        <v>25.198800000000002</v>
      </c>
      <c r="ES20" s="79">
        <f t="shared" si="12"/>
        <v>0.76360000000000006</v>
      </c>
      <c r="ET20" s="4">
        <f t="shared" si="60"/>
        <v>23.198999999999998</v>
      </c>
      <c r="EU20" s="79">
        <f t="shared" si="13"/>
        <v>0.77329999999999999</v>
      </c>
      <c r="EV20" s="4"/>
      <c r="EW20" s="4"/>
      <c r="EX20" s="4"/>
      <c r="EY20" s="79" t="str">
        <f t="shared" si="14"/>
        <v/>
      </c>
      <c r="EZ20" s="4"/>
      <c r="FA20" s="79" t="str">
        <f t="shared" si="15"/>
        <v/>
      </c>
      <c r="FB20" s="4">
        <f t="shared" si="61"/>
        <v>37.75</v>
      </c>
      <c r="FC20" s="81">
        <f t="shared" ref="FC20:FC36" si="72">IF(FB20="","",FB20/$FB$9)</f>
        <v>0.755</v>
      </c>
      <c r="FD20" s="4">
        <f t="shared" si="62"/>
        <v>46.5</v>
      </c>
      <c r="FE20" s="79">
        <f t="shared" si="63"/>
        <v>0.93</v>
      </c>
      <c r="FF20" s="72"/>
      <c r="FG20" s="81"/>
      <c r="FH20" s="81"/>
      <c r="FI20" s="81"/>
      <c r="FJ20" s="73"/>
      <c r="FK20" s="81"/>
      <c r="FL20" s="158"/>
      <c r="FM20" s="159"/>
      <c r="FN20" s="84"/>
      <c r="FO20" s="84"/>
      <c r="FP20" s="158"/>
      <c r="FQ20" s="159"/>
      <c r="FR20" s="158"/>
      <c r="FS20" s="159"/>
      <c r="FU20" s="92"/>
    </row>
    <row r="21" spans="1:177">
      <c r="A21" s="105">
        <v>11</v>
      </c>
      <c r="B21" s="106" t="s">
        <v>203</v>
      </c>
      <c r="C21" s="106" t="s">
        <v>204</v>
      </c>
      <c r="D21" s="66">
        <f>'MK1-TM'!D29</f>
        <v>87.91</v>
      </c>
      <c r="E21" s="66">
        <f>'MK1-TM'!E29</f>
        <v>82.67</v>
      </c>
      <c r="F21" s="66">
        <f>'MK1-TM'!F29</f>
        <v>86.31</v>
      </c>
      <c r="G21" s="66">
        <f t="shared" si="24"/>
        <v>85.149200000000008</v>
      </c>
      <c r="H21" s="83">
        <f>'MK2-TO'!D29</f>
        <v>86</v>
      </c>
      <c r="I21" s="83">
        <f>'MK2-TO'!E29</f>
        <v>86</v>
      </c>
      <c r="J21" s="83">
        <f t="shared" si="25"/>
        <v>86</v>
      </c>
      <c r="K21" s="67">
        <f>'MK3-PSTI'!D29</f>
        <v>89.06</v>
      </c>
      <c r="L21" s="67">
        <f>'MK3-PSTI'!E29</f>
        <v>87.35</v>
      </c>
      <c r="M21" s="67">
        <f t="shared" si="26"/>
        <v>88.204999999999998</v>
      </c>
      <c r="N21" s="68">
        <f>IF('MK4-L&amp;A'!D29="","",'MK4-L&amp;A'!D29)</f>
        <v>75.680000000000007</v>
      </c>
      <c r="O21" s="68">
        <f>'MK4-L&amp;A'!E29</f>
        <v>75.45</v>
      </c>
      <c r="P21" s="68">
        <f>'MK4-L&amp;A'!F29</f>
        <v>80.33</v>
      </c>
      <c r="Q21" s="68">
        <f t="shared" si="27"/>
        <v>76.999100000000013</v>
      </c>
      <c r="R21" s="69">
        <f>'MK5-BP'!D29</f>
        <v>93.9</v>
      </c>
      <c r="S21" s="69">
        <f>'MK5-BP'!E29</f>
        <v>93.9</v>
      </c>
      <c r="T21" s="69">
        <f t="shared" si="28"/>
        <v>93.9</v>
      </c>
      <c r="U21" s="35">
        <f>IF('MK7-MBD'!D28="","",'MK7-MBD'!D28)</f>
        <v>82.5</v>
      </c>
      <c r="V21" s="35">
        <f>IF('MK7-MBD'!E28="","",'MK7-MBD'!E28)</f>
        <v>89.5</v>
      </c>
      <c r="W21" s="35">
        <f t="shared" si="29"/>
        <v>86</v>
      </c>
      <c r="X21" s="70">
        <f>IF(MK8_BID!D29="","",MK8_BID!D29)</f>
        <v>82.5</v>
      </c>
      <c r="Y21" s="70">
        <f>'MK7-MBD'!E28</f>
        <v>89.5</v>
      </c>
      <c r="Z21" s="70">
        <f t="shared" si="30"/>
        <v>86</v>
      </c>
      <c r="AB21" s="71"/>
      <c r="AC21" s="72"/>
      <c r="AD21" s="71"/>
      <c r="AE21" s="72"/>
      <c r="AF21" s="71"/>
      <c r="AG21" s="72"/>
      <c r="AH21" s="71"/>
      <c r="AI21" s="72"/>
      <c r="AJ21" s="72"/>
      <c r="AK21" s="72"/>
      <c r="AL21" s="72"/>
      <c r="AM21" s="72"/>
      <c r="AN21" s="72"/>
      <c r="AO21" s="72"/>
      <c r="AP21" s="72"/>
      <c r="AQ21" s="72"/>
      <c r="AR21" s="71"/>
      <c r="AS21" s="72"/>
      <c r="AT21" s="71"/>
      <c r="AU21" s="72"/>
      <c r="AV21" s="72"/>
      <c r="AW21" s="72"/>
      <c r="AX21" s="71"/>
      <c r="AY21" s="72"/>
      <c r="AZ21" s="71"/>
      <c r="BA21" s="72"/>
      <c r="BB21" s="127"/>
      <c r="BC21" s="71"/>
      <c r="BF21" s="4"/>
      <c r="BG21" s="81" t="str">
        <f t="shared" si="69"/>
        <v/>
      </c>
      <c r="BH21" s="4"/>
      <c r="BI21" s="81" t="str">
        <f t="shared" si="70"/>
        <v/>
      </c>
      <c r="BJ21" s="73"/>
      <c r="BK21" s="81" t="str">
        <f t="shared" si="71"/>
        <v/>
      </c>
      <c r="BL21" s="73"/>
      <c r="BM21" s="81" t="str">
        <f t="shared" si="37"/>
        <v/>
      </c>
      <c r="BN21" s="73">
        <f t="shared" si="38"/>
        <v>20.2193</v>
      </c>
      <c r="BO21" s="79">
        <f t="shared" si="39"/>
        <v>0.87909999999999999</v>
      </c>
      <c r="BP21" s="73"/>
      <c r="BQ21" s="79" t="str">
        <f t="shared" si="40"/>
        <v/>
      </c>
      <c r="BR21" s="73">
        <f t="shared" si="41"/>
        <v>34.721400000000003</v>
      </c>
      <c r="BS21" s="79">
        <f t="shared" si="42"/>
        <v>0.8267000000000001</v>
      </c>
      <c r="BT21" s="172">
        <f t="shared" si="43"/>
        <v>30.208499999999997</v>
      </c>
      <c r="BU21" s="79">
        <f t="shared" si="44"/>
        <v>0.86309999999999987</v>
      </c>
      <c r="BV21" s="4"/>
      <c r="BW21" s="4"/>
      <c r="BX21" s="73"/>
      <c r="BY21" s="81"/>
      <c r="BZ21" s="73"/>
      <c r="CA21" s="81"/>
      <c r="CB21" s="73">
        <f t="shared" si="2"/>
        <v>46.95</v>
      </c>
      <c r="CC21" s="81">
        <f t="shared" si="46"/>
        <v>0.93900000000000006</v>
      </c>
      <c r="CD21" s="4">
        <f t="shared" si="47"/>
        <v>44.53</v>
      </c>
      <c r="CE21" s="79">
        <f t="shared" si="48"/>
        <v>0.89060000000000006</v>
      </c>
      <c r="CF21" s="81"/>
      <c r="CG21" s="81"/>
      <c r="CH21" s="72">
        <f t="shared" si="49"/>
        <v>43</v>
      </c>
      <c r="CI21" s="81">
        <f t="shared" si="50"/>
        <v>0.86</v>
      </c>
      <c r="CJ21" s="81"/>
      <c r="CK21" s="81"/>
      <c r="CL21" s="4">
        <f t="shared" si="51"/>
        <v>43</v>
      </c>
      <c r="CM21" s="79">
        <f t="shared" si="3"/>
        <v>0.86</v>
      </c>
      <c r="CN21" s="4"/>
      <c r="CO21" s="4"/>
      <c r="CP21" s="4"/>
      <c r="CQ21" s="4"/>
      <c r="CR21" s="4"/>
      <c r="CS21" s="4"/>
      <c r="CT21" s="4"/>
      <c r="CU21" s="4"/>
      <c r="CV21" s="73"/>
      <c r="CW21" s="79" t="str">
        <f t="shared" si="4"/>
        <v/>
      </c>
      <c r="CX21" s="4"/>
      <c r="CY21" s="79" t="str">
        <f t="shared" si="5"/>
        <v/>
      </c>
      <c r="CZ21" s="4"/>
      <c r="DA21" s="4"/>
      <c r="DB21" s="4"/>
      <c r="DC21" s="4"/>
      <c r="DD21" s="4">
        <f t="shared" si="52"/>
        <v>41.25</v>
      </c>
      <c r="DE21" s="79">
        <f t="shared" si="53"/>
        <v>0.82499999999999996</v>
      </c>
      <c r="DF21" s="4">
        <f t="shared" si="54"/>
        <v>44.75</v>
      </c>
      <c r="DG21" s="79">
        <f t="shared" si="55"/>
        <v>0.89500000000000002</v>
      </c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73">
        <f t="shared" si="56"/>
        <v>44.53</v>
      </c>
      <c r="DY21" s="79">
        <f t="shared" si="6"/>
        <v>0.89060000000000006</v>
      </c>
      <c r="DZ21" s="4"/>
      <c r="EA21" s="4"/>
      <c r="EB21" s="4"/>
      <c r="EC21" s="4"/>
      <c r="ED21" s="73">
        <f t="shared" si="57"/>
        <v>43.674999999999997</v>
      </c>
      <c r="EE21" s="81">
        <f t="shared" si="7"/>
        <v>0.87349999999999994</v>
      </c>
      <c r="EF21" s="73"/>
      <c r="EG21" s="81"/>
      <c r="EH21" s="73"/>
      <c r="EI21" s="81" t="str">
        <f t="shared" si="8"/>
        <v/>
      </c>
      <c r="EJ21" s="72"/>
      <c r="EK21" s="81" t="str">
        <f t="shared" si="9"/>
        <v/>
      </c>
      <c r="EL21" s="171"/>
      <c r="EM21" s="81" t="str">
        <f t="shared" si="10"/>
        <v/>
      </c>
      <c r="EN21" s="72">
        <f t="shared" si="58"/>
        <v>28.001600000000003</v>
      </c>
      <c r="EO21" s="81">
        <f t="shared" si="11"/>
        <v>0.75680000000000014</v>
      </c>
      <c r="EP21" s="4"/>
      <c r="EQ21" s="4"/>
      <c r="ER21" s="73">
        <f t="shared" si="59"/>
        <v>24.898500000000002</v>
      </c>
      <c r="ES21" s="79">
        <f t="shared" si="12"/>
        <v>0.75450000000000006</v>
      </c>
      <c r="ET21" s="4">
        <f t="shared" si="60"/>
        <v>24.099</v>
      </c>
      <c r="EU21" s="79">
        <f t="shared" si="13"/>
        <v>0.80330000000000001</v>
      </c>
      <c r="EV21" s="4"/>
      <c r="EW21" s="4"/>
      <c r="EX21" s="4"/>
      <c r="EY21" s="79" t="str">
        <f t="shared" si="14"/>
        <v/>
      </c>
      <c r="EZ21" s="4"/>
      <c r="FA21" s="79" t="str">
        <f t="shared" si="15"/>
        <v/>
      </c>
      <c r="FB21" s="4">
        <f t="shared" si="61"/>
        <v>41.25</v>
      </c>
      <c r="FC21" s="81">
        <f t="shared" si="72"/>
        <v>0.82499999999999996</v>
      </c>
      <c r="FD21" s="4">
        <f t="shared" si="62"/>
        <v>44.75</v>
      </c>
      <c r="FE21" s="79">
        <f t="shared" si="63"/>
        <v>0.89500000000000002</v>
      </c>
      <c r="FF21" s="72"/>
      <c r="FG21" s="81"/>
      <c r="FH21" s="81"/>
      <c r="FI21" s="81"/>
      <c r="FJ21" s="73"/>
      <c r="FK21" s="81"/>
      <c r="FL21" s="158"/>
      <c r="FM21" s="159"/>
      <c r="FN21" s="84"/>
      <c r="FO21" s="84"/>
      <c r="FP21" s="158"/>
      <c r="FQ21" s="159"/>
      <c r="FR21" s="158"/>
      <c r="FS21" s="159"/>
      <c r="FU21" s="92"/>
    </row>
    <row r="22" spans="1:177">
      <c r="A22" s="105">
        <v>12</v>
      </c>
      <c r="B22" s="106" t="s">
        <v>205</v>
      </c>
      <c r="C22" s="106" t="s">
        <v>206</v>
      </c>
      <c r="D22" s="66">
        <f>'MK1-TM'!D30</f>
        <v>0</v>
      </c>
      <c r="E22" s="66">
        <f>'MK1-TM'!E30</f>
        <v>0</v>
      </c>
      <c r="F22" s="66">
        <f>'MK1-TM'!F30</f>
        <v>0</v>
      </c>
      <c r="G22" s="66">
        <f t="shared" si="24"/>
        <v>0</v>
      </c>
      <c r="H22" s="83">
        <f>'MK2-TO'!D30</f>
        <v>0</v>
      </c>
      <c r="I22" s="83">
        <f>'MK2-TO'!E30</f>
        <v>0</v>
      </c>
      <c r="J22" s="83">
        <f t="shared" si="25"/>
        <v>0</v>
      </c>
      <c r="K22" s="67">
        <f>'MK3-PSTI'!D30</f>
        <v>63.76</v>
      </c>
      <c r="L22" s="67">
        <f>'MK3-PSTI'!E30</f>
        <v>43.88</v>
      </c>
      <c r="M22" s="67">
        <f t="shared" si="26"/>
        <v>53.82</v>
      </c>
      <c r="N22" s="68">
        <f>IF('MK4-L&amp;A'!D30="","",'MK4-L&amp;A'!D30)</f>
        <v>0</v>
      </c>
      <c r="O22" s="68">
        <f>'MK4-L&amp;A'!E30</f>
        <v>0</v>
      </c>
      <c r="P22" s="68">
        <f>'MK4-L&amp;A'!F30</f>
        <v>0</v>
      </c>
      <c r="Q22" s="68">
        <f t="shared" si="27"/>
        <v>0</v>
      </c>
      <c r="R22" s="69">
        <f>'MK5-BP'!D30</f>
        <v>9.4</v>
      </c>
      <c r="S22" s="69">
        <f>'MK5-BP'!E30</f>
        <v>9.4</v>
      </c>
      <c r="T22" s="69">
        <f t="shared" si="28"/>
        <v>9.4</v>
      </c>
      <c r="U22" s="35">
        <f>IF('MK7-MBD'!D29="","",'MK7-MBD'!D29)</f>
        <v>0.6</v>
      </c>
      <c r="V22" s="35">
        <f>IF('MK7-MBD'!E29="","",'MK7-MBD'!E29)</f>
        <v>0.6</v>
      </c>
      <c r="W22" s="35">
        <f t="shared" si="29"/>
        <v>0.6</v>
      </c>
      <c r="X22" s="70">
        <f>IF(MK8_BID!D30="","",MK8_BID!D30)</f>
        <v>0.6</v>
      </c>
      <c r="Y22" s="70">
        <f>'MK7-MBD'!E29</f>
        <v>0.6</v>
      </c>
      <c r="Z22" s="70">
        <f t="shared" si="30"/>
        <v>0.6</v>
      </c>
      <c r="AB22" s="71"/>
      <c r="AC22" s="72"/>
      <c r="AD22" s="71"/>
      <c r="AE22" s="72"/>
      <c r="AF22" s="71"/>
      <c r="AG22" s="72"/>
      <c r="AH22" s="71"/>
      <c r="AI22" s="72"/>
      <c r="AJ22" s="72"/>
      <c r="AK22" s="72"/>
      <c r="AL22" s="72"/>
      <c r="AM22" s="72"/>
      <c r="AN22" s="72"/>
      <c r="AO22" s="72"/>
      <c r="AP22" s="72"/>
      <c r="AQ22" s="72"/>
      <c r="AR22" s="71"/>
      <c r="AS22" s="72"/>
      <c r="AT22" s="71"/>
      <c r="AU22" s="72"/>
      <c r="AV22" s="72"/>
      <c r="AW22" s="72"/>
      <c r="AX22" s="71"/>
      <c r="AY22" s="72"/>
      <c r="AZ22" s="71"/>
      <c r="BA22" s="72"/>
      <c r="BB22" s="127"/>
      <c r="BC22" s="71"/>
      <c r="BF22" s="4"/>
      <c r="BG22" s="81" t="str">
        <f t="shared" si="69"/>
        <v/>
      </c>
      <c r="BH22" s="4"/>
      <c r="BI22" s="81" t="str">
        <f t="shared" si="70"/>
        <v/>
      </c>
      <c r="BJ22" s="73"/>
      <c r="BK22" s="81" t="str">
        <f t="shared" si="71"/>
        <v/>
      </c>
      <c r="BL22" s="73"/>
      <c r="BM22" s="81" t="str">
        <f t="shared" si="37"/>
        <v/>
      </c>
      <c r="BN22" s="73">
        <f t="shared" si="38"/>
        <v>0</v>
      </c>
      <c r="BO22" s="79">
        <f t="shared" si="39"/>
        <v>0</v>
      </c>
      <c r="BP22" s="73"/>
      <c r="BQ22" s="79" t="str">
        <f t="shared" si="40"/>
        <v/>
      </c>
      <c r="BR22" s="73">
        <f t="shared" si="41"/>
        <v>0</v>
      </c>
      <c r="BS22" s="79">
        <f t="shared" si="42"/>
        <v>0</v>
      </c>
      <c r="BT22" s="172">
        <f t="shared" si="43"/>
        <v>0</v>
      </c>
      <c r="BU22" s="79">
        <f t="shared" si="44"/>
        <v>0</v>
      </c>
      <c r="BV22" s="4"/>
      <c r="BW22" s="4"/>
      <c r="BX22" s="73"/>
      <c r="BY22" s="81"/>
      <c r="BZ22" s="73"/>
      <c r="CA22" s="81"/>
      <c r="CB22" s="73">
        <f t="shared" si="2"/>
        <v>4.7</v>
      </c>
      <c r="CC22" s="81">
        <f t="shared" si="46"/>
        <v>9.4E-2</v>
      </c>
      <c r="CD22" s="4">
        <f t="shared" si="47"/>
        <v>31.88</v>
      </c>
      <c r="CE22" s="79">
        <f t="shared" si="48"/>
        <v>0.63759999999999994</v>
      </c>
      <c r="CF22" s="81"/>
      <c r="CG22" s="81"/>
      <c r="CH22" s="72">
        <f t="shared" si="49"/>
        <v>0</v>
      </c>
      <c r="CI22" s="81">
        <f t="shared" si="50"/>
        <v>0</v>
      </c>
      <c r="CJ22" s="81"/>
      <c r="CK22" s="81"/>
      <c r="CL22" s="4">
        <f t="shared" si="51"/>
        <v>0</v>
      </c>
      <c r="CM22" s="79">
        <f t="shared" si="3"/>
        <v>0</v>
      </c>
      <c r="CN22" s="4"/>
      <c r="CO22" s="4"/>
      <c r="CP22" s="4"/>
      <c r="CQ22" s="4"/>
      <c r="CR22" s="4"/>
      <c r="CS22" s="4"/>
      <c r="CT22" s="4"/>
      <c r="CU22" s="4"/>
      <c r="CV22" s="73"/>
      <c r="CW22" s="79" t="str">
        <f t="shared" si="4"/>
        <v/>
      </c>
      <c r="CX22" s="4"/>
      <c r="CY22" s="79" t="str">
        <f t="shared" si="5"/>
        <v/>
      </c>
      <c r="CZ22" s="4"/>
      <c r="DA22" s="4"/>
      <c r="DB22" s="4"/>
      <c r="DC22" s="4"/>
      <c r="DD22" s="4">
        <f t="shared" si="52"/>
        <v>0.3</v>
      </c>
      <c r="DE22" s="79">
        <f t="shared" si="53"/>
        <v>6.0000000000000001E-3</v>
      </c>
      <c r="DF22" s="4">
        <f t="shared" si="54"/>
        <v>0.3</v>
      </c>
      <c r="DG22" s="79">
        <f t="shared" si="55"/>
        <v>6.0000000000000001E-3</v>
      </c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73">
        <f t="shared" si="56"/>
        <v>31.88</v>
      </c>
      <c r="DY22" s="79">
        <f t="shared" si="6"/>
        <v>0.63759999999999994</v>
      </c>
      <c r="DZ22" s="4"/>
      <c r="EA22" s="4"/>
      <c r="EB22" s="4"/>
      <c r="EC22" s="4"/>
      <c r="ED22" s="73">
        <f t="shared" si="57"/>
        <v>21.94</v>
      </c>
      <c r="EE22" s="81">
        <f t="shared" si="7"/>
        <v>0.43880000000000002</v>
      </c>
      <c r="EF22" s="73"/>
      <c r="EG22" s="81"/>
      <c r="EH22" s="73"/>
      <c r="EI22" s="81" t="str">
        <f t="shared" si="8"/>
        <v/>
      </c>
      <c r="EJ22" s="72"/>
      <c r="EK22" s="81" t="str">
        <f t="shared" si="9"/>
        <v/>
      </c>
      <c r="EL22" s="171"/>
      <c r="EM22" s="81" t="str">
        <f t="shared" si="10"/>
        <v/>
      </c>
      <c r="EN22" s="72">
        <f t="shared" si="58"/>
        <v>0</v>
      </c>
      <c r="EO22" s="81">
        <f t="shared" si="11"/>
        <v>0</v>
      </c>
      <c r="EP22" s="4"/>
      <c r="EQ22" s="4"/>
      <c r="ER22" s="73">
        <f t="shared" si="59"/>
        <v>0</v>
      </c>
      <c r="ES22" s="79">
        <f t="shared" si="12"/>
        <v>0</v>
      </c>
      <c r="ET22" s="4">
        <f t="shared" si="60"/>
        <v>0</v>
      </c>
      <c r="EU22" s="79">
        <f t="shared" si="13"/>
        <v>0</v>
      </c>
      <c r="EV22" s="4"/>
      <c r="EW22" s="4"/>
      <c r="EX22" s="4"/>
      <c r="EY22" s="79" t="str">
        <f t="shared" si="14"/>
        <v/>
      </c>
      <c r="EZ22" s="4"/>
      <c r="FA22" s="79" t="str">
        <f t="shared" si="15"/>
        <v/>
      </c>
      <c r="FB22" s="4">
        <f t="shared" si="61"/>
        <v>0.3</v>
      </c>
      <c r="FC22" s="81">
        <f t="shared" si="72"/>
        <v>6.0000000000000001E-3</v>
      </c>
      <c r="FD22" s="4">
        <f t="shared" si="62"/>
        <v>0.3</v>
      </c>
      <c r="FE22" s="79">
        <f t="shared" si="63"/>
        <v>6.0000000000000001E-3</v>
      </c>
      <c r="FF22" s="72"/>
      <c r="FG22" s="81"/>
      <c r="FH22" s="81"/>
      <c r="FI22" s="81"/>
      <c r="FJ22" s="73"/>
      <c r="FK22" s="81"/>
      <c r="FL22" s="158"/>
      <c r="FM22" s="159"/>
      <c r="FN22" s="84"/>
      <c r="FO22" s="84"/>
      <c r="FP22" s="158"/>
      <c r="FQ22" s="159"/>
      <c r="FR22" s="158"/>
      <c r="FS22" s="159"/>
      <c r="FU22" s="92"/>
    </row>
    <row r="23" spans="1:177">
      <c r="A23" s="105">
        <v>13</v>
      </c>
      <c r="B23" s="106" t="s">
        <v>207</v>
      </c>
      <c r="C23" s="106" t="s">
        <v>208</v>
      </c>
      <c r="D23" s="66">
        <f>'MK1-TM'!D31</f>
        <v>81.739999999999995</v>
      </c>
      <c r="E23" s="66">
        <f>'MK1-TM'!E31</f>
        <v>73.81</v>
      </c>
      <c r="F23" s="66">
        <f>'MK1-TM'!F31</f>
        <v>82.57</v>
      </c>
      <c r="G23" s="66">
        <f t="shared" si="24"/>
        <v>78.699899999999985</v>
      </c>
      <c r="H23" s="83">
        <f>'MK2-TO'!D31</f>
        <v>71.5</v>
      </c>
      <c r="I23" s="83">
        <f>'MK2-TO'!E31</f>
        <v>71.5</v>
      </c>
      <c r="J23" s="83">
        <f t="shared" si="25"/>
        <v>71.5</v>
      </c>
      <c r="K23" s="67">
        <f>'MK3-PSTI'!D31</f>
        <v>80.239999999999995</v>
      </c>
      <c r="L23" s="67">
        <f>'MK3-PSTI'!E31</f>
        <v>74.69</v>
      </c>
      <c r="M23" s="67">
        <f t="shared" si="26"/>
        <v>77.465000000000003</v>
      </c>
      <c r="N23" s="68">
        <f>IF('MK4-L&amp;A'!D31="","",'MK4-L&amp;A'!D31)</f>
        <v>70.27</v>
      </c>
      <c r="O23" s="68">
        <f>'MK4-L&amp;A'!E31</f>
        <v>72.12</v>
      </c>
      <c r="P23" s="68">
        <f>'MK4-L&amp;A'!F31</f>
        <v>69</v>
      </c>
      <c r="Q23" s="68">
        <f t="shared" si="27"/>
        <v>70.499499999999998</v>
      </c>
      <c r="R23" s="69">
        <f>'MK5-BP'!D31</f>
        <v>76.900000000000006</v>
      </c>
      <c r="S23" s="69">
        <f>'MK5-BP'!E31</f>
        <v>76.900000000000006</v>
      </c>
      <c r="T23" s="69">
        <f t="shared" si="28"/>
        <v>76.900000000000006</v>
      </c>
      <c r="U23" s="35">
        <f>IF('MK7-MBD'!D30="","",'MK7-MBD'!D30)</f>
        <v>58</v>
      </c>
      <c r="V23" s="35">
        <f>IF('MK7-MBD'!E30="","",'MK7-MBD'!E30)</f>
        <v>89.5</v>
      </c>
      <c r="W23" s="35">
        <f t="shared" si="29"/>
        <v>73.75</v>
      </c>
      <c r="X23" s="70">
        <f>IF(MK8_BID!D31="","",MK8_BID!D31)</f>
        <v>58</v>
      </c>
      <c r="Y23" s="70">
        <f>'MK7-MBD'!E30</f>
        <v>89.5</v>
      </c>
      <c r="Z23" s="70">
        <f t="shared" si="30"/>
        <v>73.75</v>
      </c>
      <c r="AB23" s="71"/>
      <c r="AC23" s="72"/>
      <c r="AD23" s="71"/>
      <c r="AE23" s="72"/>
      <c r="AF23" s="71"/>
      <c r="AG23" s="72"/>
      <c r="AH23" s="71"/>
      <c r="AI23" s="72"/>
      <c r="AJ23" s="72"/>
      <c r="AK23" s="72"/>
      <c r="AL23" s="72"/>
      <c r="AM23" s="72"/>
      <c r="AN23" s="72"/>
      <c r="AO23" s="72"/>
      <c r="AP23" s="72"/>
      <c r="AQ23" s="72"/>
      <c r="AR23" s="71"/>
      <c r="AS23" s="72"/>
      <c r="AT23" s="71"/>
      <c r="AU23" s="72"/>
      <c r="AV23" s="72"/>
      <c r="AW23" s="72"/>
      <c r="AX23" s="71"/>
      <c r="AY23" s="72"/>
      <c r="AZ23" s="71"/>
      <c r="BA23" s="72"/>
      <c r="BB23" s="127"/>
      <c r="BC23" s="71"/>
      <c r="BF23" s="4"/>
      <c r="BG23" s="81" t="str">
        <f t="shared" si="69"/>
        <v/>
      </c>
      <c r="BH23" s="4"/>
      <c r="BI23" s="81" t="str">
        <f t="shared" si="70"/>
        <v/>
      </c>
      <c r="BJ23" s="73"/>
      <c r="BK23" s="81" t="str">
        <f t="shared" si="71"/>
        <v/>
      </c>
      <c r="BL23" s="73"/>
      <c r="BM23" s="81" t="str">
        <f t="shared" si="37"/>
        <v/>
      </c>
      <c r="BN23" s="73">
        <f t="shared" si="38"/>
        <v>18.8002</v>
      </c>
      <c r="BO23" s="79">
        <f t="shared" si="39"/>
        <v>0.81740000000000002</v>
      </c>
      <c r="BP23" s="73"/>
      <c r="BQ23" s="79" t="str">
        <f t="shared" si="40"/>
        <v/>
      </c>
      <c r="BR23" s="73">
        <f t="shared" si="41"/>
        <v>31.0002</v>
      </c>
      <c r="BS23" s="79">
        <f t="shared" si="42"/>
        <v>0.73809999999999998</v>
      </c>
      <c r="BT23" s="172">
        <f t="shared" si="43"/>
        <v>28.899499999999996</v>
      </c>
      <c r="BU23" s="79">
        <f t="shared" si="44"/>
        <v>0.82569999999999988</v>
      </c>
      <c r="BV23" s="4"/>
      <c r="BW23" s="4"/>
      <c r="BX23" s="73"/>
      <c r="BY23" s="81"/>
      <c r="BZ23" s="73"/>
      <c r="CA23" s="81"/>
      <c r="CB23" s="73">
        <f t="shared" si="2"/>
        <v>38.450000000000003</v>
      </c>
      <c r="CC23" s="81">
        <f t="shared" si="46"/>
        <v>0.76900000000000002</v>
      </c>
      <c r="CD23" s="4">
        <f t="shared" si="47"/>
        <v>40.119999999999997</v>
      </c>
      <c r="CE23" s="79">
        <f t="shared" si="48"/>
        <v>0.8024</v>
      </c>
      <c r="CF23" s="81"/>
      <c r="CG23" s="81"/>
      <c r="CH23" s="72">
        <f t="shared" si="49"/>
        <v>35.75</v>
      </c>
      <c r="CI23" s="81">
        <f t="shared" si="50"/>
        <v>0.71499999999999997</v>
      </c>
      <c r="CJ23" s="81"/>
      <c r="CK23" s="81"/>
      <c r="CL23" s="4">
        <f t="shared" si="51"/>
        <v>35.75</v>
      </c>
      <c r="CM23" s="79">
        <f t="shared" si="3"/>
        <v>0.71499999999999997</v>
      </c>
      <c r="CN23" s="4"/>
      <c r="CO23" s="4"/>
      <c r="CP23" s="4"/>
      <c r="CQ23" s="4"/>
      <c r="CR23" s="4"/>
      <c r="CS23" s="4"/>
      <c r="CT23" s="4"/>
      <c r="CU23" s="4"/>
      <c r="CV23" s="73"/>
      <c r="CW23" s="79" t="str">
        <f t="shared" si="4"/>
        <v/>
      </c>
      <c r="CX23" s="4"/>
      <c r="CY23" s="79" t="str">
        <f t="shared" si="5"/>
        <v/>
      </c>
      <c r="CZ23" s="4"/>
      <c r="DA23" s="4"/>
      <c r="DB23" s="4"/>
      <c r="DC23" s="4"/>
      <c r="DD23" s="4">
        <f t="shared" si="52"/>
        <v>29</v>
      </c>
      <c r="DE23" s="79">
        <f t="shared" si="53"/>
        <v>0.57999999999999996</v>
      </c>
      <c r="DF23" s="4">
        <f t="shared" si="54"/>
        <v>44.75</v>
      </c>
      <c r="DG23" s="79">
        <f t="shared" si="55"/>
        <v>0.89500000000000002</v>
      </c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73">
        <f t="shared" si="56"/>
        <v>40.119999999999997</v>
      </c>
      <c r="DY23" s="79">
        <f t="shared" si="6"/>
        <v>0.8024</v>
      </c>
      <c r="DZ23" s="4"/>
      <c r="EA23" s="4"/>
      <c r="EB23" s="4"/>
      <c r="EC23" s="4"/>
      <c r="ED23" s="73">
        <f t="shared" si="57"/>
        <v>37.344999999999999</v>
      </c>
      <c r="EE23" s="81">
        <f t="shared" si="7"/>
        <v>0.74690000000000001</v>
      </c>
      <c r="EF23" s="73"/>
      <c r="EG23" s="81"/>
      <c r="EH23" s="73"/>
      <c r="EI23" s="81" t="str">
        <f t="shared" si="8"/>
        <v/>
      </c>
      <c r="EJ23" s="72"/>
      <c r="EK23" s="81" t="str">
        <f t="shared" si="9"/>
        <v/>
      </c>
      <c r="EL23" s="171"/>
      <c r="EM23" s="81" t="str">
        <f t="shared" si="10"/>
        <v/>
      </c>
      <c r="EN23" s="72">
        <f t="shared" si="58"/>
        <v>25.999899999999997</v>
      </c>
      <c r="EO23" s="81">
        <f t="shared" si="11"/>
        <v>0.70269999999999988</v>
      </c>
      <c r="EP23" s="4"/>
      <c r="EQ23" s="4"/>
      <c r="ER23" s="73">
        <f t="shared" si="59"/>
        <v>23.799600000000002</v>
      </c>
      <c r="ES23" s="79">
        <f t="shared" si="12"/>
        <v>0.72120000000000006</v>
      </c>
      <c r="ET23" s="4">
        <f t="shared" si="60"/>
        <v>20.7</v>
      </c>
      <c r="EU23" s="79">
        <f t="shared" si="13"/>
        <v>0.69</v>
      </c>
      <c r="EV23" s="4"/>
      <c r="EW23" s="4"/>
      <c r="EX23" s="4"/>
      <c r="EY23" s="79" t="str">
        <f t="shared" si="14"/>
        <v/>
      </c>
      <c r="EZ23" s="4"/>
      <c r="FA23" s="79" t="str">
        <f t="shared" si="15"/>
        <v/>
      </c>
      <c r="FB23" s="4">
        <f t="shared" si="61"/>
        <v>29</v>
      </c>
      <c r="FC23" s="81">
        <f t="shared" si="72"/>
        <v>0.57999999999999996</v>
      </c>
      <c r="FD23" s="4">
        <f t="shared" si="62"/>
        <v>44.75</v>
      </c>
      <c r="FE23" s="79">
        <f t="shared" si="63"/>
        <v>0.89500000000000002</v>
      </c>
      <c r="FF23" s="72"/>
      <c r="FG23" s="81"/>
      <c r="FH23" s="81"/>
      <c r="FI23" s="81"/>
      <c r="FJ23" s="73"/>
      <c r="FK23" s="81"/>
      <c r="FL23" s="158"/>
      <c r="FM23" s="159"/>
      <c r="FN23" s="84"/>
      <c r="FO23" s="84"/>
      <c r="FP23" s="158"/>
      <c r="FQ23" s="159"/>
      <c r="FR23" s="158"/>
      <c r="FS23" s="159"/>
      <c r="FU23" s="92"/>
    </row>
    <row r="24" spans="1:177">
      <c r="A24" s="105">
        <v>14</v>
      </c>
      <c r="B24" s="106" t="s">
        <v>209</v>
      </c>
      <c r="C24" s="106" t="s">
        <v>210</v>
      </c>
      <c r="D24" s="66">
        <f>'MK1-TM'!D32</f>
        <v>93.91</v>
      </c>
      <c r="E24" s="66">
        <f>'MK1-TM'!E32</f>
        <v>88.57</v>
      </c>
      <c r="F24" s="66">
        <f>'MK1-TM'!F32</f>
        <v>86</v>
      </c>
      <c r="G24" s="66">
        <f t="shared" si="24"/>
        <v>88.898699999999991</v>
      </c>
      <c r="H24" s="83">
        <f>'MK2-TO'!D32</f>
        <v>81.099999999999994</v>
      </c>
      <c r="I24" s="83">
        <f>'MK2-TO'!E32</f>
        <v>80.400000000000006</v>
      </c>
      <c r="J24" s="83">
        <f t="shared" si="25"/>
        <v>80.75</v>
      </c>
      <c r="K24" s="67">
        <f>'MK3-PSTI'!D32</f>
        <v>85.53</v>
      </c>
      <c r="L24" s="67">
        <f>'MK3-PSTI'!E32</f>
        <v>87.35</v>
      </c>
      <c r="M24" s="67">
        <f t="shared" si="26"/>
        <v>86.44</v>
      </c>
      <c r="N24" s="68">
        <f>IF('MK4-L&amp;A'!D32="","",'MK4-L&amp;A'!D32)</f>
        <v>79.73</v>
      </c>
      <c r="O24" s="68">
        <f>'MK4-L&amp;A'!E32</f>
        <v>76.52</v>
      </c>
      <c r="P24" s="68">
        <f>'MK4-L&amp;A'!F32</f>
        <v>86.67</v>
      </c>
      <c r="Q24" s="68">
        <f t="shared" si="27"/>
        <v>80.752700000000004</v>
      </c>
      <c r="R24" s="69">
        <f>'MK5-BP'!D32</f>
        <v>93.9</v>
      </c>
      <c r="S24" s="69">
        <f>'MK5-BP'!E32</f>
        <v>93.9</v>
      </c>
      <c r="T24" s="69">
        <f t="shared" si="28"/>
        <v>93.9</v>
      </c>
      <c r="U24" s="35">
        <f>IF('MK7-MBD'!D31="","",'MK7-MBD'!D31)</f>
        <v>82.5</v>
      </c>
      <c r="V24" s="35">
        <f>IF('MK7-MBD'!E31="","",'MK7-MBD'!E31)</f>
        <v>89.5</v>
      </c>
      <c r="W24" s="35">
        <f t="shared" si="29"/>
        <v>86</v>
      </c>
      <c r="X24" s="70">
        <f>IF(MK8_BID!D32="","",MK8_BID!D32)</f>
        <v>82.5</v>
      </c>
      <c r="Y24" s="70">
        <f>'MK7-MBD'!E31</f>
        <v>89.5</v>
      </c>
      <c r="Z24" s="70">
        <f t="shared" si="30"/>
        <v>86</v>
      </c>
      <c r="AB24" s="71"/>
      <c r="AC24" s="72"/>
      <c r="AD24" s="71"/>
      <c r="AE24" s="72"/>
      <c r="AF24" s="71"/>
      <c r="AG24" s="72"/>
      <c r="AH24" s="71"/>
      <c r="AI24" s="72"/>
      <c r="AJ24" s="72"/>
      <c r="AK24" s="72"/>
      <c r="AL24" s="72"/>
      <c r="AM24" s="72"/>
      <c r="AN24" s="72"/>
      <c r="AO24" s="72"/>
      <c r="AP24" s="72"/>
      <c r="AQ24" s="72"/>
      <c r="AR24" s="71"/>
      <c r="AS24" s="72"/>
      <c r="AT24" s="71"/>
      <c r="AU24" s="72"/>
      <c r="AV24" s="72"/>
      <c r="AW24" s="72"/>
      <c r="AX24" s="71"/>
      <c r="AY24" s="72"/>
      <c r="AZ24" s="71"/>
      <c r="BA24" s="72"/>
      <c r="BB24" s="127"/>
      <c r="BC24" s="71"/>
      <c r="BF24" s="4"/>
      <c r="BG24" s="81" t="str">
        <f t="shared" si="69"/>
        <v/>
      </c>
      <c r="BH24" s="4"/>
      <c r="BI24" s="81" t="str">
        <f t="shared" si="70"/>
        <v/>
      </c>
      <c r="BJ24" s="73"/>
      <c r="BK24" s="81" t="str">
        <f t="shared" si="71"/>
        <v/>
      </c>
      <c r="BL24" s="73"/>
      <c r="BM24" s="81" t="str">
        <f t="shared" si="37"/>
        <v/>
      </c>
      <c r="BN24" s="73">
        <f t="shared" si="38"/>
        <v>21.599299999999999</v>
      </c>
      <c r="BO24" s="79">
        <f t="shared" si="39"/>
        <v>0.93909999999999993</v>
      </c>
      <c r="BP24" s="73"/>
      <c r="BQ24" s="79" t="str">
        <f t="shared" si="40"/>
        <v/>
      </c>
      <c r="BR24" s="73">
        <f t="shared" si="41"/>
        <v>37.199399999999997</v>
      </c>
      <c r="BS24" s="79">
        <f t="shared" si="42"/>
        <v>0.88569999999999993</v>
      </c>
      <c r="BT24" s="172">
        <f t="shared" si="43"/>
        <v>30.099999999999998</v>
      </c>
      <c r="BU24" s="79">
        <f t="shared" si="44"/>
        <v>0.86</v>
      </c>
      <c r="BV24" s="4"/>
      <c r="BW24" s="4"/>
      <c r="BX24" s="73"/>
      <c r="BY24" s="81"/>
      <c r="BZ24" s="73"/>
      <c r="CA24" s="81"/>
      <c r="CB24" s="73">
        <f t="shared" si="2"/>
        <v>46.95</v>
      </c>
      <c r="CC24" s="81">
        <f t="shared" si="46"/>
        <v>0.93900000000000006</v>
      </c>
      <c r="CD24" s="4">
        <f t="shared" si="47"/>
        <v>42.765000000000001</v>
      </c>
      <c r="CE24" s="79">
        <f t="shared" si="48"/>
        <v>0.85530000000000006</v>
      </c>
      <c r="CF24" s="81"/>
      <c r="CG24" s="81"/>
      <c r="CH24" s="72">
        <f t="shared" si="49"/>
        <v>40.549999999999997</v>
      </c>
      <c r="CI24" s="81">
        <f t="shared" si="50"/>
        <v>0.81099999999999994</v>
      </c>
      <c r="CJ24" s="81"/>
      <c r="CK24" s="81"/>
      <c r="CL24" s="4">
        <f t="shared" si="51"/>
        <v>40.200000000000003</v>
      </c>
      <c r="CM24" s="79">
        <f t="shared" si="3"/>
        <v>0.80400000000000005</v>
      </c>
      <c r="CN24" s="4"/>
      <c r="CO24" s="4"/>
      <c r="CP24" s="4"/>
      <c r="CQ24" s="4"/>
      <c r="CR24" s="4"/>
      <c r="CS24" s="4"/>
      <c r="CT24" s="4"/>
      <c r="CU24" s="4"/>
      <c r="CV24" s="73"/>
      <c r="CW24" s="79" t="str">
        <f t="shared" si="4"/>
        <v/>
      </c>
      <c r="CX24" s="4"/>
      <c r="CY24" s="79" t="str">
        <f t="shared" si="5"/>
        <v/>
      </c>
      <c r="CZ24" s="4"/>
      <c r="DA24" s="4"/>
      <c r="DB24" s="4"/>
      <c r="DC24" s="4"/>
      <c r="DD24" s="4">
        <f t="shared" si="52"/>
        <v>41.25</v>
      </c>
      <c r="DE24" s="79">
        <f t="shared" si="53"/>
        <v>0.82499999999999996</v>
      </c>
      <c r="DF24" s="4">
        <f t="shared" si="54"/>
        <v>44.75</v>
      </c>
      <c r="DG24" s="79">
        <f t="shared" si="55"/>
        <v>0.89500000000000002</v>
      </c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73">
        <f t="shared" si="56"/>
        <v>42.765000000000001</v>
      </c>
      <c r="DY24" s="79">
        <f t="shared" si="6"/>
        <v>0.85530000000000006</v>
      </c>
      <c r="DZ24" s="4"/>
      <c r="EA24" s="4"/>
      <c r="EB24" s="4"/>
      <c r="EC24" s="4"/>
      <c r="ED24" s="73">
        <f t="shared" si="57"/>
        <v>43.674999999999997</v>
      </c>
      <c r="EE24" s="81">
        <f t="shared" si="7"/>
        <v>0.87349999999999994</v>
      </c>
      <c r="EF24" s="73"/>
      <c r="EG24" s="81"/>
      <c r="EH24" s="73"/>
      <c r="EI24" s="81" t="str">
        <f t="shared" si="8"/>
        <v/>
      </c>
      <c r="EJ24" s="72"/>
      <c r="EK24" s="81" t="str">
        <f t="shared" si="9"/>
        <v/>
      </c>
      <c r="EL24" s="171"/>
      <c r="EM24" s="81" t="str">
        <f t="shared" si="10"/>
        <v/>
      </c>
      <c r="EN24" s="72">
        <f t="shared" si="58"/>
        <v>29.5001</v>
      </c>
      <c r="EO24" s="81">
        <f t="shared" si="11"/>
        <v>0.79730000000000001</v>
      </c>
      <c r="EP24" s="4"/>
      <c r="EQ24" s="4"/>
      <c r="ER24" s="73">
        <f t="shared" si="59"/>
        <v>25.2516</v>
      </c>
      <c r="ES24" s="79">
        <f t="shared" si="12"/>
        <v>0.76519999999999999</v>
      </c>
      <c r="ET24" s="4">
        <f t="shared" si="60"/>
        <v>26.001000000000001</v>
      </c>
      <c r="EU24" s="79">
        <f t="shared" si="13"/>
        <v>0.86670000000000003</v>
      </c>
      <c r="EV24" s="4"/>
      <c r="EW24" s="4"/>
      <c r="EX24" s="4"/>
      <c r="EY24" s="79" t="str">
        <f t="shared" si="14"/>
        <v/>
      </c>
      <c r="EZ24" s="4"/>
      <c r="FA24" s="79" t="str">
        <f t="shared" si="15"/>
        <v/>
      </c>
      <c r="FB24" s="4">
        <f t="shared" si="61"/>
        <v>41.25</v>
      </c>
      <c r="FC24" s="81">
        <f t="shared" si="72"/>
        <v>0.82499999999999996</v>
      </c>
      <c r="FD24" s="4">
        <f t="shared" si="62"/>
        <v>44.75</v>
      </c>
      <c r="FE24" s="79">
        <f t="shared" si="63"/>
        <v>0.89500000000000002</v>
      </c>
      <c r="FF24" s="72"/>
      <c r="FG24" s="81"/>
      <c r="FH24" s="81"/>
      <c r="FI24" s="81"/>
      <c r="FJ24" s="73"/>
      <c r="FK24" s="81"/>
      <c r="FL24" s="158"/>
      <c r="FM24" s="159"/>
      <c r="FN24" s="84"/>
      <c r="FO24" s="84"/>
      <c r="FP24" s="158"/>
      <c r="FQ24" s="159"/>
      <c r="FR24" s="158"/>
      <c r="FS24" s="159"/>
      <c r="FU24" s="92"/>
    </row>
    <row r="25" spans="1:177">
      <c r="A25" s="105">
        <v>15</v>
      </c>
      <c r="B25" s="106" t="s">
        <v>211</v>
      </c>
      <c r="C25" s="106" t="s">
        <v>212</v>
      </c>
      <c r="D25" s="66">
        <f>'MK1-TM'!D33</f>
        <v>76.09</v>
      </c>
      <c r="E25" s="66">
        <f>'MK1-TM'!E33</f>
        <v>69.290000000000006</v>
      </c>
      <c r="F25" s="66">
        <f>'MK1-TM'!F33</f>
        <v>86.71</v>
      </c>
      <c r="G25" s="66">
        <f t="shared" si="24"/>
        <v>76.950999999999993</v>
      </c>
      <c r="H25" s="83">
        <f>'MK2-TO'!D33</f>
        <v>70.099999999999994</v>
      </c>
      <c r="I25" s="83">
        <f>'MK2-TO'!E33</f>
        <v>70.8</v>
      </c>
      <c r="J25" s="83">
        <f t="shared" si="25"/>
        <v>70.449999999999989</v>
      </c>
      <c r="K25" s="67">
        <f>'MK3-PSTI'!D33</f>
        <v>83.76</v>
      </c>
      <c r="L25" s="67">
        <f>'MK3-PSTI'!E33</f>
        <v>81.33</v>
      </c>
      <c r="M25" s="67">
        <f t="shared" si="26"/>
        <v>82.545000000000002</v>
      </c>
      <c r="N25" s="68">
        <f>IF('MK4-L&amp;A'!D33="","",'MK4-L&amp;A'!D33)</f>
        <v>81.760000000000005</v>
      </c>
      <c r="O25" s="68">
        <f>'MK4-L&amp;A'!E33</f>
        <v>79.55</v>
      </c>
      <c r="P25" s="68">
        <f>'MK4-L&amp;A'!F33</f>
        <v>86.67</v>
      </c>
      <c r="Q25" s="68">
        <f t="shared" si="27"/>
        <v>82.503700000000009</v>
      </c>
      <c r="R25" s="69">
        <f>'MK5-BP'!D33</f>
        <v>93.9</v>
      </c>
      <c r="S25" s="69">
        <f>'MK5-BP'!E33</f>
        <v>93.9</v>
      </c>
      <c r="T25" s="69">
        <f t="shared" si="28"/>
        <v>93.9</v>
      </c>
      <c r="U25" s="35">
        <f>IF('MK7-MBD'!D32="","",'MK7-MBD'!D32)</f>
        <v>82.5</v>
      </c>
      <c r="V25" s="35">
        <f>IF('MK7-MBD'!E32="","",'MK7-MBD'!E32)</f>
        <v>86</v>
      </c>
      <c r="W25" s="35">
        <f t="shared" si="29"/>
        <v>84.25</v>
      </c>
      <c r="X25" s="70">
        <f>IF(MK8_BID!D33="","",MK8_BID!D33)</f>
        <v>82.5</v>
      </c>
      <c r="Y25" s="70">
        <f>'MK7-MBD'!E32</f>
        <v>86</v>
      </c>
      <c r="Z25" s="70">
        <f t="shared" si="30"/>
        <v>84.25</v>
      </c>
      <c r="AB25" s="71"/>
      <c r="AC25" s="72"/>
      <c r="AD25" s="71"/>
      <c r="AE25" s="72"/>
      <c r="AF25" s="71"/>
      <c r="AG25" s="72"/>
      <c r="AH25" s="71"/>
      <c r="AI25" s="72"/>
      <c r="AJ25" s="72"/>
      <c r="AK25" s="72"/>
      <c r="AL25" s="72"/>
      <c r="AM25" s="72"/>
      <c r="AN25" s="72"/>
      <c r="AO25" s="72"/>
      <c r="AP25" s="72"/>
      <c r="AQ25" s="72"/>
      <c r="AR25" s="71"/>
      <c r="AS25" s="72"/>
      <c r="AT25" s="71"/>
      <c r="AU25" s="72"/>
      <c r="AV25" s="72"/>
      <c r="AW25" s="72"/>
      <c r="AX25" s="71"/>
      <c r="AY25" s="72"/>
      <c r="AZ25" s="71"/>
      <c r="BA25" s="72"/>
      <c r="BB25" s="127"/>
      <c r="BC25" s="71"/>
      <c r="BF25" s="4"/>
      <c r="BG25" s="81" t="str">
        <f t="shared" si="69"/>
        <v/>
      </c>
      <c r="BH25" s="4"/>
      <c r="BI25" s="81" t="str">
        <f t="shared" si="70"/>
        <v/>
      </c>
      <c r="BJ25" s="73"/>
      <c r="BK25" s="81" t="str">
        <f t="shared" si="71"/>
        <v/>
      </c>
      <c r="BL25" s="73"/>
      <c r="BM25" s="81" t="str">
        <f t="shared" si="37"/>
        <v/>
      </c>
      <c r="BN25" s="73">
        <f t="shared" si="38"/>
        <v>17.500700000000002</v>
      </c>
      <c r="BO25" s="79">
        <f t="shared" si="39"/>
        <v>0.76090000000000013</v>
      </c>
      <c r="BP25" s="73"/>
      <c r="BQ25" s="79" t="str">
        <f t="shared" si="40"/>
        <v/>
      </c>
      <c r="BR25" s="73">
        <f t="shared" si="41"/>
        <v>29.101800000000001</v>
      </c>
      <c r="BS25" s="79">
        <f t="shared" si="42"/>
        <v>0.69290000000000007</v>
      </c>
      <c r="BT25" s="172">
        <f t="shared" si="43"/>
        <v>30.348499999999994</v>
      </c>
      <c r="BU25" s="79">
        <f t="shared" si="44"/>
        <v>0.86709999999999987</v>
      </c>
      <c r="BV25" s="4"/>
      <c r="BW25" s="4"/>
      <c r="BX25" s="73"/>
      <c r="BY25" s="81"/>
      <c r="BZ25" s="73"/>
      <c r="CA25" s="81"/>
      <c r="CB25" s="73">
        <f t="shared" si="2"/>
        <v>46.95</v>
      </c>
      <c r="CC25" s="81">
        <f t="shared" si="46"/>
        <v>0.93900000000000006</v>
      </c>
      <c r="CD25" s="4">
        <f t="shared" si="47"/>
        <v>41.88</v>
      </c>
      <c r="CE25" s="79">
        <f t="shared" si="48"/>
        <v>0.83760000000000001</v>
      </c>
      <c r="CF25" s="81"/>
      <c r="CG25" s="81"/>
      <c r="CH25" s="72">
        <f t="shared" si="49"/>
        <v>35.049999999999997</v>
      </c>
      <c r="CI25" s="81">
        <f t="shared" si="50"/>
        <v>0.70099999999999996</v>
      </c>
      <c r="CJ25" s="81"/>
      <c r="CK25" s="81"/>
      <c r="CL25" s="4">
        <f t="shared" si="51"/>
        <v>35.4</v>
      </c>
      <c r="CM25" s="79">
        <f t="shared" si="3"/>
        <v>0.70799999999999996</v>
      </c>
      <c r="CN25" s="4"/>
      <c r="CO25" s="4"/>
      <c r="CP25" s="4"/>
      <c r="CQ25" s="4"/>
      <c r="CR25" s="4"/>
      <c r="CS25" s="4"/>
      <c r="CT25" s="4"/>
      <c r="CU25" s="4"/>
      <c r="CV25" s="73"/>
      <c r="CW25" s="79" t="str">
        <f t="shared" si="4"/>
        <v/>
      </c>
      <c r="CX25" s="4"/>
      <c r="CY25" s="79" t="str">
        <f t="shared" si="5"/>
        <v/>
      </c>
      <c r="CZ25" s="4"/>
      <c r="DA25" s="4"/>
      <c r="DB25" s="4"/>
      <c r="DC25" s="4"/>
      <c r="DD25" s="4">
        <f t="shared" si="52"/>
        <v>41.25</v>
      </c>
      <c r="DE25" s="79">
        <f t="shared" si="53"/>
        <v>0.82499999999999996</v>
      </c>
      <c r="DF25" s="4">
        <f t="shared" si="54"/>
        <v>43</v>
      </c>
      <c r="DG25" s="79">
        <f t="shared" si="55"/>
        <v>0.86</v>
      </c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73">
        <f t="shared" si="56"/>
        <v>41.88</v>
      </c>
      <c r="DY25" s="79">
        <f t="shared" si="6"/>
        <v>0.83760000000000001</v>
      </c>
      <c r="DZ25" s="4"/>
      <c r="EA25" s="4"/>
      <c r="EB25" s="4"/>
      <c r="EC25" s="4"/>
      <c r="ED25" s="73">
        <f t="shared" si="57"/>
        <v>40.664999999999999</v>
      </c>
      <c r="EE25" s="81">
        <f t="shared" si="7"/>
        <v>0.81330000000000002</v>
      </c>
      <c r="EF25" s="73"/>
      <c r="EG25" s="81"/>
      <c r="EH25" s="73"/>
      <c r="EI25" s="81" t="str">
        <f t="shared" si="8"/>
        <v/>
      </c>
      <c r="EJ25" s="72"/>
      <c r="EK25" s="81" t="str">
        <f t="shared" si="9"/>
        <v/>
      </c>
      <c r="EL25" s="171"/>
      <c r="EM25" s="81" t="str">
        <f t="shared" si="10"/>
        <v/>
      </c>
      <c r="EN25" s="72">
        <f t="shared" si="58"/>
        <v>30.251200000000001</v>
      </c>
      <c r="EO25" s="81">
        <f t="shared" si="11"/>
        <v>0.81759999999999999</v>
      </c>
      <c r="EP25" s="4"/>
      <c r="EQ25" s="4"/>
      <c r="ER25" s="73">
        <f t="shared" si="59"/>
        <v>26.2515</v>
      </c>
      <c r="ES25" s="79">
        <f t="shared" si="12"/>
        <v>0.79549999999999998</v>
      </c>
      <c r="ET25" s="4">
        <f t="shared" si="60"/>
        <v>26.001000000000001</v>
      </c>
      <c r="EU25" s="79">
        <f t="shared" si="13"/>
        <v>0.86670000000000003</v>
      </c>
      <c r="EV25" s="4"/>
      <c r="EW25" s="4"/>
      <c r="EX25" s="4"/>
      <c r="EY25" s="79" t="str">
        <f t="shared" si="14"/>
        <v/>
      </c>
      <c r="EZ25" s="4"/>
      <c r="FA25" s="79" t="str">
        <f t="shared" si="15"/>
        <v/>
      </c>
      <c r="FB25" s="4">
        <f t="shared" si="61"/>
        <v>41.25</v>
      </c>
      <c r="FC25" s="81">
        <f t="shared" si="72"/>
        <v>0.82499999999999996</v>
      </c>
      <c r="FD25" s="4">
        <f t="shared" si="62"/>
        <v>43</v>
      </c>
      <c r="FE25" s="79">
        <f t="shared" si="63"/>
        <v>0.86</v>
      </c>
      <c r="FF25" s="72"/>
      <c r="FG25" s="81"/>
      <c r="FH25" s="81"/>
      <c r="FI25" s="81"/>
      <c r="FJ25" s="73"/>
      <c r="FK25" s="81"/>
      <c r="FL25" s="158"/>
      <c r="FM25" s="159"/>
      <c r="FN25" s="84"/>
      <c r="FO25" s="84"/>
      <c r="FP25" s="158"/>
      <c r="FQ25" s="159"/>
      <c r="FR25" s="158"/>
      <c r="FS25" s="159"/>
      <c r="FU25" s="92"/>
    </row>
    <row r="26" spans="1:177">
      <c r="A26" s="105">
        <v>16</v>
      </c>
      <c r="B26" s="106" t="s">
        <v>213</v>
      </c>
      <c r="C26" s="106" t="s">
        <v>214</v>
      </c>
      <c r="D26" s="66">
        <f>'MK1-TM'!D34</f>
        <v>81.3</v>
      </c>
      <c r="E26" s="66">
        <f>'MK1-TM'!E34</f>
        <v>74.52</v>
      </c>
      <c r="F26" s="66">
        <f>'MK1-TM'!F34</f>
        <v>79.86</v>
      </c>
      <c r="G26" s="66">
        <f t="shared" si="24"/>
        <v>77.948399999999992</v>
      </c>
      <c r="H26" s="83">
        <f>'MK2-TO'!D34</f>
        <v>58.9</v>
      </c>
      <c r="I26" s="83">
        <f>'MK2-TO'!E34</f>
        <v>62.4</v>
      </c>
      <c r="J26" s="83">
        <f t="shared" si="25"/>
        <v>60.65</v>
      </c>
      <c r="K26" s="67">
        <f>'MK3-PSTI'!D34</f>
        <v>76.709999999999994</v>
      </c>
      <c r="L26" s="67">
        <f>'MK3-PSTI'!E34</f>
        <v>69.900000000000006</v>
      </c>
      <c r="M26" s="67">
        <f t="shared" si="26"/>
        <v>73.305000000000007</v>
      </c>
      <c r="N26" s="68">
        <f>IF('MK4-L&amp;A'!D34="","",'MK4-L&amp;A'!D34)</f>
        <v>66.89</v>
      </c>
      <c r="O26" s="68">
        <f>'MK4-L&amp;A'!E34</f>
        <v>67.88</v>
      </c>
      <c r="P26" s="68">
        <f>'MK4-L&amp;A'!F34</f>
        <v>65.33</v>
      </c>
      <c r="Q26" s="68">
        <f t="shared" si="27"/>
        <v>66.748699999999999</v>
      </c>
      <c r="R26" s="69">
        <f>'MK5-BP'!D34</f>
        <v>76.900000000000006</v>
      </c>
      <c r="S26" s="69">
        <f>'MK5-BP'!E34</f>
        <v>76.900000000000006</v>
      </c>
      <c r="T26" s="69">
        <f t="shared" si="28"/>
        <v>76.900000000000006</v>
      </c>
      <c r="U26" s="35">
        <f>IF('MK7-MBD'!D33="","",'MK7-MBD'!D33)</f>
        <v>58</v>
      </c>
      <c r="V26" s="35">
        <f>IF('MK7-MBD'!E33="","",'MK7-MBD'!E33)</f>
        <v>86</v>
      </c>
      <c r="W26" s="35">
        <f t="shared" si="29"/>
        <v>72</v>
      </c>
      <c r="X26" s="70">
        <f>IF(MK8_BID!D34="","",MK8_BID!D34)</f>
        <v>58</v>
      </c>
      <c r="Y26" s="70">
        <f>'MK7-MBD'!E33</f>
        <v>86</v>
      </c>
      <c r="Z26" s="70">
        <f t="shared" si="30"/>
        <v>72</v>
      </c>
      <c r="AB26" s="71"/>
      <c r="AC26" s="72"/>
      <c r="AD26" s="71"/>
      <c r="AE26" s="72"/>
      <c r="AF26" s="71"/>
      <c r="AG26" s="72"/>
      <c r="AH26" s="71"/>
      <c r="AI26" s="72"/>
      <c r="AJ26" s="72"/>
      <c r="AK26" s="72"/>
      <c r="AL26" s="72"/>
      <c r="AM26" s="72"/>
      <c r="AN26" s="72"/>
      <c r="AO26" s="72"/>
      <c r="AP26" s="72"/>
      <c r="AQ26" s="72"/>
      <c r="AR26" s="71"/>
      <c r="AS26" s="72"/>
      <c r="AT26" s="71"/>
      <c r="AU26" s="72"/>
      <c r="AV26" s="72"/>
      <c r="AW26" s="72"/>
      <c r="AX26" s="71"/>
      <c r="AY26" s="72"/>
      <c r="AZ26" s="71"/>
      <c r="BA26" s="72"/>
      <c r="BB26" s="127"/>
      <c r="BC26" s="71"/>
      <c r="BF26" s="4"/>
      <c r="BG26" s="81" t="str">
        <f t="shared" si="69"/>
        <v/>
      </c>
      <c r="BH26" s="4"/>
      <c r="BI26" s="81" t="str">
        <f t="shared" si="70"/>
        <v/>
      </c>
      <c r="BJ26" s="73"/>
      <c r="BK26" s="81" t="str">
        <f t="shared" si="71"/>
        <v/>
      </c>
      <c r="BL26" s="73"/>
      <c r="BM26" s="81" t="str">
        <f t="shared" si="37"/>
        <v/>
      </c>
      <c r="BN26" s="73">
        <f t="shared" si="38"/>
        <v>18.699000000000002</v>
      </c>
      <c r="BO26" s="79">
        <f t="shared" si="39"/>
        <v>0.81300000000000006</v>
      </c>
      <c r="BP26" s="73"/>
      <c r="BQ26" s="79" t="str">
        <f t="shared" si="40"/>
        <v/>
      </c>
      <c r="BR26" s="73">
        <f t="shared" si="41"/>
        <v>31.298399999999997</v>
      </c>
      <c r="BS26" s="79">
        <f t="shared" si="42"/>
        <v>0.74519999999999997</v>
      </c>
      <c r="BT26" s="172">
        <f t="shared" si="43"/>
        <v>27.950999999999997</v>
      </c>
      <c r="BU26" s="79">
        <f t="shared" si="44"/>
        <v>0.79859999999999987</v>
      </c>
      <c r="BV26" s="4"/>
      <c r="BW26" s="4"/>
      <c r="BX26" s="73"/>
      <c r="BY26" s="81"/>
      <c r="BZ26" s="73"/>
      <c r="CA26" s="81"/>
      <c r="CB26" s="73">
        <f t="shared" si="2"/>
        <v>38.450000000000003</v>
      </c>
      <c r="CC26" s="81">
        <f t="shared" si="46"/>
        <v>0.76900000000000002</v>
      </c>
      <c r="CD26" s="4">
        <f t="shared" si="47"/>
        <v>38.354999999999997</v>
      </c>
      <c r="CE26" s="79">
        <f t="shared" si="48"/>
        <v>0.76709999999999989</v>
      </c>
      <c r="CF26" s="81"/>
      <c r="CG26" s="81"/>
      <c r="CH26" s="72">
        <f t="shared" si="49"/>
        <v>29.45</v>
      </c>
      <c r="CI26" s="81">
        <f t="shared" si="50"/>
        <v>0.58899999999999997</v>
      </c>
      <c r="CJ26" s="81"/>
      <c r="CK26" s="81"/>
      <c r="CL26" s="4">
        <f t="shared" si="51"/>
        <v>31.2</v>
      </c>
      <c r="CM26" s="79">
        <f t="shared" si="3"/>
        <v>0.624</v>
      </c>
      <c r="CN26" s="4"/>
      <c r="CO26" s="4"/>
      <c r="CP26" s="4"/>
      <c r="CQ26" s="4"/>
      <c r="CR26" s="4"/>
      <c r="CS26" s="4"/>
      <c r="CT26" s="4"/>
      <c r="CU26" s="4"/>
      <c r="CV26" s="73"/>
      <c r="CW26" s="79" t="str">
        <f t="shared" si="4"/>
        <v/>
      </c>
      <c r="CX26" s="4"/>
      <c r="CY26" s="79" t="str">
        <f t="shared" si="5"/>
        <v/>
      </c>
      <c r="CZ26" s="4"/>
      <c r="DA26" s="4"/>
      <c r="DB26" s="4"/>
      <c r="DC26" s="4"/>
      <c r="DD26" s="4">
        <f t="shared" si="52"/>
        <v>29</v>
      </c>
      <c r="DE26" s="79">
        <f t="shared" si="53"/>
        <v>0.57999999999999996</v>
      </c>
      <c r="DF26" s="4">
        <f t="shared" si="54"/>
        <v>43</v>
      </c>
      <c r="DG26" s="79">
        <f t="shared" si="55"/>
        <v>0.86</v>
      </c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73">
        <f t="shared" si="56"/>
        <v>38.354999999999997</v>
      </c>
      <c r="DY26" s="79">
        <f t="shared" si="6"/>
        <v>0.76709999999999989</v>
      </c>
      <c r="DZ26" s="4"/>
      <c r="EA26" s="4"/>
      <c r="EB26" s="4"/>
      <c r="EC26" s="4"/>
      <c r="ED26" s="73">
        <f t="shared" si="57"/>
        <v>34.950000000000003</v>
      </c>
      <c r="EE26" s="81">
        <f t="shared" si="7"/>
        <v>0.69900000000000007</v>
      </c>
      <c r="EF26" s="73"/>
      <c r="EG26" s="81"/>
      <c r="EH26" s="73"/>
      <c r="EI26" s="81" t="str">
        <f t="shared" si="8"/>
        <v/>
      </c>
      <c r="EJ26" s="72"/>
      <c r="EK26" s="81" t="str">
        <f t="shared" si="9"/>
        <v/>
      </c>
      <c r="EL26" s="171"/>
      <c r="EM26" s="81" t="str">
        <f t="shared" si="10"/>
        <v/>
      </c>
      <c r="EN26" s="72">
        <f t="shared" si="58"/>
        <v>24.749300000000002</v>
      </c>
      <c r="EO26" s="81">
        <f t="shared" si="11"/>
        <v>0.66890000000000005</v>
      </c>
      <c r="EP26" s="4"/>
      <c r="EQ26" s="4"/>
      <c r="ER26" s="73">
        <f t="shared" si="59"/>
        <v>22.400400000000001</v>
      </c>
      <c r="ES26" s="79">
        <f t="shared" si="12"/>
        <v>0.67880000000000007</v>
      </c>
      <c r="ET26" s="4">
        <f t="shared" si="60"/>
        <v>19.599</v>
      </c>
      <c r="EU26" s="79">
        <f t="shared" si="13"/>
        <v>0.65329999999999999</v>
      </c>
      <c r="EV26" s="4"/>
      <c r="EW26" s="4"/>
      <c r="EX26" s="4"/>
      <c r="EY26" s="79" t="str">
        <f t="shared" si="14"/>
        <v/>
      </c>
      <c r="EZ26" s="4"/>
      <c r="FA26" s="79" t="str">
        <f t="shared" si="15"/>
        <v/>
      </c>
      <c r="FB26" s="4">
        <f t="shared" si="61"/>
        <v>29</v>
      </c>
      <c r="FC26" s="81">
        <f t="shared" si="72"/>
        <v>0.57999999999999996</v>
      </c>
      <c r="FD26" s="4">
        <f t="shared" si="62"/>
        <v>43</v>
      </c>
      <c r="FE26" s="79">
        <f t="shared" si="63"/>
        <v>0.86</v>
      </c>
      <c r="FF26" s="72"/>
      <c r="FG26" s="81"/>
      <c r="FH26" s="81"/>
      <c r="FI26" s="81"/>
      <c r="FJ26" s="73"/>
      <c r="FK26" s="81"/>
      <c r="FL26" s="158"/>
      <c r="FM26" s="159"/>
      <c r="FN26" s="84"/>
      <c r="FO26" s="84"/>
      <c r="FP26" s="158"/>
      <c r="FQ26" s="159"/>
      <c r="FR26" s="158"/>
      <c r="FS26" s="159"/>
      <c r="FU26" s="92"/>
    </row>
    <row r="27" spans="1:177">
      <c r="A27" s="105">
        <v>17</v>
      </c>
      <c r="B27" s="106" t="s">
        <v>215</v>
      </c>
      <c r="C27" s="106" t="s">
        <v>216</v>
      </c>
      <c r="D27" s="66">
        <f>'MK1-TM'!D35</f>
        <v>91.74</v>
      </c>
      <c r="E27" s="66">
        <f>'MK1-TM'!E35</f>
        <v>80.95</v>
      </c>
      <c r="F27" s="66">
        <f>'MK1-TM'!F35</f>
        <v>64.290000000000006</v>
      </c>
      <c r="G27" s="66">
        <f t="shared" si="24"/>
        <v>77.600700000000003</v>
      </c>
      <c r="H27" s="83">
        <f>'MK2-TO'!D35</f>
        <v>80.400000000000006</v>
      </c>
      <c r="I27" s="83">
        <f>'MK2-TO'!E35</f>
        <v>81.099999999999994</v>
      </c>
      <c r="J27" s="83">
        <f t="shared" si="25"/>
        <v>80.75</v>
      </c>
      <c r="K27" s="67">
        <f>'MK3-PSTI'!D35</f>
        <v>82.59</v>
      </c>
      <c r="L27" s="67">
        <f>'MK3-PSTI'!E35</f>
        <v>82.55</v>
      </c>
      <c r="M27" s="67">
        <f t="shared" si="26"/>
        <v>82.57</v>
      </c>
      <c r="N27" s="68">
        <f>IF('MK4-L&amp;A'!D35="","",'MK4-L&amp;A'!D35)</f>
        <v>68.239999999999995</v>
      </c>
      <c r="O27" s="68">
        <f>'MK4-L&amp;A'!E35</f>
        <v>69.7</v>
      </c>
      <c r="P27" s="68">
        <f>'MK4-L&amp;A'!F35</f>
        <v>70</v>
      </c>
      <c r="Q27" s="68">
        <f t="shared" si="27"/>
        <v>69.249799999999993</v>
      </c>
      <c r="R27" s="69">
        <f>'MK5-BP'!D35</f>
        <v>81.400000000000006</v>
      </c>
      <c r="S27" s="69">
        <f>'MK5-BP'!E35</f>
        <v>81.400000000000006</v>
      </c>
      <c r="T27" s="69">
        <f t="shared" si="28"/>
        <v>81.400000000000006</v>
      </c>
      <c r="U27" s="35">
        <f>IF('MK7-MBD'!D34="","",'MK7-MBD'!D34)</f>
        <v>70.8</v>
      </c>
      <c r="V27" s="35">
        <f>IF('MK7-MBD'!E34="","",'MK7-MBD'!E34)</f>
        <v>74.3</v>
      </c>
      <c r="W27" s="35">
        <f t="shared" si="29"/>
        <v>72.55</v>
      </c>
      <c r="X27" s="70">
        <f>IF(MK8_BID!D35="","",MK8_BID!D35)</f>
        <v>70.8</v>
      </c>
      <c r="Y27" s="70">
        <f>'MK7-MBD'!E34</f>
        <v>74.3</v>
      </c>
      <c r="Z27" s="70">
        <f t="shared" si="30"/>
        <v>72.55</v>
      </c>
      <c r="AB27" s="71"/>
      <c r="AC27" s="72"/>
      <c r="AD27" s="71"/>
      <c r="AE27" s="72"/>
      <c r="AF27" s="71"/>
      <c r="AG27" s="72"/>
      <c r="AH27" s="71"/>
      <c r="AI27" s="72"/>
      <c r="AJ27" s="72"/>
      <c r="AK27" s="72"/>
      <c r="AL27" s="72"/>
      <c r="AM27" s="72"/>
      <c r="AN27" s="72"/>
      <c r="AO27" s="72"/>
      <c r="AP27" s="72"/>
      <c r="AQ27" s="72"/>
      <c r="AR27" s="71"/>
      <c r="AS27" s="72"/>
      <c r="AT27" s="71"/>
      <c r="AU27" s="72"/>
      <c r="AV27" s="72"/>
      <c r="AW27" s="72"/>
      <c r="AX27" s="71"/>
      <c r="AY27" s="72"/>
      <c r="AZ27" s="71"/>
      <c r="BA27" s="72"/>
      <c r="BB27" s="127"/>
      <c r="BC27" s="71"/>
      <c r="BF27" s="4"/>
      <c r="BG27" s="81" t="str">
        <f t="shared" si="69"/>
        <v/>
      </c>
      <c r="BH27" s="4"/>
      <c r="BI27" s="81" t="str">
        <f t="shared" si="70"/>
        <v/>
      </c>
      <c r="BJ27" s="73"/>
      <c r="BK27" s="81" t="str">
        <f t="shared" si="71"/>
        <v/>
      </c>
      <c r="BL27" s="73"/>
      <c r="BM27" s="81" t="str">
        <f t="shared" si="37"/>
        <v/>
      </c>
      <c r="BN27" s="73">
        <f t="shared" si="38"/>
        <v>21.100200000000001</v>
      </c>
      <c r="BO27" s="79">
        <f t="shared" si="39"/>
        <v>0.91739999999999999</v>
      </c>
      <c r="BP27" s="73"/>
      <c r="BQ27" s="79" t="str">
        <f t="shared" si="40"/>
        <v/>
      </c>
      <c r="BR27" s="73">
        <f t="shared" si="41"/>
        <v>33.999000000000002</v>
      </c>
      <c r="BS27" s="79">
        <f t="shared" si="42"/>
        <v>0.80950000000000011</v>
      </c>
      <c r="BT27" s="172">
        <f t="shared" si="43"/>
        <v>22.5015</v>
      </c>
      <c r="BU27" s="79">
        <f t="shared" si="44"/>
        <v>0.64290000000000003</v>
      </c>
      <c r="BV27" s="4"/>
      <c r="BW27" s="4"/>
      <c r="BX27" s="73"/>
      <c r="BY27" s="81"/>
      <c r="BZ27" s="73"/>
      <c r="CA27" s="81"/>
      <c r="CB27" s="73">
        <f t="shared" si="2"/>
        <v>40.700000000000003</v>
      </c>
      <c r="CC27" s="81">
        <f t="shared" si="46"/>
        <v>0.81400000000000006</v>
      </c>
      <c r="CD27" s="4">
        <f t="shared" si="47"/>
        <v>41.295000000000002</v>
      </c>
      <c r="CE27" s="79">
        <f t="shared" si="48"/>
        <v>0.82590000000000008</v>
      </c>
      <c r="CF27" s="81"/>
      <c r="CG27" s="81"/>
      <c r="CH27" s="72">
        <f t="shared" si="49"/>
        <v>40.200000000000003</v>
      </c>
      <c r="CI27" s="81">
        <f t="shared" si="50"/>
        <v>0.80400000000000005</v>
      </c>
      <c r="CJ27" s="81"/>
      <c r="CK27" s="81"/>
      <c r="CL27" s="4">
        <f t="shared" si="51"/>
        <v>40.549999999999997</v>
      </c>
      <c r="CM27" s="79">
        <f t="shared" si="3"/>
        <v>0.81099999999999994</v>
      </c>
      <c r="CN27" s="4"/>
      <c r="CO27" s="4"/>
      <c r="CP27" s="4"/>
      <c r="CQ27" s="4"/>
      <c r="CR27" s="4"/>
      <c r="CS27" s="4"/>
      <c r="CT27" s="4"/>
      <c r="CU27" s="4"/>
      <c r="CV27" s="73"/>
      <c r="CW27" s="79" t="str">
        <f t="shared" si="4"/>
        <v/>
      </c>
      <c r="CX27" s="4"/>
      <c r="CY27" s="79" t="str">
        <f t="shared" si="5"/>
        <v/>
      </c>
      <c r="CZ27" s="4"/>
      <c r="DA27" s="4"/>
      <c r="DB27" s="4"/>
      <c r="DC27" s="4"/>
      <c r="DD27" s="4">
        <f t="shared" si="52"/>
        <v>35.4</v>
      </c>
      <c r="DE27" s="79">
        <f t="shared" si="53"/>
        <v>0.70799999999999996</v>
      </c>
      <c r="DF27" s="4">
        <f t="shared" si="54"/>
        <v>37.15</v>
      </c>
      <c r="DG27" s="79">
        <f t="shared" si="55"/>
        <v>0.74299999999999999</v>
      </c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73">
        <f t="shared" si="56"/>
        <v>41.295000000000002</v>
      </c>
      <c r="DY27" s="79">
        <f t="shared" si="6"/>
        <v>0.82590000000000008</v>
      </c>
      <c r="DZ27" s="4"/>
      <c r="EA27" s="4"/>
      <c r="EB27" s="4"/>
      <c r="EC27" s="4"/>
      <c r="ED27" s="73">
        <f t="shared" si="57"/>
        <v>41.274999999999999</v>
      </c>
      <c r="EE27" s="81">
        <f t="shared" si="7"/>
        <v>0.82550000000000001</v>
      </c>
      <c r="EF27" s="73"/>
      <c r="EG27" s="81"/>
      <c r="EH27" s="73"/>
      <c r="EI27" s="81" t="str">
        <f t="shared" si="8"/>
        <v/>
      </c>
      <c r="EJ27" s="72"/>
      <c r="EK27" s="81" t="str">
        <f t="shared" si="9"/>
        <v/>
      </c>
      <c r="EL27" s="171"/>
      <c r="EM27" s="81" t="str">
        <f t="shared" si="10"/>
        <v/>
      </c>
      <c r="EN27" s="72">
        <f t="shared" si="58"/>
        <v>25.248799999999999</v>
      </c>
      <c r="EO27" s="81">
        <f t="shared" si="11"/>
        <v>0.68240000000000001</v>
      </c>
      <c r="EP27" s="4"/>
      <c r="EQ27" s="4"/>
      <c r="ER27" s="73">
        <f t="shared" si="59"/>
        <v>23.001000000000001</v>
      </c>
      <c r="ES27" s="79">
        <f t="shared" si="12"/>
        <v>0.69700000000000006</v>
      </c>
      <c r="ET27" s="4">
        <f t="shared" si="60"/>
        <v>21</v>
      </c>
      <c r="EU27" s="79">
        <f t="shared" si="13"/>
        <v>0.7</v>
      </c>
      <c r="EV27" s="4"/>
      <c r="EW27" s="4"/>
      <c r="EX27" s="4"/>
      <c r="EY27" s="79" t="str">
        <f t="shared" si="14"/>
        <v/>
      </c>
      <c r="EZ27" s="4"/>
      <c r="FA27" s="79" t="str">
        <f t="shared" si="15"/>
        <v/>
      </c>
      <c r="FB27" s="4">
        <f t="shared" si="61"/>
        <v>35.4</v>
      </c>
      <c r="FC27" s="81">
        <f t="shared" si="72"/>
        <v>0.70799999999999996</v>
      </c>
      <c r="FD27" s="4">
        <f t="shared" si="62"/>
        <v>37.15</v>
      </c>
      <c r="FE27" s="79">
        <f t="shared" si="63"/>
        <v>0.74299999999999999</v>
      </c>
      <c r="FF27" s="72"/>
      <c r="FG27" s="81"/>
      <c r="FH27" s="81"/>
      <c r="FI27" s="81"/>
      <c r="FJ27" s="73"/>
      <c r="FK27" s="81"/>
      <c r="FL27" s="158"/>
      <c r="FM27" s="159"/>
      <c r="FN27" s="84"/>
      <c r="FO27" s="84"/>
      <c r="FP27" s="158"/>
      <c r="FQ27" s="159"/>
      <c r="FR27" s="158"/>
      <c r="FS27" s="159"/>
      <c r="FU27" s="92"/>
    </row>
    <row r="28" spans="1:177">
      <c r="A28" s="105">
        <v>18</v>
      </c>
      <c r="B28" s="106" t="s">
        <v>217</v>
      </c>
      <c r="C28" s="106" t="s">
        <v>218</v>
      </c>
      <c r="D28" s="66">
        <f>'MK1-TM'!D36</f>
        <v>83.91</v>
      </c>
      <c r="E28" s="66">
        <f>'MK1-TM'!E36</f>
        <v>72.38</v>
      </c>
      <c r="F28" s="66">
        <f>'MK1-TM'!F36</f>
        <v>65.430000000000007</v>
      </c>
      <c r="G28" s="66">
        <f t="shared" si="24"/>
        <v>72.599400000000003</v>
      </c>
      <c r="H28" s="83">
        <f>'MK2-TO'!D36</f>
        <v>71.5</v>
      </c>
      <c r="I28" s="83">
        <f>'MK2-TO'!E36</f>
        <v>70.099999999999994</v>
      </c>
      <c r="J28" s="83">
        <f t="shared" si="25"/>
        <v>70.8</v>
      </c>
      <c r="K28" s="67">
        <f>'MK3-PSTI'!D36</f>
        <v>80.349999999999994</v>
      </c>
      <c r="L28" s="67">
        <f>'MK3-PSTI'!E36</f>
        <v>69.900000000000006</v>
      </c>
      <c r="M28" s="67">
        <f t="shared" si="26"/>
        <v>75.125</v>
      </c>
      <c r="N28" s="68">
        <f>IF('MK4-L&amp;A'!D36="","",'MK4-L&amp;A'!D36)</f>
        <v>75</v>
      </c>
      <c r="O28" s="68">
        <f>'MK4-L&amp;A'!E36</f>
        <v>76.97</v>
      </c>
      <c r="P28" s="68">
        <f>'MK4-L&amp;A'!F36</f>
        <v>76.17</v>
      </c>
      <c r="Q28" s="68">
        <f t="shared" si="27"/>
        <v>76.001100000000008</v>
      </c>
      <c r="R28" s="69">
        <f>'MK5-BP'!D36</f>
        <v>81.400000000000006</v>
      </c>
      <c r="S28" s="69">
        <f>'MK5-BP'!E36</f>
        <v>81.400000000000006</v>
      </c>
      <c r="T28" s="69">
        <f t="shared" si="28"/>
        <v>81.400000000000006</v>
      </c>
      <c r="U28" s="35">
        <f>IF('MK7-MBD'!D35="","",'MK7-MBD'!D35)</f>
        <v>85.4</v>
      </c>
      <c r="V28" s="35">
        <f>IF('MK7-MBD'!E35="","",'MK7-MBD'!E35)</f>
        <v>81.900000000000006</v>
      </c>
      <c r="W28" s="35">
        <f t="shared" si="29"/>
        <v>83.65</v>
      </c>
      <c r="X28" s="70">
        <f>IF(MK8_BID!D36="","",MK8_BID!D36)</f>
        <v>85.4</v>
      </c>
      <c r="Y28" s="70">
        <f>'MK7-MBD'!E35</f>
        <v>81.900000000000006</v>
      </c>
      <c r="Z28" s="70">
        <f t="shared" si="30"/>
        <v>83.65</v>
      </c>
      <c r="AB28" s="71"/>
      <c r="AC28" s="72"/>
      <c r="AD28" s="71"/>
      <c r="AE28" s="72"/>
      <c r="AF28" s="71"/>
      <c r="AG28" s="72"/>
      <c r="AH28" s="71"/>
      <c r="AI28" s="72"/>
      <c r="AJ28" s="72"/>
      <c r="AK28" s="72"/>
      <c r="AL28" s="72"/>
      <c r="AM28" s="72"/>
      <c r="AN28" s="72"/>
      <c r="AO28" s="72"/>
      <c r="AP28" s="72"/>
      <c r="AQ28" s="72"/>
      <c r="AR28" s="71"/>
      <c r="AS28" s="72"/>
      <c r="AT28" s="71"/>
      <c r="AU28" s="72"/>
      <c r="AV28" s="72"/>
      <c r="AW28" s="72"/>
      <c r="AX28" s="71"/>
      <c r="AY28" s="72"/>
      <c r="AZ28" s="71"/>
      <c r="BA28" s="72"/>
      <c r="BB28" s="127"/>
      <c r="BC28" s="71"/>
      <c r="BF28" s="4"/>
      <c r="BG28" s="81" t="str">
        <f t="shared" si="69"/>
        <v/>
      </c>
      <c r="BH28" s="4"/>
      <c r="BI28" s="81" t="str">
        <f t="shared" si="70"/>
        <v/>
      </c>
      <c r="BJ28" s="73"/>
      <c r="BK28" s="81" t="str">
        <f t="shared" si="71"/>
        <v/>
      </c>
      <c r="BL28" s="73"/>
      <c r="BM28" s="81" t="str">
        <f t="shared" si="37"/>
        <v/>
      </c>
      <c r="BN28" s="73">
        <f t="shared" si="38"/>
        <v>19.299299999999999</v>
      </c>
      <c r="BO28" s="79">
        <f t="shared" si="39"/>
        <v>0.83909999999999996</v>
      </c>
      <c r="BP28" s="73"/>
      <c r="BQ28" s="79" t="str">
        <f t="shared" si="40"/>
        <v/>
      </c>
      <c r="BR28" s="73">
        <f t="shared" si="41"/>
        <v>30.399599999999996</v>
      </c>
      <c r="BS28" s="79">
        <f t="shared" si="42"/>
        <v>0.72379999999999989</v>
      </c>
      <c r="BT28" s="172">
        <f t="shared" si="43"/>
        <v>22.900500000000001</v>
      </c>
      <c r="BU28" s="79">
        <f t="shared" si="44"/>
        <v>0.65429999999999999</v>
      </c>
      <c r="BV28" s="4"/>
      <c r="BW28" s="4"/>
      <c r="BX28" s="73"/>
      <c r="BY28" s="81"/>
      <c r="BZ28" s="73"/>
      <c r="CA28" s="81"/>
      <c r="CB28" s="73">
        <f t="shared" si="2"/>
        <v>40.700000000000003</v>
      </c>
      <c r="CC28" s="81">
        <f t="shared" si="46"/>
        <v>0.81400000000000006</v>
      </c>
      <c r="CD28" s="4">
        <f t="shared" si="47"/>
        <v>40.174999999999997</v>
      </c>
      <c r="CE28" s="79">
        <f t="shared" si="48"/>
        <v>0.80349999999999999</v>
      </c>
      <c r="CF28" s="81"/>
      <c r="CG28" s="81"/>
      <c r="CH28" s="72">
        <f t="shared" si="49"/>
        <v>35.75</v>
      </c>
      <c r="CI28" s="81">
        <f t="shared" si="50"/>
        <v>0.71499999999999997</v>
      </c>
      <c r="CJ28" s="81"/>
      <c r="CK28" s="81"/>
      <c r="CL28" s="4">
        <f t="shared" si="51"/>
        <v>35.049999999999997</v>
      </c>
      <c r="CM28" s="79">
        <f t="shared" si="3"/>
        <v>0.70099999999999996</v>
      </c>
      <c r="CN28" s="4"/>
      <c r="CO28" s="4"/>
      <c r="CP28" s="4"/>
      <c r="CQ28" s="4"/>
      <c r="CR28" s="4"/>
      <c r="CS28" s="4"/>
      <c r="CT28" s="4"/>
      <c r="CU28" s="4"/>
      <c r="CV28" s="73"/>
      <c r="CW28" s="79" t="str">
        <f t="shared" si="4"/>
        <v/>
      </c>
      <c r="CX28" s="4"/>
      <c r="CY28" s="79" t="str">
        <f t="shared" si="5"/>
        <v/>
      </c>
      <c r="CZ28" s="4"/>
      <c r="DA28" s="4"/>
      <c r="DB28" s="4"/>
      <c r="DC28" s="4"/>
      <c r="DD28" s="4">
        <f t="shared" si="52"/>
        <v>42.7</v>
      </c>
      <c r="DE28" s="79">
        <f t="shared" si="53"/>
        <v>0.85400000000000009</v>
      </c>
      <c r="DF28" s="4">
        <f t="shared" si="54"/>
        <v>40.950000000000003</v>
      </c>
      <c r="DG28" s="79">
        <f t="shared" si="55"/>
        <v>0.81900000000000006</v>
      </c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73">
        <f t="shared" si="56"/>
        <v>40.174999999999997</v>
      </c>
      <c r="DY28" s="79">
        <f t="shared" si="6"/>
        <v>0.80349999999999999</v>
      </c>
      <c r="DZ28" s="4"/>
      <c r="EA28" s="4"/>
      <c r="EB28" s="4"/>
      <c r="EC28" s="4"/>
      <c r="ED28" s="73">
        <f t="shared" si="57"/>
        <v>34.950000000000003</v>
      </c>
      <c r="EE28" s="81">
        <f t="shared" si="7"/>
        <v>0.69900000000000007</v>
      </c>
      <c r="EF28" s="73"/>
      <c r="EG28" s="81"/>
      <c r="EH28" s="73"/>
      <c r="EI28" s="81" t="str">
        <f t="shared" si="8"/>
        <v/>
      </c>
      <c r="EJ28" s="72"/>
      <c r="EK28" s="81" t="str">
        <f t="shared" si="9"/>
        <v/>
      </c>
      <c r="EL28" s="171"/>
      <c r="EM28" s="81" t="str">
        <f t="shared" si="10"/>
        <v/>
      </c>
      <c r="EN28" s="72">
        <f t="shared" si="58"/>
        <v>27.75</v>
      </c>
      <c r="EO28" s="81">
        <f t="shared" si="11"/>
        <v>0.75</v>
      </c>
      <c r="EP28" s="4"/>
      <c r="EQ28" s="4"/>
      <c r="ER28" s="73">
        <f t="shared" si="59"/>
        <v>25.400100000000002</v>
      </c>
      <c r="ES28" s="79">
        <f t="shared" si="12"/>
        <v>0.76970000000000005</v>
      </c>
      <c r="ET28" s="4">
        <f t="shared" si="60"/>
        <v>22.850999999999999</v>
      </c>
      <c r="EU28" s="79">
        <f t="shared" si="13"/>
        <v>0.76169999999999993</v>
      </c>
      <c r="EV28" s="4"/>
      <c r="EW28" s="4"/>
      <c r="EX28" s="4"/>
      <c r="EY28" s="79" t="str">
        <f t="shared" si="14"/>
        <v/>
      </c>
      <c r="EZ28" s="4"/>
      <c r="FA28" s="79" t="str">
        <f t="shared" si="15"/>
        <v/>
      </c>
      <c r="FB28" s="4">
        <f t="shared" si="61"/>
        <v>42.7</v>
      </c>
      <c r="FC28" s="81">
        <f t="shared" si="72"/>
        <v>0.85400000000000009</v>
      </c>
      <c r="FD28" s="4">
        <f t="shared" si="62"/>
        <v>40.950000000000003</v>
      </c>
      <c r="FE28" s="79">
        <f t="shared" si="63"/>
        <v>0.81900000000000006</v>
      </c>
      <c r="FF28" s="72"/>
      <c r="FG28" s="81"/>
      <c r="FH28" s="81"/>
      <c r="FI28" s="81"/>
      <c r="FJ28" s="73"/>
      <c r="FK28" s="81"/>
      <c r="FL28" s="158"/>
      <c r="FM28" s="159"/>
      <c r="FN28" s="84"/>
      <c r="FO28" s="84"/>
      <c r="FP28" s="158"/>
      <c r="FQ28" s="159"/>
      <c r="FR28" s="158"/>
      <c r="FS28" s="159"/>
      <c r="FU28" s="92"/>
    </row>
    <row r="29" spans="1:177">
      <c r="A29" s="105">
        <v>19</v>
      </c>
      <c r="B29" s="106" t="s">
        <v>219</v>
      </c>
      <c r="C29" s="106" t="s">
        <v>220</v>
      </c>
      <c r="D29" s="66">
        <f>'MK1-TM'!D37</f>
        <v>83.7</v>
      </c>
      <c r="E29" s="66">
        <f>'MK1-TM'!E37</f>
        <v>80.599999999999994</v>
      </c>
      <c r="F29" s="66">
        <f>'MK1-TM'!F37</f>
        <v>82.71</v>
      </c>
      <c r="G29" s="66">
        <f t="shared" si="24"/>
        <v>82.05149999999999</v>
      </c>
      <c r="H29" s="83">
        <f>'MK2-TO'!D37</f>
        <v>86.5</v>
      </c>
      <c r="I29" s="83">
        <f>'MK2-TO'!E37</f>
        <v>86.5</v>
      </c>
      <c r="J29" s="83">
        <f t="shared" si="25"/>
        <v>86.5</v>
      </c>
      <c r="K29" s="67">
        <f>'MK3-PSTI'!D37</f>
        <v>70.349999999999994</v>
      </c>
      <c r="L29" s="67">
        <f>'MK3-PSTI'!E37</f>
        <v>74.08</v>
      </c>
      <c r="M29" s="67">
        <f t="shared" si="26"/>
        <v>72.215000000000003</v>
      </c>
      <c r="N29" s="68">
        <f>IF('MK4-L&amp;A'!D37="","",'MK4-L&amp;A'!D37)</f>
        <v>67.569999999999993</v>
      </c>
      <c r="O29" s="68">
        <f>'MK4-L&amp;A'!E37</f>
        <v>67.58</v>
      </c>
      <c r="P29" s="68">
        <f>'MK4-L&amp;A'!F37</f>
        <v>73.17</v>
      </c>
      <c r="Q29" s="68">
        <f t="shared" si="27"/>
        <v>69.253299999999996</v>
      </c>
      <c r="R29" s="69">
        <f>'MK5-BP'!D37</f>
        <v>93.9</v>
      </c>
      <c r="S29" s="69">
        <f>'MK5-BP'!E37</f>
        <v>93.9</v>
      </c>
      <c r="T29" s="69">
        <f t="shared" si="28"/>
        <v>93.9</v>
      </c>
      <c r="U29" s="35">
        <f>IF('MK7-MBD'!D36="","",'MK7-MBD'!D36)</f>
        <v>82.5</v>
      </c>
      <c r="V29" s="35">
        <f>IF('MK7-MBD'!E36="","",'MK7-MBD'!E36)</f>
        <v>96.5</v>
      </c>
      <c r="W29" s="35">
        <f t="shared" si="29"/>
        <v>89.5</v>
      </c>
      <c r="X29" s="70">
        <f>IF(MK8_BID!D37="","",MK8_BID!D37)</f>
        <v>82.5</v>
      </c>
      <c r="Y29" s="70">
        <f>'MK7-MBD'!E36</f>
        <v>96.5</v>
      </c>
      <c r="Z29" s="70">
        <f t="shared" si="30"/>
        <v>89.5</v>
      </c>
      <c r="AB29" s="71"/>
      <c r="AC29" s="72"/>
      <c r="AD29" s="71"/>
      <c r="AE29" s="72"/>
      <c r="AF29" s="71"/>
      <c r="AG29" s="72"/>
      <c r="AH29" s="71"/>
      <c r="AI29" s="72"/>
      <c r="AJ29" s="72"/>
      <c r="AK29" s="72"/>
      <c r="AL29" s="72"/>
      <c r="AM29" s="72"/>
      <c r="AN29" s="72"/>
      <c r="AO29" s="72"/>
      <c r="AP29" s="72"/>
      <c r="AQ29" s="72"/>
      <c r="AR29" s="71"/>
      <c r="AS29" s="72"/>
      <c r="AT29" s="71"/>
      <c r="AU29" s="72"/>
      <c r="AV29" s="72"/>
      <c r="AW29" s="72"/>
      <c r="AX29" s="71"/>
      <c r="AY29" s="72"/>
      <c r="AZ29" s="71"/>
      <c r="BA29" s="72"/>
      <c r="BB29" s="127"/>
      <c r="BC29" s="71"/>
      <c r="BF29" s="4"/>
      <c r="BG29" s="81" t="str">
        <f t="shared" si="69"/>
        <v/>
      </c>
      <c r="BH29" s="4"/>
      <c r="BI29" s="81" t="str">
        <f t="shared" si="70"/>
        <v/>
      </c>
      <c r="BJ29" s="73"/>
      <c r="BK29" s="81" t="str">
        <f t="shared" si="71"/>
        <v/>
      </c>
      <c r="BL29" s="73"/>
      <c r="BM29" s="81" t="str">
        <f t="shared" si="37"/>
        <v/>
      </c>
      <c r="BN29" s="73">
        <f t="shared" si="38"/>
        <v>19.251000000000001</v>
      </c>
      <c r="BO29" s="79">
        <f t="shared" si="39"/>
        <v>0.83700000000000008</v>
      </c>
      <c r="BP29" s="73"/>
      <c r="BQ29" s="79" t="str">
        <f t="shared" si="40"/>
        <v/>
      </c>
      <c r="BR29" s="73">
        <f t="shared" si="41"/>
        <v>33.851999999999997</v>
      </c>
      <c r="BS29" s="79">
        <f t="shared" si="42"/>
        <v>0.80599999999999994</v>
      </c>
      <c r="BT29" s="172">
        <f t="shared" si="43"/>
        <v>28.948499999999996</v>
      </c>
      <c r="BU29" s="79">
        <f t="shared" si="44"/>
        <v>0.82709999999999984</v>
      </c>
      <c r="BV29" s="4"/>
      <c r="BW29" s="4"/>
      <c r="BX29" s="73"/>
      <c r="BY29" s="81"/>
      <c r="BZ29" s="73"/>
      <c r="CA29" s="81"/>
      <c r="CB29" s="73">
        <f t="shared" si="2"/>
        <v>46.95</v>
      </c>
      <c r="CC29" s="81">
        <f t="shared" si="46"/>
        <v>0.93900000000000006</v>
      </c>
      <c r="CD29" s="4">
        <f t="shared" si="47"/>
        <v>35.174999999999997</v>
      </c>
      <c r="CE29" s="79">
        <f t="shared" si="48"/>
        <v>0.7034999999999999</v>
      </c>
      <c r="CF29" s="81"/>
      <c r="CG29" s="81"/>
      <c r="CH29" s="72">
        <f t="shared" si="49"/>
        <v>43.25</v>
      </c>
      <c r="CI29" s="81">
        <f t="shared" si="50"/>
        <v>0.86499999999999999</v>
      </c>
      <c r="CJ29" s="81"/>
      <c r="CK29" s="81"/>
      <c r="CL29" s="4">
        <f t="shared" si="51"/>
        <v>43.25</v>
      </c>
      <c r="CM29" s="79">
        <f t="shared" si="3"/>
        <v>0.86499999999999999</v>
      </c>
      <c r="CN29" s="4"/>
      <c r="CO29" s="4"/>
      <c r="CP29" s="4"/>
      <c r="CQ29" s="4"/>
      <c r="CR29" s="4"/>
      <c r="CS29" s="4"/>
      <c r="CT29" s="4"/>
      <c r="CU29" s="4"/>
      <c r="CV29" s="73"/>
      <c r="CW29" s="79" t="str">
        <f t="shared" si="4"/>
        <v/>
      </c>
      <c r="CX29" s="4"/>
      <c r="CY29" s="79" t="str">
        <f t="shared" si="5"/>
        <v/>
      </c>
      <c r="CZ29" s="4"/>
      <c r="DA29" s="4"/>
      <c r="DB29" s="4"/>
      <c r="DC29" s="4"/>
      <c r="DD29" s="4">
        <f t="shared" si="52"/>
        <v>41.25</v>
      </c>
      <c r="DE29" s="79">
        <f t="shared" si="53"/>
        <v>0.82499999999999996</v>
      </c>
      <c r="DF29" s="4">
        <f t="shared" si="54"/>
        <v>48.25</v>
      </c>
      <c r="DG29" s="79">
        <f t="shared" si="55"/>
        <v>0.96499999999999997</v>
      </c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73">
        <f t="shared" si="56"/>
        <v>35.174999999999997</v>
      </c>
      <c r="DY29" s="79">
        <f t="shared" si="6"/>
        <v>0.7034999999999999</v>
      </c>
      <c r="DZ29" s="4"/>
      <c r="EA29" s="4"/>
      <c r="EB29" s="4"/>
      <c r="EC29" s="4"/>
      <c r="ED29" s="73">
        <f t="shared" si="57"/>
        <v>37.04</v>
      </c>
      <c r="EE29" s="81">
        <f t="shared" si="7"/>
        <v>0.74080000000000001</v>
      </c>
      <c r="EF29" s="73"/>
      <c r="EG29" s="81"/>
      <c r="EH29" s="73"/>
      <c r="EI29" s="81" t="str">
        <f t="shared" si="8"/>
        <v/>
      </c>
      <c r="EJ29" s="72"/>
      <c r="EK29" s="81" t="str">
        <f t="shared" si="9"/>
        <v/>
      </c>
      <c r="EL29" s="171"/>
      <c r="EM29" s="81" t="str">
        <f t="shared" si="10"/>
        <v/>
      </c>
      <c r="EN29" s="72">
        <f t="shared" si="58"/>
        <v>25.000899999999998</v>
      </c>
      <c r="EO29" s="81">
        <f t="shared" si="11"/>
        <v>0.67569999999999997</v>
      </c>
      <c r="EP29" s="4"/>
      <c r="EQ29" s="4"/>
      <c r="ER29" s="73">
        <f t="shared" si="59"/>
        <v>22.301400000000001</v>
      </c>
      <c r="ES29" s="79">
        <f t="shared" si="12"/>
        <v>0.67580000000000007</v>
      </c>
      <c r="ET29" s="4">
        <f t="shared" si="60"/>
        <v>21.951000000000001</v>
      </c>
      <c r="EU29" s="79">
        <f t="shared" si="13"/>
        <v>0.73170000000000002</v>
      </c>
      <c r="EV29" s="4"/>
      <c r="EW29" s="4"/>
      <c r="EX29" s="4"/>
      <c r="EY29" s="79" t="str">
        <f t="shared" si="14"/>
        <v/>
      </c>
      <c r="EZ29" s="4"/>
      <c r="FA29" s="79" t="str">
        <f t="shared" si="15"/>
        <v/>
      </c>
      <c r="FB29" s="4">
        <f t="shared" si="61"/>
        <v>41.25</v>
      </c>
      <c r="FC29" s="81">
        <f t="shared" si="72"/>
        <v>0.82499999999999996</v>
      </c>
      <c r="FD29" s="4">
        <f t="shared" si="62"/>
        <v>48.25</v>
      </c>
      <c r="FE29" s="79">
        <f t="shared" si="63"/>
        <v>0.96499999999999997</v>
      </c>
      <c r="FF29" s="72"/>
      <c r="FG29" s="81"/>
      <c r="FH29" s="81"/>
      <c r="FI29" s="81"/>
      <c r="FJ29" s="73"/>
      <c r="FK29" s="81"/>
      <c r="FL29" s="158"/>
      <c r="FM29" s="159"/>
      <c r="FN29" s="84"/>
      <c r="FO29" s="84"/>
      <c r="FP29" s="158"/>
      <c r="FQ29" s="159"/>
      <c r="FR29" s="158"/>
      <c r="FS29" s="159"/>
      <c r="FU29" s="92"/>
    </row>
    <row r="30" spans="1:177" ht="13.5" customHeight="1">
      <c r="A30" s="105">
        <v>20</v>
      </c>
      <c r="B30" s="106" t="s">
        <v>221</v>
      </c>
      <c r="C30" s="106" t="s">
        <v>222</v>
      </c>
      <c r="D30" s="66">
        <f>'MK1-TM'!D38</f>
        <v>47.35</v>
      </c>
      <c r="E30" s="66">
        <f>'MK1-TM'!E38</f>
        <v>42.12</v>
      </c>
      <c r="F30" s="66">
        <f>'MK1-TM'!F38</f>
        <v>37.909999999999997</v>
      </c>
      <c r="G30" s="66">
        <f t="shared" si="24"/>
        <v>41.849399999999996</v>
      </c>
      <c r="H30" s="83">
        <f>'MK2-TO'!D38</f>
        <v>66</v>
      </c>
      <c r="I30" s="83">
        <f>'MK2-TO'!E38</f>
        <v>76.5</v>
      </c>
      <c r="J30" s="83">
        <f t="shared" si="25"/>
        <v>71.25</v>
      </c>
      <c r="K30" s="67">
        <f>'MK3-PSTI'!D38</f>
        <v>77.290000000000006</v>
      </c>
      <c r="L30" s="67">
        <f>'MK3-PSTI'!E38</f>
        <v>59.18</v>
      </c>
      <c r="M30" s="67">
        <f t="shared" si="26"/>
        <v>68.234999999999999</v>
      </c>
      <c r="N30" s="68">
        <f>IF('MK4-L&amp;A'!D38="","",'MK4-L&amp;A'!D38)</f>
        <v>67.92</v>
      </c>
      <c r="O30" s="68">
        <f>'MK4-L&amp;A'!E38</f>
        <v>61.27</v>
      </c>
      <c r="P30" s="68">
        <f>'MK4-L&amp;A'!F38</f>
        <v>62.67</v>
      </c>
      <c r="Q30" s="68">
        <f t="shared" si="27"/>
        <v>64.150500000000008</v>
      </c>
      <c r="R30" s="69">
        <f>'MK5-BP'!D38</f>
        <v>70.400000000000006</v>
      </c>
      <c r="S30" s="69">
        <f>'MK5-BP'!E38</f>
        <v>77.400000000000006</v>
      </c>
      <c r="T30" s="69">
        <f t="shared" si="28"/>
        <v>73.900000000000006</v>
      </c>
      <c r="U30" s="35">
        <f>IF('MK7-MBD'!D37="","",'MK7-MBD'!D37)</f>
        <v>64.599999999999994</v>
      </c>
      <c r="V30" s="35">
        <f>IF('MK7-MBD'!E37="","",'MK7-MBD'!E37)</f>
        <v>75.099999999999994</v>
      </c>
      <c r="W30" s="35">
        <f t="shared" si="29"/>
        <v>69.849999999999994</v>
      </c>
      <c r="X30" s="70">
        <f>IF(MK8_BID!D38="","",MK8_BID!D38)</f>
        <v>64.599999999999994</v>
      </c>
      <c r="Y30" s="70">
        <f>'MK7-MBD'!E37</f>
        <v>75.099999999999994</v>
      </c>
      <c r="Z30" s="70">
        <f t="shared" si="30"/>
        <v>69.849999999999994</v>
      </c>
      <c r="AB30" s="71"/>
      <c r="AC30" s="72"/>
      <c r="AD30" s="71"/>
      <c r="AE30" s="72"/>
      <c r="AF30" s="71"/>
      <c r="AG30" s="72"/>
      <c r="AH30" s="71"/>
      <c r="AI30" s="72"/>
      <c r="AJ30" s="72"/>
      <c r="AK30" s="72"/>
      <c r="AL30" s="72"/>
      <c r="AM30" s="72"/>
      <c r="AN30" s="72"/>
      <c r="AO30" s="72"/>
      <c r="AP30" s="72"/>
      <c r="AQ30" s="72"/>
      <c r="AR30" s="71"/>
      <c r="AS30" s="72"/>
      <c r="AT30" s="71"/>
      <c r="AU30" s="72"/>
      <c r="AV30" s="72"/>
      <c r="AW30" s="72"/>
      <c r="AX30" s="71"/>
      <c r="AY30" s="72"/>
      <c r="AZ30" s="71"/>
      <c r="BA30" s="72"/>
      <c r="BB30" s="127"/>
      <c r="BC30" s="71"/>
      <c r="BF30" s="4"/>
      <c r="BG30" s="81" t="str">
        <f t="shared" si="69"/>
        <v/>
      </c>
      <c r="BH30" s="4"/>
      <c r="BI30" s="81" t="str">
        <f t="shared" si="70"/>
        <v/>
      </c>
      <c r="BJ30" s="73"/>
      <c r="BK30" s="81" t="str">
        <f t="shared" si="71"/>
        <v/>
      </c>
      <c r="BL30" s="73"/>
      <c r="BM30" s="81" t="str">
        <f t="shared" si="37"/>
        <v/>
      </c>
      <c r="BN30" s="73">
        <f t="shared" si="38"/>
        <v>10.890500000000001</v>
      </c>
      <c r="BO30" s="79">
        <f t="shared" si="39"/>
        <v>0.47350000000000003</v>
      </c>
      <c r="BP30" s="73"/>
      <c r="BQ30" s="79" t="str">
        <f t="shared" si="40"/>
        <v/>
      </c>
      <c r="BR30" s="73">
        <f t="shared" si="41"/>
        <v>17.690399999999997</v>
      </c>
      <c r="BS30" s="79">
        <f t="shared" si="42"/>
        <v>0.42119999999999991</v>
      </c>
      <c r="BT30" s="172">
        <f t="shared" si="43"/>
        <v>13.268499999999998</v>
      </c>
      <c r="BU30" s="79">
        <f t="shared" si="44"/>
        <v>0.37909999999999994</v>
      </c>
      <c r="BV30" s="4"/>
      <c r="BW30" s="4"/>
      <c r="BX30" s="73"/>
      <c r="BY30" s="81"/>
      <c r="BZ30" s="73"/>
      <c r="CA30" s="81"/>
      <c r="CB30" s="73">
        <f t="shared" si="2"/>
        <v>35.200000000000003</v>
      </c>
      <c r="CC30" s="81">
        <f t="shared" si="46"/>
        <v>0.70400000000000007</v>
      </c>
      <c r="CD30" s="4">
        <f t="shared" si="47"/>
        <v>38.645000000000003</v>
      </c>
      <c r="CE30" s="79">
        <f t="shared" si="48"/>
        <v>0.77290000000000003</v>
      </c>
      <c r="CF30" s="81"/>
      <c r="CG30" s="81"/>
      <c r="CH30" s="72">
        <f t="shared" si="49"/>
        <v>33</v>
      </c>
      <c r="CI30" s="81">
        <f t="shared" si="50"/>
        <v>0.66</v>
      </c>
      <c r="CJ30" s="81"/>
      <c r="CK30" s="81"/>
      <c r="CL30" s="4">
        <f t="shared" si="51"/>
        <v>38.25</v>
      </c>
      <c r="CM30" s="79">
        <f t="shared" si="3"/>
        <v>0.76500000000000001</v>
      </c>
      <c r="CN30" s="4"/>
      <c r="CO30" s="4"/>
      <c r="CP30" s="4"/>
      <c r="CQ30" s="4"/>
      <c r="CR30" s="4"/>
      <c r="CS30" s="4"/>
      <c r="CT30" s="4"/>
      <c r="CU30" s="4"/>
      <c r="CV30" s="73"/>
      <c r="CW30" s="79" t="str">
        <f t="shared" si="4"/>
        <v/>
      </c>
      <c r="CX30" s="4"/>
      <c r="CY30" s="79" t="str">
        <f t="shared" si="5"/>
        <v/>
      </c>
      <c r="CZ30" s="4"/>
      <c r="DA30" s="4"/>
      <c r="DB30" s="4"/>
      <c r="DC30" s="4"/>
      <c r="DD30" s="4">
        <f t="shared" si="52"/>
        <v>32.299999999999997</v>
      </c>
      <c r="DE30" s="79">
        <f t="shared" si="53"/>
        <v>0.64599999999999991</v>
      </c>
      <c r="DF30" s="4">
        <f t="shared" si="54"/>
        <v>37.549999999999997</v>
      </c>
      <c r="DG30" s="79">
        <f t="shared" si="55"/>
        <v>0.75099999999999989</v>
      </c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73">
        <f t="shared" si="56"/>
        <v>38.645000000000003</v>
      </c>
      <c r="DY30" s="79">
        <f t="shared" si="6"/>
        <v>0.77290000000000003</v>
      </c>
      <c r="DZ30" s="4"/>
      <c r="EA30" s="4"/>
      <c r="EB30" s="4"/>
      <c r="EC30" s="4"/>
      <c r="ED30" s="73">
        <f t="shared" si="57"/>
        <v>29.59</v>
      </c>
      <c r="EE30" s="81">
        <f t="shared" si="7"/>
        <v>0.59179999999999999</v>
      </c>
      <c r="EF30" s="73"/>
      <c r="EG30" s="81"/>
      <c r="EH30" s="73"/>
      <c r="EI30" s="81" t="str">
        <f t="shared" si="8"/>
        <v/>
      </c>
      <c r="EJ30" s="72"/>
      <c r="EK30" s="81" t="str">
        <f t="shared" si="9"/>
        <v/>
      </c>
      <c r="EL30" s="171"/>
      <c r="EM30" s="81" t="str">
        <f t="shared" si="10"/>
        <v/>
      </c>
      <c r="EN30" s="72">
        <f t="shared" si="58"/>
        <v>25.130400000000002</v>
      </c>
      <c r="EO30" s="81">
        <f t="shared" si="11"/>
        <v>0.67920000000000003</v>
      </c>
      <c r="EP30" s="4"/>
      <c r="EQ30" s="4"/>
      <c r="ER30" s="73">
        <f t="shared" si="59"/>
        <v>20.219100000000001</v>
      </c>
      <c r="ES30" s="79">
        <f t="shared" si="12"/>
        <v>0.61270000000000002</v>
      </c>
      <c r="ET30" s="4">
        <f t="shared" si="60"/>
        <v>18.800999999999998</v>
      </c>
      <c r="EU30" s="79">
        <f t="shared" si="13"/>
        <v>0.62669999999999992</v>
      </c>
      <c r="EV30" s="4"/>
      <c r="EW30" s="4"/>
      <c r="EX30" s="4"/>
      <c r="EY30" s="79" t="str">
        <f t="shared" si="14"/>
        <v/>
      </c>
      <c r="EZ30" s="4"/>
      <c r="FA30" s="79" t="str">
        <f t="shared" si="15"/>
        <v/>
      </c>
      <c r="FB30" s="4">
        <f t="shared" si="61"/>
        <v>32.299999999999997</v>
      </c>
      <c r="FC30" s="81">
        <f t="shared" si="72"/>
        <v>0.64599999999999991</v>
      </c>
      <c r="FD30" s="4">
        <f t="shared" si="62"/>
        <v>37.549999999999997</v>
      </c>
      <c r="FE30" s="79">
        <f t="shared" si="63"/>
        <v>0.75099999999999989</v>
      </c>
      <c r="FF30" s="72"/>
      <c r="FG30" s="81"/>
      <c r="FH30" s="81"/>
      <c r="FI30" s="81"/>
      <c r="FJ30" s="73"/>
      <c r="FK30" s="81"/>
      <c r="FL30" s="158"/>
      <c r="FM30" s="159"/>
      <c r="FN30" s="84"/>
      <c r="FO30" s="84"/>
      <c r="FP30" s="158"/>
      <c r="FQ30" s="159"/>
      <c r="FR30" s="158"/>
      <c r="FS30" s="159"/>
      <c r="FU30" s="92"/>
    </row>
    <row r="31" spans="1:177">
      <c r="A31" s="105">
        <v>21</v>
      </c>
      <c r="B31" s="106" t="s">
        <v>223</v>
      </c>
      <c r="C31" s="106" t="s">
        <v>224</v>
      </c>
      <c r="D31" s="66">
        <f>'MK1-TM'!D39</f>
        <v>89.13</v>
      </c>
      <c r="E31" s="66">
        <f>'MK1-TM'!E39</f>
        <v>78.81</v>
      </c>
      <c r="F31" s="66">
        <f>'MK1-TM'!F39</f>
        <v>67</v>
      </c>
      <c r="G31" s="66">
        <f t="shared" si="24"/>
        <v>77.0501</v>
      </c>
      <c r="H31" s="83">
        <f>'MK2-TO'!D39</f>
        <v>81.099999999999994</v>
      </c>
      <c r="I31" s="83">
        <f>'MK2-TO'!E39</f>
        <v>80.400000000000006</v>
      </c>
      <c r="J31" s="83">
        <f t="shared" si="25"/>
        <v>80.75</v>
      </c>
      <c r="K31" s="67">
        <f>'MK3-PSTI'!D39</f>
        <v>77.290000000000006</v>
      </c>
      <c r="L31" s="67">
        <f>'MK3-PSTI'!E39</f>
        <v>69.900000000000006</v>
      </c>
      <c r="M31" s="67">
        <f t="shared" si="26"/>
        <v>73.594999999999999</v>
      </c>
      <c r="N31" s="68">
        <f>IF('MK4-L&amp;A'!D39="","",'MK4-L&amp;A'!D39)</f>
        <v>77.569999999999993</v>
      </c>
      <c r="O31" s="68">
        <f>'MK4-L&amp;A'!E39</f>
        <v>77.58</v>
      </c>
      <c r="P31" s="68">
        <f>'MK4-L&amp;A'!F39</f>
        <v>75</v>
      </c>
      <c r="Q31" s="68">
        <f t="shared" si="27"/>
        <v>76.802300000000002</v>
      </c>
      <c r="R31" s="69">
        <f>'MK5-BP'!D39</f>
        <v>93.9</v>
      </c>
      <c r="S31" s="69">
        <f>'MK5-BP'!E39</f>
        <v>93.9</v>
      </c>
      <c r="T31" s="69">
        <f t="shared" si="28"/>
        <v>93.9</v>
      </c>
      <c r="U31" s="35">
        <f>IF('MK7-MBD'!D38="","",'MK7-MBD'!D38)</f>
        <v>74.900000000000006</v>
      </c>
      <c r="V31" s="35">
        <f>IF('MK7-MBD'!E38="","",'MK7-MBD'!E38)</f>
        <v>85.4</v>
      </c>
      <c r="W31" s="35">
        <f t="shared" si="29"/>
        <v>80.150000000000006</v>
      </c>
      <c r="X31" s="70">
        <f>IF(MK8_BID!D39="","",MK8_BID!D39)</f>
        <v>74.900000000000006</v>
      </c>
      <c r="Y31" s="70">
        <f>'MK7-MBD'!E38</f>
        <v>85.4</v>
      </c>
      <c r="Z31" s="70">
        <f t="shared" si="30"/>
        <v>80.150000000000006</v>
      </c>
      <c r="AB31" s="71"/>
      <c r="AC31" s="72"/>
      <c r="AD31" s="71"/>
      <c r="AE31" s="72"/>
      <c r="AF31" s="71"/>
      <c r="AG31" s="72"/>
      <c r="AH31" s="71"/>
      <c r="AI31" s="72"/>
      <c r="AJ31" s="72"/>
      <c r="AK31" s="72"/>
      <c r="AL31" s="72"/>
      <c r="AM31" s="72"/>
      <c r="AN31" s="72"/>
      <c r="AO31" s="72"/>
      <c r="AP31" s="72"/>
      <c r="AQ31" s="72"/>
      <c r="AR31" s="71"/>
      <c r="AS31" s="72"/>
      <c r="AT31" s="71"/>
      <c r="AU31" s="72"/>
      <c r="AV31" s="72"/>
      <c r="AW31" s="72"/>
      <c r="AX31" s="71"/>
      <c r="AY31" s="72"/>
      <c r="AZ31" s="71"/>
      <c r="BA31" s="72"/>
      <c r="BB31" s="127"/>
      <c r="BC31" s="71"/>
      <c r="BF31" s="4"/>
      <c r="BG31" s="81" t="str">
        <f t="shared" si="69"/>
        <v/>
      </c>
      <c r="BH31" s="4"/>
      <c r="BI31" s="81" t="str">
        <f t="shared" si="70"/>
        <v/>
      </c>
      <c r="BJ31" s="73"/>
      <c r="BK31" s="81" t="str">
        <f t="shared" si="71"/>
        <v/>
      </c>
      <c r="BL31" s="73"/>
      <c r="BM31" s="81" t="str">
        <f t="shared" si="37"/>
        <v/>
      </c>
      <c r="BN31" s="73">
        <f t="shared" si="38"/>
        <v>20.4999</v>
      </c>
      <c r="BO31" s="79">
        <f t="shared" si="39"/>
        <v>0.89129999999999998</v>
      </c>
      <c r="BP31" s="73"/>
      <c r="BQ31" s="79" t="str">
        <f t="shared" si="40"/>
        <v/>
      </c>
      <c r="BR31" s="73">
        <f t="shared" si="41"/>
        <v>33.100200000000001</v>
      </c>
      <c r="BS31" s="79">
        <f t="shared" si="42"/>
        <v>0.78810000000000002</v>
      </c>
      <c r="BT31" s="172">
        <f t="shared" si="43"/>
        <v>23.45</v>
      </c>
      <c r="BU31" s="79">
        <f t="shared" si="44"/>
        <v>0.66999999999999993</v>
      </c>
      <c r="BV31" s="4"/>
      <c r="BW31" s="4"/>
      <c r="BX31" s="73"/>
      <c r="BY31" s="81"/>
      <c r="BZ31" s="73"/>
      <c r="CA31" s="81"/>
      <c r="CB31" s="73">
        <f t="shared" si="2"/>
        <v>46.95</v>
      </c>
      <c r="CC31" s="81">
        <f t="shared" si="46"/>
        <v>0.93900000000000006</v>
      </c>
      <c r="CD31" s="4">
        <f t="shared" si="47"/>
        <v>38.645000000000003</v>
      </c>
      <c r="CE31" s="79">
        <f t="shared" si="48"/>
        <v>0.77290000000000003</v>
      </c>
      <c r="CF31" s="81"/>
      <c r="CG31" s="81"/>
      <c r="CH31" s="72">
        <f t="shared" si="49"/>
        <v>40.549999999999997</v>
      </c>
      <c r="CI31" s="81">
        <f t="shared" si="50"/>
        <v>0.81099999999999994</v>
      </c>
      <c r="CJ31" s="81"/>
      <c r="CK31" s="81"/>
      <c r="CL31" s="4">
        <f t="shared" si="51"/>
        <v>40.200000000000003</v>
      </c>
      <c r="CM31" s="79">
        <f t="shared" si="3"/>
        <v>0.80400000000000005</v>
      </c>
      <c r="CN31" s="4"/>
      <c r="CO31" s="4"/>
      <c r="CP31" s="4"/>
      <c r="CQ31" s="4"/>
      <c r="CR31" s="4"/>
      <c r="CS31" s="4"/>
      <c r="CT31" s="4"/>
      <c r="CU31" s="4"/>
      <c r="CV31" s="73"/>
      <c r="CW31" s="79" t="str">
        <f t="shared" si="4"/>
        <v/>
      </c>
      <c r="CX31" s="4"/>
      <c r="CY31" s="79" t="str">
        <f t="shared" si="5"/>
        <v/>
      </c>
      <c r="CZ31" s="4"/>
      <c r="DA31" s="4"/>
      <c r="DB31" s="4"/>
      <c r="DC31" s="4"/>
      <c r="DD31" s="4">
        <f t="shared" si="52"/>
        <v>37.450000000000003</v>
      </c>
      <c r="DE31" s="79">
        <f t="shared" si="53"/>
        <v>0.74900000000000011</v>
      </c>
      <c r="DF31" s="4">
        <f t="shared" si="54"/>
        <v>42.7</v>
      </c>
      <c r="DG31" s="79">
        <f t="shared" si="55"/>
        <v>0.85400000000000009</v>
      </c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73">
        <f t="shared" si="56"/>
        <v>38.645000000000003</v>
      </c>
      <c r="DY31" s="79">
        <f t="shared" si="6"/>
        <v>0.77290000000000003</v>
      </c>
      <c r="DZ31" s="4"/>
      <c r="EA31" s="4"/>
      <c r="EB31" s="4"/>
      <c r="EC31" s="4"/>
      <c r="ED31" s="73">
        <f t="shared" si="57"/>
        <v>34.950000000000003</v>
      </c>
      <c r="EE31" s="81">
        <f t="shared" si="7"/>
        <v>0.69900000000000007</v>
      </c>
      <c r="EF31" s="73"/>
      <c r="EG31" s="81"/>
      <c r="EH31" s="73"/>
      <c r="EI31" s="81" t="str">
        <f t="shared" si="8"/>
        <v/>
      </c>
      <c r="EJ31" s="72"/>
      <c r="EK31" s="81" t="str">
        <f t="shared" si="9"/>
        <v/>
      </c>
      <c r="EL31" s="171"/>
      <c r="EM31" s="81" t="str">
        <f t="shared" si="10"/>
        <v/>
      </c>
      <c r="EN31" s="72">
        <f t="shared" si="58"/>
        <v>28.700899999999997</v>
      </c>
      <c r="EO31" s="81">
        <f t="shared" si="11"/>
        <v>0.77569999999999995</v>
      </c>
      <c r="EP31" s="4"/>
      <c r="EQ31" s="4"/>
      <c r="ER31" s="73">
        <f t="shared" si="59"/>
        <v>25.601400000000002</v>
      </c>
      <c r="ES31" s="79">
        <f t="shared" si="12"/>
        <v>0.77580000000000005</v>
      </c>
      <c r="ET31" s="4">
        <f t="shared" si="60"/>
        <v>22.5</v>
      </c>
      <c r="EU31" s="79">
        <f t="shared" si="13"/>
        <v>0.75</v>
      </c>
      <c r="EV31" s="4"/>
      <c r="EW31" s="4"/>
      <c r="EX31" s="4"/>
      <c r="EY31" s="79" t="str">
        <f t="shared" si="14"/>
        <v/>
      </c>
      <c r="EZ31" s="4"/>
      <c r="FA31" s="79" t="str">
        <f t="shared" si="15"/>
        <v/>
      </c>
      <c r="FB31" s="4">
        <f t="shared" si="61"/>
        <v>37.450000000000003</v>
      </c>
      <c r="FC31" s="81">
        <f t="shared" si="72"/>
        <v>0.74900000000000011</v>
      </c>
      <c r="FD31" s="4">
        <f t="shared" si="62"/>
        <v>42.7</v>
      </c>
      <c r="FE31" s="79">
        <f t="shared" si="63"/>
        <v>0.85400000000000009</v>
      </c>
      <c r="FF31" s="72"/>
      <c r="FG31" s="81"/>
      <c r="FH31" s="81"/>
      <c r="FI31" s="81"/>
      <c r="FJ31" s="73"/>
      <c r="FK31" s="81"/>
      <c r="FL31" s="158"/>
      <c r="FM31" s="159"/>
      <c r="FN31" s="84"/>
      <c r="FO31" s="84"/>
      <c r="FP31" s="158"/>
      <c r="FQ31" s="159"/>
      <c r="FR31" s="158"/>
      <c r="FS31" s="159"/>
      <c r="FU31" s="92"/>
    </row>
    <row r="32" spans="1:177">
      <c r="A32" s="105">
        <v>22</v>
      </c>
      <c r="B32" s="106" t="s">
        <v>225</v>
      </c>
      <c r="C32" s="106" t="s">
        <v>226</v>
      </c>
      <c r="D32" s="66">
        <f>'MK1-TM'!D40</f>
        <v>82.61</v>
      </c>
      <c r="E32" s="66">
        <f>'MK1-TM'!E40</f>
        <v>75.239999999999995</v>
      </c>
      <c r="F32" s="66">
        <f>'MK1-TM'!F40</f>
        <v>77.709999999999994</v>
      </c>
      <c r="G32" s="66">
        <f t="shared" si="24"/>
        <v>77.799599999999998</v>
      </c>
      <c r="H32" s="83">
        <f>'MK2-TO'!D40</f>
        <v>80.400000000000006</v>
      </c>
      <c r="I32" s="83">
        <f>'MK2-TO'!E40</f>
        <v>81.099999999999994</v>
      </c>
      <c r="J32" s="83">
        <f t="shared" si="25"/>
        <v>80.75</v>
      </c>
      <c r="K32" s="67">
        <f>'MK3-PSTI'!D40</f>
        <v>70.819999999999993</v>
      </c>
      <c r="L32" s="67">
        <f>'MK3-PSTI'!E40</f>
        <v>69.900000000000006</v>
      </c>
      <c r="M32" s="67">
        <f t="shared" si="26"/>
        <v>70.36</v>
      </c>
      <c r="N32" s="68">
        <f>IF('MK4-L&amp;A'!D40="","",'MK4-L&amp;A'!D40)</f>
        <v>74</v>
      </c>
      <c r="O32" s="68">
        <f>'MK4-L&amp;A'!E40</f>
        <v>73.09</v>
      </c>
      <c r="P32" s="68">
        <f>'MK4-L&amp;A'!F40</f>
        <v>74.67</v>
      </c>
      <c r="Q32" s="68">
        <f t="shared" si="27"/>
        <v>73.900700000000001</v>
      </c>
      <c r="R32" s="69">
        <f>'MK5-BP'!D40</f>
        <v>93.3</v>
      </c>
      <c r="S32" s="69">
        <f>'MK5-BP'!E40</f>
        <v>93.3</v>
      </c>
      <c r="T32" s="69">
        <f t="shared" si="28"/>
        <v>93.3</v>
      </c>
      <c r="U32" s="35">
        <f>IF('MK7-MBD'!D39="","",'MK7-MBD'!D39)</f>
        <v>75.5</v>
      </c>
      <c r="V32" s="35">
        <f>IF('MK7-MBD'!E39="","",'MK7-MBD'!E39)</f>
        <v>93</v>
      </c>
      <c r="W32" s="35">
        <f t="shared" si="29"/>
        <v>84.25</v>
      </c>
      <c r="X32" s="70">
        <f>IF(MK8_BID!D40="","",MK8_BID!D40)</f>
        <v>75.5</v>
      </c>
      <c r="Y32" s="70">
        <f>'MK7-MBD'!E39</f>
        <v>93</v>
      </c>
      <c r="Z32" s="70">
        <f t="shared" si="30"/>
        <v>84.25</v>
      </c>
      <c r="AB32" s="71"/>
      <c r="AC32" s="72"/>
      <c r="AD32" s="71"/>
      <c r="AE32" s="72"/>
      <c r="AF32" s="71"/>
      <c r="AG32" s="72"/>
      <c r="AH32" s="71"/>
      <c r="AI32" s="72"/>
      <c r="AJ32" s="72"/>
      <c r="AK32" s="72"/>
      <c r="AL32" s="72"/>
      <c r="AM32" s="72"/>
      <c r="AN32" s="72"/>
      <c r="AO32" s="72"/>
      <c r="AP32" s="72"/>
      <c r="AQ32" s="72"/>
      <c r="AR32" s="71"/>
      <c r="AS32" s="72"/>
      <c r="AT32" s="71"/>
      <c r="AU32" s="72"/>
      <c r="AV32" s="72"/>
      <c r="AW32" s="72"/>
      <c r="AX32" s="71"/>
      <c r="AY32" s="72"/>
      <c r="AZ32" s="71"/>
      <c r="BA32" s="72"/>
      <c r="BB32" s="127"/>
      <c r="BC32" s="71"/>
      <c r="BF32" s="4"/>
      <c r="BG32" s="81" t="str">
        <f t="shared" si="69"/>
        <v/>
      </c>
      <c r="BH32" s="4"/>
      <c r="BI32" s="81" t="str">
        <f t="shared" si="70"/>
        <v/>
      </c>
      <c r="BJ32" s="73"/>
      <c r="BK32" s="81" t="str">
        <f t="shared" si="71"/>
        <v/>
      </c>
      <c r="BL32" s="73"/>
      <c r="BM32" s="81" t="str">
        <f t="shared" si="37"/>
        <v/>
      </c>
      <c r="BN32" s="73">
        <f t="shared" si="38"/>
        <v>19.000299999999999</v>
      </c>
      <c r="BO32" s="79">
        <f t="shared" si="39"/>
        <v>0.82609999999999995</v>
      </c>
      <c r="BP32" s="73"/>
      <c r="BQ32" s="79" t="str">
        <f t="shared" si="40"/>
        <v/>
      </c>
      <c r="BR32" s="73">
        <f t="shared" si="41"/>
        <v>31.600799999999996</v>
      </c>
      <c r="BS32" s="79">
        <f t="shared" si="42"/>
        <v>0.75239999999999996</v>
      </c>
      <c r="BT32" s="172">
        <f t="shared" si="43"/>
        <v>27.198499999999996</v>
      </c>
      <c r="BU32" s="79">
        <f t="shared" si="44"/>
        <v>0.7770999999999999</v>
      </c>
      <c r="BV32" s="4"/>
      <c r="BW32" s="4"/>
      <c r="BX32" s="73"/>
      <c r="BY32" s="81"/>
      <c r="BZ32" s="73"/>
      <c r="CA32" s="81"/>
      <c r="CB32" s="73">
        <f t="shared" si="2"/>
        <v>46.65</v>
      </c>
      <c r="CC32" s="81">
        <f t="shared" si="46"/>
        <v>0.93299999999999994</v>
      </c>
      <c r="CD32" s="4">
        <f t="shared" si="47"/>
        <v>35.409999999999997</v>
      </c>
      <c r="CE32" s="79">
        <f t="shared" si="48"/>
        <v>0.70819999999999994</v>
      </c>
      <c r="CF32" s="81"/>
      <c r="CG32" s="81"/>
      <c r="CH32" s="72">
        <f t="shared" si="49"/>
        <v>40.200000000000003</v>
      </c>
      <c r="CI32" s="81">
        <f t="shared" si="50"/>
        <v>0.80400000000000005</v>
      </c>
      <c r="CJ32" s="81"/>
      <c r="CK32" s="81"/>
      <c r="CL32" s="4">
        <f t="shared" si="51"/>
        <v>40.549999999999997</v>
      </c>
      <c r="CM32" s="79">
        <f t="shared" si="3"/>
        <v>0.81099999999999994</v>
      </c>
      <c r="CN32" s="4"/>
      <c r="CO32" s="4"/>
      <c r="CP32" s="4"/>
      <c r="CQ32" s="4"/>
      <c r="CR32" s="4"/>
      <c r="CS32" s="4"/>
      <c r="CT32" s="4"/>
      <c r="CU32" s="4"/>
      <c r="CV32" s="73"/>
      <c r="CW32" s="79" t="str">
        <f t="shared" si="4"/>
        <v/>
      </c>
      <c r="CX32" s="4"/>
      <c r="CY32" s="79" t="str">
        <f t="shared" si="5"/>
        <v/>
      </c>
      <c r="CZ32" s="4"/>
      <c r="DA32" s="4"/>
      <c r="DB32" s="4"/>
      <c r="DC32" s="4"/>
      <c r="DD32" s="4">
        <f t="shared" si="52"/>
        <v>37.75</v>
      </c>
      <c r="DE32" s="79">
        <f t="shared" si="53"/>
        <v>0.755</v>
      </c>
      <c r="DF32" s="4">
        <f t="shared" si="54"/>
        <v>46.5</v>
      </c>
      <c r="DG32" s="79">
        <f t="shared" si="55"/>
        <v>0.93</v>
      </c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73">
        <f t="shared" si="56"/>
        <v>35.409999999999997</v>
      </c>
      <c r="DY32" s="79">
        <f t="shared" si="6"/>
        <v>0.70819999999999994</v>
      </c>
      <c r="DZ32" s="4"/>
      <c r="EA32" s="4"/>
      <c r="EB32" s="4"/>
      <c r="EC32" s="4"/>
      <c r="ED32" s="73">
        <f t="shared" si="57"/>
        <v>34.950000000000003</v>
      </c>
      <c r="EE32" s="81">
        <f t="shared" si="7"/>
        <v>0.69900000000000007</v>
      </c>
      <c r="EF32" s="73"/>
      <c r="EG32" s="81"/>
      <c r="EH32" s="73"/>
      <c r="EI32" s="81" t="str">
        <f t="shared" si="8"/>
        <v/>
      </c>
      <c r="EJ32" s="72"/>
      <c r="EK32" s="81" t="str">
        <f t="shared" si="9"/>
        <v/>
      </c>
      <c r="EL32" s="171"/>
      <c r="EM32" s="81" t="str">
        <f t="shared" si="10"/>
        <v/>
      </c>
      <c r="EN32" s="72">
        <f t="shared" si="58"/>
        <v>27.38</v>
      </c>
      <c r="EO32" s="81">
        <f t="shared" si="11"/>
        <v>0.74</v>
      </c>
      <c r="EP32" s="4"/>
      <c r="EQ32" s="4"/>
      <c r="ER32" s="73">
        <f t="shared" si="59"/>
        <v>24.119700000000002</v>
      </c>
      <c r="ES32" s="79">
        <f t="shared" si="12"/>
        <v>0.73090000000000011</v>
      </c>
      <c r="ET32" s="4">
        <f t="shared" si="60"/>
        <v>22.401</v>
      </c>
      <c r="EU32" s="79">
        <f t="shared" si="13"/>
        <v>0.74670000000000003</v>
      </c>
      <c r="EV32" s="4"/>
      <c r="EW32" s="4"/>
      <c r="EX32" s="4"/>
      <c r="EY32" s="79" t="str">
        <f t="shared" si="14"/>
        <v/>
      </c>
      <c r="EZ32" s="4"/>
      <c r="FA32" s="79" t="str">
        <f t="shared" si="15"/>
        <v/>
      </c>
      <c r="FB32" s="4">
        <f t="shared" si="61"/>
        <v>37.75</v>
      </c>
      <c r="FC32" s="81">
        <f t="shared" si="72"/>
        <v>0.755</v>
      </c>
      <c r="FD32" s="4">
        <f t="shared" si="62"/>
        <v>46.5</v>
      </c>
      <c r="FE32" s="79">
        <f t="shared" si="63"/>
        <v>0.93</v>
      </c>
      <c r="FF32" s="72"/>
      <c r="FG32" s="81"/>
      <c r="FH32" s="81"/>
      <c r="FI32" s="81"/>
      <c r="FJ32" s="73"/>
      <c r="FK32" s="81"/>
      <c r="FL32" s="158"/>
      <c r="FM32" s="159"/>
      <c r="FN32" s="84"/>
      <c r="FO32" s="84"/>
      <c r="FP32" s="158"/>
      <c r="FQ32" s="159"/>
      <c r="FR32" s="158"/>
      <c r="FS32" s="159"/>
      <c r="FU32" s="92"/>
    </row>
    <row r="33" spans="1:177">
      <c r="A33" s="105">
        <v>23</v>
      </c>
      <c r="B33" s="106" t="s">
        <v>284</v>
      </c>
      <c r="C33" s="106" t="s">
        <v>285</v>
      </c>
      <c r="D33" s="66">
        <f>'MK1-TM'!D41</f>
        <v>84.78</v>
      </c>
      <c r="E33" s="66">
        <f>'MK1-TM'!E41</f>
        <v>82.02</v>
      </c>
      <c r="F33" s="66">
        <f>'MK1-TM'!F41</f>
        <v>80.569999999999993</v>
      </c>
      <c r="G33" s="66">
        <f t="shared" si="24"/>
        <v>82.147300000000001</v>
      </c>
      <c r="H33" s="83">
        <f>'MK2-TO'!D41</f>
        <v>80.599999999999994</v>
      </c>
      <c r="I33" s="83">
        <f>'MK2-TO'!E41</f>
        <v>73.599999999999994</v>
      </c>
      <c r="J33" s="83">
        <f t="shared" si="25"/>
        <v>77.099999999999994</v>
      </c>
      <c r="K33" s="67">
        <f>'MK3-PSTI'!D41</f>
        <v>82.59</v>
      </c>
      <c r="L33" s="67">
        <f>'MK3-PSTI'!E41</f>
        <v>75.61</v>
      </c>
      <c r="M33" s="67">
        <f t="shared" si="26"/>
        <v>79.099999999999994</v>
      </c>
      <c r="N33" s="68">
        <f>IF('MK4-L&amp;A'!D41="","",'MK4-L&amp;A'!D41)</f>
        <v>77.84</v>
      </c>
      <c r="O33" s="68">
        <f>'MK4-L&amp;A'!E41</f>
        <v>77.58</v>
      </c>
      <c r="P33" s="68">
        <f>'MK4-L&amp;A'!F41</f>
        <v>83.5</v>
      </c>
      <c r="Q33" s="68">
        <f t="shared" si="27"/>
        <v>79.452200000000005</v>
      </c>
      <c r="R33" s="69">
        <f>'MK5-BP'!D41</f>
        <v>81.400000000000006</v>
      </c>
      <c r="S33" s="69">
        <f>'MK5-BP'!E41</f>
        <v>81.400000000000006</v>
      </c>
      <c r="T33" s="69">
        <f t="shared" si="28"/>
        <v>81.400000000000006</v>
      </c>
      <c r="U33" s="35">
        <f>IF('MK7-MBD'!D40="","",'MK7-MBD'!D40)</f>
        <v>79</v>
      </c>
      <c r="V33" s="35">
        <f>IF('MK7-MBD'!E40="","",'MK7-MBD'!E40)</f>
        <v>96.5</v>
      </c>
      <c r="W33" s="35">
        <f t="shared" si="29"/>
        <v>87.75</v>
      </c>
      <c r="X33" s="70">
        <f>IF(MK8_BID!D41="","",MK8_BID!D41)</f>
        <v>79</v>
      </c>
      <c r="Y33" s="70">
        <f>'MK7-MBD'!E40</f>
        <v>96.5</v>
      </c>
      <c r="Z33" s="70">
        <f t="shared" si="30"/>
        <v>87.75</v>
      </c>
      <c r="AB33" s="71"/>
      <c r="AC33" s="72"/>
      <c r="AD33" s="71"/>
      <c r="AE33" s="72"/>
      <c r="AF33" s="71"/>
      <c r="AG33" s="72"/>
      <c r="AH33" s="71"/>
      <c r="AI33" s="72"/>
      <c r="AJ33" s="72"/>
      <c r="AK33" s="72"/>
      <c r="AL33" s="72"/>
      <c r="AM33" s="72"/>
      <c r="AN33" s="72"/>
      <c r="AO33" s="72"/>
      <c r="AP33" s="72"/>
      <c r="AQ33" s="72"/>
      <c r="AR33" s="71"/>
      <c r="AS33" s="72"/>
      <c r="AT33" s="71"/>
      <c r="AU33" s="72"/>
      <c r="AV33" s="72"/>
      <c r="AW33" s="72"/>
      <c r="AX33" s="71"/>
      <c r="AY33" s="72"/>
      <c r="AZ33" s="71"/>
      <c r="BA33" s="72"/>
      <c r="BB33" s="183"/>
      <c r="BC33" s="71"/>
      <c r="BF33" s="4"/>
      <c r="BG33" s="81" t="str">
        <f t="shared" si="69"/>
        <v/>
      </c>
      <c r="BH33" s="4"/>
      <c r="BI33" s="81" t="str">
        <f t="shared" si="70"/>
        <v/>
      </c>
      <c r="BJ33" s="73"/>
      <c r="BK33" s="81"/>
      <c r="BL33" s="73"/>
      <c r="BM33" s="81" t="str">
        <f t="shared" si="37"/>
        <v/>
      </c>
      <c r="BN33" s="73">
        <f t="shared" si="38"/>
        <v>19.499400000000001</v>
      </c>
      <c r="BO33" s="79">
        <f t="shared" si="39"/>
        <v>0.84780000000000011</v>
      </c>
      <c r="BP33" s="73"/>
      <c r="BQ33" s="79" t="str">
        <f t="shared" si="40"/>
        <v/>
      </c>
      <c r="BR33" s="73">
        <f t="shared" si="41"/>
        <v>34.448399999999999</v>
      </c>
      <c r="BS33" s="79">
        <f t="shared" si="42"/>
        <v>0.82020000000000004</v>
      </c>
      <c r="BT33" s="172">
        <f t="shared" si="43"/>
        <v>28.199499999999997</v>
      </c>
      <c r="BU33" s="79">
        <f t="shared" si="44"/>
        <v>0.80569999999999986</v>
      </c>
      <c r="BV33" s="4"/>
      <c r="BW33" s="4"/>
      <c r="BX33" s="73"/>
      <c r="BY33" s="81"/>
      <c r="BZ33" s="73"/>
      <c r="CA33" s="81"/>
      <c r="CB33" s="73">
        <f t="shared" si="2"/>
        <v>40.700000000000003</v>
      </c>
      <c r="CC33" s="81">
        <f t="shared" si="46"/>
        <v>0.81400000000000006</v>
      </c>
      <c r="CD33" s="4">
        <f t="shared" si="47"/>
        <v>41.295000000000002</v>
      </c>
      <c r="CE33" s="79">
        <f t="shared" si="48"/>
        <v>0.82590000000000008</v>
      </c>
      <c r="CF33" s="81"/>
      <c r="CG33" s="81"/>
      <c r="CH33" s="72">
        <f t="shared" si="49"/>
        <v>40.299999999999997</v>
      </c>
      <c r="CI33" s="81">
        <f t="shared" si="50"/>
        <v>0.80599999999999994</v>
      </c>
      <c r="CJ33" s="81"/>
      <c r="CK33" s="81"/>
      <c r="CL33" s="4">
        <f t="shared" si="51"/>
        <v>36.799999999999997</v>
      </c>
      <c r="CM33" s="79">
        <f t="shared" si="3"/>
        <v>0.73599999999999999</v>
      </c>
      <c r="CN33" s="4"/>
      <c r="CO33" s="4"/>
      <c r="CP33" s="4"/>
      <c r="CQ33" s="4"/>
      <c r="CR33" s="4"/>
      <c r="CS33" s="4"/>
      <c r="CT33" s="4"/>
      <c r="CU33" s="4"/>
      <c r="CV33" s="73"/>
      <c r="CW33" s="79"/>
      <c r="CX33" s="4"/>
      <c r="CY33" s="79"/>
      <c r="CZ33" s="4"/>
      <c r="DA33" s="4"/>
      <c r="DB33" s="4"/>
      <c r="DC33" s="4"/>
      <c r="DD33" s="4">
        <f t="shared" si="52"/>
        <v>39.5</v>
      </c>
      <c r="DE33" s="79">
        <f t="shared" si="53"/>
        <v>0.79</v>
      </c>
      <c r="DF33" s="4">
        <f t="shared" si="54"/>
        <v>48.25</v>
      </c>
      <c r="DG33" s="79">
        <f t="shared" si="55"/>
        <v>0.96499999999999997</v>
      </c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73">
        <f t="shared" si="56"/>
        <v>41.295000000000002</v>
      </c>
      <c r="DY33" s="79">
        <f t="shared" ref="DY33:DY34" si="73">IF(DX33="","",DX33/$DX$9)</f>
        <v>0.82590000000000008</v>
      </c>
      <c r="DZ33" s="4"/>
      <c r="EA33" s="4"/>
      <c r="EB33" s="4"/>
      <c r="EC33" s="4"/>
      <c r="ED33" s="73">
        <f t="shared" si="57"/>
        <v>37.805</v>
      </c>
      <c r="EE33" s="81">
        <f t="shared" ref="EE33:EE34" si="74">IF(ED33="","",ED33/$ED$9)</f>
        <v>0.75609999999999999</v>
      </c>
      <c r="EF33" s="73"/>
      <c r="EG33" s="81"/>
      <c r="EH33" s="73"/>
      <c r="EI33" s="81" t="str">
        <f t="shared" si="8"/>
        <v/>
      </c>
      <c r="EJ33" s="72"/>
      <c r="EK33" s="81"/>
      <c r="EL33" s="171"/>
      <c r="EM33" s="81"/>
      <c r="EN33" s="72">
        <f t="shared" si="58"/>
        <v>28.800800000000002</v>
      </c>
      <c r="EO33" s="81">
        <f t="shared" si="11"/>
        <v>0.77840000000000009</v>
      </c>
      <c r="EP33" s="4"/>
      <c r="EQ33" s="4"/>
      <c r="ER33" s="73">
        <f t="shared" si="59"/>
        <v>25.601400000000002</v>
      </c>
      <c r="ES33" s="79">
        <f t="shared" si="12"/>
        <v>0.77580000000000005</v>
      </c>
      <c r="ET33" s="4">
        <f t="shared" si="60"/>
        <v>25.05</v>
      </c>
      <c r="EU33" s="79">
        <f t="shared" ref="EU33:EU34" si="75">IF(ET33="","",ET33/$ET$9)</f>
        <v>0.83500000000000008</v>
      </c>
      <c r="EV33" s="4"/>
      <c r="EW33" s="4"/>
      <c r="EX33" s="4"/>
      <c r="EY33" s="79"/>
      <c r="EZ33" s="4"/>
      <c r="FA33" s="79"/>
      <c r="FB33" s="4">
        <f t="shared" si="61"/>
        <v>39.5</v>
      </c>
      <c r="FC33" s="81">
        <f t="shared" si="72"/>
        <v>0.79</v>
      </c>
      <c r="FD33" s="4">
        <f t="shared" si="62"/>
        <v>48.25</v>
      </c>
      <c r="FE33" s="79">
        <f t="shared" si="63"/>
        <v>0.96499999999999997</v>
      </c>
      <c r="FF33" s="72"/>
      <c r="FG33" s="81"/>
      <c r="FH33" s="81"/>
      <c r="FI33" s="81"/>
      <c r="FJ33" s="73"/>
      <c r="FK33" s="81"/>
      <c r="FL33" s="158"/>
      <c r="FM33" s="159"/>
      <c r="FN33" s="84"/>
      <c r="FO33" s="84"/>
      <c r="FP33" s="158"/>
      <c r="FQ33" s="159"/>
      <c r="FR33" s="158"/>
      <c r="FS33" s="159"/>
      <c r="FU33" s="92"/>
    </row>
    <row r="34" spans="1:177">
      <c r="A34" s="105">
        <v>24</v>
      </c>
      <c r="B34" s="106" t="s">
        <v>282</v>
      </c>
      <c r="C34" s="106" t="s">
        <v>283</v>
      </c>
      <c r="D34" s="66">
        <f>'MK1-TM'!D42</f>
        <v>73.91</v>
      </c>
      <c r="E34" s="66">
        <f>'MK1-TM'!E42</f>
        <v>69.52</v>
      </c>
      <c r="F34" s="66">
        <f>'MK1-TM'!F42</f>
        <v>74</v>
      </c>
      <c r="G34" s="66">
        <f t="shared" si="24"/>
        <v>72.097700000000003</v>
      </c>
      <c r="H34" s="83">
        <f>'MK2-TO'!D42</f>
        <v>70.900000000000006</v>
      </c>
      <c r="I34" s="83">
        <f>'MK2-TO'!E42</f>
        <v>70.900000000000006</v>
      </c>
      <c r="J34" s="83">
        <f t="shared" si="25"/>
        <v>70.900000000000006</v>
      </c>
      <c r="K34" s="67">
        <f>'MK3-PSTI'!D42</f>
        <v>70.59</v>
      </c>
      <c r="L34" s="67">
        <f>'MK3-PSTI'!E42</f>
        <v>73.47</v>
      </c>
      <c r="M34" s="67">
        <f t="shared" si="26"/>
        <v>72.03</v>
      </c>
      <c r="N34" s="68">
        <f>IF('MK4-L&amp;A'!D42="","",'MK4-L&amp;A'!D42)</f>
        <v>70.27</v>
      </c>
      <c r="O34" s="68">
        <f>'MK4-L&amp;A'!E42</f>
        <v>72.58</v>
      </c>
      <c r="P34" s="68">
        <f>'MK4-L&amp;A'!F42</f>
        <v>66.83</v>
      </c>
      <c r="Q34" s="68">
        <f t="shared" si="27"/>
        <v>70.000299999999996</v>
      </c>
      <c r="R34" s="69">
        <f>'MK5-BP'!D42</f>
        <v>72.400000000000006</v>
      </c>
      <c r="S34" s="69">
        <f>'MK5-BP'!E42</f>
        <v>72.400000000000006</v>
      </c>
      <c r="T34" s="69">
        <f t="shared" si="28"/>
        <v>72.400000000000006</v>
      </c>
      <c r="U34" s="35">
        <f>IF('MK7-MBD'!D41="","",'MK7-MBD'!D41)</f>
        <v>65.900000000000006</v>
      </c>
      <c r="V34" s="35">
        <f>IF('MK7-MBD'!E41="","",'MK7-MBD'!E41)</f>
        <v>83.4</v>
      </c>
      <c r="W34" s="35">
        <f t="shared" si="29"/>
        <v>74.650000000000006</v>
      </c>
      <c r="X34" s="70">
        <f>IF(MK8_BID!D42="","",MK8_BID!D42)</f>
        <v>65.900000000000006</v>
      </c>
      <c r="Y34" s="70">
        <f>'MK7-MBD'!E41</f>
        <v>83.4</v>
      </c>
      <c r="Z34" s="70">
        <f t="shared" si="30"/>
        <v>74.650000000000006</v>
      </c>
      <c r="AB34" s="71"/>
      <c r="AC34" s="72"/>
      <c r="AD34" s="71"/>
      <c r="AE34" s="72"/>
      <c r="AF34" s="71"/>
      <c r="AG34" s="72"/>
      <c r="AH34" s="71"/>
      <c r="AI34" s="72"/>
      <c r="AJ34" s="72"/>
      <c r="AK34" s="72"/>
      <c r="AL34" s="72"/>
      <c r="AM34" s="72"/>
      <c r="AN34" s="72"/>
      <c r="AO34" s="72"/>
      <c r="AP34" s="72"/>
      <c r="AQ34" s="72"/>
      <c r="AR34" s="71"/>
      <c r="AS34" s="72"/>
      <c r="AT34" s="71"/>
      <c r="AU34" s="72"/>
      <c r="AV34" s="72"/>
      <c r="AW34" s="72"/>
      <c r="AX34" s="71"/>
      <c r="AY34" s="72"/>
      <c r="AZ34" s="71"/>
      <c r="BA34" s="72"/>
      <c r="BB34" s="183"/>
      <c r="BC34" s="71"/>
      <c r="BF34" s="4"/>
      <c r="BG34" s="81" t="str">
        <f t="shared" si="69"/>
        <v/>
      </c>
      <c r="BH34" s="4"/>
      <c r="BI34" s="81" t="str">
        <f t="shared" si="70"/>
        <v/>
      </c>
      <c r="BJ34" s="73"/>
      <c r="BK34" s="81"/>
      <c r="BL34" s="73"/>
      <c r="BM34" s="81" t="str">
        <f t="shared" si="37"/>
        <v/>
      </c>
      <c r="BN34" s="73">
        <f t="shared" si="38"/>
        <v>16.999300000000002</v>
      </c>
      <c r="BO34" s="79">
        <f t="shared" si="39"/>
        <v>0.73910000000000009</v>
      </c>
      <c r="BP34" s="73"/>
      <c r="BQ34" s="79" t="str">
        <f t="shared" si="40"/>
        <v/>
      </c>
      <c r="BR34" s="73">
        <f t="shared" si="41"/>
        <v>29.198399999999996</v>
      </c>
      <c r="BS34" s="79">
        <f t="shared" si="42"/>
        <v>0.69519999999999993</v>
      </c>
      <c r="BT34" s="172">
        <f t="shared" si="43"/>
        <v>25.9</v>
      </c>
      <c r="BU34" s="79">
        <f t="shared" si="44"/>
        <v>0.74</v>
      </c>
      <c r="BV34" s="4"/>
      <c r="BW34" s="4"/>
      <c r="BX34" s="73"/>
      <c r="BY34" s="81"/>
      <c r="BZ34" s="73"/>
      <c r="CA34" s="81"/>
      <c r="CB34" s="73">
        <f t="shared" si="2"/>
        <v>36.200000000000003</v>
      </c>
      <c r="CC34" s="81">
        <f t="shared" si="46"/>
        <v>0.72400000000000009</v>
      </c>
      <c r="CD34" s="4">
        <f t="shared" si="47"/>
        <v>35.295000000000002</v>
      </c>
      <c r="CE34" s="79">
        <f t="shared" si="48"/>
        <v>0.70590000000000008</v>
      </c>
      <c r="CF34" s="81"/>
      <c r="CG34" s="81"/>
      <c r="CH34" s="72">
        <f t="shared" si="49"/>
        <v>35.450000000000003</v>
      </c>
      <c r="CI34" s="81">
        <f t="shared" si="50"/>
        <v>0.70900000000000007</v>
      </c>
      <c r="CJ34" s="81"/>
      <c r="CK34" s="81"/>
      <c r="CL34" s="4">
        <f t="shared" si="51"/>
        <v>35.450000000000003</v>
      </c>
      <c r="CM34" s="79">
        <f t="shared" si="3"/>
        <v>0.70900000000000007</v>
      </c>
      <c r="CN34" s="4"/>
      <c r="CO34" s="4"/>
      <c r="CP34" s="4"/>
      <c r="CQ34" s="4"/>
      <c r="CR34" s="4"/>
      <c r="CS34" s="4"/>
      <c r="CT34" s="4"/>
      <c r="CU34" s="4"/>
      <c r="CV34" s="73"/>
      <c r="CW34" s="79"/>
      <c r="CX34" s="4"/>
      <c r="CY34" s="79"/>
      <c r="CZ34" s="4"/>
      <c r="DA34" s="4"/>
      <c r="DB34" s="4"/>
      <c r="DC34" s="4"/>
      <c r="DD34" s="4">
        <f t="shared" si="52"/>
        <v>32.950000000000003</v>
      </c>
      <c r="DE34" s="79">
        <f t="shared" si="53"/>
        <v>0.65900000000000003</v>
      </c>
      <c r="DF34" s="4">
        <f t="shared" si="54"/>
        <v>41.7</v>
      </c>
      <c r="DG34" s="79">
        <f t="shared" si="55"/>
        <v>0.83400000000000007</v>
      </c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73">
        <f t="shared" si="56"/>
        <v>35.295000000000002</v>
      </c>
      <c r="DY34" s="79">
        <f t="shared" si="73"/>
        <v>0.70590000000000008</v>
      </c>
      <c r="DZ34" s="4"/>
      <c r="EA34" s="4"/>
      <c r="EB34" s="4"/>
      <c r="EC34" s="4"/>
      <c r="ED34" s="73">
        <f t="shared" si="57"/>
        <v>36.734999999999999</v>
      </c>
      <c r="EE34" s="81">
        <f t="shared" si="74"/>
        <v>0.73470000000000002</v>
      </c>
      <c r="EF34" s="73"/>
      <c r="EG34" s="81"/>
      <c r="EH34" s="73"/>
      <c r="EI34" s="81" t="str">
        <f t="shared" si="8"/>
        <v/>
      </c>
      <c r="EJ34" s="72"/>
      <c r="EK34" s="81"/>
      <c r="EL34" s="171"/>
      <c r="EM34" s="81"/>
      <c r="EN34" s="72">
        <f t="shared" si="58"/>
        <v>25.999899999999997</v>
      </c>
      <c r="EO34" s="81">
        <f t="shared" si="11"/>
        <v>0.70269999999999988</v>
      </c>
      <c r="EP34" s="4"/>
      <c r="EQ34" s="4"/>
      <c r="ER34" s="73">
        <f t="shared" si="59"/>
        <v>23.9514</v>
      </c>
      <c r="ES34" s="79">
        <f t="shared" si="12"/>
        <v>0.7258</v>
      </c>
      <c r="ET34" s="4">
        <f t="shared" si="60"/>
        <v>20.048999999999999</v>
      </c>
      <c r="EU34" s="79">
        <f t="shared" si="75"/>
        <v>0.66830000000000001</v>
      </c>
      <c r="EV34" s="4"/>
      <c r="EW34" s="4"/>
      <c r="EX34" s="4"/>
      <c r="EY34" s="79"/>
      <c r="EZ34" s="4"/>
      <c r="FA34" s="79"/>
      <c r="FB34" s="4">
        <f t="shared" si="61"/>
        <v>32.950000000000003</v>
      </c>
      <c r="FC34" s="81">
        <f t="shared" si="72"/>
        <v>0.65900000000000003</v>
      </c>
      <c r="FD34" s="4">
        <f t="shared" si="62"/>
        <v>41.7</v>
      </c>
      <c r="FE34" s="79">
        <f t="shared" si="63"/>
        <v>0.83400000000000007</v>
      </c>
      <c r="FF34" s="72"/>
      <c r="FG34" s="81"/>
      <c r="FH34" s="81"/>
      <c r="FI34" s="81"/>
      <c r="FJ34" s="73"/>
      <c r="FK34" s="81"/>
      <c r="FL34" s="158"/>
      <c r="FM34" s="159"/>
      <c r="FN34" s="84"/>
      <c r="FO34" s="84"/>
      <c r="FP34" s="158"/>
      <c r="FQ34" s="159"/>
      <c r="FR34" s="158"/>
      <c r="FS34" s="159"/>
      <c r="FU34" s="92"/>
    </row>
    <row r="35" spans="1:177">
      <c r="A35" s="105">
        <v>25</v>
      </c>
      <c r="B35" s="106" t="s">
        <v>227</v>
      </c>
      <c r="C35" s="106" t="s">
        <v>253</v>
      </c>
      <c r="D35" s="66">
        <f>'MK1-TM'!D43</f>
        <v>78</v>
      </c>
      <c r="E35" s="66">
        <f>'MK1-TM'!E43</f>
        <v>62.24</v>
      </c>
      <c r="F35" s="66">
        <f>'MK1-TM'!F43</f>
        <v>39.200000000000003</v>
      </c>
      <c r="G35" s="66">
        <f t="shared" si="24"/>
        <v>57.800799999999995</v>
      </c>
      <c r="H35" s="83">
        <f>'MK2-TO'!D43</f>
        <v>85.2</v>
      </c>
      <c r="I35" s="83">
        <f>'MK2-TO'!E43</f>
        <v>83.7</v>
      </c>
      <c r="J35" s="83">
        <f t="shared" si="25"/>
        <v>84.45</v>
      </c>
      <c r="K35" s="67">
        <f>'MK3-PSTI'!D43</f>
        <v>83.75</v>
      </c>
      <c r="L35" s="67">
        <f>'MK3-PSTI'!E43</f>
        <v>82.69</v>
      </c>
      <c r="M35" s="67">
        <f t="shared" si="26"/>
        <v>83.22</v>
      </c>
      <c r="N35" s="68">
        <f>IF('MK4-L&amp;A'!D43="","",'MK4-L&amp;A'!D43)</f>
        <v>48.92</v>
      </c>
      <c r="O35" s="68">
        <f>'MK4-L&amp;A'!E43</f>
        <v>50.91</v>
      </c>
      <c r="P35" s="68">
        <f>'MK4-L&amp;A'!F43</f>
        <v>55</v>
      </c>
      <c r="Q35" s="68">
        <f t="shared" si="27"/>
        <v>51.400700000000001</v>
      </c>
      <c r="R35" s="69">
        <f>'MK5-BP'!D43</f>
        <v>73</v>
      </c>
      <c r="S35" s="69">
        <f>'MK5-BP'!E43</f>
        <v>73</v>
      </c>
      <c r="T35" s="69">
        <f t="shared" si="28"/>
        <v>73</v>
      </c>
      <c r="U35" s="35">
        <f>IF('MK7-MBD'!D42="","",'MK7-MBD'!D42)</f>
        <v>75.650000000000006</v>
      </c>
      <c r="V35" s="35">
        <f>IF('MK7-MBD'!E42="","",'MK7-MBD'!E42)</f>
        <v>75.650000000000006</v>
      </c>
      <c r="W35" s="35">
        <f t="shared" si="29"/>
        <v>75.650000000000006</v>
      </c>
      <c r="X35" s="70">
        <f>IF(MK8_BID!D43="","",MK8_BID!D43)</f>
        <v>75.650000000000006</v>
      </c>
      <c r="Y35" s="70">
        <f>'MK7-MBD'!E42</f>
        <v>75.650000000000006</v>
      </c>
      <c r="Z35" s="70">
        <f t="shared" si="30"/>
        <v>75.650000000000006</v>
      </c>
      <c r="AB35" s="71"/>
      <c r="AC35" s="72"/>
      <c r="AD35" s="71"/>
      <c r="AE35" s="72"/>
      <c r="AF35" s="71"/>
      <c r="AG35" s="72"/>
      <c r="AH35" s="71"/>
      <c r="AI35" s="72"/>
      <c r="AJ35" s="72"/>
      <c r="AK35" s="72"/>
      <c r="AL35" s="72"/>
      <c r="AM35" s="72"/>
      <c r="AN35" s="72"/>
      <c r="AO35" s="72"/>
      <c r="AP35" s="72"/>
      <c r="AQ35" s="72"/>
      <c r="AR35" s="71"/>
      <c r="AS35" s="72"/>
      <c r="AT35" s="71"/>
      <c r="AU35" s="72"/>
      <c r="AV35" s="72"/>
      <c r="AW35" s="72"/>
      <c r="AX35" s="71"/>
      <c r="AY35" s="72"/>
      <c r="AZ35" s="71"/>
      <c r="BA35" s="72"/>
      <c r="BB35" s="127"/>
      <c r="BC35" s="71"/>
      <c r="BF35" s="4"/>
      <c r="BG35" s="81" t="str">
        <f t="shared" si="69"/>
        <v/>
      </c>
      <c r="BH35" s="4"/>
      <c r="BI35" s="81" t="str">
        <f t="shared" si="70"/>
        <v/>
      </c>
      <c r="BJ35" s="73"/>
      <c r="BK35" s="81"/>
      <c r="BL35" s="73"/>
      <c r="BM35" s="81" t="str">
        <f t="shared" si="37"/>
        <v/>
      </c>
      <c r="BN35" s="73">
        <f t="shared" si="38"/>
        <v>17.940000000000001</v>
      </c>
      <c r="BO35" s="79">
        <f t="shared" si="39"/>
        <v>0.78</v>
      </c>
      <c r="BP35" s="73"/>
      <c r="BQ35" s="79" t="str">
        <f t="shared" si="40"/>
        <v/>
      </c>
      <c r="BR35" s="73">
        <f t="shared" si="41"/>
        <v>26.140799999999999</v>
      </c>
      <c r="BS35" s="79">
        <f t="shared" si="42"/>
        <v>0.62239999999999995</v>
      </c>
      <c r="BT35" s="172">
        <f t="shared" si="43"/>
        <v>13.72</v>
      </c>
      <c r="BU35" s="79">
        <f t="shared" si="44"/>
        <v>0.39200000000000002</v>
      </c>
      <c r="BV35" s="4"/>
      <c r="BW35" s="4"/>
      <c r="BX35" s="73"/>
      <c r="BY35" s="81"/>
      <c r="BZ35" s="73"/>
      <c r="CA35" s="81"/>
      <c r="CB35" s="73">
        <f t="shared" si="2"/>
        <v>36.5</v>
      </c>
      <c r="CC35" s="81">
        <f t="shared" si="46"/>
        <v>0.73</v>
      </c>
      <c r="CD35" s="4">
        <f t="shared" si="47"/>
        <v>41.875</v>
      </c>
      <c r="CE35" s="79">
        <f t="shared" si="48"/>
        <v>0.83750000000000002</v>
      </c>
      <c r="CF35" s="81"/>
      <c r="CG35" s="81"/>
      <c r="CH35" s="72">
        <f t="shared" si="49"/>
        <v>42.6</v>
      </c>
      <c r="CI35" s="81">
        <f t="shared" si="50"/>
        <v>0.85199999999999998</v>
      </c>
      <c r="CJ35" s="81"/>
      <c r="CK35" s="81"/>
      <c r="CL35" s="4">
        <f t="shared" si="51"/>
        <v>41.85</v>
      </c>
      <c r="CM35" s="79">
        <f t="shared" si="3"/>
        <v>0.83700000000000008</v>
      </c>
      <c r="CN35" s="4"/>
      <c r="CO35" s="4"/>
      <c r="CP35" s="4"/>
      <c r="CQ35" s="4"/>
      <c r="CR35" s="4"/>
      <c r="CS35" s="4"/>
      <c r="CT35" s="4"/>
      <c r="CU35" s="4"/>
      <c r="CV35" s="73"/>
      <c r="CW35" s="79" t="str">
        <f t="shared" ref="CW35:CW53" si="76">IF(CV35="","",CV35/$CV$9)</f>
        <v/>
      </c>
      <c r="CX35" s="4"/>
      <c r="CY35" s="79" t="str">
        <f t="shared" ref="CY35:CY53" si="77">IF(CX35="","",CX35/$CX$9)</f>
        <v/>
      </c>
      <c r="CZ35" s="4"/>
      <c r="DA35" s="4"/>
      <c r="DB35" s="4"/>
      <c r="DC35" s="4"/>
      <c r="DD35" s="4">
        <f t="shared" si="52"/>
        <v>37.825000000000003</v>
      </c>
      <c r="DE35" s="79">
        <f t="shared" si="53"/>
        <v>0.75650000000000006</v>
      </c>
      <c r="DF35" s="4">
        <f t="shared" si="54"/>
        <v>37.825000000000003</v>
      </c>
      <c r="DG35" s="79">
        <f t="shared" si="55"/>
        <v>0.75650000000000006</v>
      </c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73">
        <f t="shared" si="56"/>
        <v>41.875</v>
      </c>
      <c r="DY35" s="79">
        <f t="shared" ref="DY35:DY54" si="78">IF(DX35="","",DX35/$DX$9)</f>
        <v>0.83750000000000002</v>
      </c>
      <c r="DZ35" s="4"/>
      <c r="EA35" s="4"/>
      <c r="EB35" s="4"/>
      <c r="EC35" s="4"/>
      <c r="ED35" s="73">
        <f t="shared" si="57"/>
        <v>41.344999999999999</v>
      </c>
      <c r="EE35" s="81">
        <f t="shared" ref="EE35:EE42" si="79">IF(ED35="","",ED35/$ED$9)</f>
        <v>0.82689999999999997</v>
      </c>
      <c r="EF35" s="73"/>
      <c r="EG35" s="81"/>
      <c r="EH35" s="73"/>
      <c r="EI35" s="81" t="str">
        <f t="shared" si="8"/>
        <v/>
      </c>
      <c r="EJ35" s="72"/>
      <c r="EK35" s="81" t="str">
        <f t="shared" ref="EK35:EK42" si="80">IF(EJ35="","",EJ35/$EJ$9)</f>
        <v/>
      </c>
      <c r="EL35" s="171"/>
      <c r="EM35" s="81" t="str">
        <f t="shared" ref="EM35:EM42" si="81">IF(EL35="","",EL35/$EL$9)</f>
        <v/>
      </c>
      <c r="EN35" s="72">
        <f t="shared" si="58"/>
        <v>18.1004</v>
      </c>
      <c r="EO35" s="81">
        <f t="shared" si="11"/>
        <v>0.48920000000000002</v>
      </c>
      <c r="EP35" s="4"/>
      <c r="EQ35" s="4"/>
      <c r="ER35" s="73">
        <f t="shared" si="59"/>
        <v>16.8003</v>
      </c>
      <c r="ES35" s="79">
        <f t="shared" si="12"/>
        <v>0.5091</v>
      </c>
      <c r="ET35" s="4">
        <f t="shared" si="60"/>
        <v>16.5</v>
      </c>
      <c r="EU35" s="79">
        <f t="shared" ref="EU35:EU53" si="82">IF(ET35="","",ET35/$ET$9)</f>
        <v>0.55000000000000004</v>
      </c>
      <c r="EV35" s="4"/>
      <c r="EW35" s="4"/>
      <c r="EX35" s="4"/>
      <c r="EY35" s="79" t="str">
        <f t="shared" ref="EY35:EY53" si="83">IF(EX35="","",EX35/$EX$9)</f>
        <v/>
      </c>
      <c r="EZ35" s="4"/>
      <c r="FA35" s="79" t="str">
        <f t="shared" ref="FA35:FA53" si="84">IF(EZ35="","",EZ35/$EZ$9)</f>
        <v/>
      </c>
      <c r="FB35" s="4">
        <f t="shared" si="61"/>
        <v>37.825000000000003</v>
      </c>
      <c r="FC35" s="81">
        <f t="shared" si="72"/>
        <v>0.75650000000000006</v>
      </c>
      <c r="FD35" s="4">
        <f t="shared" si="62"/>
        <v>37.825000000000003</v>
      </c>
      <c r="FE35" s="79">
        <f t="shared" si="63"/>
        <v>0.75650000000000006</v>
      </c>
      <c r="FF35" s="72"/>
      <c r="FG35" s="81"/>
      <c r="FH35" s="81"/>
      <c r="FI35" s="81"/>
      <c r="FJ35" s="73"/>
      <c r="FK35" s="81"/>
      <c r="FL35" s="158"/>
      <c r="FM35" s="159"/>
      <c r="FN35" s="84"/>
      <c r="FO35" s="84"/>
      <c r="FP35" s="158"/>
      <c r="FQ35" s="159"/>
      <c r="FR35" s="158"/>
      <c r="FS35" s="159"/>
      <c r="FU35" s="92"/>
    </row>
    <row r="36" spans="1:177">
      <c r="A36" s="105">
        <v>26</v>
      </c>
      <c r="B36" s="106" t="s">
        <v>229</v>
      </c>
      <c r="C36" s="106" t="s">
        <v>230</v>
      </c>
      <c r="D36" s="66">
        <f>'MK1-TM'!D44</f>
        <v>82.48</v>
      </c>
      <c r="E36" s="66">
        <f>'MK1-TM'!E44</f>
        <v>80.400000000000006</v>
      </c>
      <c r="F36" s="66">
        <f>'MK1-TM'!F44</f>
        <v>81.17</v>
      </c>
      <c r="G36" s="66">
        <f t="shared" si="24"/>
        <v>81.147899999999993</v>
      </c>
      <c r="H36" s="83">
        <f>'MK2-TO'!D44</f>
        <v>92</v>
      </c>
      <c r="I36" s="83">
        <f>'MK2-TO'!E44</f>
        <v>87.2</v>
      </c>
      <c r="J36" s="83">
        <f t="shared" si="25"/>
        <v>89.6</v>
      </c>
      <c r="K36" s="67">
        <f>'MK3-PSTI'!D44</f>
        <v>90</v>
      </c>
      <c r="L36" s="67">
        <f>'MK3-PSTI'!E44</f>
        <v>82.69</v>
      </c>
      <c r="M36" s="67">
        <f t="shared" si="26"/>
        <v>86.344999999999999</v>
      </c>
      <c r="N36" s="68">
        <f>IF('MK4-L&amp;A'!D44="","",'MK4-L&amp;A'!D44)</f>
        <v>85.81</v>
      </c>
      <c r="O36" s="68">
        <f>'MK4-L&amp;A'!E44</f>
        <v>86.36</v>
      </c>
      <c r="P36" s="68">
        <f>'MK4-L&amp;A'!F44</f>
        <v>87.5</v>
      </c>
      <c r="Q36" s="68">
        <f t="shared" si="27"/>
        <v>86.498500000000007</v>
      </c>
      <c r="R36" s="69">
        <f>'MK5-BP'!D44</f>
        <v>83</v>
      </c>
      <c r="S36" s="69">
        <f>'MK5-BP'!E44</f>
        <v>73</v>
      </c>
      <c r="T36" s="69">
        <f t="shared" si="28"/>
        <v>78</v>
      </c>
      <c r="U36" s="35">
        <f>IF('MK7-MBD'!D43="","",'MK7-MBD'!D43)</f>
        <v>75.599999999999994</v>
      </c>
      <c r="V36" s="35">
        <f>IF('MK7-MBD'!E43="","",'MK7-MBD'!E43)</f>
        <v>75.599999999999994</v>
      </c>
      <c r="W36" s="35">
        <f t="shared" si="29"/>
        <v>75.599999999999994</v>
      </c>
      <c r="X36" s="70">
        <f>IF(MK8_BID!D44="","",MK8_BID!D44)</f>
        <v>75.599999999999994</v>
      </c>
      <c r="Y36" s="70">
        <f>'MK7-MBD'!E43</f>
        <v>75.599999999999994</v>
      </c>
      <c r="Z36" s="70">
        <f t="shared" si="30"/>
        <v>75.599999999999994</v>
      </c>
      <c r="AB36" s="71">
        <f t="shared" ref="AB36:AB42" si="85">IFERROR((D36*($D$9/100)+H36*($H$9/100)+K36*($K$9/100)+U36*($U$9/100)),"")</f>
        <v>147.7704</v>
      </c>
      <c r="AC36" s="72">
        <f t="shared" si="64"/>
        <v>68.730418604651149</v>
      </c>
      <c r="AD36" s="71" t="str">
        <f>IFERROR((#REF!*(#REF!/100)),"")</f>
        <v/>
      </c>
      <c r="AE36" s="72" t="str">
        <f t="shared" si="31"/>
        <v/>
      </c>
      <c r="AF36" s="71">
        <f t="shared" ref="AF36:AF42" si="86">IFERROR((N36*($N$9/100)+R36*($R$9/100)),"")</f>
        <v>73.249700000000004</v>
      </c>
      <c r="AG36" s="72">
        <f t="shared" si="33"/>
        <v>84.195057471264363</v>
      </c>
      <c r="AH36" s="71" t="str">
        <f>IFERROR((#REF!*(#REF!/100)),"")</f>
        <v/>
      </c>
      <c r="AI36" s="72" t="str">
        <f t="shared" si="34"/>
        <v/>
      </c>
      <c r="AJ36" s="72"/>
      <c r="AK36" s="72"/>
      <c r="AL36" s="72"/>
      <c r="AM36" s="72"/>
      <c r="AN36" s="72"/>
      <c r="AO36" s="72"/>
      <c r="AP36" s="72"/>
      <c r="AQ36" s="72"/>
      <c r="AR36" s="71">
        <f t="shared" ref="AR36:AR42" si="87">IFERROR((P36*($P$9/100)+S36*($S$9/100)),"")</f>
        <v>62.75</v>
      </c>
      <c r="AS36" s="72">
        <f t="shared" si="65"/>
        <v>78.4375</v>
      </c>
      <c r="AT36" s="71" t="str">
        <f>IFERROR((X36*($X$9/100)+#REF!*(#REF!/100)+#REF!*(#REF!/100)),"")</f>
        <v/>
      </c>
      <c r="AU36" s="72" t="str">
        <f t="shared" si="36"/>
        <v/>
      </c>
      <c r="AV36" s="72"/>
      <c r="AW36" s="72"/>
      <c r="AX36" s="71" t="str">
        <f>IFERROR((#REF!*(#REF!/100)+#REF!*(#REF!/100)+#REF!*(#REF!/100)),"")</f>
        <v/>
      </c>
      <c r="AY36" s="72" t="str">
        <f t="shared" si="66"/>
        <v/>
      </c>
      <c r="AZ36" s="71">
        <f t="shared" ref="AZ36:AZ42" si="88">IFERROR((F36*($F$9/100)+I36*($I$9/100)+L36*($L$9/100)+V36*($V$9/100)),"")</f>
        <v>151.15449999999998</v>
      </c>
      <c r="BA36" s="72">
        <f t="shared" si="67"/>
        <v>81.705135135135137</v>
      </c>
      <c r="BB36" s="2" t="str">
        <f>IFERROR((#REF!*(#REF!/100)+#REF!*(#REF!/100)+#REF!*(#REF!/100)),"")</f>
        <v/>
      </c>
      <c r="BC36" s="71" t="str">
        <f t="shared" si="68"/>
        <v/>
      </c>
      <c r="BF36" s="4"/>
      <c r="BG36" s="81" t="str">
        <f t="shared" si="69"/>
        <v/>
      </c>
      <c r="BH36" s="4"/>
      <c r="BI36" s="81" t="str">
        <f t="shared" si="70"/>
        <v/>
      </c>
      <c r="BJ36" s="73"/>
      <c r="BK36" s="81"/>
      <c r="BL36" s="73"/>
      <c r="BM36" s="81" t="str">
        <f t="shared" si="37"/>
        <v/>
      </c>
      <c r="BN36" s="73">
        <f t="shared" si="38"/>
        <v>18.970400000000001</v>
      </c>
      <c r="BO36" s="79">
        <f t="shared" si="39"/>
        <v>0.82480000000000009</v>
      </c>
      <c r="BP36" s="73"/>
      <c r="BQ36" s="79" t="str">
        <f t="shared" si="40"/>
        <v/>
      </c>
      <c r="BR36" s="73">
        <f t="shared" si="41"/>
        <v>33.768000000000001</v>
      </c>
      <c r="BS36" s="79">
        <f t="shared" si="42"/>
        <v>0.80400000000000005</v>
      </c>
      <c r="BT36" s="172">
        <f t="shared" si="43"/>
        <v>28.409499999999998</v>
      </c>
      <c r="BU36" s="79">
        <f t="shared" si="44"/>
        <v>0.81169999999999998</v>
      </c>
      <c r="BV36" s="4"/>
      <c r="BW36" s="4"/>
      <c r="BX36" s="73"/>
      <c r="BY36" s="81" t="str">
        <f t="shared" si="45"/>
        <v/>
      </c>
      <c r="BZ36" s="73"/>
      <c r="CA36" s="81"/>
      <c r="CB36" s="73">
        <f t="shared" si="2"/>
        <v>41.5</v>
      </c>
      <c r="CC36" s="81">
        <f>IF(CB36="","",CB36/$CB$9)</f>
        <v>0.83</v>
      </c>
      <c r="CD36" s="4">
        <f t="shared" si="47"/>
        <v>45</v>
      </c>
      <c r="CE36" s="79">
        <f t="shared" si="48"/>
        <v>0.9</v>
      </c>
      <c r="CF36" s="81"/>
      <c r="CG36" s="81"/>
      <c r="CH36" s="72">
        <f t="shared" si="49"/>
        <v>46</v>
      </c>
      <c r="CI36" s="81">
        <f t="shared" si="50"/>
        <v>0.92</v>
      </c>
      <c r="CJ36" s="81"/>
      <c r="CK36" s="81"/>
      <c r="CL36" s="4">
        <f t="shared" si="51"/>
        <v>43.6</v>
      </c>
      <c r="CM36" s="79">
        <f t="shared" si="3"/>
        <v>0.872</v>
      </c>
      <c r="CN36" s="4"/>
      <c r="CO36" s="4"/>
      <c r="CP36" s="4"/>
      <c r="CQ36" s="4"/>
      <c r="CR36" s="4"/>
      <c r="CS36" s="4"/>
      <c r="CT36" s="4"/>
      <c r="CU36" s="4"/>
      <c r="CV36" s="73"/>
      <c r="CW36" s="79" t="str">
        <f t="shared" si="76"/>
        <v/>
      </c>
      <c r="CX36" s="4"/>
      <c r="CY36" s="79" t="str">
        <f t="shared" si="77"/>
        <v/>
      </c>
      <c r="CZ36" s="4"/>
      <c r="DA36" s="4"/>
      <c r="DB36" s="4"/>
      <c r="DC36" s="4"/>
      <c r="DD36" s="4">
        <f t="shared" si="52"/>
        <v>37.799999999999997</v>
      </c>
      <c r="DE36" s="79">
        <f t="shared" si="53"/>
        <v>0.75599999999999989</v>
      </c>
      <c r="DF36" s="4">
        <f t="shared" si="54"/>
        <v>37.799999999999997</v>
      </c>
      <c r="DG36" s="79">
        <f t="shared" si="55"/>
        <v>0.75599999999999989</v>
      </c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73">
        <f t="shared" si="56"/>
        <v>45</v>
      </c>
      <c r="DY36" s="79">
        <f t="shared" si="78"/>
        <v>0.9</v>
      </c>
      <c r="DZ36" s="4"/>
      <c r="EA36" s="4"/>
      <c r="EB36" s="4"/>
      <c r="EC36" s="4"/>
      <c r="ED36" s="73">
        <f t="shared" si="57"/>
        <v>41.344999999999999</v>
      </c>
      <c r="EE36" s="81">
        <f t="shared" si="79"/>
        <v>0.82689999999999997</v>
      </c>
      <c r="EF36" s="73"/>
      <c r="EG36" s="81"/>
      <c r="EH36" s="73"/>
      <c r="EI36" s="81" t="str">
        <f t="shared" si="8"/>
        <v/>
      </c>
      <c r="EJ36" s="72"/>
      <c r="EK36" s="81" t="str">
        <f t="shared" si="80"/>
        <v/>
      </c>
      <c r="EL36" s="171"/>
      <c r="EM36" s="81" t="str">
        <f t="shared" si="81"/>
        <v/>
      </c>
      <c r="EN36" s="72">
        <f t="shared" si="58"/>
        <v>31.749700000000001</v>
      </c>
      <c r="EO36" s="81">
        <f t="shared" si="11"/>
        <v>0.85809999999999997</v>
      </c>
      <c r="EP36" s="4"/>
      <c r="EQ36" s="4"/>
      <c r="ER36" s="73">
        <f t="shared" si="59"/>
        <v>28.498800000000003</v>
      </c>
      <c r="ES36" s="79">
        <f t="shared" si="12"/>
        <v>0.86360000000000003</v>
      </c>
      <c r="ET36" s="4">
        <f t="shared" si="60"/>
        <v>26.25</v>
      </c>
      <c r="EU36" s="79">
        <f t="shared" si="82"/>
        <v>0.875</v>
      </c>
      <c r="EV36" s="4"/>
      <c r="EW36" s="4"/>
      <c r="EX36" s="4"/>
      <c r="EY36" s="79" t="str">
        <f t="shared" si="83"/>
        <v/>
      </c>
      <c r="EZ36" s="4"/>
      <c r="FA36" s="79" t="str">
        <f t="shared" si="84"/>
        <v/>
      </c>
      <c r="FB36" s="4">
        <f t="shared" si="61"/>
        <v>37.799999999999997</v>
      </c>
      <c r="FC36" s="81">
        <f t="shared" si="72"/>
        <v>0.75599999999999989</v>
      </c>
      <c r="FD36" s="4">
        <f t="shared" si="62"/>
        <v>37.799999999999997</v>
      </c>
      <c r="FE36" s="79">
        <f t="shared" si="63"/>
        <v>0.75599999999999989</v>
      </c>
      <c r="FF36" s="72"/>
      <c r="FG36" s="81"/>
      <c r="FH36" s="81"/>
      <c r="FI36" s="81"/>
      <c r="FJ36" s="73" t="str">
        <f>IFERROR(IF(#REF!="","",IFERROR(#REF!*(#REF!/100),""))+IF(#REF!="","",IFERROR(#REF!*(#REF!/100),"")),"")</f>
        <v/>
      </c>
      <c r="FK36" s="81" t="str">
        <f t="shared" ref="FK36:FK42" si="89">IF(FJ36="","",FJ36/$FJ$9)</f>
        <v/>
      </c>
      <c r="FL36" s="158">
        <f t="shared" ref="FL36:FL42" si="90">IFERROR(IF(F36="","",IFERROR(F36*($F$9/100),""))+IF(I36="","",IFERROR(I36*($I$9/100),""))+IF(L36="","",IFERROR(L36*($L$9/100),""))+IF(V36="","",IFERROR(V36*($V$9/100),"")),"")</f>
        <v>151.15449999999998</v>
      </c>
      <c r="FM36" s="159">
        <f t="shared" ref="FM36:FM42" si="91">IF(FL36="","",FL36/$FL$9)</f>
        <v>0.81705135135135132</v>
      </c>
      <c r="FN36" s="84"/>
      <c r="FO36" s="84"/>
      <c r="FP36" s="158" t="str">
        <f>IFERROR(IF(#REF!="","",IFERROR(#REF!*(#REF!/100),""))+IF(#REF!="","",IFERROR(#REF!*(#REF!/100),"")),"")</f>
        <v/>
      </c>
      <c r="FQ36" s="159" t="str">
        <f t="shared" ref="FQ36:FQ42" si="92">IF(FP36="","",FP36/$FP$9)</f>
        <v/>
      </c>
      <c r="FR36" s="158" t="str">
        <f>IFERROR(IF(#REF!="","",IFERROR(#REF!*(#REF!/100),"")),"")</f>
        <v/>
      </c>
      <c r="FS36" s="159" t="str">
        <f t="shared" ref="FS36:FS42" si="93">IF(FR36="","",FR36/$FR$9)</f>
        <v/>
      </c>
      <c r="FT36" s="157">
        <f t="shared" ref="FT36:FT42" si="94">SUM(BF36:FR36)</f>
        <v>746.5730513513513</v>
      </c>
      <c r="FU36" s="92" t="e">
        <f t="shared" ref="FU36:FU42" si="95">FT36/$FT$9</f>
        <v>#REF!</v>
      </c>
    </row>
    <row r="37" spans="1:177">
      <c r="A37" s="105">
        <v>27</v>
      </c>
      <c r="B37" s="106" t="s">
        <v>231</v>
      </c>
      <c r="C37" s="106" t="s">
        <v>232</v>
      </c>
      <c r="D37" s="66">
        <f>'MK1-TM'!D45</f>
        <v>92.26</v>
      </c>
      <c r="E37" s="66">
        <f>'MK1-TM'!E45</f>
        <v>89.45</v>
      </c>
      <c r="F37" s="66">
        <f>'MK1-TM'!F45</f>
        <v>84.6</v>
      </c>
      <c r="G37" s="66">
        <f t="shared" si="24"/>
        <v>88.398800000000008</v>
      </c>
      <c r="H37" s="83">
        <f>'MK2-TO'!D45</f>
        <v>92.7</v>
      </c>
      <c r="I37" s="83">
        <f>'MK2-TO'!E45</f>
        <v>86.5</v>
      </c>
      <c r="J37" s="83">
        <f t="shared" si="25"/>
        <v>89.6</v>
      </c>
      <c r="K37" s="67">
        <f>'MK3-PSTI'!D45</f>
        <v>77.5</v>
      </c>
      <c r="L37" s="67">
        <f>'MK3-PSTI'!E45</f>
        <v>82.69</v>
      </c>
      <c r="M37" s="67">
        <f t="shared" si="26"/>
        <v>80.094999999999999</v>
      </c>
      <c r="N37" s="68">
        <f>IF('MK4-L&amp;A'!D45="","",'MK4-L&amp;A'!D45)</f>
        <v>84.86</v>
      </c>
      <c r="O37" s="68">
        <f>'MK4-L&amp;A'!E45</f>
        <v>85.45</v>
      </c>
      <c r="P37" s="68">
        <f>'MK4-L&amp;A'!F45</f>
        <v>86.67</v>
      </c>
      <c r="Q37" s="68">
        <f t="shared" si="27"/>
        <v>85.597700000000003</v>
      </c>
      <c r="R37" s="69">
        <f>'MK5-BP'!D45</f>
        <v>83</v>
      </c>
      <c r="S37" s="69">
        <f>'MK5-BP'!E45</f>
        <v>73</v>
      </c>
      <c r="T37" s="69">
        <f t="shared" si="28"/>
        <v>78</v>
      </c>
      <c r="U37" s="35">
        <f>IF('MK7-MBD'!D44="","",'MK7-MBD'!D44)</f>
        <v>83.05</v>
      </c>
      <c r="V37" s="35">
        <f>IF('MK7-MBD'!E44="","",'MK7-MBD'!E44)</f>
        <v>83.05</v>
      </c>
      <c r="W37" s="35">
        <f t="shared" si="29"/>
        <v>83.05</v>
      </c>
      <c r="X37" s="70">
        <f>IF(MK8_BID!D45="","",MK8_BID!D45)</f>
        <v>83.05</v>
      </c>
      <c r="Y37" s="70">
        <f>'MK7-MBD'!E44</f>
        <v>83.05</v>
      </c>
      <c r="Z37" s="70">
        <f t="shared" si="30"/>
        <v>83.05</v>
      </c>
      <c r="AB37" s="71">
        <f t="shared" si="85"/>
        <v>147.84479999999999</v>
      </c>
      <c r="AC37" s="72">
        <f t="shared" si="64"/>
        <v>68.765023255813958</v>
      </c>
      <c r="AD37" s="71" t="str">
        <f>IFERROR((#REF!*(#REF!/100)),"")</f>
        <v/>
      </c>
      <c r="AE37" s="72" t="str">
        <f t="shared" si="31"/>
        <v/>
      </c>
      <c r="AF37" s="71">
        <f t="shared" si="86"/>
        <v>72.898200000000003</v>
      </c>
      <c r="AG37" s="72">
        <f t="shared" si="33"/>
        <v>83.791034482758619</v>
      </c>
      <c r="AH37" s="71" t="str">
        <f>IFERROR((#REF!*(#REF!/100)),"")</f>
        <v/>
      </c>
      <c r="AI37" s="72" t="str">
        <f t="shared" si="34"/>
        <v/>
      </c>
      <c r="AJ37" s="72"/>
      <c r="AK37" s="72"/>
      <c r="AL37" s="72"/>
      <c r="AM37" s="72"/>
      <c r="AN37" s="72"/>
      <c r="AO37" s="72"/>
      <c r="AP37" s="72"/>
      <c r="AQ37" s="72"/>
      <c r="AR37" s="71">
        <f t="shared" si="87"/>
        <v>62.501000000000005</v>
      </c>
      <c r="AS37" s="72">
        <f t="shared" si="65"/>
        <v>78.126250000000013</v>
      </c>
      <c r="AT37" s="71" t="str">
        <f>IFERROR((X37*($X$9/100)+#REF!*(#REF!/100)+#REF!*(#REF!/100)),"")</f>
        <v/>
      </c>
      <c r="AU37" s="72" t="str">
        <f t="shared" si="36"/>
        <v/>
      </c>
      <c r="AV37" s="72"/>
      <c r="AW37" s="72"/>
      <c r="AX37" s="71" t="str">
        <f>IFERROR((#REF!*(#REF!/100)+#REF!*(#REF!/100)+#REF!*(#REF!/100)),"")</f>
        <v/>
      </c>
      <c r="AY37" s="72" t="str">
        <f t="shared" si="66"/>
        <v/>
      </c>
      <c r="AZ37" s="71">
        <f t="shared" si="88"/>
        <v>155.72999999999999</v>
      </c>
      <c r="BA37" s="72">
        <f t="shared" si="67"/>
        <v>84.178378378378369</v>
      </c>
      <c r="BB37" s="2" t="str">
        <f>IFERROR((#REF!*(#REF!/100)+#REF!*(#REF!/100)+#REF!*(#REF!/100)),"")</f>
        <v/>
      </c>
      <c r="BC37" s="71" t="str">
        <f t="shared" si="68"/>
        <v/>
      </c>
      <c r="BF37" s="4"/>
      <c r="BG37" s="81" t="str">
        <f t="shared" si="69"/>
        <v/>
      </c>
      <c r="BH37" s="4"/>
      <c r="BI37" s="81" t="str">
        <f t="shared" si="70"/>
        <v/>
      </c>
      <c r="BJ37" s="73"/>
      <c r="BK37" s="81"/>
      <c r="BL37" s="73"/>
      <c r="BM37" s="81" t="str">
        <f t="shared" si="37"/>
        <v/>
      </c>
      <c r="BN37" s="73">
        <f t="shared" si="38"/>
        <v>21.219800000000003</v>
      </c>
      <c r="BO37" s="79">
        <f t="shared" si="39"/>
        <v>0.92260000000000009</v>
      </c>
      <c r="BP37" s="73"/>
      <c r="BQ37" s="79" t="str">
        <f t="shared" si="40"/>
        <v/>
      </c>
      <c r="BR37" s="73">
        <f t="shared" si="41"/>
        <v>37.569000000000003</v>
      </c>
      <c r="BS37" s="79">
        <f t="shared" si="42"/>
        <v>0.89450000000000007</v>
      </c>
      <c r="BT37" s="172">
        <f t="shared" si="43"/>
        <v>29.609999999999996</v>
      </c>
      <c r="BU37" s="79">
        <f t="shared" si="44"/>
        <v>0.84599999999999986</v>
      </c>
      <c r="BV37" s="4"/>
      <c r="BW37" s="4"/>
      <c r="BX37" s="73"/>
      <c r="BY37" s="81" t="str">
        <f t="shared" si="45"/>
        <v/>
      </c>
      <c r="BZ37" s="73"/>
      <c r="CA37" s="81"/>
      <c r="CB37" s="73">
        <f t="shared" si="2"/>
        <v>41.5</v>
      </c>
      <c r="CC37" s="81">
        <f t="shared" si="46"/>
        <v>0.83</v>
      </c>
      <c r="CD37" s="4">
        <f t="shared" si="47"/>
        <v>38.75</v>
      </c>
      <c r="CE37" s="79">
        <f t="shared" si="48"/>
        <v>0.77500000000000002</v>
      </c>
      <c r="CF37" s="81"/>
      <c r="CG37" s="81"/>
      <c r="CH37" s="72">
        <f t="shared" si="49"/>
        <v>46.35</v>
      </c>
      <c r="CI37" s="81">
        <f t="shared" si="50"/>
        <v>0.92700000000000005</v>
      </c>
      <c r="CJ37" s="81"/>
      <c r="CK37" s="81"/>
      <c r="CL37" s="4">
        <f t="shared" si="51"/>
        <v>43.25</v>
      </c>
      <c r="CM37" s="79">
        <f t="shared" si="3"/>
        <v>0.86499999999999999</v>
      </c>
      <c r="CN37" s="4"/>
      <c r="CO37" s="4"/>
      <c r="CP37" s="4"/>
      <c r="CQ37" s="4"/>
      <c r="CR37" s="4"/>
      <c r="CS37" s="4"/>
      <c r="CT37" s="4"/>
      <c r="CU37" s="4"/>
      <c r="CV37" s="73"/>
      <c r="CW37" s="79" t="str">
        <f t="shared" si="76"/>
        <v/>
      </c>
      <c r="CX37" s="4"/>
      <c r="CY37" s="79" t="str">
        <f t="shared" si="77"/>
        <v/>
      </c>
      <c r="CZ37" s="4"/>
      <c r="DA37" s="4"/>
      <c r="DB37" s="4"/>
      <c r="DC37" s="4"/>
      <c r="DD37" s="4">
        <f t="shared" si="52"/>
        <v>41.524999999999999</v>
      </c>
      <c r="DE37" s="79">
        <f t="shared" si="53"/>
        <v>0.83050000000000002</v>
      </c>
      <c r="DF37" s="4">
        <f t="shared" si="54"/>
        <v>41.524999999999999</v>
      </c>
      <c r="DG37" s="79">
        <f t="shared" si="55"/>
        <v>0.83050000000000002</v>
      </c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73">
        <f t="shared" si="56"/>
        <v>38.75</v>
      </c>
      <c r="DY37" s="79">
        <f t="shared" si="78"/>
        <v>0.77500000000000002</v>
      </c>
      <c r="DZ37" s="4"/>
      <c r="EA37" s="4"/>
      <c r="EB37" s="4"/>
      <c r="EC37" s="4"/>
      <c r="ED37" s="73">
        <f t="shared" si="57"/>
        <v>41.344999999999999</v>
      </c>
      <c r="EE37" s="81">
        <f t="shared" si="79"/>
        <v>0.82689999999999997</v>
      </c>
      <c r="EF37" s="73"/>
      <c r="EG37" s="81"/>
      <c r="EH37" s="73"/>
      <c r="EI37" s="81" t="str">
        <f t="shared" si="8"/>
        <v/>
      </c>
      <c r="EJ37" s="72"/>
      <c r="EK37" s="81" t="str">
        <f t="shared" si="80"/>
        <v/>
      </c>
      <c r="EL37" s="171"/>
      <c r="EM37" s="81" t="str">
        <f t="shared" si="81"/>
        <v/>
      </c>
      <c r="EN37" s="72">
        <f t="shared" si="58"/>
        <v>31.398199999999999</v>
      </c>
      <c r="EO37" s="81">
        <f t="shared" si="11"/>
        <v>0.84860000000000002</v>
      </c>
      <c r="EP37" s="4"/>
      <c r="EQ37" s="4"/>
      <c r="ER37" s="73">
        <f t="shared" si="59"/>
        <v>28.198500000000003</v>
      </c>
      <c r="ES37" s="79">
        <f t="shared" si="12"/>
        <v>0.85450000000000004</v>
      </c>
      <c r="ET37" s="4">
        <f t="shared" si="60"/>
        <v>26.001000000000001</v>
      </c>
      <c r="EU37" s="79">
        <f t="shared" si="82"/>
        <v>0.86670000000000003</v>
      </c>
      <c r="EV37" s="4"/>
      <c r="EW37" s="4"/>
      <c r="EX37" s="4"/>
      <c r="EY37" s="79" t="str">
        <f t="shared" si="83"/>
        <v/>
      </c>
      <c r="EZ37" s="4"/>
      <c r="FA37" s="79" t="str">
        <f t="shared" si="84"/>
        <v/>
      </c>
      <c r="FB37" s="4">
        <f t="shared" si="61"/>
        <v>41.524999999999999</v>
      </c>
      <c r="FC37" s="81">
        <f t="shared" ref="FC37:FC42" si="96">IF(FB37="","",FB37/$FB$9)</f>
        <v>0.83050000000000002</v>
      </c>
      <c r="FD37" s="4">
        <f t="shared" si="62"/>
        <v>41.524999999999999</v>
      </c>
      <c r="FE37" s="79">
        <f t="shared" si="63"/>
        <v>0.83050000000000002</v>
      </c>
      <c r="FF37" s="72"/>
      <c r="FG37" s="81"/>
      <c r="FH37" s="81"/>
      <c r="FI37" s="81"/>
      <c r="FJ37" s="73" t="str">
        <f>IFERROR(IF(#REF!="","",IFERROR(#REF!*(#REF!/100),""))+IF(#REF!="","",IFERROR(#REF!*(#REF!/100),"")),"")</f>
        <v/>
      </c>
      <c r="FK37" s="81" t="str">
        <f t="shared" si="89"/>
        <v/>
      </c>
      <c r="FL37" s="158">
        <f t="shared" si="90"/>
        <v>155.72999999999999</v>
      </c>
      <c r="FM37" s="159">
        <f t="shared" si="91"/>
        <v>0.84178378378378371</v>
      </c>
      <c r="FN37" s="84"/>
      <c r="FO37" s="84"/>
      <c r="FP37" s="158" t="str">
        <f>IFERROR(IF(#REF!="","",IFERROR(#REF!*(#REF!/100),""))+IF(#REF!="","",IFERROR(#REF!*(#REF!/100),"")),"")</f>
        <v/>
      </c>
      <c r="FQ37" s="159" t="str">
        <f t="shared" si="92"/>
        <v/>
      </c>
      <c r="FR37" s="158" t="str">
        <f>IFERROR(IF(#REF!="","",IFERROR(#REF!*(#REF!/100),"")),"")</f>
        <v/>
      </c>
      <c r="FS37" s="159" t="str">
        <f t="shared" si="93"/>
        <v/>
      </c>
      <c r="FT37" s="157">
        <f t="shared" si="94"/>
        <v>760.16708378378371</v>
      </c>
      <c r="FU37" s="92" t="e">
        <f t="shared" si="95"/>
        <v>#REF!</v>
      </c>
    </row>
    <row r="38" spans="1:177">
      <c r="A38" s="105">
        <v>28</v>
      </c>
      <c r="B38" s="106" t="s">
        <v>233</v>
      </c>
      <c r="C38" s="106" t="s">
        <v>234</v>
      </c>
      <c r="D38" s="66">
        <f>'MK1-TM'!D46</f>
        <v>70.959999999999994</v>
      </c>
      <c r="E38" s="66">
        <f>'MK1-TM'!E46</f>
        <v>74.33</v>
      </c>
      <c r="F38" s="66">
        <f>'MK1-TM'!F46</f>
        <v>88.17</v>
      </c>
      <c r="G38" s="66">
        <f t="shared" si="24"/>
        <v>78.398899999999998</v>
      </c>
      <c r="H38" s="83">
        <f>'MK2-TO'!D46</f>
        <v>85.8</v>
      </c>
      <c r="I38" s="83">
        <f>'MK2-TO'!E46</f>
        <v>82.8</v>
      </c>
      <c r="J38" s="83">
        <f t="shared" si="25"/>
        <v>84.3</v>
      </c>
      <c r="K38" s="67">
        <f>'MK3-PSTI'!D46</f>
        <v>90</v>
      </c>
      <c r="L38" s="67">
        <f>'MK3-PSTI'!E46</f>
        <v>82.69</v>
      </c>
      <c r="M38" s="67">
        <f t="shared" si="26"/>
        <v>86.344999999999999</v>
      </c>
      <c r="N38" s="68">
        <f>IF('MK4-L&amp;A'!D46="","",'MK4-L&amp;A'!D46)</f>
        <v>86.76</v>
      </c>
      <c r="O38" s="68">
        <f>'MK4-L&amp;A'!E46</f>
        <v>87.27</v>
      </c>
      <c r="P38" s="68">
        <f>'MK4-L&amp;A'!F46</f>
        <v>88.33</v>
      </c>
      <c r="Q38" s="68">
        <f t="shared" si="27"/>
        <v>87.399299999999997</v>
      </c>
      <c r="R38" s="69">
        <f>'MK5-BP'!D46</f>
        <v>83</v>
      </c>
      <c r="S38" s="69">
        <f>'MK5-BP'!E46</f>
        <v>73</v>
      </c>
      <c r="T38" s="69">
        <f t="shared" si="28"/>
        <v>78</v>
      </c>
      <c r="U38" s="35">
        <f>IF('MK7-MBD'!D45="","",'MK7-MBD'!D45)</f>
        <v>80.599999999999994</v>
      </c>
      <c r="V38" s="35">
        <f>IF('MK7-MBD'!E45="","",'MK7-MBD'!E45)</f>
        <v>80.599999999999994</v>
      </c>
      <c r="W38" s="35">
        <f t="shared" si="29"/>
        <v>80.599999999999994</v>
      </c>
      <c r="X38" s="70">
        <f>IF(MK8_BID!D46="","",MK8_BID!D46)</f>
        <v>80.599999999999994</v>
      </c>
      <c r="Y38" s="70">
        <f>'MK7-MBD'!E45</f>
        <v>80.599999999999994</v>
      </c>
      <c r="Z38" s="70">
        <f t="shared" si="30"/>
        <v>80.599999999999994</v>
      </c>
      <c r="AB38" s="71">
        <f t="shared" si="85"/>
        <v>144.52080000000001</v>
      </c>
      <c r="AC38" s="72">
        <f t="shared" si="64"/>
        <v>67.218976744186051</v>
      </c>
      <c r="AD38" s="71" t="str">
        <f>IFERROR((#REF!*(#REF!/100)),"")</f>
        <v/>
      </c>
      <c r="AE38" s="72" t="str">
        <f t="shared" si="31"/>
        <v/>
      </c>
      <c r="AF38" s="71">
        <f t="shared" si="86"/>
        <v>73.601200000000006</v>
      </c>
      <c r="AG38" s="72">
        <f t="shared" si="33"/>
        <v>84.599080459770121</v>
      </c>
      <c r="AH38" s="71" t="str">
        <f>IFERROR((#REF!*(#REF!/100)),"")</f>
        <v/>
      </c>
      <c r="AI38" s="72" t="str">
        <f t="shared" si="34"/>
        <v/>
      </c>
      <c r="AJ38" s="72"/>
      <c r="AK38" s="72"/>
      <c r="AL38" s="72"/>
      <c r="AM38" s="72"/>
      <c r="AN38" s="72"/>
      <c r="AO38" s="72"/>
      <c r="AP38" s="72"/>
      <c r="AQ38" s="72"/>
      <c r="AR38" s="71">
        <f t="shared" si="87"/>
        <v>62.998999999999995</v>
      </c>
      <c r="AS38" s="72">
        <f t="shared" si="65"/>
        <v>78.748749999999987</v>
      </c>
      <c r="AT38" s="71" t="str">
        <f>IFERROR((X38*($X$9/100)+#REF!*(#REF!/100)+#REF!*(#REF!/100)),"")</f>
        <v/>
      </c>
      <c r="AU38" s="72" t="str">
        <f t="shared" si="36"/>
        <v/>
      </c>
      <c r="AV38" s="72"/>
      <c r="AW38" s="72"/>
      <c r="AX38" s="71" t="str">
        <f>IFERROR((#REF!*(#REF!/100)+#REF!*(#REF!/100)+#REF!*(#REF!/100)),"")</f>
        <v/>
      </c>
      <c r="AY38" s="72" t="str">
        <f t="shared" si="66"/>
        <v/>
      </c>
      <c r="AZ38" s="71">
        <f t="shared" si="88"/>
        <v>153.90449999999998</v>
      </c>
      <c r="BA38" s="72">
        <f t="shared" si="67"/>
        <v>83.191621621621607</v>
      </c>
      <c r="BB38" s="2" t="str">
        <f>IFERROR((#REF!*(#REF!/100)+#REF!*(#REF!/100)+#REF!*(#REF!/100)),"")</f>
        <v/>
      </c>
      <c r="BC38" s="71" t="str">
        <f t="shared" si="68"/>
        <v/>
      </c>
      <c r="BF38" s="4"/>
      <c r="BG38" s="81" t="str">
        <f t="shared" si="69"/>
        <v/>
      </c>
      <c r="BH38" s="4"/>
      <c r="BI38" s="81" t="str">
        <f t="shared" si="70"/>
        <v/>
      </c>
      <c r="BJ38" s="73"/>
      <c r="BK38" s="81"/>
      <c r="BL38" s="73"/>
      <c r="BM38" s="81" t="str">
        <f t="shared" si="37"/>
        <v/>
      </c>
      <c r="BN38" s="73">
        <f t="shared" si="38"/>
        <v>16.320799999999998</v>
      </c>
      <c r="BO38" s="79">
        <f t="shared" si="39"/>
        <v>0.7095999999999999</v>
      </c>
      <c r="BP38" s="73"/>
      <c r="BQ38" s="79" t="str">
        <f t="shared" si="40"/>
        <v/>
      </c>
      <c r="BR38" s="73">
        <f t="shared" si="41"/>
        <v>31.218599999999999</v>
      </c>
      <c r="BS38" s="79">
        <f t="shared" si="42"/>
        <v>0.74329999999999996</v>
      </c>
      <c r="BT38" s="172">
        <f t="shared" si="43"/>
        <v>30.859499999999997</v>
      </c>
      <c r="BU38" s="79">
        <f t="shared" si="44"/>
        <v>0.88169999999999993</v>
      </c>
      <c r="BV38" s="4"/>
      <c r="BW38" s="4"/>
      <c r="BX38" s="73"/>
      <c r="BY38" s="81" t="str">
        <f t="shared" si="45"/>
        <v/>
      </c>
      <c r="BZ38" s="73"/>
      <c r="CA38" s="81"/>
      <c r="CB38" s="73">
        <f t="shared" si="2"/>
        <v>41.5</v>
      </c>
      <c r="CC38" s="81">
        <f t="shared" ref="CC38:CC42" si="97">IF(CB38="","",CB38/$CB$9)</f>
        <v>0.83</v>
      </c>
      <c r="CD38" s="4">
        <f t="shared" si="47"/>
        <v>45</v>
      </c>
      <c r="CE38" s="79">
        <f t="shared" si="48"/>
        <v>0.9</v>
      </c>
      <c r="CF38" s="81"/>
      <c r="CG38" s="81"/>
      <c r="CH38" s="72">
        <f t="shared" si="49"/>
        <v>42.9</v>
      </c>
      <c r="CI38" s="81">
        <f t="shared" si="50"/>
        <v>0.85799999999999998</v>
      </c>
      <c r="CJ38" s="81"/>
      <c r="CK38" s="81"/>
      <c r="CL38" s="4">
        <f t="shared" si="51"/>
        <v>41.4</v>
      </c>
      <c r="CM38" s="79">
        <f t="shared" si="3"/>
        <v>0.82799999999999996</v>
      </c>
      <c r="CN38" s="4"/>
      <c r="CO38" s="4"/>
      <c r="CP38" s="4"/>
      <c r="CQ38" s="4"/>
      <c r="CR38" s="4"/>
      <c r="CS38" s="4"/>
      <c r="CT38" s="4"/>
      <c r="CU38" s="4"/>
      <c r="CV38" s="73"/>
      <c r="CW38" s="79" t="str">
        <f t="shared" si="76"/>
        <v/>
      </c>
      <c r="CX38" s="4"/>
      <c r="CY38" s="79" t="str">
        <f t="shared" si="77"/>
        <v/>
      </c>
      <c r="CZ38" s="4"/>
      <c r="DA38" s="4"/>
      <c r="DB38" s="4"/>
      <c r="DC38" s="4"/>
      <c r="DD38" s="4">
        <f t="shared" si="52"/>
        <v>40.299999999999997</v>
      </c>
      <c r="DE38" s="79">
        <f t="shared" si="53"/>
        <v>0.80599999999999994</v>
      </c>
      <c r="DF38" s="4">
        <f t="shared" si="54"/>
        <v>40.299999999999997</v>
      </c>
      <c r="DG38" s="79">
        <f t="shared" si="55"/>
        <v>0.80599999999999994</v>
      </c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73">
        <f t="shared" si="56"/>
        <v>45</v>
      </c>
      <c r="DY38" s="79">
        <f t="shared" si="78"/>
        <v>0.9</v>
      </c>
      <c r="DZ38" s="4"/>
      <c r="EA38" s="4"/>
      <c r="EB38" s="4"/>
      <c r="EC38" s="4"/>
      <c r="ED38" s="73">
        <f t="shared" si="57"/>
        <v>41.344999999999999</v>
      </c>
      <c r="EE38" s="81">
        <f t="shared" si="79"/>
        <v>0.82689999999999997</v>
      </c>
      <c r="EF38" s="73"/>
      <c r="EG38" s="81"/>
      <c r="EH38" s="73"/>
      <c r="EI38" s="81" t="str">
        <f t="shared" si="8"/>
        <v/>
      </c>
      <c r="EJ38" s="72"/>
      <c r="EK38" s="81" t="str">
        <f t="shared" si="80"/>
        <v/>
      </c>
      <c r="EL38" s="171"/>
      <c r="EM38" s="81" t="str">
        <f t="shared" si="81"/>
        <v/>
      </c>
      <c r="EN38" s="72">
        <f t="shared" si="58"/>
        <v>32.101199999999999</v>
      </c>
      <c r="EO38" s="81">
        <f t="shared" si="11"/>
        <v>0.86759999999999993</v>
      </c>
      <c r="EP38" s="4"/>
      <c r="EQ38" s="4"/>
      <c r="ER38" s="73">
        <f t="shared" si="59"/>
        <v>28.799099999999999</v>
      </c>
      <c r="ES38" s="79">
        <f t="shared" si="12"/>
        <v>0.87270000000000003</v>
      </c>
      <c r="ET38" s="4">
        <f t="shared" si="60"/>
        <v>26.498999999999999</v>
      </c>
      <c r="EU38" s="79">
        <f t="shared" si="82"/>
        <v>0.88329999999999997</v>
      </c>
      <c r="EV38" s="4"/>
      <c r="EW38" s="4"/>
      <c r="EX38" s="4"/>
      <c r="EY38" s="79" t="str">
        <f t="shared" si="83"/>
        <v/>
      </c>
      <c r="EZ38" s="4"/>
      <c r="FA38" s="79" t="str">
        <f t="shared" si="84"/>
        <v/>
      </c>
      <c r="FB38" s="4">
        <f t="shared" si="61"/>
        <v>40.299999999999997</v>
      </c>
      <c r="FC38" s="81">
        <f t="shared" si="96"/>
        <v>0.80599999999999994</v>
      </c>
      <c r="FD38" s="4">
        <f t="shared" si="62"/>
        <v>40.299999999999997</v>
      </c>
      <c r="FE38" s="79">
        <f t="shared" si="63"/>
        <v>0.80599999999999994</v>
      </c>
      <c r="FF38" s="72"/>
      <c r="FG38" s="81"/>
      <c r="FH38" s="81"/>
      <c r="FI38" s="81"/>
      <c r="FJ38" s="73" t="str">
        <f>IFERROR(IF(#REF!="","",IFERROR(#REF!*(#REF!/100),""))+IF(#REF!="","",IFERROR(#REF!*(#REF!/100),"")),"")</f>
        <v/>
      </c>
      <c r="FK38" s="81" t="str">
        <f t="shared" si="89"/>
        <v/>
      </c>
      <c r="FL38" s="158">
        <f t="shared" si="90"/>
        <v>153.90449999999998</v>
      </c>
      <c r="FM38" s="159">
        <f t="shared" si="91"/>
        <v>0.83191621621621614</v>
      </c>
      <c r="FN38" s="84"/>
      <c r="FO38" s="84"/>
      <c r="FP38" s="158" t="str">
        <f>IFERROR(IF(#REF!="","",IFERROR(#REF!*(#REF!/100),""))+IF(#REF!="","",IFERROR(#REF!*(#REF!/100),"")),"")</f>
        <v/>
      </c>
      <c r="FQ38" s="159" t="str">
        <f t="shared" si="92"/>
        <v/>
      </c>
      <c r="FR38" s="158" t="str">
        <f>IFERROR(IF(#REF!="","",IFERROR(#REF!*(#REF!/100),"")),"")</f>
        <v/>
      </c>
      <c r="FS38" s="159" t="str">
        <f t="shared" si="93"/>
        <v/>
      </c>
      <c r="FT38" s="157">
        <f t="shared" si="94"/>
        <v>752.20471621621607</v>
      </c>
      <c r="FU38" s="92" t="e">
        <f t="shared" si="95"/>
        <v>#REF!</v>
      </c>
    </row>
    <row r="39" spans="1:177">
      <c r="A39" s="105">
        <v>29</v>
      </c>
      <c r="B39" s="106" t="s">
        <v>237</v>
      </c>
      <c r="C39" s="106" t="s">
        <v>238</v>
      </c>
      <c r="D39" s="66">
        <f>'MK1-TM'!D47</f>
        <v>78.7</v>
      </c>
      <c r="E39" s="66">
        <f>'MK1-TM'!E47</f>
        <v>80.12</v>
      </c>
      <c r="F39" s="66">
        <f>'MK1-TM'!F47</f>
        <v>85.71</v>
      </c>
      <c r="G39" s="66">
        <f t="shared" si="24"/>
        <v>81.749899999999997</v>
      </c>
      <c r="H39" s="83">
        <f>'MK2-TO'!D47</f>
        <v>90.6</v>
      </c>
      <c r="I39" s="83">
        <f>'MK2-TO'!E47</f>
        <v>85.7</v>
      </c>
      <c r="J39" s="83">
        <f t="shared" si="25"/>
        <v>88.15</v>
      </c>
      <c r="K39" s="67">
        <f>'MK3-PSTI'!D48</f>
        <v>90</v>
      </c>
      <c r="L39" s="67">
        <f>'MK3-PSTI'!E48</f>
        <v>82.69</v>
      </c>
      <c r="M39" s="67">
        <f t="shared" si="26"/>
        <v>86.344999999999999</v>
      </c>
      <c r="N39" s="68">
        <f>IF('MK4-L&amp;A'!D47="","",'MK4-L&amp;A'!D47)</f>
        <v>82.03</v>
      </c>
      <c r="O39" s="68">
        <f>'MK4-L&amp;A'!E47</f>
        <v>82.73</v>
      </c>
      <c r="P39" s="68">
        <f>'MK4-L&amp;A'!F47</f>
        <v>84.17</v>
      </c>
      <c r="Q39" s="68">
        <f t="shared" si="27"/>
        <v>82.903000000000006</v>
      </c>
      <c r="R39" s="69">
        <f>'MK5-BP'!D48</f>
        <v>93</v>
      </c>
      <c r="S39" s="69">
        <f>'MK5-BP'!E48</f>
        <v>83</v>
      </c>
      <c r="T39" s="69">
        <f t="shared" si="28"/>
        <v>88</v>
      </c>
      <c r="U39" s="35">
        <f>IF('MK7-MBD'!D46="","",'MK7-MBD'!D46)</f>
        <v>81.900000000000006</v>
      </c>
      <c r="V39" s="35">
        <f>IF('MK7-MBD'!E46="","",'MK7-MBD'!E46)</f>
        <v>81.900000000000006</v>
      </c>
      <c r="W39" s="35">
        <f t="shared" si="29"/>
        <v>81.900000000000006</v>
      </c>
      <c r="X39" s="70">
        <f>IF(MK8_BID!D48="","",MK8_BID!D48)</f>
        <v>86.3</v>
      </c>
      <c r="Y39" s="70">
        <f>'MK7-MBD'!E46</f>
        <v>81.900000000000006</v>
      </c>
      <c r="Z39" s="70">
        <f t="shared" si="30"/>
        <v>84.1</v>
      </c>
      <c r="AB39" s="71">
        <f t="shared" si="85"/>
        <v>149.351</v>
      </c>
      <c r="AC39" s="72">
        <f t="shared" si="64"/>
        <v>69.465581395348835</v>
      </c>
      <c r="AD39" s="71" t="str">
        <f>IFERROR((#REF!*(#REF!/100)),"")</f>
        <v/>
      </c>
      <c r="AE39" s="72" t="str">
        <f t="shared" si="31"/>
        <v/>
      </c>
      <c r="AF39" s="71">
        <f t="shared" si="86"/>
        <v>76.851100000000002</v>
      </c>
      <c r="AG39" s="72">
        <f t="shared" si="33"/>
        <v>88.334597701149434</v>
      </c>
      <c r="AH39" s="71" t="str">
        <f>IFERROR((#REF!*(#REF!/100)),"")</f>
        <v/>
      </c>
      <c r="AI39" s="72" t="str">
        <f t="shared" si="34"/>
        <v/>
      </c>
      <c r="AJ39" s="72"/>
      <c r="AK39" s="72"/>
      <c r="AL39" s="72"/>
      <c r="AM39" s="72"/>
      <c r="AN39" s="72"/>
      <c r="AO39" s="72"/>
      <c r="AP39" s="72"/>
      <c r="AQ39" s="72"/>
      <c r="AR39" s="71">
        <f t="shared" si="87"/>
        <v>66.751000000000005</v>
      </c>
      <c r="AS39" s="72">
        <f t="shared" si="65"/>
        <v>83.438749999999999</v>
      </c>
      <c r="AT39" s="71" t="str">
        <f>IFERROR((X39*($X$9/100)+#REF!*(#REF!/100)+#REF!*(#REF!/100)),"")</f>
        <v/>
      </c>
      <c r="AU39" s="72" t="str">
        <f t="shared" si="36"/>
        <v/>
      </c>
      <c r="AV39" s="72"/>
      <c r="AW39" s="72"/>
      <c r="AX39" s="71" t="str">
        <f>IFERROR((#REF!*(#REF!/100)+#REF!*(#REF!/100)+#REF!*(#REF!/100)),"")</f>
        <v/>
      </c>
      <c r="AY39" s="72" t="str">
        <f t="shared" si="66"/>
        <v/>
      </c>
      <c r="AZ39" s="71">
        <f t="shared" si="88"/>
        <v>155.14350000000002</v>
      </c>
      <c r="BA39" s="72">
        <f t="shared" si="67"/>
        <v>83.86135135135136</v>
      </c>
      <c r="BB39" s="2" t="str">
        <f>IFERROR((#REF!*(#REF!/100)+#REF!*(#REF!/100)+#REF!*(#REF!/100)),"")</f>
        <v/>
      </c>
      <c r="BC39" s="71" t="str">
        <f t="shared" si="68"/>
        <v/>
      </c>
      <c r="BF39" s="4"/>
      <c r="BG39" s="81" t="str">
        <f t="shared" si="69"/>
        <v/>
      </c>
      <c r="BH39" s="4"/>
      <c r="BI39" s="81" t="str">
        <f t="shared" si="70"/>
        <v/>
      </c>
      <c r="BJ39" s="73"/>
      <c r="BK39" s="81"/>
      <c r="BL39" s="73"/>
      <c r="BM39" s="81" t="str">
        <f t="shared" si="37"/>
        <v/>
      </c>
      <c r="BN39" s="73">
        <f t="shared" si="38"/>
        <v>18.101000000000003</v>
      </c>
      <c r="BO39" s="79">
        <f t="shared" si="39"/>
        <v>0.78700000000000014</v>
      </c>
      <c r="BP39" s="73"/>
      <c r="BQ39" s="79" t="str">
        <f t="shared" si="40"/>
        <v/>
      </c>
      <c r="BR39" s="73">
        <f t="shared" si="41"/>
        <v>33.650399999999998</v>
      </c>
      <c r="BS39" s="79">
        <f t="shared" si="42"/>
        <v>0.80119999999999991</v>
      </c>
      <c r="BT39" s="172">
        <f t="shared" si="43"/>
        <v>29.998499999999996</v>
      </c>
      <c r="BU39" s="79">
        <f t="shared" si="44"/>
        <v>0.85709999999999986</v>
      </c>
      <c r="BV39" s="4"/>
      <c r="BW39" s="4"/>
      <c r="BX39" s="73"/>
      <c r="BY39" s="81" t="str">
        <f t="shared" si="45"/>
        <v/>
      </c>
      <c r="BZ39" s="73"/>
      <c r="CA39" s="81"/>
      <c r="CB39" s="73">
        <f t="shared" si="2"/>
        <v>46.5</v>
      </c>
      <c r="CC39" s="81">
        <f t="shared" si="97"/>
        <v>0.93</v>
      </c>
      <c r="CD39" s="4">
        <f t="shared" si="47"/>
        <v>45</v>
      </c>
      <c r="CE39" s="79">
        <f t="shared" si="48"/>
        <v>0.9</v>
      </c>
      <c r="CF39" s="81"/>
      <c r="CG39" s="81"/>
      <c r="CH39" s="72">
        <f t="shared" si="49"/>
        <v>45.3</v>
      </c>
      <c r="CI39" s="81">
        <f t="shared" si="50"/>
        <v>0.90599999999999992</v>
      </c>
      <c r="CJ39" s="81"/>
      <c r="CK39" s="81"/>
      <c r="CL39" s="4">
        <f t="shared" si="51"/>
        <v>42.85</v>
      </c>
      <c r="CM39" s="79">
        <f t="shared" si="3"/>
        <v>0.85699999999999998</v>
      </c>
      <c r="CN39" s="4"/>
      <c r="CO39" s="4"/>
      <c r="CP39" s="4"/>
      <c r="CQ39" s="4"/>
      <c r="CR39" s="4"/>
      <c r="CS39" s="4"/>
      <c r="CT39" s="4"/>
      <c r="CU39" s="4"/>
      <c r="CV39" s="73"/>
      <c r="CW39" s="79" t="str">
        <f t="shared" si="76"/>
        <v/>
      </c>
      <c r="CX39" s="4"/>
      <c r="CY39" s="79" t="str">
        <f t="shared" si="77"/>
        <v/>
      </c>
      <c r="CZ39" s="4"/>
      <c r="DA39" s="4"/>
      <c r="DB39" s="4"/>
      <c r="DC39" s="4"/>
      <c r="DD39" s="4">
        <f t="shared" si="52"/>
        <v>40.950000000000003</v>
      </c>
      <c r="DE39" s="79">
        <f t="shared" si="53"/>
        <v>0.81900000000000006</v>
      </c>
      <c r="DF39" s="4">
        <f t="shared" si="54"/>
        <v>40.950000000000003</v>
      </c>
      <c r="DG39" s="79">
        <f t="shared" si="55"/>
        <v>0.81900000000000006</v>
      </c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73">
        <f t="shared" si="56"/>
        <v>45</v>
      </c>
      <c r="DY39" s="79">
        <f t="shared" si="78"/>
        <v>0.9</v>
      </c>
      <c r="DZ39" s="4"/>
      <c r="EA39" s="4"/>
      <c r="EB39" s="4"/>
      <c r="EC39" s="4"/>
      <c r="ED39" s="73">
        <f t="shared" si="57"/>
        <v>41.344999999999999</v>
      </c>
      <c r="EE39" s="81">
        <f t="shared" si="79"/>
        <v>0.82689999999999997</v>
      </c>
      <c r="EF39" s="73"/>
      <c r="EG39" s="81"/>
      <c r="EH39" s="73"/>
      <c r="EI39" s="81" t="str">
        <f t="shared" si="8"/>
        <v/>
      </c>
      <c r="EJ39" s="72"/>
      <c r="EK39" s="81" t="str">
        <f t="shared" si="80"/>
        <v/>
      </c>
      <c r="EL39" s="171"/>
      <c r="EM39" s="81" t="str">
        <f t="shared" si="81"/>
        <v/>
      </c>
      <c r="EN39" s="72">
        <f t="shared" si="58"/>
        <v>30.351099999999999</v>
      </c>
      <c r="EO39" s="81">
        <f t="shared" si="11"/>
        <v>0.82029999999999992</v>
      </c>
      <c r="EP39" s="4"/>
      <c r="EQ39" s="4"/>
      <c r="ER39" s="73">
        <f t="shared" si="59"/>
        <v>27.300900000000002</v>
      </c>
      <c r="ES39" s="79">
        <f t="shared" si="12"/>
        <v>0.82730000000000004</v>
      </c>
      <c r="ET39" s="4">
        <f t="shared" si="60"/>
        <v>25.251000000000001</v>
      </c>
      <c r="EU39" s="79">
        <f t="shared" si="82"/>
        <v>0.8417</v>
      </c>
      <c r="EV39" s="4"/>
      <c r="EW39" s="4"/>
      <c r="EX39" s="4"/>
      <c r="EY39" s="79" t="str">
        <f t="shared" si="83"/>
        <v/>
      </c>
      <c r="EZ39" s="4"/>
      <c r="FA39" s="79" t="str">
        <f t="shared" si="84"/>
        <v/>
      </c>
      <c r="FB39" s="4">
        <f t="shared" si="61"/>
        <v>43.15</v>
      </c>
      <c r="FC39" s="81">
        <f t="shared" si="96"/>
        <v>0.86299999999999999</v>
      </c>
      <c r="FD39" s="4">
        <f t="shared" si="62"/>
        <v>40.950000000000003</v>
      </c>
      <c r="FE39" s="79">
        <f t="shared" si="63"/>
        <v>0.81900000000000006</v>
      </c>
      <c r="FF39" s="72"/>
      <c r="FG39" s="81"/>
      <c r="FH39" s="81"/>
      <c r="FI39" s="81"/>
      <c r="FJ39" s="73" t="str">
        <f>IFERROR(IF(#REF!="","",IFERROR(#REF!*(#REF!/100),""))+IF(#REF!="","",IFERROR(#REF!*(#REF!/100),"")),"")</f>
        <v/>
      </c>
      <c r="FK39" s="81" t="str">
        <f t="shared" si="89"/>
        <v/>
      </c>
      <c r="FL39" s="158">
        <f t="shared" si="90"/>
        <v>155.14350000000002</v>
      </c>
      <c r="FM39" s="159">
        <f t="shared" si="91"/>
        <v>0.83861351351351365</v>
      </c>
      <c r="FN39" s="84"/>
      <c r="FO39" s="84"/>
      <c r="FP39" s="158" t="str">
        <f>IFERROR(IF(#REF!="","",IFERROR(#REF!*(#REF!/100),""))+IF(#REF!="","",IFERROR(#REF!*(#REF!/100),"")),"")</f>
        <v/>
      </c>
      <c r="FQ39" s="159" t="str">
        <f t="shared" si="92"/>
        <v/>
      </c>
      <c r="FR39" s="158" t="str">
        <f>IFERROR(IF(#REF!="","",IFERROR(#REF!*(#REF!/100),"")),"")</f>
        <v/>
      </c>
      <c r="FS39" s="159" t="str">
        <f t="shared" si="93"/>
        <v/>
      </c>
      <c r="FT39" s="157">
        <f t="shared" si="94"/>
        <v>766.20451351351358</v>
      </c>
      <c r="FU39" s="92" t="e">
        <f t="shared" si="95"/>
        <v>#REF!</v>
      </c>
    </row>
    <row r="40" spans="1:177">
      <c r="A40" s="105">
        <v>30</v>
      </c>
      <c r="B40" s="106" t="s">
        <v>239</v>
      </c>
      <c r="C40" s="106" t="s">
        <v>240</v>
      </c>
      <c r="D40" s="66">
        <f>'MK1-TM'!D48</f>
        <v>95.43</v>
      </c>
      <c r="E40" s="66">
        <f>'MK1-TM'!E48</f>
        <v>95.71</v>
      </c>
      <c r="F40" s="66">
        <f>'MK1-TM'!F48</f>
        <v>98.29</v>
      </c>
      <c r="G40" s="66">
        <f t="shared" si="24"/>
        <v>96.548599999999993</v>
      </c>
      <c r="H40" s="83">
        <f>'MK2-TO'!D48</f>
        <v>92.7</v>
      </c>
      <c r="I40" s="83">
        <f>'MK2-TO'!E48</f>
        <v>89.2</v>
      </c>
      <c r="J40" s="83">
        <f t="shared" si="25"/>
        <v>90.95</v>
      </c>
      <c r="K40" s="67">
        <f>'MK3-PSTI'!D49</f>
        <v>90</v>
      </c>
      <c r="L40" s="67">
        <f>'MK3-PSTI'!E49</f>
        <v>82.69</v>
      </c>
      <c r="M40" s="67">
        <f t="shared" si="26"/>
        <v>86.344999999999999</v>
      </c>
      <c r="N40" s="68">
        <f>IF('MK4-L&amp;A'!D48="","",'MK4-L&amp;A'!D48)</f>
        <v>86.76</v>
      </c>
      <c r="O40" s="68">
        <f>'MK4-L&amp;A'!E48</f>
        <v>87.27</v>
      </c>
      <c r="P40" s="68">
        <f>'MK4-L&amp;A'!F48</f>
        <v>88.33</v>
      </c>
      <c r="Q40" s="68">
        <f t="shared" si="27"/>
        <v>87.399299999999997</v>
      </c>
      <c r="R40" s="69">
        <f>'MK5-BP'!D49</f>
        <v>83</v>
      </c>
      <c r="S40" s="69">
        <f>'MK5-BP'!E49</f>
        <v>73</v>
      </c>
      <c r="T40" s="69">
        <f t="shared" si="28"/>
        <v>78</v>
      </c>
      <c r="U40" s="35">
        <f>IF('MK7-MBD'!D47="","",'MK7-MBD'!D47)</f>
        <v>86.3</v>
      </c>
      <c r="V40" s="35">
        <f>IF('MK7-MBD'!E47="","",'MK7-MBD'!E47)</f>
        <v>86.3</v>
      </c>
      <c r="W40" s="35">
        <f t="shared" si="29"/>
        <v>86.3</v>
      </c>
      <c r="X40" s="70">
        <f>IF(MK8_BID!D49="","",MK8_BID!D49)</f>
        <v>79</v>
      </c>
      <c r="Y40" s="70">
        <f>'MK7-MBD'!E47</f>
        <v>86.3</v>
      </c>
      <c r="Z40" s="70">
        <f t="shared" si="30"/>
        <v>82.65</v>
      </c>
      <c r="AB40" s="71">
        <f t="shared" si="85"/>
        <v>156.44890000000001</v>
      </c>
      <c r="AC40" s="72">
        <f t="shared" si="64"/>
        <v>72.766930232558153</v>
      </c>
      <c r="AD40" s="71" t="str">
        <f>IFERROR((#REF!*(#REF!/100)),"")</f>
        <v/>
      </c>
      <c r="AE40" s="72" t="str">
        <f t="shared" si="31"/>
        <v/>
      </c>
      <c r="AF40" s="71">
        <f t="shared" si="86"/>
        <v>73.601200000000006</v>
      </c>
      <c r="AG40" s="72">
        <f t="shared" si="33"/>
        <v>84.599080459770121</v>
      </c>
      <c r="AH40" s="71" t="str">
        <f>IFERROR((#REF!*(#REF!/100)),"")</f>
        <v/>
      </c>
      <c r="AI40" s="72" t="str">
        <f t="shared" si="34"/>
        <v/>
      </c>
      <c r="AJ40" s="72"/>
      <c r="AK40" s="72"/>
      <c r="AL40" s="72"/>
      <c r="AM40" s="72"/>
      <c r="AN40" s="72"/>
      <c r="AO40" s="72"/>
      <c r="AP40" s="72"/>
      <c r="AQ40" s="72"/>
      <c r="AR40" s="71">
        <f t="shared" si="87"/>
        <v>62.998999999999995</v>
      </c>
      <c r="AS40" s="72">
        <f t="shared" si="65"/>
        <v>78.748749999999987</v>
      </c>
      <c r="AT40" s="71" t="str">
        <f>IFERROR((X40*($X$9/100)+#REF!*(#REF!/100)+#REF!*(#REF!/100)),"")</f>
        <v/>
      </c>
      <c r="AU40" s="72" t="str">
        <f t="shared" si="36"/>
        <v/>
      </c>
      <c r="AV40" s="72"/>
      <c r="AW40" s="72"/>
      <c r="AX40" s="71" t="str">
        <f>IFERROR((#REF!*(#REF!/100)+#REF!*(#REF!/100)+#REF!*(#REF!/100)),"")</f>
        <v/>
      </c>
      <c r="AY40" s="72" t="str">
        <f t="shared" si="66"/>
        <v/>
      </c>
      <c r="AZ40" s="71">
        <f t="shared" si="88"/>
        <v>163.4965</v>
      </c>
      <c r="BA40" s="72">
        <f t="shared" si="67"/>
        <v>88.376486486486485</v>
      </c>
      <c r="BB40" s="2" t="str">
        <f>IFERROR((#REF!*(#REF!/100)+#REF!*(#REF!/100)+#REF!*(#REF!/100)),"")</f>
        <v/>
      </c>
      <c r="BC40" s="71" t="str">
        <f t="shared" si="68"/>
        <v/>
      </c>
      <c r="BF40" s="4"/>
      <c r="BG40" s="81" t="str">
        <f t="shared" si="69"/>
        <v/>
      </c>
      <c r="BH40" s="4"/>
      <c r="BI40" s="81" t="str">
        <f t="shared" si="70"/>
        <v/>
      </c>
      <c r="BJ40" s="73"/>
      <c r="BK40" s="81"/>
      <c r="BL40" s="73"/>
      <c r="BM40" s="81" t="str">
        <f t="shared" si="37"/>
        <v/>
      </c>
      <c r="BN40" s="73">
        <f t="shared" si="38"/>
        <v>21.948900000000002</v>
      </c>
      <c r="BO40" s="79">
        <f t="shared" si="39"/>
        <v>0.95430000000000004</v>
      </c>
      <c r="BP40" s="73"/>
      <c r="BQ40" s="79" t="str">
        <f t="shared" si="40"/>
        <v/>
      </c>
      <c r="BR40" s="73">
        <f t="shared" si="41"/>
        <v>40.198199999999993</v>
      </c>
      <c r="BS40" s="79">
        <f t="shared" si="42"/>
        <v>0.95709999999999984</v>
      </c>
      <c r="BT40" s="172">
        <f t="shared" si="43"/>
        <v>34.401499999999999</v>
      </c>
      <c r="BU40" s="79">
        <f t="shared" si="44"/>
        <v>0.9829</v>
      </c>
      <c r="BV40" s="4"/>
      <c r="BW40" s="4"/>
      <c r="BX40" s="73"/>
      <c r="BY40" s="81" t="str">
        <f t="shared" si="45"/>
        <v/>
      </c>
      <c r="BZ40" s="73"/>
      <c r="CA40" s="81"/>
      <c r="CB40" s="73">
        <f t="shared" si="2"/>
        <v>41.5</v>
      </c>
      <c r="CC40" s="81">
        <f t="shared" si="97"/>
        <v>0.83</v>
      </c>
      <c r="CD40" s="4">
        <f t="shared" si="47"/>
        <v>45</v>
      </c>
      <c r="CE40" s="79">
        <f t="shared" si="48"/>
        <v>0.9</v>
      </c>
      <c r="CF40" s="81"/>
      <c r="CG40" s="81"/>
      <c r="CH40" s="72">
        <f t="shared" si="49"/>
        <v>46.35</v>
      </c>
      <c r="CI40" s="81">
        <f t="shared" si="50"/>
        <v>0.92700000000000005</v>
      </c>
      <c r="CJ40" s="81"/>
      <c r="CK40" s="81"/>
      <c r="CL40" s="4">
        <f t="shared" si="51"/>
        <v>44.6</v>
      </c>
      <c r="CM40" s="79">
        <f t="shared" si="3"/>
        <v>0.89200000000000002</v>
      </c>
      <c r="CN40" s="4"/>
      <c r="CO40" s="4"/>
      <c r="CP40" s="4"/>
      <c r="CQ40" s="4"/>
      <c r="CR40" s="4"/>
      <c r="CS40" s="4"/>
      <c r="CT40" s="4"/>
      <c r="CU40" s="4"/>
      <c r="CV40" s="73"/>
      <c r="CW40" s="79" t="str">
        <f t="shared" si="76"/>
        <v/>
      </c>
      <c r="CX40" s="4"/>
      <c r="CY40" s="79" t="str">
        <f t="shared" si="77"/>
        <v/>
      </c>
      <c r="CZ40" s="4"/>
      <c r="DA40" s="4"/>
      <c r="DB40" s="4"/>
      <c r="DC40" s="4"/>
      <c r="DD40" s="4">
        <f t="shared" si="52"/>
        <v>43.15</v>
      </c>
      <c r="DE40" s="79">
        <f t="shared" si="53"/>
        <v>0.86299999999999999</v>
      </c>
      <c r="DF40" s="4">
        <f t="shared" si="54"/>
        <v>43.15</v>
      </c>
      <c r="DG40" s="79">
        <f t="shared" si="55"/>
        <v>0.86299999999999999</v>
      </c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73">
        <f t="shared" si="56"/>
        <v>45</v>
      </c>
      <c r="DY40" s="79">
        <f t="shared" si="78"/>
        <v>0.9</v>
      </c>
      <c r="DZ40" s="4"/>
      <c r="EA40" s="4"/>
      <c r="EB40" s="4"/>
      <c r="EC40" s="4"/>
      <c r="ED40" s="73">
        <f t="shared" si="57"/>
        <v>41.344999999999999</v>
      </c>
      <c r="EE40" s="81">
        <f t="shared" si="79"/>
        <v>0.82689999999999997</v>
      </c>
      <c r="EF40" s="73"/>
      <c r="EG40" s="81"/>
      <c r="EH40" s="73"/>
      <c r="EI40" s="81" t="str">
        <f t="shared" si="8"/>
        <v/>
      </c>
      <c r="EJ40" s="72"/>
      <c r="EK40" s="81" t="str">
        <f t="shared" si="80"/>
        <v/>
      </c>
      <c r="EL40" s="171"/>
      <c r="EM40" s="81" t="str">
        <f t="shared" si="81"/>
        <v/>
      </c>
      <c r="EN40" s="72">
        <f t="shared" si="58"/>
        <v>32.101199999999999</v>
      </c>
      <c r="EO40" s="81">
        <f t="shared" si="11"/>
        <v>0.86759999999999993</v>
      </c>
      <c r="EP40" s="4"/>
      <c r="EQ40" s="4"/>
      <c r="ER40" s="73">
        <f t="shared" si="59"/>
        <v>28.799099999999999</v>
      </c>
      <c r="ES40" s="79">
        <f t="shared" si="12"/>
        <v>0.87270000000000003</v>
      </c>
      <c r="ET40" s="4">
        <f t="shared" si="60"/>
        <v>26.498999999999999</v>
      </c>
      <c r="EU40" s="79">
        <f t="shared" si="82"/>
        <v>0.88329999999999997</v>
      </c>
      <c r="EV40" s="4"/>
      <c r="EW40" s="4"/>
      <c r="EX40" s="4"/>
      <c r="EY40" s="79" t="str">
        <f t="shared" si="83"/>
        <v/>
      </c>
      <c r="EZ40" s="4"/>
      <c r="FA40" s="79" t="str">
        <f t="shared" si="84"/>
        <v/>
      </c>
      <c r="FB40" s="4">
        <f t="shared" si="61"/>
        <v>39.5</v>
      </c>
      <c r="FC40" s="81">
        <f t="shared" si="96"/>
        <v>0.79</v>
      </c>
      <c r="FD40" s="4">
        <f t="shared" si="62"/>
        <v>43.15</v>
      </c>
      <c r="FE40" s="79">
        <f t="shared" si="63"/>
        <v>0.86299999999999999</v>
      </c>
      <c r="FF40" s="72"/>
      <c r="FG40" s="81"/>
      <c r="FH40" s="81"/>
      <c r="FI40" s="81"/>
      <c r="FJ40" s="73" t="str">
        <f>IFERROR(IF(#REF!="","",IFERROR(#REF!*(#REF!/100),""))+IF(#REF!="","",IFERROR(#REF!*(#REF!/100),"")),"")</f>
        <v/>
      </c>
      <c r="FK40" s="81" t="str">
        <f t="shared" si="89"/>
        <v/>
      </c>
      <c r="FL40" s="158">
        <f t="shared" si="90"/>
        <v>163.4965</v>
      </c>
      <c r="FM40" s="159">
        <f t="shared" si="91"/>
        <v>0.88376486486486483</v>
      </c>
      <c r="FN40" s="84"/>
      <c r="FO40" s="84"/>
      <c r="FP40" s="158" t="str">
        <f>IFERROR(IF(#REF!="","",IFERROR(#REF!*(#REF!/100),""))+IF(#REF!="","",IFERROR(#REF!*(#REF!/100),"")),"")</f>
        <v/>
      </c>
      <c r="FQ40" s="159" t="str">
        <f t="shared" si="92"/>
        <v/>
      </c>
      <c r="FR40" s="158" t="str">
        <f>IFERROR(IF(#REF!="","",IFERROR(#REF!*(#REF!/100),"")),"")</f>
        <v/>
      </c>
      <c r="FS40" s="159" t="str">
        <f t="shared" si="93"/>
        <v/>
      </c>
      <c r="FT40" s="157">
        <f t="shared" si="94"/>
        <v>795.24596486486473</v>
      </c>
      <c r="FU40" s="92" t="e">
        <f t="shared" si="95"/>
        <v>#REF!</v>
      </c>
    </row>
    <row r="41" spans="1:177">
      <c r="A41" s="105">
        <v>31</v>
      </c>
      <c r="B41" s="106" t="s">
        <v>241</v>
      </c>
      <c r="C41" s="106" t="s">
        <v>242</v>
      </c>
      <c r="D41" s="66">
        <f>'MK1-TM'!D49</f>
        <v>88.48</v>
      </c>
      <c r="E41" s="66">
        <f>'MK1-TM'!E49</f>
        <v>86.31</v>
      </c>
      <c r="F41" s="66">
        <f>'MK1-TM'!F49</f>
        <v>84.86</v>
      </c>
      <c r="G41" s="66">
        <f t="shared" si="24"/>
        <v>86.301599999999993</v>
      </c>
      <c r="H41" s="83">
        <f>'MK2-TO'!D49</f>
        <v>91.9</v>
      </c>
      <c r="I41" s="83">
        <f>'MK2-TO'!E49</f>
        <v>92.1</v>
      </c>
      <c r="J41" s="83">
        <f t="shared" si="25"/>
        <v>92</v>
      </c>
      <c r="K41" s="67">
        <f>'MK3-PSTI'!D50</f>
        <v>90</v>
      </c>
      <c r="L41" s="67">
        <f>'MK3-PSTI'!E50</f>
        <v>82.05</v>
      </c>
      <c r="M41" s="67">
        <f t="shared" si="26"/>
        <v>86.025000000000006</v>
      </c>
      <c r="N41" s="68">
        <f>IF('MK4-L&amp;A'!D49="","",'MK4-L&amp;A'!D49)</f>
        <v>85.81</v>
      </c>
      <c r="O41" s="68">
        <f>'MK4-L&amp;A'!E49</f>
        <v>86.36</v>
      </c>
      <c r="P41" s="68">
        <f>'MK4-L&amp;A'!F49</f>
        <v>87.5</v>
      </c>
      <c r="Q41" s="68">
        <f t="shared" si="27"/>
        <v>86.498500000000007</v>
      </c>
      <c r="R41" s="69">
        <f>'MK5-BP'!D50</f>
        <v>83</v>
      </c>
      <c r="S41" s="69">
        <f>'MK5-BP'!E50</f>
        <v>73</v>
      </c>
      <c r="T41" s="69">
        <f t="shared" si="28"/>
        <v>78</v>
      </c>
      <c r="U41" s="35">
        <f>IF('MK7-MBD'!D48="","",'MK7-MBD'!D48)</f>
        <v>79</v>
      </c>
      <c r="V41" s="35">
        <f>IF('MK7-MBD'!E48="","",'MK7-MBD'!E48)</f>
        <v>79</v>
      </c>
      <c r="W41" s="35">
        <f t="shared" si="29"/>
        <v>79</v>
      </c>
      <c r="X41" s="70">
        <f>IF(MK8_BID!D50="","",MK8_BID!D50)</f>
        <v>79.2</v>
      </c>
      <c r="Y41" s="70">
        <f>'MK7-MBD'!E48</f>
        <v>79</v>
      </c>
      <c r="Z41" s="70">
        <f t="shared" si="30"/>
        <v>79.099999999999994</v>
      </c>
      <c r="AB41" s="71">
        <f t="shared" si="85"/>
        <v>150.8004</v>
      </c>
      <c r="AC41" s="72">
        <f t="shared" si="64"/>
        <v>70.139720930232556</v>
      </c>
      <c r="AD41" s="71" t="str">
        <f>IFERROR((#REF!*(#REF!/100)),"")</f>
        <v/>
      </c>
      <c r="AE41" s="72" t="str">
        <f t="shared" si="31"/>
        <v/>
      </c>
      <c r="AF41" s="71">
        <f t="shared" si="86"/>
        <v>73.249700000000004</v>
      </c>
      <c r="AG41" s="72">
        <f t="shared" si="33"/>
        <v>84.195057471264363</v>
      </c>
      <c r="AH41" s="71" t="str">
        <f>IFERROR((#REF!*(#REF!/100)),"")</f>
        <v/>
      </c>
      <c r="AI41" s="72" t="str">
        <f t="shared" si="34"/>
        <v/>
      </c>
      <c r="AJ41" s="72"/>
      <c r="AK41" s="72"/>
      <c r="AL41" s="72"/>
      <c r="AM41" s="72"/>
      <c r="AN41" s="72"/>
      <c r="AO41" s="72"/>
      <c r="AP41" s="72"/>
      <c r="AQ41" s="72"/>
      <c r="AR41" s="71">
        <f t="shared" si="87"/>
        <v>62.75</v>
      </c>
      <c r="AS41" s="72">
        <f t="shared" si="65"/>
        <v>78.4375</v>
      </c>
      <c r="AT41" s="71" t="str">
        <f>IFERROR((X41*($X$9/100)+#REF!*(#REF!/100)+#REF!*(#REF!/100)),"")</f>
        <v/>
      </c>
      <c r="AU41" s="72" t="str">
        <f t="shared" si="36"/>
        <v/>
      </c>
      <c r="AV41" s="72"/>
      <c r="AW41" s="72"/>
      <c r="AX41" s="71" t="str">
        <f>IFERROR((#REF!*(#REF!/100)+#REF!*(#REF!/100)+#REF!*(#REF!/100)),"")</f>
        <v/>
      </c>
      <c r="AY41" s="72" t="str">
        <f t="shared" si="66"/>
        <v/>
      </c>
      <c r="AZ41" s="71">
        <f t="shared" si="88"/>
        <v>156.27599999999998</v>
      </c>
      <c r="BA41" s="72">
        <f t="shared" si="67"/>
        <v>84.473513513513495</v>
      </c>
      <c r="BB41" s="2" t="str">
        <f>IFERROR((#REF!*(#REF!/100)+#REF!*(#REF!/100)+#REF!*(#REF!/100)),"")</f>
        <v/>
      </c>
      <c r="BC41" s="71" t="str">
        <f t="shared" si="68"/>
        <v/>
      </c>
      <c r="BF41" s="4"/>
      <c r="BG41" s="81" t="str">
        <f t="shared" si="69"/>
        <v/>
      </c>
      <c r="BH41" s="4"/>
      <c r="BI41" s="81" t="str">
        <f t="shared" si="70"/>
        <v/>
      </c>
      <c r="BJ41" s="73"/>
      <c r="BK41" s="81"/>
      <c r="BL41" s="73"/>
      <c r="BM41" s="81" t="str">
        <f t="shared" si="37"/>
        <v/>
      </c>
      <c r="BN41" s="73">
        <f t="shared" si="38"/>
        <v>20.3504</v>
      </c>
      <c r="BO41" s="79">
        <f t="shared" si="39"/>
        <v>0.88480000000000003</v>
      </c>
      <c r="BP41" s="73"/>
      <c r="BQ41" s="79" t="str">
        <f t="shared" si="40"/>
        <v/>
      </c>
      <c r="BR41" s="73">
        <f t="shared" si="41"/>
        <v>36.2502</v>
      </c>
      <c r="BS41" s="79">
        <f t="shared" si="42"/>
        <v>0.86309999999999998</v>
      </c>
      <c r="BT41" s="172">
        <f t="shared" si="43"/>
        <v>29.700999999999997</v>
      </c>
      <c r="BU41" s="79">
        <f t="shared" si="44"/>
        <v>0.84859999999999991</v>
      </c>
      <c r="BV41" s="4"/>
      <c r="BW41" s="4"/>
      <c r="BX41" s="73"/>
      <c r="BY41" s="81" t="str">
        <f t="shared" si="45"/>
        <v/>
      </c>
      <c r="BZ41" s="73"/>
      <c r="CA41" s="81"/>
      <c r="CB41" s="73">
        <f t="shared" si="2"/>
        <v>41.5</v>
      </c>
      <c r="CC41" s="81">
        <f t="shared" si="97"/>
        <v>0.83</v>
      </c>
      <c r="CD41" s="4">
        <f t="shared" si="47"/>
        <v>45</v>
      </c>
      <c r="CE41" s="79">
        <f t="shared" si="48"/>
        <v>0.9</v>
      </c>
      <c r="CF41" s="81"/>
      <c r="CG41" s="81"/>
      <c r="CH41" s="72">
        <f t="shared" si="49"/>
        <v>45.95</v>
      </c>
      <c r="CI41" s="81">
        <f t="shared" si="50"/>
        <v>0.91900000000000004</v>
      </c>
      <c r="CJ41" s="81"/>
      <c r="CK41" s="81"/>
      <c r="CL41" s="4">
        <f t="shared" si="51"/>
        <v>46.05</v>
      </c>
      <c r="CM41" s="79">
        <f t="shared" si="3"/>
        <v>0.92099999999999993</v>
      </c>
      <c r="CN41" s="4"/>
      <c r="CO41" s="4"/>
      <c r="CP41" s="4"/>
      <c r="CQ41" s="4"/>
      <c r="CR41" s="4"/>
      <c r="CS41" s="4"/>
      <c r="CT41" s="4"/>
      <c r="CU41" s="4"/>
      <c r="CV41" s="73"/>
      <c r="CW41" s="79" t="str">
        <f t="shared" si="76"/>
        <v/>
      </c>
      <c r="CX41" s="4"/>
      <c r="CY41" s="79" t="str">
        <f t="shared" si="77"/>
        <v/>
      </c>
      <c r="CZ41" s="4"/>
      <c r="DA41" s="4"/>
      <c r="DB41" s="4"/>
      <c r="DC41" s="4"/>
      <c r="DD41" s="4">
        <f t="shared" si="52"/>
        <v>39.5</v>
      </c>
      <c r="DE41" s="79">
        <f t="shared" si="53"/>
        <v>0.79</v>
      </c>
      <c r="DF41" s="4">
        <f t="shared" si="54"/>
        <v>39.5</v>
      </c>
      <c r="DG41" s="79">
        <f t="shared" si="55"/>
        <v>0.79</v>
      </c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73">
        <f t="shared" si="56"/>
        <v>45</v>
      </c>
      <c r="DY41" s="79">
        <f t="shared" si="78"/>
        <v>0.9</v>
      </c>
      <c r="DZ41" s="4"/>
      <c r="EA41" s="4"/>
      <c r="EB41" s="4"/>
      <c r="EC41" s="4"/>
      <c r="ED41" s="73">
        <f t="shared" si="57"/>
        <v>41.024999999999999</v>
      </c>
      <c r="EE41" s="81">
        <f t="shared" si="79"/>
        <v>0.82050000000000001</v>
      </c>
      <c r="EF41" s="73"/>
      <c r="EG41" s="81"/>
      <c r="EH41" s="73"/>
      <c r="EI41" s="81" t="str">
        <f t="shared" si="8"/>
        <v/>
      </c>
      <c r="EJ41" s="72"/>
      <c r="EK41" s="81" t="str">
        <f t="shared" si="80"/>
        <v/>
      </c>
      <c r="EL41" s="171"/>
      <c r="EM41" s="81" t="str">
        <f t="shared" si="81"/>
        <v/>
      </c>
      <c r="EN41" s="72">
        <f t="shared" si="58"/>
        <v>31.749700000000001</v>
      </c>
      <c r="EO41" s="81">
        <f t="shared" si="11"/>
        <v>0.85809999999999997</v>
      </c>
      <c r="EP41" s="4"/>
      <c r="EQ41" s="4"/>
      <c r="ER41" s="73">
        <f t="shared" si="59"/>
        <v>28.498800000000003</v>
      </c>
      <c r="ES41" s="79">
        <f t="shared" si="12"/>
        <v>0.86360000000000003</v>
      </c>
      <c r="ET41" s="4">
        <f t="shared" si="60"/>
        <v>26.25</v>
      </c>
      <c r="EU41" s="79">
        <f t="shared" si="82"/>
        <v>0.875</v>
      </c>
      <c r="EV41" s="4"/>
      <c r="EW41" s="4"/>
      <c r="EX41" s="4"/>
      <c r="EY41" s="79" t="str">
        <f t="shared" si="83"/>
        <v/>
      </c>
      <c r="EZ41" s="4"/>
      <c r="FA41" s="79" t="str">
        <f t="shared" si="84"/>
        <v/>
      </c>
      <c r="FB41" s="4">
        <f t="shared" si="61"/>
        <v>39.6</v>
      </c>
      <c r="FC41" s="81">
        <f t="shared" si="96"/>
        <v>0.79200000000000004</v>
      </c>
      <c r="FD41" s="4">
        <f t="shared" si="62"/>
        <v>39.5</v>
      </c>
      <c r="FE41" s="79">
        <f t="shared" si="63"/>
        <v>0.79</v>
      </c>
      <c r="FF41" s="72"/>
      <c r="FG41" s="81"/>
      <c r="FH41" s="81"/>
      <c r="FI41" s="81"/>
      <c r="FJ41" s="73" t="str">
        <f>IFERROR(IF(#REF!="","",IFERROR(#REF!*(#REF!/100),""))+IF(#REF!="","",IFERROR(#REF!*(#REF!/100),"")),"")</f>
        <v/>
      </c>
      <c r="FK41" s="81" t="str">
        <f t="shared" si="89"/>
        <v/>
      </c>
      <c r="FL41" s="158">
        <f t="shared" si="90"/>
        <v>156.27599999999998</v>
      </c>
      <c r="FM41" s="159">
        <f t="shared" si="91"/>
        <v>0.84473513513513498</v>
      </c>
      <c r="FN41" s="84"/>
      <c r="FO41" s="84"/>
      <c r="FP41" s="158" t="str">
        <f>IFERROR(IF(#REF!="","",IFERROR(#REF!*(#REF!/100),""))+IF(#REF!="","",IFERROR(#REF!*(#REF!/100),"")),"")</f>
        <v/>
      </c>
      <c r="FQ41" s="159" t="str">
        <f t="shared" si="92"/>
        <v/>
      </c>
      <c r="FR41" s="158" t="str">
        <f>IFERROR(IF(#REF!="","",IFERROR(#REF!*(#REF!/100),"")),"")</f>
        <v/>
      </c>
      <c r="FS41" s="159" t="str">
        <f t="shared" si="93"/>
        <v/>
      </c>
      <c r="FT41" s="157">
        <f t="shared" si="94"/>
        <v>766.19153513513504</v>
      </c>
      <c r="FU41" s="92" t="e">
        <f t="shared" si="95"/>
        <v>#REF!</v>
      </c>
    </row>
    <row r="42" spans="1:177">
      <c r="A42" s="105">
        <v>32</v>
      </c>
      <c r="B42" s="106" t="s">
        <v>243</v>
      </c>
      <c r="C42" s="106" t="s">
        <v>244</v>
      </c>
      <c r="D42" s="66">
        <f>'MK1-TM'!D50</f>
        <v>90.52</v>
      </c>
      <c r="E42" s="66">
        <f>'MK1-TM'!E50</f>
        <v>88.62</v>
      </c>
      <c r="F42" s="66">
        <f>'MK1-TM'!F50</f>
        <v>84.6</v>
      </c>
      <c r="G42" s="66">
        <f t="shared" si="24"/>
        <v>87.649999999999991</v>
      </c>
      <c r="H42" s="83">
        <f>'MK2-TO'!D50</f>
        <v>89.3</v>
      </c>
      <c r="I42" s="83">
        <f>'MK2-TO'!E50</f>
        <v>88.4</v>
      </c>
      <c r="J42" s="83">
        <f t="shared" si="25"/>
        <v>88.85</v>
      </c>
      <c r="K42" s="67">
        <f>'MK3-PSTI'!D51</f>
        <v>90</v>
      </c>
      <c r="L42" s="67">
        <f>'MK3-PSTI'!E51</f>
        <v>82.69</v>
      </c>
      <c r="M42" s="67">
        <f t="shared" si="26"/>
        <v>86.344999999999999</v>
      </c>
      <c r="N42" s="68">
        <f>IF('MK4-L&amp;A'!D50="","",'MK4-L&amp;A'!D50)</f>
        <v>83.92</v>
      </c>
      <c r="O42" s="68">
        <f>'MK4-L&amp;A'!E50</f>
        <v>84.55</v>
      </c>
      <c r="P42" s="68">
        <f>'MK4-L&amp;A'!F50</f>
        <v>85.83</v>
      </c>
      <c r="Q42" s="68">
        <f t="shared" si="27"/>
        <v>84.70089999999999</v>
      </c>
      <c r="R42" s="69">
        <f>'MK5-BP'!D51</f>
        <v>84.9</v>
      </c>
      <c r="S42" s="69">
        <f>'MK5-BP'!E51</f>
        <v>65.400000000000006</v>
      </c>
      <c r="T42" s="69">
        <f t="shared" si="28"/>
        <v>75.150000000000006</v>
      </c>
      <c r="U42" s="35">
        <f>IF('MK7-MBD'!D49="","",'MK7-MBD'!D49)</f>
        <v>79.2</v>
      </c>
      <c r="V42" s="35">
        <f>IF('MK7-MBD'!E49="","",'MK7-MBD'!E49)</f>
        <v>79.2</v>
      </c>
      <c r="W42" s="35">
        <f t="shared" si="29"/>
        <v>79.2</v>
      </c>
      <c r="X42" s="70">
        <f>IF(MK8_BID!D51="","",MK8_BID!D51)</f>
        <v>89.7</v>
      </c>
      <c r="Y42" s="70">
        <f>'MK7-MBD'!E49</f>
        <v>79.2</v>
      </c>
      <c r="Z42" s="70">
        <f t="shared" si="30"/>
        <v>84.45</v>
      </c>
      <c r="AB42" s="71">
        <f t="shared" si="85"/>
        <v>150.06960000000001</v>
      </c>
      <c r="AC42" s="72">
        <f t="shared" si="64"/>
        <v>69.799813953488382</v>
      </c>
      <c r="AD42" s="71" t="str">
        <f>IFERROR((#REF!*(#REF!/100)),"")</f>
        <v/>
      </c>
      <c r="AE42" s="72" t="str">
        <f t="shared" si="31"/>
        <v/>
      </c>
      <c r="AF42" s="71">
        <f t="shared" si="86"/>
        <v>73.500399999999999</v>
      </c>
      <c r="AG42" s="72">
        <f t="shared" si="33"/>
        <v>84.483218390804595</v>
      </c>
      <c r="AH42" s="71" t="str">
        <f>IFERROR((#REF!*(#REF!/100)),"")</f>
        <v/>
      </c>
      <c r="AI42" s="72" t="str">
        <f t="shared" si="34"/>
        <v/>
      </c>
      <c r="AJ42" s="72"/>
      <c r="AK42" s="72"/>
      <c r="AL42" s="72"/>
      <c r="AM42" s="72"/>
      <c r="AN42" s="72"/>
      <c r="AO42" s="72"/>
      <c r="AP42" s="72"/>
      <c r="AQ42" s="72"/>
      <c r="AR42" s="71">
        <f t="shared" si="87"/>
        <v>58.448999999999998</v>
      </c>
      <c r="AS42" s="72">
        <f t="shared" si="65"/>
        <v>73.061250000000001</v>
      </c>
      <c r="AT42" s="71" t="str">
        <f>IFERROR((X42*($X$9/100)+#REF!*(#REF!/100)+#REF!*(#REF!/100)),"")</f>
        <v/>
      </c>
      <c r="AU42" s="72" t="str">
        <f t="shared" si="36"/>
        <v/>
      </c>
      <c r="AV42" s="72"/>
      <c r="AW42" s="72"/>
      <c r="AX42" s="71" t="str">
        <f>IFERROR((#REF!*(#REF!/100)+#REF!*(#REF!/100)+#REF!*(#REF!/100)),"")</f>
        <v/>
      </c>
      <c r="AY42" s="72" t="str">
        <f t="shared" si="66"/>
        <v/>
      </c>
      <c r="AZ42" s="71">
        <f t="shared" si="88"/>
        <v>154.755</v>
      </c>
      <c r="BA42" s="72">
        <f t="shared" si="67"/>
        <v>83.651351351351337</v>
      </c>
      <c r="BB42" s="2" t="str">
        <f>IFERROR((#REF!*(#REF!/100)+#REF!*(#REF!/100)+#REF!*(#REF!/100)),"")</f>
        <v/>
      </c>
      <c r="BC42" s="71" t="str">
        <f t="shared" si="68"/>
        <v/>
      </c>
      <c r="BF42" s="4"/>
      <c r="BG42" s="81" t="str">
        <f t="shared" si="69"/>
        <v/>
      </c>
      <c r="BH42" s="4"/>
      <c r="BI42" s="81" t="str">
        <f t="shared" si="70"/>
        <v/>
      </c>
      <c r="BJ42" s="73"/>
      <c r="BK42" s="81"/>
      <c r="BL42" s="73"/>
      <c r="BM42" s="81" t="str">
        <f t="shared" si="37"/>
        <v/>
      </c>
      <c r="BN42" s="73">
        <f t="shared" si="38"/>
        <v>20.819600000000001</v>
      </c>
      <c r="BO42" s="79">
        <f t="shared" si="39"/>
        <v>0.9052</v>
      </c>
      <c r="BP42" s="73"/>
      <c r="BQ42" s="79" t="str">
        <f t="shared" si="40"/>
        <v/>
      </c>
      <c r="BR42" s="73">
        <f t="shared" si="41"/>
        <v>37.220399999999998</v>
      </c>
      <c r="BS42" s="79">
        <f t="shared" si="42"/>
        <v>0.88619999999999999</v>
      </c>
      <c r="BT42" s="172">
        <f>IFERROR(IF(F42="","",IFERROR(F42*($F$9/100),"")),"")</f>
        <v>29.609999999999996</v>
      </c>
      <c r="BU42" s="79">
        <f t="shared" si="44"/>
        <v>0.84599999999999986</v>
      </c>
      <c r="BV42" s="4"/>
      <c r="BW42" s="4"/>
      <c r="BX42" s="73"/>
      <c r="BY42" s="81" t="str">
        <f t="shared" si="45"/>
        <v/>
      </c>
      <c r="BZ42" s="73"/>
      <c r="CA42" s="81"/>
      <c r="CB42" s="73">
        <f t="shared" si="2"/>
        <v>42.45</v>
      </c>
      <c r="CC42" s="81">
        <f t="shared" si="97"/>
        <v>0.84900000000000009</v>
      </c>
      <c r="CD42" s="4">
        <f t="shared" si="47"/>
        <v>45</v>
      </c>
      <c r="CE42" s="79">
        <f>IF(CD42="","",CD42/$CD$9)</f>
        <v>0.9</v>
      </c>
      <c r="CF42" s="81"/>
      <c r="CG42" s="81"/>
      <c r="CH42" s="72">
        <f t="shared" si="49"/>
        <v>44.65</v>
      </c>
      <c r="CI42" s="81">
        <f t="shared" si="50"/>
        <v>0.89300000000000002</v>
      </c>
      <c r="CJ42" s="81"/>
      <c r="CK42" s="81"/>
      <c r="CL42" s="4">
        <f t="shared" si="51"/>
        <v>44.2</v>
      </c>
      <c r="CM42" s="79">
        <f t="shared" si="3"/>
        <v>0.88400000000000001</v>
      </c>
      <c r="CN42" s="4"/>
      <c r="CO42" s="4"/>
      <c r="CP42" s="4"/>
      <c r="CQ42" s="4"/>
      <c r="CR42" s="4"/>
      <c r="CS42" s="4"/>
      <c r="CT42" s="4"/>
      <c r="CU42" s="4"/>
      <c r="CV42" s="73"/>
      <c r="CW42" s="79" t="str">
        <f t="shared" si="76"/>
        <v/>
      </c>
      <c r="CX42" s="4"/>
      <c r="CY42" s="79" t="str">
        <f t="shared" si="77"/>
        <v/>
      </c>
      <c r="CZ42" s="4"/>
      <c r="DA42" s="4"/>
      <c r="DB42" s="4"/>
      <c r="DC42" s="4"/>
      <c r="DD42" s="4">
        <f t="shared" si="52"/>
        <v>39.6</v>
      </c>
      <c r="DE42" s="79">
        <f t="shared" si="53"/>
        <v>0.79200000000000004</v>
      </c>
      <c r="DF42" s="4">
        <f t="shared" si="54"/>
        <v>39.6</v>
      </c>
      <c r="DG42" s="79">
        <f t="shared" si="55"/>
        <v>0.79200000000000004</v>
      </c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73">
        <f t="shared" si="56"/>
        <v>45</v>
      </c>
      <c r="DY42" s="79">
        <f t="shared" si="78"/>
        <v>0.9</v>
      </c>
      <c r="DZ42" s="4"/>
      <c r="EA42" s="4"/>
      <c r="EB42" s="4"/>
      <c r="EC42" s="4"/>
      <c r="ED42" s="73">
        <f t="shared" si="57"/>
        <v>41.344999999999999</v>
      </c>
      <c r="EE42" s="81">
        <f t="shared" si="79"/>
        <v>0.82689999999999997</v>
      </c>
      <c r="EF42" s="73"/>
      <c r="EG42" s="81"/>
      <c r="EH42" s="73"/>
      <c r="EI42" s="81" t="str">
        <f t="shared" si="8"/>
        <v/>
      </c>
      <c r="EJ42" s="72"/>
      <c r="EK42" s="81" t="str">
        <f t="shared" si="80"/>
        <v/>
      </c>
      <c r="EL42" s="171"/>
      <c r="EM42" s="81" t="str">
        <f t="shared" si="81"/>
        <v/>
      </c>
      <c r="EN42" s="72">
        <f t="shared" si="58"/>
        <v>31.0504</v>
      </c>
      <c r="EO42" s="81">
        <f t="shared" si="11"/>
        <v>0.83919999999999995</v>
      </c>
      <c r="EP42" s="4"/>
      <c r="EQ42" s="4"/>
      <c r="ER42" s="73">
        <f t="shared" si="59"/>
        <v>27.901499999999999</v>
      </c>
      <c r="ES42" s="79">
        <f t="shared" si="12"/>
        <v>0.84549999999999992</v>
      </c>
      <c r="ET42" s="4">
        <f t="shared" si="60"/>
        <v>25.748999999999999</v>
      </c>
      <c r="EU42" s="79">
        <f t="shared" si="82"/>
        <v>0.85829999999999995</v>
      </c>
      <c r="EV42" s="4"/>
      <c r="EW42" s="4"/>
      <c r="EX42" s="4"/>
      <c r="EY42" s="79" t="str">
        <f t="shared" si="83"/>
        <v/>
      </c>
      <c r="EZ42" s="4"/>
      <c r="FA42" s="79" t="str">
        <f t="shared" si="84"/>
        <v/>
      </c>
      <c r="FB42" s="4">
        <f>IF(X42="","",IFERROR(X42*($X$9/100),""))</f>
        <v>44.85</v>
      </c>
      <c r="FC42" s="81">
        <f t="shared" si="96"/>
        <v>0.89700000000000002</v>
      </c>
      <c r="FD42" s="4">
        <f t="shared" si="62"/>
        <v>39.6</v>
      </c>
      <c r="FE42" s="79">
        <f t="shared" si="63"/>
        <v>0.79200000000000004</v>
      </c>
      <c r="FF42" s="72"/>
      <c r="FG42" s="81"/>
      <c r="FH42" s="81"/>
      <c r="FI42" s="81"/>
      <c r="FJ42" s="73" t="str">
        <f>IFERROR(IF(#REF!="","",IFERROR(#REF!*(#REF!/100),""))+IF(#REF!="","",IFERROR(#REF!*(#REF!/100),"")),"")</f>
        <v/>
      </c>
      <c r="FK42" s="81" t="str">
        <f t="shared" si="89"/>
        <v/>
      </c>
      <c r="FL42" s="158">
        <f t="shared" si="90"/>
        <v>154.755</v>
      </c>
      <c r="FM42" s="159">
        <f t="shared" si="91"/>
        <v>0.83651351351351344</v>
      </c>
      <c r="FN42" s="84"/>
      <c r="FO42" s="84"/>
      <c r="FP42" s="158" t="str">
        <f>IFERROR(IF(#REF!="","",IFERROR(#REF!*(#REF!/100),""))+IF(#REF!="","",IFERROR(#REF!*(#REF!/100),"")),"")</f>
        <v/>
      </c>
      <c r="FQ42" s="159" t="str">
        <f t="shared" si="92"/>
        <v/>
      </c>
      <c r="FR42" s="158" t="str">
        <f>IFERROR(IF(#REF!="","",IFERROR(#REF!*(#REF!/100),"")),"")</f>
        <v/>
      </c>
      <c r="FS42" s="159" t="str">
        <f t="shared" si="93"/>
        <v/>
      </c>
      <c r="FT42" s="157">
        <f t="shared" si="94"/>
        <v>767.94371351351367</v>
      </c>
      <c r="FU42" s="92" t="e">
        <f t="shared" si="95"/>
        <v>#REF!</v>
      </c>
    </row>
    <row r="43" spans="1:177" ht="14.5" thickBot="1">
      <c r="BF43" s="4" t="str">
        <f t="shared" ref="BF43:BF53" si="98">IF(U43="","",IFERROR(U43*($U$9/100),""))</f>
        <v/>
      </c>
      <c r="BH43" s="4" t="str">
        <f t="shared" ref="BH43:BH53" si="99">IF(X43="","",IFERROR(X43*($BH$9/100),""))</f>
        <v/>
      </c>
      <c r="BP43" s="4" t="str">
        <f t="shared" ref="BP43:BP53" si="100">IF(F43="","",IFERROR(F43*($F$9/100),""))</f>
        <v/>
      </c>
      <c r="BQ43" s="79" t="str">
        <f t="shared" ref="BQ43:BQ53" si="101">IF(BP43="","",BP43/$BP$9)</f>
        <v/>
      </c>
      <c r="CV43" s="73" t="str">
        <f t="shared" ref="CV43:CV53" si="102">IF(N43="","",IFERROR(N43*($N$9/100),""))</f>
        <v/>
      </c>
      <c r="CW43" s="79" t="str">
        <f t="shared" si="76"/>
        <v/>
      </c>
      <c r="CX43" s="4" t="str">
        <f t="shared" ref="CX43:CX53" si="103">IF(P43="","",IFERROR(P43*($P$9/100),""))</f>
        <v/>
      </c>
      <c r="CY43" s="79" t="str">
        <f t="shared" si="77"/>
        <v/>
      </c>
      <c r="DX43" s="73" t="str">
        <f t="shared" ref="DX43:DX53" si="104">IF(K43="","",IFERROR(K43*($K$9/100),""))</f>
        <v/>
      </c>
      <c r="DY43" s="79" t="str">
        <f t="shared" si="78"/>
        <v/>
      </c>
      <c r="ED43" s="73" t="str">
        <f t="shared" ref="ED43:ED53" si="105">IF(L43="","",IFERROR(L43*($L$9/100),""))</f>
        <v/>
      </c>
      <c r="EH43" s="73"/>
      <c r="EJ43" s="72"/>
      <c r="EK43" s="81"/>
      <c r="EL43" s="171"/>
      <c r="EM43" s="81"/>
      <c r="EN43" s="72"/>
      <c r="ER43" s="73"/>
      <c r="ES43" s="79"/>
      <c r="EU43" s="4" t="str">
        <f t="shared" si="82"/>
        <v/>
      </c>
      <c r="EX43" s="4" t="str">
        <f t="shared" ref="EX43:EX53" si="106">IF(R43="","",IFERROR(R43*($R$9/100),""))</f>
        <v/>
      </c>
      <c r="EY43" s="79" t="str">
        <f t="shared" si="83"/>
        <v/>
      </c>
      <c r="EZ43" s="4" t="str">
        <f t="shared" ref="EZ43:EZ53" si="107">IF(S43="","",IFERROR(S43*($S$9/100),""))</f>
        <v/>
      </c>
      <c r="FA43" s="79" t="str">
        <f t="shared" si="84"/>
        <v/>
      </c>
      <c r="FD43" s="72"/>
      <c r="FE43" s="81"/>
      <c r="FF43" s="72"/>
      <c r="FG43" s="81"/>
    </row>
    <row r="44" spans="1:177" ht="14.5" hidden="1" thickBot="1">
      <c r="D44" s="33" t="str">
        <f>D8</f>
        <v>CPMK022</v>
      </c>
      <c r="F44" s="33" t="str">
        <f>F8</f>
        <v>CPMK025</v>
      </c>
      <c r="H44" s="33" t="str">
        <f>H8</f>
        <v>CPMK44</v>
      </c>
      <c r="I44" s="33" t="str">
        <f>I8</f>
        <v>CPMK46</v>
      </c>
      <c r="K44" s="33" t="str">
        <f>K8</f>
        <v>CPMK81</v>
      </c>
      <c r="L44" s="33" t="str">
        <f>L8</f>
        <v>CPMK91</v>
      </c>
      <c r="N44" s="33" t="str">
        <f>N8</f>
        <v>CPMK104</v>
      </c>
      <c r="P44" s="33" t="str">
        <f>P8</f>
        <v>CPMK112</v>
      </c>
      <c r="R44" s="33" t="str">
        <f>R8</f>
        <v>CPMK41</v>
      </c>
      <c r="S44" s="33" t="str">
        <f>S8</f>
        <v>CPMK42</v>
      </c>
      <c r="U44" s="33" t="str">
        <f>U8</f>
        <v>CPMK61</v>
      </c>
      <c r="V44" s="33" t="str">
        <f>V8</f>
        <v>CPMK62</v>
      </c>
      <c r="X44" s="33" t="str">
        <f>X8</f>
        <v>CPMK121</v>
      </c>
      <c r="BF44" s="4" t="str">
        <f t="shared" si="98"/>
        <v/>
      </c>
      <c r="BH44" s="4" t="str">
        <f t="shared" si="99"/>
        <v/>
      </c>
      <c r="BP44" s="4" t="str">
        <f t="shared" si="100"/>
        <v/>
      </c>
      <c r="BQ44" s="79" t="str">
        <f t="shared" si="101"/>
        <v/>
      </c>
      <c r="CV44" s="73" t="str">
        <f t="shared" si="102"/>
        <v/>
      </c>
      <c r="CW44" s="79" t="str">
        <f t="shared" si="76"/>
        <v/>
      </c>
      <c r="CX44" s="4" t="str">
        <f t="shared" si="103"/>
        <v/>
      </c>
      <c r="CY44" s="79" t="str">
        <f t="shared" si="77"/>
        <v/>
      </c>
      <c r="DX44" s="73" t="str">
        <f t="shared" si="104"/>
        <v/>
      </c>
      <c r="DY44" s="79" t="str">
        <f t="shared" si="78"/>
        <v/>
      </c>
      <c r="ED44" s="73" t="str">
        <f t="shared" si="105"/>
        <v/>
      </c>
      <c r="EH44" s="73" t="str">
        <f t="shared" ref="EH44:EH53" si="108">IF(H44="","",IFERROR(H44*($H$9/100),""))</f>
        <v/>
      </c>
      <c r="EJ44" s="72" t="e">
        <f>IF(#REF!="","",IFERROR(#REF!*(#REF!/100),""))</f>
        <v>#REF!</v>
      </c>
      <c r="EK44" s="81" t="e">
        <f t="shared" ref="EK44:EK53" si="109">IF(EJ44="","",EJ44/$EJ$9)</f>
        <v>#REF!</v>
      </c>
      <c r="EL44" s="171" t="e">
        <f>IF(#REF!="","",IFERROR(#REF!*(#REF!/100),""))</f>
        <v>#REF!</v>
      </c>
      <c r="EM44" s="81" t="e">
        <f t="shared" ref="EM44:EM53" si="110">IF(EL44="","",EL44/$EL$9)</f>
        <v>#REF!</v>
      </c>
      <c r="EN44" s="89" t="e">
        <f>IF(#REF!="","",IFERROR(#REF!*(#REF!/100),""))</f>
        <v>#REF!</v>
      </c>
      <c r="ER44" s="73" t="str">
        <f>IF(I37="","",IFERROR(I44*($I$9/100),""))</f>
        <v/>
      </c>
      <c r="ES44" s="79" t="e">
        <f t="shared" ref="ES44:ES53" si="111">IF(EL44="","",EL44/$EL$9)</f>
        <v>#REF!</v>
      </c>
      <c r="EU44" s="4" t="str">
        <f t="shared" si="82"/>
        <v/>
      </c>
      <c r="EX44" s="4" t="str">
        <f t="shared" si="106"/>
        <v/>
      </c>
      <c r="EY44" s="79" t="str">
        <f t="shared" si="83"/>
        <v/>
      </c>
      <c r="EZ44" s="4" t="str">
        <f t="shared" si="107"/>
        <v/>
      </c>
      <c r="FA44" s="79" t="str">
        <f t="shared" si="84"/>
        <v/>
      </c>
      <c r="FD44" s="72" t="e">
        <f>IF(#REF!="","",IFERROR(#REF!*(#REF!/100),""))</f>
        <v>#REF!</v>
      </c>
      <c r="FE44" s="81" t="e">
        <f t="shared" ref="FE44:FE53" si="112">IF(FD44="","",FD44/$FD$9)</f>
        <v>#REF!</v>
      </c>
      <c r="FF44" s="72" t="e">
        <f>IF(#REF!="","",IFERROR(#REF!*(#REF!/100),""))</f>
        <v>#REF!</v>
      </c>
      <c r="FG44" s="81" t="e">
        <f t="shared" ref="FG44:FG53" si="113">IF(FF44="","",FF44/$FF$9)</f>
        <v>#REF!</v>
      </c>
    </row>
    <row r="45" spans="1:177" ht="14.5" hidden="1" thickBot="1">
      <c r="C45" s="38" t="s">
        <v>167</v>
      </c>
      <c r="D45" s="39">
        <f>COUNTIF(D11:D40,$C$45)</f>
        <v>3</v>
      </c>
      <c r="E45" s="39"/>
      <c r="F45" s="39">
        <f t="shared" ref="F45:N45" si="114">COUNTIF(F11:F40,$C$45)</f>
        <v>6</v>
      </c>
      <c r="G45" s="39">
        <f t="shared" si="114"/>
        <v>4</v>
      </c>
      <c r="H45" s="39">
        <f t="shared" si="114"/>
        <v>4</v>
      </c>
      <c r="I45" s="39">
        <f t="shared" si="114"/>
        <v>3</v>
      </c>
      <c r="J45" s="39">
        <f t="shared" si="114"/>
        <v>3</v>
      </c>
      <c r="K45" s="39">
        <f t="shared" si="114"/>
        <v>2</v>
      </c>
      <c r="L45" s="39">
        <f t="shared" si="114"/>
        <v>2</v>
      </c>
      <c r="M45" s="39">
        <f t="shared" si="114"/>
        <v>1</v>
      </c>
      <c r="N45" s="39">
        <f t="shared" si="114"/>
        <v>3</v>
      </c>
      <c r="O45" s="39"/>
      <c r="P45" s="39">
        <f t="shared" ref="P45:X45" si="115">COUNTIF(P11:P40,$C$45)</f>
        <v>4</v>
      </c>
      <c r="Q45" s="39">
        <f t="shared" si="115"/>
        <v>4</v>
      </c>
      <c r="R45" s="39">
        <f t="shared" si="115"/>
        <v>1</v>
      </c>
      <c r="S45" s="39">
        <f t="shared" si="115"/>
        <v>1</v>
      </c>
      <c r="T45" s="39">
        <f t="shared" si="115"/>
        <v>1</v>
      </c>
      <c r="U45" s="39">
        <f t="shared" si="115"/>
        <v>6</v>
      </c>
      <c r="V45" s="39">
        <f t="shared" si="115"/>
        <v>1</v>
      </c>
      <c r="W45" s="39">
        <f t="shared" si="115"/>
        <v>1</v>
      </c>
      <c r="X45" s="39">
        <f t="shared" si="115"/>
        <v>6</v>
      </c>
      <c r="Y45" s="39"/>
      <c r="Z45" s="39">
        <f>COUNTIF(Z11:Z40,$C$45)</f>
        <v>1</v>
      </c>
      <c r="BF45" s="4">
        <f t="shared" si="98"/>
        <v>3</v>
      </c>
      <c r="BH45" s="4">
        <f t="shared" si="99"/>
        <v>0</v>
      </c>
      <c r="BP45" s="4">
        <f t="shared" si="100"/>
        <v>2.0999999999999996</v>
      </c>
      <c r="BQ45" s="79" t="e">
        <f t="shared" si="101"/>
        <v>#DIV/0!</v>
      </c>
      <c r="CV45" s="73">
        <f t="shared" si="102"/>
        <v>1.1099999999999999</v>
      </c>
      <c r="CW45" s="79">
        <f t="shared" si="76"/>
        <v>2.9999999999999995E-2</v>
      </c>
      <c r="CX45" s="4">
        <f t="shared" si="103"/>
        <v>1.2</v>
      </c>
      <c r="CY45" s="79">
        <f t="shared" si="77"/>
        <v>2.4E-2</v>
      </c>
      <c r="DX45" s="73">
        <f t="shared" si="104"/>
        <v>1</v>
      </c>
      <c r="DY45" s="79">
        <f t="shared" si="78"/>
        <v>0.02</v>
      </c>
      <c r="ED45" s="73">
        <f t="shared" si="105"/>
        <v>1</v>
      </c>
      <c r="EH45" s="73">
        <f t="shared" si="108"/>
        <v>2</v>
      </c>
      <c r="EJ45" s="72" t="e">
        <f>IF(#REF!="","",IFERROR(#REF!*(#REF!/100),""))</f>
        <v>#REF!</v>
      </c>
      <c r="EK45" s="81" t="e">
        <f t="shared" si="109"/>
        <v>#REF!</v>
      </c>
      <c r="EL45" s="171" t="e">
        <f>IF(#REF!="","",IFERROR(#REF!*(#REF!/100),""))</f>
        <v>#REF!</v>
      </c>
      <c r="EM45" s="81" t="e">
        <f t="shared" si="110"/>
        <v>#REF!</v>
      </c>
      <c r="EN45" s="89" t="e">
        <f>IF(#REF!="","",IFERROR(#REF!*(#REF!/100),""))</f>
        <v>#REF!</v>
      </c>
      <c r="ER45" s="73">
        <f>IF(I38="","",IFERROR(I45*($I$9/100),""))</f>
        <v>1.5</v>
      </c>
      <c r="ES45" s="79" t="e">
        <f t="shared" si="111"/>
        <v>#REF!</v>
      </c>
      <c r="EU45" s="4" t="str">
        <f t="shared" si="82"/>
        <v/>
      </c>
      <c r="EX45" s="4">
        <f t="shared" si="106"/>
        <v>0.5</v>
      </c>
      <c r="EY45" s="79">
        <f t="shared" si="83"/>
        <v>0.01</v>
      </c>
      <c r="EZ45" s="4">
        <f t="shared" si="107"/>
        <v>0.5</v>
      </c>
      <c r="FA45" s="79">
        <f t="shared" si="84"/>
        <v>0.01</v>
      </c>
      <c r="FD45" s="72" t="e">
        <f>IF(#REF!="","",IFERROR(#REF!*(#REF!/100),""))</f>
        <v>#REF!</v>
      </c>
      <c r="FE45" s="81" t="e">
        <f t="shared" si="112"/>
        <v>#REF!</v>
      </c>
      <c r="FF45" s="72" t="e">
        <f>IF(#REF!="","",IFERROR(#REF!*(#REF!/100),""))</f>
        <v>#REF!</v>
      </c>
      <c r="FG45" s="81" t="e">
        <f t="shared" si="113"/>
        <v>#REF!</v>
      </c>
    </row>
    <row r="46" spans="1:177" ht="14.5" hidden="1" thickBot="1">
      <c r="C46" s="40" t="s">
        <v>95</v>
      </c>
      <c r="D46" s="41">
        <f>COUNTIF(D11:D40,$C$46)-D45</f>
        <v>19</v>
      </c>
      <c r="E46" s="41"/>
      <c r="F46" s="41">
        <f t="shared" ref="F46:N46" si="116">COUNTIF(F11:F40,$C$46)-F45</f>
        <v>17</v>
      </c>
      <c r="G46" s="41">
        <f t="shared" si="116"/>
        <v>21</v>
      </c>
      <c r="H46" s="41">
        <f t="shared" si="116"/>
        <v>17</v>
      </c>
      <c r="I46" s="41">
        <f t="shared" si="116"/>
        <v>20</v>
      </c>
      <c r="J46" s="41">
        <f t="shared" si="116"/>
        <v>20</v>
      </c>
      <c r="K46" s="41">
        <f t="shared" si="116"/>
        <v>20</v>
      </c>
      <c r="L46" s="41">
        <f t="shared" si="116"/>
        <v>26</v>
      </c>
      <c r="M46" s="41">
        <f t="shared" si="116"/>
        <v>23</v>
      </c>
      <c r="N46" s="41">
        <f t="shared" si="116"/>
        <v>23</v>
      </c>
      <c r="O46" s="41"/>
      <c r="P46" s="41">
        <f t="shared" ref="P46:X46" si="117">COUNTIF(P11:P40,$C$46)-P45</f>
        <v>18</v>
      </c>
      <c r="Q46" s="41">
        <f t="shared" si="117"/>
        <v>22</v>
      </c>
      <c r="R46" s="41">
        <f t="shared" si="117"/>
        <v>17</v>
      </c>
      <c r="S46" s="41">
        <f t="shared" si="117"/>
        <v>18</v>
      </c>
      <c r="T46" s="41">
        <f t="shared" si="117"/>
        <v>17</v>
      </c>
      <c r="U46" s="41">
        <f t="shared" si="117"/>
        <v>22</v>
      </c>
      <c r="V46" s="41">
        <f t="shared" si="117"/>
        <v>15</v>
      </c>
      <c r="W46" s="41">
        <f t="shared" si="117"/>
        <v>23</v>
      </c>
      <c r="X46" s="41">
        <f t="shared" si="117"/>
        <v>22</v>
      </c>
      <c r="Y46" s="41"/>
      <c r="Z46" s="41">
        <f>COUNTIF(Z11:Z40,$C$46)-Z45</f>
        <v>24</v>
      </c>
      <c r="BF46" s="4">
        <f t="shared" si="98"/>
        <v>11</v>
      </c>
      <c r="BH46" s="4">
        <f t="shared" si="99"/>
        <v>0</v>
      </c>
      <c r="BP46" s="4">
        <f t="shared" si="100"/>
        <v>5.9499999999999993</v>
      </c>
      <c r="BQ46" s="79" t="e">
        <f t="shared" si="101"/>
        <v>#DIV/0!</v>
      </c>
      <c r="CV46" s="73">
        <f t="shared" si="102"/>
        <v>8.51</v>
      </c>
      <c r="CW46" s="79">
        <f t="shared" si="76"/>
        <v>0.22999999999999998</v>
      </c>
      <c r="CX46" s="4">
        <f t="shared" si="103"/>
        <v>5.3999999999999995</v>
      </c>
      <c r="CY46" s="79">
        <f t="shared" si="77"/>
        <v>0.10799999999999998</v>
      </c>
      <c r="DX46" s="73">
        <f t="shared" si="104"/>
        <v>10</v>
      </c>
      <c r="DY46" s="79">
        <f t="shared" si="78"/>
        <v>0.2</v>
      </c>
      <c r="ED46" s="73">
        <f t="shared" si="105"/>
        <v>13</v>
      </c>
      <c r="EH46" s="73">
        <f t="shared" si="108"/>
        <v>8.5</v>
      </c>
      <c r="EJ46" s="72" t="e">
        <f>IF(#REF!="","",IFERROR(#REF!*(#REF!/100),""))</f>
        <v>#REF!</v>
      </c>
      <c r="EK46" s="81" t="e">
        <f t="shared" si="109"/>
        <v>#REF!</v>
      </c>
      <c r="EL46" s="171" t="e">
        <f>IF(#REF!="","",IFERROR(#REF!*(#REF!/100),""))</f>
        <v>#REF!</v>
      </c>
      <c r="EM46" s="81" t="e">
        <f t="shared" si="110"/>
        <v>#REF!</v>
      </c>
      <c r="EN46" s="89" t="e">
        <f>IF(#REF!="","",IFERROR(#REF!*(#REF!/100),""))</f>
        <v>#REF!</v>
      </c>
      <c r="ER46" s="73" t="e">
        <f>IF(#REF!="","",IFERROR(I46*($I$9/100),""))</f>
        <v>#REF!</v>
      </c>
      <c r="ES46" s="79" t="e">
        <f t="shared" si="111"/>
        <v>#REF!</v>
      </c>
      <c r="EU46" s="4" t="str">
        <f t="shared" si="82"/>
        <v/>
      </c>
      <c r="EX46" s="4">
        <f t="shared" si="106"/>
        <v>8.5</v>
      </c>
      <c r="EY46" s="79">
        <f t="shared" si="83"/>
        <v>0.17</v>
      </c>
      <c r="EZ46" s="4">
        <f t="shared" si="107"/>
        <v>9</v>
      </c>
      <c r="FA46" s="79">
        <f t="shared" si="84"/>
        <v>0.18</v>
      </c>
      <c r="FD46" s="72" t="e">
        <f>IF(#REF!="","",IFERROR(#REF!*(#REF!/100),""))</f>
        <v>#REF!</v>
      </c>
      <c r="FE46" s="81" t="e">
        <f t="shared" si="112"/>
        <v>#REF!</v>
      </c>
      <c r="FF46" s="72" t="e">
        <f>IF(#REF!="","",IFERROR(#REF!*(#REF!/100),""))</f>
        <v>#REF!</v>
      </c>
      <c r="FG46" s="81" t="e">
        <f t="shared" si="113"/>
        <v>#REF!</v>
      </c>
    </row>
    <row r="47" spans="1:177" ht="14.5" hidden="1" thickBot="1">
      <c r="C47" s="43" t="s">
        <v>96</v>
      </c>
      <c r="D47" s="44">
        <f>COUNTIF(D11:D40,$C$47)</f>
        <v>8</v>
      </c>
      <c r="E47" s="44"/>
      <c r="F47" s="44">
        <f t="shared" ref="F47:N47" si="118">COUNTIF(F11:F40,$C$47)</f>
        <v>7</v>
      </c>
      <c r="G47" s="44">
        <f t="shared" si="118"/>
        <v>5</v>
      </c>
      <c r="H47" s="44">
        <f t="shared" si="118"/>
        <v>9</v>
      </c>
      <c r="I47" s="44">
        <f t="shared" si="118"/>
        <v>7</v>
      </c>
      <c r="J47" s="44">
        <f t="shared" si="118"/>
        <v>7</v>
      </c>
      <c r="K47" s="44">
        <f t="shared" si="118"/>
        <v>8</v>
      </c>
      <c r="L47" s="44">
        <f t="shared" si="118"/>
        <v>2</v>
      </c>
      <c r="M47" s="44">
        <f t="shared" si="118"/>
        <v>6</v>
      </c>
      <c r="N47" s="44">
        <f t="shared" si="118"/>
        <v>4</v>
      </c>
      <c r="O47" s="44"/>
      <c r="P47" s="44">
        <f t="shared" ref="P47:X47" si="119">COUNTIF(P11:P40,$C$47)</f>
        <v>8</v>
      </c>
      <c r="Q47" s="44">
        <f t="shared" si="119"/>
        <v>4</v>
      </c>
      <c r="R47" s="44">
        <f t="shared" si="119"/>
        <v>12</v>
      </c>
      <c r="S47" s="44">
        <f t="shared" si="119"/>
        <v>11</v>
      </c>
      <c r="T47" s="44">
        <f t="shared" si="119"/>
        <v>12</v>
      </c>
      <c r="U47" s="44">
        <f t="shared" si="119"/>
        <v>2</v>
      </c>
      <c r="V47" s="44">
        <f t="shared" si="119"/>
        <v>14</v>
      </c>
      <c r="W47" s="44">
        <f t="shared" si="119"/>
        <v>6</v>
      </c>
      <c r="X47" s="44">
        <f t="shared" si="119"/>
        <v>2</v>
      </c>
      <c r="Y47" s="44"/>
      <c r="Z47" s="44">
        <f>COUNTIF(Z11:Z40,$C$47)</f>
        <v>5</v>
      </c>
      <c r="BF47" s="4">
        <f t="shared" si="98"/>
        <v>1</v>
      </c>
      <c r="BH47" s="4">
        <f t="shared" si="99"/>
        <v>0</v>
      </c>
      <c r="BP47" s="4">
        <f t="shared" si="100"/>
        <v>2.4499999999999997</v>
      </c>
      <c r="BQ47" s="79" t="e">
        <f t="shared" si="101"/>
        <v>#DIV/0!</v>
      </c>
      <c r="CV47" s="73">
        <f t="shared" si="102"/>
        <v>1.48</v>
      </c>
      <c r="CW47" s="79">
        <f t="shared" si="76"/>
        <v>0.04</v>
      </c>
      <c r="CX47" s="4">
        <f t="shared" si="103"/>
        <v>2.4</v>
      </c>
      <c r="CY47" s="79">
        <f t="shared" si="77"/>
        <v>4.8000000000000001E-2</v>
      </c>
      <c r="DX47" s="73">
        <f t="shared" si="104"/>
        <v>4</v>
      </c>
      <c r="DY47" s="79">
        <f t="shared" si="78"/>
        <v>0.08</v>
      </c>
      <c r="ED47" s="73">
        <f t="shared" si="105"/>
        <v>1</v>
      </c>
      <c r="EH47" s="73">
        <f t="shared" si="108"/>
        <v>4.5</v>
      </c>
      <c r="EJ47" s="72" t="e">
        <f>IF(#REF!="","",IFERROR(#REF!*(#REF!/100),""))</f>
        <v>#REF!</v>
      </c>
      <c r="EK47" s="81" t="e">
        <f t="shared" si="109"/>
        <v>#REF!</v>
      </c>
      <c r="EL47" s="171" t="e">
        <f>IF(#REF!="","",IFERROR(#REF!*(#REF!/100),""))</f>
        <v>#REF!</v>
      </c>
      <c r="EM47" s="81" t="e">
        <f t="shared" si="110"/>
        <v>#REF!</v>
      </c>
      <c r="EN47" s="89" t="e">
        <f>IF(#REF!="","",IFERROR(#REF!*(#REF!/100),""))</f>
        <v>#REF!</v>
      </c>
      <c r="ER47" s="73">
        <f>IF(I39="","",IFERROR(I47*($I$9/100),""))</f>
        <v>3.5</v>
      </c>
      <c r="ES47" s="79" t="e">
        <f t="shared" si="111"/>
        <v>#REF!</v>
      </c>
      <c r="EU47" s="4" t="str">
        <f t="shared" si="82"/>
        <v/>
      </c>
      <c r="EX47" s="4">
        <f t="shared" si="106"/>
        <v>6</v>
      </c>
      <c r="EY47" s="79">
        <f t="shared" si="83"/>
        <v>0.12</v>
      </c>
      <c r="EZ47" s="4">
        <f t="shared" si="107"/>
        <v>5.5</v>
      </c>
      <c r="FA47" s="79">
        <f t="shared" si="84"/>
        <v>0.11</v>
      </c>
      <c r="FD47" s="72" t="e">
        <f>IF(#REF!="","",IFERROR(#REF!*(#REF!/100),""))</f>
        <v>#REF!</v>
      </c>
      <c r="FE47" s="81" t="e">
        <f t="shared" si="112"/>
        <v>#REF!</v>
      </c>
      <c r="FF47" s="72" t="e">
        <f>IF(#REF!="","",IFERROR(#REF!*(#REF!/100),""))</f>
        <v>#REF!</v>
      </c>
      <c r="FG47" s="81" t="e">
        <f t="shared" si="113"/>
        <v>#REF!</v>
      </c>
    </row>
    <row r="48" spans="1:177" ht="14.5" hidden="1" thickBot="1">
      <c r="C48" s="45" t="s">
        <v>74</v>
      </c>
      <c r="D48" s="46">
        <f t="shared" ref="D48:Z48" si="120">SUM(D45:D47)</f>
        <v>30</v>
      </c>
      <c r="E48" s="46"/>
      <c r="F48" s="46">
        <f t="shared" si="120"/>
        <v>30</v>
      </c>
      <c r="G48" s="46">
        <f t="shared" si="120"/>
        <v>30</v>
      </c>
      <c r="H48" s="46">
        <f t="shared" si="120"/>
        <v>30</v>
      </c>
      <c r="I48" s="46">
        <f t="shared" si="120"/>
        <v>30</v>
      </c>
      <c r="J48" s="46">
        <f t="shared" si="120"/>
        <v>30</v>
      </c>
      <c r="K48" s="46">
        <f t="shared" si="120"/>
        <v>30</v>
      </c>
      <c r="L48" s="46">
        <f t="shared" si="120"/>
        <v>30</v>
      </c>
      <c r="M48" s="46">
        <f t="shared" si="120"/>
        <v>30</v>
      </c>
      <c r="N48" s="46">
        <f t="shared" si="120"/>
        <v>30</v>
      </c>
      <c r="O48" s="46"/>
      <c r="P48" s="46">
        <f t="shared" si="120"/>
        <v>30</v>
      </c>
      <c r="Q48" s="46">
        <f t="shared" si="120"/>
        <v>30</v>
      </c>
      <c r="R48" s="46">
        <f t="shared" si="120"/>
        <v>30</v>
      </c>
      <c r="S48" s="46">
        <f t="shared" si="120"/>
        <v>30</v>
      </c>
      <c r="T48" s="46">
        <f t="shared" si="120"/>
        <v>30</v>
      </c>
      <c r="U48" s="46">
        <f t="shared" si="120"/>
        <v>30</v>
      </c>
      <c r="V48" s="46">
        <f t="shared" si="120"/>
        <v>30</v>
      </c>
      <c r="W48" s="46">
        <f t="shared" si="120"/>
        <v>30</v>
      </c>
      <c r="X48" s="46">
        <f t="shared" si="120"/>
        <v>30</v>
      </c>
      <c r="Y48" s="46"/>
      <c r="Z48" s="46">
        <f t="shared" si="120"/>
        <v>30</v>
      </c>
      <c r="BF48" s="4">
        <f t="shared" si="98"/>
        <v>15</v>
      </c>
      <c r="BH48" s="4">
        <f t="shared" si="99"/>
        <v>0</v>
      </c>
      <c r="BP48" s="4">
        <f t="shared" si="100"/>
        <v>10.5</v>
      </c>
      <c r="BQ48" s="79" t="e">
        <f t="shared" si="101"/>
        <v>#DIV/0!</v>
      </c>
      <c r="CV48" s="73">
        <f t="shared" si="102"/>
        <v>11.1</v>
      </c>
      <c r="CW48" s="79">
        <f t="shared" si="76"/>
        <v>0.3</v>
      </c>
      <c r="CX48" s="4">
        <f t="shared" si="103"/>
        <v>9</v>
      </c>
      <c r="CY48" s="79">
        <f t="shared" si="77"/>
        <v>0.18</v>
      </c>
      <c r="DX48" s="73">
        <f t="shared" si="104"/>
        <v>15</v>
      </c>
      <c r="DY48" s="79">
        <f t="shared" si="78"/>
        <v>0.3</v>
      </c>
      <c r="ED48" s="73">
        <f t="shared" si="105"/>
        <v>15</v>
      </c>
      <c r="EH48" s="73">
        <f t="shared" si="108"/>
        <v>15</v>
      </c>
      <c r="EJ48" s="72" t="e">
        <f>IF(#REF!="","",IFERROR(#REF!*(#REF!/100),""))</f>
        <v>#REF!</v>
      </c>
      <c r="EK48" s="81" t="e">
        <f t="shared" si="109"/>
        <v>#REF!</v>
      </c>
      <c r="EL48" s="171" t="e">
        <f>IF(#REF!="","",IFERROR(#REF!*(#REF!/100),""))</f>
        <v>#REF!</v>
      </c>
      <c r="EM48" s="81" t="e">
        <f t="shared" si="110"/>
        <v>#REF!</v>
      </c>
      <c r="EN48" s="89" t="e">
        <f>IF(#REF!="","",IFERROR(#REF!*(#REF!/100),""))</f>
        <v>#REF!</v>
      </c>
      <c r="ER48" s="73">
        <f>IF(I40="","",IFERROR(I48*($I$9/100),""))</f>
        <v>15</v>
      </c>
      <c r="ES48" s="79" t="e">
        <f t="shared" si="111"/>
        <v>#REF!</v>
      </c>
      <c r="EU48" s="4" t="str">
        <f t="shared" si="82"/>
        <v/>
      </c>
      <c r="EX48" s="4">
        <f t="shared" si="106"/>
        <v>15</v>
      </c>
      <c r="EY48" s="79">
        <f t="shared" si="83"/>
        <v>0.3</v>
      </c>
      <c r="EZ48" s="4">
        <f t="shared" si="107"/>
        <v>15</v>
      </c>
      <c r="FA48" s="79">
        <f t="shared" si="84"/>
        <v>0.3</v>
      </c>
      <c r="FD48" s="72" t="e">
        <f>IF(#REF!="","",IFERROR(#REF!*(#REF!/100),""))</f>
        <v>#REF!</v>
      </c>
      <c r="FE48" s="81" t="e">
        <f t="shared" si="112"/>
        <v>#REF!</v>
      </c>
      <c r="FF48" s="72" t="e">
        <f>IF(#REF!="","",IFERROR(#REF!*(#REF!/100),""))</f>
        <v>#REF!</v>
      </c>
      <c r="FG48" s="81" t="e">
        <f t="shared" si="113"/>
        <v>#REF!</v>
      </c>
    </row>
    <row r="49" spans="3:177" ht="14.5" hidden="1" thickBot="1">
      <c r="C49" s="47"/>
      <c r="D49" s="47"/>
      <c r="E49" s="47"/>
      <c r="F49" s="47"/>
      <c r="G49" s="47"/>
      <c r="BF49" s="4" t="str">
        <f t="shared" si="98"/>
        <v/>
      </c>
      <c r="BH49" s="4" t="str">
        <f t="shared" si="99"/>
        <v/>
      </c>
      <c r="BP49" s="4" t="str">
        <f t="shared" si="100"/>
        <v/>
      </c>
      <c r="BQ49" s="79" t="str">
        <f t="shared" si="101"/>
        <v/>
      </c>
      <c r="CV49" s="73" t="str">
        <f t="shared" si="102"/>
        <v/>
      </c>
      <c r="CW49" s="79" t="str">
        <f t="shared" si="76"/>
        <v/>
      </c>
      <c r="CX49" s="4" t="str">
        <f t="shared" si="103"/>
        <v/>
      </c>
      <c r="CY49" s="79" t="str">
        <f t="shared" si="77"/>
        <v/>
      </c>
      <c r="DX49" s="73" t="str">
        <f t="shared" si="104"/>
        <v/>
      </c>
      <c r="DY49" s="79" t="str">
        <f t="shared" si="78"/>
        <v/>
      </c>
      <c r="ED49" s="73" t="str">
        <f t="shared" si="105"/>
        <v/>
      </c>
      <c r="EH49" s="73" t="str">
        <f t="shared" si="108"/>
        <v/>
      </c>
      <c r="EJ49" s="72" t="e">
        <f>IF(#REF!="","",IFERROR(#REF!*(#REF!/100),""))</f>
        <v>#REF!</v>
      </c>
      <c r="EK49" s="81" t="e">
        <f t="shared" si="109"/>
        <v>#REF!</v>
      </c>
      <c r="EL49" s="171" t="e">
        <f>IF(#REF!="","",IFERROR(#REF!*(#REF!/100),""))</f>
        <v>#REF!</v>
      </c>
      <c r="EM49" s="81" t="e">
        <f t="shared" si="110"/>
        <v>#REF!</v>
      </c>
      <c r="EN49" s="89" t="e">
        <f>IF(#REF!="","",IFERROR(#REF!*(#REF!/100),""))</f>
        <v>#REF!</v>
      </c>
      <c r="ER49" s="73">
        <f>IF(I41="","",IFERROR(I49*($I$9/100),""))</f>
        <v>0</v>
      </c>
      <c r="ES49" s="79" t="e">
        <f t="shared" si="111"/>
        <v>#REF!</v>
      </c>
      <c r="EU49" s="4" t="str">
        <f t="shared" si="82"/>
        <v/>
      </c>
      <c r="EX49" s="4" t="str">
        <f t="shared" si="106"/>
        <v/>
      </c>
      <c r="EY49" s="79" t="str">
        <f t="shared" si="83"/>
        <v/>
      </c>
      <c r="EZ49" s="4" t="str">
        <f t="shared" si="107"/>
        <v/>
      </c>
      <c r="FA49" s="79" t="str">
        <f t="shared" si="84"/>
        <v/>
      </c>
      <c r="FD49" s="72" t="e">
        <f>IF(#REF!="","",IFERROR(#REF!*(#REF!/100),""))</f>
        <v>#REF!</v>
      </c>
      <c r="FE49" s="81" t="e">
        <f t="shared" si="112"/>
        <v>#REF!</v>
      </c>
      <c r="FF49" s="72" t="e">
        <f>IF(#REF!="","",IFERROR(#REF!*(#REF!/100),""))</f>
        <v>#REF!</v>
      </c>
      <c r="FG49" s="81" t="e">
        <f t="shared" si="113"/>
        <v>#REF!</v>
      </c>
    </row>
    <row r="50" spans="3:177" ht="14.5" hidden="1" thickBot="1">
      <c r="C50" s="48" t="s">
        <v>97</v>
      </c>
      <c r="D50" s="49">
        <f>(D46+D47)/D48</f>
        <v>0.9</v>
      </c>
      <c r="E50" s="49"/>
      <c r="F50" s="49">
        <f t="shared" ref="F50:Z50" si="121">(F46+F47)/F48</f>
        <v>0.8</v>
      </c>
      <c r="G50" s="49">
        <f t="shared" si="121"/>
        <v>0.8666666666666667</v>
      </c>
      <c r="H50" s="49">
        <f t="shared" si="121"/>
        <v>0.8666666666666667</v>
      </c>
      <c r="I50" s="49">
        <f t="shared" si="121"/>
        <v>0.9</v>
      </c>
      <c r="J50" s="49">
        <f t="shared" si="121"/>
        <v>0.9</v>
      </c>
      <c r="K50" s="49">
        <f t="shared" si="121"/>
        <v>0.93333333333333335</v>
      </c>
      <c r="L50" s="49">
        <f t="shared" si="121"/>
        <v>0.93333333333333335</v>
      </c>
      <c r="M50" s="49">
        <f t="shared" si="121"/>
        <v>0.96666666666666667</v>
      </c>
      <c r="N50" s="49">
        <f t="shared" si="121"/>
        <v>0.9</v>
      </c>
      <c r="O50" s="49"/>
      <c r="P50" s="49">
        <f t="shared" si="121"/>
        <v>0.8666666666666667</v>
      </c>
      <c r="Q50" s="49">
        <f t="shared" si="121"/>
        <v>0.8666666666666667</v>
      </c>
      <c r="R50" s="49">
        <f t="shared" si="121"/>
        <v>0.96666666666666667</v>
      </c>
      <c r="S50" s="49">
        <f t="shared" si="121"/>
        <v>0.96666666666666667</v>
      </c>
      <c r="T50" s="49">
        <f t="shared" si="121"/>
        <v>0.96666666666666667</v>
      </c>
      <c r="U50" s="49">
        <f t="shared" si="121"/>
        <v>0.8</v>
      </c>
      <c r="V50" s="49">
        <f t="shared" si="121"/>
        <v>0.96666666666666667</v>
      </c>
      <c r="W50" s="49">
        <f t="shared" si="121"/>
        <v>0.96666666666666667</v>
      </c>
      <c r="X50" s="49">
        <f t="shared" si="121"/>
        <v>0.8</v>
      </c>
      <c r="Y50" s="49"/>
      <c r="Z50" s="49">
        <f t="shared" si="121"/>
        <v>0.96666666666666667</v>
      </c>
      <c r="BF50" s="4">
        <f t="shared" si="98"/>
        <v>0.4</v>
      </c>
      <c r="BH50" s="4">
        <f t="shared" si="99"/>
        <v>0</v>
      </c>
      <c r="BP50" s="4">
        <f t="shared" si="100"/>
        <v>0.27999999999999997</v>
      </c>
      <c r="BQ50" s="79" t="e">
        <f t="shared" si="101"/>
        <v>#DIV/0!</v>
      </c>
      <c r="CV50" s="73">
        <f t="shared" si="102"/>
        <v>0.33300000000000002</v>
      </c>
      <c r="CW50" s="79">
        <f t="shared" si="76"/>
        <v>9.0000000000000011E-3</v>
      </c>
      <c r="CX50" s="4">
        <f t="shared" si="103"/>
        <v>0.26</v>
      </c>
      <c r="CY50" s="79">
        <f t="shared" si="77"/>
        <v>5.1999999999999998E-3</v>
      </c>
      <c r="DX50" s="73">
        <f t="shared" si="104"/>
        <v>0.46666666666666667</v>
      </c>
      <c r="DY50" s="79">
        <f t="shared" si="78"/>
        <v>9.3333333333333341E-3</v>
      </c>
      <c r="ED50" s="73">
        <f t="shared" si="105"/>
        <v>0.46666666666666667</v>
      </c>
      <c r="EH50" s="73">
        <f t="shared" si="108"/>
        <v>0.43333333333333335</v>
      </c>
      <c r="EJ50" s="72" t="e">
        <f>IF(#REF!="","",IFERROR(#REF!*(#REF!/100),""))</f>
        <v>#REF!</v>
      </c>
      <c r="EK50" s="81" t="e">
        <f t="shared" si="109"/>
        <v>#REF!</v>
      </c>
      <c r="EL50" s="171" t="e">
        <f>IF(#REF!="","",IFERROR(#REF!*(#REF!/100),""))</f>
        <v>#REF!</v>
      </c>
      <c r="EM50" s="81" t="e">
        <f t="shared" si="110"/>
        <v>#REF!</v>
      </c>
      <c r="EN50" s="89" t="e">
        <f>IF(#REF!="","",IFERROR(#REF!*(#REF!/100),""))</f>
        <v>#REF!</v>
      </c>
      <c r="ER50" s="73">
        <f>IF(I42="","",IFERROR(I50*($I$9/100),""))</f>
        <v>0.45</v>
      </c>
      <c r="ES50" s="79" t="e">
        <f t="shared" si="111"/>
        <v>#REF!</v>
      </c>
      <c r="EU50" s="4" t="str">
        <f t="shared" si="82"/>
        <v/>
      </c>
      <c r="EX50" s="4">
        <f t="shared" si="106"/>
        <v>0.48333333333333334</v>
      </c>
      <c r="EY50" s="79">
        <f t="shared" si="83"/>
        <v>9.6666666666666672E-3</v>
      </c>
      <c r="EZ50" s="4">
        <f t="shared" si="107"/>
        <v>0.48333333333333334</v>
      </c>
      <c r="FA50" s="79">
        <f t="shared" si="84"/>
        <v>9.6666666666666672E-3</v>
      </c>
      <c r="FD50" s="72" t="e">
        <f>IF(#REF!="","",IFERROR(#REF!*(#REF!/100),""))</f>
        <v>#REF!</v>
      </c>
      <c r="FE50" s="81" t="e">
        <f t="shared" si="112"/>
        <v>#REF!</v>
      </c>
      <c r="FF50" s="72" t="e">
        <f>IF(#REF!="","",IFERROR(#REF!*(#REF!/100),""))</f>
        <v>#REF!</v>
      </c>
      <c r="FG50" s="81" t="e">
        <f t="shared" si="113"/>
        <v>#REF!</v>
      </c>
    </row>
    <row r="51" spans="3:177" ht="14.5" hidden="1" thickBot="1">
      <c r="C51" s="47"/>
      <c r="D51" s="47"/>
      <c r="E51" s="47"/>
      <c r="F51" s="47"/>
      <c r="G51" s="47"/>
      <c r="BF51" s="4" t="str">
        <f t="shared" si="98"/>
        <v/>
      </c>
      <c r="BH51" s="4" t="str">
        <f t="shared" si="99"/>
        <v/>
      </c>
      <c r="BP51" s="4" t="str">
        <f t="shared" si="100"/>
        <v/>
      </c>
      <c r="BQ51" s="79" t="str">
        <f t="shared" si="101"/>
        <v/>
      </c>
      <c r="CV51" s="73" t="str">
        <f t="shared" si="102"/>
        <v/>
      </c>
      <c r="CW51" s="79" t="str">
        <f t="shared" si="76"/>
        <v/>
      </c>
      <c r="CX51" s="4" t="str">
        <f t="shared" si="103"/>
        <v/>
      </c>
      <c r="CY51" s="79" t="str">
        <f t="shared" si="77"/>
        <v/>
      </c>
      <c r="DX51" s="73" t="str">
        <f t="shared" si="104"/>
        <v/>
      </c>
      <c r="DY51" s="79" t="str">
        <f t="shared" si="78"/>
        <v/>
      </c>
      <c r="ED51" s="73" t="str">
        <f t="shared" si="105"/>
        <v/>
      </c>
      <c r="EH51" s="73" t="str">
        <f t="shared" si="108"/>
        <v/>
      </c>
      <c r="EJ51" s="72" t="e">
        <f>IF(#REF!="","",IFERROR(#REF!*(#REF!/100),""))</f>
        <v>#REF!</v>
      </c>
      <c r="EK51" s="81" t="e">
        <f t="shared" si="109"/>
        <v>#REF!</v>
      </c>
      <c r="EL51" s="171" t="e">
        <f>IF(#REF!="","",IFERROR(#REF!*(#REF!/100),""))</f>
        <v>#REF!</v>
      </c>
      <c r="EM51" s="81" t="e">
        <f t="shared" si="110"/>
        <v>#REF!</v>
      </c>
      <c r="EN51" s="89" t="e">
        <f>IF(#REF!="","",IFERROR(#REF!*(#REF!/100),""))</f>
        <v>#REF!</v>
      </c>
      <c r="ER51" s="73" t="e">
        <f>IF(#REF!="","",IFERROR(I51*($I$9/100),""))</f>
        <v>#REF!</v>
      </c>
      <c r="ES51" s="79" t="e">
        <f t="shared" si="111"/>
        <v>#REF!</v>
      </c>
      <c r="EU51" s="4" t="str">
        <f t="shared" si="82"/>
        <v/>
      </c>
      <c r="EX51" s="4" t="str">
        <f t="shared" si="106"/>
        <v/>
      </c>
      <c r="EY51" s="79" t="str">
        <f t="shared" si="83"/>
        <v/>
      </c>
      <c r="EZ51" s="4" t="str">
        <f t="shared" si="107"/>
        <v/>
      </c>
      <c r="FA51" s="79" t="str">
        <f t="shared" si="84"/>
        <v/>
      </c>
      <c r="FD51" s="72" t="e">
        <f>IF(#REF!="","",IFERROR(#REF!*(#REF!/100),""))</f>
        <v>#REF!</v>
      </c>
      <c r="FE51" s="81" t="e">
        <f t="shared" si="112"/>
        <v>#REF!</v>
      </c>
      <c r="FF51" s="72" t="e">
        <f>IF(#REF!="","",IFERROR(#REF!*(#REF!/100),""))</f>
        <v>#REF!</v>
      </c>
      <c r="FG51" s="81" t="e">
        <f t="shared" si="113"/>
        <v>#REF!</v>
      </c>
    </row>
    <row r="52" spans="3:177" ht="14.5" hidden="1" thickBot="1">
      <c r="C52" s="48" t="s">
        <v>98</v>
      </c>
      <c r="D52" s="20">
        <f>MIN(D11:D40)</f>
        <v>0</v>
      </c>
      <c r="E52" s="20"/>
      <c r="F52" s="20">
        <f t="shared" ref="F52:N52" si="122">MIN(F11:F40)</f>
        <v>0</v>
      </c>
      <c r="G52" s="20">
        <f t="shared" si="122"/>
        <v>0</v>
      </c>
      <c r="H52" s="20">
        <f t="shared" si="122"/>
        <v>0</v>
      </c>
      <c r="I52" s="20">
        <f t="shared" si="122"/>
        <v>0</v>
      </c>
      <c r="J52" s="20">
        <f t="shared" si="122"/>
        <v>0</v>
      </c>
      <c r="K52" s="20">
        <f t="shared" si="122"/>
        <v>63.76</v>
      </c>
      <c r="L52" s="20">
        <f t="shared" si="122"/>
        <v>43.88</v>
      </c>
      <c r="M52" s="20">
        <f t="shared" si="122"/>
        <v>53.82</v>
      </c>
      <c r="N52" s="20">
        <f t="shared" si="122"/>
        <v>0</v>
      </c>
      <c r="O52" s="20"/>
      <c r="P52" s="20">
        <f t="shared" ref="P52:X52" si="123">MIN(P11:P40)</f>
        <v>0</v>
      </c>
      <c r="Q52" s="20">
        <f t="shared" si="123"/>
        <v>0</v>
      </c>
      <c r="R52" s="20">
        <f t="shared" si="123"/>
        <v>9.4</v>
      </c>
      <c r="S52" s="20">
        <f t="shared" si="123"/>
        <v>9.4</v>
      </c>
      <c r="T52" s="20">
        <f t="shared" si="123"/>
        <v>9.4</v>
      </c>
      <c r="U52" s="20">
        <f t="shared" si="123"/>
        <v>0.6</v>
      </c>
      <c r="V52" s="20">
        <f t="shared" si="123"/>
        <v>0.6</v>
      </c>
      <c r="W52" s="20">
        <f t="shared" si="123"/>
        <v>0.6</v>
      </c>
      <c r="X52" s="20">
        <f t="shared" si="123"/>
        <v>0.6</v>
      </c>
      <c r="Y52" s="20"/>
      <c r="Z52" s="20">
        <f>MIN(Z11:Z40)</f>
        <v>0.6</v>
      </c>
      <c r="AB52" s="75">
        <f t="shared" ref="AB52:AI52" si="124">MIN(AB11:AB40)</f>
        <v>113.8099</v>
      </c>
      <c r="AC52" s="76">
        <f t="shared" si="124"/>
        <v>52.934837209302323</v>
      </c>
      <c r="AD52" s="75">
        <f t="shared" si="124"/>
        <v>0</v>
      </c>
      <c r="AE52" s="76">
        <f t="shared" si="124"/>
        <v>0</v>
      </c>
      <c r="AF52" s="75">
        <f t="shared" si="124"/>
        <v>63.199700000000007</v>
      </c>
      <c r="AG52" s="76">
        <f t="shared" si="124"/>
        <v>72.643333333333331</v>
      </c>
      <c r="AH52" s="75">
        <f t="shared" si="124"/>
        <v>0</v>
      </c>
      <c r="AI52" s="76">
        <f t="shared" si="124"/>
        <v>0</v>
      </c>
      <c r="AJ52" s="76"/>
      <c r="AK52" s="76"/>
      <c r="AL52" s="76"/>
      <c r="AM52" s="76"/>
      <c r="AN52" s="76"/>
      <c r="AO52" s="76"/>
      <c r="AP52" s="76"/>
      <c r="AQ52" s="76"/>
      <c r="AR52" s="75">
        <f>MIN(AR11:AR40)</f>
        <v>59.399000000000001</v>
      </c>
      <c r="AS52" s="76">
        <f>MIN(AS11:AS40)</f>
        <v>74.248750000000001</v>
      </c>
      <c r="AT52" s="75">
        <f>MIN(AT11:AT40)</f>
        <v>0</v>
      </c>
      <c r="AU52" s="76">
        <f>MIN(AU11:AU40)</f>
        <v>0</v>
      </c>
      <c r="AV52" s="76"/>
      <c r="AW52" s="76"/>
      <c r="AX52" s="75">
        <f t="shared" ref="AX52:BC52" si="125">MIN(AX11:AX40)</f>
        <v>0</v>
      </c>
      <c r="AY52" s="76">
        <f t="shared" si="125"/>
        <v>0</v>
      </c>
      <c r="AZ52" s="75">
        <f t="shared" si="125"/>
        <v>132.1</v>
      </c>
      <c r="BA52" s="76">
        <f t="shared" si="125"/>
        <v>71.405405405405403</v>
      </c>
      <c r="BB52" s="75">
        <f t="shared" si="125"/>
        <v>0</v>
      </c>
      <c r="BC52" s="76">
        <f t="shared" si="125"/>
        <v>0</v>
      </c>
      <c r="BF52" s="4">
        <f t="shared" si="98"/>
        <v>0.3</v>
      </c>
      <c r="BH52" s="4">
        <f t="shared" si="99"/>
        <v>0</v>
      </c>
      <c r="BP52" s="4">
        <f t="shared" si="100"/>
        <v>0</v>
      </c>
      <c r="BQ52" s="79" t="e">
        <f t="shared" si="101"/>
        <v>#DIV/0!</v>
      </c>
      <c r="CV52" s="73">
        <f t="shared" si="102"/>
        <v>0</v>
      </c>
      <c r="CW52" s="79">
        <f t="shared" si="76"/>
        <v>0</v>
      </c>
      <c r="CX52" s="4">
        <f t="shared" si="103"/>
        <v>0</v>
      </c>
      <c r="CY52" s="79">
        <f t="shared" si="77"/>
        <v>0</v>
      </c>
      <c r="DX52" s="73">
        <f t="shared" si="104"/>
        <v>31.88</v>
      </c>
      <c r="DY52" s="79">
        <f t="shared" si="78"/>
        <v>0.63759999999999994</v>
      </c>
      <c r="ED52" s="73">
        <f t="shared" si="105"/>
        <v>21.94</v>
      </c>
      <c r="EH52" s="73">
        <f t="shared" si="108"/>
        <v>0</v>
      </c>
      <c r="EJ52" s="72" t="e">
        <f>IF(#REF!="","",IFERROR(#REF!*(#REF!/100),""))</f>
        <v>#REF!</v>
      </c>
      <c r="EK52" s="81" t="e">
        <f t="shared" si="109"/>
        <v>#REF!</v>
      </c>
      <c r="EL52" s="171" t="e">
        <f>IF(#REF!="","",IFERROR(#REF!*(#REF!/100),""))</f>
        <v>#REF!</v>
      </c>
      <c r="EM52" s="81" t="e">
        <f t="shared" si="110"/>
        <v>#REF!</v>
      </c>
      <c r="EN52" s="89" t="e">
        <f>IF(#REF!="","",IFERROR(#REF!*(#REF!/100),""))</f>
        <v>#REF!</v>
      </c>
      <c r="ER52" s="73" t="e">
        <f>IF(#REF!="","",IFERROR(I52*($I$9/100),""))</f>
        <v>#REF!</v>
      </c>
      <c r="ES52" s="79" t="e">
        <f t="shared" si="111"/>
        <v>#REF!</v>
      </c>
      <c r="EU52" s="4" t="str">
        <f t="shared" si="82"/>
        <v/>
      </c>
      <c r="EX52" s="4">
        <f t="shared" si="106"/>
        <v>4.7</v>
      </c>
      <c r="EY52" s="79">
        <f t="shared" si="83"/>
        <v>9.4E-2</v>
      </c>
      <c r="EZ52" s="4">
        <f t="shared" si="107"/>
        <v>4.7</v>
      </c>
      <c r="FA52" s="79">
        <f t="shared" si="84"/>
        <v>9.4E-2</v>
      </c>
      <c r="FD52" s="72" t="e">
        <f>IF(#REF!="","",IFERROR(#REF!*(#REF!/100),""))</f>
        <v>#REF!</v>
      </c>
      <c r="FE52" s="81" t="e">
        <f t="shared" si="112"/>
        <v>#REF!</v>
      </c>
      <c r="FF52" s="72" t="e">
        <f>IF(#REF!="","",IFERROR(#REF!*(#REF!/100),""))</f>
        <v>#REF!</v>
      </c>
      <c r="FG52" s="81" t="e">
        <f t="shared" si="113"/>
        <v>#REF!</v>
      </c>
    </row>
    <row r="53" spans="3:177" ht="14.5" hidden="1" thickBot="1">
      <c r="C53" s="77" t="s">
        <v>99</v>
      </c>
      <c r="D53" s="78">
        <f>MAX(D11:D40)</f>
        <v>95.43</v>
      </c>
      <c r="E53" s="78"/>
      <c r="F53" s="78">
        <f t="shared" ref="F53:N53" si="126">MAX(F11:F40)</f>
        <v>98.29</v>
      </c>
      <c r="G53" s="78">
        <f t="shared" si="126"/>
        <v>96.548599999999993</v>
      </c>
      <c r="H53" s="78">
        <f t="shared" si="126"/>
        <v>92.7</v>
      </c>
      <c r="I53" s="78">
        <f t="shared" si="126"/>
        <v>89.2</v>
      </c>
      <c r="J53" s="78">
        <f t="shared" si="126"/>
        <v>90.95</v>
      </c>
      <c r="K53" s="78">
        <f t="shared" si="126"/>
        <v>90</v>
      </c>
      <c r="L53" s="78">
        <f t="shared" si="126"/>
        <v>87.35</v>
      </c>
      <c r="M53" s="78">
        <f t="shared" si="126"/>
        <v>88.204999999999998</v>
      </c>
      <c r="N53" s="78">
        <f t="shared" si="126"/>
        <v>86.76</v>
      </c>
      <c r="O53" s="78"/>
      <c r="P53" s="78">
        <f t="shared" ref="P53:X53" si="127">MAX(P11:P40)</f>
        <v>88.33</v>
      </c>
      <c r="Q53" s="78">
        <f t="shared" si="127"/>
        <v>87.399299999999997</v>
      </c>
      <c r="R53" s="78">
        <f t="shared" si="127"/>
        <v>93.9</v>
      </c>
      <c r="S53" s="78">
        <f t="shared" si="127"/>
        <v>93.9</v>
      </c>
      <c r="T53" s="78">
        <f t="shared" si="127"/>
        <v>93.9</v>
      </c>
      <c r="U53" s="78">
        <f t="shared" si="127"/>
        <v>86.3</v>
      </c>
      <c r="V53" s="78">
        <f t="shared" si="127"/>
        <v>96.5</v>
      </c>
      <c r="W53" s="78">
        <f t="shared" si="127"/>
        <v>89.5</v>
      </c>
      <c r="X53" s="78">
        <f t="shared" si="127"/>
        <v>86.3</v>
      </c>
      <c r="Y53" s="78"/>
      <c r="Z53" s="78">
        <f>MAX(Z11:Z40)</f>
        <v>89.5</v>
      </c>
      <c r="AB53" s="75">
        <f t="shared" ref="AB53:AI53" si="128">MAX(AB11:AB40)</f>
        <v>156.44890000000001</v>
      </c>
      <c r="AC53" s="76">
        <f t="shared" si="128"/>
        <v>72.766930232558153</v>
      </c>
      <c r="AD53" s="75">
        <f t="shared" si="128"/>
        <v>0</v>
      </c>
      <c r="AE53" s="76">
        <f t="shared" si="128"/>
        <v>0</v>
      </c>
      <c r="AF53" s="75">
        <f t="shared" si="128"/>
        <v>76.851100000000002</v>
      </c>
      <c r="AG53" s="76">
        <f t="shared" si="128"/>
        <v>88.334597701149434</v>
      </c>
      <c r="AH53" s="75">
        <f t="shared" si="128"/>
        <v>0</v>
      </c>
      <c r="AI53" s="76">
        <f t="shared" si="128"/>
        <v>0</v>
      </c>
      <c r="AJ53" s="76"/>
      <c r="AK53" s="76"/>
      <c r="AL53" s="76"/>
      <c r="AM53" s="76"/>
      <c r="AN53" s="76"/>
      <c r="AO53" s="76"/>
      <c r="AP53" s="76"/>
      <c r="AQ53" s="76"/>
      <c r="AR53" s="75">
        <f>MAX(AR11:AR40)</f>
        <v>69.900999999999996</v>
      </c>
      <c r="AS53" s="76">
        <f>MAX(AS11:AS40)</f>
        <v>87.376249999999999</v>
      </c>
      <c r="AT53" s="75">
        <f>MAX(AT11:AT40)</f>
        <v>0</v>
      </c>
      <c r="AU53" s="76">
        <f>MAX(AU11:AU40)</f>
        <v>0</v>
      </c>
      <c r="AV53" s="76"/>
      <c r="AW53" s="76"/>
      <c r="AX53" s="75">
        <f t="shared" ref="AX53:BC53" si="129">MAX(AX11:AX40)</f>
        <v>0</v>
      </c>
      <c r="AY53" s="76">
        <f t="shared" si="129"/>
        <v>0</v>
      </c>
      <c r="AZ53" s="75">
        <f t="shared" si="129"/>
        <v>163.4965</v>
      </c>
      <c r="BA53" s="76">
        <f t="shared" si="129"/>
        <v>88.376486486486485</v>
      </c>
      <c r="BB53" s="75">
        <f t="shared" si="129"/>
        <v>0</v>
      </c>
      <c r="BC53" s="76">
        <f t="shared" si="129"/>
        <v>0</v>
      </c>
      <c r="BF53" s="4">
        <f t="shared" si="98"/>
        <v>43.15</v>
      </c>
      <c r="BH53" s="4">
        <f t="shared" si="99"/>
        <v>0</v>
      </c>
      <c r="BP53" s="4">
        <f t="shared" si="100"/>
        <v>34.401499999999999</v>
      </c>
      <c r="BQ53" s="79" t="e">
        <f t="shared" si="101"/>
        <v>#DIV/0!</v>
      </c>
      <c r="CV53" s="73">
        <f t="shared" si="102"/>
        <v>32.101199999999999</v>
      </c>
      <c r="CW53" s="79">
        <f t="shared" si="76"/>
        <v>0.86759999999999993</v>
      </c>
      <c r="CX53" s="4">
        <f t="shared" si="103"/>
        <v>26.498999999999999</v>
      </c>
      <c r="CY53" s="79">
        <f t="shared" si="77"/>
        <v>0.52998000000000001</v>
      </c>
      <c r="DX53" s="73">
        <f t="shared" si="104"/>
        <v>45</v>
      </c>
      <c r="DY53" s="79">
        <f t="shared" si="78"/>
        <v>0.9</v>
      </c>
      <c r="ED53" s="73">
        <f t="shared" si="105"/>
        <v>43.674999999999997</v>
      </c>
      <c r="EH53" s="73">
        <f t="shared" si="108"/>
        <v>46.35</v>
      </c>
      <c r="EJ53" s="72" t="e">
        <f>IF(#REF!="","",IFERROR(#REF!*(#REF!/100),""))</f>
        <v>#REF!</v>
      </c>
      <c r="EK53" s="81" t="e">
        <f t="shared" si="109"/>
        <v>#REF!</v>
      </c>
      <c r="EL53" s="171" t="e">
        <f>IF(#REF!="","",IFERROR(#REF!*(#REF!/100),""))</f>
        <v>#REF!</v>
      </c>
      <c r="EM53" s="81" t="e">
        <f t="shared" si="110"/>
        <v>#REF!</v>
      </c>
      <c r="EN53" s="89" t="e">
        <f>IF(#REF!="","",IFERROR(#REF!*(#REF!/100),""))</f>
        <v>#REF!</v>
      </c>
      <c r="ER53" s="73" t="str">
        <f>IF(I43="","",IFERROR(I53*($I$9/100),""))</f>
        <v/>
      </c>
      <c r="ES53" s="79" t="e">
        <f t="shared" si="111"/>
        <v>#REF!</v>
      </c>
      <c r="EU53" s="4" t="str">
        <f t="shared" si="82"/>
        <v/>
      </c>
      <c r="EX53" s="4">
        <f t="shared" si="106"/>
        <v>46.95</v>
      </c>
      <c r="EY53" s="79">
        <f t="shared" si="83"/>
        <v>0.93900000000000006</v>
      </c>
      <c r="EZ53" s="4">
        <f t="shared" si="107"/>
        <v>46.95</v>
      </c>
      <c r="FA53" s="79">
        <f t="shared" si="84"/>
        <v>0.93900000000000006</v>
      </c>
      <c r="FD53" s="72" t="e">
        <f>IF(#REF!="","",IFERROR(#REF!*(#REF!/100),""))</f>
        <v>#REF!</v>
      </c>
      <c r="FE53" s="81" t="e">
        <f t="shared" si="112"/>
        <v>#REF!</v>
      </c>
      <c r="FF53" s="72" t="e">
        <f>IF(#REF!="","",IFERROR(#REF!*(#REF!/100),""))</f>
        <v>#REF!</v>
      </c>
      <c r="FG53" s="81" t="e">
        <f t="shared" si="113"/>
        <v>#REF!</v>
      </c>
    </row>
    <row r="54" spans="3:177" ht="14.5" thickBot="1">
      <c r="C54" s="51" t="s">
        <v>176</v>
      </c>
      <c r="D54" s="52">
        <f t="shared" ref="D54:N54" si="130">AVERAGE(D11:D40)</f>
        <v>77.663666666666643</v>
      </c>
      <c r="E54" s="52">
        <f t="shared" si="130"/>
        <v>71.73566666666666</v>
      </c>
      <c r="F54" s="52">
        <f t="shared" si="130"/>
        <v>73.403000000000006</v>
      </c>
      <c r="G54" s="52">
        <f t="shared" si="130"/>
        <v>73.682673333333327</v>
      </c>
      <c r="H54" s="52">
        <f t="shared" si="130"/>
        <v>76.13666666666667</v>
      </c>
      <c r="I54" s="52">
        <f t="shared" si="130"/>
        <v>74.92</v>
      </c>
      <c r="J54" s="52">
        <f t="shared" si="130"/>
        <v>75.528333333333336</v>
      </c>
      <c r="K54" s="52">
        <f t="shared" si="130"/>
        <v>79.59066666666665</v>
      </c>
      <c r="L54" s="52">
        <f t="shared" si="130"/>
        <v>76.218333333333334</v>
      </c>
      <c r="M54" s="52">
        <f t="shared" si="130"/>
        <v>77.90449999999997</v>
      </c>
      <c r="N54" s="52">
        <f t="shared" si="130"/>
        <v>71.713666666666683</v>
      </c>
      <c r="O54" s="52"/>
      <c r="P54" s="52">
        <f t="shared" ref="P54:X54" si="131">AVERAGE(P11:P40)</f>
        <v>73.733666666666679</v>
      </c>
      <c r="Q54" s="52">
        <f t="shared" si="131"/>
        <v>72.298876666666672</v>
      </c>
      <c r="R54" s="52">
        <f t="shared" si="131"/>
        <v>82.660000000000025</v>
      </c>
      <c r="S54" s="52">
        <f t="shared" si="131"/>
        <v>81.226666666666688</v>
      </c>
      <c r="T54" s="52">
        <f t="shared" si="131"/>
        <v>81.943333333333356</v>
      </c>
      <c r="U54" s="52">
        <f t="shared" si="131"/>
        <v>72.28</v>
      </c>
      <c r="V54" s="52">
        <f t="shared" si="131"/>
        <v>81.730000000000018</v>
      </c>
      <c r="W54" s="52">
        <f t="shared" si="131"/>
        <v>77.005000000000024</v>
      </c>
      <c r="X54" s="52">
        <f t="shared" si="131"/>
        <v>72.183333333333337</v>
      </c>
      <c r="Y54" s="52"/>
      <c r="Z54" s="52">
        <f>AVERAGE(Z11:Z40)</f>
        <v>76.956666666666678</v>
      </c>
      <c r="AB54" s="50">
        <f t="shared" ref="AB54:BC54" si="132">IFERROR(AVERAGE(AB11:AB42),"")</f>
        <v>138.38037499999999</v>
      </c>
      <c r="AC54" s="50">
        <f t="shared" si="132"/>
        <v>64.362965116279071</v>
      </c>
      <c r="AD54" s="50" t="str">
        <f t="shared" si="132"/>
        <v/>
      </c>
      <c r="AE54" s="50" t="str">
        <f t="shared" si="132"/>
        <v/>
      </c>
      <c r="AF54" s="50">
        <f t="shared" si="132"/>
        <v>71.918386666666663</v>
      </c>
      <c r="AG54" s="50">
        <f t="shared" si="132"/>
        <v>82.66481226053638</v>
      </c>
      <c r="AH54" s="50" t="str">
        <f t="shared" si="132"/>
        <v/>
      </c>
      <c r="AI54" s="50" t="str">
        <f t="shared" si="132"/>
        <v/>
      </c>
      <c r="AJ54" s="50" t="str">
        <f t="shared" si="132"/>
        <v/>
      </c>
      <c r="AK54" s="50" t="str">
        <f t="shared" si="132"/>
        <v/>
      </c>
      <c r="AL54" s="50" t="str">
        <f t="shared" si="132"/>
        <v/>
      </c>
      <c r="AM54" s="50" t="str">
        <f t="shared" si="132"/>
        <v/>
      </c>
      <c r="AN54" s="50" t="str">
        <f t="shared" si="132"/>
        <v/>
      </c>
      <c r="AO54" s="50" t="str">
        <f t="shared" si="132"/>
        <v/>
      </c>
      <c r="AP54" s="50" t="str">
        <f t="shared" si="132"/>
        <v/>
      </c>
      <c r="AQ54" s="50" t="str">
        <f t="shared" si="132"/>
        <v/>
      </c>
      <c r="AR54" s="50">
        <f t="shared" si="132"/>
        <v>64.349999999999994</v>
      </c>
      <c r="AS54" s="50">
        <f t="shared" si="132"/>
        <v>80.4375</v>
      </c>
      <c r="AT54" s="50" t="str">
        <f t="shared" si="132"/>
        <v/>
      </c>
      <c r="AU54" s="50" t="str">
        <f t="shared" si="132"/>
        <v/>
      </c>
      <c r="AV54" s="50" t="str">
        <f t="shared" si="132"/>
        <v/>
      </c>
      <c r="AW54" s="50" t="str">
        <f t="shared" si="132"/>
        <v/>
      </c>
      <c r="AX54" s="50" t="str">
        <f t="shared" si="132"/>
        <v/>
      </c>
      <c r="AY54" s="50" t="str">
        <f t="shared" si="132"/>
        <v/>
      </c>
      <c r="AZ54" s="50">
        <f t="shared" si="132"/>
        <v>148.59793750000003</v>
      </c>
      <c r="BA54" s="50">
        <f t="shared" si="132"/>
        <v>80.323209459459477</v>
      </c>
      <c r="BB54" s="50" t="str">
        <f t="shared" si="132"/>
        <v/>
      </c>
      <c r="BC54" s="50" t="str">
        <f t="shared" si="132"/>
        <v/>
      </c>
      <c r="BF54" s="4"/>
      <c r="BG54" s="88"/>
      <c r="BH54" s="4"/>
      <c r="BI54" s="88"/>
      <c r="BJ54" s="73"/>
      <c r="BK54" s="88"/>
      <c r="BL54" s="73"/>
      <c r="BM54" s="88"/>
      <c r="BN54" s="73">
        <f t="shared" ref="BN54:BU54" si="133">AVERAGE(BN11:BN42)</f>
        <v>18.032790625000004</v>
      </c>
      <c r="BO54" s="88">
        <f t="shared" si="133"/>
        <v>0.78403437499999984</v>
      </c>
      <c r="BP54" s="73"/>
      <c r="BQ54" s="79"/>
      <c r="BR54" s="73">
        <f t="shared" si="133"/>
        <v>30.541875000000001</v>
      </c>
      <c r="BS54" s="88">
        <f t="shared" si="133"/>
        <v>0.72718749999999999</v>
      </c>
      <c r="BT54" s="73">
        <f t="shared" si="133"/>
        <v>25.938828125000004</v>
      </c>
      <c r="BU54" s="88">
        <f t="shared" si="133"/>
        <v>0.74110937499999974</v>
      </c>
      <c r="BV54" s="73"/>
      <c r="BW54" s="73"/>
      <c r="BX54" s="73"/>
      <c r="BY54" s="88"/>
      <c r="BZ54" s="73"/>
      <c r="CA54" s="88"/>
      <c r="CB54" s="73">
        <f>AVERAGE(CB11:CB42)</f>
        <v>41.370312500000011</v>
      </c>
      <c r="CC54" s="88">
        <f>AVERAGE(CC11:CC42)</f>
        <v>0.82740624999999979</v>
      </c>
      <c r="CD54" s="73">
        <f>AVERAGE(CD11:CD42)</f>
        <v>40.12062499999999</v>
      </c>
      <c r="CE54" s="88">
        <f>AVERAGE(CE11:CE42)</f>
        <v>0.80241249999999975</v>
      </c>
      <c r="CF54" s="155"/>
      <c r="CG54" s="155"/>
      <c r="CH54" s="73">
        <f>AVERAGE(CH11:CH42)</f>
        <v>38.520312500000003</v>
      </c>
      <c r="CI54" s="88">
        <f>AVERAGE(CI11:CI42)</f>
        <v>0.77040625000000007</v>
      </c>
      <c r="CJ54" s="155"/>
      <c r="CK54" s="155"/>
      <c r="CL54" s="73">
        <f>AVERAGE(CL11:CL42)</f>
        <v>37.939062499999999</v>
      </c>
      <c r="CM54" s="88">
        <f>AVERAGE(CM11:CM42)</f>
        <v>0.75878124999999996</v>
      </c>
      <c r="CN54" s="73"/>
      <c r="CO54" s="73"/>
      <c r="CP54" s="73"/>
      <c r="CQ54" s="73"/>
      <c r="CR54" s="73"/>
      <c r="CS54" s="73"/>
      <c r="CT54" s="73"/>
      <c r="CU54" s="73"/>
      <c r="CV54" s="172"/>
      <c r="CW54" s="79"/>
      <c r="CX54" s="73"/>
      <c r="CY54" s="79"/>
      <c r="CZ54" s="73"/>
      <c r="DA54" s="73"/>
      <c r="DB54" s="73"/>
      <c r="DC54" s="73"/>
      <c r="DD54" s="73">
        <f>AVERAGE(DD11:DD42)</f>
        <v>36.353124999999999</v>
      </c>
      <c r="DE54" s="79">
        <f>AVERAGE(DE11:DE42)</f>
        <v>0.72706249999999994</v>
      </c>
      <c r="DF54" s="73">
        <f>AVERAGE(DF11:DF42)</f>
        <v>40.782812500000006</v>
      </c>
      <c r="DG54" s="79">
        <f>AVERAGE(DG11:DG42)</f>
        <v>0.81565624999999986</v>
      </c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>
        <f>AVERAGE(DX11:DX42)</f>
        <v>40.12062499999999</v>
      </c>
      <c r="DY54" s="79">
        <f t="shared" si="78"/>
        <v>0.80241249999999975</v>
      </c>
      <c r="DZ54" s="73"/>
      <c r="EA54" s="73"/>
      <c r="EB54" s="73"/>
      <c r="EC54" s="73"/>
      <c r="ED54" s="73">
        <f>AVERAGE(ED11:ED42)</f>
        <v>38.301406250000007</v>
      </c>
      <c r="EE54" s="88">
        <f>AVERAGE(EE11:EE42)</f>
        <v>0.76602812499999962</v>
      </c>
      <c r="EF54" s="73"/>
      <c r="EG54" s="88"/>
      <c r="EH54" s="73"/>
      <c r="EI54" s="88"/>
      <c r="EJ54" s="72"/>
      <c r="EK54" s="81"/>
      <c r="EL54" s="171"/>
      <c r="EM54" s="175"/>
      <c r="EN54" s="72">
        <f>AVERAGE(EN11:EN42)</f>
        <v>26.838181249999991</v>
      </c>
      <c r="EO54" s="81">
        <f>AVERAGE(EO11:EO42)</f>
        <v>0.72535625000000015</v>
      </c>
      <c r="EP54" s="73"/>
      <c r="EQ54" s="73"/>
      <c r="ER54" s="73">
        <f>AVERAGE(ER11:ER42)</f>
        <v>23.929434374999992</v>
      </c>
      <c r="ES54" s="79">
        <f>AVERAGE(ES11:ES42)</f>
        <v>0.72513437500000044</v>
      </c>
      <c r="ET54" s="73">
        <f>AVERAGE(ET11:ET42)</f>
        <v>22.362562499999999</v>
      </c>
      <c r="EU54" s="79">
        <f>AVERAGE(EU11:EU42)</f>
        <v>0.7454187499999998</v>
      </c>
      <c r="EV54" s="73"/>
      <c r="EW54" s="246"/>
      <c r="EX54" s="4"/>
      <c r="EY54" s="4"/>
      <c r="EZ54" s="4"/>
      <c r="FA54" s="79"/>
      <c r="FB54" s="4">
        <f>AVERAGE(FB11:FB42)</f>
        <v>36.474999999999994</v>
      </c>
      <c r="FC54" s="79">
        <f>AVERAGE(FC11:FC42)</f>
        <v>0.72949999999999993</v>
      </c>
      <c r="FD54" s="72">
        <f>AVERAGE(FD11:FD42)</f>
        <v>40.782812500000006</v>
      </c>
      <c r="FE54" s="81">
        <f>AVERAGE(FE11:FE42)</f>
        <v>0.81565624999999986</v>
      </c>
      <c r="FF54" s="72"/>
      <c r="FG54" s="81"/>
      <c r="FH54" s="155"/>
      <c r="FI54" s="155"/>
      <c r="FJ54" s="73"/>
      <c r="FK54" s="88"/>
      <c r="FL54" s="158">
        <f>AVERAGE(FL11:FL42)</f>
        <v>148.59793750000003</v>
      </c>
      <c r="FM54" s="160">
        <f>AVERAGE(FM11:FM42)</f>
        <v>0.80323209459459455</v>
      </c>
      <c r="FN54" s="158"/>
      <c r="FO54" s="158"/>
      <c r="FP54" s="158" t="e">
        <f>AVERAGE(FP11:FP42)</f>
        <v>#DIV/0!</v>
      </c>
      <c r="FQ54" s="160" t="e">
        <f>AVERAGE(FQ11:FQ42)</f>
        <v>#DIV/0!</v>
      </c>
      <c r="FR54" s="158" t="e">
        <f>AVERAGE(FR11:FR42)</f>
        <v>#DIV/0!</v>
      </c>
      <c r="FS54" s="160" t="e">
        <f>AVERAGE(FS11:FS42)</f>
        <v>#DIV/0!</v>
      </c>
      <c r="FT54" s="161">
        <f>AVERAGE(FT11:FT42)</f>
        <v>722.24300084459458</v>
      </c>
      <c r="FU54" s="92"/>
    </row>
    <row r="55" spans="3:177">
      <c r="C55" s="251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B55" s="252"/>
      <c r="AC55" s="252"/>
      <c r="AD55" s="252"/>
      <c r="AE55" s="252"/>
      <c r="AF55" s="252"/>
      <c r="AG55" s="252"/>
      <c r="AH55" s="252"/>
      <c r="AI55" s="252"/>
      <c r="AJ55" s="252"/>
      <c r="AK55" s="252"/>
      <c r="AL55" s="252"/>
      <c r="AM55" s="252"/>
      <c r="AN55" s="252"/>
      <c r="AO55" s="252"/>
      <c r="AP55" s="252"/>
      <c r="AQ55" s="252"/>
      <c r="AR55" s="252"/>
      <c r="AS55" s="252"/>
      <c r="AT55" s="252"/>
      <c r="AU55" s="252"/>
      <c r="AV55" s="252"/>
      <c r="AW55" s="252"/>
      <c r="AX55" s="252"/>
      <c r="AY55" s="252"/>
      <c r="AZ55" s="252"/>
      <c r="BA55" s="252"/>
      <c r="BB55" s="252"/>
      <c r="BC55" s="252"/>
      <c r="BF55" s="4"/>
      <c r="BG55" s="155"/>
      <c r="BH55" s="4"/>
      <c r="BI55" s="155"/>
      <c r="BJ55" s="73"/>
      <c r="BK55" s="155"/>
      <c r="BL55" s="73"/>
      <c r="BM55" s="155"/>
      <c r="BN55" s="73"/>
      <c r="BO55" s="155"/>
      <c r="BP55" s="73"/>
      <c r="BQ55" s="79"/>
      <c r="BR55" s="73"/>
      <c r="BS55" s="155"/>
      <c r="BT55" s="73"/>
      <c r="BU55" s="155"/>
      <c r="BV55" s="73"/>
      <c r="BW55" s="73"/>
      <c r="BX55" s="73"/>
      <c r="BY55" s="155"/>
      <c r="BZ55" s="73"/>
      <c r="CA55" s="155"/>
      <c r="CB55" s="73"/>
      <c r="CC55" s="155"/>
      <c r="CD55" s="73"/>
      <c r="CE55" s="155"/>
      <c r="CF55" s="155"/>
      <c r="CG55" s="155"/>
      <c r="CH55" s="73"/>
      <c r="CI55" s="155"/>
      <c r="CJ55" s="155"/>
      <c r="CK55" s="155"/>
      <c r="CL55" s="73"/>
      <c r="CM55" s="155"/>
      <c r="CN55" s="73"/>
      <c r="CO55" s="73"/>
      <c r="CP55" s="73"/>
      <c r="CQ55" s="73"/>
      <c r="CR55" s="73"/>
      <c r="CS55" s="73"/>
      <c r="CT55" s="73"/>
      <c r="CU55" s="73"/>
      <c r="CV55" s="172"/>
      <c r="CW55" s="79"/>
      <c r="CX55" s="73"/>
      <c r="CY55" s="79"/>
      <c r="CZ55" s="73"/>
      <c r="DA55" s="73"/>
      <c r="DB55" s="73"/>
      <c r="DC55" s="73"/>
      <c r="DD55" s="73"/>
      <c r="DE55" s="79"/>
      <c r="DF55" s="73"/>
      <c r="DG55" s="79"/>
      <c r="DH55" s="73"/>
      <c r="DI55" s="73"/>
      <c r="DJ55" s="73"/>
      <c r="DK55" s="73"/>
      <c r="DL55" s="73"/>
      <c r="DM55" s="73"/>
      <c r="DN55" s="73"/>
      <c r="DO55" s="73"/>
      <c r="DP55" s="73"/>
      <c r="DQ55" s="73"/>
      <c r="DR55" s="73"/>
      <c r="DS55" s="73"/>
      <c r="DT55" s="73"/>
      <c r="DU55" s="73"/>
      <c r="DV55" s="73"/>
      <c r="DW55" s="73"/>
      <c r="DX55" s="73"/>
      <c r="DY55" s="79"/>
      <c r="DZ55" s="73"/>
      <c r="EA55" s="73"/>
      <c r="EB55" s="73"/>
      <c r="EC55" s="73"/>
      <c r="ED55" s="73"/>
      <c r="EE55" s="155"/>
      <c r="EF55" s="73"/>
      <c r="EG55" s="155"/>
      <c r="EH55" s="73"/>
      <c r="EI55" s="155"/>
      <c r="EJ55" s="72"/>
      <c r="EK55" s="81"/>
      <c r="EL55" s="171"/>
      <c r="EM55" s="175"/>
      <c r="EN55" s="72"/>
      <c r="EO55" s="81"/>
      <c r="EP55" s="73"/>
      <c r="EQ55" s="73"/>
      <c r="ER55" s="73"/>
      <c r="ES55" s="79"/>
      <c r="ET55" s="73"/>
      <c r="EU55" s="79"/>
      <c r="EV55" s="73"/>
      <c r="EW55" s="246"/>
      <c r="EX55" s="4"/>
      <c r="EY55" s="4"/>
      <c r="EZ55" s="4"/>
      <c r="FA55" s="79"/>
      <c r="FB55" s="4"/>
      <c r="FC55" s="79"/>
      <c r="FD55" s="72"/>
      <c r="FE55" s="81"/>
      <c r="FF55" s="72"/>
      <c r="FG55" s="81"/>
      <c r="FH55" s="155"/>
      <c r="FI55" s="155"/>
      <c r="FJ55" s="73"/>
      <c r="FK55" s="155"/>
      <c r="FL55" s="158"/>
      <c r="FM55" s="253"/>
      <c r="FN55" s="158"/>
      <c r="FO55" s="158"/>
      <c r="FP55" s="158"/>
      <c r="FQ55" s="253"/>
      <c r="FR55" s="158"/>
      <c r="FS55" s="253"/>
      <c r="FT55" s="161"/>
      <c r="FU55" s="92"/>
    </row>
    <row r="56" spans="3:177">
      <c r="C56" s="251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B56" s="252"/>
      <c r="AC56" s="252"/>
      <c r="AD56" s="252"/>
      <c r="AE56" s="252"/>
      <c r="AF56" s="252"/>
      <c r="AG56" s="252"/>
      <c r="AH56" s="252"/>
      <c r="AI56" s="252"/>
      <c r="AJ56" s="252"/>
      <c r="AK56" s="252"/>
      <c r="AL56" s="252"/>
      <c r="AM56" s="252"/>
      <c r="AN56" s="252"/>
      <c r="AO56" s="252"/>
      <c r="AP56" s="252"/>
      <c r="AQ56" s="252"/>
      <c r="AR56" s="252"/>
      <c r="AS56" s="252"/>
      <c r="AT56" s="252"/>
      <c r="AU56" s="252"/>
      <c r="AV56" s="252"/>
      <c r="AW56" s="252"/>
      <c r="AX56" s="252"/>
      <c r="AY56" s="252"/>
      <c r="AZ56" s="252"/>
      <c r="BA56" s="252"/>
      <c r="BB56" s="252"/>
      <c r="BC56" s="252"/>
      <c r="BF56" s="4"/>
      <c r="BG56" s="155"/>
      <c r="BH56" s="4"/>
      <c r="BI56" s="155"/>
      <c r="BJ56" s="73"/>
      <c r="BK56" s="155"/>
      <c r="BL56" s="73"/>
      <c r="BM56" s="155"/>
      <c r="BN56" s="73"/>
      <c r="BO56" s="155"/>
      <c r="BP56" s="73"/>
      <c r="BQ56" s="79"/>
      <c r="BR56" s="73"/>
      <c r="BS56" s="155"/>
      <c r="BT56" s="73"/>
      <c r="BU56" s="155"/>
      <c r="BV56" s="73"/>
      <c r="BW56" s="73"/>
      <c r="BX56" s="73"/>
      <c r="BY56" s="155"/>
      <c r="BZ56" s="73"/>
      <c r="CA56" s="155"/>
      <c r="CB56" s="73"/>
      <c r="CC56" s="155"/>
      <c r="CD56" s="73"/>
      <c r="CE56" s="155"/>
      <c r="CF56" s="155"/>
      <c r="CG56" s="155"/>
      <c r="CH56" s="73"/>
      <c r="CI56" s="155"/>
      <c r="CJ56" s="155"/>
      <c r="CK56" s="155"/>
      <c r="CL56" s="73"/>
      <c r="CM56" s="155"/>
      <c r="CN56" s="73"/>
      <c r="CO56" s="73"/>
      <c r="CP56" s="73"/>
      <c r="CQ56" s="73"/>
      <c r="CR56" s="73"/>
      <c r="CS56" s="73"/>
      <c r="CT56" s="73"/>
      <c r="CU56" s="73"/>
      <c r="CV56" s="172"/>
      <c r="CW56" s="79"/>
      <c r="CX56" s="73"/>
      <c r="CY56" s="79"/>
      <c r="CZ56" s="73"/>
      <c r="DA56" s="73"/>
      <c r="DB56" s="73"/>
      <c r="DC56" s="73"/>
      <c r="DD56" s="73"/>
      <c r="DE56" s="79"/>
      <c r="DF56" s="73"/>
      <c r="DG56" s="79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/>
      <c r="DX56" s="73"/>
      <c r="DY56" s="79"/>
      <c r="DZ56" s="73"/>
      <c r="EA56" s="73"/>
      <c r="EB56" s="73"/>
      <c r="EC56" s="73"/>
      <c r="ED56" s="73"/>
      <c r="EE56" s="155"/>
      <c r="EF56" s="73"/>
      <c r="EG56" s="155"/>
      <c r="EH56" s="73"/>
      <c r="EI56" s="155"/>
      <c r="EJ56" s="72"/>
      <c r="EK56" s="81"/>
      <c r="EL56" s="171"/>
      <c r="EM56" s="175"/>
      <c r="EN56" s="72"/>
      <c r="EO56" s="81"/>
      <c r="EP56" s="73"/>
      <c r="EQ56" s="73"/>
      <c r="ER56" s="73"/>
      <c r="ES56" s="79"/>
      <c r="ET56" s="73"/>
      <c r="EU56" s="79"/>
      <c r="EV56" s="73"/>
      <c r="EW56" s="246"/>
      <c r="EX56" s="4"/>
      <c r="EY56" s="4"/>
      <c r="EZ56" s="4"/>
      <c r="FA56" s="79"/>
      <c r="FB56" s="4"/>
      <c r="FC56" s="79"/>
      <c r="FD56" s="72"/>
      <c r="FE56" s="81"/>
      <c r="FF56" s="72"/>
      <c r="FG56" s="81"/>
      <c r="FH56" s="155"/>
      <c r="FI56" s="155"/>
      <c r="FJ56" s="73"/>
      <c r="FK56" s="155"/>
      <c r="FL56" s="158"/>
      <c r="FM56" s="253"/>
      <c r="FN56" s="158"/>
      <c r="FO56" s="158"/>
      <c r="FP56" s="158"/>
      <c r="FQ56" s="253"/>
      <c r="FR56" s="158"/>
      <c r="FS56" s="253"/>
      <c r="FT56" s="161"/>
      <c r="FU56" s="92"/>
    </row>
    <row r="57" spans="3:177">
      <c r="C57" s="251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  <c r="AB57" s="252"/>
      <c r="AC57" s="252"/>
      <c r="AD57" s="252"/>
      <c r="AE57" s="252"/>
      <c r="AF57" s="252"/>
      <c r="AG57" s="252"/>
      <c r="AH57" s="252"/>
      <c r="AI57" s="252"/>
      <c r="AJ57" s="252"/>
      <c r="AK57" s="252"/>
      <c r="AL57" s="252"/>
      <c r="AM57" s="252"/>
      <c r="AN57" s="252"/>
      <c r="AO57" s="252"/>
      <c r="AP57" s="252"/>
      <c r="AQ57" s="252"/>
      <c r="AR57" s="252"/>
      <c r="AS57" s="252"/>
      <c r="AT57" s="252"/>
      <c r="AU57" s="252"/>
      <c r="AV57" s="252"/>
      <c r="AW57" s="252"/>
      <c r="AX57" s="252"/>
      <c r="AY57" s="252"/>
      <c r="AZ57" s="252"/>
      <c r="BA57" s="252"/>
      <c r="BB57" s="252"/>
      <c r="BC57" s="252"/>
      <c r="BF57" s="4"/>
      <c r="BG57" s="155"/>
      <c r="BH57" s="4"/>
      <c r="BI57" s="155"/>
      <c r="BJ57" s="73"/>
      <c r="BK57" s="155"/>
      <c r="BL57" s="73"/>
      <c r="BM57" s="155"/>
      <c r="BN57" s="73"/>
      <c r="BO57" s="155"/>
      <c r="BP57" s="73"/>
      <c r="BQ57" s="79"/>
      <c r="BR57" s="73"/>
      <c r="BS57" s="155"/>
      <c r="BT57" s="73"/>
      <c r="BU57" s="155"/>
      <c r="BV57" s="73"/>
      <c r="BW57" s="73"/>
      <c r="BX57" s="73"/>
      <c r="BY57" s="155"/>
      <c r="BZ57" s="73"/>
      <c r="CA57" s="155"/>
      <c r="CB57" s="73"/>
      <c r="CC57" s="155"/>
      <c r="CD57" s="73"/>
      <c r="CE57" s="155"/>
      <c r="CF57" s="155"/>
      <c r="CG57" s="155"/>
      <c r="CH57" s="73"/>
      <c r="CI57" s="155"/>
      <c r="CJ57" s="155"/>
      <c r="CK57" s="155"/>
      <c r="CL57" s="73"/>
      <c r="CM57" s="155"/>
      <c r="CN57" s="73"/>
      <c r="CO57" s="73"/>
      <c r="CP57" s="73"/>
      <c r="CQ57" s="73"/>
      <c r="CR57" s="73"/>
      <c r="CS57" s="73"/>
      <c r="CT57" s="73"/>
      <c r="CU57" s="73"/>
      <c r="CV57" s="172"/>
      <c r="CW57" s="79"/>
      <c r="CX57" s="73"/>
      <c r="CY57" s="79"/>
      <c r="CZ57" s="73"/>
      <c r="DA57" s="73"/>
      <c r="DB57" s="73"/>
      <c r="DC57" s="73"/>
      <c r="DD57" s="73"/>
      <c r="DE57" s="79"/>
      <c r="DF57" s="73"/>
      <c r="DG57" s="79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3"/>
      <c r="DW57" s="73"/>
      <c r="DX57" s="73"/>
      <c r="DY57" s="79"/>
      <c r="DZ57" s="73"/>
      <c r="EA57" s="73"/>
      <c r="EB57" s="73"/>
      <c r="EC57" s="73"/>
      <c r="ED57" s="73"/>
      <c r="EE57" s="155"/>
      <c r="EF57" s="73"/>
      <c r="EG57" s="155"/>
      <c r="EH57" s="73"/>
      <c r="EI57" s="155"/>
      <c r="EJ57" s="72"/>
      <c r="EK57" s="81"/>
      <c r="EL57" s="171"/>
      <c r="EM57" s="175"/>
      <c r="EN57" s="72"/>
      <c r="EO57" s="81"/>
      <c r="EP57" s="73"/>
      <c r="EQ57" s="73"/>
      <c r="ER57" s="73"/>
      <c r="ES57" s="79"/>
      <c r="ET57" s="73"/>
      <c r="EU57" s="79"/>
      <c r="EV57" s="73"/>
      <c r="EW57" s="246"/>
      <c r="EX57" s="4"/>
      <c r="EY57" s="4"/>
      <c r="EZ57" s="4"/>
      <c r="FA57" s="79"/>
      <c r="FB57" s="4"/>
      <c r="FC57" s="79"/>
      <c r="FD57" s="72"/>
      <c r="FE57" s="81"/>
      <c r="FF57" s="72"/>
      <c r="FG57" s="81"/>
      <c r="FH57" s="155"/>
      <c r="FI57" s="155"/>
      <c r="FJ57" s="73"/>
      <c r="FK57" s="155"/>
      <c r="FL57" s="158"/>
      <c r="FM57" s="253"/>
      <c r="FN57" s="158"/>
      <c r="FO57" s="158"/>
      <c r="FP57" s="158"/>
      <c r="FQ57" s="253"/>
      <c r="FR57" s="158"/>
      <c r="FS57" s="253"/>
      <c r="FT57" s="161"/>
      <c r="FU57" s="92"/>
    </row>
    <row r="58" spans="3:177">
      <c r="C58" s="251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52"/>
      <c r="AL58" s="252"/>
      <c r="AM58" s="252"/>
      <c r="AN58" s="252"/>
      <c r="AO58" s="252"/>
      <c r="AP58" s="252"/>
      <c r="AQ58" s="252"/>
      <c r="AR58" s="252"/>
      <c r="AS58" s="252"/>
      <c r="AT58" s="252"/>
      <c r="AU58" s="252"/>
      <c r="AV58" s="252"/>
      <c r="AW58" s="252"/>
      <c r="AX58" s="252"/>
      <c r="AY58" s="252"/>
      <c r="AZ58" s="252"/>
      <c r="BA58" s="252"/>
      <c r="BB58" s="252"/>
      <c r="BC58" s="252"/>
      <c r="BF58" s="4"/>
      <c r="BG58" s="155"/>
      <c r="BH58" s="4"/>
      <c r="BI58" s="155"/>
      <c r="BJ58" s="73"/>
      <c r="BK58" s="155"/>
      <c r="BL58" s="73"/>
      <c r="BM58" s="155"/>
      <c r="BN58" s="73"/>
      <c r="BO58" s="155"/>
      <c r="BP58" s="73"/>
      <c r="BQ58" s="79"/>
      <c r="BR58" s="73"/>
      <c r="BS58" s="155"/>
      <c r="BT58" s="73"/>
      <c r="BU58" s="155"/>
      <c r="BV58" s="73"/>
      <c r="BW58" s="73"/>
      <c r="BX58" s="73"/>
      <c r="BY58" s="155"/>
      <c r="BZ58" s="73"/>
      <c r="CA58" s="155"/>
      <c r="CB58" s="73"/>
      <c r="CC58" s="155"/>
      <c r="CD58" s="73"/>
      <c r="CE58" s="155"/>
      <c r="CF58" s="155"/>
      <c r="CG58" s="155"/>
      <c r="CH58" s="73"/>
      <c r="CI58" s="155"/>
      <c r="CJ58" s="155"/>
      <c r="CK58" s="155"/>
      <c r="CL58" s="73"/>
      <c r="CM58" s="155"/>
      <c r="CN58" s="73"/>
      <c r="CO58" s="73"/>
      <c r="CP58" s="73"/>
      <c r="CQ58" s="73"/>
      <c r="CR58" s="73"/>
      <c r="CS58" s="73"/>
      <c r="CT58" s="73"/>
      <c r="CU58" s="73"/>
      <c r="CV58" s="172"/>
      <c r="CW58" s="79"/>
      <c r="CX58" s="73"/>
      <c r="CY58" s="79"/>
      <c r="CZ58" s="73"/>
      <c r="DA58" s="73"/>
      <c r="DB58" s="73"/>
      <c r="DC58" s="73"/>
      <c r="DD58" s="73"/>
      <c r="DE58" s="79"/>
      <c r="DF58" s="73"/>
      <c r="DG58" s="79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79"/>
      <c r="DZ58" s="73"/>
      <c r="EA58" s="73"/>
      <c r="EB58" s="73"/>
      <c r="EC58" s="73"/>
      <c r="ED58" s="73"/>
      <c r="EE58" s="155"/>
      <c r="EF58" s="73"/>
      <c r="EG58" s="155"/>
      <c r="EH58" s="73"/>
      <c r="EI58" s="155"/>
      <c r="EJ58" s="72"/>
      <c r="EK58" s="81"/>
      <c r="EL58" s="171"/>
      <c r="EM58" s="175"/>
      <c r="EN58" s="72"/>
      <c r="EO58" s="81"/>
      <c r="EP58" s="73"/>
      <c r="EQ58" s="73"/>
      <c r="ER58" s="73"/>
      <c r="ES58" s="79"/>
      <c r="ET58" s="73"/>
      <c r="EU58" s="79"/>
      <c r="EV58" s="73"/>
      <c r="EW58" s="246"/>
      <c r="EX58" s="4"/>
      <c r="EY58" s="4"/>
      <c r="EZ58" s="4"/>
      <c r="FA58" s="79"/>
      <c r="FB58" s="4"/>
      <c r="FC58" s="79"/>
      <c r="FD58" s="72"/>
      <c r="FE58" s="81"/>
      <c r="FF58" s="72"/>
      <c r="FG58" s="81"/>
      <c r="FH58" s="155"/>
      <c r="FI58" s="155"/>
      <c r="FJ58" s="73"/>
      <c r="FK58" s="155"/>
      <c r="FL58" s="158"/>
      <c r="FM58" s="253"/>
      <c r="FN58" s="158"/>
      <c r="FO58" s="158"/>
      <c r="FP58" s="158"/>
      <c r="FQ58" s="253"/>
      <c r="FR58" s="158"/>
      <c r="FS58" s="253"/>
      <c r="FT58" s="161"/>
      <c r="FU58" s="92"/>
    </row>
    <row r="59" spans="3:177"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52"/>
      <c r="AL59" s="252"/>
      <c r="AM59" s="252"/>
      <c r="AN59" s="252"/>
      <c r="AO59" s="252"/>
      <c r="AP59" s="252"/>
      <c r="AQ59" s="252"/>
      <c r="AR59" s="252"/>
      <c r="AS59" s="252"/>
      <c r="AT59" s="252"/>
      <c r="AU59" s="252"/>
      <c r="AV59" s="252"/>
      <c r="AW59" s="252"/>
      <c r="AX59" s="252"/>
      <c r="AY59" s="252"/>
      <c r="AZ59" s="252"/>
      <c r="BA59" s="252"/>
      <c r="BB59" s="252"/>
      <c r="BC59" s="252"/>
      <c r="BF59" s="4"/>
      <c r="BG59" s="155"/>
      <c r="BH59" s="4"/>
      <c r="BI59" s="155"/>
      <c r="BJ59" s="73"/>
      <c r="BK59" s="155"/>
      <c r="BL59" s="73"/>
      <c r="BM59" s="155"/>
      <c r="BN59" s="73"/>
      <c r="BO59" s="155"/>
      <c r="BP59" s="73"/>
      <c r="BQ59" s="79"/>
      <c r="BR59" s="73"/>
      <c r="BS59" s="155"/>
      <c r="BT59" s="73"/>
      <c r="BU59" s="155"/>
      <c r="BV59" s="73"/>
      <c r="BW59" s="73"/>
      <c r="BX59" s="73"/>
      <c r="BY59" s="155"/>
      <c r="BZ59" s="73"/>
      <c r="CA59" s="155"/>
      <c r="CB59" s="73"/>
      <c r="CC59" s="155"/>
      <c r="CD59" s="73"/>
      <c r="CE59" s="155"/>
      <c r="CF59" s="155"/>
      <c r="CG59" s="155"/>
      <c r="CH59" s="73"/>
      <c r="CI59" s="155"/>
      <c r="CJ59" s="155"/>
      <c r="CK59" s="155"/>
      <c r="CL59" s="73"/>
      <c r="CM59" s="155"/>
      <c r="CN59" s="73"/>
      <c r="CO59" s="73"/>
      <c r="CP59" s="73"/>
      <c r="CQ59" s="73"/>
      <c r="CR59" s="73"/>
      <c r="CS59" s="73"/>
      <c r="CT59" s="73"/>
      <c r="CU59" s="73"/>
      <c r="CV59" s="172"/>
      <c r="CW59" s="79"/>
      <c r="CX59" s="73"/>
      <c r="CY59" s="79"/>
      <c r="CZ59" s="73"/>
      <c r="DA59" s="73"/>
      <c r="DB59" s="73"/>
      <c r="DC59" s="73"/>
      <c r="DD59" s="73"/>
      <c r="DE59" s="79"/>
      <c r="DF59" s="73"/>
      <c r="DG59" s="79"/>
      <c r="DH59" s="73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S59" s="73"/>
      <c r="DT59" s="73"/>
      <c r="DU59" s="73"/>
      <c r="DV59" s="73"/>
      <c r="DW59" s="73"/>
      <c r="DX59" s="73"/>
      <c r="DY59" s="79"/>
      <c r="DZ59" s="73"/>
      <c r="EA59" s="73"/>
      <c r="EB59" s="73"/>
      <c r="EC59" s="73"/>
      <c r="ED59" s="73"/>
      <c r="EE59" s="155"/>
      <c r="EF59" s="73"/>
      <c r="EG59" s="155"/>
      <c r="EH59" s="73"/>
      <c r="EI59" s="155"/>
      <c r="EJ59" s="72"/>
      <c r="EK59" s="81"/>
      <c r="EL59" s="171"/>
      <c r="EM59" s="175"/>
      <c r="EN59" s="72"/>
      <c r="EO59" s="81"/>
      <c r="EP59" s="73"/>
      <c r="EQ59" s="73"/>
      <c r="ER59" s="73"/>
      <c r="ES59" s="79"/>
      <c r="ET59" s="73"/>
      <c r="EU59" s="79"/>
      <c r="EV59" s="73"/>
      <c r="EW59" s="246"/>
      <c r="EX59" s="4"/>
      <c r="EY59" s="4"/>
      <c r="EZ59" s="4"/>
      <c r="FA59" s="79"/>
      <c r="FB59" s="4"/>
      <c r="FC59" s="79"/>
      <c r="FD59" s="72"/>
      <c r="FE59" s="81"/>
      <c r="FF59" s="72"/>
      <c r="FG59" s="81"/>
      <c r="FH59" s="155"/>
      <c r="FI59" s="155"/>
      <c r="FJ59" s="73"/>
      <c r="FK59" s="155"/>
      <c r="FL59" s="158"/>
      <c r="FM59" s="253"/>
      <c r="FN59" s="158"/>
      <c r="FO59" s="158"/>
      <c r="FP59" s="158"/>
      <c r="FQ59" s="253"/>
      <c r="FR59" s="158"/>
      <c r="FS59" s="253"/>
      <c r="FT59" s="161"/>
      <c r="FU59" s="92"/>
    </row>
    <row r="60" spans="3:177">
      <c r="C60" s="251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B60" s="252"/>
      <c r="AC60" s="252"/>
      <c r="AD60" s="252"/>
      <c r="AE60" s="252"/>
      <c r="AF60" s="252"/>
      <c r="AG60" s="252"/>
      <c r="AH60" s="252"/>
      <c r="AI60" s="252"/>
      <c r="AJ60" s="252"/>
      <c r="AK60" s="252"/>
      <c r="AL60" s="252"/>
      <c r="AM60" s="252"/>
      <c r="AN60" s="252"/>
      <c r="AO60" s="252"/>
      <c r="AP60" s="252"/>
      <c r="AQ60" s="252"/>
      <c r="AR60" s="252"/>
      <c r="AS60" s="252"/>
      <c r="AT60" s="252"/>
      <c r="AU60" s="252"/>
      <c r="AV60" s="252"/>
      <c r="AW60" s="252"/>
      <c r="AX60" s="252"/>
      <c r="AY60" s="252"/>
      <c r="AZ60" s="252"/>
      <c r="BA60" s="252"/>
      <c r="BB60" s="252"/>
      <c r="BC60" s="252"/>
      <c r="BF60" s="4"/>
      <c r="BG60" s="155"/>
      <c r="BH60" s="4"/>
      <c r="BI60" s="155"/>
      <c r="BJ60" s="73"/>
      <c r="BK60" s="155"/>
      <c r="BL60" s="73"/>
      <c r="BM60" s="155"/>
      <c r="BN60" s="73"/>
      <c r="BO60" s="155"/>
      <c r="BP60" s="73"/>
      <c r="BQ60" s="79"/>
      <c r="BR60" s="73"/>
      <c r="BS60" s="155"/>
      <c r="BT60" s="73"/>
      <c r="BU60" s="155"/>
      <c r="BV60" s="73"/>
      <c r="BW60" s="73"/>
      <c r="BX60" s="73"/>
      <c r="BY60" s="155"/>
      <c r="BZ60" s="73"/>
      <c r="CA60" s="155"/>
      <c r="CB60" s="73"/>
      <c r="CC60" s="155"/>
      <c r="CD60" s="73"/>
      <c r="CE60" s="155"/>
      <c r="CF60" s="155"/>
      <c r="CG60" s="155"/>
      <c r="CH60" s="73"/>
      <c r="CI60" s="155"/>
      <c r="CJ60" s="155"/>
      <c r="CK60" s="155"/>
      <c r="CL60" s="73"/>
      <c r="CM60" s="155"/>
      <c r="CN60" s="73"/>
      <c r="CO60" s="73"/>
      <c r="CP60" s="73"/>
      <c r="CQ60" s="73"/>
      <c r="CR60" s="73"/>
      <c r="CS60" s="73"/>
      <c r="CT60" s="73"/>
      <c r="CU60" s="73"/>
      <c r="CV60" s="172"/>
      <c r="CW60" s="79"/>
      <c r="CX60" s="73"/>
      <c r="CY60" s="79"/>
      <c r="CZ60" s="73"/>
      <c r="DA60" s="73"/>
      <c r="DB60" s="73"/>
      <c r="DC60" s="73"/>
      <c r="DD60" s="73"/>
      <c r="DE60" s="79"/>
      <c r="DF60" s="73"/>
      <c r="DG60" s="79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9"/>
      <c r="DZ60" s="73"/>
      <c r="EA60" s="73"/>
      <c r="EB60" s="73"/>
      <c r="EC60" s="73"/>
      <c r="ED60" s="73"/>
      <c r="EE60" s="155"/>
      <c r="EF60" s="73"/>
      <c r="EG60" s="155"/>
      <c r="EH60" s="73"/>
      <c r="EI60" s="155"/>
      <c r="EJ60" s="72"/>
      <c r="EK60" s="81"/>
      <c r="EL60" s="171"/>
      <c r="EM60" s="175"/>
      <c r="EN60" s="72"/>
      <c r="EO60" s="81"/>
      <c r="EP60" s="73"/>
      <c r="EQ60" s="73"/>
      <c r="ER60" s="73"/>
      <c r="ES60" s="79"/>
      <c r="ET60" s="73"/>
      <c r="EU60" s="79"/>
      <c r="EV60" s="73"/>
      <c r="EW60" s="246"/>
      <c r="EX60" s="4"/>
      <c r="EY60" s="4"/>
      <c r="EZ60" s="4"/>
      <c r="FA60" s="79"/>
      <c r="FB60" s="4"/>
      <c r="FC60" s="79"/>
      <c r="FD60" s="72"/>
      <c r="FE60" s="81"/>
      <c r="FF60" s="72"/>
      <c r="FG60" s="81"/>
      <c r="FH60" s="155"/>
      <c r="FI60" s="155"/>
      <c r="FJ60" s="73"/>
      <c r="FK60" s="155"/>
      <c r="FL60" s="158"/>
      <c r="FM60" s="253"/>
      <c r="FN60" s="158"/>
      <c r="FO60" s="158"/>
      <c r="FP60" s="158"/>
      <c r="FQ60" s="253"/>
      <c r="FR60" s="158"/>
      <c r="FS60" s="253"/>
      <c r="FT60" s="161"/>
      <c r="FU60" s="92"/>
    </row>
    <row r="61" spans="3:177">
      <c r="BF61" s="79"/>
      <c r="BG61" s="52"/>
      <c r="BH61" s="79"/>
      <c r="BI61" s="52"/>
      <c r="BJ61" s="79"/>
      <c r="BK61" s="52"/>
      <c r="BL61" s="79"/>
      <c r="BM61" s="52"/>
      <c r="BN61" s="79">
        <f>BN54/BN9</f>
        <v>0.78403437500000017</v>
      </c>
      <c r="BO61" s="52">
        <f>COUNTIF($BN$11:$BN$42,"&gt;=65%")</f>
        <v>31</v>
      </c>
      <c r="BP61" s="79"/>
      <c r="BQ61" s="172"/>
      <c r="BR61" s="79">
        <f>BR54/BR9</f>
        <v>0.72718749999999999</v>
      </c>
      <c r="BS61" s="52">
        <f>COUNTIF($BR$11:$BR$42,"&gt;=65%")</f>
        <v>31</v>
      </c>
      <c r="BT61" s="79">
        <f>BT54/BT9</f>
        <v>0.74110937500000007</v>
      </c>
      <c r="BU61" s="52">
        <f>COUNTIF($BU$11:$BU$42,"&gt;=65%")</f>
        <v>26</v>
      </c>
      <c r="BV61" s="79"/>
      <c r="BW61" s="79"/>
      <c r="BX61" s="79"/>
      <c r="BY61" s="52"/>
      <c r="BZ61" s="79"/>
      <c r="CA61" s="52"/>
      <c r="CB61" s="79">
        <f>CB54/CB9</f>
        <v>0.82740625000000023</v>
      </c>
      <c r="CC61" s="52">
        <f>COUNTIF($BM$11:$BM$42,"&gt;=65%")</f>
        <v>0</v>
      </c>
      <c r="CD61" s="79">
        <f>CD54/CD9</f>
        <v>0.80241249999999975</v>
      </c>
      <c r="CE61" s="52">
        <f>COUNTIF($CD$11:$CD$42,"&gt;=65%")</f>
        <v>32</v>
      </c>
      <c r="CF61" s="52"/>
      <c r="CG61" s="52"/>
      <c r="CH61" s="79">
        <f>CH54/CH9</f>
        <v>0.77040625000000007</v>
      </c>
      <c r="CI61" s="52">
        <f>COUNTIF($CH$11:$CH$42,"&gt;=65%")</f>
        <v>31</v>
      </c>
      <c r="CJ61" s="52"/>
      <c r="CK61" s="52"/>
      <c r="CL61" s="79">
        <f>CL54/CL9</f>
        <v>0.75878124999999996</v>
      </c>
      <c r="CM61" s="52">
        <f>COUNTIF($CL$11:$CL$42,"&gt;=65%")</f>
        <v>31</v>
      </c>
      <c r="CN61" s="79"/>
      <c r="CO61" s="79"/>
      <c r="CP61" s="79"/>
      <c r="CQ61" s="79"/>
      <c r="CR61" s="79"/>
      <c r="CS61" s="79"/>
      <c r="CT61" s="79"/>
      <c r="CU61" s="79"/>
      <c r="CV61" s="79"/>
      <c r="CW61" s="172"/>
      <c r="CX61" s="79"/>
      <c r="CY61" s="172"/>
      <c r="CZ61" s="79"/>
      <c r="DA61" s="79"/>
      <c r="DB61" s="79"/>
      <c r="DC61" s="79"/>
      <c r="DD61" s="79">
        <f>DD54/DD9</f>
        <v>0.72706249999999994</v>
      </c>
      <c r="DE61" s="172">
        <f>COUNTIF($DD$11:$DD$42,"&gt;=65%")</f>
        <v>31</v>
      </c>
      <c r="DF61" s="79">
        <f>DF54/DF9</f>
        <v>0.81565625000000008</v>
      </c>
      <c r="DG61" s="172">
        <f>COUNTIF($DF$11:$DF$42,"&gt;=65%")</f>
        <v>31</v>
      </c>
      <c r="DH61" s="79"/>
      <c r="DI61" s="79"/>
      <c r="DJ61" s="79"/>
      <c r="DK61" s="79"/>
      <c r="DL61" s="79"/>
      <c r="DM61" s="79"/>
      <c r="DN61" s="79"/>
      <c r="DO61" s="79"/>
      <c r="DP61" s="79"/>
      <c r="DQ61" s="79"/>
      <c r="DR61" s="79"/>
      <c r="DS61" s="79"/>
      <c r="DT61" s="79"/>
      <c r="DU61" s="79"/>
      <c r="DV61" s="79"/>
      <c r="DW61" s="79"/>
      <c r="DX61" s="79">
        <f>DX54/DX9</f>
        <v>0.80241249999999975</v>
      </c>
      <c r="DY61" s="172">
        <f>COUNTIF($DY11:$DY$42,"&gt;=65%")</f>
        <v>30</v>
      </c>
      <c r="DZ61" s="79"/>
      <c r="EA61" s="79"/>
      <c r="EB61" s="79"/>
      <c r="EC61" s="79"/>
      <c r="ED61" s="79">
        <f>ED54/ED9</f>
        <v>0.76602812500000017</v>
      </c>
      <c r="EE61" s="52">
        <f>COUNTIF($EE$11:$EE$42,"&gt;=65%")</f>
        <v>30</v>
      </c>
      <c r="EF61" s="79"/>
      <c r="EG61" s="52"/>
      <c r="EH61" s="79"/>
      <c r="EI61" s="52"/>
      <c r="EJ61" s="81"/>
      <c r="EK61" s="72"/>
      <c r="EL61" s="175"/>
      <c r="EM61" s="72"/>
      <c r="EN61" s="89">
        <f>EN54/EN9</f>
        <v>0.7253562499999997</v>
      </c>
      <c r="EO61" s="52">
        <f>COUNTIF($EO$11:$EO$42,"&gt;=65%")</f>
        <v>29</v>
      </c>
      <c r="EP61" s="79"/>
      <c r="EQ61" s="79"/>
      <c r="ER61" s="79">
        <f>ER54/ER9</f>
        <v>0.72513437499999978</v>
      </c>
      <c r="ES61" s="172">
        <f>COUNTIF($ES$11:$ES$42,"&gt;=65%")</f>
        <v>27</v>
      </c>
      <c r="ET61" s="79">
        <f>ET54/ET9</f>
        <v>0.74541875000000002</v>
      </c>
      <c r="EU61" s="172">
        <f>COUNTIF($EU$11:$EU$42,"&gt;=65%")</f>
        <v>28</v>
      </c>
      <c r="EV61" s="79"/>
      <c r="EW61" s="247"/>
      <c r="EX61" s="4"/>
      <c r="EY61" s="4"/>
      <c r="EZ61" s="79"/>
      <c r="FA61" s="172"/>
      <c r="FB61" s="79">
        <f>FB54/FB9</f>
        <v>0.72949999999999993</v>
      </c>
      <c r="FC61" s="172">
        <f>COUNTIF($FC$11:$FC42,"&gt;=65%")</f>
        <v>26</v>
      </c>
      <c r="FD61" s="81">
        <f>FD54/FD9</f>
        <v>0.81565625000000008</v>
      </c>
      <c r="FE61" s="72">
        <f>COUNTIF($FE$11:$FE$42,"&gt;=65%")</f>
        <v>31</v>
      </c>
      <c r="FF61" s="81"/>
      <c r="FG61" s="72"/>
      <c r="FH61" s="52"/>
      <c r="FI61" s="52"/>
      <c r="FJ61" s="79"/>
      <c r="FK61" s="52"/>
      <c r="FL61" s="154">
        <f>FL54/FL9</f>
        <v>0.80323209459459477</v>
      </c>
      <c r="FM61" s="162">
        <f>COUNTIF($FM$11:$FM$42,"&gt;=65%")</f>
        <v>16</v>
      </c>
      <c r="FN61" s="154"/>
      <c r="FO61" s="154"/>
      <c r="FP61" s="154" t="e">
        <f>FP54/FP9</f>
        <v>#DIV/0!</v>
      </c>
      <c r="FQ61" s="162">
        <f>COUNTIF($FQ$11:$FQ$42,"&gt;=65%")</f>
        <v>0</v>
      </c>
      <c r="FR61" s="154" t="e">
        <f>FR54/FR9</f>
        <v>#DIV/0!</v>
      </c>
      <c r="FS61" s="162">
        <f>COUNTIF($FS$11:$FS$42,"&gt;=65%")</f>
        <v>0</v>
      </c>
      <c r="FT61" s="161" t="e">
        <f>FT54/FT9</f>
        <v>#REF!</v>
      </c>
      <c r="FU61" s="92"/>
    </row>
    <row r="62" spans="3:177">
      <c r="BF62" s="4"/>
      <c r="BG62" s="82"/>
      <c r="BH62" s="4"/>
      <c r="BI62" s="82"/>
      <c r="BK62" s="82"/>
      <c r="BM62" s="82"/>
      <c r="BO62" s="82">
        <f>BO61/BO63</f>
        <v>0.96875</v>
      </c>
      <c r="BQ62" s="79"/>
      <c r="BS62" s="82">
        <f>BS61/BS63</f>
        <v>0.96875</v>
      </c>
      <c r="BU62" s="82">
        <f>BU61/BU63</f>
        <v>0.8125</v>
      </c>
      <c r="BX62" s="93"/>
      <c r="BY62" s="82"/>
      <c r="CA62" s="82"/>
      <c r="CC62" s="82">
        <f>CC61/CC63</f>
        <v>0</v>
      </c>
      <c r="CE62" s="82">
        <f>CE61/CE63</f>
        <v>1</v>
      </c>
      <c r="CF62" s="156"/>
      <c r="CG62" s="156"/>
      <c r="CI62" s="82">
        <f>CI61/CI63</f>
        <v>0.96875</v>
      </c>
      <c r="CJ62" s="156"/>
      <c r="CK62" s="156"/>
      <c r="CM62" s="82">
        <f>CM61/CM63</f>
        <v>0.96875</v>
      </c>
      <c r="CW62" s="79"/>
      <c r="CX62" s="4"/>
      <c r="CY62" s="79"/>
      <c r="DD62" s="4" t="str">
        <f>IF(V62="","",IFERROR(V62*($P$9/100),""))</f>
        <v/>
      </c>
      <c r="DE62" s="79">
        <f>DE61/DE63</f>
        <v>0.96875</v>
      </c>
      <c r="DF62" s="4" t="str">
        <f>IF(X62="","",IFERROR(X62*($P$9/100),""))</f>
        <v/>
      </c>
      <c r="DG62" s="79">
        <f>DG61/DG63</f>
        <v>0.96875</v>
      </c>
      <c r="DX62" s="4" t="str">
        <f>IF(K62="","",IFERROR(K62*($K$9/100),""))</f>
        <v/>
      </c>
      <c r="DY62" s="79">
        <f>DY61/DY63</f>
        <v>0.9375</v>
      </c>
      <c r="ED62" s="73" t="str">
        <f>IF(L62="","",IFERROR(L62*($L$9/100),""))</f>
        <v/>
      </c>
      <c r="EE62" s="82">
        <f>EE61/EE63</f>
        <v>0.9375</v>
      </c>
      <c r="EG62" s="82"/>
      <c r="EH62" s="73"/>
      <c r="EI62" s="82"/>
      <c r="EJ62" s="72"/>
      <c r="EK62" s="81"/>
      <c r="EL62" s="171"/>
      <c r="EM62" s="81"/>
      <c r="EN62" s="89"/>
      <c r="EO62" s="156">
        <f>EO61/EO63</f>
        <v>0.90625</v>
      </c>
      <c r="ER62" s="73"/>
      <c r="ES62" s="79">
        <f>ES61/ES63</f>
        <v>0.84375</v>
      </c>
      <c r="ET62" s="73"/>
      <c r="EU62" s="79">
        <f>EU61/EU63</f>
        <v>0.875</v>
      </c>
      <c r="EX62" s="4"/>
      <c r="EY62" s="4"/>
      <c r="EZ62" s="4"/>
      <c r="FA62" s="79"/>
      <c r="FB62" s="4" t="str">
        <f>IF(R62="","",IFERROR(R62*($R$9/100),""))</f>
        <v/>
      </c>
      <c r="FC62" s="79">
        <f>FC61/FC63</f>
        <v>0.8125</v>
      </c>
      <c r="FD62" s="72"/>
      <c r="FE62" s="81">
        <f>FE61/FE63</f>
        <v>0.96875</v>
      </c>
      <c r="FF62" s="72"/>
      <c r="FG62" s="81"/>
      <c r="FH62" s="156"/>
      <c r="FI62" s="156"/>
      <c r="FK62" s="82"/>
      <c r="FM62" s="163">
        <f>FM61/FM63</f>
        <v>1</v>
      </c>
      <c r="FQ62" s="163" t="e">
        <f>FQ61/FQ63</f>
        <v>#DIV/0!</v>
      </c>
      <c r="FS62" s="163" t="e">
        <f>FS61/FS63</f>
        <v>#DIV/0!</v>
      </c>
    </row>
    <row r="63" spans="3:177">
      <c r="BF63" s="4"/>
      <c r="BG63" s="62"/>
      <c r="BH63" s="4"/>
      <c r="BI63" s="62"/>
      <c r="BK63" s="62"/>
      <c r="BM63" s="62"/>
      <c r="BN63" s="87"/>
      <c r="BO63" s="62">
        <f>COUNT(BO11:BO42)</f>
        <v>32</v>
      </c>
      <c r="BP63" s="62"/>
      <c r="BQ63" s="62"/>
      <c r="BR63" s="87"/>
      <c r="BS63" s="62">
        <f>COUNT(BS11:BS42)</f>
        <v>32</v>
      </c>
      <c r="BT63" s="62"/>
      <c r="BU63" s="62">
        <f>COUNT(BU11:BU42)</f>
        <v>32</v>
      </c>
      <c r="BV63" s="62"/>
      <c r="BW63" s="62"/>
      <c r="BX63" s="62"/>
      <c r="BY63" s="62"/>
      <c r="BZ63" s="62"/>
      <c r="CA63" s="62"/>
      <c r="CB63" s="62"/>
      <c r="CC63" s="62">
        <f>COUNT(CC11:CC42)</f>
        <v>32</v>
      </c>
      <c r="CD63" s="62"/>
      <c r="CE63" s="62">
        <f>COUNT(CE11:CE42)</f>
        <v>32</v>
      </c>
      <c r="CF63" s="62"/>
      <c r="CG63" s="62"/>
      <c r="CH63" s="62"/>
      <c r="CI63" s="62">
        <f>COUNT(CI11:CI42)</f>
        <v>32</v>
      </c>
      <c r="CJ63" s="62"/>
      <c r="CK63" s="62"/>
      <c r="CL63" s="62"/>
      <c r="CM63" s="62">
        <f>COUNT(CM11:CM42)</f>
        <v>32</v>
      </c>
      <c r="CN63" s="62"/>
      <c r="CO63" s="62"/>
      <c r="CP63" s="62"/>
      <c r="CQ63" s="62"/>
      <c r="CR63" s="62"/>
      <c r="CS63" s="62"/>
      <c r="CT63" s="62"/>
      <c r="CU63" s="62"/>
      <c r="CV63" s="176">
        <f t="shared" ref="CV63:EE63" si="134">COUNT(CV11:CV42)</f>
        <v>0</v>
      </c>
      <c r="CW63" s="62">
        <f t="shared" si="134"/>
        <v>0</v>
      </c>
      <c r="CX63" s="62">
        <f t="shared" si="134"/>
        <v>0</v>
      </c>
      <c r="CY63" s="62">
        <f t="shared" si="134"/>
        <v>0</v>
      </c>
      <c r="CZ63" s="62">
        <f t="shared" si="134"/>
        <v>0</v>
      </c>
      <c r="DA63" s="62">
        <f t="shared" si="134"/>
        <v>0</v>
      </c>
      <c r="DB63" s="62">
        <f t="shared" si="134"/>
        <v>0</v>
      </c>
      <c r="DC63" s="62">
        <f t="shared" si="134"/>
        <v>0</v>
      </c>
      <c r="DD63" s="62">
        <f t="shared" ref="DD63:DG63" si="135">COUNT(DD11:DD42)</f>
        <v>32</v>
      </c>
      <c r="DE63" s="62">
        <f t="shared" si="135"/>
        <v>32</v>
      </c>
      <c r="DF63" s="62">
        <f t="shared" si="135"/>
        <v>32</v>
      </c>
      <c r="DG63" s="62">
        <f t="shared" si="135"/>
        <v>32</v>
      </c>
      <c r="DH63" s="62">
        <f t="shared" si="134"/>
        <v>0</v>
      </c>
      <c r="DI63" s="62">
        <f t="shared" si="134"/>
        <v>0</v>
      </c>
      <c r="DJ63" s="62">
        <f t="shared" si="134"/>
        <v>0</v>
      </c>
      <c r="DK63" s="62">
        <f t="shared" si="134"/>
        <v>0</v>
      </c>
      <c r="DL63" s="62">
        <f t="shared" si="134"/>
        <v>0</v>
      </c>
      <c r="DM63" s="62">
        <f t="shared" si="134"/>
        <v>0</v>
      </c>
      <c r="DN63" s="62">
        <f t="shared" si="134"/>
        <v>0</v>
      </c>
      <c r="DO63" s="62">
        <f t="shared" si="134"/>
        <v>0</v>
      </c>
      <c r="DP63" s="62">
        <f t="shared" si="134"/>
        <v>0</v>
      </c>
      <c r="DQ63" s="62">
        <f t="shared" si="134"/>
        <v>0</v>
      </c>
      <c r="DR63" s="62">
        <f t="shared" si="134"/>
        <v>0</v>
      </c>
      <c r="DS63" s="62">
        <f t="shared" si="134"/>
        <v>0</v>
      </c>
      <c r="DT63" s="62">
        <f t="shared" si="134"/>
        <v>0</v>
      </c>
      <c r="DU63" s="62">
        <f t="shared" si="134"/>
        <v>0</v>
      </c>
      <c r="DV63" s="62">
        <f t="shared" si="134"/>
        <v>0</v>
      </c>
      <c r="DW63" s="62">
        <f t="shared" si="134"/>
        <v>0</v>
      </c>
      <c r="DX63" s="62">
        <f t="shared" si="134"/>
        <v>32</v>
      </c>
      <c r="DY63" s="62">
        <f t="shared" si="134"/>
        <v>32</v>
      </c>
      <c r="DZ63" s="62">
        <f t="shared" si="134"/>
        <v>0</v>
      </c>
      <c r="EA63" s="62">
        <f t="shared" si="134"/>
        <v>0</v>
      </c>
      <c r="EB63" s="62">
        <f t="shared" si="134"/>
        <v>0</v>
      </c>
      <c r="EC63" s="62">
        <f t="shared" si="134"/>
        <v>0</v>
      </c>
      <c r="ED63" s="62">
        <f t="shared" si="134"/>
        <v>32</v>
      </c>
      <c r="EE63" s="62">
        <f t="shared" si="134"/>
        <v>32</v>
      </c>
      <c r="EF63" s="62"/>
      <c r="EG63" s="62"/>
      <c r="EH63" s="62"/>
      <c r="EI63" s="62"/>
      <c r="EJ63" s="62"/>
      <c r="EK63" s="62"/>
      <c r="EL63" s="62"/>
      <c r="EM63" s="62"/>
      <c r="EN63" s="62">
        <f>COUNT(EN11:EN42)</f>
        <v>32</v>
      </c>
      <c r="EO63" s="62">
        <f>COUNT(EO11:EO42)</f>
        <v>32</v>
      </c>
      <c r="EP63" s="62"/>
      <c r="EQ63" s="62"/>
      <c r="ER63" s="62">
        <f>COUNT(ER11:ER42)</f>
        <v>32</v>
      </c>
      <c r="ES63" s="62">
        <f>COUNT(ES11:ES42)</f>
        <v>32</v>
      </c>
      <c r="ET63" s="62">
        <f>COUNT(ET11:ET42)</f>
        <v>32</v>
      </c>
      <c r="EU63" s="62">
        <f>COUNT(EU11:EU42)</f>
        <v>32</v>
      </c>
      <c r="EV63" s="62"/>
      <c r="EW63" s="248"/>
      <c r="EX63" s="4"/>
      <c r="EY63" s="4"/>
      <c r="EZ63" s="62"/>
      <c r="FA63" s="62"/>
      <c r="FB63" s="62">
        <f>COUNT(EX11:EX42)</f>
        <v>0</v>
      </c>
      <c r="FC63" s="62">
        <f>COUNT(FC11:FC42)</f>
        <v>32</v>
      </c>
      <c r="FD63" s="62">
        <f>COUNT(FD11:FD42)</f>
        <v>32</v>
      </c>
      <c r="FE63" s="62">
        <f>COUNT(FE11:FE42)</f>
        <v>32</v>
      </c>
      <c r="FF63" s="62"/>
      <c r="FG63" s="62"/>
      <c r="FH63" s="62">
        <f>COUNT(FH11:FH42)</f>
        <v>0</v>
      </c>
      <c r="FI63" s="62">
        <f>COUNT(FI11:FI42)</f>
        <v>0</v>
      </c>
      <c r="FJ63" s="62">
        <f>COUNT(FJ11:FJ42)</f>
        <v>0</v>
      </c>
      <c r="FK63" s="62">
        <f>COUNT(FK11:FK42)</f>
        <v>0</v>
      </c>
      <c r="FM63" s="164">
        <f>COUNT(FM11:FM42)</f>
        <v>16</v>
      </c>
      <c r="FQ63" s="164">
        <f>COUNT(FQ11:FQ42)</f>
        <v>0</v>
      </c>
      <c r="FS63" s="164">
        <f>COUNT(FS11:FS42)</f>
        <v>0</v>
      </c>
    </row>
    <row r="64" spans="3:177">
      <c r="C64" s="32" t="s">
        <v>357</v>
      </c>
      <c r="EJ64" s="72" t="e">
        <f>IF(#REF!="","",IFERROR(#REF!*(#REF!/100),""))</f>
        <v>#REF!</v>
      </c>
    </row>
    <row r="65" spans="3:140">
      <c r="C65" s="80" t="s">
        <v>169</v>
      </c>
      <c r="D65" s="80" t="s">
        <v>175</v>
      </c>
      <c r="E65" s="80" t="s">
        <v>74</v>
      </c>
      <c r="F65" s="80" t="s">
        <v>182</v>
      </c>
      <c r="G65" s="80" t="s">
        <v>171</v>
      </c>
      <c r="H65" s="80" t="s">
        <v>172</v>
      </c>
      <c r="I65" s="1" t="s">
        <v>177</v>
      </c>
      <c r="J65" s="1" t="s">
        <v>178</v>
      </c>
      <c r="K65" s="1" t="s">
        <v>171</v>
      </c>
      <c r="L65" s="1" t="s">
        <v>172</v>
      </c>
      <c r="M65" s="1"/>
      <c r="AF65" s="33"/>
      <c r="AG65" s="33"/>
      <c r="AH65" s="33"/>
      <c r="AI65" s="33"/>
      <c r="BG65"/>
      <c r="BK65" s="33"/>
      <c r="EJ65" s="72" t="e">
        <f>IF(#REF!="","",IFERROR(#REF!*(#REF!/100),""))</f>
        <v>#REF!</v>
      </c>
    </row>
    <row r="66" spans="3:140">
      <c r="C66" s="297" t="s">
        <v>90</v>
      </c>
      <c r="D66" s="62" t="s">
        <v>105</v>
      </c>
      <c r="E66" s="87" t="str">
        <f>IF(BI5="","",BI5)</f>
        <v/>
      </c>
      <c r="F66" s="87"/>
      <c r="G66" s="81"/>
      <c r="H66" s="220"/>
      <c r="I66" s="89"/>
      <c r="J66" s="207"/>
      <c r="K66" s="81"/>
      <c r="L66" s="220"/>
      <c r="M66" s="220"/>
      <c r="AF66" s="33"/>
      <c r="AG66" s="33"/>
      <c r="AH66" s="33"/>
      <c r="AI66" s="33"/>
      <c r="BG66"/>
      <c r="BK66" s="33"/>
    </row>
    <row r="67" spans="3:140">
      <c r="C67" s="299"/>
      <c r="D67" s="220" t="s">
        <v>101</v>
      </c>
      <c r="E67" s="87" t="str">
        <f>IF(BK5="","",BK5)</f>
        <v/>
      </c>
      <c r="F67" s="71"/>
      <c r="G67" s="81"/>
      <c r="H67" s="220"/>
      <c r="I67" s="249"/>
      <c r="J67" s="207"/>
      <c r="K67" s="81"/>
      <c r="L67" s="220"/>
      <c r="M67" s="220"/>
      <c r="AF67" s="33"/>
      <c r="AG67" s="33"/>
      <c r="AH67" s="33"/>
      <c r="AI67" s="33"/>
      <c r="BG67"/>
      <c r="BK67" s="33"/>
    </row>
    <row r="68" spans="3:140">
      <c r="C68" s="298"/>
      <c r="D68" s="220" t="s">
        <v>115</v>
      </c>
      <c r="E68" s="71"/>
      <c r="F68" s="220"/>
      <c r="G68" s="220"/>
      <c r="H68" s="220" t="str">
        <f t="shared" ref="H68:H121" si="136">IF(G68="","",IF(G68&gt;=70%,"Tercapai","Belum Tercapai"))</f>
        <v/>
      </c>
      <c r="I68" s="249"/>
      <c r="J68" s="207"/>
      <c r="K68" s="81" t="str">
        <f t="shared" ref="K68:K113" si="137">IFERROR(J68/I68,"")</f>
        <v/>
      </c>
      <c r="L68" s="220" t="str">
        <f t="shared" ref="L68:L121" si="138">IF(K68="","",(IF(K68&gt;=70%,"Tercapai","Belum Tercapai")))</f>
        <v/>
      </c>
      <c r="M68" s="220"/>
      <c r="AF68" s="33"/>
      <c r="AG68" s="33"/>
      <c r="AH68" s="33"/>
      <c r="AI68" s="33"/>
      <c r="BG68"/>
      <c r="BK68" s="33"/>
    </row>
    <row r="69" spans="3:140">
      <c r="C69" s="297" t="s">
        <v>114</v>
      </c>
      <c r="D69" s="220" t="s">
        <v>116</v>
      </c>
      <c r="E69" s="71" t="str">
        <f>IF(BO5="","",BO5)</f>
        <v/>
      </c>
      <c r="F69" s="71"/>
      <c r="G69" s="81"/>
      <c r="H69" s="220"/>
      <c r="I69" s="250"/>
      <c r="J69" s="207"/>
      <c r="K69" s="81"/>
      <c r="L69" s="220"/>
      <c r="M69" s="220"/>
      <c r="AF69" s="33"/>
      <c r="AG69" s="33"/>
      <c r="AH69" s="33"/>
      <c r="AI69" s="33"/>
      <c r="BG69"/>
      <c r="BK69" s="33"/>
    </row>
    <row r="70" spans="3:140">
      <c r="C70" s="299"/>
      <c r="D70" s="220" t="s">
        <v>148</v>
      </c>
      <c r="E70" s="71" t="str">
        <f>IF(BQ5="","",BQ5)</f>
        <v/>
      </c>
      <c r="F70" s="71">
        <f>IF(BN54="","",BN54)</f>
        <v>18.032790625000004</v>
      </c>
      <c r="G70" s="81">
        <f>IF(BN61="","",BN61)</f>
        <v>0.78403437500000017</v>
      </c>
      <c r="H70" s="220" t="str">
        <f t="shared" si="136"/>
        <v>Tercapai</v>
      </c>
      <c r="I70" s="250">
        <v>32</v>
      </c>
      <c r="J70" s="207">
        <v>31</v>
      </c>
      <c r="K70" s="81">
        <f t="shared" si="137"/>
        <v>0.96875</v>
      </c>
      <c r="L70" s="220" t="str">
        <f t="shared" si="138"/>
        <v>Tercapai</v>
      </c>
      <c r="M70" s="220"/>
      <c r="AF70" s="33"/>
      <c r="AG70" s="33"/>
      <c r="AH70" s="33"/>
      <c r="AI70" s="33"/>
      <c r="BG70"/>
      <c r="BK70" s="33"/>
    </row>
    <row r="71" spans="3:140">
      <c r="C71" s="299"/>
      <c r="D71" s="220" t="s">
        <v>149</v>
      </c>
      <c r="E71" s="71" t="str">
        <f>IF(BS5="","",BS5)</f>
        <v/>
      </c>
      <c r="F71" s="71"/>
      <c r="G71" s="81"/>
      <c r="H71" s="220" t="str">
        <f t="shared" si="136"/>
        <v/>
      </c>
      <c r="I71" s="250"/>
      <c r="J71" s="207"/>
      <c r="K71" s="81"/>
      <c r="L71" s="220"/>
      <c r="M71" s="220"/>
      <c r="AF71" s="33"/>
      <c r="AG71" s="33"/>
      <c r="AH71" s="33"/>
      <c r="AI71" s="33"/>
      <c r="BG71"/>
      <c r="BK71" s="33"/>
    </row>
    <row r="72" spans="3:140">
      <c r="C72" s="299"/>
      <c r="D72" s="220" t="s">
        <v>150</v>
      </c>
      <c r="E72" s="71" t="str">
        <f>IF(BU5="","",BU5)</f>
        <v/>
      </c>
      <c r="F72" s="71">
        <f>IF(BR54="","",BR54)</f>
        <v>30.541875000000001</v>
      </c>
      <c r="G72" s="81">
        <f>IF(BR61="","",BR61)</f>
        <v>0.72718749999999999</v>
      </c>
      <c r="H72" s="220" t="str">
        <f t="shared" si="136"/>
        <v>Tercapai</v>
      </c>
      <c r="I72" s="250">
        <v>32</v>
      </c>
      <c r="J72" s="207">
        <v>31</v>
      </c>
      <c r="K72" s="81">
        <f t="shared" si="137"/>
        <v>0.96875</v>
      </c>
      <c r="L72" s="220" t="str">
        <f t="shared" si="138"/>
        <v>Tercapai</v>
      </c>
      <c r="M72" s="220"/>
      <c r="AF72" s="33"/>
      <c r="AG72" s="33"/>
      <c r="AH72" s="33"/>
      <c r="AI72" s="33"/>
      <c r="BG72"/>
      <c r="BK72" s="33"/>
    </row>
    <row r="73" spans="3:140">
      <c r="C73" s="219"/>
      <c r="D73" s="220" t="s">
        <v>286</v>
      </c>
      <c r="E73" s="71" t="str">
        <f>IF(BW5="","",BW5)</f>
        <v/>
      </c>
      <c r="F73" s="71">
        <f>IF(BT54="","",BT54)</f>
        <v>25.938828125000004</v>
      </c>
      <c r="G73" s="81">
        <f>IF(BT61="","",BT61)</f>
        <v>0.74110937500000007</v>
      </c>
      <c r="H73" s="220" t="str">
        <f t="shared" si="136"/>
        <v>Tercapai</v>
      </c>
      <c r="I73" s="250">
        <v>32</v>
      </c>
      <c r="J73" s="207">
        <v>26</v>
      </c>
      <c r="K73" s="81">
        <f t="shared" si="137"/>
        <v>0.8125</v>
      </c>
      <c r="L73" s="220" t="str">
        <f t="shared" si="138"/>
        <v>Tercapai</v>
      </c>
      <c r="M73" s="220"/>
      <c r="AF73" s="33"/>
      <c r="AG73" s="33"/>
      <c r="AH73" s="33"/>
      <c r="AI73" s="33"/>
      <c r="BG73"/>
      <c r="BK73" s="33"/>
    </row>
    <row r="74" spans="3:140">
      <c r="C74" s="297" t="s">
        <v>104</v>
      </c>
      <c r="D74" s="220" t="s">
        <v>107</v>
      </c>
      <c r="E74" s="71"/>
      <c r="F74" s="71"/>
      <c r="G74" s="220"/>
      <c r="H74" s="220" t="str">
        <f t="shared" si="136"/>
        <v/>
      </c>
      <c r="I74" s="250" t="str">
        <f>IF(BY54="","",BY54)</f>
        <v/>
      </c>
      <c r="J74" s="207" t="str">
        <f>IF(BY61="","",BY61)</f>
        <v/>
      </c>
      <c r="K74" s="81" t="str">
        <f t="shared" si="137"/>
        <v/>
      </c>
      <c r="L74" s="220" t="str">
        <f t="shared" si="138"/>
        <v/>
      </c>
      <c r="M74" s="220"/>
      <c r="AF74" s="33"/>
      <c r="AG74" s="33"/>
      <c r="AH74" s="33"/>
      <c r="AI74" s="33"/>
      <c r="BG74"/>
      <c r="BK74" s="33"/>
    </row>
    <row r="75" spans="3:140">
      <c r="C75" s="299"/>
      <c r="D75" s="220" t="s">
        <v>113</v>
      </c>
      <c r="E75" s="71"/>
      <c r="F75" s="71"/>
      <c r="G75" s="220"/>
      <c r="H75" s="220" t="str">
        <f t="shared" si="136"/>
        <v/>
      </c>
      <c r="I75" s="250" t="str">
        <f>IF(CA54="","",CA54)</f>
        <v/>
      </c>
      <c r="J75" s="207" t="str">
        <f>IF(CA61="","",CA61)</f>
        <v/>
      </c>
      <c r="K75" s="81" t="str">
        <f t="shared" si="137"/>
        <v/>
      </c>
      <c r="L75" s="220" t="str">
        <f t="shared" si="138"/>
        <v/>
      </c>
      <c r="M75" s="220"/>
      <c r="AF75" s="33"/>
      <c r="AG75" s="33"/>
      <c r="AH75" s="33"/>
      <c r="AI75" s="33"/>
      <c r="BG75"/>
      <c r="BK75" s="33"/>
    </row>
    <row r="76" spans="3:140">
      <c r="C76" s="298"/>
      <c r="D76" s="220" t="s">
        <v>111</v>
      </c>
      <c r="E76" s="71"/>
      <c r="F76" s="71"/>
      <c r="G76" s="220"/>
      <c r="H76" s="220" t="str">
        <f t="shared" si="136"/>
        <v/>
      </c>
      <c r="I76" s="250"/>
      <c r="J76" s="207"/>
      <c r="K76" s="81"/>
      <c r="L76" s="220"/>
      <c r="M76" s="220"/>
      <c r="AF76" s="33"/>
      <c r="AG76" s="33"/>
      <c r="AH76" s="33"/>
      <c r="AI76" s="33"/>
      <c r="AJ76" s="33"/>
      <c r="BG76"/>
      <c r="BK76" s="33"/>
    </row>
    <row r="77" spans="3:140">
      <c r="C77" s="297" t="s">
        <v>103</v>
      </c>
      <c r="D77" s="220" t="s">
        <v>106</v>
      </c>
      <c r="E77" s="71" t="str">
        <f>IF(CE5="","",CE5)</f>
        <v/>
      </c>
      <c r="F77" s="71">
        <f>IF(CB54="","",CB54)</f>
        <v>41.370312500000011</v>
      </c>
      <c r="G77" s="81">
        <f>IF(CB61="","",CB61)</f>
        <v>0.82740625000000023</v>
      </c>
      <c r="H77" s="220" t="str">
        <f t="shared" si="136"/>
        <v>Tercapai</v>
      </c>
      <c r="I77" s="250">
        <v>32</v>
      </c>
      <c r="J77" s="207">
        <v>27</v>
      </c>
      <c r="K77" s="81">
        <f t="shared" si="137"/>
        <v>0.84375</v>
      </c>
      <c r="L77" s="220" t="str">
        <f t="shared" si="138"/>
        <v>Tercapai</v>
      </c>
      <c r="M77" s="220"/>
      <c r="AF77" s="33"/>
      <c r="AG77" s="33"/>
      <c r="AH77" s="33"/>
      <c r="AI77" s="33"/>
      <c r="AJ77" s="33"/>
      <c r="BG77"/>
      <c r="BK77" s="33"/>
    </row>
    <row r="78" spans="3:140">
      <c r="C78" s="299"/>
      <c r="D78" s="220" t="s">
        <v>151</v>
      </c>
      <c r="E78" s="71" t="str">
        <f>IF(CG5="","",CG5)</f>
        <v/>
      </c>
      <c r="F78" s="71">
        <f>IF(CD54="","",CD54)</f>
        <v>40.12062499999999</v>
      </c>
      <c r="G78" s="81">
        <f>IF(CD61="","",CD61)</f>
        <v>0.80241249999999975</v>
      </c>
      <c r="H78" s="220" t="str">
        <f t="shared" si="136"/>
        <v>Tercapai</v>
      </c>
      <c r="I78" s="250">
        <v>32</v>
      </c>
      <c r="J78" s="207">
        <v>27</v>
      </c>
      <c r="K78" s="81">
        <f t="shared" si="137"/>
        <v>0.84375</v>
      </c>
      <c r="L78" s="220" t="str">
        <f t="shared" si="138"/>
        <v>Tercapai</v>
      </c>
      <c r="M78" s="220"/>
      <c r="AF78" s="33"/>
      <c r="AG78" s="33"/>
      <c r="AH78" s="33"/>
      <c r="AI78" s="33"/>
      <c r="AJ78" s="33"/>
      <c r="BG78"/>
      <c r="BK78" s="33"/>
    </row>
    <row r="79" spans="3:140">
      <c r="C79" s="299"/>
      <c r="D79" s="220" t="s">
        <v>262</v>
      </c>
      <c r="E79" s="71"/>
      <c r="F79" s="71"/>
      <c r="G79" s="81"/>
      <c r="H79" s="220" t="str">
        <f t="shared" si="136"/>
        <v/>
      </c>
      <c r="I79" s="250"/>
      <c r="J79" s="207"/>
      <c r="K79" s="81" t="str">
        <f t="shared" si="137"/>
        <v/>
      </c>
      <c r="L79" s="220" t="str">
        <f t="shared" si="138"/>
        <v/>
      </c>
      <c r="M79" s="220"/>
      <c r="AF79" s="33"/>
      <c r="AG79" s="33"/>
      <c r="AH79" s="33"/>
      <c r="AI79" s="33"/>
      <c r="AJ79" s="33"/>
      <c r="BG79"/>
      <c r="BK79" s="33"/>
    </row>
    <row r="80" spans="3:140">
      <c r="C80" s="299"/>
      <c r="D80" s="220" t="s">
        <v>263</v>
      </c>
      <c r="E80" s="71"/>
      <c r="F80" s="71">
        <f>IF(CH54="","",CH54)</f>
        <v>38.520312500000003</v>
      </c>
      <c r="G80" s="81">
        <f>IF(CH61="","",CH61)</f>
        <v>0.77040625000000007</v>
      </c>
      <c r="H80" s="220" t="str">
        <f t="shared" si="136"/>
        <v>Tercapai</v>
      </c>
      <c r="I80" s="250">
        <v>32</v>
      </c>
      <c r="J80" s="207">
        <v>31</v>
      </c>
      <c r="K80" s="81">
        <f t="shared" si="137"/>
        <v>0.96875</v>
      </c>
      <c r="L80" s="220" t="str">
        <f t="shared" si="138"/>
        <v>Tercapai</v>
      </c>
      <c r="M80" s="220"/>
      <c r="AF80" s="33"/>
      <c r="AG80" s="33"/>
      <c r="AH80" s="33"/>
      <c r="AI80" s="33"/>
      <c r="AJ80" s="33"/>
      <c r="BG80"/>
      <c r="BK80" s="33"/>
    </row>
    <row r="81" spans="3:63">
      <c r="C81" s="299"/>
      <c r="D81" s="220" t="s">
        <v>264</v>
      </c>
      <c r="E81" s="71"/>
      <c r="F81" s="71"/>
      <c r="G81" s="81"/>
      <c r="H81" s="220" t="str">
        <f t="shared" si="136"/>
        <v/>
      </c>
      <c r="I81" s="250"/>
      <c r="J81" s="207"/>
      <c r="K81" s="81" t="str">
        <f t="shared" si="137"/>
        <v/>
      </c>
      <c r="L81" s="220" t="str">
        <f t="shared" si="138"/>
        <v/>
      </c>
      <c r="M81" s="220"/>
      <c r="AF81" s="33"/>
      <c r="AG81" s="33"/>
      <c r="AH81" s="33"/>
      <c r="AI81" s="33"/>
      <c r="AJ81" s="33"/>
      <c r="BG81"/>
      <c r="BK81" s="33"/>
    </row>
    <row r="82" spans="3:63">
      <c r="C82" s="299"/>
      <c r="D82" s="220" t="s">
        <v>265</v>
      </c>
      <c r="E82" s="71"/>
      <c r="F82" s="71">
        <f>IF(CL54="","",CL54)</f>
        <v>37.939062499999999</v>
      </c>
      <c r="G82" s="81">
        <f>IF(CL61="","",CL61)</f>
        <v>0.75878124999999996</v>
      </c>
      <c r="H82" s="220" t="str">
        <f t="shared" si="136"/>
        <v>Tercapai</v>
      </c>
      <c r="I82" s="250">
        <v>32</v>
      </c>
      <c r="J82" s="207">
        <v>31</v>
      </c>
      <c r="K82" s="81">
        <f t="shared" si="137"/>
        <v>0.96875</v>
      </c>
      <c r="L82" s="220" t="str">
        <f t="shared" si="138"/>
        <v>Tercapai</v>
      </c>
      <c r="M82" s="220"/>
      <c r="AF82" s="33"/>
      <c r="AG82" s="33"/>
      <c r="AH82" s="33"/>
      <c r="AI82" s="33"/>
      <c r="AJ82" s="33"/>
      <c r="BG82"/>
      <c r="BK82" s="33"/>
    </row>
    <row r="83" spans="3:63">
      <c r="C83" s="298"/>
      <c r="D83" s="220" t="s">
        <v>266</v>
      </c>
      <c r="E83" s="71"/>
      <c r="F83" s="71"/>
      <c r="G83" s="81"/>
      <c r="H83" s="220" t="str">
        <f t="shared" si="136"/>
        <v/>
      </c>
      <c r="I83" s="250"/>
      <c r="J83" s="207"/>
      <c r="K83" s="81"/>
      <c r="L83" s="220"/>
      <c r="M83" s="220"/>
      <c r="AF83" s="33"/>
      <c r="AG83" s="33"/>
      <c r="AH83" s="33"/>
      <c r="AI83" s="33"/>
      <c r="BG83"/>
      <c r="BK83" s="33"/>
    </row>
    <row r="84" spans="3:63">
      <c r="C84" s="297" t="s">
        <v>140</v>
      </c>
      <c r="D84" s="220" t="s">
        <v>152</v>
      </c>
      <c r="E84" s="71"/>
      <c r="F84" s="71"/>
      <c r="G84" s="81"/>
      <c r="H84" s="220" t="str">
        <f t="shared" si="136"/>
        <v/>
      </c>
      <c r="I84" s="250"/>
      <c r="J84" s="207"/>
      <c r="K84" s="81"/>
      <c r="L84" s="220"/>
      <c r="M84" s="220"/>
      <c r="AF84" s="33"/>
      <c r="AG84" s="33"/>
      <c r="AH84" s="33"/>
      <c r="AI84" s="33"/>
      <c r="BG84"/>
      <c r="BK84" s="33"/>
    </row>
    <row r="85" spans="3:63">
      <c r="C85" s="299"/>
      <c r="D85" s="220" t="s">
        <v>153</v>
      </c>
      <c r="E85" s="71"/>
      <c r="F85" s="71"/>
      <c r="G85" s="81"/>
      <c r="H85" s="220" t="str">
        <f t="shared" si="136"/>
        <v/>
      </c>
      <c r="I85" s="250"/>
      <c r="J85" s="207"/>
      <c r="K85" s="81" t="str">
        <f t="shared" si="137"/>
        <v/>
      </c>
      <c r="L85" s="220" t="str">
        <f t="shared" si="138"/>
        <v/>
      </c>
      <c r="M85" s="220"/>
      <c r="AF85" s="33"/>
      <c r="AG85" s="33"/>
      <c r="AH85" s="33"/>
      <c r="AI85" s="33"/>
      <c r="BG85"/>
      <c r="BK85" s="33"/>
    </row>
    <row r="86" spans="3:63">
      <c r="C86" s="299"/>
      <c r="D86" s="220" t="s">
        <v>267</v>
      </c>
      <c r="E86" s="71"/>
      <c r="F86" s="71"/>
      <c r="G86" s="81"/>
      <c r="H86" s="220" t="str">
        <f t="shared" si="136"/>
        <v/>
      </c>
      <c r="I86" s="250"/>
      <c r="J86" s="207"/>
      <c r="K86" s="81" t="str">
        <f t="shared" si="137"/>
        <v/>
      </c>
      <c r="L86" s="220" t="str">
        <f t="shared" si="138"/>
        <v/>
      </c>
      <c r="M86" s="220"/>
      <c r="AF86" s="33"/>
      <c r="AG86" s="33"/>
      <c r="AH86" s="33"/>
      <c r="AI86" s="33"/>
      <c r="BG86"/>
      <c r="BK86" s="33"/>
    </row>
    <row r="87" spans="3:63">
      <c r="C87" s="299"/>
      <c r="D87" s="220" t="s">
        <v>268</v>
      </c>
      <c r="E87" s="71"/>
      <c r="F87" s="71"/>
      <c r="G87" s="81"/>
      <c r="H87" s="220" t="str">
        <f t="shared" si="136"/>
        <v/>
      </c>
      <c r="I87" s="250"/>
      <c r="J87" s="207"/>
      <c r="K87" s="81" t="str">
        <f t="shared" si="137"/>
        <v/>
      </c>
      <c r="L87" s="220" t="str">
        <f t="shared" si="138"/>
        <v/>
      </c>
      <c r="M87" s="220"/>
      <c r="AF87" s="33"/>
      <c r="AG87" s="33"/>
      <c r="AH87" s="33"/>
      <c r="AI87" s="33"/>
      <c r="BG87"/>
      <c r="BK87" s="33"/>
    </row>
    <row r="88" spans="3:63">
      <c r="C88" s="299"/>
      <c r="D88" s="220" t="s">
        <v>269</v>
      </c>
      <c r="E88" s="71"/>
      <c r="F88" s="71"/>
      <c r="G88" s="81"/>
      <c r="H88" s="220" t="str">
        <f t="shared" si="136"/>
        <v/>
      </c>
      <c r="I88" s="250"/>
      <c r="J88" s="207"/>
      <c r="K88" s="81" t="str">
        <f t="shared" si="137"/>
        <v/>
      </c>
      <c r="L88" s="220" t="str">
        <f t="shared" si="138"/>
        <v/>
      </c>
      <c r="M88" s="220"/>
      <c r="AF88" s="33"/>
      <c r="AG88" s="33"/>
      <c r="AH88" s="33"/>
      <c r="AI88" s="33"/>
      <c r="BG88"/>
      <c r="BK88" s="33"/>
    </row>
    <row r="89" spans="3:63">
      <c r="C89" s="299"/>
      <c r="D89" s="220" t="s">
        <v>270</v>
      </c>
      <c r="E89" s="71"/>
      <c r="F89" s="71"/>
      <c r="G89" s="81"/>
      <c r="H89" s="220" t="str">
        <f t="shared" si="136"/>
        <v/>
      </c>
      <c r="I89" s="250"/>
      <c r="J89" s="207"/>
      <c r="K89" s="81" t="str">
        <f t="shared" si="137"/>
        <v/>
      </c>
      <c r="L89" s="220" t="str">
        <f t="shared" si="138"/>
        <v/>
      </c>
      <c r="M89" s="220"/>
      <c r="AF89" s="33"/>
      <c r="AG89" s="33"/>
      <c r="AH89" s="33"/>
      <c r="AI89" s="33"/>
      <c r="BG89"/>
      <c r="BK89" s="33"/>
    </row>
    <row r="90" spans="3:63">
      <c r="C90" s="299"/>
      <c r="D90" s="220" t="s">
        <v>271</v>
      </c>
      <c r="E90" s="71"/>
      <c r="F90" s="71"/>
      <c r="G90" s="81"/>
      <c r="H90" s="220" t="str">
        <f t="shared" si="136"/>
        <v/>
      </c>
      <c r="I90" s="250"/>
      <c r="J90" s="207"/>
      <c r="K90" s="81" t="str">
        <f t="shared" si="137"/>
        <v/>
      </c>
      <c r="L90" s="220" t="str">
        <f t="shared" si="138"/>
        <v/>
      </c>
      <c r="M90" s="220"/>
      <c r="AF90" s="33"/>
      <c r="AG90" s="33"/>
      <c r="AH90" s="33"/>
      <c r="AI90" s="33"/>
      <c r="BG90"/>
      <c r="BK90" s="33"/>
    </row>
    <row r="91" spans="3:63">
      <c r="C91" s="298"/>
      <c r="D91" s="220" t="s">
        <v>272</v>
      </c>
      <c r="E91" s="71"/>
      <c r="F91" s="71"/>
      <c r="G91" s="81"/>
      <c r="H91" s="220" t="str">
        <f t="shared" si="136"/>
        <v/>
      </c>
      <c r="I91" s="250"/>
      <c r="J91" s="207" t="str">
        <f>IF(CW61="","",CW61)</f>
        <v/>
      </c>
      <c r="K91" s="81" t="str">
        <f t="shared" si="137"/>
        <v/>
      </c>
      <c r="L91" s="220" t="str">
        <f t="shared" si="138"/>
        <v/>
      </c>
      <c r="M91" s="220"/>
      <c r="AF91" s="33"/>
      <c r="AG91" s="33"/>
      <c r="AH91" s="33"/>
      <c r="AI91" s="33"/>
      <c r="BG91"/>
      <c r="BK91" s="33"/>
    </row>
    <row r="92" spans="3:63">
      <c r="C92" s="297" t="s">
        <v>141</v>
      </c>
      <c r="D92" s="220" t="s">
        <v>154</v>
      </c>
      <c r="E92" s="71"/>
      <c r="F92" s="71">
        <f>IF(DD54="","",DD54)</f>
        <v>36.353124999999999</v>
      </c>
      <c r="G92" s="81">
        <f>IF(DD61="","",DD61)</f>
        <v>0.72706249999999994</v>
      </c>
      <c r="H92" s="220" t="str">
        <f t="shared" si="136"/>
        <v>Tercapai</v>
      </c>
      <c r="I92" s="250">
        <v>32</v>
      </c>
      <c r="J92" s="207">
        <v>31</v>
      </c>
      <c r="K92" s="81">
        <f t="shared" si="137"/>
        <v>0.96875</v>
      </c>
      <c r="L92" s="220" t="str">
        <f t="shared" si="138"/>
        <v>Tercapai</v>
      </c>
      <c r="M92" s="220"/>
      <c r="AF92" s="33"/>
      <c r="AG92" s="33"/>
      <c r="AH92" s="33"/>
      <c r="AI92" s="33"/>
      <c r="BG92"/>
      <c r="BK92" s="33"/>
    </row>
    <row r="93" spans="3:63">
      <c r="C93" s="299"/>
      <c r="D93" s="220" t="s">
        <v>155</v>
      </c>
      <c r="E93" s="71"/>
      <c r="F93" s="71">
        <f>IF(DF54="","",DF54)</f>
        <v>40.782812500000006</v>
      </c>
      <c r="G93" s="81">
        <f>IF(DF61="","",DF61)</f>
        <v>0.81565625000000008</v>
      </c>
      <c r="H93" s="220" t="str">
        <f t="shared" si="136"/>
        <v>Tercapai</v>
      </c>
      <c r="I93" s="250">
        <v>32</v>
      </c>
      <c r="J93" s="207">
        <v>31</v>
      </c>
      <c r="K93" s="81">
        <f t="shared" si="137"/>
        <v>0.96875</v>
      </c>
      <c r="L93" s="220" t="str">
        <f t="shared" si="138"/>
        <v>Tercapai</v>
      </c>
      <c r="M93" s="220"/>
      <c r="AF93" s="33"/>
      <c r="AG93" s="33"/>
      <c r="AH93" s="33"/>
      <c r="AI93" s="33"/>
      <c r="BG93"/>
      <c r="BK93" s="33"/>
    </row>
    <row r="94" spans="3:63">
      <c r="C94" s="299"/>
      <c r="D94" s="220" t="s">
        <v>156</v>
      </c>
      <c r="E94" s="71"/>
      <c r="F94" s="71"/>
      <c r="G94" s="81"/>
      <c r="H94" s="220" t="str">
        <f t="shared" si="136"/>
        <v/>
      </c>
      <c r="I94" s="250"/>
      <c r="J94" s="207" t="str">
        <f>IF(DC61="","",DC61)</f>
        <v/>
      </c>
      <c r="K94" s="81" t="str">
        <f t="shared" si="137"/>
        <v/>
      </c>
      <c r="L94" s="220" t="str">
        <f t="shared" si="138"/>
        <v/>
      </c>
      <c r="M94" s="220"/>
      <c r="AF94" s="33"/>
      <c r="AG94" s="33"/>
      <c r="AH94" s="33"/>
      <c r="AI94" s="33"/>
      <c r="BG94"/>
      <c r="BK94" s="33"/>
    </row>
    <row r="95" spans="3:63">
      <c r="C95" s="298"/>
      <c r="D95" s="220" t="s">
        <v>157</v>
      </c>
      <c r="E95" s="71"/>
      <c r="F95" s="71"/>
      <c r="G95" s="81"/>
      <c r="H95" s="220" t="str">
        <f t="shared" si="136"/>
        <v/>
      </c>
      <c r="I95" s="250"/>
      <c r="J95" s="207"/>
      <c r="K95" s="81" t="str">
        <f t="shared" si="137"/>
        <v/>
      </c>
      <c r="L95" s="220" t="str">
        <f t="shared" si="138"/>
        <v/>
      </c>
      <c r="M95" s="220"/>
      <c r="AF95" s="33"/>
      <c r="AG95" s="33"/>
      <c r="AH95" s="33"/>
      <c r="AI95" s="33"/>
      <c r="BG95"/>
      <c r="BK95" s="33"/>
    </row>
    <row r="96" spans="3:63">
      <c r="C96" s="297" t="s">
        <v>142</v>
      </c>
      <c r="D96" s="220" t="s">
        <v>158</v>
      </c>
      <c r="E96" s="71"/>
      <c r="F96" s="71"/>
      <c r="G96" s="81"/>
      <c r="H96" s="220" t="str">
        <f t="shared" si="136"/>
        <v/>
      </c>
      <c r="I96" s="250"/>
      <c r="J96" s="207"/>
      <c r="K96" s="81" t="str">
        <f t="shared" si="137"/>
        <v/>
      </c>
      <c r="L96" s="220" t="str">
        <f t="shared" si="138"/>
        <v/>
      </c>
      <c r="M96" s="220"/>
      <c r="AF96" s="33"/>
      <c r="AG96" s="33"/>
      <c r="AH96" s="33"/>
      <c r="AI96" s="33"/>
      <c r="BG96"/>
      <c r="BK96" s="33"/>
    </row>
    <row r="97" spans="3:63">
      <c r="C97" s="299"/>
      <c r="D97" s="220" t="s">
        <v>159</v>
      </c>
      <c r="E97" s="71"/>
      <c r="F97" s="71"/>
      <c r="G97" s="81"/>
      <c r="H97" s="220" t="str">
        <f t="shared" si="136"/>
        <v/>
      </c>
      <c r="I97" s="250"/>
      <c r="J97" s="207"/>
      <c r="K97" s="81" t="str">
        <f t="shared" si="137"/>
        <v/>
      </c>
      <c r="L97" s="220" t="str">
        <f t="shared" si="138"/>
        <v/>
      </c>
      <c r="M97" s="220"/>
      <c r="AF97" s="33"/>
      <c r="AG97" s="33"/>
      <c r="AH97" s="33"/>
      <c r="AI97" s="33"/>
      <c r="BG97"/>
      <c r="BK97" s="33"/>
    </row>
    <row r="98" spans="3:63">
      <c r="C98" s="299"/>
      <c r="D98" s="220" t="s">
        <v>160</v>
      </c>
      <c r="E98" s="71"/>
      <c r="F98" s="71"/>
      <c r="G98" s="81"/>
      <c r="H98" s="220" t="str">
        <f t="shared" si="136"/>
        <v/>
      </c>
      <c r="I98" s="250"/>
      <c r="J98" s="207"/>
      <c r="K98" s="81" t="str">
        <f t="shared" si="137"/>
        <v/>
      </c>
      <c r="L98" s="220" t="str">
        <f t="shared" si="138"/>
        <v/>
      </c>
      <c r="M98" s="220"/>
      <c r="AF98" s="33"/>
      <c r="AG98" s="33"/>
      <c r="AH98" s="33"/>
      <c r="AI98" s="33"/>
      <c r="BG98"/>
      <c r="BK98" s="33"/>
    </row>
    <row r="99" spans="3:63">
      <c r="C99" s="299"/>
      <c r="D99" s="220" t="s">
        <v>273</v>
      </c>
      <c r="E99" s="71"/>
      <c r="F99" s="71"/>
      <c r="G99" s="81"/>
      <c r="H99" s="220" t="str">
        <f t="shared" si="136"/>
        <v/>
      </c>
      <c r="I99" s="250"/>
      <c r="J99" s="207"/>
      <c r="K99" s="81" t="str">
        <f t="shared" si="137"/>
        <v/>
      </c>
      <c r="L99" s="220" t="str">
        <f t="shared" si="138"/>
        <v/>
      </c>
      <c r="M99" s="220"/>
      <c r="AF99" s="33"/>
      <c r="AG99" s="33"/>
      <c r="AH99" s="33"/>
      <c r="AI99" s="33"/>
      <c r="BG99"/>
      <c r="BK99" s="33"/>
    </row>
    <row r="100" spans="3:63">
      <c r="C100" s="299"/>
      <c r="D100" s="220" t="s">
        <v>274</v>
      </c>
      <c r="E100" s="71"/>
      <c r="F100" s="71"/>
      <c r="G100" s="81"/>
      <c r="H100" s="220" t="str">
        <f t="shared" si="136"/>
        <v/>
      </c>
      <c r="I100" s="250"/>
      <c r="J100" s="207" t="str">
        <f>IF(DI61="","",DI61)</f>
        <v/>
      </c>
      <c r="K100" s="81" t="str">
        <f t="shared" si="137"/>
        <v/>
      </c>
      <c r="L100" s="220" t="str">
        <f t="shared" si="138"/>
        <v/>
      </c>
      <c r="M100" s="220"/>
      <c r="AF100" s="33"/>
      <c r="AG100" s="33"/>
      <c r="AH100" s="33"/>
      <c r="AI100" s="33"/>
      <c r="BG100"/>
      <c r="BK100" s="33"/>
    </row>
    <row r="101" spans="3:63">
      <c r="C101" s="298"/>
      <c r="D101" s="220" t="s">
        <v>275</v>
      </c>
      <c r="E101" s="71"/>
      <c r="F101" s="71"/>
      <c r="G101" s="81"/>
      <c r="H101" s="220" t="str">
        <f t="shared" si="136"/>
        <v/>
      </c>
      <c r="I101" s="250"/>
      <c r="J101" s="207" t="str">
        <f>IF(DQ61="","",DQ61)</f>
        <v/>
      </c>
      <c r="K101" s="81" t="str">
        <f t="shared" si="137"/>
        <v/>
      </c>
      <c r="L101" s="220" t="str">
        <f t="shared" si="138"/>
        <v/>
      </c>
      <c r="M101" s="220"/>
      <c r="AF101" s="33"/>
      <c r="AG101" s="33"/>
      <c r="AH101" s="33"/>
      <c r="AI101" s="33"/>
      <c r="BG101"/>
      <c r="BK101" s="33"/>
    </row>
    <row r="102" spans="3:63">
      <c r="C102" s="297" t="s">
        <v>143</v>
      </c>
      <c r="D102" s="220" t="s">
        <v>161</v>
      </c>
      <c r="E102" s="71"/>
      <c r="F102" s="71">
        <f>IF(DX54="","",DX54)</f>
        <v>40.12062499999999</v>
      </c>
      <c r="G102" s="81">
        <f>IF(DX61="","",DX61)</f>
        <v>0.80241249999999975</v>
      </c>
      <c r="H102" s="220" t="str">
        <f t="shared" si="136"/>
        <v>Tercapai</v>
      </c>
      <c r="I102" s="250">
        <v>32</v>
      </c>
      <c r="J102" s="207">
        <v>30</v>
      </c>
      <c r="K102" s="81">
        <f t="shared" si="137"/>
        <v>0.9375</v>
      </c>
      <c r="L102" s="220" t="str">
        <f t="shared" si="138"/>
        <v>Tercapai</v>
      </c>
      <c r="M102" s="220"/>
      <c r="AF102" s="33"/>
      <c r="AG102" s="33"/>
      <c r="AH102" s="33"/>
      <c r="AI102" s="33"/>
      <c r="BG102"/>
      <c r="BK102" s="33"/>
    </row>
    <row r="103" spans="3:63">
      <c r="C103" s="299"/>
      <c r="D103" s="220" t="s">
        <v>162</v>
      </c>
      <c r="E103" s="71"/>
      <c r="F103" s="71"/>
      <c r="G103" s="81"/>
      <c r="H103" s="220" t="str">
        <f t="shared" si="136"/>
        <v/>
      </c>
      <c r="I103" s="250"/>
      <c r="J103" s="207"/>
      <c r="K103" s="81" t="str">
        <f t="shared" si="137"/>
        <v/>
      </c>
      <c r="L103" s="220" t="str">
        <f t="shared" si="138"/>
        <v/>
      </c>
      <c r="M103" s="220"/>
      <c r="AF103" s="33"/>
      <c r="AG103" s="33"/>
      <c r="AH103" s="33"/>
      <c r="AI103" s="33"/>
      <c r="BG103"/>
      <c r="BK103" s="33"/>
    </row>
    <row r="104" spans="3:63">
      <c r="C104" s="298"/>
      <c r="D104" s="220" t="s">
        <v>276</v>
      </c>
      <c r="E104" s="71"/>
      <c r="F104" s="71"/>
      <c r="G104" s="81"/>
      <c r="H104" s="220" t="str">
        <f t="shared" si="136"/>
        <v/>
      </c>
      <c r="I104" s="250"/>
      <c r="J104" s="207"/>
      <c r="K104" s="81" t="str">
        <f t="shared" si="137"/>
        <v/>
      </c>
      <c r="L104" s="220" t="str">
        <f t="shared" si="138"/>
        <v/>
      </c>
      <c r="M104" s="220"/>
      <c r="AF104" s="33"/>
      <c r="AG104" s="33"/>
      <c r="AH104" s="33"/>
      <c r="AI104" s="33"/>
      <c r="BG104"/>
      <c r="BK104" s="33"/>
    </row>
    <row r="105" spans="3:63">
      <c r="C105" s="297" t="s">
        <v>110</v>
      </c>
      <c r="D105" s="220" t="s">
        <v>145</v>
      </c>
      <c r="E105" s="71"/>
      <c r="F105" s="71">
        <f>IF(ED54="","",ED54)</f>
        <v>38.301406250000007</v>
      </c>
      <c r="G105" s="81">
        <f>IF(ED61="","",ED61)</f>
        <v>0.76602812500000017</v>
      </c>
      <c r="H105" s="220" t="str">
        <f t="shared" si="136"/>
        <v>Tercapai</v>
      </c>
      <c r="I105" s="250">
        <v>32</v>
      </c>
      <c r="J105" s="207">
        <v>30</v>
      </c>
      <c r="K105" s="81">
        <f t="shared" si="137"/>
        <v>0.9375</v>
      </c>
      <c r="L105" s="220" t="str">
        <f t="shared" si="138"/>
        <v>Tercapai</v>
      </c>
      <c r="M105" s="220"/>
      <c r="AF105" s="33"/>
      <c r="AG105" s="33"/>
      <c r="AH105" s="33"/>
      <c r="AI105" s="33"/>
      <c r="BG105"/>
      <c r="BK105" s="33"/>
    </row>
    <row r="106" spans="3:63">
      <c r="C106" s="299"/>
      <c r="D106" s="220" t="s">
        <v>112</v>
      </c>
      <c r="E106" s="71"/>
      <c r="F106" s="71"/>
      <c r="G106" s="81"/>
      <c r="H106" s="220" t="str">
        <f t="shared" si="136"/>
        <v/>
      </c>
      <c r="I106" s="250"/>
      <c r="J106" s="207"/>
      <c r="K106" s="81" t="str">
        <f t="shared" si="137"/>
        <v/>
      </c>
      <c r="L106" s="220" t="str">
        <f t="shared" si="138"/>
        <v/>
      </c>
      <c r="M106" s="220"/>
      <c r="AF106" s="33"/>
      <c r="AG106" s="33"/>
      <c r="AH106" s="33"/>
      <c r="AI106" s="33"/>
      <c r="BG106"/>
      <c r="BK106" s="33"/>
    </row>
    <row r="107" spans="3:63">
      <c r="C107" s="298"/>
      <c r="D107" s="220" t="s">
        <v>277</v>
      </c>
      <c r="E107" s="71"/>
      <c r="F107" s="71"/>
      <c r="G107" s="81"/>
      <c r="H107" s="220" t="str">
        <f t="shared" si="136"/>
        <v/>
      </c>
      <c r="I107" s="250"/>
      <c r="J107" s="207"/>
      <c r="K107" s="81" t="str">
        <f t="shared" si="137"/>
        <v/>
      </c>
      <c r="L107" s="220" t="str">
        <f t="shared" si="138"/>
        <v/>
      </c>
      <c r="M107" s="220"/>
      <c r="AF107" s="33"/>
      <c r="AG107" s="33"/>
      <c r="AH107" s="33"/>
      <c r="AI107" s="33"/>
      <c r="BG107"/>
      <c r="BK107" s="33"/>
    </row>
    <row r="108" spans="3:63">
      <c r="C108" s="297" t="s">
        <v>117</v>
      </c>
      <c r="D108" s="220" t="s">
        <v>120</v>
      </c>
      <c r="E108" s="71" t="str">
        <f>IF(EC5="","",EC5)</f>
        <v/>
      </c>
      <c r="F108" s="71" t="str">
        <f>IF(EC54="","",EC54)</f>
        <v/>
      </c>
      <c r="G108" s="81"/>
      <c r="H108" s="220"/>
      <c r="I108" s="250"/>
      <c r="J108" s="207"/>
      <c r="K108" s="81"/>
      <c r="L108" s="220"/>
      <c r="M108" s="220"/>
      <c r="AF108" s="33"/>
      <c r="AG108" s="33"/>
      <c r="AH108" s="33"/>
      <c r="AI108" s="33"/>
      <c r="BG108"/>
      <c r="BK108" s="33"/>
    </row>
    <row r="109" spans="3:63">
      <c r="C109" s="299"/>
      <c r="D109" s="220" t="s">
        <v>163</v>
      </c>
      <c r="E109" s="71"/>
      <c r="F109" s="71"/>
      <c r="G109" s="81"/>
      <c r="H109" s="220" t="str">
        <f t="shared" si="136"/>
        <v/>
      </c>
      <c r="I109" s="250"/>
      <c r="J109" s="207"/>
      <c r="K109" s="81" t="str">
        <f t="shared" si="137"/>
        <v/>
      </c>
      <c r="L109" s="220" t="str">
        <f t="shared" si="138"/>
        <v/>
      </c>
      <c r="M109" s="220"/>
      <c r="AF109" s="33"/>
      <c r="AG109" s="33"/>
      <c r="AH109" s="33"/>
      <c r="AI109" s="33"/>
      <c r="BG109"/>
      <c r="BK109" s="33"/>
    </row>
    <row r="110" spans="3:63">
      <c r="C110" s="299"/>
      <c r="D110" s="220" t="s">
        <v>254</v>
      </c>
      <c r="E110" s="71"/>
      <c r="F110" s="71"/>
      <c r="G110" s="81"/>
      <c r="H110" s="220" t="str">
        <f t="shared" si="136"/>
        <v/>
      </c>
      <c r="I110" s="250"/>
      <c r="J110" s="207"/>
      <c r="K110" s="81" t="str">
        <f t="shared" si="137"/>
        <v/>
      </c>
      <c r="L110" s="220" t="str">
        <f t="shared" si="138"/>
        <v/>
      </c>
      <c r="M110" s="220"/>
      <c r="AF110" s="33"/>
      <c r="AG110" s="33"/>
      <c r="AH110" s="33"/>
      <c r="AI110" s="33"/>
      <c r="BG110"/>
      <c r="BK110" s="33"/>
    </row>
    <row r="111" spans="3:63">
      <c r="C111" s="299"/>
      <c r="D111" s="220" t="s">
        <v>255</v>
      </c>
      <c r="E111" s="71" t="str">
        <f>IF(EI5="","",EI5)</f>
        <v/>
      </c>
      <c r="F111" s="71">
        <f>IF(EN54="","",EN54)</f>
        <v>26.838181249999991</v>
      </c>
      <c r="G111" s="81">
        <f>IF(EN61="","",EN61)</f>
        <v>0.7253562499999997</v>
      </c>
      <c r="H111" s="220" t="str">
        <f t="shared" si="136"/>
        <v>Tercapai</v>
      </c>
      <c r="I111" s="250">
        <v>32</v>
      </c>
      <c r="J111" s="207">
        <v>29</v>
      </c>
      <c r="K111" s="81">
        <f t="shared" si="137"/>
        <v>0.90625</v>
      </c>
      <c r="L111" s="220" t="str">
        <f t="shared" si="138"/>
        <v>Tercapai</v>
      </c>
      <c r="M111" s="220"/>
      <c r="AF111" s="33"/>
      <c r="AG111" s="33"/>
      <c r="AH111" s="33"/>
      <c r="AI111" s="33"/>
      <c r="BG111"/>
      <c r="BK111" s="33"/>
    </row>
    <row r="112" spans="3:63">
      <c r="C112" s="298"/>
      <c r="D112" s="220" t="s">
        <v>278</v>
      </c>
      <c r="E112" s="71"/>
      <c r="F112" s="71"/>
      <c r="G112" s="81"/>
      <c r="H112" s="220" t="str">
        <f t="shared" si="136"/>
        <v/>
      </c>
      <c r="I112" s="250"/>
      <c r="J112" s="207" t="str">
        <f>IF(EK61="","",EK61)</f>
        <v/>
      </c>
      <c r="K112" s="81" t="str">
        <f t="shared" si="137"/>
        <v/>
      </c>
      <c r="L112" s="220" t="str">
        <f t="shared" si="138"/>
        <v/>
      </c>
      <c r="M112" s="220"/>
      <c r="AF112" s="33"/>
      <c r="AG112" s="33"/>
      <c r="AH112" s="33"/>
      <c r="AI112" s="33"/>
      <c r="BG112"/>
      <c r="BK112" s="33"/>
    </row>
    <row r="113" spans="3:63">
      <c r="C113" s="297" t="s">
        <v>144</v>
      </c>
      <c r="D113" s="220" t="s">
        <v>164</v>
      </c>
      <c r="E113" s="71" t="str">
        <f>IF(EM5="","",EM5)</f>
        <v/>
      </c>
      <c r="F113" s="71">
        <f>IF(ER54="","",ER54)</f>
        <v>23.929434374999992</v>
      </c>
      <c r="G113" s="81">
        <f>IF(ER61="","",ER61)</f>
        <v>0.72513437499999978</v>
      </c>
      <c r="H113" s="220" t="str">
        <f t="shared" si="136"/>
        <v>Tercapai</v>
      </c>
      <c r="I113" s="250">
        <v>32</v>
      </c>
      <c r="J113" s="207">
        <v>27</v>
      </c>
      <c r="K113" s="81">
        <f t="shared" si="137"/>
        <v>0.84375</v>
      </c>
      <c r="L113" s="220" t="str">
        <f t="shared" si="138"/>
        <v>Tercapai</v>
      </c>
      <c r="M113" s="220"/>
      <c r="AF113" s="33"/>
      <c r="AG113" s="33"/>
      <c r="AH113" s="33"/>
      <c r="AI113" s="33"/>
      <c r="BG113"/>
      <c r="BK113" s="33"/>
    </row>
    <row r="114" spans="3:63">
      <c r="C114" s="299"/>
      <c r="D114" s="220" t="s">
        <v>165</v>
      </c>
      <c r="E114" s="71"/>
      <c r="F114" s="221">
        <f>IF(ET54="","",ET54)</f>
        <v>22.362562499999999</v>
      </c>
      <c r="G114" s="81">
        <f>IF(ET61="","",ET61)</f>
        <v>0.74541875000000002</v>
      </c>
      <c r="H114" s="220" t="str">
        <f t="shared" si="136"/>
        <v>Tercapai</v>
      </c>
      <c r="I114" s="250">
        <v>32</v>
      </c>
      <c r="J114" s="207">
        <v>38</v>
      </c>
      <c r="K114" s="220"/>
      <c r="L114" s="220" t="str">
        <f t="shared" si="138"/>
        <v/>
      </c>
      <c r="M114" s="220"/>
      <c r="AF114" s="33"/>
      <c r="AG114" s="33"/>
      <c r="AH114" s="33"/>
      <c r="AI114" s="33"/>
      <c r="BG114"/>
      <c r="BK114" s="33"/>
    </row>
    <row r="115" spans="3:63">
      <c r="C115" s="299"/>
      <c r="D115" s="220" t="s">
        <v>279</v>
      </c>
      <c r="E115" s="71"/>
      <c r="F115" s="220"/>
      <c r="G115" s="81"/>
      <c r="H115" s="220" t="str">
        <f t="shared" si="136"/>
        <v/>
      </c>
      <c r="I115" s="250"/>
      <c r="J115" s="207"/>
      <c r="K115" s="220"/>
      <c r="L115" s="220" t="str">
        <f t="shared" si="138"/>
        <v/>
      </c>
      <c r="M115" s="220"/>
      <c r="AF115" s="33"/>
      <c r="AG115" s="33"/>
      <c r="AH115" s="33"/>
      <c r="AI115" s="33"/>
      <c r="BG115"/>
      <c r="BK115" s="33"/>
    </row>
    <row r="116" spans="3:63">
      <c r="C116" s="299"/>
      <c r="D116" s="220" t="s">
        <v>256</v>
      </c>
      <c r="E116" s="71"/>
      <c r="F116" s="220"/>
      <c r="G116" s="81"/>
      <c r="H116" s="220" t="str">
        <f t="shared" si="136"/>
        <v/>
      </c>
      <c r="I116" s="250"/>
      <c r="J116" s="207"/>
      <c r="K116" s="220"/>
      <c r="L116" s="220" t="str">
        <f t="shared" si="138"/>
        <v/>
      </c>
      <c r="M116" s="220"/>
      <c r="AF116" s="33"/>
      <c r="AG116" s="33"/>
      <c r="AH116" s="33"/>
      <c r="AI116" s="33"/>
      <c r="BG116"/>
      <c r="BK116" s="33"/>
    </row>
    <row r="117" spans="3:63">
      <c r="C117" s="298"/>
      <c r="D117" s="220" t="s">
        <v>257</v>
      </c>
      <c r="E117" s="71"/>
      <c r="F117" s="220"/>
      <c r="G117" s="81"/>
      <c r="H117" s="220" t="str">
        <f t="shared" si="136"/>
        <v/>
      </c>
      <c r="I117" s="250"/>
      <c r="J117" s="207"/>
      <c r="K117" s="220"/>
      <c r="L117" s="220" t="str">
        <f t="shared" si="138"/>
        <v/>
      </c>
      <c r="M117" s="220"/>
      <c r="AF117" s="33"/>
      <c r="AG117" s="33"/>
      <c r="AH117" s="33"/>
      <c r="AI117" s="33"/>
      <c r="BG117"/>
      <c r="BK117" s="33"/>
    </row>
    <row r="118" spans="3:63">
      <c r="C118" s="297" t="s">
        <v>118</v>
      </c>
      <c r="D118" s="220" t="s">
        <v>121</v>
      </c>
      <c r="E118" s="71"/>
      <c r="F118" s="220">
        <f>IF(FB54="","",FB54)</f>
        <v>36.474999999999994</v>
      </c>
      <c r="G118" s="81">
        <f>IF(FB61="","",FB61)</f>
        <v>0.72949999999999993</v>
      </c>
      <c r="H118" s="220" t="str">
        <f t="shared" si="136"/>
        <v>Tercapai</v>
      </c>
      <c r="I118" s="250">
        <v>32</v>
      </c>
      <c r="J118" s="207">
        <v>26</v>
      </c>
      <c r="K118" s="220"/>
      <c r="L118" s="220" t="str">
        <f t="shared" si="138"/>
        <v/>
      </c>
      <c r="M118" s="220"/>
      <c r="AF118" s="33"/>
      <c r="AG118" s="33"/>
      <c r="AH118" s="33"/>
      <c r="AI118" s="33"/>
      <c r="BG118"/>
      <c r="BK118" s="33"/>
    </row>
    <row r="119" spans="3:63">
      <c r="C119" s="299"/>
      <c r="D119" s="220" t="s">
        <v>126</v>
      </c>
      <c r="E119" s="71"/>
      <c r="F119" s="220">
        <f>IF(FD54="","",FD54)</f>
        <v>40.782812500000006</v>
      </c>
      <c r="G119" s="81">
        <f>IF(FD61="","",FD61)</f>
        <v>0.81565625000000008</v>
      </c>
      <c r="H119" s="220" t="str">
        <f t="shared" si="136"/>
        <v>Tercapai</v>
      </c>
      <c r="I119" s="250">
        <v>32</v>
      </c>
      <c r="J119" s="207">
        <v>31</v>
      </c>
      <c r="K119" s="220"/>
      <c r="L119" s="220" t="str">
        <f t="shared" si="138"/>
        <v/>
      </c>
      <c r="M119" s="220"/>
      <c r="AF119" s="33"/>
      <c r="AG119" s="33"/>
      <c r="AH119" s="33"/>
      <c r="AI119" s="33"/>
      <c r="BG119"/>
      <c r="BK119" s="33"/>
    </row>
    <row r="120" spans="3:63">
      <c r="C120" s="299"/>
      <c r="D120" s="220" t="s">
        <v>260</v>
      </c>
      <c r="E120" s="71"/>
      <c r="F120" s="220"/>
      <c r="G120" s="81"/>
      <c r="H120" s="220" t="str">
        <f t="shared" si="136"/>
        <v/>
      </c>
      <c r="I120" s="250"/>
      <c r="J120" s="207"/>
      <c r="K120" s="220"/>
      <c r="L120" s="220" t="str">
        <f t="shared" si="138"/>
        <v/>
      </c>
      <c r="M120" s="220"/>
      <c r="AF120" s="33"/>
      <c r="AG120" s="33"/>
      <c r="AH120" s="33"/>
      <c r="AI120" s="33"/>
      <c r="BG120"/>
      <c r="BK120" s="33"/>
    </row>
    <row r="121" spans="3:63">
      <c r="C121" s="298"/>
      <c r="D121" s="220" t="s">
        <v>280</v>
      </c>
      <c r="E121" s="71"/>
      <c r="F121" s="220"/>
      <c r="G121" s="81"/>
      <c r="H121" s="220" t="str">
        <f t="shared" si="136"/>
        <v/>
      </c>
      <c r="I121" s="250"/>
      <c r="J121" s="207">
        <f>IF(FE61="","",FE61)</f>
        <v>31</v>
      </c>
      <c r="K121" s="220" t="str">
        <f>IF(FF61="","",FF61)</f>
        <v/>
      </c>
      <c r="L121" s="220" t="str">
        <f t="shared" si="138"/>
        <v/>
      </c>
      <c r="M121" s="220"/>
      <c r="AF121" s="33"/>
      <c r="AG121" s="33"/>
      <c r="AH121" s="33"/>
      <c r="AI121" s="33"/>
      <c r="BG121"/>
      <c r="BK121" s="33"/>
    </row>
    <row r="123" spans="3:63">
      <c r="F123" s="33">
        <f>SUM(F66:F121)</f>
        <v>538.40976562499998</v>
      </c>
      <c r="G123" s="85">
        <f>SUM(G66:G121)</f>
        <v>12.263562499999999</v>
      </c>
      <c r="H123" s="86" t="e">
        <f>AVERAGE(H66:H121)</f>
        <v>#DIV/0!</v>
      </c>
    </row>
  </sheetData>
  <mergeCells count="141">
    <mergeCell ref="X4:Y4"/>
    <mergeCell ref="X5:Y5"/>
    <mergeCell ref="X6:Y6"/>
    <mergeCell ref="CE8:CE9"/>
    <mergeCell ref="Q4:Q9"/>
    <mergeCell ref="R4:S4"/>
    <mergeCell ref="T4:T9"/>
    <mergeCell ref="U4:V4"/>
    <mergeCell ref="W4:W9"/>
    <mergeCell ref="AK7:AK9"/>
    <mergeCell ref="AM7:AM9"/>
    <mergeCell ref="AO7:AO9"/>
    <mergeCell ref="AQ7:AQ9"/>
    <mergeCell ref="BL6:BT6"/>
    <mergeCell ref="BL7:BT7"/>
    <mergeCell ref="AG7:AG9"/>
    <mergeCell ref="AI7:AI9"/>
    <mergeCell ref="N4:P4"/>
    <mergeCell ref="N6:P6"/>
    <mergeCell ref="R6:S6"/>
    <mergeCell ref="U6:V6"/>
    <mergeCell ref="D4:F4"/>
    <mergeCell ref="G4:G9"/>
    <mergeCell ref="H4:I4"/>
    <mergeCell ref="J4:J9"/>
    <mergeCell ref="K4:L4"/>
    <mergeCell ref="M4:M9"/>
    <mergeCell ref="D6:F6"/>
    <mergeCell ref="H6:I6"/>
    <mergeCell ref="K6:L6"/>
    <mergeCell ref="DU8:DU9"/>
    <mergeCell ref="DY8:DY9"/>
    <mergeCell ref="DE8:DE9"/>
    <mergeCell ref="AZ4:BA5"/>
    <mergeCell ref="BB4:BC5"/>
    <mergeCell ref="D5:F5"/>
    <mergeCell ref="H5:I5"/>
    <mergeCell ref="K5:L5"/>
    <mergeCell ref="N5:P5"/>
    <mergeCell ref="R5:S5"/>
    <mergeCell ref="U5:V5"/>
    <mergeCell ref="AN4:AO5"/>
    <mergeCell ref="AP4:AQ5"/>
    <mergeCell ref="AR4:AS5"/>
    <mergeCell ref="AT4:AU5"/>
    <mergeCell ref="AV4:AW5"/>
    <mergeCell ref="AX4:AY5"/>
    <mergeCell ref="AB4:AC5"/>
    <mergeCell ref="AD4:AE5"/>
    <mergeCell ref="AF4:AG5"/>
    <mergeCell ref="AH4:AI5"/>
    <mergeCell ref="AJ4:AK5"/>
    <mergeCell ref="AL4:AM5"/>
    <mergeCell ref="Z4:Z9"/>
    <mergeCell ref="FL7:FO7"/>
    <mergeCell ref="BV7:CA7"/>
    <mergeCell ref="BW8:BW9"/>
    <mergeCell ref="BY8:BY9"/>
    <mergeCell ref="CA8:CA9"/>
    <mergeCell ref="FA8:FA9"/>
    <mergeCell ref="FC8:FC9"/>
    <mergeCell ref="FK8:FK9"/>
    <mergeCell ref="FM8:FM9"/>
    <mergeCell ref="FO8:FO9"/>
    <mergeCell ref="EE8:EE9"/>
    <mergeCell ref="EG8:EG9"/>
    <mergeCell ref="EI8:EI9"/>
    <mergeCell ref="EQ8:EQ9"/>
    <mergeCell ref="ES8:ES9"/>
    <mergeCell ref="EC8:EC9"/>
    <mergeCell ref="EH7:EQ7"/>
    <mergeCell ref="DI8:DI9"/>
    <mergeCell ref="DK8:DK9"/>
    <mergeCell ref="DM8:DM9"/>
    <mergeCell ref="DQ8:DQ9"/>
    <mergeCell ref="DS8:DS9"/>
    <mergeCell ref="DO8:DO9"/>
    <mergeCell ref="DW8:DW9"/>
    <mergeCell ref="C113:C117"/>
    <mergeCell ref="C118:C121"/>
    <mergeCell ref="AU7:AU9"/>
    <mergeCell ref="AW7:AW9"/>
    <mergeCell ref="AY7:AY9"/>
    <mergeCell ref="BA7:BA9"/>
    <mergeCell ref="BC7:BC9"/>
    <mergeCell ref="CO8:CO9"/>
    <mergeCell ref="DC8:DC9"/>
    <mergeCell ref="C84:C91"/>
    <mergeCell ref="C92:C95"/>
    <mergeCell ref="C96:C101"/>
    <mergeCell ref="C102:C104"/>
    <mergeCell ref="C105:C107"/>
    <mergeCell ref="C108:C112"/>
    <mergeCell ref="AS7:AS9"/>
    <mergeCell ref="C66:C68"/>
    <mergeCell ref="C69:C72"/>
    <mergeCell ref="C74:C76"/>
    <mergeCell ref="C77:C83"/>
    <mergeCell ref="AC7:AC9"/>
    <mergeCell ref="AE7:AE9"/>
    <mergeCell ref="DG8:DG9"/>
    <mergeCell ref="BF6:BK6"/>
    <mergeCell ref="BF7:BK7"/>
    <mergeCell ref="BG8:BG9"/>
    <mergeCell ref="BI8:BI9"/>
    <mergeCell ref="BK8:BK9"/>
    <mergeCell ref="BM8:BM9"/>
    <mergeCell ref="BO8:BO9"/>
    <mergeCell ref="BQ8:BQ9"/>
    <mergeCell ref="BS8:BS9"/>
    <mergeCell ref="DA8:DA9"/>
    <mergeCell ref="CY8:CY9"/>
    <mergeCell ref="CW8:CW9"/>
    <mergeCell ref="CU8:CU9"/>
    <mergeCell ref="CS8:CS9"/>
    <mergeCell ref="CQ8:CQ9"/>
    <mergeCell ref="BV6:CA6"/>
    <mergeCell ref="FQ8:FQ9"/>
    <mergeCell ref="FS8:FS9"/>
    <mergeCell ref="CB6:CM6"/>
    <mergeCell ref="CB7:CM7"/>
    <mergeCell ref="CC8:CC9"/>
    <mergeCell ref="CM8:CM9"/>
    <mergeCell ref="ED6:EG6"/>
    <mergeCell ref="ED7:EG7"/>
    <mergeCell ref="DX6:EC6"/>
    <mergeCell ref="DX7:EC7"/>
    <mergeCell ref="DL6:DW6"/>
    <mergeCell ref="DL7:DW7"/>
    <mergeCell ref="DD6:DK6"/>
    <mergeCell ref="DD7:DK7"/>
    <mergeCell ref="CN6:DC6"/>
    <mergeCell ref="CN7:DC7"/>
    <mergeCell ref="FP6:FS6"/>
    <mergeCell ref="FP7:FS7"/>
    <mergeCell ref="FL6:FO6"/>
    <mergeCell ref="FB6:FK6"/>
    <mergeCell ref="FB7:FK7"/>
    <mergeCell ref="ER6:FA6"/>
    <mergeCell ref="ER7:FA7"/>
    <mergeCell ref="EH6:EQ6"/>
  </mergeCells>
  <phoneticPr fontId="21" type="noConversion"/>
  <printOptions horizontalCentered="1"/>
  <pageMargins left="0.31496062992125984" right="0.31496062992125984" top="0.55118110236220474" bottom="0.35433070866141736" header="0" footer="0"/>
  <pageSetup scale="65" orientation="landscape" r:id="rId1"/>
  <rowBreaks count="1" manualBreakCount="1">
    <brk id="61" max="176" man="1"/>
  </rowBreaks>
  <colBreaks count="5" manualBreakCount="5">
    <brk id="13" max="1048575" man="1"/>
    <brk id="26" max="1048575" man="1"/>
    <brk id="79" max="1048575" man="1"/>
    <brk id="127" max="1048575" man="1"/>
    <brk id="167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C255-6725-44BE-8534-89477CD58FD8}">
  <dimension ref="A1:CM92"/>
  <sheetViews>
    <sheetView tabSelected="1" view="pageBreakPreview" topLeftCell="F57" zoomScale="80" zoomScaleNormal="100" zoomScaleSheetLayoutView="80" workbookViewId="0">
      <selection activeCell="H1" sqref="H1"/>
    </sheetView>
  </sheetViews>
  <sheetFormatPr defaultRowHeight="14"/>
  <cols>
    <col min="1" max="1" width="6" customWidth="1"/>
    <col min="2" max="2" width="13.1640625" customWidth="1"/>
    <col min="3" max="3" width="27" style="32" customWidth="1"/>
    <col min="4" max="13" width="10.08203125" style="33" customWidth="1"/>
    <col min="14" max="20" width="11.75" style="33" customWidth="1"/>
    <col min="21" max="26" width="10.1640625" style="33" customWidth="1"/>
    <col min="27" max="27" width="8.75" style="33"/>
    <col min="28" max="28" width="10.6640625" style="33" customWidth="1"/>
    <col min="29" max="29" width="11.33203125" style="33" customWidth="1"/>
    <col min="30" max="30" width="8.75" style="33"/>
    <col min="31" max="31" width="10.33203125" style="33" customWidth="1"/>
    <col min="33" max="33" width="11.33203125" customWidth="1"/>
    <col min="35" max="43" width="11.33203125" customWidth="1"/>
    <col min="45" max="45" width="11.33203125" customWidth="1"/>
    <col min="47" max="49" width="11.33203125" customWidth="1"/>
    <col min="51" max="51" width="11.33203125" customWidth="1"/>
    <col min="52" max="52" width="8.75" style="91"/>
    <col min="54" max="92" width="0" hidden="1" customWidth="1"/>
  </cols>
  <sheetData>
    <row r="1" spans="1:91" ht="20">
      <c r="A1" s="53" t="s">
        <v>174</v>
      </c>
    </row>
    <row r="2" spans="1:91" ht="15.5">
      <c r="A2" s="54" t="s">
        <v>355</v>
      </c>
      <c r="AB2" s="55"/>
    </row>
    <row r="4" spans="1:91" ht="14.5" customHeight="1">
      <c r="D4" s="349" t="str">
        <f>'ListMKSmt-1'!B2</f>
        <v>MK16</v>
      </c>
      <c r="E4" s="350"/>
      <c r="F4" s="351"/>
      <c r="G4" s="324" t="s">
        <v>127</v>
      </c>
      <c r="H4" s="352" t="str">
        <f>'ListMKSmt-1'!B3</f>
        <v>MK17</v>
      </c>
      <c r="I4" s="353"/>
      <c r="J4" s="327" t="s">
        <v>127</v>
      </c>
      <c r="K4" s="354" t="s">
        <v>302</v>
      </c>
      <c r="L4" s="355"/>
      <c r="M4" s="332" t="s">
        <v>127</v>
      </c>
      <c r="N4" s="316" t="s">
        <v>305</v>
      </c>
      <c r="O4" s="317"/>
      <c r="P4" s="318"/>
      <c r="Q4" s="338" t="s">
        <v>127</v>
      </c>
      <c r="R4" s="319" t="s">
        <v>308</v>
      </c>
      <c r="S4" s="320"/>
      <c r="T4" s="341" t="s">
        <v>127</v>
      </c>
      <c r="U4" s="280" t="s">
        <v>311</v>
      </c>
      <c r="V4" s="356"/>
      <c r="W4" s="269" t="s">
        <v>127</v>
      </c>
      <c r="X4" s="345" t="s">
        <v>314</v>
      </c>
      <c r="Y4" s="346"/>
      <c r="Z4" s="321" t="s">
        <v>127</v>
      </c>
      <c r="AB4" s="306" t="s">
        <v>128</v>
      </c>
      <c r="AC4" s="307"/>
      <c r="AD4" s="306" t="s">
        <v>128</v>
      </c>
      <c r="AE4" s="307"/>
      <c r="AF4" s="306" t="s">
        <v>128</v>
      </c>
      <c r="AG4" s="307"/>
      <c r="AH4" s="306" t="s">
        <v>128</v>
      </c>
      <c r="AI4" s="307"/>
      <c r="AJ4" s="306" t="s">
        <v>128</v>
      </c>
      <c r="AK4" s="307"/>
      <c r="AL4" s="306" t="s">
        <v>128</v>
      </c>
      <c r="AM4" s="307"/>
      <c r="AN4" s="306" t="s">
        <v>128</v>
      </c>
      <c r="AO4" s="307"/>
      <c r="AP4" s="306" t="s">
        <v>128</v>
      </c>
      <c r="AQ4" s="307"/>
      <c r="AR4" s="306" t="s">
        <v>128</v>
      </c>
      <c r="AS4" s="307"/>
      <c r="AT4" s="306" t="s">
        <v>128</v>
      </c>
      <c r="AU4" s="307"/>
      <c r="AV4" s="306" t="s">
        <v>128</v>
      </c>
      <c r="AW4" s="307"/>
      <c r="AX4" s="306" t="s">
        <v>128</v>
      </c>
      <c r="AY4" s="307"/>
    </row>
    <row r="5" spans="1:91">
      <c r="D5" s="349" t="str">
        <f>'ListMKSmt-1'!D2</f>
        <v>P.24.05.52.3.11</v>
      </c>
      <c r="E5" s="350"/>
      <c r="F5" s="351"/>
      <c r="G5" s="325"/>
      <c r="H5" s="352" t="str">
        <f>'ListMKSmt-1'!D3</f>
        <v>P.24.05.52.3.12</v>
      </c>
      <c r="I5" s="353"/>
      <c r="J5" s="328"/>
      <c r="K5" s="354" t="str">
        <f>'ListMKSmt-1'!D4</f>
        <v>P.24.05.52.3.13</v>
      </c>
      <c r="L5" s="355"/>
      <c r="M5" s="333"/>
      <c r="N5" s="316" t="str">
        <f>'ListMKSmt-1'!D5</f>
        <v>P.24.05.52.3.14</v>
      </c>
      <c r="O5" s="317"/>
      <c r="P5" s="318"/>
      <c r="Q5" s="339"/>
      <c r="R5" s="319" t="str">
        <f>'ListMKSmt-1'!D6</f>
        <v>P.24.05.52.3.15</v>
      </c>
      <c r="S5" s="320"/>
      <c r="T5" s="342"/>
      <c r="U5" s="280" t="str">
        <f>'ListMKSmt-1'!D7</f>
        <v>P.24.05.52.3.16</v>
      </c>
      <c r="V5" s="356"/>
      <c r="W5" s="270"/>
      <c r="X5" s="347" t="str">
        <f>'ListMKSmt-1'!D8</f>
        <v>U.24.05.52.3.06</v>
      </c>
      <c r="Y5" s="348"/>
      <c r="Z5" s="322"/>
      <c r="AB5" s="308"/>
      <c r="AC5" s="309"/>
      <c r="AD5" s="308"/>
      <c r="AE5" s="309"/>
      <c r="AF5" s="308"/>
      <c r="AG5" s="309"/>
      <c r="AH5" s="308"/>
      <c r="AI5" s="309"/>
      <c r="AJ5" s="308"/>
      <c r="AK5" s="309"/>
      <c r="AL5" s="308"/>
      <c r="AM5" s="309"/>
      <c r="AN5" s="308"/>
      <c r="AO5" s="309"/>
      <c r="AP5" s="308"/>
      <c r="AQ5" s="309"/>
      <c r="AR5" s="308"/>
      <c r="AS5" s="309"/>
      <c r="AT5" s="308"/>
      <c r="AU5" s="309"/>
      <c r="AV5" s="308"/>
      <c r="AW5" s="309"/>
      <c r="AX5" s="308"/>
      <c r="AY5" s="309"/>
    </row>
    <row r="6" spans="1:91">
      <c r="D6" s="349" t="str">
        <f>'ListMKSmt-1'!E2</f>
        <v>Akuntansi Keuangan Menengah 1</v>
      </c>
      <c r="E6" s="350"/>
      <c r="F6" s="351"/>
      <c r="G6" s="325"/>
      <c r="H6" s="352" t="str">
        <f>'ListMKSmt-1'!E3</f>
        <v>Statistika 1</v>
      </c>
      <c r="I6" s="353"/>
      <c r="J6" s="328"/>
      <c r="K6" s="354" t="str">
        <f>'ListMKSmt-1'!E4</f>
        <v>Pengauditan 1</v>
      </c>
      <c r="L6" s="355"/>
      <c r="M6" s="333"/>
      <c r="N6" s="316" t="str">
        <f>'ListMKSmt-1'!E5</f>
        <v>Akuntansi Pajak</v>
      </c>
      <c r="O6" s="317"/>
      <c r="P6" s="318"/>
      <c r="Q6" s="339"/>
      <c r="R6" s="319" t="str">
        <f>'ListMKSmt-1'!E6</f>
        <v>Akuntansi Manajemen</v>
      </c>
      <c r="S6" s="320"/>
      <c r="T6" s="342"/>
      <c r="U6" s="280" t="str">
        <f>'ListMKSmt-1'!E7</f>
        <v>Manajemen Keuangan</v>
      </c>
      <c r="V6" s="356"/>
      <c r="W6" s="270"/>
      <c r="X6" s="347" t="str">
        <f>'ListMKSmt-1'!E8</f>
        <v>Entrepreneurship for Start-up</v>
      </c>
      <c r="Y6" s="348"/>
      <c r="Z6" s="322"/>
      <c r="AB6" s="55"/>
      <c r="AC6" s="55"/>
      <c r="AD6" s="55" t="s">
        <v>347</v>
      </c>
      <c r="AE6" s="55"/>
      <c r="AF6" s="55"/>
      <c r="AG6" s="55"/>
      <c r="AH6" s="55" t="s">
        <v>353</v>
      </c>
      <c r="AI6" s="55"/>
      <c r="AJ6" s="55"/>
      <c r="AK6" s="55"/>
      <c r="AL6" s="55" t="s">
        <v>349</v>
      </c>
      <c r="AM6" s="55"/>
      <c r="AN6" s="55"/>
      <c r="AO6" s="55"/>
      <c r="AP6" s="55" t="s">
        <v>132</v>
      </c>
      <c r="AQ6" s="55"/>
      <c r="AR6" s="55" t="s">
        <v>294</v>
      </c>
      <c r="AS6" s="55"/>
      <c r="AT6" s="55" t="s">
        <v>350</v>
      </c>
      <c r="AU6" s="55"/>
      <c r="AV6" s="55" t="s">
        <v>351</v>
      </c>
      <c r="AW6" s="55"/>
      <c r="AX6" s="55" t="s">
        <v>352</v>
      </c>
      <c r="AY6" s="55"/>
      <c r="BB6" s="344" t="s">
        <v>129</v>
      </c>
      <c r="BC6" s="344"/>
      <c r="BD6" s="344"/>
      <c r="BE6" s="344"/>
      <c r="BF6" s="344" t="s">
        <v>130</v>
      </c>
      <c r="BG6" s="344"/>
      <c r="BH6" s="344"/>
      <c r="BI6" s="344"/>
      <c r="BJ6" s="344" t="s">
        <v>131</v>
      </c>
      <c r="BK6" s="344"/>
      <c r="BL6" s="344"/>
      <c r="BM6" s="344" t="s">
        <v>132</v>
      </c>
      <c r="BN6" s="344"/>
      <c r="BO6" s="344"/>
      <c r="BP6" s="344"/>
      <c r="BQ6" s="344"/>
      <c r="BR6" s="344"/>
      <c r="BS6" s="344"/>
      <c r="BT6" s="344"/>
      <c r="BU6" s="344"/>
      <c r="BV6" s="344"/>
      <c r="BW6" s="344"/>
      <c r="BX6" s="344"/>
      <c r="BY6" s="344"/>
      <c r="BZ6" s="344" t="s">
        <v>133</v>
      </c>
      <c r="CA6" s="344"/>
      <c r="CB6" s="344" t="s">
        <v>134</v>
      </c>
      <c r="CC6" s="344"/>
      <c r="CD6" s="344"/>
      <c r="CE6" s="344"/>
      <c r="CF6" s="344" t="s">
        <v>135</v>
      </c>
      <c r="CG6" s="344"/>
      <c r="CH6" s="344" t="s">
        <v>138</v>
      </c>
      <c r="CI6" s="344"/>
      <c r="CJ6" s="344" t="s">
        <v>137</v>
      </c>
      <c r="CK6" s="344"/>
    </row>
    <row r="7" spans="1:91" ht="14.5" customHeight="1">
      <c r="D7" s="56" t="str">
        <f>'Penguk.CPMK-Smt1'!D7</f>
        <v>CPL02</v>
      </c>
      <c r="E7" s="56" t="str">
        <f>'Penguk.CPMK-Smt1'!E7</f>
        <v>CPL02</v>
      </c>
      <c r="F7" s="56" t="str">
        <f>'Penguk.CPMK-Smt1'!F7</f>
        <v>CPL02</v>
      </c>
      <c r="G7" s="325"/>
      <c r="H7" s="57" t="str">
        <f>'Penguk.CPMK-Smt1'!H7</f>
        <v>CPL04</v>
      </c>
      <c r="I7" s="57" t="str">
        <f>'Penguk.CPMK-Smt1'!I7</f>
        <v>CPL04</v>
      </c>
      <c r="J7" s="328"/>
      <c r="K7" s="58" t="str">
        <f>'Penguk.CPMK-Smt1'!K7</f>
        <v>CPL08</v>
      </c>
      <c r="L7" s="182" t="str">
        <f>'Penguk.CPMK-Smt1'!L7</f>
        <v>CPL09</v>
      </c>
      <c r="M7" s="333"/>
      <c r="N7" s="59" t="str">
        <f>'Penguk.CPMK-Smt1'!N7</f>
        <v>CPL10</v>
      </c>
      <c r="O7" s="59" t="str">
        <f>'Penguk.CPMK-Smt1'!O7</f>
        <v>CPL11</v>
      </c>
      <c r="P7" s="59" t="str">
        <f>'Penguk.CPMK-Smt1'!P7</f>
        <v>CPL11</v>
      </c>
      <c r="Q7" s="339"/>
      <c r="R7" s="60" t="str">
        <f>'Penguk.CPMK-Smt1'!R7</f>
        <v>CPL04</v>
      </c>
      <c r="S7" s="60" t="str">
        <f>'Penguk.CPMK-Smt1'!S7</f>
        <v>CPL04</v>
      </c>
      <c r="T7" s="342"/>
      <c r="U7" s="34" t="str">
        <f>'Penguk.CPMK-Smt1'!U7</f>
        <v>CPL06</v>
      </c>
      <c r="V7" s="34" t="str">
        <f>'Penguk.CPMK-Smt1'!V7</f>
        <v>CPL06</v>
      </c>
      <c r="W7" s="270"/>
      <c r="X7" s="61" t="str">
        <f>'Penguk.CPMK-Smt1'!X7</f>
        <v>CPL12</v>
      </c>
      <c r="Y7" s="254" t="str">
        <f>'Penguk.CPMK-Smt1'!Y7</f>
        <v>CPL12</v>
      </c>
      <c r="Z7" s="322"/>
      <c r="AB7" s="62" t="s">
        <v>90</v>
      </c>
      <c r="AC7" s="301" t="s">
        <v>139</v>
      </c>
      <c r="AD7" s="62" t="s">
        <v>114</v>
      </c>
      <c r="AE7" s="300" t="s">
        <v>139</v>
      </c>
      <c r="AF7" s="62"/>
      <c r="AG7" s="300" t="s">
        <v>139</v>
      </c>
      <c r="AH7" s="62" t="s">
        <v>103</v>
      </c>
      <c r="AI7" s="300" t="s">
        <v>139</v>
      </c>
      <c r="AJ7" s="62" t="s">
        <v>140</v>
      </c>
      <c r="AK7" s="300" t="s">
        <v>139</v>
      </c>
      <c r="AL7" s="62" t="s">
        <v>141</v>
      </c>
      <c r="AM7" s="300" t="s">
        <v>139</v>
      </c>
      <c r="AN7" s="62" t="s">
        <v>142</v>
      </c>
      <c r="AO7" s="300" t="s">
        <v>139</v>
      </c>
      <c r="AP7" s="62" t="s">
        <v>143</v>
      </c>
      <c r="AQ7" s="300" t="s">
        <v>139</v>
      </c>
      <c r="AR7" s="62" t="s">
        <v>110</v>
      </c>
      <c r="AS7" s="300" t="s">
        <v>139</v>
      </c>
      <c r="AT7" s="62" t="s">
        <v>117</v>
      </c>
      <c r="AU7" s="300" t="s">
        <v>139</v>
      </c>
      <c r="AV7" s="62" t="s">
        <v>144</v>
      </c>
      <c r="AW7" s="300" t="s">
        <v>139</v>
      </c>
      <c r="AX7" s="62" t="s">
        <v>118</v>
      </c>
      <c r="AY7" s="300" t="s">
        <v>139</v>
      </c>
      <c r="BB7" s="344" t="s">
        <v>90</v>
      </c>
      <c r="BC7" s="344"/>
      <c r="BD7" s="344"/>
      <c r="BE7" s="344"/>
      <c r="BF7" s="344" t="s">
        <v>114</v>
      </c>
      <c r="BG7" s="344"/>
      <c r="BH7" s="344"/>
      <c r="BI7" s="344"/>
      <c r="BJ7" s="344" t="s">
        <v>104</v>
      </c>
      <c r="BK7" s="344"/>
      <c r="BL7" s="344"/>
      <c r="BM7" s="344" t="s">
        <v>103</v>
      </c>
      <c r="BN7" s="344"/>
      <c r="BO7" s="344" t="s">
        <v>140</v>
      </c>
      <c r="BP7" s="344"/>
      <c r="BQ7" s="344" t="s">
        <v>141</v>
      </c>
      <c r="BR7" s="344"/>
      <c r="BS7" s="344"/>
      <c r="BT7" s="344"/>
      <c r="BU7" s="344" t="s">
        <v>142</v>
      </c>
      <c r="BV7" s="344"/>
      <c r="BW7" s="344"/>
      <c r="BX7" s="344" t="s">
        <v>143</v>
      </c>
      <c r="BY7" s="344"/>
      <c r="BZ7" s="344" t="s">
        <v>110</v>
      </c>
      <c r="CA7" s="344"/>
      <c r="CB7" s="344" t="s">
        <v>117</v>
      </c>
      <c r="CC7" s="344"/>
      <c r="CD7" s="344" t="s">
        <v>144</v>
      </c>
      <c r="CE7" s="344"/>
      <c r="CF7" s="344" t="s">
        <v>118</v>
      </c>
      <c r="CG7" s="344"/>
      <c r="CH7" s="344" t="s">
        <v>91</v>
      </c>
      <c r="CI7" s="344"/>
      <c r="CJ7" s="344" t="s">
        <v>119</v>
      </c>
      <c r="CK7" s="344"/>
    </row>
    <row r="8" spans="1:91">
      <c r="D8" s="56" t="str">
        <f>'Penguk.CPMK-Smt1'!D8</f>
        <v>CPMK022</v>
      </c>
      <c r="E8" s="56" t="str">
        <f>'Penguk.CPMK-Smt1'!E8</f>
        <v>CPMK024</v>
      </c>
      <c r="F8" s="56" t="str">
        <f>'Penguk.CPMK-Smt1'!F8</f>
        <v>CPMK025</v>
      </c>
      <c r="G8" s="325"/>
      <c r="H8" s="57" t="str">
        <f>'Penguk.CPMK-Smt1'!H8</f>
        <v>CPMK44</v>
      </c>
      <c r="I8" s="57" t="str">
        <f>'Penguk.CPMK-Smt1'!I8</f>
        <v>CPMK46</v>
      </c>
      <c r="J8" s="328"/>
      <c r="K8" s="166" t="str">
        <f>'Penguk.CPMK-Smt1'!K8</f>
        <v>CPMK81</v>
      </c>
      <c r="L8" s="182" t="str">
        <f>'Penguk.CPMK-Smt1'!L8</f>
        <v>CPMK91</v>
      </c>
      <c r="M8" s="333"/>
      <c r="N8" s="59" t="str">
        <f>'Penguk.CPMK-Smt1'!N8</f>
        <v>CPMK104</v>
      </c>
      <c r="O8" s="59" t="str">
        <f>'Penguk.CPMK-Smt1'!O8</f>
        <v>CPMK111</v>
      </c>
      <c r="P8" s="59" t="str">
        <f>'Penguk.CPMK-Smt1'!P8</f>
        <v>CPMK112</v>
      </c>
      <c r="Q8" s="339"/>
      <c r="R8" s="60" t="str">
        <f>'Penguk.CPMK-Smt1'!R8</f>
        <v>CPMK41</v>
      </c>
      <c r="S8" s="60" t="str">
        <f>'Penguk.CPMK-Smt1'!S8</f>
        <v>CPMK42</v>
      </c>
      <c r="T8" s="342"/>
      <c r="U8" s="165" t="str">
        <f>'Penguk.CPMK-Smt1'!U8</f>
        <v>CPMK61</v>
      </c>
      <c r="V8" s="165" t="str">
        <f>'Penguk.CPMK-Smt1'!V8</f>
        <v>CPMK62</v>
      </c>
      <c r="W8" s="270"/>
      <c r="X8" s="61" t="str">
        <f>'Penguk.CPMK-Smt1'!X8</f>
        <v>CPMK121</v>
      </c>
      <c r="Y8" s="254" t="str">
        <f>'Penguk.CPMK-Smt1'!Y8</f>
        <v>CPMK122</v>
      </c>
      <c r="Z8" s="322"/>
      <c r="AA8" s="33" t="s">
        <v>147</v>
      </c>
      <c r="AB8" s="63"/>
      <c r="AC8" s="302"/>
      <c r="AD8" s="63">
        <f>D9+E9+F9</f>
        <v>100</v>
      </c>
      <c r="AE8" s="300"/>
      <c r="AF8" s="63"/>
      <c r="AG8" s="300"/>
      <c r="AH8" s="63">
        <f>H9+I9+R9+S9</f>
        <v>200</v>
      </c>
      <c r="AI8" s="300"/>
      <c r="AJ8" s="63"/>
      <c r="AK8" s="300"/>
      <c r="AL8" s="63">
        <f>U9+V9</f>
        <v>100</v>
      </c>
      <c r="AM8" s="300"/>
      <c r="AN8" s="63"/>
      <c r="AO8" s="300"/>
      <c r="AP8" s="63">
        <f>K9</f>
        <v>50</v>
      </c>
      <c r="AQ8" s="300"/>
      <c r="AR8" s="63">
        <f>L9</f>
        <v>50</v>
      </c>
      <c r="AS8" s="300"/>
      <c r="AT8" s="63">
        <f>N9</f>
        <v>37</v>
      </c>
      <c r="AU8" s="300"/>
      <c r="AV8" s="63">
        <f>O9+P9</f>
        <v>63</v>
      </c>
      <c r="AW8" s="300"/>
      <c r="AX8" s="63">
        <f>X9+Y9</f>
        <v>100</v>
      </c>
      <c r="AY8" s="300"/>
      <c r="AZ8" s="91" t="e">
        <f>SUM(#REF!,#REF!,AX8,AV8,AT8,AR8,AP8,AN8,AL8,AJ8,AH8,AF8,AD8,AB8)</f>
        <v>#REF!</v>
      </c>
      <c r="BB8" s="4" t="s">
        <v>105</v>
      </c>
      <c r="BC8" s="4" t="s">
        <v>101</v>
      </c>
      <c r="BD8" s="4" t="s">
        <v>115</v>
      </c>
      <c r="BE8" s="4" t="s">
        <v>92</v>
      </c>
      <c r="BF8" s="4" t="s">
        <v>116</v>
      </c>
      <c r="BG8" s="4" t="s">
        <v>148</v>
      </c>
      <c r="BH8" s="4" t="s">
        <v>149</v>
      </c>
      <c r="BI8" s="4" t="s">
        <v>150</v>
      </c>
      <c r="BJ8" s="4" t="s">
        <v>107</v>
      </c>
      <c r="BK8" s="4" t="s">
        <v>113</v>
      </c>
      <c r="BL8" s="4" t="s">
        <v>111</v>
      </c>
      <c r="BM8" s="4" t="s">
        <v>106</v>
      </c>
      <c r="BN8" s="4" t="s">
        <v>151</v>
      </c>
      <c r="BO8" s="4" t="s">
        <v>152</v>
      </c>
      <c r="BP8" s="4" t="s">
        <v>153</v>
      </c>
      <c r="BQ8" s="4" t="s">
        <v>154</v>
      </c>
      <c r="BR8" s="4" t="s">
        <v>155</v>
      </c>
      <c r="BS8" s="4" t="s">
        <v>156</v>
      </c>
      <c r="BT8" s="4" t="s">
        <v>157</v>
      </c>
      <c r="BU8" s="4" t="s">
        <v>158</v>
      </c>
      <c r="BV8" s="4" t="s">
        <v>159</v>
      </c>
      <c r="BW8" s="4" t="s">
        <v>160</v>
      </c>
      <c r="BX8" s="4" t="s">
        <v>161</v>
      </c>
      <c r="BY8" s="4" t="s">
        <v>162</v>
      </c>
      <c r="BZ8" s="4" t="s">
        <v>145</v>
      </c>
      <c r="CA8" s="4" t="s">
        <v>112</v>
      </c>
      <c r="CB8" s="4" t="s">
        <v>120</v>
      </c>
      <c r="CC8" s="4" t="s">
        <v>163</v>
      </c>
      <c r="CD8" s="4" t="s">
        <v>164</v>
      </c>
      <c r="CE8" s="4" t="s">
        <v>165</v>
      </c>
      <c r="CF8" s="4" t="s">
        <v>121</v>
      </c>
      <c r="CG8" s="4" t="s">
        <v>126</v>
      </c>
      <c r="CH8" s="4" t="s">
        <v>93</v>
      </c>
      <c r="CI8" s="4" t="s">
        <v>166</v>
      </c>
      <c r="CJ8" s="4" t="s">
        <v>122</v>
      </c>
      <c r="CK8" s="4" t="s">
        <v>146</v>
      </c>
    </row>
    <row r="9" spans="1:91">
      <c r="C9" s="64" t="e">
        <f>SUM(D9,F9,H9,I9,K9,L9,#REF!,N9,P9,R9,S9,U9,V9,#REF!,X9,#REF!,#REF!,#REF!,#REF!,#REF!,#REF!,#REF!,#REF!)</f>
        <v>#REF!</v>
      </c>
      <c r="D9" s="56">
        <f>'Penguk.CPMK-Smt1'!D9</f>
        <v>23</v>
      </c>
      <c r="E9" s="56">
        <f>'Penguk.CPMK-Smt1'!E9</f>
        <v>42</v>
      </c>
      <c r="F9" s="56">
        <f>'Penguk.CPMK-Smt1'!F9</f>
        <v>35</v>
      </c>
      <c r="G9" s="326"/>
      <c r="H9" s="57">
        <f>'Penguk.CPMK-Smt1'!H9</f>
        <v>50</v>
      </c>
      <c r="I9" s="57">
        <f>'Penguk.CPMK-Smt1'!I9</f>
        <v>50</v>
      </c>
      <c r="J9" s="329"/>
      <c r="K9" s="166">
        <f>'Penguk.CPMK-Smt1'!K9</f>
        <v>50</v>
      </c>
      <c r="L9" s="182">
        <f>'Penguk.CPMK-Smt1'!L9</f>
        <v>50</v>
      </c>
      <c r="M9" s="334"/>
      <c r="N9" s="59">
        <f>'Penguk.CPMK-Smt1'!N9</f>
        <v>37</v>
      </c>
      <c r="O9" s="59">
        <f>'Penguk.CPMK-Smt1'!O9</f>
        <v>33</v>
      </c>
      <c r="P9" s="59">
        <f>'Penguk.CPMK-Smt1'!P9</f>
        <v>30</v>
      </c>
      <c r="Q9" s="340"/>
      <c r="R9" s="60">
        <f>'Penguk.CPMK-Smt1'!R9</f>
        <v>50</v>
      </c>
      <c r="S9" s="60">
        <f>'Penguk.CPMK-Smt1'!S9</f>
        <v>50</v>
      </c>
      <c r="T9" s="343"/>
      <c r="U9" s="165">
        <f>'Penguk.CPMK-Smt1'!U9</f>
        <v>50</v>
      </c>
      <c r="V9" s="165">
        <f>'Penguk.CPMK-Smt1'!V9</f>
        <v>50</v>
      </c>
      <c r="W9" s="271"/>
      <c r="X9" s="61">
        <f>'Penguk.CPMK-Smt1'!X9</f>
        <v>50</v>
      </c>
      <c r="Y9" s="254">
        <v>50</v>
      </c>
      <c r="Z9" s="323"/>
      <c r="AB9" s="65"/>
      <c r="AC9" s="303"/>
      <c r="AD9" s="65"/>
      <c r="AE9" s="300"/>
      <c r="AF9" s="65"/>
      <c r="AG9" s="300"/>
      <c r="AH9" s="65"/>
      <c r="AI9" s="300"/>
      <c r="AJ9" s="65"/>
      <c r="AK9" s="300"/>
      <c r="AL9" s="65"/>
      <c r="AM9" s="300"/>
      <c r="AN9" s="65"/>
      <c r="AO9" s="300"/>
      <c r="AP9" s="65"/>
      <c r="AQ9" s="300"/>
      <c r="AR9" s="65"/>
      <c r="AS9" s="300"/>
      <c r="AT9" s="65"/>
      <c r="AU9" s="300"/>
      <c r="AV9" s="65"/>
      <c r="AW9" s="300"/>
      <c r="AX9" s="65"/>
      <c r="AY9" s="300"/>
      <c r="BB9" s="4">
        <f>K9</f>
        <v>50</v>
      </c>
      <c r="BC9" s="4">
        <f>H9</f>
        <v>50</v>
      </c>
      <c r="BD9" s="4">
        <f>U9</f>
        <v>50</v>
      </c>
      <c r="BE9" s="4">
        <f>D9</f>
        <v>23</v>
      </c>
      <c r="BF9" s="4">
        <f>V9</f>
        <v>50</v>
      </c>
      <c r="BG9" s="4"/>
      <c r="BH9" s="4"/>
      <c r="BI9" s="4"/>
      <c r="BJ9" s="4"/>
      <c r="BK9" s="4">
        <f>R9</f>
        <v>50</v>
      </c>
      <c r="BL9" s="4">
        <f>N9</f>
        <v>37</v>
      </c>
      <c r="BM9" s="4">
        <f>L9</f>
        <v>50</v>
      </c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>
        <f>P9</f>
        <v>30</v>
      </c>
      <c r="CA9" s="4">
        <f>S9</f>
        <v>50</v>
      </c>
      <c r="CB9" s="4" t="e">
        <f>X9+#REF!+#REF!</f>
        <v>#REF!</v>
      </c>
      <c r="CC9" s="4"/>
      <c r="CD9" s="4"/>
      <c r="CE9" s="4"/>
      <c r="CF9" s="4" t="e">
        <f>#REF!</f>
        <v>#REF!</v>
      </c>
      <c r="CG9" s="4" t="e">
        <f>#REF!+#REF!</f>
        <v>#REF!</v>
      </c>
      <c r="CH9" s="4" t="e">
        <f>F9+I9+#REF!+#REF!</f>
        <v>#REF!</v>
      </c>
      <c r="CI9" s="4"/>
      <c r="CJ9" s="4" t="e">
        <f>#REF!+#REF!</f>
        <v>#REF!</v>
      </c>
      <c r="CK9" s="4" t="e">
        <f>#REF!</f>
        <v>#REF!</v>
      </c>
      <c r="CL9" t="e">
        <f>SUM(BB9:CK9)</f>
        <v>#REF!</v>
      </c>
    </row>
    <row r="10" spans="1:91">
      <c r="A10" s="1" t="s">
        <v>0</v>
      </c>
      <c r="B10" s="1" t="s">
        <v>1</v>
      </c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</row>
    <row r="11" spans="1:91">
      <c r="A11" s="105">
        <v>1</v>
      </c>
      <c r="B11" s="106" t="s">
        <v>183</v>
      </c>
      <c r="C11" s="106" t="s">
        <v>184</v>
      </c>
      <c r="D11" s="66">
        <f>'Penguk.CPMK-Smt1'!D11</f>
        <v>83.7</v>
      </c>
      <c r="E11" s="66">
        <f>'Penguk.CPMK-Smt1'!E11</f>
        <v>82.26</v>
      </c>
      <c r="F11" s="66">
        <f>'Penguk.CPMK-Smt1'!F11</f>
        <v>88.86</v>
      </c>
      <c r="G11" s="66">
        <f>IFERROR((D11*($D$9/100))+(E11*($E$9/100))+(F11*($F$9/100)),"")</f>
        <v>84.901200000000003</v>
      </c>
      <c r="H11" s="83">
        <f>'Penguk.CPMK-Smt1'!H11</f>
        <v>86.5</v>
      </c>
      <c r="I11" s="83">
        <f>'Penguk.CPMK-Smt1'!I11</f>
        <v>86.5</v>
      </c>
      <c r="J11" s="83">
        <f>IFERROR((H11*($H$9/100))+(I11*($I$9/100)),"")</f>
        <v>86.5</v>
      </c>
      <c r="K11" s="67">
        <f>'Penguk.CPMK-Smt1'!K11</f>
        <v>80.59</v>
      </c>
      <c r="L11" s="67">
        <f>'Penguk.CPMK-Smt1'!L11</f>
        <v>78.06</v>
      </c>
      <c r="M11" s="67">
        <f>IFERROR((K11*($K$9/100))+(L11*($L$9/100)),"")</f>
        <v>79.325000000000003</v>
      </c>
      <c r="N11" s="68">
        <f>'Penguk.CPMK-Smt1'!N11</f>
        <v>72.650000000000006</v>
      </c>
      <c r="O11" s="68">
        <f>'Penguk.CPMK-Smt1'!O11</f>
        <v>70.06</v>
      </c>
      <c r="P11" s="68">
        <f>'Penguk.CPMK-Smt1'!P11</f>
        <v>85.5</v>
      </c>
      <c r="Q11" s="68">
        <f>IFERROR((N11*($N$9/100))+(O11*($O$9/100))+(P11*($P$9/100)),"")</f>
        <v>75.650300000000001</v>
      </c>
      <c r="R11" s="69">
        <f>'Penguk.CPMK-Smt1'!R11</f>
        <v>76.3</v>
      </c>
      <c r="S11" s="69">
        <f>'Penguk.CPMK-Smt1'!S11</f>
        <v>76.3</v>
      </c>
      <c r="T11" s="69">
        <f>IFERROR((R11*($R$9/100))+(S11*($S$9/100)),"")</f>
        <v>76.3</v>
      </c>
      <c r="U11" s="35">
        <f>'Penguk.CPMK-Smt1'!U11</f>
        <v>75.5</v>
      </c>
      <c r="V11" s="35">
        <f>'Penguk.CPMK-Smt1'!V11</f>
        <v>96.5</v>
      </c>
      <c r="W11" s="35">
        <f>IFERROR((U11*($U$9/100))+(V11*($V$9/100)),"")</f>
        <v>86</v>
      </c>
      <c r="X11" s="70">
        <f>MK8_BID!D19</f>
        <v>75.5</v>
      </c>
      <c r="Y11" s="70">
        <f>MK8_BID!E19</f>
        <v>96.5</v>
      </c>
      <c r="Z11" s="70">
        <f>IFERROR((X11*($X$9/100))+(Y11*($Y$9/100)),"")</f>
        <v>86</v>
      </c>
      <c r="AB11" s="71"/>
      <c r="AC11" s="81" t="str">
        <f t="shared" ref="AC11:AC42" si="0">IFERROR(AB11/$AB$8,"")</f>
        <v/>
      </c>
      <c r="AD11" s="71">
        <f>IFERROR((D11*($D$9/100)+E11*($E$9/100)+F11*($F$9/100)),"")</f>
        <v>84.901200000000003</v>
      </c>
      <c r="AE11" s="81">
        <f t="shared" ref="AE11:AE42" si="1">IF(AD11="","",IFERROR(AD11/$AD$8,""))</f>
        <v>0.84901199999999999</v>
      </c>
      <c r="AF11" s="71"/>
      <c r="AG11" s="81" t="str">
        <f>IF(AF11="","",IFERROR(AF11/$AF$8,""))</f>
        <v/>
      </c>
      <c r="AH11" s="71">
        <f>IFERROR((H11*($H$9/100)+I11*($I$9/100)++R11*($R$9/100)+S11*($S$9/100)),"")</f>
        <v>162.80000000000001</v>
      </c>
      <c r="AI11" s="81">
        <f t="shared" ref="AI11:AI42" si="2">IF(AH11="","",IFERROR(AH11/$AH$8,""))</f>
        <v>0.81400000000000006</v>
      </c>
      <c r="AJ11" s="72"/>
      <c r="AK11" s="72"/>
      <c r="AL11" s="72">
        <f>IFERROR((U11*($U$9/100)+V11*($V$9/100)),"")</f>
        <v>86</v>
      </c>
      <c r="AM11" s="81">
        <f>IF(AL11="","",IFERROR(AL11/$AL$8,""))</f>
        <v>0.86</v>
      </c>
      <c r="AN11" s="72"/>
      <c r="AO11" s="72"/>
      <c r="AP11" s="72">
        <f>IFERROR((K11*($K$9/100)),"")</f>
        <v>40.295000000000002</v>
      </c>
      <c r="AQ11" s="81">
        <f t="shared" ref="AQ11:AQ32" si="3">IF(AP11="","",IFERROR(AP11/$AP$8,""))</f>
        <v>0.80590000000000006</v>
      </c>
      <c r="AR11" s="71">
        <f>IFERROR((L11*($L$9/100)),"")</f>
        <v>39.03</v>
      </c>
      <c r="AS11" s="81">
        <f t="shared" ref="AS11:AS32" si="4">IF(AR11="","",IFERROR(AR11/$AR$8,""))</f>
        <v>0.78060000000000007</v>
      </c>
      <c r="AT11" s="71">
        <f>IFERROR((N11*($N$9/100)),"")</f>
        <v>26.880500000000001</v>
      </c>
      <c r="AU11" s="81">
        <f t="shared" ref="AU11:AU42" si="5">IF(AT11="","",IFERROR(AT11/$AT$8,""))</f>
        <v>0.72650000000000003</v>
      </c>
      <c r="AV11" s="72">
        <f>IFERROR((O11*($O$9/100)+P11*($P$9/100)),"")</f>
        <v>48.769800000000004</v>
      </c>
      <c r="AW11" s="81">
        <f t="shared" ref="AW11:AW42" si="6">IF(AV11="","",IFERROR(AV11/$AV$8,""))</f>
        <v>0.77412380952380955</v>
      </c>
      <c r="AX11" s="71">
        <f>IFERROR((X11*($X$9/100)+Y11*($Y$9/100)),"")</f>
        <v>86</v>
      </c>
      <c r="AY11" s="81">
        <f t="shared" ref="AY11:AY32" si="7">IF(AX11="","",IFERROR(AX11/$AX$8,""))</f>
        <v>0.86</v>
      </c>
      <c r="BB11" s="4">
        <f>IF(V11="","",IFERROR(K11*($BB$9/100),""))</f>
        <v>40.295000000000002</v>
      </c>
      <c r="BC11" s="4">
        <f>IF(V11="","",IFERROR(H11*($BC$9/100),""))</f>
        <v>43.25</v>
      </c>
      <c r="BD11" s="73">
        <f>IF(U11="","",IFERROR(U11*($BD$9/100),""))</f>
        <v>37.75</v>
      </c>
      <c r="BE11" s="73">
        <f>IF(D11="","",IFERROR(D11*($BE$9/100),""))</f>
        <v>19.251000000000001</v>
      </c>
      <c r="BF11" s="73">
        <f>IF(V11="","",IFERROR(V11*($V$9/100),""))</f>
        <v>48.25</v>
      </c>
      <c r="BG11" s="4"/>
      <c r="BH11" s="4"/>
      <c r="BI11" s="4"/>
      <c r="BJ11" s="4"/>
      <c r="BK11" s="73">
        <f>IF(R11="","",IFERROR(R11*($R$9/100),""))</f>
        <v>38.15</v>
      </c>
      <c r="BL11" s="73">
        <f>IF(N11="","",IFERROR(N11*($N$9/100),""))</f>
        <v>26.880500000000001</v>
      </c>
      <c r="BM11" s="73">
        <f>IF(L11="","",IFERROR(L11*($L$9/100),""))</f>
        <v>39.03</v>
      </c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73">
        <f>IF(P11="","",IFERROR(P11*($P$9/100),""))</f>
        <v>25.65</v>
      </c>
      <c r="CA11" s="73">
        <f>IF(S11="","",IFERROR(S11*($CA$9/100),""))</f>
        <v>38.15</v>
      </c>
      <c r="CB11" s="73" t="str">
        <f>IFERROR(IF(X11="","",IFERROR(X11*($X$9/100),""))+IF(#REF!="","",IFERROR(#REF!*(#REF!/100),""))+IF(#REF!="","",IFERROR(#REF!*(#REF!/100),"")),"")</f>
        <v/>
      </c>
      <c r="CC11" s="4"/>
      <c r="CD11" s="4"/>
      <c r="CE11" s="4"/>
      <c r="CF11" s="73" t="str">
        <f>IFERROR(IF(#REF!="","",IFERROR(#REF!*(#REF!/100),"")),"")</f>
        <v/>
      </c>
      <c r="CG11" s="73" t="str">
        <f>IFERROR(IF(#REF!="","",IFERROR(#REF!*(#REF!/100),""))+IF(#REF!="","",IFERROR(#REF!*(#REF!/100),"")),"")</f>
        <v/>
      </c>
      <c r="CH11" s="73" t="str">
        <f>IFERROR(IF(F11="","",IFERROR(F11*($F$9/100),""))+IF(I11="","",IFERROR(I11*($I$9/100),""))+IF(#REF!="","",IFERROR(#REF!*(#REF!/100),""))+IF(#REF!="","",IFERROR(#REF!*(#REF!/100),"")),"")</f>
        <v/>
      </c>
      <c r="CI11" s="4"/>
      <c r="CJ11" s="73" t="str">
        <f>IFERROR(IF(#REF!="","",IFERROR(#REF!*(#REF!/100),""))+IF(#REF!="","",IFERROR(#REF!*(#REF!/100),"")),"")</f>
        <v/>
      </c>
      <c r="CK11" s="73" t="str">
        <f>IFERROR(IF(#REF!="","",IFERROR(#REF!*(#REF!/100),"")),"")</f>
        <v/>
      </c>
      <c r="CL11">
        <f>SUM(BB11:CK11)</f>
        <v>356.65649999999994</v>
      </c>
      <c r="CM11" s="74" t="e">
        <f>CL11/$CL$9</f>
        <v>#REF!</v>
      </c>
    </row>
    <row r="12" spans="1:91">
      <c r="A12" s="105">
        <v>2</v>
      </c>
      <c r="B12" s="106" t="s">
        <v>185</v>
      </c>
      <c r="C12" s="106" t="s">
        <v>344</v>
      </c>
      <c r="D12" s="66">
        <f>'Penguk.CPMK-Smt1'!D12</f>
        <v>79.13</v>
      </c>
      <c r="E12" s="66">
        <f>'Penguk.CPMK-Smt1'!E12</f>
        <v>73.569999999999993</v>
      </c>
      <c r="F12" s="66">
        <f>'Penguk.CPMK-Smt1'!F12</f>
        <v>84.71</v>
      </c>
      <c r="G12" s="66">
        <f t="shared" ref="G12:G42" si="8">IFERROR((D12*($D$9/100))+(E12*($E$9/100))+(F12*($F$9/100)),"")</f>
        <v>78.747799999999998</v>
      </c>
      <c r="H12" s="83">
        <f>'Penguk.CPMK-Smt1'!H12</f>
        <v>75.7</v>
      </c>
      <c r="I12" s="83">
        <f>'Penguk.CPMK-Smt1'!I12</f>
        <v>75.7</v>
      </c>
      <c r="J12" s="83">
        <f t="shared" ref="J12:J42" si="9">IFERROR((H12*($H$9/100))+(I12*($I$9/100)),"")</f>
        <v>75.7</v>
      </c>
      <c r="K12" s="67">
        <f>'Penguk.CPMK-Smt1'!K12</f>
        <v>77.06</v>
      </c>
      <c r="L12" s="67">
        <f>'Penguk.CPMK-Smt1'!L12</f>
        <v>79.180000000000007</v>
      </c>
      <c r="M12" s="67">
        <f t="shared" ref="M12:M42" si="10">IFERROR((K12*($K$9/100))+(L12*($L$9/100)),"")</f>
        <v>78.12</v>
      </c>
      <c r="N12" s="68">
        <f>'Penguk.CPMK-Smt1'!N12</f>
        <v>79.05</v>
      </c>
      <c r="O12" s="68">
        <f>'Penguk.CPMK-Smt1'!O12</f>
        <v>78.94</v>
      </c>
      <c r="P12" s="68">
        <f>'Penguk.CPMK-Smt1'!P12</f>
        <v>85.67</v>
      </c>
      <c r="Q12" s="68">
        <f t="shared" ref="Q12:Q42" si="11">IFERROR((N12*($N$9/100))+(O12*($O$9/100))+(P12*($P$9/100)),"")</f>
        <v>80.99969999999999</v>
      </c>
      <c r="R12" s="69">
        <f>'Penguk.CPMK-Smt1'!R12</f>
        <v>81.400000000000006</v>
      </c>
      <c r="S12" s="69">
        <f>'Penguk.CPMK-Smt1'!S12</f>
        <v>81.400000000000006</v>
      </c>
      <c r="T12" s="69">
        <f t="shared" ref="T12:T42" si="12">IFERROR((R12*($R$9/100))+(S12*($S$9/100)),"")</f>
        <v>81.400000000000006</v>
      </c>
      <c r="U12" s="35">
        <f>'Penguk.CPMK-Smt1'!U12</f>
        <v>72</v>
      </c>
      <c r="V12" s="35">
        <f>'Penguk.CPMK-Smt1'!V12</f>
        <v>82.5</v>
      </c>
      <c r="W12" s="35">
        <f t="shared" ref="W12:W42" si="13">IFERROR((U12*($U$9/100))+(V12*($V$9/100)),"")</f>
        <v>77.25</v>
      </c>
      <c r="X12" s="70">
        <f>'Penguk.CPMK-Smt1'!X12</f>
        <v>72</v>
      </c>
      <c r="Y12" s="70">
        <f>MK8_BID!E20</f>
        <v>82.5</v>
      </c>
      <c r="Z12" s="70">
        <f t="shared" ref="Z12:Z32" si="14">IFERROR((X12*($X$9/100)),"")</f>
        <v>36</v>
      </c>
      <c r="AB12" s="71"/>
      <c r="AC12" s="81" t="str">
        <f t="shared" si="0"/>
        <v/>
      </c>
      <c r="AD12" s="71">
        <f t="shared" ref="AD12:AD42" si="15">IFERROR((D12*($D$9/100)+E12*($E$9/100)+F12*($F$9/100)),"")</f>
        <v>78.747799999999998</v>
      </c>
      <c r="AE12" s="81">
        <f t="shared" si="1"/>
        <v>0.78747800000000001</v>
      </c>
      <c r="AF12" s="71"/>
      <c r="AG12" s="81" t="str">
        <f>IF(AF12="","",IFERROR(AF12/$AF$8,""))</f>
        <v/>
      </c>
      <c r="AH12" s="71">
        <f t="shared" ref="AH12:AH42" si="16">IFERROR((H12*($H$9/100)+I12*($I$9/100)++R12*($R$9/100)+S12*($S$9/100)),"")</f>
        <v>157.10000000000002</v>
      </c>
      <c r="AI12" s="81">
        <f t="shared" si="2"/>
        <v>0.78550000000000009</v>
      </c>
      <c r="AJ12" s="72"/>
      <c r="AK12" s="72"/>
      <c r="AL12" s="72">
        <f t="shared" ref="AL12:AL42" si="17">IFERROR((U12*($U$9/100)+V12*($V$9/100)),"")</f>
        <v>77.25</v>
      </c>
      <c r="AM12" s="81">
        <f t="shared" ref="AM12:AM42" si="18">IF(AL12="","",IFERROR(AL12/$AL$8,""))</f>
        <v>0.77249999999999996</v>
      </c>
      <c r="AN12" s="72"/>
      <c r="AO12" s="72"/>
      <c r="AP12" s="72">
        <f t="shared" ref="AP12:AP42" si="19">IFERROR((K12*($K$9/100)),"")</f>
        <v>38.53</v>
      </c>
      <c r="AQ12" s="81">
        <f t="shared" si="3"/>
        <v>0.77060000000000006</v>
      </c>
      <c r="AR12" s="71">
        <f t="shared" ref="AR12:AR42" si="20">IFERROR((L12*($L$9/100)),"")</f>
        <v>39.590000000000003</v>
      </c>
      <c r="AS12" s="81">
        <f t="shared" si="4"/>
        <v>0.79180000000000006</v>
      </c>
      <c r="AT12" s="71">
        <f t="shared" ref="AT12:AT42" si="21">IFERROR((N12*($N$9/100)),"")</f>
        <v>29.2485</v>
      </c>
      <c r="AU12" s="81">
        <f t="shared" si="5"/>
        <v>0.79049999999999998</v>
      </c>
      <c r="AV12" s="72">
        <f t="shared" ref="AV12:AV42" si="22">IFERROR((O12*($O$9/100)+P12*($P$9/100)),"")</f>
        <v>51.751199999999997</v>
      </c>
      <c r="AW12" s="81">
        <f t="shared" si="6"/>
        <v>0.82144761904761898</v>
      </c>
      <c r="AX12" s="71">
        <f t="shared" ref="AX12:AX43" si="23">IFERROR((X12*($X$9/100)+Y12*($Y$9/100)),"")</f>
        <v>77.25</v>
      </c>
      <c r="AY12" s="81">
        <f t="shared" si="7"/>
        <v>0.77249999999999996</v>
      </c>
      <c r="BB12" s="4">
        <f>IF(V12="","",IFERROR(K12*($BB$9/100),""))</f>
        <v>38.53</v>
      </c>
      <c r="BC12" s="4">
        <f>IF(V12="","",IFERROR(H12*($BC$9/100),""))</f>
        <v>37.85</v>
      </c>
      <c r="BD12" s="73">
        <f>IF(U12="","",IFERROR(U12*($BD$9/100),""))</f>
        <v>36</v>
      </c>
      <c r="BE12" s="73">
        <f>IF(D12="","",IFERROR(D12*($BE$9/100),""))</f>
        <v>18.1999</v>
      </c>
      <c r="BF12" s="73">
        <f>IF(V12="","",IFERROR(V12*($V$9/100),""))</f>
        <v>41.25</v>
      </c>
      <c r="BG12" s="4"/>
      <c r="BH12" s="4"/>
      <c r="BI12" s="4"/>
      <c r="BJ12" s="4"/>
      <c r="BK12" s="73">
        <f>IF(R12="","",IFERROR(R12*($R$9/100),""))</f>
        <v>40.700000000000003</v>
      </c>
      <c r="BL12" s="73">
        <f>IF(N12="","",IFERROR(N12*($N$9/100),""))</f>
        <v>29.2485</v>
      </c>
      <c r="BM12" s="73">
        <f>IF(L12="","",IFERROR(L12*($L$9/100),""))</f>
        <v>39.590000000000003</v>
      </c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73">
        <f>IF(P12="","",IFERROR(P12*($P$9/100),""))</f>
        <v>25.701000000000001</v>
      </c>
      <c r="CA12" s="73">
        <f>IF(S12="","",IFERROR(S12*($CA$9/100),""))</f>
        <v>40.700000000000003</v>
      </c>
      <c r="CB12" s="73" t="str">
        <f>IFERROR(IF(X12="","",IFERROR(X12*($X$9/100),""))+IF(#REF!="","",IFERROR(#REF!*(#REF!/100),""))+IF(#REF!="","",IFERROR(#REF!*(#REF!/100),"")),"")</f>
        <v/>
      </c>
      <c r="CC12" s="4"/>
      <c r="CD12" s="4"/>
      <c r="CE12" s="4"/>
      <c r="CF12" s="73" t="str">
        <f>IFERROR(IF(#REF!="","",IFERROR(#REF!*(#REF!/100),"")),"")</f>
        <v/>
      </c>
      <c r="CG12" s="73" t="str">
        <f>IFERROR(IF(#REF!="","",IFERROR(#REF!*(#REF!/100),""))+IF(#REF!="","",IFERROR(#REF!*(#REF!/100),"")),"")</f>
        <v/>
      </c>
      <c r="CH12" s="73" t="str">
        <f>IFERROR(IF(F12="","",IFERROR(F12*($F$9/100),""))+IF(I12="","",IFERROR(I12*($I$9/100),""))+IF(#REF!="","",IFERROR(#REF!*(#REF!/100),""))+IF(#REF!="","",IFERROR(#REF!*(#REF!/100),"")),"")</f>
        <v/>
      </c>
      <c r="CI12" s="4"/>
      <c r="CJ12" s="73" t="str">
        <f>IFERROR(IF(#REF!="","",IFERROR(#REF!*(#REF!/100),""))+IF(#REF!="","",IFERROR(#REF!*(#REF!/100),"")),"")</f>
        <v/>
      </c>
      <c r="CK12" s="73" t="str">
        <f>IFERROR(IF(#REF!="","",IFERROR(#REF!*(#REF!/100),"")),"")</f>
        <v/>
      </c>
      <c r="CL12">
        <f t="shared" ref="CL12:CL42" si="24">SUM(BB12:CK12)</f>
        <v>347.76940000000002</v>
      </c>
      <c r="CM12" s="74" t="e">
        <f>CL12/$CL$9</f>
        <v>#REF!</v>
      </c>
    </row>
    <row r="13" spans="1:91">
      <c r="A13" s="105">
        <v>3</v>
      </c>
      <c r="B13" s="106" t="s">
        <v>187</v>
      </c>
      <c r="C13" s="106" t="s">
        <v>188</v>
      </c>
      <c r="D13" s="66">
        <f>'Penguk.CPMK-Smt1'!D13</f>
        <v>78.91</v>
      </c>
      <c r="E13" s="66">
        <f>'Penguk.CPMK-Smt1'!E13</f>
        <v>72.260000000000005</v>
      </c>
      <c r="F13" s="66">
        <f>'Penguk.CPMK-Smt1'!F13</f>
        <v>74</v>
      </c>
      <c r="G13" s="66">
        <f t="shared" si="8"/>
        <v>74.398499999999999</v>
      </c>
      <c r="H13" s="83">
        <f>'Penguk.CPMK-Smt1'!H13</f>
        <v>81.3</v>
      </c>
      <c r="I13" s="83">
        <f>'Penguk.CPMK-Smt1'!I13</f>
        <v>81.3</v>
      </c>
      <c r="J13" s="83">
        <f t="shared" si="9"/>
        <v>81.3</v>
      </c>
      <c r="K13" s="67">
        <f>'Penguk.CPMK-Smt1'!K13</f>
        <v>76.47</v>
      </c>
      <c r="L13" s="67">
        <f>'Penguk.CPMK-Smt1'!L13</f>
        <v>74.08</v>
      </c>
      <c r="M13" s="67">
        <f t="shared" si="10"/>
        <v>75.275000000000006</v>
      </c>
      <c r="N13" s="68">
        <f>'Penguk.CPMK-Smt1'!N13</f>
        <v>68.95</v>
      </c>
      <c r="O13" s="68">
        <f>'Penguk.CPMK-Smt1'!O13</f>
        <v>68</v>
      </c>
      <c r="P13" s="68">
        <f>'Penguk.CPMK-Smt1'!P13</f>
        <v>67</v>
      </c>
      <c r="Q13" s="68">
        <f t="shared" si="11"/>
        <v>68.051500000000004</v>
      </c>
      <c r="R13" s="69">
        <f>'Penguk.CPMK-Smt1'!R13</f>
        <v>92.6</v>
      </c>
      <c r="S13" s="69">
        <f>'Penguk.CPMK-Smt1'!S13</f>
        <v>92.6</v>
      </c>
      <c r="T13" s="69">
        <f t="shared" si="12"/>
        <v>92.6</v>
      </c>
      <c r="U13" s="35">
        <f>'Penguk.CPMK-Smt1'!U13</f>
        <v>78.400000000000006</v>
      </c>
      <c r="V13" s="35">
        <f>'Penguk.CPMK-Smt1'!V13</f>
        <v>85.4</v>
      </c>
      <c r="W13" s="35">
        <f t="shared" si="13"/>
        <v>81.900000000000006</v>
      </c>
      <c r="X13" s="70">
        <f>'Penguk.CPMK-Smt1'!X13</f>
        <v>78.400000000000006</v>
      </c>
      <c r="Y13" s="70">
        <f>MK8_BID!E21</f>
        <v>85.4</v>
      </c>
      <c r="Z13" s="70">
        <f t="shared" si="14"/>
        <v>39.200000000000003</v>
      </c>
      <c r="AB13" s="71"/>
      <c r="AC13" s="81" t="str">
        <f t="shared" si="0"/>
        <v/>
      </c>
      <c r="AD13" s="71">
        <f t="shared" si="15"/>
        <v>74.398499999999999</v>
      </c>
      <c r="AE13" s="81">
        <f t="shared" si="1"/>
        <v>0.74398500000000001</v>
      </c>
      <c r="AF13" s="71"/>
      <c r="AG13" s="81" t="str">
        <f>IF(AF13="","",IFERROR(AF13/$AF$8,""))</f>
        <v/>
      </c>
      <c r="AH13" s="71">
        <f t="shared" si="16"/>
        <v>173.89999999999998</v>
      </c>
      <c r="AI13" s="81">
        <f t="shared" si="2"/>
        <v>0.86949999999999994</v>
      </c>
      <c r="AJ13" s="72"/>
      <c r="AK13" s="72"/>
      <c r="AL13" s="72">
        <f t="shared" si="17"/>
        <v>81.900000000000006</v>
      </c>
      <c r="AM13" s="81">
        <f t="shared" si="18"/>
        <v>0.81900000000000006</v>
      </c>
      <c r="AN13" s="72"/>
      <c r="AO13" s="72"/>
      <c r="AP13" s="72">
        <f t="shared" si="19"/>
        <v>38.234999999999999</v>
      </c>
      <c r="AQ13" s="81">
        <f t="shared" si="3"/>
        <v>0.76469999999999994</v>
      </c>
      <c r="AR13" s="71">
        <f t="shared" si="20"/>
        <v>37.04</v>
      </c>
      <c r="AS13" s="81">
        <f t="shared" si="4"/>
        <v>0.74080000000000001</v>
      </c>
      <c r="AT13" s="71">
        <f t="shared" si="21"/>
        <v>25.511500000000002</v>
      </c>
      <c r="AU13" s="81">
        <f t="shared" si="5"/>
        <v>0.6895</v>
      </c>
      <c r="AV13" s="72">
        <f t="shared" si="22"/>
        <v>42.54</v>
      </c>
      <c r="AW13" s="81">
        <f t="shared" si="6"/>
        <v>0.67523809523809519</v>
      </c>
      <c r="AX13" s="71">
        <f t="shared" si="23"/>
        <v>81.900000000000006</v>
      </c>
      <c r="AY13" s="81">
        <f t="shared" si="7"/>
        <v>0.81900000000000006</v>
      </c>
      <c r="BB13" s="4">
        <f>IF(V13="","",IFERROR(K13*($BB$9/100),""))</f>
        <v>38.234999999999999</v>
      </c>
      <c r="BC13" s="4">
        <f>IF(V13="","",IFERROR(H13*($BC$9/100),""))</f>
        <v>40.65</v>
      </c>
      <c r="BD13" s="73">
        <f>IF(U13="","",IFERROR(U13*($BD$9/100),""))</f>
        <v>39.200000000000003</v>
      </c>
      <c r="BE13" s="73">
        <f>IF(D13="","",IFERROR(D13*($BE$9/100),""))</f>
        <v>18.1493</v>
      </c>
      <c r="BF13" s="73">
        <f>IF(V13="","",IFERROR(V13*($V$9/100),""))</f>
        <v>42.7</v>
      </c>
      <c r="BG13" s="4"/>
      <c r="BH13" s="4"/>
      <c r="BI13" s="4"/>
      <c r="BJ13" s="4"/>
      <c r="BK13" s="73">
        <f>IF(R13="","",IFERROR(R13*($R$9/100),""))</f>
        <v>46.3</v>
      </c>
      <c r="BL13" s="73">
        <f>IF(N13="","",IFERROR(N13*($N$9/100),""))</f>
        <v>25.511500000000002</v>
      </c>
      <c r="BM13" s="73">
        <f>IF(L13="","",IFERROR(L13*($L$9/100),""))</f>
        <v>37.04</v>
      </c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73">
        <f>IF(P13="","",IFERROR(P13*($P$9/100),""))</f>
        <v>20.099999999999998</v>
      </c>
      <c r="CA13" s="73">
        <f>IF(S13="","",IFERROR(S13*($CA$9/100),""))</f>
        <v>46.3</v>
      </c>
      <c r="CB13" s="73" t="str">
        <f>IFERROR(IF(X13="","",IFERROR(X13*($X$9/100),""))+IF(#REF!="","",IFERROR(#REF!*(#REF!/100),""))+IF(#REF!="","",IFERROR(#REF!*(#REF!/100),"")),"")</f>
        <v/>
      </c>
      <c r="CC13" s="4"/>
      <c r="CD13" s="4"/>
      <c r="CE13" s="4"/>
      <c r="CF13" s="73" t="str">
        <f>IFERROR(IF(#REF!="","",IFERROR(#REF!*(#REF!/100),"")),"")</f>
        <v/>
      </c>
      <c r="CG13" s="73" t="str">
        <f>IFERROR(IF(#REF!="","",IFERROR(#REF!*(#REF!/100),""))+IF(#REF!="","",IFERROR(#REF!*(#REF!/100),"")),"")</f>
        <v/>
      </c>
      <c r="CH13" s="73" t="str">
        <f>IFERROR(IF(F13="","",IFERROR(F13*($F$9/100),""))+IF(I13="","",IFERROR(I13*($I$9/100),""))+IF(#REF!="","",IFERROR(#REF!*(#REF!/100),""))+IF(#REF!="","",IFERROR(#REF!*(#REF!/100),"")),"")</f>
        <v/>
      </c>
      <c r="CI13" s="4"/>
      <c r="CJ13" s="73" t="str">
        <f>IFERROR(IF(#REF!="","",IFERROR(#REF!*(#REF!/100),""))+IF(#REF!="","",IFERROR(#REF!*(#REF!/100),"")),"")</f>
        <v/>
      </c>
      <c r="CK13" s="73" t="str">
        <f>IFERROR(IF(#REF!="","",IFERROR(#REF!*(#REF!/100),"")),"")</f>
        <v/>
      </c>
      <c r="CL13">
        <f t="shared" si="24"/>
        <v>354.18580000000009</v>
      </c>
      <c r="CM13" s="74" t="e">
        <f>CL13/$CL$9</f>
        <v>#REF!</v>
      </c>
    </row>
    <row r="14" spans="1:91">
      <c r="A14" s="105">
        <v>4</v>
      </c>
      <c r="B14" s="106" t="s">
        <v>189</v>
      </c>
      <c r="C14" s="106" t="s">
        <v>190</v>
      </c>
      <c r="D14" s="66">
        <f>'Penguk.CPMK-Smt1'!D14</f>
        <v>66.739999999999995</v>
      </c>
      <c r="E14" s="66">
        <f>'Penguk.CPMK-Smt1'!E14</f>
        <v>58.21</v>
      </c>
      <c r="F14" s="66">
        <f>'Penguk.CPMK-Smt1'!F14</f>
        <v>72.14</v>
      </c>
      <c r="G14" s="66">
        <f t="shared" si="8"/>
        <v>65.047399999999996</v>
      </c>
      <c r="H14" s="83">
        <f>'Penguk.CPMK-Smt1'!H14</f>
        <v>82</v>
      </c>
      <c r="I14" s="83">
        <f>'Penguk.CPMK-Smt1'!I14</f>
        <v>70.099999999999994</v>
      </c>
      <c r="J14" s="83">
        <f t="shared" si="9"/>
        <v>76.05</v>
      </c>
      <c r="K14" s="67">
        <f>'Penguk.CPMK-Smt1'!K14</f>
        <v>64.47</v>
      </c>
      <c r="L14" s="67">
        <f>'Penguk.CPMK-Smt1'!L14</f>
        <v>73.47</v>
      </c>
      <c r="M14" s="67">
        <f t="shared" si="10"/>
        <v>68.97</v>
      </c>
      <c r="N14" s="68">
        <f>'Penguk.CPMK-Smt1'!N14</f>
        <v>70.27</v>
      </c>
      <c r="O14" s="68">
        <f>'Penguk.CPMK-Smt1'!O14</f>
        <v>72.58</v>
      </c>
      <c r="P14" s="68">
        <f>'Penguk.CPMK-Smt1'!P14</f>
        <v>69.33</v>
      </c>
      <c r="Q14" s="68">
        <f t="shared" si="11"/>
        <v>70.750299999999996</v>
      </c>
      <c r="R14" s="69">
        <f>'Penguk.CPMK-Smt1'!R14</f>
        <v>93.9</v>
      </c>
      <c r="S14" s="69">
        <f>'Penguk.CPMK-Smt1'!S14</f>
        <v>93.9</v>
      </c>
      <c r="T14" s="69">
        <f t="shared" si="12"/>
        <v>93.9</v>
      </c>
      <c r="U14" s="35">
        <f>'Penguk.CPMK-Smt1'!U14</f>
        <v>74.900000000000006</v>
      </c>
      <c r="V14" s="35">
        <f>'Penguk.CPMK-Smt1'!V14</f>
        <v>78.400000000000006</v>
      </c>
      <c r="W14" s="35">
        <f t="shared" si="13"/>
        <v>76.650000000000006</v>
      </c>
      <c r="X14" s="70">
        <f>'Penguk.CPMK-Smt1'!X14</f>
        <v>74.900000000000006</v>
      </c>
      <c r="Y14" s="70">
        <f>MK8_BID!E22</f>
        <v>78.400000000000006</v>
      </c>
      <c r="Z14" s="70">
        <f t="shared" si="14"/>
        <v>37.450000000000003</v>
      </c>
      <c r="AB14" s="71"/>
      <c r="AC14" s="81" t="str">
        <f t="shared" si="0"/>
        <v/>
      </c>
      <c r="AD14" s="71">
        <f t="shared" si="15"/>
        <v>65.047399999999996</v>
      </c>
      <c r="AE14" s="81">
        <f t="shared" si="1"/>
        <v>0.650474</v>
      </c>
      <c r="AF14" s="71"/>
      <c r="AG14" s="81" t="str">
        <f>IF(AF14="","",IFERROR(AF14/$AF$8,""))</f>
        <v/>
      </c>
      <c r="AH14" s="71">
        <f t="shared" si="16"/>
        <v>169.95</v>
      </c>
      <c r="AI14" s="81">
        <f t="shared" si="2"/>
        <v>0.84974999999999989</v>
      </c>
      <c r="AJ14" s="72"/>
      <c r="AK14" s="72"/>
      <c r="AL14" s="72">
        <f t="shared" si="17"/>
        <v>76.650000000000006</v>
      </c>
      <c r="AM14" s="81">
        <f t="shared" si="18"/>
        <v>0.76650000000000007</v>
      </c>
      <c r="AN14" s="72"/>
      <c r="AO14" s="72"/>
      <c r="AP14" s="72">
        <f t="shared" si="19"/>
        <v>32.234999999999999</v>
      </c>
      <c r="AQ14" s="81">
        <f t="shared" si="3"/>
        <v>0.64469999999999994</v>
      </c>
      <c r="AR14" s="71">
        <f t="shared" si="20"/>
        <v>36.734999999999999</v>
      </c>
      <c r="AS14" s="81">
        <f t="shared" si="4"/>
        <v>0.73470000000000002</v>
      </c>
      <c r="AT14" s="71">
        <f t="shared" si="21"/>
        <v>25.999899999999997</v>
      </c>
      <c r="AU14" s="81">
        <f t="shared" si="5"/>
        <v>0.70269999999999988</v>
      </c>
      <c r="AV14" s="72">
        <f t="shared" si="22"/>
        <v>44.750399999999999</v>
      </c>
      <c r="AW14" s="81">
        <f t="shared" si="6"/>
        <v>0.71032380952380947</v>
      </c>
      <c r="AX14" s="71">
        <f t="shared" si="23"/>
        <v>76.650000000000006</v>
      </c>
      <c r="AY14" s="81">
        <f t="shared" si="7"/>
        <v>0.76650000000000007</v>
      </c>
      <c r="BB14" s="4">
        <f>IF(V14="","",IFERROR(K14*($BB$9/100),""))</f>
        <v>32.234999999999999</v>
      </c>
      <c r="BC14" s="4">
        <f>IF(V14="","",IFERROR(H14*($BC$9/100),""))</f>
        <v>41</v>
      </c>
      <c r="BD14" s="73">
        <f>IF(U14="","",IFERROR(U14*($BD$9/100),""))</f>
        <v>37.450000000000003</v>
      </c>
      <c r="BE14" s="73">
        <f>IF(D14="","",IFERROR(D14*($BE$9/100),""))</f>
        <v>15.350199999999999</v>
      </c>
      <c r="BF14" s="73">
        <f>IF(V14="","",IFERROR(V14*($V$9/100),""))</f>
        <v>39.200000000000003</v>
      </c>
      <c r="BG14" s="4"/>
      <c r="BH14" s="4"/>
      <c r="BI14" s="4"/>
      <c r="BJ14" s="4"/>
      <c r="BK14" s="73">
        <f>IF(R14="","",IFERROR(R14*($R$9/100),""))</f>
        <v>46.95</v>
      </c>
      <c r="BL14" s="73">
        <f>IF(N14="","",IFERROR(N14*($N$9/100),""))</f>
        <v>25.999899999999997</v>
      </c>
      <c r="BM14" s="73">
        <f>IF(L14="","",IFERROR(L14*($L$9/100),""))</f>
        <v>36.734999999999999</v>
      </c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73">
        <f>IF(P14="","",IFERROR(P14*($P$9/100),""))</f>
        <v>20.798999999999999</v>
      </c>
      <c r="CA14" s="73">
        <f>IF(S14="","",IFERROR(S14*($CA$9/100),""))</f>
        <v>46.95</v>
      </c>
      <c r="CB14" s="73" t="str">
        <f>IFERROR(IF(X14="","",IFERROR(X14*($X$9/100),""))+IF(#REF!="","",IFERROR(#REF!*(#REF!/100),""))+IF(#REF!="","",IFERROR(#REF!*(#REF!/100),"")),"")</f>
        <v/>
      </c>
      <c r="CC14" s="4"/>
      <c r="CD14" s="4"/>
      <c r="CE14" s="4"/>
      <c r="CF14" s="73" t="str">
        <f>IFERROR(IF(#REF!="","",IFERROR(#REF!*(#REF!/100),"")),"")</f>
        <v/>
      </c>
      <c r="CG14" s="73" t="str">
        <f>IFERROR(IF(#REF!="","",IFERROR(#REF!*(#REF!/100),""))+IF(#REF!="","",IFERROR(#REF!*(#REF!/100),"")),"")</f>
        <v/>
      </c>
      <c r="CH14" s="73" t="str">
        <f>IFERROR(IF(F14="","",IFERROR(F14*($F$9/100),""))+IF(I14="","",IFERROR(I14*($I$9/100),""))+IF(#REF!="","",IFERROR(#REF!*(#REF!/100),""))+IF(#REF!="","",IFERROR(#REF!*(#REF!/100),"")),"")</f>
        <v/>
      </c>
      <c r="CI14" s="4"/>
      <c r="CJ14" s="73" t="str">
        <f>IFERROR(IF(#REF!="","",IFERROR(#REF!*(#REF!/100),""))+IF(#REF!="","",IFERROR(#REF!*(#REF!/100),"")),"")</f>
        <v/>
      </c>
      <c r="CK14" s="73" t="str">
        <f>IFERROR(IF(#REF!="","",IFERROR(#REF!*(#REF!/100),"")),"")</f>
        <v/>
      </c>
      <c r="CL14">
        <f t="shared" si="24"/>
        <v>342.66909999999996</v>
      </c>
      <c r="CM14" s="74" t="e">
        <f>CL14/$CL$9</f>
        <v>#REF!</v>
      </c>
    </row>
    <row r="15" spans="1:91">
      <c r="A15" s="105">
        <v>5</v>
      </c>
      <c r="B15" s="106" t="s">
        <v>191</v>
      </c>
      <c r="C15" s="106" t="s">
        <v>192</v>
      </c>
      <c r="D15" s="66">
        <f>'Penguk.CPMK-Smt1'!D15</f>
        <v>76.3</v>
      </c>
      <c r="E15" s="66">
        <f>'Penguk.CPMK-Smt1'!E15</f>
        <v>69.64</v>
      </c>
      <c r="F15" s="66">
        <f>'Penguk.CPMK-Smt1'!F15</f>
        <v>75</v>
      </c>
      <c r="G15" s="66">
        <f t="shared" si="8"/>
        <v>73.047799999999995</v>
      </c>
      <c r="H15" s="83">
        <f>'Penguk.CPMK-Smt1'!H15</f>
        <v>82</v>
      </c>
      <c r="I15" s="83">
        <f>'Penguk.CPMK-Smt1'!I15</f>
        <v>70.099999999999994</v>
      </c>
      <c r="J15" s="83">
        <f t="shared" si="9"/>
        <v>76.05</v>
      </c>
      <c r="K15" s="67">
        <f>'Penguk.CPMK-Smt1'!K15</f>
        <v>70.59</v>
      </c>
      <c r="L15" s="67">
        <f>'Penguk.CPMK-Smt1'!L15</f>
        <v>79.39</v>
      </c>
      <c r="M15" s="67">
        <f t="shared" si="10"/>
        <v>74.990000000000009</v>
      </c>
      <c r="N15" s="68">
        <f>'Penguk.CPMK-Smt1'!N15</f>
        <v>78.41</v>
      </c>
      <c r="O15" s="68">
        <f>'Penguk.CPMK-Smt1'!O15</f>
        <v>80.88</v>
      </c>
      <c r="P15" s="68">
        <f>'Penguk.CPMK-Smt1'!P15</f>
        <v>78.67</v>
      </c>
      <c r="Q15" s="68">
        <f t="shared" si="11"/>
        <v>79.303100000000001</v>
      </c>
      <c r="R15" s="69">
        <f>'Penguk.CPMK-Smt1'!R15</f>
        <v>92.6</v>
      </c>
      <c r="S15" s="69">
        <f>'Penguk.CPMK-Smt1'!S15</f>
        <v>92.6</v>
      </c>
      <c r="T15" s="69">
        <f t="shared" si="12"/>
        <v>92.6</v>
      </c>
      <c r="U15" s="35">
        <f>'Penguk.CPMK-Smt1'!U15</f>
        <v>81.900000000000006</v>
      </c>
      <c r="V15" s="35">
        <f>'Penguk.CPMK-Smt1'!V15</f>
        <v>81.900000000000006</v>
      </c>
      <c r="W15" s="35">
        <f t="shared" si="13"/>
        <v>81.900000000000006</v>
      </c>
      <c r="X15" s="70">
        <f>'Penguk.CPMK-Smt1'!X15</f>
        <v>81.900000000000006</v>
      </c>
      <c r="Y15" s="70">
        <f>MK8_BID!E23</f>
        <v>81.900000000000006</v>
      </c>
      <c r="Z15" s="70">
        <f t="shared" si="14"/>
        <v>40.950000000000003</v>
      </c>
      <c r="AB15" s="71"/>
      <c r="AC15" s="81" t="str">
        <f t="shared" si="0"/>
        <v/>
      </c>
      <c r="AD15" s="71">
        <f t="shared" si="15"/>
        <v>73.047799999999995</v>
      </c>
      <c r="AE15" s="81">
        <f t="shared" si="1"/>
        <v>0.73047799999999996</v>
      </c>
      <c r="AF15" s="71"/>
      <c r="AG15" s="81" t="str">
        <f>IF(AF15="","",IFERROR(AF15/$AF$8,""))</f>
        <v/>
      </c>
      <c r="AH15" s="71">
        <f t="shared" si="16"/>
        <v>168.64999999999998</v>
      </c>
      <c r="AI15" s="81">
        <f t="shared" si="2"/>
        <v>0.84324999999999983</v>
      </c>
      <c r="AJ15" s="72"/>
      <c r="AK15" s="72"/>
      <c r="AL15" s="72">
        <f t="shared" si="17"/>
        <v>81.900000000000006</v>
      </c>
      <c r="AM15" s="81">
        <f t="shared" si="18"/>
        <v>0.81900000000000006</v>
      </c>
      <c r="AN15" s="72"/>
      <c r="AO15" s="72"/>
      <c r="AP15" s="72">
        <f t="shared" si="19"/>
        <v>35.295000000000002</v>
      </c>
      <c r="AQ15" s="81">
        <f t="shared" si="3"/>
        <v>0.70590000000000008</v>
      </c>
      <c r="AR15" s="71">
        <f t="shared" si="20"/>
        <v>39.695</v>
      </c>
      <c r="AS15" s="81">
        <f t="shared" si="4"/>
        <v>0.79390000000000005</v>
      </c>
      <c r="AT15" s="71">
        <f t="shared" si="21"/>
        <v>29.011699999999998</v>
      </c>
      <c r="AU15" s="81">
        <f t="shared" si="5"/>
        <v>0.78409999999999991</v>
      </c>
      <c r="AV15" s="72">
        <f t="shared" si="22"/>
        <v>50.291399999999996</v>
      </c>
      <c r="AW15" s="81">
        <f t="shared" si="6"/>
        <v>0.79827619047619036</v>
      </c>
      <c r="AX15" s="71">
        <f t="shared" si="23"/>
        <v>81.900000000000006</v>
      </c>
      <c r="AY15" s="81">
        <f t="shared" si="7"/>
        <v>0.81900000000000006</v>
      </c>
      <c r="BB15" s="4">
        <f>IF(V15="","",IFERROR(K15*($BB$9/100),""))</f>
        <v>35.295000000000002</v>
      </c>
      <c r="BC15" s="4">
        <f>IF(V15="","",IFERROR(H15*($BC$9/100),""))</f>
        <v>41</v>
      </c>
      <c r="BD15" s="73">
        <f>IF(U15="","",IFERROR(U15*($BD$9/100),""))</f>
        <v>40.950000000000003</v>
      </c>
      <c r="BE15" s="73">
        <f>IF(D15="","",IFERROR(D15*($BE$9/100),""))</f>
        <v>17.548999999999999</v>
      </c>
      <c r="BF15" s="73">
        <f>IF(V15="","",IFERROR(V15*($V$9/100),""))</f>
        <v>40.950000000000003</v>
      </c>
      <c r="BG15" s="4"/>
      <c r="BH15" s="4"/>
      <c r="BI15" s="4"/>
      <c r="BJ15" s="4"/>
      <c r="BK15" s="73">
        <f>IF(R15="","",IFERROR(R15*($R$9/100),""))</f>
        <v>46.3</v>
      </c>
      <c r="BL15" s="73">
        <f>IF(N15="","",IFERROR(N15*($N$9/100),""))</f>
        <v>29.011699999999998</v>
      </c>
      <c r="BM15" s="73">
        <f>IF(L15="","",IFERROR(L15*($L$9/100),""))</f>
        <v>39.695</v>
      </c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73">
        <f>IF(P15="","",IFERROR(P15*($P$9/100),""))</f>
        <v>23.600999999999999</v>
      </c>
      <c r="CA15" s="73">
        <f>IF(S15="","",IFERROR(S15*($CA$9/100),""))</f>
        <v>46.3</v>
      </c>
      <c r="CB15" s="73" t="str">
        <f>IFERROR(IF(X15="","",IFERROR(X15*($X$9/100),""))+IF(#REF!="","",IFERROR(#REF!*(#REF!/100),""))+IF(#REF!="","",IFERROR(#REF!*(#REF!/100),"")),"")</f>
        <v/>
      </c>
      <c r="CC15" s="4"/>
      <c r="CD15" s="4"/>
      <c r="CE15" s="4"/>
      <c r="CF15" s="73" t="str">
        <f>IFERROR(IF(#REF!="","",IFERROR(#REF!*(#REF!/100),"")),"")</f>
        <v/>
      </c>
      <c r="CG15" s="73" t="str">
        <f>IFERROR(IF(#REF!="","",IFERROR(#REF!*(#REF!/100),""))+IF(#REF!="","",IFERROR(#REF!*(#REF!/100),"")),"")</f>
        <v/>
      </c>
      <c r="CH15" s="73" t="str">
        <f>IFERROR(IF(F15="","",IFERROR(F15*($F$9/100),""))+IF(I15="","",IFERROR(I15*($I$9/100),""))+IF(#REF!="","",IFERROR(#REF!*(#REF!/100),""))+IF(#REF!="","",IFERROR(#REF!*(#REF!/100),"")),"")</f>
        <v/>
      </c>
      <c r="CI15" s="4"/>
      <c r="CJ15" s="73" t="str">
        <f>IFERROR(IF(#REF!="","",IFERROR(#REF!*(#REF!/100),""))+IF(#REF!="","",IFERROR(#REF!*(#REF!/100),"")),"")</f>
        <v/>
      </c>
      <c r="CK15" s="73" t="str">
        <f>IFERROR(IF(#REF!="","",IFERROR(#REF!*(#REF!/100),"")),"")</f>
        <v/>
      </c>
      <c r="CL15">
        <f t="shared" si="24"/>
        <v>360.65170000000006</v>
      </c>
      <c r="CM15" s="74" t="e">
        <f>CL15/$CL$9</f>
        <v>#REF!</v>
      </c>
    </row>
    <row r="16" spans="1:91">
      <c r="A16" s="105">
        <v>6</v>
      </c>
      <c r="B16" s="106" t="s">
        <v>193</v>
      </c>
      <c r="C16" s="106" t="s">
        <v>194</v>
      </c>
      <c r="D16" s="66">
        <f>'Penguk.CPMK-Smt1'!D16</f>
        <v>64.13</v>
      </c>
      <c r="E16" s="66">
        <f>'Penguk.CPMK-Smt1'!E16</f>
        <v>49.64</v>
      </c>
      <c r="F16" s="66">
        <f>'Penguk.CPMK-Smt1'!F16</f>
        <v>55</v>
      </c>
      <c r="G16" s="66">
        <f t="shared" si="8"/>
        <v>54.848700000000001</v>
      </c>
      <c r="H16" s="83">
        <f>'Penguk.CPMK-Smt1'!H16</f>
        <v>57.5</v>
      </c>
      <c r="I16" s="83">
        <f>'Penguk.CPMK-Smt1'!I16</f>
        <v>73.599999999999994</v>
      </c>
      <c r="J16" s="83">
        <f t="shared" si="9"/>
        <v>65.55</v>
      </c>
      <c r="K16" s="67">
        <f>'Penguk.CPMK-Smt1'!K16</f>
        <v>74.12</v>
      </c>
      <c r="L16" s="67">
        <f>'Penguk.CPMK-Smt1'!L16</f>
        <v>75.099999999999994</v>
      </c>
      <c r="M16" s="67">
        <f t="shared" si="10"/>
        <v>74.61</v>
      </c>
      <c r="N16" s="68">
        <f>'Penguk.CPMK-Smt1'!N16</f>
        <v>65.540000000000006</v>
      </c>
      <c r="O16" s="68">
        <f>'Penguk.CPMK-Smt1'!O16</f>
        <v>62.27</v>
      </c>
      <c r="P16" s="68">
        <f>'Penguk.CPMK-Smt1'!P16</f>
        <v>76.5</v>
      </c>
      <c r="Q16" s="68">
        <f t="shared" si="11"/>
        <v>67.748900000000006</v>
      </c>
      <c r="R16" s="69">
        <f>'Penguk.CPMK-Smt1'!R16</f>
        <v>93.9</v>
      </c>
      <c r="S16" s="69">
        <f>'Penguk.CPMK-Smt1'!S16</f>
        <v>93.9</v>
      </c>
      <c r="T16" s="69">
        <f t="shared" si="12"/>
        <v>93.9</v>
      </c>
      <c r="U16" s="35">
        <f>'Penguk.CPMK-Smt1'!U16</f>
        <v>66.5</v>
      </c>
      <c r="V16" s="35">
        <f>'Penguk.CPMK-Smt1'!V16</f>
        <v>77</v>
      </c>
      <c r="W16" s="35">
        <f t="shared" si="13"/>
        <v>71.75</v>
      </c>
      <c r="X16" s="70">
        <f>'Penguk.CPMK-Smt1'!X16</f>
        <v>66.5</v>
      </c>
      <c r="Y16" s="70">
        <f>MK8_BID!E24</f>
        <v>77</v>
      </c>
      <c r="Z16" s="70">
        <f t="shared" si="14"/>
        <v>33.25</v>
      </c>
      <c r="AB16" s="71"/>
      <c r="AC16" s="81" t="str">
        <f t="shared" si="0"/>
        <v/>
      </c>
      <c r="AD16" s="71">
        <f t="shared" si="15"/>
        <v>54.848700000000001</v>
      </c>
      <c r="AE16" s="81">
        <f t="shared" si="1"/>
        <v>0.54848700000000006</v>
      </c>
      <c r="AF16" s="71"/>
      <c r="AG16" s="81"/>
      <c r="AH16" s="71">
        <f t="shared" si="16"/>
        <v>159.44999999999999</v>
      </c>
      <c r="AI16" s="81">
        <f t="shared" si="2"/>
        <v>0.7972499999999999</v>
      </c>
      <c r="AJ16" s="72"/>
      <c r="AK16" s="72"/>
      <c r="AL16" s="72">
        <f t="shared" si="17"/>
        <v>71.75</v>
      </c>
      <c r="AM16" s="81">
        <f t="shared" si="18"/>
        <v>0.71750000000000003</v>
      </c>
      <c r="AN16" s="72"/>
      <c r="AO16" s="72"/>
      <c r="AP16" s="72">
        <f t="shared" si="19"/>
        <v>37.06</v>
      </c>
      <c r="AQ16" s="81">
        <f t="shared" si="3"/>
        <v>0.74120000000000008</v>
      </c>
      <c r="AR16" s="71">
        <f t="shared" si="20"/>
        <v>37.549999999999997</v>
      </c>
      <c r="AS16" s="81">
        <f t="shared" si="4"/>
        <v>0.75099999999999989</v>
      </c>
      <c r="AT16" s="71">
        <f t="shared" si="21"/>
        <v>24.2498</v>
      </c>
      <c r="AU16" s="81">
        <f t="shared" si="5"/>
        <v>0.65539999999999998</v>
      </c>
      <c r="AV16" s="72">
        <f t="shared" si="22"/>
        <v>43.499099999999999</v>
      </c>
      <c r="AW16" s="81">
        <f t="shared" si="6"/>
        <v>0.69046190476190472</v>
      </c>
      <c r="AX16" s="71">
        <f t="shared" si="23"/>
        <v>71.75</v>
      </c>
      <c r="AY16" s="81">
        <f t="shared" si="7"/>
        <v>0.71750000000000003</v>
      </c>
      <c r="BB16" s="4"/>
      <c r="BC16" s="4"/>
      <c r="BD16" s="73"/>
      <c r="BE16" s="73"/>
      <c r="BF16" s="73"/>
      <c r="BG16" s="4"/>
      <c r="BH16" s="4"/>
      <c r="BI16" s="4"/>
      <c r="BJ16" s="4"/>
      <c r="BK16" s="73"/>
      <c r="BL16" s="73"/>
      <c r="BM16" s="73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73"/>
      <c r="CA16" s="73"/>
      <c r="CB16" s="73"/>
      <c r="CC16" s="4"/>
      <c r="CD16" s="4"/>
      <c r="CE16" s="4"/>
      <c r="CF16" s="73"/>
      <c r="CG16" s="73"/>
      <c r="CH16" s="73"/>
      <c r="CI16" s="4"/>
      <c r="CJ16" s="73"/>
      <c r="CK16" s="73"/>
      <c r="CM16" s="74"/>
    </row>
    <row r="17" spans="1:91">
      <c r="A17" s="105">
        <v>7</v>
      </c>
      <c r="B17" s="106" t="s">
        <v>195</v>
      </c>
      <c r="C17" s="106" t="s">
        <v>196</v>
      </c>
      <c r="D17" s="66">
        <f>'Penguk.CPMK-Smt1'!D17</f>
        <v>92.17</v>
      </c>
      <c r="E17" s="66">
        <f>'Penguk.CPMK-Smt1'!E17</f>
        <v>80.239999999999995</v>
      </c>
      <c r="F17" s="66">
        <f>'Penguk.CPMK-Smt1'!F17</f>
        <v>61.57</v>
      </c>
      <c r="G17" s="66">
        <f t="shared" si="8"/>
        <v>76.449399999999997</v>
      </c>
      <c r="H17" s="83">
        <f>'Penguk.CPMK-Smt1'!H17</f>
        <v>81.3</v>
      </c>
      <c r="I17" s="83">
        <f>'Penguk.CPMK-Smt1'!I17</f>
        <v>81.3</v>
      </c>
      <c r="J17" s="83">
        <f t="shared" si="9"/>
        <v>81.3</v>
      </c>
      <c r="K17" s="67">
        <f>'Penguk.CPMK-Smt1'!K17</f>
        <v>86.71</v>
      </c>
      <c r="L17" s="67">
        <f>'Penguk.CPMK-Smt1'!L17</f>
        <v>82.35</v>
      </c>
      <c r="M17" s="67">
        <f t="shared" si="10"/>
        <v>84.53</v>
      </c>
      <c r="N17" s="68">
        <f>'Penguk.CPMK-Smt1'!N17</f>
        <v>85.14</v>
      </c>
      <c r="O17" s="68">
        <f>'Penguk.CPMK-Smt1'!O17</f>
        <v>86.82</v>
      </c>
      <c r="P17" s="68">
        <f>'Penguk.CPMK-Smt1'!P17</f>
        <v>79.5</v>
      </c>
      <c r="Q17" s="68">
        <f t="shared" si="11"/>
        <v>84.002399999999994</v>
      </c>
      <c r="R17" s="69">
        <f>'Penguk.CPMK-Smt1'!R17</f>
        <v>81.400000000000006</v>
      </c>
      <c r="S17" s="69">
        <f>'Penguk.CPMK-Smt1'!S17</f>
        <v>81.400000000000006</v>
      </c>
      <c r="T17" s="69">
        <f t="shared" si="12"/>
        <v>81.400000000000006</v>
      </c>
      <c r="U17" s="35">
        <f>'Penguk.CPMK-Smt1'!U17</f>
        <v>75.5</v>
      </c>
      <c r="V17" s="35">
        <f>'Penguk.CPMK-Smt1'!V17</f>
        <v>75.5</v>
      </c>
      <c r="W17" s="35">
        <f t="shared" si="13"/>
        <v>75.5</v>
      </c>
      <c r="X17" s="70">
        <f>'Penguk.CPMK-Smt1'!X17</f>
        <v>75.5</v>
      </c>
      <c r="Y17" s="70">
        <f>MK8_BID!E25</f>
        <v>75.5</v>
      </c>
      <c r="Z17" s="70">
        <f t="shared" si="14"/>
        <v>37.75</v>
      </c>
      <c r="AB17" s="71"/>
      <c r="AC17" s="81" t="str">
        <f t="shared" si="0"/>
        <v/>
      </c>
      <c r="AD17" s="71">
        <f t="shared" si="15"/>
        <v>76.449399999999997</v>
      </c>
      <c r="AE17" s="81">
        <f t="shared" si="1"/>
        <v>0.76449400000000001</v>
      </c>
      <c r="AF17" s="71"/>
      <c r="AG17" s="81"/>
      <c r="AH17" s="71">
        <f t="shared" si="16"/>
        <v>162.69999999999999</v>
      </c>
      <c r="AI17" s="81">
        <f t="shared" si="2"/>
        <v>0.81349999999999989</v>
      </c>
      <c r="AJ17" s="72"/>
      <c r="AK17" s="72"/>
      <c r="AL17" s="72">
        <f t="shared" si="17"/>
        <v>75.5</v>
      </c>
      <c r="AM17" s="81">
        <f t="shared" si="18"/>
        <v>0.755</v>
      </c>
      <c r="AN17" s="72"/>
      <c r="AO17" s="72"/>
      <c r="AP17" s="72">
        <f t="shared" si="19"/>
        <v>43.354999999999997</v>
      </c>
      <c r="AQ17" s="81">
        <f t="shared" si="3"/>
        <v>0.86709999999999998</v>
      </c>
      <c r="AR17" s="71">
        <f t="shared" si="20"/>
        <v>41.174999999999997</v>
      </c>
      <c r="AS17" s="81">
        <f t="shared" si="4"/>
        <v>0.8234999999999999</v>
      </c>
      <c r="AT17" s="71">
        <f t="shared" si="21"/>
        <v>31.501799999999999</v>
      </c>
      <c r="AU17" s="81">
        <f t="shared" si="5"/>
        <v>0.85139999999999993</v>
      </c>
      <c r="AV17" s="72">
        <f t="shared" si="22"/>
        <v>52.500599999999999</v>
      </c>
      <c r="AW17" s="81">
        <f t="shared" si="6"/>
        <v>0.83334285714285716</v>
      </c>
      <c r="AX17" s="71">
        <f t="shared" si="23"/>
        <v>75.5</v>
      </c>
      <c r="AY17" s="81">
        <f t="shared" si="7"/>
        <v>0.755</v>
      </c>
      <c r="BB17" s="4"/>
      <c r="BC17" s="4"/>
      <c r="BD17" s="73"/>
      <c r="BE17" s="73"/>
      <c r="BF17" s="73"/>
      <c r="BG17" s="4"/>
      <c r="BH17" s="4"/>
      <c r="BI17" s="4"/>
      <c r="BJ17" s="4"/>
      <c r="BK17" s="73"/>
      <c r="BL17" s="73"/>
      <c r="BM17" s="73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73"/>
      <c r="CA17" s="73"/>
      <c r="CB17" s="73"/>
      <c r="CC17" s="4"/>
      <c r="CD17" s="4"/>
      <c r="CE17" s="4"/>
      <c r="CF17" s="73"/>
      <c r="CG17" s="73"/>
      <c r="CH17" s="73"/>
      <c r="CI17" s="4"/>
      <c r="CJ17" s="73"/>
      <c r="CK17" s="73"/>
      <c r="CM17" s="74"/>
    </row>
    <row r="18" spans="1:91">
      <c r="A18" s="105">
        <v>8</v>
      </c>
      <c r="B18" s="106" t="s">
        <v>197</v>
      </c>
      <c r="C18" s="106" t="s">
        <v>198</v>
      </c>
      <c r="D18" s="66">
        <f>'Penguk.CPMK-Smt1'!D18</f>
        <v>72.83</v>
      </c>
      <c r="E18" s="66">
        <f>'Penguk.CPMK-Smt1'!E18</f>
        <v>67.739999999999995</v>
      </c>
      <c r="F18" s="66">
        <f>'Penguk.CPMK-Smt1'!F18</f>
        <v>80.709999999999994</v>
      </c>
      <c r="G18" s="66">
        <f t="shared" si="8"/>
        <v>73.450199999999995</v>
      </c>
      <c r="H18" s="83">
        <f>'Penguk.CPMK-Smt1'!H18</f>
        <v>73.599999999999994</v>
      </c>
      <c r="I18" s="83">
        <f>'Penguk.CPMK-Smt1'!I18</f>
        <v>68.7</v>
      </c>
      <c r="J18" s="83">
        <f t="shared" si="9"/>
        <v>71.150000000000006</v>
      </c>
      <c r="K18" s="67">
        <f>'Penguk.CPMK-Smt1'!K18</f>
        <v>80.94</v>
      </c>
      <c r="L18" s="67">
        <f>'Penguk.CPMK-Smt1'!L18</f>
        <v>74.59</v>
      </c>
      <c r="M18" s="67">
        <f t="shared" si="10"/>
        <v>77.765000000000001</v>
      </c>
      <c r="N18" s="68">
        <f>'Penguk.CPMK-Smt1'!N18</f>
        <v>66.22</v>
      </c>
      <c r="O18" s="68">
        <f>'Penguk.CPMK-Smt1'!O18</f>
        <v>67.27</v>
      </c>
      <c r="P18" s="68">
        <f>'Penguk.CPMK-Smt1'!P18</f>
        <v>70.17</v>
      </c>
      <c r="Q18" s="68">
        <f t="shared" si="11"/>
        <v>67.751500000000007</v>
      </c>
      <c r="R18" s="69">
        <f>'Penguk.CPMK-Smt1'!R18</f>
        <v>81.400000000000006</v>
      </c>
      <c r="S18" s="69">
        <f>'Penguk.CPMK-Smt1'!S18</f>
        <v>81.400000000000006</v>
      </c>
      <c r="T18" s="69">
        <f t="shared" si="12"/>
        <v>81.400000000000006</v>
      </c>
      <c r="U18" s="35">
        <f>'Penguk.CPMK-Smt1'!U18</f>
        <v>58</v>
      </c>
      <c r="V18" s="35">
        <f>'Penguk.CPMK-Smt1'!V18</f>
        <v>93</v>
      </c>
      <c r="W18" s="35">
        <f t="shared" si="13"/>
        <v>75.5</v>
      </c>
      <c r="X18" s="70">
        <f>'Penguk.CPMK-Smt1'!X18</f>
        <v>58</v>
      </c>
      <c r="Y18" s="70">
        <f>MK8_BID!E26</f>
        <v>93</v>
      </c>
      <c r="Z18" s="70">
        <f t="shared" si="14"/>
        <v>29</v>
      </c>
      <c r="AB18" s="71"/>
      <c r="AC18" s="81" t="str">
        <f t="shared" si="0"/>
        <v/>
      </c>
      <c r="AD18" s="71">
        <f t="shared" si="15"/>
        <v>73.450199999999995</v>
      </c>
      <c r="AE18" s="81">
        <f t="shared" si="1"/>
        <v>0.73450199999999999</v>
      </c>
      <c r="AF18" s="71"/>
      <c r="AG18" s="81"/>
      <c r="AH18" s="71">
        <f t="shared" si="16"/>
        <v>152.55000000000001</v>
      </c>
      <c r="AI18" s="81">
        <f t="shared" si="2"/>
        <v>0.76275000000000004</v>
      </c>
      <c r="AJ18" s="72"/>
      <c r="AK18" s="72"/>
      <c r="AL18" s="72">
        <f t="shared" si="17"/>
        <v>75.5</v>
      </c>
      <c r="AM18" s="81">
        <f t="shared" si="18"/>
        <v>0.755</v>
      </c>
      <c r="AN18" s="72"/>
      <c r="AO18" s="72"/>
      <c r="AP18" s="72">
        <f t="shared" si="19"/>
        <v>40.47</v>
      </c>
      <c r="AQ18" s="81">
        <f t="shared" si="3"/>
        <v>0.80940000000000001</v>
      </c>
      <c r="AR18" s="71">
        <f t="shared" si="20"/>
        <v>37.295000000000002</v>
      </c>
      <c r="AS18" s="81">
        <f t="shared" si="4"/>
        <v>0.74590000000000001</v>
      </c>
      <c r="AT18" s="71">
        <f t="shared" si="21"/>
        <v>24.5014</v>
      </c>
      <c r="AU18" s="81">
        <f t="shared" si="5"/>
        <v>0.66220000000000001</v>
      </c>
      <c r="AV18" s="72">
        <f t="shared" si="22"/>
        <v>43.250100000000003</v>
      </c>
      <c r="AW18" s="81">
        <f t="shared" si="6"/>
        <v>0.6865095238095239</v>
      </c>
      <c r="AX18" s="71">
        <f t="shared" si="23"/>
        <v>75.5</v>
      </c>
      <c r="AY18" s="81">
        <f t="shared" si="7"/>
        <v>0.755</v>
      </c>
      <c r="BB18" s="4"/>
      <c r="BC18" s="4"/>
      <c r="BD18" s="73"/>
      <c r="BE18" s="73"/>
      <c r="BF18" s="73"/>
      <c r="BG18" s="4"/>
      <c r="BH18" s="4"/>
      <c r="BI18" s="4"/>
      <c r="BJ18" s="4"/>
      <c r="BK18" s="73"/>
      <c r="BL18" s="73"/>
      <c r="BM18" s="73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73"/>
      <c r="CA18" s="73"/>
      <c r="CB18" s="73"/>
      <c r="CC18" s="4"/>
      <c r="CD18" s="4"/>
      <c r="CE18" s="4"/>
      <c r="CF18" s="73"/>
      <c r="CG18" s="73"/>
      <c r="CH18" s="73"/>
      <c r="CI18" s="4"/>
      <c r="CJ18" s="73"/>
      <c r="CK18" s="73"/>
      <c r="CM18" s="74"/>
    </row>
    <row r="19" spans="1:91">
      <c r="A19" s="105">
        <v>9</v>
      </c>
      <c r="B19" s="106" t="s">
        <v>199</v>
      </c>
      <c r="C19" s="106" t="s">
        <v>200</v>
      </c>
      <c r="D19" s="66">
        <f>'Penguk.CPMK-Smt1'!D19</f>
        <v>70.959999999999994</v>
      </c>
      <c r="E19" s="66">
        <f>'Penguk.CPMK-Smt1'!E19</f>
        <v>62.9</v>
      </c>
      <c r="F19" s="66">
        <f>'Penguk.CPMK-Smt1'!F19</f>
        <v>77.03</v>
      </c>
      <c r="G19" s="66">
        <f t="shared" si="8"/>
        <v>69.699299999999994</v>
      </c>
      <c r="H19" s="83">
        <f>'Penguk.CPMK-Smt1'!H19</f>
        <v>63.1</v>
      </c>
      <c r="I19" s="83">
        <f>'Penguk.CPMK-Smt1'!I19</f>
        <v>59.6</v>
      </c>
      <c r="J19" s="83">
        <f t="shared" si="9"/>
        <v>61.35</v>
      </c>
      <c r="K19" s="67">
        <f>'Penguk.CPMK-Smt1'!K19</f>
        <v>78.47</v>
      </c>
      <c r="L19" s="67">
        <f>'Penguk.CPMK-Smt1'!L19</f>
        <v>74.180000000000007</v>
      </c>
      <c r="M19" s="67">
        <f t="shared" si="10"/>
        <v>76.325000000000003</v>
      </c>
      <c r="N19" s="68">
        <f>'Penguk.CPMK-Smt1'!N19</f>
        <v>60.81</v>
      </c>
      <c r="O19" s="68">
        <f>'Penguk.CPMK-Smt1'!O19</f>
        <v>58.48</v>
      </c>
      <c r="P19" s="68">
        <f>'Penguk.CPMK-Smt1'!P19</f>
        <v>62.33</v>
      </c>
      <c r="Q19" s="68">
        <f t="shared" si="11"/>
        <v>60.497100000000003</v>
      </c>
      <c r="R19" s="69">
        <f>'Penguk.CPMK-Smt1'!R19</f>
        <v>81.400000000000006</v>
      </c>
      <c r="S19" s="69">
        <f>'Penguk.CPMK-Smt1'!S19</f>
        <v>81.400000000000006</v>
      </c>
      <c r="T19" s="69">
        <f t="shared" si="12"/>
        <v>81.400000000000006</v>
      </c>
      <c r="U19" s="35">
        <f>'Penguk.CPMK-Smt1'!U19</f>
        <v>64.400000000000006</v>
      </c>
      <c r="V19" s="35">
        <f>'Penguk.CPMK-Smt1'!V19</f>
        <v>78.400000000000006</v>
      </c>
      <c r="W19" s="35">
        <f t="shared" si="13"/>
        <v>71.400000000000006</v>
      </c>
      <c r="X19" s="70">
        <f>'Penguk.CPMK-Smt1'!X19</f>
        <v>64.400000000000006</v>
      </c>
      <c r="Y19" s="70">
        <f>MK8_BID!E27</f>
        <v>78.400000000000006</v>
      </c>
      <c r="Z19" s="70">
        <f t="shared" si="14"/>
        <v>32.200000000000003</v>
      </c>
      <c r="AB19" s="71"/>
      <c r="AC19" s="81" t="str">
        <f t="shared" si="0"/>
        <v/>
      </c>
      <c r="AD19" s="71">
        <f t="shared" si="15"/>
        <v>69.699299999999994</v>
      </c>
      <c r="AE19" s="81">
        <f t="shared" si="1"/>
        <v>0.69699299999999997</v>
      </c>
      <c r="AF19" s="71"/>
      <c r="AG19" s="81"/>
      <c r="AH19" s="71">
        <f t="shared" si="16"/>
        <v>142.75</v>
      </c>
      <c r="AI19" s="81">
        <f t="shared" si="2"/>
        <v>0.71375</v>
      </c>
      <c r="AJ19" s="72"/>
      <c r="AK19" s="72"/>
      <c r="AL19" s="72">
        <f t="shared" si="17"/>
        <v>71.400000000000006</v>
      </c>
      <c r="AM19" s="81">
        <f t="shared" si="18"/>
        <v>0.71400000000000008</v>
      </c>
      <c r="AN19" s="72"/>
      <c r="AO19" s="72"/>
      <c r="AP19" s="72">
        <f t="shared" si="19"/>
        <v>39.234999999999999</v>
      </c>
      <c r="AQ19" s="81">
        <f t="shared" si="3"/>
        <v>0.78469999999999995</v>
      </c>
      <c r="AR19" s="71">
        <f t="shared" si="20"/>
        <v>37.090000000000003</v>
      </c>
      <c r="AS19" s="81">
        <f t="shared" si="4"/>
        <v>0.74180000000000001</v>
      </c>
      <c r="AT19" s="71">
        <f t="shared" si="21"/>
        <v>22.499700000000001</v>
      </c>
      <c r="AU19" s="81">
        <f t="shared" si="5"/>
        <v>0.60809999999999997</v>
      </c>
      <c r="AV19" s="72">
        <f t="shared" si="22"/>
        <v>37.997399999999999</v>
      </c>
      <c r="AW19" s="81">
        <f t="shared" si="6"/>
        <v>0.6031333333333333</v>
      </c>
      <c r="AX19" s="71">
        <f t="shared" si="23"/>
        <v>71.400000000000006</v>
      </c>
      <c r="AY19" s="81">
        <f t="shared" si="7"/>
        <v>0.71400000000000008</v>
      </c>
      <c r="BB19" s="4"/>
      <c r="BC19" s="4"/>
      <c r="BD19" s="73"/>
      <c r="BE19" s="73"/>
      <c r="BF19" s="73"/>
      <c r="BG19" s="4"/>
      <c r="BH19" s="4"/>
      <c r="BI19" s="4"/>
      <c r="BJ19" s="4"/>
      <c r="BK19" s="73"/>
      <c r="BL19" s="73"/>
      <c r="BM19" s="73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73"/>
      <c r="CA19" s="73"/>
      <c r="CB19" s="73"/>
      <c r="CC19" s="4"/>
      <c r="CD19" s="4"/>
      <c r="CE19" s="4"/>
      <c r="CF19" s="73"/>
      <c r="CG19" s="73"/>
      <c r="CH19" s="73"/>
      <c r="CI19" s="4"/>
      <c r="CJ19" s="73"/>
      <c r="CK19" s="73"/>
      <c r="CM19" s="74"/>
    </row>
    <row r="20" spans="1:91">
      <c r="A20" s="105">
        <v>10</v>
      </c>
      <c r="B20" s="106" t="s">
        <v>201</v>
      </c>
      <c r="C20" s="106" t="s">
        <v>202</v>
      </c>
      <c r="D20" s="66">
        <f>'Penguk.CPMK-Smt1'!D20</f>
        <v>89.13</v>
      </c>
      <c r="E20" s="66">
        <f>'Penguk.CPMK-Smt1'!E20</f>
        <v>82.86</v>
      </c>
      <c r="F20" s="66">
        <f>'Penguk.CPMK-Smt1'!F20</f>
        <v>84.86</v>
      </c>
      <c r="G20" s="66">
        <f t="shared" si="8"/>
        <v>85.002099999999999</v>
      </c>
      <c r="H20" s="83">
        <f>'Penguk.CPMK-Smt1'!H20</f>
        <v>77.099999999999994</v>
      </c>
      <c r="I20" s="83">
        <f>'Penguk.CPMK-Smt1'!I20</f>
        <v>74.3</v>
      </c>
      <c r="J20" s="83">
        <f t="shared" si="9"/>
        <v>75.699999999999989</v>
      </c>
      <c r="K20" s="67">
        <f>'Penguk.CPMK-Smt1'!K20</f>
        <v>86.12</v>
      </c>
      <c r="L20" s="67">
        <f>'Penguk.CPMK-Smt1'!L20</f>
        <v>80.92</v>
      </c>
      <c r="M20" s="67">
        <f t="shared" si="10"/>
        <v>83.52000000000001</v>
      </c>
      <c r="N20" s="68">
        <f>'Penguk.CPMK-Smt1'!N20</f>
        <v>76.489999999999995</v>
      </c>
      <c r="O20" s="68">
        <f>'Penguk.CPMK-Smt1'!O20</f>
        <v>76.36</v>
      </c>
      <c r="P20" s="68">
        <f>'Penguk.CPMK-Smt1'!P20</f>
        <v>77.33</v>
      </c>
      <c r="Q20" s="68">
        <f t="shared" si="11"/>
        <v>76.699100000000001</v>
      </c>
      <c r="R20" s="69">
        <f>'Penguk.CPMK-Smt1'!R20</f>
        <v>93.9</v>
      </c>
      <c r="S20" s="69">
        <f>'Penguk.CPMK-Smt1'!S20</f>
        <v>93.9</v>
      </c>
      <c r="T20" s="69">
        <f t="shared" si="12"/>
        <v>93.9</v>
      </c>
      <c r="U20" s="35">
        <f>'Penguk.CPMK-Smt1'!U20</f>
        <v>75.5</v>
      </c>
      <c r="V20" s="35">
        <f>'Penguk.CPMK-Smt1'!V20</f>
        <v>93</v>
      </c>
      <c r="W20" s="35">
        <f t="shared" si="13"/>
        <v>84.25</v>
      </c>
      <c r="X20" s="70">
        <f>'Penguk.CPMK-Smt1'!X20</f>
        <v>75.5</v>
      </c>
      <c r="Y20" s="70">
        <f>MK8_BID!E28</f>
        <v>93</v>
      </c>
      <c r="Z20" s="70">
        <f t="shared" si="14"/>
        <v>37.75</v>
      </c>
      <c r="AB20" s="71"/>
      <c r="AC20" s="81" t="str">
        <f t="shared" si="0"/>
        <v/>
      </c>
      <c r="AD20" s="71">
        <f t="shared" si="15"/>
        <v>85.002099999999999</v>
      </c>
      <c r="AE20" s="81">
        <f t="shared" si="1"/>
        <v>0.85002100000000003</v>
      </c>
      <c r="AF20" s="71"/>
      <c r="AG20" s="81"/>
      <c r="AH20" s="71">
        <f t="shared" si="16"/>
        <v>169.6</v>
      </c>
      <c r="AI20" s="81">
        <f t="shared" si="2"/>
        <v>0.84799999999999998</v>
      </c>
      <c r="AJ20" s="72"/>
      <c r="AK20" s="72"/>
      <c r="AL20" s="72">
        <f t="shared" si="17"/>
        <v>84.25</v>
      </c>
      <c r="AM20" s="81">
        <f t="shared" si="18"/>
        <v>0.84250000000000003</v>
      </c>
      <c r="AN20" s="72"/>
      <c r="AO20" s="72"/>
      <c r="AP20" s="72">
        <f t="shared" si="19"/>
        <v>43.06</v>
      </c>
      <c r="AQ20" s="81">
        <f t="shared" si="3"/>
        <v>0.86120000000000008</v>
      </c>
      <c r="AR20" s="71">
        <f t="shared" si="20"/>
        <v>40.46</v>
      </c>
      <c r="AS20" s="81">
        <f t="shared" si="4"/>
        <v>0.80920000000000003</v>
      </c>
      <c r="AT20" s="71">
        <f t="shared" si="21"/>
        <v>28.301299999999998</v>
      </c>
      <c r="AU20" s="81">
        <f t="shared" si="5"/>
        <v>0.76489999999999991</v>
      </c>
      <c r="AV20" s="72">
        <f t="shared" si="22"/>
        <v>48.397800000000004</v>
      </c>
      <c r="AW20" s="81">
        <f t="shared" si="6"/>
        <v>0.76821904761904769</v>
      </c>
      <c r="AX20" s="71">
        <f t="shared" si="23"/>
        <v>84.25</v>
      </c>
      <c r="AY20" s="81">
        <f t="shared" si="7"/>
        <v>0.84250000000000003</v>
      </c>
      <c r="BB20" s="4"/>
      <c r="BC20" s="4"/>
      <c r="BD20" s="73"/>
      <c r="BE20" s="73"/>
      <c r="BF20" s="73"/>
      <c r="BG20" s="4"/>
      <c r="BH20" s="4"/>
      <c r="BI20" s="4"/>
      <c r="BJ20" s="4"/>
      <c r="BK20" s="73"/>
      <c r="BL20" s="73"/>
      <c r="BM20" s="73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73"/>
      <c r="CA20" s="73"/>
      <c r="CB20" s="73"/>
      <c r="CC20" s="4"/>
      <c r="CD20" s="4"/>
      <c r="CE20" s="4"/>
      <c r="CF20" s="73"/>
      <c r="CG20" s="73"/>
      <c r="CH20" s="73"/>
      <c r="CI20" s="4"/>
      <c r="CJ20" s="73"/>
      <c r="CK20" s="73"/>
      <c r="CM20" s="74"/>
    </row>
    <row r="21" spans="1:91">
      <c r="A21" s="105">
        <v>11</v>
      </c>
      <c r="B21" s="106" t="s">
        <v>203</v>
      </c>
      <c r="C21" s="106" t="s">
        <v>204</v>
      </c>
      <c r="D21" s="66">
        <f>'Penguk.CPMK-Smt1'!D21</f>
        <v>87.91</v>
      </c>
      <c r="E21" s="66">
        <f>'Penguk.CPMK-Smt1'!E21</f>
        <v>82.67</v>
      </c>
      <c r="F21" s="66">
        <f>'Penguk.CPMK-Smt1'!F21</f>
        <v>86.31</v>
      </c>
      <c r="G21" s="66">
        <f t="shared" si="8"/>
        <v>85.149200000000008</v>
      </c>
      <c r="H21" s="83">
        <f>'Penguk.CPMK-Smt1'!H21</f>
        <v>86</v>
      </c>
      <c r="I21" s="83">
        <f>'Penguk.CPMK-Smt1'!I21</f>
        <v>86</v>
      </c>
      <c r="J21" s="83">
        <f t="shared" si="9"/>
        <v>86</v>
      </c>
      <c r="K21" s="67">
        <f>'Penguk.CPMK-Smt1'!K21</f>
        <v>89.06</v>
      </c>
      <c r="L21" s="67">
        <f>'Penguk.CPMK-Smt1'!L21</f>
        <v>87.35</v>
      </c>
      <c r="M21" s="67">
        <f t="shared" si="10"/>
        <v>88.204999999999998</v>
      </c>
      <c r="N21" s="68">
        <f>'Penguk.CPMK-Smt1'!N21</f>
        <v>75.680000000000007</v>
      </c>
      <c r="O21" s="68">
        <f>'Penguk.CPMK-Smt1'!O21</f>
        <v>75.45</v>
      </c>
      <c r="P21" s="68">
        <f>'Penguk.CPMK-Smt1'!P21</f>
        <v>80.33</v>
      </c>
      <c r="Q21" s="68">
        <f t="shared" si="11"/>
        <v>76.999100000000013</v>
      </c>
      <c r="R21" s="69">
        <f>'Penguk.CPMK-Smt1'!R21</f>
        <v>93.9</v>
      </c>
      <c r="S21" s="69">
        <f>'Penguk.CPMK-Smt1'!S21</f>
        <v>93.9</v>
      </c>
      <c r="T21" s="69">
        <f t="shared" si="12"/>
        <v>93.9</v>
      </c>
      <c r="U21" s="35">
        <f>'Penguk.CPMK-Smt1'!U21</f>
        <v>82.5</v>
      </c>
      <c r="V21" s="35">
        <f>'Penguk.CPMK-Smt1'!V21</f>
        <v>89.5</v>
      </c>
      <c r="W21" s="35">
        <f t="shared" si="13"/>
        <v>86</v>
      </c>
      <c r="X21" s="70">
        <f>'Penguk.CPMK-Smt1'!X21</f>
        <v>82.5</v>
      </c>
      <c r="Y21" s="70">
        <f>MK8_BID!E29</f>
        <v>89.5</v>
      </c>
      <c r="Z21" s="70">
        <f t="shared" si="14"/>
        <v>41.25</v>
      </c>
      <c r="AB21" s="71"/>
      <c r="AC21" s="81" t="str">
        <f t="shared" si="0"/>
        <v/>
      </c>
      <c r="AD21" s="71">
        <f t="shared" si="15"/>
        <v>85.149200000000008</v>
      </c>
      <c r="AE21" s="81">
        <f t="shared" si="1"/>
        <v>0.85149200000000003</v>
      </c>
      <c r="AF21" s="71"/>
      <c r="AG21" s="81"/>
      <c r="AH21" s="71">
        <f t="shared" si="16"/>
        <v>179.89999999999998</v>
      </c>
      <c r="AI21" s="81">
        <f t="shared" si="2"/>
        <v>0.89949999999999986</v>
      </c>
      <c r="AJ21" s="72"/>
      <c r="AK21" s="72"/>
      <c r="AL21" s="72">
        <f t="shared" si="17"/>
        <v>86</v>
      </c>
      <c r="AM21" s="81">
        <f t="shared" si="18"/>
        <v>0.86</v>
      </c>
      <c r="AN21" s="72"/>
      <c r="AO21" s="72"/>
      <c r="AP21" s="72">
        <f t="shared" si="19"/>
        <v>44.53</v>
      </c>
      <c r="AQ21" s="81">
        <f t="shared" si="3"/>
        <v>0.89060000000000006</v>
      </c>
      <c r="AR21" s="71">
        <f t="shared" si="20"/>
        <v>43.674999999999997</v>
      </c>
      <c r="AS21" s="81">
        <f t="shared" si="4"/>
        <v>0.87349999999999994</v>
      </c>
      <c r="AT21" s="71">
        <f t="shared" si="21"/>
        <v>28.001600000000003</v>
      </c>
      <c r="AU21" s="81">
        <f t="shared" si="5"/>
        <v>0.75680000000000014</v>
      </c>
      <c r="AV21" s="72">
        <f t="shared" si="22"/>
        <v>48.997500000000002</v>
      </c>
      <c r="AW21" s="81">
        <f t="shared" si="6"/>
        <v>0.77773809523809523</v>
      </c>
      <c r="AX21" s="71">
        <f t="shared" si="23"/>
        <v>86</v>
      </c>
      <c r="AY21" s="81">
        <f t="shared" si="7"/>
        <v>0.86</v>
      </c>
      <c r="BB21" s="4"/>
      <c r="BC21" s="4"/>
      <c r="BD21" s="73"/>
      <c r="BE21" s="73"/>
      <c r="BF21" s="73"/>
      <c r="BG21" s="4"/>
      <c r="BH21" s="4"/>
      <c r="BI21" s="4"/>
      <c r="BJ21" s="4"/>
      <c r="BK21" s="73"/>
      <c r="BL21" s="73"/>
      <c r="BM21" s="73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73"/>
      <c r="CA21" s="73"/>
      <c r="CB21" s="73"/>
      <c r="CC21" s="4"/>
      <c r="CD21" s="4"/>
      <c r="CE21" s="4"/>
      <c r="CF21" s="73"/>
      <c r="CG21" s="73"/>
      <c r="CH21" s="73"/>
      <c r="CI21" s="4"/>
      <c r="CJ21" s="73"/>
      <c r="CK21" s="73"/>
      <c r="CM21" s="74"/>
    </row>
    <row r="22" spans="1:91">
      <c r="A22" s="105">
        <v>12</v>
      </c>
      <c r="B22" s="106" t="s">
        <v>205</v>
      </c>
      <c r="C22" s="106" t="s">
        <v>206</v>
      </c>
      <c r="D22" s="66">
        <f>'Penguk.CPMK-Smt1'!D22</f>
        <v>0</v>
      </c>
      <c r="E22" s="66">
        <f>'Penguk.CPMK-Smt1'!E22</f>
        <v>0</v>
      </c>
      <c r="F22" s="66">
        <f>'Penguk.CPMK-Smt1'!F22</f>
        <v>0</v>
      </c>
      <c r="G22" s="66">
        <f t="shared" si="8"/>
        <v>0</v>
      </c>
      <c r="H22" s="83">
        <f>'Penguk.CPMK-Smt1'!H22</f>
        <v>0</v>
      </c>
      <c r="I22" s="83">
        <f>'Penguk.CPMK-Smt1'!I22</f>
        <v>0</v>
      </c>
      <c r="J22" s="83">
        <f t="shared" si="9"/>
        <v>0</v>
      </c>
      <c r="K22" s="67">
        <f>'Penguk.CPMK-Smt1'!K22</f>
        <v>63.76</v>
      </c>
      <c r="L22" s="67">
        <f>'Penguk.CPMK-Smt1'!L22</f>
        <v>43.88</v>
      </c>
      <c r="M22" s="67">
        <f t="shared" si="10"/>
        <v>53.82</v>
      </c>
      <c r="N22" s="68">
        <f>'Penguk.CPMK-Smt1'!N22</f>
        <v>0</v>
      </c>
      <c r="O22" s="68">
        <f>'Penguk.CPMK-Smt1'!O22</f>
        <v>0</v>
      </c>
      <c r="P22" s="68">
        <f>'Penguk.CPMK-Smt1'!P22</f>
        <v>0</v>
      </c>
      <c r="Q22" s="68">
        <f t="shared" si="11"/>
        <v>0</v>
      </c>
      <c r="R22" s="69">
        <f>'Penguk.CPMK-Smt1'!R22</f>
        <v>9.4</v>
      </c>
      <c r="S22" s="69">
        <f>'Penguk.CPMK-Smt1'!S22</f>
        <v>9.4</v>
      </c>
      <c r="T22" s="69">
        <f t="shared" si="12"/>
        <v>9.4</v>
      </c>
      <c r="U22" s="35">
        <f>'Penguk.CPMK-Smt1'!U22</f>
        <v>0.6</v>
      </c>
      <c r="V22" s="35">
        <f>'Penguk.CPMK-Smt1'!V22</f>
        <v>0.6</v>
      </c>
      <c r="W22" s="35">
        <f t="shared" si="13"/>
        <v>0.6</v>
      </c>
      <c r="X22" s="70">
        <f>'Penguk.CPMK-Smt1'!X22</f>
        <v>0.6</v>
      </c>
      <c r="Y22" s="70">
        <f>MK8_BID!E30</f>
        <v>0.6</v>
      </c>
      <c r="Z22" s="70">
        <f t="shared" si="14"/>
        <v>0.3</v>
      </c>
      <c r="AB22" s="71"/>
      <c r="AC22" s="81" t="str">
        <f t="shared" si="0"/>
        <v/>
      </c>
      <c r="AD22" s="71">
        <f t="shared" si="15"/>
        <v>0</v>
      </c>
      <c r="AE22" s="81">
        <f t="shared" si="1"/>
        <v>0</v>
      </c>
      <c r="AF22" s="71"/>
      <c r="AG22" s="81"/>
      <c r="AH22" s="71">
        <f t="shared" si="16"/>
        <v>9.4</v>
      </c>
      <c r="AI22" s="81">
        <f t="shared" si="2"/>
        <v>4.7E-2</v>
      </c>
      <c r="AJ22" s="72"/>
      <c r="AK22" s="72"/>
      <c r="AL22" s="72">
        <f t="shared" si="17"/>
        <v>0.6</v>
      </c>
      <c r="AM22" s="81">
        <f t="shared" si="18"/>
        <v>6.0000000000000001E-3</v>
      </c>
      <c r="AN22" s="72"/>
      <c r="AO22" s="72"/>
      <c r="AP22" s="72">
        <f t="shared" si="19"/>
        <v>31.88</v>
      </c>
      <c r="AQ22" s="81">
        <f t="shared" si="3"/>
        <v>0.63759999999999994</v>
      </c>
      <c r="AR22" s="71">
        <f t="shared" si="20"/>
        <v>21.94</v>
      </c>
      <c r="AS22" s="81">
        <f t="shared" si="4"/>
        <v>0.43880000000000002</v>
      </c>
      <c r="AT22" s="71">
        <f t="shared" si="21"/>
        <v>0</v>
      </c>
      <c r="AU22" s="81">
        <f t="shared" si="5"/>
        <v>0</v>
      </c>
      <c r="AV22" s="72">
        <f t="shared" si="22"/>
        <v>0</v>
      </c>
      <c r="AW22" s="81">
        <f t="shared" si="6"/>
        <v>0</v>
      </c>
      <c r="AX22" s="71">
        <f t="shared" si="23"/>
        <v>0.6</v>
      </c>
      <c r="AY22" s="81">
        <f t="shared" si="7"/>
        <v>6.0000000000000001E-3</v>
      </c>
      <c r="BB22" s="4"/>
      <c r="BC22" s="4"/>
      <c r="BD22" s="73"/>
      <c r="BE22" s="73"/>
      <c r="BF22" s="73"/>
      <c r="BG22" s="4"/>
      <c r="BH22" s="4"/>
      <c r="BI22" s="4"/>
      <c r="BJ22" s="4"/>
      <c r="BK22" s="73"/>
      <c r="BL22" s="73"/>
      <c r="BM22" s="73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73"/>
      <c r="CA22" s="73"/>
      <c r="CB22" s="73"/>
      <c r="CC22" s="4"/>
      <c r="CD22" s="4"/>
      <c r="CE22" s="4"/>
      <c r="CF22" s="73"/>
      <c r="CG22" s="73"/>
      <c r="CH22" s="73"/>
      <c r="CI22" s="4"/>
      <c r="CJ22" s="73"/>
      <c r="CK22" s="73"/>
      <c r="CM22" s="74"/>
    </row>
    <row r="23" spans="1:91">
      <c r="A23" s="105">
        <v>13</v>
      </c>
      <c r="B23" s="106" t="s">
        <v>207</v>
      </c>
      <c r="C23" s="106" t="s">
        <v>208</v>
      </c>
      <c r="D23" s="66">
        <f>'Penguk.CPMK-Smt1'!D23</f>
        <v>81.739999999999995</v>
      </c>
      <c r="E23" s="66">
        <f>'Penguk.CPMK-Smt1'!E23</f>
        <v>73.81</v>
      </c>
      <c r="F23" s="66">
        <f>'Penguk.CPMK-Smt1'!F23</f>
        <v>82.57</v>
      </c>
      <c r="G23" s="66">
        <f t="shared" si="8"/>
        <v>78.699899999999985</v>
      </c>
      <c r="H23" s="83">
        <f>'Penguk.CPMK-Smt1'!H23</f>
        <v>71.5</v>
      </c>
      <c r="I23" s="83">
        <f>'Penguk.CPMK-Smt1'!I23</f>
        <v>71.5</v>
      </c>
      <c r="J23" s="83">
        <f t="shared" si="9"/>
        <v>71.5</v>
      </c>
      <c r="K23" s="67">
        <f>'Penguk.CPMK-Smt1'!K23</f>
        <v>80.239999999999995</v>
      </c>
      <c r="L23" s="67">
        <f>'Penguk.CPMK-Smt1'!L23</f>
        <v>74.69</v>
      </c>
      <c r="M23" s="67">
        <f t="shared" si="10"/>
        <v>77.465000000000003</v>
      </c>
      <c r="N23" s="68">
        <f>'Penguk.CPMK-Smt1'!N23</f>
        <v>70.27</v>
      </c>
      <c r="O23" s="68">
        <f>'Penguk.CPMK-Smt1'!O23</f>
        <v>72.12</v>
      </c>
      <c r="P23" s="68">
        <f>'Penguk.CPMK-Smt1'!P23</f>
        <v>69</v>
      </c>
      <c r="Q23" s="68">
        <f t="shared" si="11"/>
        <v>70.499499999999998</v>
      </c>
      <c r="R23" s="69">
        <f>'Penguk.CPMK-Smt1'!R23</f>
        <v>76.900000000000006</v>
      </c>
      <c r="S23" s="69">
        <f>'Penguk.CPMK-Smt1'!S23</f>
        <v>76.900000000000006</v>
      </c>
      <c r="T23" s="69">
        <f t="shared" si="12"/>
        <v>76.900000000000006</v>
      </c>
      <c r="U23" s="35">
        <f>'Penguk.CPMK-Smt1'!U23</f>
        <v>58</v>
      </c>
      <c r="V23" s="35">
        <f>'Penguk.CPMK-Smt1'!V23</f>
        <v>89.5</v>
      </c>
      <c r="W23" s="35">
        <f t="shared" si="13"/>
        <v>73.75</v>
      </c>
      <c r="X23" s="70">
        <f>'Penguk.CPMK-Smt1'!X23</f>
        <v>58</v>
      </c>
      <c r="Y23" s="70">
        <f>MK8_BID!E31</f>
        <v>89.5</v>
      </c>
      <c r="Z23" s="70">
        <f t="shared" si="14"/>
        <v>29</v>
      </c>
      <c r="AB23" s="71"/>
      <c r="AC23" s="81" t="str">
        <f t="shared" si="0"/>
        <v/>
      </c>
      <c r="AD23" s="71">
        <f t="shared" si="15"/>
        <v>78.699899999999985</v>
      </c>
      <c r="AE23" s="81">
        <f t="shared" si="1"/>
        <v>0.78699899999999989</v>
      </c>
      <c r="AF23" s="71"/>
      <c r="AG23" s="81"/>
      <c r="AH23" s="71">
        <f t="shared" si="16"/>
        <v>148.4</v>
      </c>
      <c r="AI23" s="81">
        <f t="shared" si="2"/>
        <v>0.74199999999999999</v>
      </c>
      <c r="AJ23" s="72"/>
      <c r="AK23" s="72"/>
      <c r="AL23" s="72">
        <f t="shared" si="17"/>
        <v>73.75</v>
      </c>
      <c r="AM23" s="81">
        <f t="shared" si="18"/>
        <v>0.73750000000000004</v>
      </c>
      <c r="AN23" s="72"/>
      <c r="AO23" s="72"/>
      <c r="AP23" s="72">
        <f t="shared" si="19"/>
        <v>40.119999999999997</v>
      </c>
      <c r="AQ23" s="81">
        <f t="shared" si="3"/>
        <v>0.8024</v>
      </c>
      <c r="AR23" s="71">
        <f t="shared" si="20"/>
        <v>37.344999999999999</v>
      </c>
      <c r="AS23" s="81">
        <f t="shared" si="4"/>
        <v>0.74690000000000001</v>
      </c>
      <c r="AT23" s="71">
        <f t="shared" si="21"/>
        <v>25.999899999999997</v>
      </c>
      <c r="AU23" s="81">
        <f t="shared" si="5"/>
        <v>0.70269999999999988</v>
      </c>
      <c r="AV23" s="72">
        <f t="shared" si="22"/>
        <v>44.499600000000001</v>
      </c>
      <c r="AW23" s="81">
        <f t="shared" si="6"/>
        <v>0.70634285714285716</v>
      </c>
      <c r="AX23" s="71">
        <f t="shared" si="23"/>
        <v>73.75</v>
      </c>
      <c r="AY23" s="81">
        <f t="shared" si="7"/>
        <v>0.73750000000000004</v>
      </c>
      <c r="BB23" s="4"/>
      <c r="BC23" s="4"/>
      <c r="BD23" s="73"/>
      <c r="BE23" s="73"/>
      <c r="BF23" s="73"/>
      <c r="BG23" s="4"/>
      <c r="BH23" s="4"/>
      <c r="BI23" s="4"/>
      <c r="BJ23" s="4"/>
      <c r="BK23" s="73"/>
      <c r="BL23" s="73"/>
      <c r="BM23" s="73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73"/>
      <c r="CA23" s="73"/>
      <c r="CB23" s="73"/>
      <c r="CC23" s="4"/>
      <c r="CD23" s="4"/>
      <c r="CE23" s="4"/>
      <c r="CF23" s="73"/>
      <c r="CG23" s="73"/>
      <c r="CH23" s="73"/>
      <c r="CI23" s="4"/>
      <c r="CJ23" s="73"/>
      <c r="CK23" s="73"/>
      <c r="CM23" s="74"/>
    </row>
    <row r="24" spans="1:91">
      <c r="A24" s="105">
        <v>14</v>
      </c>
      <c r="B24" s="106" t="s">
        <v>209</v>
      </c>
      <c r="C24" s="106" t="s">
        <v>210</v>
      </c>
      <c r="D24" s="66">
        <f>'Penguk.CPMK-Smt1'!D24</f>
        <v>93.91</v>
      </c>
      <c r="E24" s="66">
        <f>'Penguk.CPMK-Smt1'!E24</f>
        <v>88.57</v>
      </c>
      <c r="F24" s="66">
        <f>'Penguk.CPMK-Smt1'!F24</f>
        <v>86</v>
      </c>
      <c r="G24" s="66">
        <f t="shared" si="8"/>
        <v>88.898699999999991</v>
      </c>
      <c r="H24" s="83">
        <f>'Penguk.CPMK-Smt1'!H24</f>
        <v>81.099999999999994</v>
      </c>
      <c r="I24" s="83">
        <f>'Penguk.CPMK-Smt1'!I24</f>
        <v>80.400000000000006</v>
      </c>
      <c r="J24" s="83">
        <f t="shared" si="9"/>
        <v>80.75</v>
      </c>
      <c r="K24" s="67">
        <f>'Penguk.CPMK-Smt1'!K24</f>
        <v>85.53</v>
      </c>
      <c r="L24" s="67">
        <f>'Penguk.CPMK-Smt1'!L24</f>
        <v>87.35</v>
      </c>
      <c r="M24" s="67">
        <f t="shared" si="10"/>
        <v>86.44</v>
      </c>
      <c r="N24" s="68">
        <f>'Penguk.CPMK-Smt1'!N24</f>
        <v>79.73</v>
      </c>
      <c r="O24" s="68">
        <f>'Penguk.CPMK-Smt1'!O24</f>
        <v>76.52</v>
      </c>
      <c r="P24" s="68">
        <f>'Penguk.CPMK-Smt1'!P24</f>
        <v>86.67</v>
      </c>
      <c r="Q24" s="68">
        <f t="shared" si="11"/>
        <v>80.752700000000004</v>
      </c>
      <c r="R24" s="69">
        <f>'Penguk.CPMK-Smt1'!R24</f>
        <v>93.9</v>
      </c>
      <c r="S24" s="69">
        <f>'Penguk.CPMK-Smt1'!S24</f>
        <v>93.9</v>
      </c>
      <c r="T24" s="69">
        <f t="shared" si="12"/>
        <v>93.9</v>
      </c>
      <c r="U24" s="35">
        <f>'Penguk.CPMK-Smt1'!U24</f>
        <v>82.5</v>
      </c>
      <c r="V24" s="35">
        <f>'Penguk.CPMK-Smt1'!V24</f>
        <v>89.5</v>
      </c>
      <c r="W24" s="35">
        <f t="shared" si="13"/>
        <v>86</v>
      </c>
      <c r="X24" s="70">
        <f>'Penguk.CPMK-Smt1'!X24</f>
        <v>82.5</v>
      </c>
      <c r="Y24" s="70">
        <f>MK8_BID!E32</f>
        <v>89.5</v>
      </c>
      <c r="Z24" s="70">
        <f t="shared" si="14"/>
        <v>41.25</v>
      </c>
      <c r="AB24" s="71"/>
      <c r="AC24" s="81" t="str">
        <f t="shared" si="0"/>
        <v/>
      </c>
      <c r="AD24" s="71">
        <f t="shared" si="15"/>
        <v>88.898699999999991</v>
      </c>
      <c r="AE24" s="81">
        <f t="shared" si="1"/>
        <v>0.88898699999999986</v>
      </c>
      <c r="AF24" s="71"/>
      <c r="AG24" s="81"/>
      <c r="AH24" s="71">
        <f t="shared" si="16"/>
        <v>174.65</v>
      </c>
      <c r="AI24" s="81">
        <f t="shared" si="2"/>
        <v>0.87325000000000008</v>
      </c>
      <c r="AJ24" s="72"/>
      <c r="AK24" s="72"/>
      <c r="AL24" s="72">
        <f t="shared" si="17"/>
        <v>86</v>
      </c>
      <c r="AM24" s="81">
        <f t="shared" si="18"/>
        <v>0.86</v>
      </c>
      <c r="AN24" s="72"/>
      <c r="AO24" s="72"/>
      <c r="AP24" s="72">
        <f t="shared" si="19"/>
        <v>42.765000000000001</v>
      </c>
      <c r="AQ24" s="81">
        <f t="shared" si="3"/>
        <v>0.85530000000000006</v>
      </c>
      <c r="AR24" s="71">
        <f t="shared" si="20"/>
        <v>43.674999999999997</v>
      </c>
      <c r="AS24" s="81">
        <f t="shared" si="4"/>
        <v>0.87349999999999994</v>
      </c>
      <c r="AT24" s="71">
        <f t="shared" si="21"/>
        <v>29.5001</v>
      </c>
      <c r="AU24" s="81">
        <f t="shared" si="5"/>
        <v>0.79730000000000001</v>
      </c>
      <c r="AV24" s="72">
        <f t="shared" si="22"/>
        <v>51.252600000000001</v>
      </c>
      <c r="AW24" s="81">
        <f t="shared" si="6"/>
        <v>0.81353333333333333</v>
      </c>
      <c r="AX24" s="71">
        <f t="shared" si="23"/>
        <v>86</v>
      </c>
      <c r="AY24" s="81">
        <f t="shared" si="7"/>
        <v>0.86</v>
      </c>
      <c r="BB24" s="4"/>
      <c r="BC24" s="4"/>
      <c r="BD24" s="73"/>
      <c r="BE24" s="73"/>
      <c r="BF24" s="73"/>
      <c r="BG24" s="4"/>
      <c r="BH24" s="4"/>
      <c r="BI24" s="4"/>
      <c r="BJ24" s="4"/>
      <c r="BK24" s="73"/>
      <c r="BL24" s="73"/>
      <c r="BM24" s="73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73"/>
      <c r="CA24" s="73"/>
      <c r="CB24" s="73"/>
      <c r="CC24" s="4"/>
      <c r="CD24" s="4"/>
      <c r="CE24" s="4"/>
      <c r="CF24" s="73"/>
      <c r="CG24" s="73"/>
      <c r="CH24" s="73"/>
      <c r="CI24" s="4"/>
      <c r="CJ24" s="73"/>
      <c r="CK24" s="73"/>
      <c r="CM24" s="74"/>
    </row>
    <row r="25" spans="1:91">
      <c r="A25" s="105">
        <v>15</v>
      </c>
      <c r="B25" s="106" t="s">
        <v>211</v>
      </c>
      <c r="C25" s="106" t="s">
        <v>212</v>
      </c>
      <c r="D25" s="66">
        <f>'Penguk.CPMK-Smt1'!D25</f>
        <v>76.09</v>
      </c>
      <c r="E25" s="66">
        <f>'Penguk.CPMK-Smt1'!E25</f>
        <v>69.290000000000006</v>
      </c>
      <c r="F25" s="66">
        <f>'Penguk.CPMK-Smt1'!F25</f>
        <v>86.71</v>
      </c>
      <c r="G25" s="66">
        <f t="shared" si="8"/>
        <v>76.950999999999993</v>
      </c>
      <c r="H25" s="83">
        <f>'Penguk.CPMK-Smt1'!H25</f>
        <v>70.099999999999994</v>
      </c>
      <c r="I25" s="83">
        <f>'Penguk.CPMK-Smt1'!I25</f>
        <v>70.8</v>
      </c>
      <c r="J25" s="83">
        <f t="shared" si="9"/>
        <v>70.449999999999989</v>
      </c>
      <c r="K25" s="67">
        <f>'Penguk.CPMK-Smt1'!K25</f>
        <v>83.76</v>
      </c>
      <c r="L25" s="67">
        <f>'Penguk.CPMK-Smt1'!L25</f>
        <v>81.33</v>
      </c>
      <c r="M25" s="67">
        <f t="shared" si="10"/>
        <v>82.545000000000002</v>
      </c>
      <c r="N25" s="68">
        <f>'Penguk.CPMK-Smt1'!N25</f>
        <v>81.760000000000005</v>
      </c>
      <c r="O25" s="68">
        <f>'Penguk.CPMK-Smt1'!O25</f>
        <v>79.55</v>
      </c>
      <c r="P25" s="68">
        <f>'Penguk.CPMK-Smt1'!P25</f>
        <v>86.67</v>
      </c>
      <c r="Q25" s="68">
        <f t="shared" si="11"/>
        <v>82.503700000000009</v>
      </c>
      <c r="R25" s="69">
        <f>'Penguk.CPMK-Smt1'!R25</f>
        <v>93.9</v>
      </c>
      <c r="S25" s="69">
        <f>'Penguk.CPMK-Smt1'!S25</f>
        <v>93.9</v>
      </c>
      <c r="T25" s="69">
        <f t="shared" si="12"/>
        <v>93.9</v>
      </c>
      <c r="U25" s="35">
        <f>'Penguk.CPMK-Smt1'!U25</f>
        <v>82.5</v>
      </c>
      <c r="V25" s="35">
        <f>'Penguk.CPMK-Smt1'!V25</f>
        <v>86</v>
      </c>
      <c r="W25" s="35">
        <f t="shared" si="13"/>
        <v>84.25</v>
      </c>
      <c r="X25" s="70">
        <f>'Penguk.CPMK-Smt1'!X25</f>
        <v>82.5</v>
      </c>
      <c r="Y25" s="70">
        <f>MK8_BID!E33</f>
        <v>86</v>
      </c>
      <c r="Z25" s="70">
        <f t="shared" si="14"/>
        <v>41.25</v>
      </c>
      <c r="AB25" s="71"/>
      <c r="AC25" s="81" t="str">
        <f t="shared" si="0"/>
        <v/>
      </c>
      <c r="AD25" s="71">
        <f t="shared" si="15"/>
        <v>76.950999999999993</v>
      </c>
      <c r="AE25" s="81">
        <f t="shared" si="1"/>
        <v>0.76950999999999992</v>
      </c>
      <c r="AF25" s="71"/>
      <c r="AG25" s="81"/>
      <c r="AH25" s="71">
        <f t="shared" si="16"/>
        <v>164.35</v>
      </c>
      <c r="AI25" s="81">
        <f t="shared" si="2"/>
        <v>0.82174999999999998</v>
      </c>
      <c r="AJ25" s="72"/>
      <c r="AK25" s="72"/>
      <c r="AL25" s="72">
        <f t="shared" si="17"/>
        <v>84.25</v>
      </c>
      <c r="AM25" s="81">
        <f t="shared" si="18"/>
        <v>0.84250000000000003</v>
      </c>
      <c r="AN25" s="72"/>
      <c r="AO25" s="72"/>
      <c r="AP25" s="72">
        <f t="shared" si="19"/>
        <v>41.88</v>
      </c>
      <c r="AQ25" s="81">
        <f t="shared" si="3"/>
        <v>0.83760000000000001</v>
      </c>
      <c r="AR25" s="71">
        <f t="shared" si="20"/>
        <v>40.664999999999999</v>
      </c>
      <c r="AS25" s="81">
        <f t="shared" si="4"/>
        <v>0.81330000000000002</v>
      </c>
      <c r="AT25" s="71">
        <f t="shared" si="21"/>
        <v>30.251200000000001</v>
      </c>
      <c r="AU25" s="81">
        <f t="shared" si="5"/>
        <v>0.81759999999999999</v>
      </c>
      <c r="AV25" s="72">
        <f t="shared" si="22"/>
        <v>52.252499999999998</v>
      </c>
      <c r="AW25" s="81">
        <f t="shared" si="6"/>
        <v>0.82940476190476187</v>
      </c>
      <c r="AX25" s="71">
        <f t="shared" si="23"/>
        <v>84.25</v>
      </c>
      <c r="AY25" s="81">
        <f t="shared" si="7"/>
        <v>0.84250000000000003</v>
      </c>
      <c r="BB25" s="4"/>
      <c r="BC25" s="4"/>
      <c r="BD25" s="73"/>
      <c r="BE25" s="73"/>
      <c r="BF25" s="73"/>
      <c r="BG25" s="4"/>
      <c r="BH25" s="4"/>
      <c r="BI25" s="4"/>
      <c r="BJ25" s="4"/>
      <c r="BK25" s="73"/>
      <c r="BL25" s="73"/>
      <c r="BM25" s="73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73"/>
      <c r="CA25" s="73"/>
      <c r="CB25" s="73"/>
      <c r="CC25" s="4"/>
      <c r="CD25" s="4"/>
      <c r="CE25" s="4"/>
      <c r="CF25" s="73"/>
      <c r="CG25" s="73"/>
      <c r="CH25" s="73"/>
      <c r="CI25" s="4"/>
      <c r="CJ25" s="73"/>
      <c r="CK25" s="73"/>
      <c r="CM25" s="74"/>
    </row>
    <row r="26" spans="1:91">
      <c r="A26" s="105">
        <v>16</v>
      </c>
      <c r="B26" s="106" t="s">
        <v>213</v>
      </c>
      <c r="C26" s="106" t="s">
        <v>214</v>
      </c>
      <c r="D26" s="66">
        <f>'Penguk.CPMK-Smt1'!D26</f>
        <v>81.3</v>
      </c>
      <c r="E26" s="66">
        <f>'Penguk.CPMK-Smt1'!E26</f>
        <v>74.52</v>
      </c>
      <c r="F26" s="66">
        <f>'Penguk.CPMK-Smt1'!F26</f>
        <v>79.86</v>
      </c>
      <c r="G26" s="66">
        <f t="shared" si="8"/>
        <v>77.948399999999992</v>
      </c>
      <c r="H26" s="83">
        <f>'Penguk.CPMK-Smt1'!H26</f>
        <v>58.9</v>
      </c>
      <c r="I26" s="83">
        <f>'Penguk.CPMK-Smt1'!I26</f>
        <v>62.4</v>
      </c>
      <c r="J26" s="83">
        <f t="shared" si="9"/>
        <v>60.65</v>
      </c>
      <c r="K26" s="67">
        <f>'Penguk.CPMK-Smt1'!K26</f>
        <v>76.709999999999994</v>
      </c>
      <c r="L26" s="67">
        <f>'Penguk.CPMK-Smt1'!L26</f>
        <v>69.900000000000006</v>
      </c>
      <c r="M26" s="67">
        <f t="shared" si="10"/>
        <v>73.305000000000007</v>
      </c>
      <c r="N26" s="68">
        <f>'Penguk.CPMK-Smt1'!N26</f>
        <v>66.89</v>
      </c>
      <c r="O26" s="68">
        <f>'Penguk.CPMK-Smt1'!O26</f>
        <v>67.88</v>
      </c>
      <c r="P26" s="68">
        <f>'Penguk.CPMK-Smt1'!P26</f>
        <v>65.33</v>
      </c>
      <c r="Q26" s="68">
        <f t="shared" si="11"/>
        <v>66.748699999999999</v>
      </c>
      <c r="R26" s="69">
        <f>'Penguk.CPMK-Smt1'!R26</f>
        <v>76.900000000000006</v>
      </c>
      <c r="S26" s="69">
        <f>'Penguk.CPMK-Smt1'!S26</f>
        <v>76.900000000000006</v>
      </c>
      <c r="T26" s="69">
        <f t="shared" si="12"/>
        <v>76.900000000000006</v>
      </c>
      <c r="U26" s="35">
        <f>'Penguk.CPMK-Smt1'!U26</f>
        <v>58</v>
      </c>
      <c r="V26" s="35">
        <f>'Penguk.CPMK-Smt1'!V26</f>
        <v>86</v>
      </c>
      <c r="W26" s="35">
        <f t="shared" si="13"/>
        <v>72</v>
      </c>
      <c r="X26" s="70">
        <f>'Penguk.CPMK-Smt1'!X26</f>
        <v>58</v>
      </c>
      <c r="Y26" s="70">
        <f>MK8_BID!E34</f>
        <v>86</v>
      </c>
      <c r="Z26" s="70">
        <f t="shared" si="14"/>
        <v>29</v>
      </c>
      <c r="AB26" s="71"/>
      <c r="AC26" s="81" t="str">
        <f t="shared" si="0"/>
        <v/>
      </c>
      <c r="AD26" s="71">
        <f t="shared" si="15"/>
        <v>77.948399999999992</v>
      </c>
      <c r="AE26" s="81">
        <f t="shared" si="1"/>
        <v>0.77948399999999995</v>
      </c>
      <c r="AF26" s="71"/>
      <c r="AG26" s="81"/>
      <c r="AH26" s="71">
        <f t="shared" si="16"/>
        <v>137.55000000000001</v>
      </c>
      <c r="AI26" s="81">
        <f t="shared" si="2"/>
        <v>0.68775000000000008</v>
      </c>
      <c r="AJ26" s="72"/>
      <c r="AK26" s="72"/>
      <c r="AL26" s="72">
        <f t="shared" si="17"/>
        <v>72</v>
      </c>
      <c r="AM26" s="81">
        <f t="shared" si="18"/>
        <v>0.72</v>
      </c>
      <c r="AN26" s="72"/>
      <c r="AO26" s="72"/>
      <c r="AP26" s="72">
        <f t="shared" si="19"/>
        <v>38.354999999999997</v>
      </c>
      <c r="AQ26" s="81">
        <f t="shared" si="3"/>
        <v>0.76709999999999989</v>
      </c>
      <c r="AR26" s="71">
        <f t="shared" si="20"/>
        <v>34.950000000000003</v>
      </c>
      <c r="AS26" s="81">
        <f t="shared" si="4"/>
        <v>0.69900000000000007</v>
      </c>
      <c r="AT26" s="71">
        <f t="shared" si="21"/>
        <v>24.749300000000002</v>
      </c>
      <c r="AU26" s="81">
        <f t="shared" si="5"/>
        <v>0.66890000000000005</v>
      </c>
      <c r="AV26" s="72">
        <f t="shared" si="22"/>
        <v>41.999400000000001</v>
      </c>
      <c r="AW26" s="81">
        <f t="shared" si="6"/>
        <v>0.66665714285714284</v>
      </c>
      <c r="AX26" s="71">
        <f t="shared" si="23"/>
        <v>72</v>
      </c>
      <c r="AY26" s="81">
        <f t="shared" si="7"/>
        <v>0.72</v>
      </c>
      <c r="BB26" s="4"/>
      <c r="BC26" s="4"/>
      <c r="BD26" s="73"/>
      <c r="BE26" s="73"/>
      <c r="BF26" s="73"/>
      <c r="BG26" s="4"/>
      <c r="BH26" s="4"/>
      <c r="BI26" s="4"/>
      <c r="BJ26" s="4"/>
      <c r="BK26" s="73"/>
      <c r="BL26" s="73"/>
      <c r="BM26" s="73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73"/>
      <c r="CA26" s="73"/>
      <c r="CB26" s="73"/>
      <c r="CC26" s="4"/>
      <c r="CD26" s="4"/>
      <c r="CE26" s="4"/>
      <c r="CF26" s="73"/>
      <c r="CG26" s="73"/>
      <c r="CH26" s="73"/>
      <c r="CI26" s="4"/>
      <c r="CJ26" s="73"/>
      <c r="CK26" s="73"/>
      <c r="CM26" s="74"/>
    </row>
    <row r="27" spans="1:91">
      <c r="A27" s="105">
        <v>17</v>
      </c>
      <c r="B27" s="106" t="s">
        <v>215</v>
      </c>
      <c r="C27" s="106" t="s">
        <v>216</v>
      </c>
      <c r="D27" s="66">
        <f>'Penguk.CPMK-Smt1'!D27</f>
        <v>91.74</v>
      </c>
      <c r="E27" s="66">
        <f>'Penguk.CPMK-Smt1'!E27</f>
        <v>80.95</v>
      </c>
      <c r="F27" s="66">
        <f>'Penguk.CPMK-Smt1'!F27</f>
        <v>64.290000000000006</v>
      </c>
      <c r="G27" s="66">
        <f t="shared" si="8"/>
        <v>77.600700000000003</v>
      </c>
      <c r="H27" s="83">
        <f>'Penguk.CPMK-Smt1'!H27</f>
        <v>80.400000000000006</v>
      </c>
      <c r="I27" s="83">
        <f>'Penguk.CPMK-Smt1'!I27</f>
        <v>81.099999999999994</v>
      </c>
      <c r="J27" s="83">
        <f t="shared" si="9"/>
        <v>80.75</v>
      </c>
      <c r="K27" s="67">
        <f>'Penguk.CPMK-Smt1'!K27</f>
        <v>82.59</v>
      </c>
      <c r="L27" s="67">
        <f>'Penguk.CPMK-Smt1'!L27</f>
        <v>82.55</v>
      </c>
      <c r="M27" s="67">
        <f t="shared" si="10"/>
        <v>82.57</v>
      </c>
      <c r="N27" s="68">
        <f>'Penguk.CPMK-Smt1'!N27</f>
        <v>68.239999999999995</v>
      </c>
      <c r="O27" s="68">
        <f>'Penguk.CPMK-Smt1'!O27</f>
        <v>69.7</v>
      </c>
      <c r="P27" s="68">
        <f>'Penguk.CPMK-Smt1'!P27</f>
        <v>70</v>
      </c>
      <c r="Q27" s="68">
        <f t="shared" si="11"/>
        <v>69.249799999999993</v>
      </c>
      <c r="R27" s="69">
        <f>'Penguk.CPMK-Smt1'!R27</f>
        <v>81.400000000000006</v>
      </c>
      <c r="S27" s="69">
        <f>'Penguk.CPMK-Smt1'!S27</f>
        <v>81.400000000000006</v>
      </c>
      <c r="T27" s="69">
        <f t="shared" si="12"/>
        <v>81.400000000000006</v>
      </c>
      <c r="U27" s="35">
        <f>'Penguk.CPMK-Smt1'!U27</f>
        <v>70.8</v>
      </c>
      <c r="V27" s="35">
        <f>'Penguk.CPMK-Smt1'!V27</f>
        <v>74.3</v>
      </c>
      <c r="W27" s="35">
        <f t="shared" si="13"/>
        <v>72.55</v>
      </c>
      <c r="X27" s="70">
        <f>'Penguk.CPMK-Smt1'!X27</f>
        <v>70.8</v>
      </c>
      <c r="Y27" s="70">
        <f>MK8_BID!E35</f>
        <v>74.3</v>
      </c>
      <c r="Z27" s="70">
        <f t="shared" si="14"/>
        <v>35.4</v>
      </c>
      <c r="AB27" s="71"/>
      <c r="AC27" s="81" t="str">
        <f t="shared" si="0"/>
        <v/>
      </c>
      <c r="AD27" s="71">
        <f t="shared" si="15"/>
        <v>77.600700000000003</v>
      </c>
      <c r="AE27" s="81">
        <f t="shared" si="1"/>
        <v>0.776007</v>
      </c>
      <c r="AF27" s="71"/>
      <c r="AG27" s="81"/>
      <c r="AH27" s="71">
        <f t="shared" si="16"/>
        <v>162.15</v>
      </c>
      <c r="AI27" s="81">
        <f t="shared" si="2"/>
        <v>0.81075000000000008</v>
      </c>
      <c r="AJ27" s="72"/>
      <c r="AK27" s="72"/>
      <c r="AL27" s="72">
        <f t="shared" si="17"/>
        <v>72.55</v>
      </c>
      <c r="AM27" s="81">
        <f t="shared" si="18"/>
        <v>0.72549999999999992</v>
      </c>
      <c r="AN27" s="72"/>
      <c r="AO27" s="72"/>
      <c r="AP27" s="72">
        <f t="shared" si="19"/>
        <v>41.295000000000002</v>
      </c>
      <c r="AQ27" s="81">
        <f t="shared" si="3"/>
        <v>0.82590000000000008</v>
      </c>
      <c r="AR27" s="71">
        <f t="shared" si="20"/>
        <v>41.274999999999999</v>
      </c>
      <c r="AS27" s="81">
        <f t="shared" si="4"/>
        <v>0.82550000000000001</v>
      </c>
      <c r="AT27" s="71">
        <f t="shared" si="21"/>
        <v>25.248799999999999</v>
      </c>
      <c r="AU27" s="81">
        <f t="shared" si="5"/>
        <v>0.68240000000000001</v>
      </c>
      <c r="AV27" s="72">
        <f t="shared" si="22"/>
        <v>44.001000000000005</v>
      </c>
      <c r="AW27" s="81">
        <f t="shared" si="6"/>
        <v>0.69842857142857151</v>
      </c>
      <c r="AX27" s="71">
        <f t="shared" si="23"/>
        <v>72.55</v>
      </c>
      <c r="AY27" s="81">
        <f t="shared" si="7"/>
        <v>0.72549999999999992</v>
      </c>
      <c r="BB27" s="4"/>
      <c r="BC27" s="4"/>
      <c r="BD27" s="73"/>
      <c r="BE27" s="73"/>
      <c r="BF27" s="73"/>
      <c r="BG27" s="4"/>
      <c r="BH27" s="4"/>
      <c r="BI27" s="4"/>
      <c r="BJ27" s="4"/>
      <c r="BK27" s="73"/>
      <c r="BL27" s="73"/>
      <c r="BM27" s="73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73"/>
      <c r="CA27" s="73"/>
      <c r="CB27" s="73"/>
      <c r="CC27" s="4"/>
      <c r="CD27" s="4"/>
      <c r="CE27" s="4"/>
      <c r="CF27" s="73"/>
      <c r="CG27" s="73"/>
      <c r="CH27" s="73"/>
      <c r="CI27" s="4"/>
      <c r="CJ27" s="73"/>
      <c r="CK27" s="73"/>
      <c r="CM27" s="74"/>
    </row>
    <row r="28" spans="1:91">
      <c r="A28" s="105">
        <v>18</v>
      </c>
      <c r="B28" s="106" t="s">
        <v>217</v>
      </c>
      <c r="C28" s="106" t="s">
        <v>218</v>
      </c>
      <c r="D28" s="66">
        <f>'Penguk.CPMK-Smt1'!D28</f>
        <v>83.91</v>
      </c>
      <c r="E28" s="66">
        <f>'Penguk.CPMK-Smt1'!E28</f>
        <v>72.38</v>
      </c>
      <c r="F28" s="66">
        <f>'Penguk.CPMK-Smt1'!F28</f>
        <v>65.430000000000007</v>
      </c>
      <c r="G28" s="66">
        <f t="shared" si="8"/>
        <v>72.599400000000003</v>
      </c>
      <c r="H28" s="83">
        <f>'Penguk.CPMK-Smt1'!H28</f>
        <v>71.5</v>
      </c>
      <c r="I28" s="83">
        <f>'Penguk.CPMK-Smt1'!I28</f>
        <v>70.099999999999994</v>
      </c>
      <c r="J28" s="83">
        <f t="shared" si="9"/>
        <v>70.8</v>
      </c>
      <c r="K28" s="67">
        <f>'Penguk.CPMK-Smt1'!K28</f>
        <v>80.349999999999994</v>
      </c>
      <c r="L28" s="67">
        <f>'Penguk.CPMK-Smt1'!L28</f>
        <v>69.900000000000006</v>
      </c>
      <c r="M28" s="67">
        <f t="shared" si="10"/>
        <v>75.125</v>
      </c>
      <c r="N28" s="68">
        <f>'Penguk.CPMK-Smt1'!N28</f>
        <v>75</v>
      </c>
      <c r="O28" s="68">
        <f>'Penguk.CPMK-Smt1'!O28</f>
        <v>76.97</v>
      </c>
      <c r="P28" s="68">
        <f>'Penguk.CPMK-Smt1'!P28</f>
        <v>76.17</v>
      </c>
      <c r="Q28" s="68">
        <f t="shared" si="11"/>
        <v>76.001100000000008</v>
      </c>
      <c r="R28" s="69">
        <f>'Penguk.CPMK-Smt1'!R28</f>
        <v>81.400000000000006</v>
      </c>
      <c r="S28" s="69">
        <f>'Penguk.CPMK-Smt1'!S28</f>
        <v>81.400000000000006</v>
      </c>
      <c r="T28" s="69">
        <f t="shared" si="12"/>
        <v>81.400000000000006</v>
      </c>
      <c r="U28" s="35">
        <f>'Penguk.CPMK-Smt1'!U28</f>
        <v>85.4</v>
      </c>
      <c r="V28" s="35">
        <f>'Penguk.CPMK-Smt1'!V28</f>
        <v>81.900000000000006</v>
      </c>
      <c r="W28" s="35">
        <f t="shared" si="13"/>
        <v>83.65</v>
      </c>
      <c r="X28" s="70">
        <f>'Penguk.CPMK-Smt1'!X28</f>
        <v>85.4</v>
      </c>
      <c r="Y28" s="70">
        <f>MK8_BID!E36</f>
        <v>81.900000000000006</v>
      </c>
      <c r="Z28" s="70">
        <f t="shared" si="14"/>
        <v>42.7</v>
      </c>
      <c r="AB28" s="71"/>
      <c r="AC28" s="81" t="str">
        <f t="shared" si="0"/>
        <v/>
      </c>
      <c r="AD28" s="71">
        <f t="shared" si="15"/>
        <v>72.599400000000003</v>
      </c>
      <c r="AE28" s="81">
        <f t="shared" si="1"/>
        <v>0.72599400000000003</v>
      </c>
      <c r="AF28" s="71"/>
      <c r="AG28" s="81"/>
      <c r="AH28" s="71">
        <f t="shared" si="16"/>
        <v>152.19999999999999</v>
      </c>
      <c r="AI28" s="81">
        <f t="shared" si="2"/>
        <v>0.7609999999999999</v>
      </c>
      <c r="AJ28" s="72"/>
      <c r="AK28" s="72"/>
      <c r="AL28" s="72">
        <f t="shared" si="17"/>
        <v>83.65</v>
      </c>
      <c r="AM28" s="81">
        <f t="shared" si="18"/>
        <v>0.83650000000000002</v>
      </c>
      <c r="AN28" s="72"/>
      <c r="AO28" s="72"/>
      <c r="AP28" s="72">
        <f t="shared" si="19"/>
        <v>40.174999999999997</v>
      </c>
      <c r="AQ28" s="81">
        <f t="shared" si="3"/>
        <v>0.80349999999999999</v>
      </c>
      <c r="AR28" s="71">
        <f t="shared" si="20"/>
        <v>34.950000000000003</v>
      </c>
      <c r="AS28" s="81">
        <f t="shared" si="4"/>
        <v>0.69900000000000007</v>
      </c>
      <c r="AT28" s="71">
        <f t="shared" si="21"/>
        <v>27.75</v>
      </c>
      <c r="AU28" s="81">
        <f t="shared" si="5"/>
        <v>0.75</v>
      </c>
      <c r="AV28" s="72">
        <f t="shared" si="22"/>
        <v>48.251100000000001</v>
      </c>
      <c r="AW28" s="81">
        <f t="shared" si="6"/>
        <v>0.76589047619047623</v>
      </c>
      <c r="AX28" s="71">
        <f t="shared" si="23"/>
        <v>83.65</v>
      </c>
      <c r="AY28" s="81">
        <f t="shared" si="7"/>
        <v>0.83650000000000002</v>
      </c>
      <c r="BB28" s="4"/>
      <c r="BC28" s="4"/>
      <c r="BD28" s="73"/>
      <c r="BE28" s="73"/>
      <c r="BF28" s="73"/>
      <c r="BG28" s="4"/>
      <c r="BH28" s="4"/>
      <c r="BI28" s="4"/>
      <c r="BJ28" s="4"/>
      <c r="BK28" s="73"/>
      <c r="BL28" s="73"/>
      <c r="BM28" s="73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73"/>
      <c r="CA28" s="73"/>
      <c r="CB28" s="73"/>
      <c r="CC28" s="4"/>
      <c r="CD28" s="4"/>
      <c r="CE28" s="4"/>
      <c r="CF28" s="73"/>
      <c r="CG28" s="73"/>
      <c r="CH28" s="73"/>
      <c r="CI28" s="4"/>
      <c r="CJ28" s="73"/>
      <c r="CK28" s="73"/>
      <c r="CM28" s="74"/>
    </row>
    <row r="29" spans="1:91">
      <c r="A29" s="105">
        <v>19</v>
      </c>
      <c r="B29" s="106" t="s">
        <v>219</v>
      </c>
      <c r="C29" s="106" t="s">
        <v>220</v>
      </c>
      <c r="D29" s="66">
        <f>'Penguk.CPMK-Smt1'!D29</f>
        <v>83.7</v>
      </c>
      <c r="E29" s="66">
        <f>'Penguk.CPMK-Smt1'!E29</f>
        <v>80.599999999999994</v>
      </c>
      <c r="F29" s="66">
        <f>'Penguk.CPMK-Smt1'!F29</f>
        <v>82.71</v>
      </c>
      <c r="G29" s="66">
        <f t="shared" si="8"/>
        <v>82.05149999999999</v>
      </c>
      <c r="H29" s="83">
        <f>'Penguk.CPMK-Smt1'!H29</f>
        <v>86.5</v>
      </c>
      <c r="I29" s="83">
        <f>'Penguk.CPMK-Smt1'!I29</f>
        <v>86.5</v>
      </c>
      <c r="J29" s="83">
        <f t="shared" si="9"/>
        <v>86.5</v>
      </c>
      <c r="K29" s="67">
        <f>'Penguk.CPMK-Smt1'!K29</f>
        <v>70.349999999999994</v>
      </c>
      <c r="L29" s="67">
        <f>'Penguk.CPMK-Smt1'!L29</f>
        <v>74.08</v>
      </c>
      <c r="M29" s="67">
        <f t="shared" si="10"/>
        <v>72.215000000000003</v>
      </c>
      <c r="N29" s="68">
        <f>'Penguk.CPMK-Smt1'!N29</f>
        <v>67.569999999999993</v>
      </c>
      <c r="O29" s="68">
        <f>'Penguk.CPMK-Smt1'!O29</f>
        <v>67.58</v>
      </c>
      <c r="P29" s="68">
        <f>'Penguk.CPMK-Smt1'!P29</f>
        <v>73.17</v>
      </c>
      <c r="Q29" s="68">
        <f t="shared" si="11"/>
        <v>69.253299999999996</v>
      </c>
      <c r="R29" s="69">
        <f>'Penguk.CPMK-Smt1'!R29</f>
        <v>93.9</v>
      </c>
      <c r="S29" s="69">
        <f>'Penguk.CPMK-Smt1'!S29</f>
        <v>93.9</v>
      </c>
      <c r="T29" s="69">
        <f t="shared" si="12"/>
        <v>93.9</v>
      </c>
      <c r="U29" s="35">
        <f>'Penguk.CPMK-Smt1'!U29</f>
        <v>82.5</v>
      </c>
      <c r="V29" s="35">
        <f>'Penguk.CPMK-Smt1'!V29</f>
        <v>96.5</v>
      </c>
      <c r="W29" s="35">
        <f t="shared" si="13"/>
        <v>89.5</v>
      </c>
      <c r="X29" s="70">
        <f>'Penguk.CPMK-Smt1'!X29</f>
        <v>82.5</v>
      </c>
      <c r="Y29" s="70">
        <f>MK8_BID!E37</f>
        <v>96.5</v>
      </c>
      <c r="Z29" s="70">
        <f t="shared" si="14"/>
        <v>41.25</v>
      </c>
      <c r="AB29" s="71"/>
      <c r="AC29" s="81" t="str">
        <f t="shared" si="0"/>
        <v/>
      </c>
      <c r="AD29" s="71">
        <f t="shared" si="15"/>
        <v>82.05149999999999</v>
      </c>
      <c r="AE29" s="81">
        <f t="shared" si="1"/>
        <v>0.82051499999999988</v>
      </c>
      <c r="AF29" s="71"/>
      <c r="AG29" s="81"/>
      <c r="AH29" s="71">
        <f t="shared" si="16"/>
        <v>180.39999999999998</v>
      </c>
      <c r="AI29" s="81">
        <f t="shared" si="2"/>
        <v>0.90199999999999991</v>
      </c>
      <c r="AJ29" s="72"/>
      <c r="AK29" s="72"/>
      <c r="AL29" s="72">
        <f t="shared" si="17"/>
        <v>89.5</v>
      </c>
      <c r="AM29" s="81">
        <f t="shared" si="18"/>
        <v>0.89500000000000002</v>
      </c>
      <c r="AN29" s="72"/>
      <c r="AO29" s="72"/>
      <c r="AP29" s="72">
        <f t="shared" si="19"/>
        <v>35.174999999999997</v>
      </c>
      <c r="AQ29" s="81">
        <f t="shared" si="3"/>
        <v>0.7034999999999999</v>
      </c>
      <c r="AR29" s="71">
        <f t="shared" si="20"/>
        <v>37.04</v>
      </c>
      <c r="AS29" s="81">
        <f t="shared" si="4"/>
        <v>0.74080000000000001</v>
      </c>
      <c r="AT29" s="71">
        <f t="shared" si="21"/>
        <v>25.000899999999998</v>
      </c>
      <c r="AU29" s="81">
        <f t="shared" si="5"/>
        <v>0.67569999999999997</v>
      </c>
      <c r="AV29" s="72">
        <f t="shared" si="22"/>
        <v>44.252400000000002</v>
      </c>
      <c r="AW29" s="81">
        <f t="shared" si="6"/>
        <v>0.70241904761904761</v>
      </c>
      <c r="AX29" s="71">
        <f t="shared" si="23"/>
        <v>89.5</v>
      </c>
      <c r="AY29" s="81">
        <f t="shared" si="7"/>
        <v>0.89500000000000002</v>
      </c>
      <c r="BB29" s="4"/>
      <c r="BC29" s="4"/>
      <c r="BD29" s="73"/>
      <c r="BE29" s="73"/>
      <c r="BF29" s="73"/>
      <c r="BG29" s="4"/>
      <c r="BH29" s="4"/>
      <c r="BI29" s="4"/>
      <c r="BJ29" s="4"/>
      <c r="BK29" s="73"/>
      <c r="BL29" s="73"/>
      <c r="BM29" s="73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73"/>
      <c r="CA29" s="73"/>
      <c r="CB29" s="73"/>
      <c r="CC29" s="4"/>
      <c r="CD29" s="4"/>
      <c r="CE29" s="4"/>
      <c r="CF29" s="73"/>
      <c r="CG29" s="73"/>
      <c r="CH29" s="73"/>
      <c r="CI29" s="4"/>
      <c r="CJ29" s="73"/>
      <c r="CK29" s="73"/>
      <c r="CM29" s="74"/>
    </row>
    <row r="30" spans="1:91">
      <c r="A30" s="105">
        <v>20</v>
      </c>
      <c r="B30" s="106" t="s">
        <v>221</v>
      </c>
      <c r="C30" s="106" t="s">
        <v>222</v>
      </c>
      <c r="D30" s="66">
        <f>'Penguk.CPMK-Smt1'!D30</f>
        <v>47.35</v>
      </c>
      <c r="E30" s="66">
        <f>'Penguk.CPMK-Smt1'!E30</f>
        <v>42.12</v>
      </c>
      <c r="F30" s="66">
        <f>'Penguk.CPMK-Smt1'!F30</f>
        <v>37.909999999999997</v>
      </c>
      <c r="G30" s="66">
        <f t="shared" si="8"/>
        <v>41.849399999999996</v>
      </c>
      <c r="H30" s="83">
        <f>'Penguk.CPMK-Smt1'!H30</f>
        <v>66</v>
      </c>
      <c r="I30" s="83">
        <f>'Penguk.CPMK-Smt1'!I30</f>
        <v>76.5</v>
      </c>
      <c r="J30" s="83">
        <f t="shared" si="9"/>
        <v>71.25</v>
      </c>
      <c r="K30" s="67">
        <f>'Penguk.CPMK-Smt1'!K30</f>
        <v>77.290000000000006</v>
      </c>
      <c r="L30" s="67">
        <f>'Penguk.CPMK-Smt1'!L30</f>
        <v>59.18</v>
      </c>
      <c r="M30" s="67">
        <f t="shared" si="10"/>
        <v>68.234999999999999</v>
      </c>
      <c r="N30" s="68">
        <f>'Penguk.CPMK-Smt1'!N30</f>
        <v>67.92</v>
      </c>
      <c r="O30" s="68">
        <f>'Penguk.CPMK-Smt1'!O30</f>
        <v>61.27</v>
      </c>
      <c r="P30" s="68">
        <f>'Penguk.CPMK-Smt1'!P30</f>
        <v>62.67</v>
      </c>
      <c r="Q30" s="68">
        <f t="shared" si="11"/>
        <v>64.150500000000008</v>
      </c>
      <c r="R30" s="69">
        <f>'Penguk.CPMK-Smt1'!R30</f>
        <v>70.400000000000006</v>
      </c>
      <c r="S30" s="69">
        <f>'Penguk.CPMK-Smt1'!S30</f>
        <v>77.400000000000006</v>
      </c>
      <c r="T30" s="69">
        <f t="shared" si="12"/>
        <v>73.900000000000006</v>
      </c>
      <c r="U30" s="35">
        <f>'Penguk.CPMK-Smt1'!U30</f>
        <v>64.599999999999994</v>
      </c>
      <c r="V30" s="35">
        <f>'Penguk.CPMK-Smt1'!V30</f>
        <v>75.099999999999994</v>
      </c>
      <c r="W30" s="35">
        <f t="shared" si="13"/>
        <v>69.849999999999994</v>
      </c>
      <c r="X30" s="70">
        <f>'Penguk.CPMK-Smt1'!X30</f>
        <v>64.599999999999994</v>
      </c>
      <c r="Y30" s="70">
        <f>MK8_BID!E38</f>
        <v>75.099999999999994</v>
      </c>
      <c r="Z30" s="70">
        <f t="shared" si="14"/>
        <v>32.299999999999997</v>
      </c>
      <c r="AB30" s="71"/>
      <c r="AC30" s="81" t="str">
        <f t="shared" si="0"/>
        <v/>
      </c>
      <c r="AD30" s="71">
        <f t="shared" si="15"/>
        <v>41.849399999999996</v>
      </c>
      <c r="AE30" s="81">
        <f t="shared" si="1"/>
        <v>0.41849399999999998</v>
      </c>
      <c r="AF30" s="71"/>
      <c r="AG30" s="81" t="str">
        <f>IF(AF30="","",IFERROR(AF30/$AF$8,""))</f>
        <v/>
      </c>
      <c r="AH30" s="71">
        <f t="shared" si="16"/>
        <v>145.15</v>
      </c>
      <c r="AI30" s="81">
        <f t="shared" si="2"/>
        <v>0.72575000000000001</v>
      </c>
      <c r="AJ30" s="72"/>
      <c r="AK30" s="72"/>
      <c r="AL30" s="72">
        <f t="shared" si="17"/>
        <v>69.849999999999994</v>
      </c>
      <c r="AM30" s="81">
        <f t="shared" si="18"/>
        <v>0.6984999999999999</v>
      </c>
      <c r="AN30" s="72"/>
      <c r="AO30" s="72"/>
      <c r="AP30" s="72">
        <f t="shared" si="19"/>
        <v>38.645000000000003</v>
      </c>
      <c r="AQ30" s="81">
        <f t="shared" si="3"/>
        <v>0.77290000000000003</v>
      </c>
      <c r="AR30" s="71">
        <f t="shared" si="20"/>
        <v>29.59</v>
      </c>
      <c r="AS30" s="81">
        <f t="shared" si="4"/>
        <v>0.59179999999999999</v>
      </c>
      <c r="AT30" s="71">
        <f t="shared" si="21"/>
        <v>25.130400000000002</v>
      </c>
      <c r="AU30" s="81">
        <f t="shared" si="5"/>
        <v>0.67920000000000003</v>
      </c>
      <c r="AV30" s="72">
        <f t="shared" si="22"/>
        <v>39.020099999999999</v>
      </c>
      <c r="AW30" s="81">
        <f t="shared" si="6"/>
        <v>0.61936666666666662</v>
      </c>
      <c r="AX30" s="71">
        <f t="shared" si="23"/>
        <v>69.849999999999994</v>
      </c>
      <c r="AY30" s="81">
        <f t="shared" si="7"/>
        <v>0.6984999999999999</v>
      </c>
      <c r="BB30" s="4">
        <f>IF(V30="","",IFERROR(K30*($BB$9/100),""))</f>
        <v>38.645000000000003</v>
      </c>
      <c r="BC30" s="4">
        <f>IF(V30="","",IFERROR(H30*($BC$9/100),""))</f>
        <v>33</v>
      </c>
      <c r="BD30" s="73">
        <f>IF(U30="","",IFERROR(U30*($BD$9/100),""))</f>
        <v>32.299999999999997</v>
      </c>
      <c r="BE30" s="73">
        <f>IF(D30="","",IFERROR(D30*($BE$9/100),""))</f>
        <v>10.890500000000001</v>
      </c>
      <c r="BF30" s="73">
        <f>IF(V30="","",IFERROR(V30*($V$9/100),""))</f>
        <v>37.549999999999997</v>
      </c>
      <c r="BG30" s="4"/>
      <c r="BH30" s="4"/>
      <c r="BI30" s="4"/>
      <c r="BJ30" s="4"/>
      <c r="BK30" s="73">
        <f>IF(R30="","",IFERROR(R30*($R$9/100),""))</f>
        <v>35.200000000000003</v>
      </c>
      <c r="BL30" s="73">
        <f>IF(N30="","",IFERROR(N30*($N$9/100),""))</f>
        <v>25.130400000000002</v>
      </c>
      <c r="BM30" s="73">
        <f>IF(L30="","",IFERROR(L30*($L$9/100),""))</f>
        <v>29.59</v>
      </c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73">
        <f>IF(P30="","",IFERROR(P30*($P$9/100),""))</f>
        <v>18.800999999999998</v>
      </c>
      <c r="CA30" s="73">
        <f>IF(S30="","",IFERROR(S30*($CA$9/100),""))</f>
        <v>38.700000000000003</v>
      </c>
      <c r="CB30" s="73" t="str">
        <f>IFERROR(IF(X30="","",IFERROR(X30*($X$9/100),""))+IF(#REF!="","",IFERROR(#REF!*(#REF!/100),""))+IF(#REF!="","",IFERROR(#REF!*(#REF!/100),"")),"")</f>
        <v/>
      </c>
      <c r="CC30" s="4"/>
      <c r="CD30" s="4"/>
      <c r="CE30" s="4"/>
      <c r="CF30" s="73" t="str">
        <f>IFERROR(IF(#REF!="","",IFERROR(#REF!*(#REF!/100),"")),"")</f>
        <v/>
      </c>
      <c r="CG30" s="73" t="str">
        <f>IFERROR(IF(#REF!="","",IFERROR(#REF!*(#REF!/100),""))+IF(#REF!="","",IFERROR(#REF!*(#REF!/100),"")),"")</f>
        <v/>
      </c>
      <c r="CH30" s="73" t="str">
        <f>IFERROR(IF(F30="","",IFERROR(F30*($F$9/100),""))+IF(I30="","",IFERROR(I30*($I$9/100),""))+IF(#REF!="","",IFERROR(#REF!*(#REF!/100),""))+IF(#REF!="","",IFERROR(#REF!*(#REF!/100),"")),"")</f>
        <v/>
      </c>
      <c r="CI30" s="4"/>
      <c r="CJ30" s="73" t="str">
        <f>IFERROR(IF(#REF!="","",IFERROR(#REF!*(#REF!/100),""))+IF(#REF!="","",IFERROR(#REF!*(#REF!/100),"")),"")</f>
        <v/>
      </c>
      <c r="CK30" s="73" t="str">
        <f>IFERROR(IF(#REF!="","",IFERROR(#REF!*(#REF!/100),"")),"")</f>
        <v/>
      </c>
      <c r="CL30">
        <f t="shared" si="24"/>
        <v>299.80690000000004</v>
      </c>
      <c r="CM30" s="74" t="e">
        <f>CL30/$CL$9</f>
        <v>#REF!</v>
      </c>
    </row>
    <row r="31" spans="1:91">
      <c r="A31" s="105">
        <v>21</v>
      </c>
      <c r="B31" s="106" t="s">
        <v>223</v>
      </c>
      <c r="C31" s="106" t="s">
        <v>224</v>
      </c>
      <c r="D31" s="66">
        <f>'Penguk.CPMK-Smt1'!D31</f>
        <v>89.13</v>
      </c>
      <c r="E31" s="66">
        <f>'Penguk.CPMK-Smt1'!E31</f>
        <v>78.81</v>
      </c>
      <c r="F31" s="66">
        <f>'Penguk.CPMK-Smt1'!F31</f>
        <v>67</v>
      </c>
      <c r="G31" s="66">
        <f t="shared" si="8"/>
        <v>77.0501</v>
      </c>
      <c r="H31" s="83">
        <f>'Penguk.CPMK-Smt1'!H31</f>
        <v>81.099999999999994</v>
      </c>
      <c r="I31" s="83">
        <f>'Penguk.CPMK-Smt1'!I31</f>
        <v>80.400000000000006</v>
      </c>
      <c r="J31" s="83">
        <f t="shared" si="9"/>
        <v>80.75</v>
      </c>
      <c r="K31" s="67">
        <f>'Penguk.CPMK-Smt1'!K31</f>
        <v>77.290000000000006</v>
      </c>
      <c r="L31" s="67">
        <f>'Penguk.CPMK-Smt1'!L31</f>
        <v>69.900000000000006</v>
      </c>
      <c r="M31" s="67">
        <f t="shared" si="10"/>
        <v>73.594999999999999</v>
      </c>
      <c r="N31" s="68">
        <f>'Penguk.CPMK-Smt1'!N31</f>
        <v>77.569999999999993</v>
      </c>
      <c r="O31" s="68">
        <f>'Penguk.CPMK-Smt1'!O31</f>
        <v>77.58</v>
      </c>
      <c r="P31" s="68">
        <f>'Penguk.CPMK-Smt1'!P31</f>
        <v>75</v>
      </c>
      <c r="Q31" s="68">
        <f t="shared" si="11"/>
        <v>76.802300000000002</v>
      </c>
      <c r="R31" s="69">
        <f>'Penguk.CPMK-Smt1'!R31</f>
        <v>93.9</v>
      </c>
      <c r="S31" s="69">
        <f>'Penguk.CPMK-Smt1'!S31</f>
        <v>93.9</v>
      </c>
      <c r="T31" s="69">
        <f t="shared" si="12"/>
        <v>93.9</v>
      </c>
      <c r="U31" s="35">
        <f>'Penguk.CPMK-Smt1'!U31</f>
        <v>74.900000000000006</v>
      </c>
      <c r="V31" s="35">
        <f>'Penguk.CPMK-Smt1'!V31</f>
        <v>85.4</v>
      </c>
      <c r="W31" s="35">
        <f t="shared" si="13"/>
        <v>80.150000000000006</v>
      </c>
      <c r="X31" s="70">
        <f>'Penguk.CPMK-Smt1'!X31</f>
        <v>74.900000000000006</v>
      </c>
      <c r="Y31" s="70">
        <f>MK8_BID!E39</f>
        <v>85.4</v>
      </c>
      <c r="Z31" s="70">
        <f t="shared" si="14"/>
        <v>37.450000000000003</v>
      </c>
      <c r="AB31" s="71"/>
      <c r="AC31" s="81" t="str">
        <f t="shared" si="0"/>
        <v/>
      </c>
      <c r="AD31" s="71">
        <f t="shared" si="15"/>
        <v>77.0501</v>
      </c>
      <c r="AE31" s="81">
        <f t="shared" si="1"/>
        <v>0.77050099999999999</v>
      </c>
      <c r="AF31" s="71"/>
      <c r="AG31" s="81" t="str">
        <f>IF(AF31="","",IFERROR(AF31/$AF$8,""))</f>
        <v/>
      </c>
      <c r="AH31" s="71">
        <f t="shared" si="16"/>
        <v>174.65</v>
      </c>
      <c r="AI31" s="81">
        <f t="shared" si="2"/>
        <v>0.87325000000000008</v>
      </c>
      <c r="AJ31" s="72"/>
      <c r="AK31" s="72"/>
      <c r="AL31" s="72">
        <f t="shared" si="17"/>
        <v>80.150000000000006</v>
      </c>
      <c r="AM31" s="81">
        <f t="shared" si="18"/>
        <v>0.8015000000000001</v>
      </c>
      <c r="AN31" s="72"/>
      <c r="AO31" s="72"/>
      <c r="AP31" s="72">
        <f t="shared" si="19"/>
        <v>38.645000000000003</v>
      </c>
      <c r="AQ31" s="81">
        <f t="shared" si="3"/>
        <v>0.77290000000000003</v>
      </c>
      <c r="AR31" s="71">
        <f t="shared" si="20"/>
        <v>34.950000000000003</v>
      </c>
      <c r="AS31" s="81">
        <f t="shared" si="4"/>
        <v>0.69900000000000007</v>
      </c>
      <c r="AT31" s="71">
        <f t="shared" si="21"/>
        <v>28.700899999999997</v>
      </c>
      <c r="AU31" s="81">
        <f t="shared" si="5"/>
        <v>0.77569999999999995</v>
      </c>
      <c r="AV31" s="72">
        <f t="shared" si="22"/>
        <v>48.101399999999998</v>
      </c>
      <c r="AW31" s="81">
        <f t="shared" si="6"/>
        <v>0.7635142857142857</v>
      </c>
      <c r="AX31" s="71">
        <f t="shared" si="23"/>
        <v>80.150000000000006</v>
      </c>
      <c r="AY31" s="81">
        <f t="shared" si="7"/>
        <v>0.8015000000000001</v>
      </c>
      <c r="BB31" s="4">
        <f>IF(V31="","",IFERROR(K31*($BB$9/100),""))</f>
        <v>38.645000000000003</v>
      </c>
      <c r="BC31" s="4">
        <f>IF(V31="","",IFERROR(H31*($BC$9/100),""))</f>
        <v>40.549999999999997</v>
      </c>
      <c r="BD31" s="73">
        <f>IF(U31="","",IFERROR(U31*($BD$9/100),""))</f>
        <v>37.450000000000003</v>
      </c>
      <c r="BE31" s="73">
        <f>IF(D31="","",IFERROR(D31*($BE$9/100),""))</f>
        <v>20.4999</v>
      </c>
      <c r="BF31" s="73">
        <f>IF(V31="","",IFERROR(V31*($V$9/100),""))</f>
        <v>42.7</v>
      </c>
      <c r="BG31" s="4"/>
      <c r="BH31" s="4"/>
      <c r="BI31" s="4"/>
      <c r="BJ31" s="4"/>
      <c r="BK31" s="73">
        <f>IF(R31="","",IFERROR(R31*($R$9/100),""))</f>
        <v>46.95</v>
      </c>
      <c r="BL31" s="73">
        <f>IF(N31="","",IFERROR(N31*($N$9/100),""))</f>
        <v>28.700899999999997</v>
      </c>
      <c r="BM31" s="73">
        <f>IF(L31="","",IFERROR(L31*($L$9/100),""))</f>
        <v>34.950000000000003</v>
      </c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73">
        <f>IF(P31="","",IFERROR(P31*($P$9/100),""))</f>
        <v>22.5</v>
      </c>
      <c r="CA31" s="73">
        <f>IF(S31="","",IFERROR(S31*($CA$9/100),""))</f>
        <v>46.95</v>
      </c>
      <c r="CB31" s="73" t="str">
        <f>IFERROR(IF(X31="","",IFERROR(X31*($X$9/100),""))+IF(#REF!="","",IFERROR(#REF!*(#REF!/100),""))+IF(#REF!="","",IFERROR(#REF!*(#REF!/100),"")),"")</f>
        <v/>
      </c>
      <c r="CC31" s="4"/>
      <c r="CD31" s="4"/>
      <c r="CE31" s="4"/>
      <c r="CF31" s="73"/>
      <c r="CG31" s="73"/>
      <c r="CH31" s="73" t="str">
        <f>IFERROR(IF(F31="","",IFERROR(F31*($F$9/100),""))+IF(I31="","",IFERROR(I31*($I$9/100),""))+IF(#REF!="","",IFERROR(#REF!*(#REF!/100),""))+IF(#REF!="","",IFERROR(#REF!*(#REF!/100),"")),"")</f>
        <v/>
      </c>
      <c r="CI31" s="4"/>
      <c r="CJ31" s="73" t="str">
        <f>IFERROR(IF(#REF!="","",IFERROR(#REF!*(#REF!/100),""))+IF(#REF!="","",IFERROR(#REF!*(#REF!/100),"")),"")</f>
        <v/>
      </c>
      <c r="CK31" s="73" t="str">
        <f>IFERROR(IF(#REF!="","",IFERROR(#REF!*(#REF!/100),"")),"")</f>
        <v/>
      </c>
      <c r="CL31">
        <f t="shared" si="24"/>
        <v>359.89579999999995</v>
      </c>
      <c r="CM31" s="74" t="e">
        <f>CL31/$CL$9</f>
        <v>#REF!</v>
      </c>
    </row>
    <row r="32" spans="1:91">
      <c r="A32" s="105">
        <v>22</v>
      </c>
      <c r="B32" s="106" t="s">
        <v>225</v>
      </c>
      <c r="C32" s="106" t="s">
        <v>226</v>
      </c>
      <c r="D32" s="66">
        <f>'Penguk.CPMK-Smt1'!D32</f>
        <v>82.61</v>
      </c>
      <c r="E32" s="66">
        <f>'Penguk.CPMK-Smt1'!E32</f>
        <v>75.239999999999995</v>
      </c>
      <c r="F32" s="66">
        <f>'Penguk.CPMK-Smt1'!F32</f>
        <v>77.709999999999994</v>
      </c>
      <c r="G32" s="66">
        <f t="shared" si="8"/>
        <v>77.799599999999998</v>
      </c>
      <c r="H32" s="83">
        <f>'Penguk.CPMK-Smt1'!H32</f>
        <v>80.400000000000006</v>
      </c>
      <c r="I32" s="83">
        <f>'Penguk.CPMK-Smt1'!I32</f>
        <v>81.099999999999994</v>
      </c>
      <c r="J32" s="83">
        <f t="shared" si="9"/>
        <v>80.75</v>
      </c>
      <c r="K32" s="67">
        <f>'Penguk.CPMK-Smt1'!K32</f>
        <v>70.819999999999993</v>
      </c>
      <c r="L32" s="67">
        <f>'Penguk.CPMK-Smt1'!L32</f>
        <v>69.900000000000006</v>
      </c>
      <c r="M32" s="67">
        <f t="shared" si="10"/>
        <v>70.36</v>
      </c>
      <c r="N32" s="68">
        <f>'Penguk.CPMK-Smt1'!N32</f>
        <v>74</v>
      </c>
      <c r="O32" s="68">
        <f>'Penguk.CPMK-Smt1'!O32</f>
        <v>73.09</v>
      </c>
      <c r="P32" s="68">
        <f>'Penguk.CPMK-Smt1'!P32</f>
        <v>74.67</v>
      </c>
      <c r="Q32" s="68">
        <f t="shared" si="11"/>
        <v>73.900700000000001</v>
      </c>
      <c r="R32" s="69">
        <f>'Penguk.CPMK-Smt1'!R32</f>
        <v>93.3</v>
      </c>
      <c r="S32" s="69">
        <f>'Penguk.CPMK-Smt1'!S32</f>
        <v>93.3</v>
      </c>
      <c r="T32" s="69">
        <f t="shared" si="12"/>
        <v>93.3</v>
      </c>
      <c r="U32" s="35">
        <f>'Penguk.CPMK-Smt1'!U32</f>
        <v>75.5</v>
      </c>
      <c r="V32" s="35">
        <f>'Penguk.CPMK-Smt1'!V32</f>
        <v>93</v>
      </c>
      <c r="W32" s="35">
        <f t="shared" si="13"/>
        <v>84.25</v>
      </c>
      <c r="X32" s="70">
        <f>'Penguk.CPMK-Smt1'!X32</f>
        <v>75.5</v>
      </c>
      <c r="Y32" s="70">
        <f>MK8_BID!E40</f>
        <v>93</v>
      </c>
      <c r="Z32" s="70">
        <f t="shared" si="14"/>
        <v>37.75</v>
      </c>
      <c r="AB32" s="71"/>
      <c r="AC32" s="81" t="str">
        <f t="shared" si="0"/>
        <v/>
      </c>
      <c r="AD32" s="71">
        <f t="shared" si="15"/>
        <v>77.799599999999998</v>
      </c>
      <c r="AE32" s="81">
        <f t="shared" si="1"/>
        <v>0.77799600000000002</v>
      </c>
      <c r="AF32" s="71"/>
      <c r="AG32" s="81" t="str">
        <f>IF(AF32="","",IFERROR(AF32/$AF$8,""))</f>
        <v/>
      </c>
      <c r="AH32" s="71">
        <f t="shared" si="16"/>
        <v>174.05</v>
      </c>
      <c r="AI32" s="81">
        <f t="shared" si="2"/>
        <v>0.87025000000000008</v>
      </c>
      <c r="AJ32" s="72"/>
      <c r="AK32" s="72"/>
      <c r="AL32" s="72">
        <f t="shared" si="17"/>
        <v>84.25</v>
      </c>
      <c r="AM32" s="81">
        <f t="shared" si="18"/>
        <v>0.84250000000000003</v>
      </c>
      <c r="AN32" s="72"/>
      <c r="AO32" s="72"/>
      <c r="AP32" s="72">
        <f t="shared" si="19"/>
        <v>35.409999999999997</v>
      </c>
      <c r="AQ32" s="81">
        <f t="shared" si="3"/>
        <v>0.70819999999999994</v>
      </c>
      <c r="AR32" s="71">
        <f t="shared" si="20"/>
        <v>34.950000000000003</v>
      </c>
      <c r="AS32" s="81">
        <f t="shared" si="4"/>
        <v>0.69900000000000007</v>
      </c>
      <c r="AT32" s="71">
        <f t="shared" si="21"/>
        <v>27.38</v>
      </c>
      <c r="AU32" s="81">
        <f t="shared" si="5"/>
        <v>0.74</v>
      </c>
      <c r="AV32" s="72">
        <f t="shared" si="22"/>
        <v>46.520700000000005</v>
      </c>
      <c r="AW32" s="81">
        <f t="shared" si="6"/>
        <v>0.73842380952380959</v>
      </c>
      <c r="AX32" s="71">
        <f t="shared" si="23"/>
        <v>84.25</v>
      </c>
      <c r="AY32" s="81">
        <f t="shared" si="7"/>
        <v>0.84250000000000003</v>
      </c>
      <c r="BB32" s="4">
        <f>IF(V32="","",IFERROR(K32*($BB$9/100),""))</f>
        <v>35.409999999999997</v>
      </c>
      <c r="BC32" s="4">
        <f>IF(V32="","",IFERROR(H32*($BC$9/100),""))</f>
        <v>40.200000000000003</v>
      </c>
      <c r="BD32" s="73">
        <f>IF(U32="","",IFERROR(U32*($BD$9/100),""))</f>
        <v>37.75</v>
      </c>
      <c r="BE32" s="73">
        <f>IF(D32="","",IFERROR(D32*($BE$9/100),""))</f>
        <v>19.000299999999999</v>
      </c>
      <c r="BF32" s="73">
        <f>IF(V32="","",IFERROR(V32*($V$9/100),""))</f>
        <v>46.5</v>
      </c>
      <c r="BG32" s="4"/>
      <c r="BH32" s="4"/>
      <c r="BI32" s="4"/>
      <c r="BJ32" s="4"/>
      <c r="BK32" s="73">
        <f>IF(R32="","",IFERROR(R32*($R$9/100),""))</f>
        <v>46.65</v>
      </c>
      <c r="BL32" s="73">
        <f>IF(N32="","",IFERROR(N32*($N$9/100),""))</f>
        <v>27.38</v>
      </c>
      <c r="BM32" s="73">
        <f>IF(L32="","",IFERROR(L32*($L$9/100),""))</f>
        <v>34.950000000000003</v>
      </c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73">
        <f>IF(P32="","",IFERROR(P32*($P$9/100),""))</f>
        <v>22.401</v>
      </c>
      <c r="CA32" s="73">
        <f>IF(S32="","",IFERROR(S32*($CA$9/100),""))</f>
        <v>46.65</v>
      </c>
      <c r="CB32" s="73" t="str">
        <f>IFERROR(IF(X32="","",IFERROR(X32*($X$9/100),""))+IF(#REF!="","",IFERROR(#REF!*(#REF!/100),""))+IF(#REF!="","",IFERROR(#REF!*(#REF!/100),"")),"")</f>
        <v/>
      </c>
      <c r="CC32" s="4"/>
      <c r="CD32" s="4"/>
      <c r="CE32" s="4"/>
      <c r="CF32" s="73" t="str">
        <f>IFERROR(IF(#REF!="","",IFERROR(#REF!*(#REF!/100),"")),"")</f>
        <v/>
      </c>
      <c r="CG32" s="73" t="str">
        <f>IFERROR(IF(#REF!="","",IFERROR(#REF!*(#REF!/100),""))+IF(#REF!="","",IFERROR(#REF!*(#REF!/100),"")),"")</f>
        <v/>
      </c>
      <c r="CH32" s="73" t="str">
        <f>IFERROR(IF(F32="","",IFERROR(F32*($F$9/100),""))+IF(I32="","",IFERROR(I32*($I$9/100),""))+IF(#REF!="","",IFERROR(#REF!*(#REF!/100),""))+IF(#REF!="","",IFERROR(#REF!*(#REF!/100),"")),"")</f>
        <v/>
      </c>
      <c r="CI32" s="4"/>
      <c r="CJ32" s="73" t="str">
        <f>IFERROR(IF(#REF!="","",IFERROR(#REF!*(#REF!/100),""))+IF(#REF!="","",IFERROR(#REF!*(#REF!/100),"")),"")</f>
        <v/>
      </c>
      <c r="CK32" s="73" t="str">
        <f>IFERROR(IF(#REF!="","",IFERROR(#REF!*(#REF!/100),"")),"")</f>
        <v/>
      </c>
      <c r="CL32">
        <f t="shared" si="24"/>
        <v>356.8913</v>
      </c>
      <c r="CM32" s="74" t="e">
        <f>CL32/$CL$9</f>
        <v>#REF!</v>
      </c>
    </row>
    <row r="33" spans="1:91">
      <c r="A33" s="105">
        <v>23</v>
      </c>
      <c r="B33" s="106" t="s">
        <v>284</v>
      </c>
      <c r="C33" s="106" t="s">
        <v>285</v>
      </c>
      <c r="D33" s="66">
        <f>'Penguk.CPMK-Smt1'!D33</f>
        <v>84.78</v>
      </c>
      <c r="E33" s="66">
        <f>'Penguk.CPMK-Smt1'!E33</f>
        <v>82.02</v>
      </c>
      <c r="F33" s="66">
        <f>'Penguk.CPMK-Smt1'!F33</f>
        <v>80.569999999999993</v>
      </c>
      <c r="G33" s="66">
        <f t="shared" si="8"/>
        <v>82.147300000000001</v>
      </c>
      <c r="H33" s="83">
        <f>'Penguk.CPMK-Smt1'!H33</f>
        <v>80.599999999999994</v>
      </c>
      <c r="I33" s="83">
        <f>'Penguk.CPMK-Smt1'!I33</f>
        <v>73.599999999999994</v>
      </c>
      <c r="J33" s="83">
        <f t="shared" si="9"/>
        <v>77.099999999999994</v>
      </c>
      <c r="K33" s="67">
        <f>'Penguk.CPMK-Smt1'!K33</f>
        <v>82.59</v>
      </c>
      <c r="L33" s="67">
        <f>'Penguk.CPMK-Smt1'!L33</f>
        <v>75.61</v>
      </c>
      <c r="M33" s="67">
        <f t="shared" si="10"/>
        <v>79.099999999999994</v>
      </c>
      <c r="N33" s="68">
        <f>'Penguk.CPMK-Smt1'!N33</f>
        <v>77.84</v>
      </c>
      <c r="O33" s="68">
        <f>'Penguk.CPMK-Smt1'!O33</f>
        <v>77.58</v>
      </c>
      <c r="P33" s="68">
        <f>'Penguk.CPMK-Smt1'!P33</f>
        <v>83.5</v>
      </c>
      <c r="Q33" s="68">
        <f t="shared" si="11"/>
        <v>79.452200000000005</v>
      </c>
      <c r="R33" s="69">
        <f>'Penguk.CPMK-Smt1'!R33</f>
        <v>81.400000000000006</v>
      </c>
      <c r="S33" s="69">
        <f>'Penguk.CPMK-Smt1'!S33</f>
        <v>81.400000000000006</v>
      </c>
      <c r="T33" s="69">
        <f t="shared" si="12"/>
        <v>81.400000000000006</v>
      </c>
      <c r="U33" s="35">
        <f>'Penguk.CPMK-Smt1'!U33</f>
        <v>79</v>
      </c>
      <c r="V33" s="35">
        <f>'Penguk.CPMK-Smt1'!V33</f>
        <v>96.5</v>
      </c>
      <c r="W33" s="35">
        <f t="shared" si="13"/>
        <v>87.75</v>
      </c>
      <c r="X33" s="70">
        <f>'Penguk.CPMK-Smt1'!X33</f>
        <v>79</v>
      </c>
      <c r="Y33" s="70">
        <f>MK8_BID!E41</f>
        <v>96.5</v>
      </c>
      <c r="Z33" s="70">
        <f t="shared" ref="Z33:Z34" si="25">IFERROR((X33*($X$9/100)),"")</f>
        <v>39.5</v>
      </c>
      <c r="AB33" s="71"/>
      <c r="AC33" s="81" t="str">
        <f t="shared" si="0"/>
        <v/>
      </c>
      <c r="AD33" s="71">
        <f t="shared" si="15"/>
        <v>82.147300000000001</v>
      </c>
      <c r="AE33" s="81">
        <f t="shared" si="1"/>
        <v>0.82147300000000001</v>
      </c>
      <c r="AF33" s="71"/>
      <c r="AG33" s="81"/>
      <c r="AH33" s="71">
        <f t="shared" si="16"/>
        <v>158.5</v>
      </c>
      <c r="AI33" s="81">
        <f t="shared" si="2"/>
        <v>0.79249999999999998</v>
      </c>
      <c r="AJ33" s="72"/>
      <c r="AK33" s="72"/>
      <c r="AL33" s="72">
        <f t="shared" si="17"/>
        <v>87.75</v>
      </c>
      <c r="AM33" s="81">
        <f t="shared" si="18"/>
        <v>0.87749999999999995</v>
      </c>
      <c r="AN33" s="72"/>
      <c r="AO33" s="72"/>
      <c r="AP33" s="72">
        <f t="shared" si="19"/>
        <v>41.295000000000002</v>
      </c>
      <c r="AQ33" s="81">
        <f t="shared" ref="AQ33:AQ34" si="26">IF(AP33="","",IFERROR(AP33/$AP$8,""))</f>
        <v>0.82590000000000008</v>
      </c>
      <c r="AR33" s="71">
        <f t="shared" si="20"/>
        <v>37.805</v>
      </c>
      <c r="AS33" s="81">
        <f t="shared" ref="AS33:AS34" si="27">IF(AR33="","",IFERROR(AR33/$AR$8,""))</f>
        <v>0.75609999999999999</v>
      </c>
      <c r="AT33" s="71">
        <f t="shared" si="21"/>
        <v>28.800800000000002</v>
      </c>
      <c r="AU33" s="81">
        <f t="shared" si="5"/>
        <v>0.77840000000000009</v>
      </c>
      <c r="AV33" s="72">
        <f t="shared" si="22"/>
        <v>50.651400000000002</v>
      </c>
      <c r="AW33" s="81">
        <f t="shared" si="6"/>
        <v>0.80399047619047626</v>
      </c>
      <c r="AX33" s="71">
        <f t="shared" si="23"/>
        <v>87.75</v>
      </c>
      <c r="AY33" s="81">
        <f t="shared" ref="AY33:AY34" si="28">IF(AX33="","",IFERROR(AX33/$AX$8,""))</f>
        <v>0.87749999999999995</v>
      </c>
      <c r="BB33" s="4"/>
      <c r="BC33" s="4"/>
      <c r="BD33" s="73"/>
      <c r="BE33" s="73"/>
      <c r="BF33" s="73"/>
      <c r="BG33" s="4"/>
      <c r="BH33" s="4"/>
      <c r="BI33" s="4"/>
      <c r="BJ33" s="4"/>
      <c r="BK33" s="73"/>
      <c r="BL33" s="73"/>
      <c r="BM33" s="73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73"/>
      <c r="CA33" s="73"/>
      <c r="CB33" s="73"/>
      <c r="CC33" s="4"/>
      <c r="CD33" s="4"/>
      <c r="CE33" s="4"/>
      <c r="CF33" s="73"/>
      <c r="CG33" s="73"/>
      <c r="CH33" s="73"/>
      <c r="CI33" s="4"/>
      <c r="CJ33" s="73"/>
      <c r="CK33" s="73"/>
      <c r="CM33" s="74"/>
    </row>
    <row r="34" spans="1:91">
      <c r="A34" s="105">
        <v>24</v>
      </c>
      <c r="B34" s="106" t="s">
        <v>282</v>
      </c>
      <c r="C34" s="106" t="s">
        <v>283</v>
      </c>
      <c r="D34" s="66">
        <f>'Penguk.CPMK-Smt1'!D34</f>
        <v>73.91</v>
      </c>
      <c r="E34" s="66">
        <f>'Penguk.CPMK-Smt1'!E34</f>
        <v>69.52</v>
      </c>
      <c r="F34" s="66">
        <f>'Penguk.CPMK-Smt1'!F34</f>
        <v>74</v>
      </c>
      <c r="G34" s="66">
        <f t="shared" si="8"/>
        <v>72.097700000000003</v>
      </c>
      <c r="H34" s="83">
        <f>'Penguk.CPMK-Smt1'!H34</f>
        <v>70.900000000000006</v>
      </c>
      <c r="I34" s="83">
        <f>'Penguk.CPMK-Smt1'!I34</f>
        <v>70.900000000000006</v>
      </c>
      <c r="J34" s="83">
        <f t="shared" si="9"/>
        <v>70.900000000000006</v>
      </c>
      <c r="K34" s="67">
        <f>'Penguk.CPMK-Smt1'!K34</f>
        <v>70.59</v>
      </c>
      <c r="L34" s="67">
        <f>'Penguk.CPMK-Smt1'!L34</f>
        <v>73.47</v>
      </c>
      <c r="M34" s="67">
        <f t="shared" si="10"/>
        <v>72.03</v>
      </c>
      <c r="N34" s="68">
        <f>'Penguk.CPMK-Smt1'!N34</f>
        <v>70.27</v>
      </c>
      <c r="O34" s="68">
        <f>'Penguk.CPMK-Smt1'!O34</f>
        <v>72.58</v>
      </c>
      <c r="P34" s="68">
        <f>'Penguk.CPMK-Smt1'!P34</f>
        <v>66.83</v>
      </c>
      <c r="Q34" s="68">
        <f t="shared" si="11"/>
        <v>70.000299999999996</v>
      </c>
      <c r="R34" s="69">
        <f>'Penguk.CPMK-Smt1'!R34</f>
        <v>72.400000000000006</v>
      </c>
      <c r="S34" s="69">
        <f>'Penguk.CPMK-Smt1'!S34</f>
        <v>72.400000000000006</v>
      </c>
      <c r="T34" s="69">
        <f t="shared" si="12"/>
        <v>72.400000000000006</v>
      </c>
      <c r="U34" s="35">
        <f>'Penguk.CPMK-Smt1'!U34</f>
        <v>65.900000000000006</v>
      </c>
      <c r="V34" s="35">
        <f>'Penguk.CPMK-Smt1'!V34</f>
        <v>83.4</v>
      </c>
      <c r="W34" s="35">
        <f t="shared" si="13"/>
        <v>74.650000000000006</v>
      </c>
      <c r="X34" s="70">
        <f>'Penguk.CPMK-Smt1'!X34</f>
        <v>65.900000000000006</v>
      </c>
      <c r="Y34" s="70">
        <f>MK8_BID!E42</f>
        <v>83.4</v>
      </c>
      <c r="Z34" s="70">
        <f t="shared" si="25"/>
        <v>32.950000000000003</v>
      </c>
      <c r="AB34" s="71"/>
      <c r="AC34" s="81" t="str">
        <f t="shared" si="0"/>
        <v/>
      </c>
      <c r="AD34" s="71">
        <f t="shared" si="15"/>
        <v>72.097700000000003</v>
      </c>
      <c r="AE34" s="81">
        <f t="shared" si="1"/>
        <v>0.72097699999999998</v>
      </c>
      <c r="AF34" s="71"/>
      <c r="AG34" s="81"/>
      <c r="AH34" s="71">
        <f t="shared" si="16"/>
        <v>143.30000000000001</v>
      </c>
      <c r="AI34" s="81">
        <f t="shared" si="2"/>
        <v>0.71650000000000003</v>
      </c>
      <c r="AJ34" s="72"/>
      <c r="AK34" s="72"/>
      <c r="AL34" s="72">
        <f t="shared" si="17"/>
        <v>74.650000000000006</v>
      </c>
      <c r="AM34" s="81">
        <f t="shared" si="18"/>
        <v>0.74650000000000005</v>
      </c>
      <c r="AN34" s="72"/>
      <c r="AO34" s="72"/>
      <c r="AP34" s="72">
        <f t="shared" si="19"/>
        <v>35.295000000000002</v>
      </c>
      <c r="AQ34" s="81">
        <f t="shared" si="26"/>
        <v>0.70590000000000008</v>
      </c>
      <c r="AR34" s="71">
        <f t="shared" si="20"/>
        <v>36.734999999999999</v>
      </c>
      <c r="AS34" s="81">
        <f t="shared" si="27"/>
        <v>0.73470000000000002</v>
      </c>
      <c r="AT34" s="71">
        <f t="shared" si="21"/>
        <v>25.999899999999997</v>
      </c>
      <c r="AU34" s="81">
        <f t="shared" si="5"/>
        <v>0.70269999999999988</v>
      </c>
      <c r="AV34" s="72">
        <f t="shared" si="22"/>
        <v>44.000399999999999</v>
      </c>
      <c r="AW34" s="81">
        <f t="shared" si="6"/>
        <v>0.69841904761904761</v>
      </c>
      <c r="AX34" s="71">
        <f t="shared" si="23"/>
        <v>74.650000000000006</v>
      </c>
      <c r="AY34" s="81">
        <f t="shared" si="28"/>
        <v>0.74650000000000005</v>
      </c>
      <c r="BB34" s="4"/>
      <c r="BC34" s="4"/>
      <c r="BD34" s="73"/>
      <c r="BE34" s="73"/>
      <c r="BF34" s="73"/>
      <c r="BG34" s="4"/>
      <c r="BH34" s="4"/>
      <c r="BI34" s="4"/>
      <c r="BJ34" s="4"/>
      <c r="BK34" s="73"/>
      <c r="BL34" s="73"/>
      <c r="BM34" s="73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73"/>
      <c r="CA34" s="73"/>
      <c r="CB34" s="73"/>
      <c r="CC34" s="4"/>
      <c r="CD34" s="4"/>
      <c r="CE34" s="4"/>
      <c r="CF34" s="73"/>
      <c r="CG34" s="73"/>
      <c r="CH34" s="73"/>
      <c r="CI34" s="4"/>
      <c r="CJ34" s="73"/>
      <c r="CK34" s="73"/>
      <c r="CM34" s="74"/>
    </row>
    <row r="35" spans="1:91">
      <c r="A35" s="105">
        <v>25</v>
      </c>
      <c r="B35" s="106" t="s">
        <v>227</v>
      </c>
      <c r="C35" s="106" t="s">
        <v>253</v>
      </c>
      <c r="D35" s="66">
        <f>'Penguk.CPMK-Smt1'!D33</f>
        <v>84.78</v>
      </c>
      <c r="E35" s="66">
        <f>'Penguk.CPMK-Smt1'!E33</f>
        <v>82.02</v>
      </c>
      <c r="F35" s="66">
        <f>'Penguk.CPMK-Smt1'!F35</f>
        <v>39.200000000000003</v>
      </c>
      <c r="G35" s="66">
        <f t="shared" si="8"/>
        <v>67.6678</v>
      </c>
      <c r="H35" s="83">
        <f>'Penguk.CPMK-Smt1'!H35</f>
        <v>85.2</v>
      </c>
      <c r="I35" s="83">
        <f>'Penguk.CPMK-Smt1'!I35</f>
        <v>83.7</v>
      </c>
      <c r="J35" s="83">
        <f t="shared" si="9"/>
        <v>84.45</v>
      </c>
      <c r="K35" s="67">
        <f>'Penguk.CPMK-Smt1'!K35</f>
        <v>83.75</v>
      </c>
      <c r="L35" s="67">
        <f>'Penguk.CPMK-Smt1'!L35</f>
        <v>82.69</v>
      </c>
      <c r="M35" s="67">
        <f t="shared" si="10"/>
        <v>83.22</v>
      </c>
      <c r="N35" s="68">
        <f>'Penguk.CPMK-Smt1'!N35</f>
        <v>48.92</v>
      </c>
      <c r="O35" s="68">
        <f>'Penguk.CPMK-Smt1'!O35</f>
        <v>50.91</v>
      </c>
      <c r="P35" s="68">
        <f>'Penguk.CPMK-Smt1'!P35</f>
        <v>55</v>
      </c>
      <c r="Q35" s="68">
        <f t="shared" si="11"/>
        <v>51.400700000000001</v>
      </c>
      <c r="R35" s="69">
        <f>'Penguk.CPMK-Smt1'!R35</f>
        <v>73</v>
      </c>
      <c r="S35" s="69">
        <f>'Penguk.CPMK-Smt1'!S35</f>
        <v>73</v>
      </c>
      <c r="T35" s="69">
        <f t="shared" si="12"/>
        <v>73</v>
      </c>
      <c r="U35" s="35">
        <f>'Penguk.CPMK-Smt1'!U35</f>
        <v>75.650000000000006</v>
      </c>
      <c r="V35" s="35">
        <f>'Penguk.CPMK-Smt1'!V35</f>
        <v>75.650000000000006</v>
      </c>
      <c r="W35" s="35">
        <f t="shared" si="13"/>
        <v>75.650000000000006</v>
      </c>
      <c r="X35" s="70">
        <f>'Penguk.CPMK-Smt1'!X35</f>
        <v>75.650000000000006</v>
      </c>
      <c r="Y35" s="70">
        <f>MK8_BID!E43</f>
        <v>75.650000000000006</v>
      </c>
      <c r="Z35" s="70">
        <f t="shared" ref="Z35:Z42" si="29">IFERROR((X35*($X$9/100)),"")</f>
        <v>37.825000000000003</v>
      </c>
      <c r="AB35" s="71"/>
      <c r="AC35" s="81" t="str">
        <f t="shared" si="0"/>
        <v/>
      </c>
      <c r="AD35" s="71">
        <f t="shared" si="15"/>
        <v>67.6678</v>
      </c>
      <c r="AE35" s="81">
        <f t="shared" si="1"/>
        <v>0.676678</v>
      </c>
      <c r="AF35" s="71"/>
      <c r="AG35" s="81" t="str">
        <f t="shared" ref="AG35:AG42" si="30">IF(AF35="","",IFERROR(AF35/$AF$8,""))</f>
        <v/>
      </c>
      <c r="AH35" s="71">
        <f t="shared" si="16"/>
        <v>157.44999999999999</v>
      </c>
      <c r="AI35" s="81">
        <f t="shared" si="2"/>
        <v>0.78724999999999989</v>
      </c>
      <c r="AJ35" s="72"/>
      <c r="AK35" s="72"/>
      <c r="AL35" s="72">
        <f t="shared" si="17"/>
        <v>75.650000000000006</v>
      </c>
      <c r="AM35" s="81">
        <f t="shared" si="18"/>
        <v>0.75650000000000006</v>
      </c>
      <c r="AN35" s="72"/>
      <c r="AO35" s="72"/>
      <c r="AP35" s="72">
        <f t="shared" si="19"/>
        <v>41.875</v>
      </c>
      <c r="AQ35" s="81">
        <f t="shared" ref="AQ35:AQ42" si="31">IF(AP35="","",IFERROR(AP35/$AP$8,""))</f>
        <v>0.83750000000000002</v>
      </c>
      <c r="AR35" s="71">
        <f t="shared" si="20"/>
        <v>41.344999999999999</v>
      </c>
      <c r="AS35" s="81">
        <f t="shared" ref="AS35:AS42" si="32">IF(AR35="","",IFERROR(AR35/$AR$8,""))</f>
        <v>0.82689999999999997</v>
      </c>
      <c r="AT35" s="71">
        <f t="shared" si="21"/>
        <v>18.1004</v>
      </c>
      <c r="AU35" s="81">
        <f t="shared" si="5"/>
        <v>0.48920000000000002</v>
      </c>
      <c r="AV35" s="72">
        <f t="shared" si="22"/>
        <v>33.3003</v>
      </c>
      <c r="AW35" s="81">
        <f t="shared" si="6"/>
        <v>0.52857619047619042</v>
      </c>
      <c r="AX35" s="71">
        <f t="shared" si="23"/>
        <v>75.650000000000006</v>
      </c>
      <c r="AY35" s="81">
        <f t="shared" ref="AY35:AY42" si="33">IF(AX35="","",IFERROR(AX35/$AX$8,""))</f>
        <v>0.75650000000000006</v>
      </c>
      <c r="BB35" s="4">
        <f t="shared" ref="BB35:BB42" si="34">IF(V35="","",IFERROR(K35*($BB$9/100),""))</f>
        <v>41.875</v>
      </c>
      <c r="BC35" s="4">
        <f t="shared" ref="BC35:BC42" si="35">IF(V35="","",IFERROR(H35*($BC$9/100),""))</f>
        <v>42.6</v>
      </c>
      <c r="BD35" s="73">
        <f t="shared" ref="BD35:BD42" si="36">IF(U35="","",IFERROR(U35*($BD$9/100),""))</f>
        <v>37.825000000000003</v>
      </c>
      <c r="BE35" s="73">
        <f t="shared" ref="BE35:BE42" si="37">IF(D35="","",IFERROR(D35*($BE$9/100),""))</f>
        <v>19.499400000000001</v>
      </c>
      <c r="BF35" s="73">
        <f t="shared" ref="BF35:BF42" si="38">IF(V35="","",IFERROR(V35*($V$9/100),""))</f>
        <v>37.825000000000003</v>
      </c>
      <c r="BG35" s="4"/>
      <c r="BH35" s="4"/>
      <c r="BI35" s="4"/>
      <c r="BJ35" s="4"/>
      <c r="BK35" s="73">
        <f t="shared" ref="BK35:BK42" si="39">IF(R35="","",IFERROR(R35*($R$9/100),""))</f>
        <v>36.5</v>
      </c>
      <c r="BL35" s="73">
        <f t="shared" ref="BL35:BL42" si="40">IF(N35="","",IFERROR(N35*($N$9/100),""))</f>
        <v>18.1004</v>
      </c>
      <c r="BM35" s="73">
        <f t="shared" ref="BM35:BM42" si="41">IF(L35="","",IFERROR(L35*($L$9/100),""))</f>
        <v>41.344999999999999</v>
      </c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73">
        <f t="shared" ref="BZ35:BZ42" si="42">IF(P35="","",IFERROR(P35*($P$9/100),""))</f>
        <v>16.5</v>
      </c>
      <c r="CA35" s="73">
        <f t="shared" ref="CA35:CA42" si="43">IF(S35="","",IFERROR(S35*($CA$9/100),""))</f>
        <v>36.5</v>
      </c>
      <c r="CB35" s="73" t="str">
        <f>IFERROR(IF(X35="","",IFERROR(X35*($X$9/100),""))+IF(#REF!="","",IFERROR(#REF!*(#REF!/100),""))+IF(#REF!="","",IFERROR(#REF!*(#REF!/100),"")),"")</f>
        <v/>
      </c>
      <c r="CC35" s="4"/>
      <c r="CD35" s="4"/>
      <c r="CE35" s="4"/>
      <c r="CF35" s="73" t="str">
        <f>IFERROR(IF(#REF!="","",IFERROR(#REF!*(#REF!/100),"")),"")</f>
        <v/>
      </c>
      <c r="CG35" s="73" t="str">
        <f>IFERROR(IF(#REF!="","",IFERROR(#REF!*(#REF!/100),""))+IF(#REF!="","",IFERROR(#REF!*(#REF!/100),"")),"")</f>
        <v/>
      </c>
      <c r="CH35" s="73" t="str">
        <f>IFERROR(IF(F35="","",IFERROR(F35*($F$9/100),""))+IF(I35="","",IFERROR(I35*($I$9/100),""))+IF(#REF!="","",IFERROR(#REF!*(#REF!/100),""))+IF(#REF!="","",IFERROR(#REF!*(#REF!/100),"")),"")</f>
        <v/>
      </c>
      <c r="CI35" s="4"/>
      <c r="CJ35" s="73" t="str">
        <f>IFERROR(IF(#REF!="","",IFERROR(#REF!*(#REF!/100),""))+IF(#REF!="","",IFERROR(#REF!*(#REF!/100),"")),"")</f>
        <v/>
      </c>
      <c r="CK35" s="73" t="str">
        <f>IFERROR(IF(#REF!="","",IFERROR(#REF!*(#REF!/100),"")),"")</f>
        <v/>
      </c>
      <c r="CL35">
        <f t="shared" si="24"/>
        <v>328.56979999999999</v>
      </c>
      <c r="CM35" s="74" t="e">
        <f t="shared" ref="CM35:CM42" si="44">CL35/$CL$9</f>
        <v>#REF!</v>
      </c>
    </row>
    <row r="36" spans="1:91">
      <c r="A36" s="105">
        <v>26</v>
      </c>
      <c r="B36" s="106" t="s">
        <v>229</v>
      </c>
      <c r="C36" s="106" t="s">
        <v>230</v>
      </c>
      <c r="D36" s="66">
        <f>'Penguk.CPMK-Smt1'!D34</f>
        <v>73.91</v>
      </c>
      <c r="E36" s="66">
        <f>'Penguk.CPMK-Smt1'!E34</f>
        <v>69.52</v>
      </c>
      <c r="F36" s="66">
        <f>'Penguk.CPMK-Smt1'!F36</f>
        <v>81.17</v>
      </c>
      <c r="G36" s="66">
        <f t="shared" si="8"/>
        <v>74.607199999999992</v>
      </c>
      <c r="H36" s="83">
        <f>'Penguk.CPMK-Smt1'!H36</f>
        <v>92</v>
      </c>
      <c r="I36" s="83">
        <f>'Penguk.CPMK-Smt1'!I36</f>
        <v>87.2</v>
      </c>
      <c r="J36" s="83">
        <f t="shared" si="9"/>
        <v>89.6</v>
      </c>
      <c r="K36" s="67">
        <f>'Penguk.CPMK-Smt1'!K36</f>
        <v>90</v>
      </c>
      <c r="L36" s="67">
        <f>'Penguk.CPMK-Smt1'!L36</f>
        <v>82.69</v>
      </c>
      <c r="M36" s="67">
        <f t="shared" si="10"/>
        <v>86.344999999999999</v>
      </c>
      <c r="N36" s="68">
        <f>'Penguk.CPMK-Smt1'!N36</f>
        <v>85.81</v>
      </c>
      <c r="O36" s="68">
        <f>'Penguk.CPMK-Smt1'!O34</f>
        <v>72.58</v>
      </c>
      <c r="P36" s="68">
        <f>'Penguk.CPMK-Smt1'!P36</f>
        <v>87.5</v>
      </c>
      <c r="Q36" s="68">
        <f t="shared" si="11"/>
        <v>81.951099999999997</v>
      </c>
      <c r="R36" s="69">
        <f>'Penguk.CPMK-Smt1'!R36</f>
        <v>83</v>
      </c>
      <c r="S36" s="69">
        <f>'Penguk.CPMK-Smt1'!S36</f>
        <v>73</v>
      </c>
      <c r="T36" s="69">
        <f t="shared" si="12"/>
        <v>78</v>
      </c>
      <c r="U36" s="35">
        <f>'Penguk.CPMK-Smt1'!U36</f>
        <v>75.599999999999994</v>
      </c>
      <c r="V36" s="35">
        <f>'Penguk.CPMK-Smt1'!V36</f>
        <v>75.599999999999994</v>
      </c>
      <c r="W36" s="35">
        <f t="shared" si="13"/>
        <v>75.599999999999994</v>
      </c>
      <c r="X36" s="70">
        <f>'Penguk.CPMK-Smt1'!X36</f>
        <v>75.599999999999994</v>
      </c>
      <c r="Y36" s="70">
        <f>MK8_BID!E44</f>
        <v>75.599999999999994</v>
      </c>
      <c r="Z36" s="70">
        <f t="shared" si="29"/>
        <v>37.799999999999997</v>
      </c>
      <c r="AB36" s="71"/>
      <c r="AC36" s="81" t="str">
        <f t="shared" si="0"/>
        <v/>
      </c>
      <c r="AD36" s="71">
        <f t="shared" si="15"/>
        <v>74.607199999999992</v>
      </c>
      <c r="AE36" s="81">
        <f t="shared" si="1"/>
        <v>0.74607199999999996</v>
      </c>
      <c r="AF36" s="71"/>
      <c r="AG36" s="81" t="str">
        <f t="shared" si="30"/>
        <v/>
      </c>
      <c r="AH36" s="71">
        <f t="shared" si="16"/>
        <v>167.6</v>
      </c>
      <c r="AI36" s="81">
        <f t="shared" si="2"/>
        <v>0.83799999999999997</v>
      </c>
      <c r="AJ36" s="72"/>
      <c r="AK36" s="72"/>
      <c r="AL36" s="72">
        <f t="shared" si="17"/>
        <v>75.599999999999994</v>
      </c>
      <c r="AM36" s="81">
        <f t="shared" si="18"/>
        <v>0.75599999999999989</v>
      </c>
      <c r="AN36" s="72"/>
      <c r="AO36" s="72"/>
      <c r="AP36" s="72">
        <f t="shared" si="19"/>
        <v>45</v>
      </c>
      <c r="AQ36" s="81">
        <f t="shared" si="31"/>
        <v>0.9</v>
      </c>
      <c r="AR36" s="71">
        <f t="shared" si="20"/>
        <v>41.344999999999999</v>
      </c>
      <c r="AS36" s="81">
        <f t="shared" si="32"/>
        <v>0.82689999999999997</v>
      </c>
      <c r="AT36" s="71">
        <f t="shared" si="21"/>
        <v>31.749700000000001</v>
      </c>
      <c r="AU36" s="81">
        <f t="shared" si="5"/>
        <v>0.85809999999999997</v>
      </c>
      <c r="AV36" s="72">
        <f t="shared" si="22"/>
        <v>50.2014</v>
      </c>
      <c r="AW36" s="81">
        <f t="shared" si="6"/>
        <v>0.79684761904761903</v>
      </c>
      <c r="AX36" s="71">
        <f t="shared" si="23"/>
        <v>75.599999999999994</v>
      </c>
      <c r="AY36" s="81">
        <f t="shared" si="33"/>
        <v>0.75599999999999989</v>
      </c>
      <c r="BB36" s="4">
        <f t="shared" si="34"/>
        <v>45</v>
      </c>
      <c r="BC36" s="4">
        <f t="shared" si="35"/>
        <v>46</v>
      </c>
      <c r="BD36" s="73">
        <f t="shared" si="36"/>
        <v>37.799999999999997</v>
      </c>
      <c r="BE36" s="73">
        <f t="shared" si="37"/>
        <v>16.999300000000002</v>
      </c>
      <c r="BF36" s="73">
        <f t="shared" si="38"/>
        <v>37.799999999999997</v>
      </c>
      <c r="BG36" s="4"/>
      <c r="BH36" s="4"/>
      <c r="BI36" s="4"/>
      <c r="BJ36" s="4"/>
      <c r="BK36" s="73">
        <f t="shared" si="39"/>
        <v>41.5</v>
      </c>
      <c r="BL36" s="73">
        <f t="shared" si="40"/>
        <v>31.749700000000001</v>
      </c>
      <c r="BM36" s="73">
        <f t="shared" si="41"/>
        <v>41.344999999999999</v>
      </c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73">
        <f t="shared" si="42"/>
        <v>26.25</v>
      </c>
      <c r="CA36" s="73">
        <f t="shared" si="43"/>
        <v>36.5</v>
      </c>
      <c r="CB36" s="73" t="str">
        <f>IFERROR(IF(X36="","",IFERROR(X36*($X$9/100),""))+IF(#REF!="","",IFERROR(#REF!*(#REF!/100),""))+IF(#REF!="","",IFERROR(#REF!*(#REF!/100),"")),"")</f>
        <v/>
      </c>
      <c r="CC36" s="4"/>
      <c r="CD36" s="4"/>
      <c r="CE36" s="4"/>
      <c r="CF36" s="73" t="str">
        <f>IFERROR(IF(#REF!="","",IFERROR(#REF!*(#REF!/100),"")),"")</f>
        <v/>
      </c>
      <c r="CG36" s="73" t="str">
        <f>IFERROR(IF(#REF!="","",IFERROR(#REF!*(#REF!/100),""))+IF(#REF!="","",IFERROR(#REF!*(#REF!/100),"")),"")</f>
        <v/>
      </c>
      <c r="CH36" s="73" t="str">
        <f>IFERROR(IF(F36="","",IFERROR(F36*($F$9/100),""))+IF(I36="","",IFERROR(I36*($I$9/100),""))+IF(#REF!="","",IFERROR(#REF!*(#REF!/100),""))+IF(#REF!="","",IFERROR(#REF!*(#REF!/100),"")),"")</f>
        <v/>
      </c>
      <c r="CI36" s="4"/>
      <c r="CJ36" s="73" t="str">
        <f>IFERROR(IF(#REF!="","",IFERROR(#REF!*(#REF!/100),""))+IF(#REF!="","",IFERROR(#REF!*(#REF!/100),"")),"")</f>
        <v/>
      </c>
      <c r="CK36" s="73" t="str">
        <f>IFERROR(IF(#REF!="","",IFERROR(#REF!*(#REF!/100),"")),"")</f>
        <v/>
      </c>
      <c r="CL36">
        <f t="shared" si="24"/>
        <v>360.94400000000007</v>
      </c>
      <c r="CM36" s="74" t="e">
        <f t="shared" si="44"/>
        <v>#REF!</v>
      </c>
    </row>
    <row r="37" spans="1:91">
      <c r="A37" s="105">
        <v>27</v>
      </c>
      <c r="B37" s="106" t="s">
        <v>231</v>
      </c>
      <c r="C37" s="106" t="s">
        <v>232</v>
      </c>
      <c r="D37" s="66">
        <f>'Penguk.CPMK-Smt1'!D35</f>
        <v>78</v>
      </c>
      <c r="E37" s="66">
        <f>'Penguk.CPMK-Smt1'!E35</f>
        <v>62.24</v>
      </c>
      <c r="F37" s="66">
        <f>'Penguk.CPMK-Smt1'!F37</f>
        <v>84.6</v>
      </c>
      <c r="G37" s="66">
        <f t="shared" si="8"/>
        <v>73.690799999999996</v>
      </c>
      <c r="H37" s="83">
        <f>'Penguk.CPMK-Smt1'!H37</f>
        <v>92.7</v>
      </c>
      <c r="I37" s="83">
        <f>'Penguk.CPMK-Smt1'!I37</f>
        <v>86.5</v>
      </c>
      <c r="J37" s="83">
        <f t="shared" si="9"/>
        <v>89.6</v>
      </c>
      <c r="K37" s="67">
        <f>'Penguk.CPMK-Smt1'!K37</f>
        <v>77.5</v>
      </c>
      <c r="L37" s="67">
        <f>'Penguk.CPMK-Smt1'!L37</f>
        <v>82.69</v>
      </c>
      <c r="M37" s="67">
        <f t="shared" si="10"/>
        <v>80.094999999999999</v>
      </c>
      <c r="N37" s="68">
        <f>'Penguk.CPMK-Smt1'!N37</f>
        <v>84.86</v>
      </c>
      <c r="O37" s="68">
        <f>'Penguk.CPMK-Smt1'!O35</f>
        <v>50.91</v>
      </c>
      <c r="P37" s="68">
        <f>'Penguk.CPMK-Smt1'!P37</f>
        <v>86.67</v>
      </c>
      <c r="Q37" s="68">
        <f t="shared" si="11"/>
        <v>74.1995</v>
      </c>
      <c r="R37" s="69">
        <f>'Penguk.CPMK-Smt1'!R37</f>
        <v>83</v>
      </c>
      <c r="S37" s="69">
        <f>'Penguk.CPMK-Smt1'!S37</f>
        <v>73</v>
      </c>
      <c r="T37" s="69">
        <f t="shared" si="12"/>
        <v>78</v>
      </c>
      <c r="U37" s="35">
        <f>'Penguk.CPMK-Smt1'!U37</f>
        <v>83.05</v>
      </c>
      <c r="V37" s="35">
        <f>'Penguk.CPMK-Smt1'!V37</f>
        <v>83.05</v>
      </c>
      <c r="W37" s="35">
        <f t="shared" si="13"/>
        <v>83.05</v>
      </c>
      <c r="X37" s="70">
        <f>'Penguk.CPMK-Smt1'!X37</f>
        <v>83.05</v>
      </c>
      <c r="Y37" s="70">
        <f>MK8_BID!E45</f>
        <v>83.05</v>
      </c>
      <c r="Z37" s="70">
        <f t="shared" si="29"/>
        <v>41.524999999999999</v>
      </c>
      <c r="AB37" s="71"/>
      <c r="AC37" s="81" t="str">
        <f t="shared" si="0"/>
        <v/>
      </c>
      <c r="AD37" s="71">
        <f t="shared" si="15"/>
        <v>73.690799999999996</v>
      </c>
      <c r="AE37" s="81">
        <f t="shared" si="1"/>
        <v>0.73690800000000001</v>
      </c>
      <c r="AF37" s="71"/>
      <c r="AG37" s="81" t="str">
        <f t="shared" si="30"/>
        <v/>
      </c>
      <c r="AH37" s="71">
        <f t="shared" si="16"/>
        <v>167.6</v>
      </c>
      <c r="AI37" s="81">
        <f t="shared" si="2"/>
        <v>0.83799999999999997</v>
      </c>
      <c r="AJ37" s="72"/>
      <c r="AK37" s="72"/>
      <c r="AL37" s="72">
        <f t="shared" si="17"/>
        <v>83.05</v>
      </c>
      <c r="AM37" s="81">
        <f t="shared" si="18"/>
        <v>0.83050000000000002</v>
      </c>
      <c r="AN37" s="72"/>
      <c r="AO37" s="72"/>
      <c r="AP37" s="72">
        <f t="shared" si="19"/>
        <v>38.75</v>
      </c>
      <c r="AQ37" s="81">
        <f t="shared" si="31"/>
        <v>0.77500000000000002</v>
      </c>
      <c r="AR37" s="71">
        <f t="shared" si="20"/>
        <v>41.344999999999999</v>
      </c>
      <c r="AS37" s="81">
        <f t="shared" si="32"/>
        <v>0.82689999999999997</v>
      </c>
      <c r="AT37" s="71">
        <f t="shared" si="21"/>
        <v>31.398199999999999</v>
      </c>
      <c r="AU37" s="81">
        <f t="shared" si="5"/>
        <v>0.84860000000000002</v>
      </c>
      <c r="AV37" s="72">
        <f t="shared" si="22"/>
        <v>42.801299999999998</v>
      </c>
      <c r="AW37" s="81">
        <f t="shared" si="6"/>
        <v>0.67938571428571426</v>
      </c>
      <c r="AX37" s="71">
        <f t="shared" si="23"/>
        <v>83.05</v>
      </c>
      <c r="AY37" s="81">
        <f t="shared" si="33"/>
        <v>0.83050000000000002</v>
      </c>
      <c r="BB37" s="4">
        <f t="shared" si="34"/>
        <v>38.75</v>
      </c>
      <c r="BC37" s="4">
        <f t="shared" si="35"/>
        <v>46.35</v>
      </c>
      <c r="BD37" s="73">
        <f t="shared" si="36"/>
        <v>41.524999999999999</v>
      </c>
      <c r="BE37" s="73">
        <f t="shared" si="37"/>
        <v>17.940000000000001</v>
      </c>
      <c r="BF37" s="73">
        <f t="shared" si="38"/>
        <v>41.524999999999999</v>
      </c>
      <c r="BG37" s="4"/>
      <c r="BH37" s="4"/>
      <c r="BI37" s="4"/>
      <c r="BJ37" s="4"/>
      <c r="BK37" s="73">
        <f t="shared" si="39"/>
        <v>41.5</v>
      </c>
      <c r="BL37" s="73">
        <f t="shared" si="40"/>
        <v>31.398199999999999</v>
      </c>
      <c r="BM37" s="73">
        <f t="shared" si="41"/>
        <v>41.344999999999999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73">
        <f t="shared" si="42"/>
        <v>26.001000000000001</v>
      </c>
      <c r="CA37" s="73">
        <f t="shared" si="43"/>
        <v>36.5</v>
      </c>
      <c r="CB37" s="73" t="str">
        <f>IFERROR(IF(X37="","",IFERROR(X37*($X$9/100),""))+IF(#REF!="","",IFERROR(#REF!*(#REF!/100),""))+IF(#REF!="","",IFERROR(#REF!*(#REF!/100),"")),"")</f>
        <v/>
      </c>
      <c r="CC37" s="4"/>
      <c r="CD37" s="4"/>
      <c r="CE37" s="4"/>
      <c r="CF37" s="73" t="str">
        <f>IFERROR(IF(#REF!="","",IFERROR(#REF!*(#REF!/100),"")),"")</f>
        <v/>
      </c>
      <c r="CG37" s="73" t="str">
        <f>IFERROR(IF(#REF!="","",IFERROR(#REF!*(#REF!/100),""))+IF(#REF!="","",IFERROR(#REF!*(#REF!/100),"")),"")</f>
        <v/>
      </c>
      <c r="CH37" s="73" t="str">
        <f>IFERROR(IF(F37="","",IFERROR(F37*($F$9/100),""))+IF(I37="","",IFERROR(I37*($I$9/100),""))+IF(#REF!="","",IFERROR(#REF!*(#REF!/100),""))+IF(#REF!="","",IFERROR(#REF!*(#REF!/100),"")),"")</f>
        <v/>
      </c>
      <c r="CI37" s="4"/>
      <c r="CJ37" s="73" t="str">
        <f>IFERROR(IF(#REF!="","",IFERROR(#REF!*(#REF!/100),""))+IF(#REF!="","",IFERROR(#REF!*(#REF!/100),"")),"")</f>
        <v/>
      </c>
      <c r="CK37" s="73" t="str">
        <f>IFERROR(IF(#REF!="","",IFERROR(#REF!*(#REF!/100),"")),"")</f>
        <v/>
      </c>
      <c r="CL37">
        <f t="shared" si="24"/>
        <v>362.83420000000001</v>
      </c>
      <c r="CM37" s="74" t="e">
        <f t="shared" si="44"/>
        <v>#REF!</v>
      </c>
    </row>
    <row r="38" spans="1:91">
      <c r="A38" s="105">
        <v>28</v>
      </c>
      <c r="B38" s="106" t="s">
        <v>233</v>
      </c>
      <c r="C38" s="106" t="s">
        <v>234</v>
      </c>
      <c r="D38" s="66">
        <f>'Penguk.CPMK-Smt1'!D36</f>
        <v>82.48</v>
      </c>
      <c r="E38" s="66">
        <f>'Penguk.CPMK-Smt1'!E36</f>
        <v>80.400000000000006</v>
      </c>
      <c r="F38" s="66">
        <f>'Penguk.CPMK-Smt1'!F38</f>
        <v>88.17</v>
      </c>
      <c r="G38" s="66">
        <f t="shared" si="8"/>
        <v>83.597899999999996</v>
      </c>
      <c r="H38" s="83">
        <f>'Penguk.CPMK-Smt1'!H38</f>
        <v>85.8</v>
      </c>
      <c r="I38" s="83">
        <f>'Penguk.CPMK-Smt1'!I38</f>
        <v>82.8</v>
      </c>
      <c r="J38" s="83">
        <f t="shared" si="9"/>
        <v>84.3</v>
      </c>
      <c r="K38" s="67">
        <f>'Penguk.CPMK-Smt1'!K38</f>
        <v>90</v>
      </c>
      <c r="L38" s="67">
        <f>'Penguk.CPMK-Smt1'!L38</f>
        <v>82.69</v>
      </c>
      <c r="M38" s="67">
        <f t="shared" si="10"/>
        <v>86.344999999999999</v>
      </c>
      <c r="N38" s="68">
        <f>'Penguk.CPMK-Smt1'!N38</f>
        <v>86.76</v>
      </c>
      <c r="O38" s="68">
        <f>'Penguk.CPMK-Smt1'!O36</f>
        <v>86.36</v>
      </c>
      <c r="P38" s="68">
        <f>'Penguk.CPMK-Smt1'!P38</f>
        <v>88.33</v>
      </c>
      <c r="Q38" s="68">
        <f t="shared" si="11"/>
        <v>87.099000000000004</v>
      </c>
      <c r="R38" s="69">
        <f>'Penguk.CPMK-Smt1'!R38</f>
        <v>83</v>
      </c>
      <c r="S38" s="69">
        <f>'Penguk.CPMK-Smt1'!S38</f>
        <v>73</v>
      </c>
      <c r="T38" s="69">
        <f t="shared" si="12"/>
        <v>78</v>
      </c>
      <c r="U38" s="35">
        <f>'Penguk.CPMK-Smt1'!U38</f>
        <v>80.599999999999994</v>
      </c>
      <c r="V38" s="35">
        <f>'Penguk.CPMK-Smt1'!V38</f>
        <v>80.599999999999994</v>
      </c>
      <c r="W38" s="35">
        <f t="shared" si="13"/>
        <v>80.599999999999994</v>
      </c>
      <c r="X38" s="70">
        <f>'Penguk.CPMK-Smt1'!X38</f>
        <v>80.599999999999994</v>
      </c>
      <c r="Y38" s="70">
        <f>MK8_BID!E46</f>
        <v>80.599999999999994</v>
      </c>
      <c r="Z38" s="70">
        <f t="shared" si="29"/>
        <v>40.299999999999997</v>
      </c>
      <c r="AB38" s="71"/>
      <c r="AC38" s="81" t="str">
        <f t="shared" si="0"/>
        <v/>
      </c>
      <c r="AD38" s="71">
        <f t="shared" si="15"/>
        <v>83.597899999999996</v>
      </c>
      <c r="AE38" s="81">
        <f t="shared" si="1"/>
        <v>0.83597899999999992</v>
      </c>
      <c r="AF38" s="71"/>
      <c r="AG38" s="81" t="str">
        <f t="shared" si="30"/>
        <v/>
      </c>
      <c r="AH38" s="71">
        <f t="shared" si="16"/>
        <v>162.30000000000001</v>
      </c>
      <c r="AI38" s="81">
        <f t="shared" si="2"/>
        <v>0.81150000000000011</v>
      </c>
      <c r="AJ38" s="72"/>
      <c r="AK38" s="72"/>
      <c r="AL38" s="72">
        <f t="shared" si="17"/>
        <v>80.599999999999994</v>
      </c>
      <c r="AM38" s="81">
        <f t="shared" si="18"/>
        <v>0.80599999999999994</v>
      </c>
      <c r="AN38" s="72"/>
      <c r="AO38" s="72"/>
      <c r="AP38" s="72">
        <f t="shared" si="19"/>
        <v>45</v>
      </c>
      <c r="AQ38" s="81">
        <f t="shared" si="31"/>
        <v>0.9</v>
      </c>
      <c r="AR38" s="71">
        <f t="shared" si="20"/>
        <v>41.344999999999999</v>
      </c>
      <c r="AS38" s="81">
        <f t="shared" si="32"/>
        <v>0.82689999999999997</v>
      </c>
      <c r="AT38" s="71">
        <f t="shared" si="21"/>
        <v>32.101199999999999</v>
      </c>
      <c r="AU38" s="81">
        <f t="shared" si="5"/>
        <v>0.86759999999999993</v>
      </c>
      <c r="AV38" s="72">
        <f t="shared" si="22"/>
        <v>54.997799999999998</v>
      </c>
      <c r="AW38" s="81">
        <f t="shared" si="6"/>
        <v>0.8729809523809523</v>
      </c>
      <c r="AX38" s="71">
        <f t="shared" si="23"/>
        <v>80.599999999999994</v>
      </c>
      <c r="AY38" s="81">
        <f t="shared" si="33"/>
        <v>0.80599999999999994</v>
      </c>
      <c r="BB38" s="4">
        <f t="shared" si="34"/>
        <v>45</v>
      </c>
      <c r="BC38" s="4">
        <f t="shared" si="35"/>
        <v>42.9</v>
      </c>
      <c r="BD38" s="73">
        <f t="shared" si="36"/>
        <v>40.299999999999997</v>
      </c>
      <c r="BE38" s="73">
        <f t="shared" si="37"/>
        <v>18.970400000000001</v>
      </c>
      <c r="BF38" s="73">
        <f t="shared" si="38"/>
        <v>40.299999999999997</v>
      </c>
      <c r="BG38" s="4"/>
      <c r="BH38" s="4"/>
      <c r="BI38" s="4"/>
      <c r="BJ38" s="4"/>
      <c r="BK38" s="73">
        <f t="shared" si="39"/>
        <v>41.5</v>
      </c>
      <c r="BL38" s="73">
        <f t="shared" si="40"/>
        <v>32.101199999999999</v>
      </c>
      <c r="BM38" s="73">
        <f t="shared" si="41"/>
        <v>41.344999999999999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73">
        <f t="shared" si="42"/>
        <v>26.498999999999999</v>
      </c>
      <c r="CA38" s="73">
        <f t="shared" si="43"/>
        <v>36.5</v>
      </c>
      <c r="CB38" s="73" t="str">
        <f>IFERROR(IF(X38="","",IFERROR(X38*($X$9/100),""))+IF(#REF!="","",IFERROR(#REF!*(#REF!/100),""))+IF(#REF!="","",IFERROR(#REF!*(#REF!/100),"")),"")</f>
        <v/>
      </c>
      <c r="CC38" s="4"/>
      <c r="CD38" s="4"/>
      <c r="CE38" s="4"/>
      <c r="CF38" s="73" t="str">
        <f>IFERROR(IF(#REF!="","",IFERROR(#REF!*(#REF!/100),"")),"")</f>
        <v/>
      </c>
      <c r="CG38" s="73" t="str">
        <f>IFERROR(IF(#REF!="","",IFERROR(#REF!*(#REF!/100),""))+IF(#REF!="","",IFERROR(#REF!*(#REF!/100),"")),"")</f>
        <v/>
      </c>
      <c r="CH38" s="73" t="str">
        <f>IFERROR(IF(F38="","",IFERROR(F38*($F$9/100),""))+IF(I38="","",IFERROR(I38*($I$9/100),""))+IF(#REF!="","",IFERROR(#REF!*(#REF!/100),""))+IF(#REF!="","",IFERROR(#REF!*(#REF!/100),"")),"")</f>
        <v/>
      </c>
      <c r="CI38" s="4"/>
      <c r="CJ38" s="73" t="str">
        <f>IFERROR(IF(#REF!="","",IFERROR(#REF!*(#REF!/100),""))+IF(#REF!="","",IFERROR(#REF!*(#REF!/100),"")),"")</f>
        <v/>
      </c>
      <c r="CK38" s="73" t="str">
        <f>IFERROR(IF(#REF!="","",IFERROR(#REF!*(#REF!/100),"")),"")</f>
        <v/>
      </c>
      <c r="CL38">
        <f t="shared" si="24"/>
        <v>365.41560000000004</v>
      </c>
      <c r="CM38" s="74" t="e">
        <f t="shared" si="44"/>
        <v>#REF!</v>
      </c>
    </row>
    <row r="39" spans="1:91">
      <c r="A39" s="105">
        <v>29</v>
      </c>
      <c r="B39" s="106" t="s">
        <v>237</v>
      </c>
      <c r="C39" s="106" t="s">
        <v>238</v>
      </c>
      <c r="D39" s="66">
        <f>'Penguk.CPMK-Smt1'!D38</f>
        <v>70.959999999999994</v>
      </c>
      <c r="E39" s="66">
        <f>'Penguk.CPMK-Smt1'!E38</f>
        <v>74.33</v>
      </c>
      <c r="F39" s="66">
        <f>'Penguk.CPMK-Smt1'!F39</f>
        <v>85.71</v>
      </c>
      <c r="G39" s="66">
        <f t="shared" si="8"/>
        <v>77.537899999999993</v>
      </c>
      <c r="H39" s="83">
        <f>'Penguk.CPMK-Smt1'!H39</f>
        <v>90.6</v>
      </c>
      <c r="I39" s="83">
        <f>'Penguk.CPMK-Smt1'!I39</f>
        <v>85.7</v>
      </c>
      <c r="J39" s="83">
        <f t="shared" si="9"/>
        <v>88.15</v>
      </c>
      <c r="K39" s="67">
        <f>'Penguk.CPMK-Smt1'!K39</f>
        <v>90</v>
      </c>
      <c r="L39" s="67">
        <f>'Penguk.CPMK-Smt1'!L39</f>
        <v>82.69</v>
      </c>
      <c r="M39" s="67">
        <f t="shared" si="10"/>
        <v>86.344999999999999</v>
      </c>
      <c r="N39" s="68">
        <f>'Penguk.CPMK-Smt1'!N39</f>
        <v>82.03</v>
      </c>
      <c r="O39" s="68">
        <f>'Penguk.CPMK-Smt1'!O38</f>
        <v>87.27</v>
      </c>
      <c r="P39" s="68">
        <f>'Penguk.CPMK-Smt1'!P39</f>
        <v>84.17</v>
      </c>
      <c r="Q39" s="68">
        <f t="shared" si="11"/>
        <v>84.401200000000003</v>
      </c>
      <c r="R39" s="69">
        <f>'Penguk.CPMK-Smt1'!R39</f>
        <v>93</v>
      </c>
      <c r="S39" s="69">
        <f>'Penguk.CPMK-Smt1'!S39</f>
        <v>83</v>
      </c>
      <c r="T39" s="69">
        <f t="shared" si="12"/>
        <v>88</v>
      </c>
      <c r="U39" s="35">
        <f>'Penguk.CPMK-Smt1'!U39</f>
        <v>81.900000000000006</v>
      </c>
      <c r="V39" s="35">
        <f>'Penguk.CPMK-Smt1'!V39</f>
        <v>81.900000000000006</v>
      </c>
      <c r="W39" s="35">
        <f t="shared" si="13"/>
        <v>81.900000000000006</v>
      </c>
      <c r="X39" s="70">
        <f>'Penguk.CPMK-Smt1'!X39</f>
        <v>86.3</v>
      </c>
      <c r="Y39" s="70">
        <f>MK8_BID!E47</f>
        <v>81.900000000000006</v>
      </c>
      <c r="Z39" s="70">
        <f t="shared" si="29"/>
        <v>43.15</v>
      </c>
      <c r="AB39" s="71"/>
      <c r="AC39" s="81" t="str">
        <f t="shared" si="0"/>
        <v/>
      </c>
      <c r="AD39" s="71">
        <f t="shared" si="15"/>
        <v>77.537899999999993</v>
      </c>
      <c r="AE39" s="81">
        <f t="shared" si="1"/>
        <v>0.77537899999999993</v>
      </c>
      <c r="AF39" s="71"/>
      <c r="AG39" s="81" t="str">
        <f t="shared" si="30"/>
        <v/>
      </c>
      <c r="AH39" s="71">
        <f t="shared" si="16"/>
        <v>176.15</v>
      </c>
      <c r="AI39" s="81">
        <f t="shared" si="2"/>
        <v>0.88075000000000003</v>
      </c>
      <c r="AJ39" s="72"/>
      <c r="AK39" s="72"/>
      <c r="AL39" s="72">
        <f t="shared" si="17"/>
        <v>81.900000000000006</v>
      </c>
      <c r="AM39" s="81">
        <f t="shared" si="18"/>
        <v>0.81900000000000006</v>
      </c>
      <c r="AN39" s="72"/>
      <c r="AO39" s="72"/>
      <c r="AP39" s="72">
        <f t="shared" si="19"/>
        <v>45</v>
      </c>
      <c r="AQ39" s="81">
        <f t="shared" si="31"/>
        <v>0.9</v>
      </c>
      <c r="AR39" s="71">
        <f t="shared" si="20"/>
        <v>41.344999999999999</v>
      </c>
      <c r="AS39" s="81">
        <f t="shared" si="32"/>
        <v>0.82689999999999997</v>
      </c>
      <c r="AT39" s="71">
        <f t="shared" si="21"/>
        <v>30.351099999999999</v>
      </c>
      <c r="AU39" s="81">
        <f t="shared" si="5"/>
        <v>0.82029999999999992</v>
      </c>
      <c r="AV39" s="72">
        <f t="shared" si="22"/>
        <v>54.0501</v>
      </c>
      <c r="AW39" s="81">
        <f t="shared" si="6"/>
        <v>0.85793809523809528</v>
      </c>
      <c r="AX39" s="71">
        <f t="shared" si="23"/>
        <v>84.1</v>
      </c>
      <c r="AY39" s="81">
        <f t="shared" si="33"/>
        <v>0.84099999999999997</v>
      </c>
      <c r="BB39" s="4">
        <f t="shared" si="34"/>
        <v>45</v>
      </c>
      <c r="BC39" s="4">
        <f t="shared" si="35"/>
        <v>45.3</v>
      </c>
      <c r="BD39" s="73">
        <f t="shared" si="36"/>
        <v>40.950000000000003</v>
      </c>
      <c r="BE39" s="73">
        <f t="shared" si="37"/>
        <v>16.320799999999998</v>
      </c>
      <c r="BF39" s="73">
        <f t="shared" si="38"/>
        <v>40.950000000000003</v>
      </c>
      <c r="BG39" s="4"/>
      <c r="BH39" s="4"/>
      <c r="BI39" s="4"/>
      <c r="BJ39" s="4"/>
      <c r="BK39" s="73">
        <f t="shared" si="39"/>
        <v>46.5</v>
      </c>
      <c r="BL39" s="73">
        <f t="shared" si="40"/>
        <v>30.351099999999999</v>
      </c>
      <c r="BM39" s="73">
        <f t="shared" si="41"/>
        <v>41.344999999999999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73">
        <f t="shared" si="42"/>
        <v>25.251000000000001</v>
      </c>
      <c r="CA39" s="73">
        <f t="shared" si="43"/>
        <v>41.5</v>
      </c>
      <c r="CB39" s="73" t="str">
        <f>IFERROR(IF(X39="","",IFERROR(X39*($X$9/100),""))+IF(#REF!="","",IFERROR(#REF!*(#REF!/100),""))+IF(#REF!="","",IFERROR(#REF!*(#REF!/100),"")),"")</f>
        <v/>
      </c>
      <c r="CC39" s="4"/>
      <c r="CD39" s="4"/>
      <c r="CE39" s="4"/>
      <c r="CF39" s="73" t="str">
        <f>IFERROR(IF(#REF!="","",IFERROR(#REF!*(#REF!/100),"")),"")</f>
        <v/>
      </c>
      <c r="CG39" s="73" t="str">
        <f>IFERROR(IF(#REF!="","",IFERROR(#REF!*(#REF!/100),""))+IF(#REF!="","",IFERROR(#REF!*(#REF!/100),"")),"")</f>
        <v/>
      </c>
      <c r="CH39" s="73" t="str">
        <f>IFERROR(IF(F39="","",IFERROR(F39*($F$9/100),""))+IF(I39="","",IFERROR(I39*($I$9/100),""))+IF(#REF!="","",IFERROR(#REF!*(#REF!/100),""))+IF(#REF!="","",IFERROR(#REF!*(#REF!/100),"")),"")</f>
        <v/>
      </c>
      <c r="CI39" s="4"/>
      <c r="CJ39" s="73" t="str">
        <f>IFERROR(IF(#REF!="","",IFERROR(#REF!*(#REF!/100),""))+IF(#REF!="","",IFERROR(#REF!*(#REF!/100),"")),"")</f>
        <v/>
      </c>
      <c r="CK39" s="73" t="str">
        <f>IFERROR(IF(#REF!="","",IFERROR(#REF!*(#REF!/100),"")),"")</f>
        <v/>
      </c>
      <c r="CL39">
        <f t="shared" si="24"/>
        <v>373.46789999999999</v>
      </c>
      <c r="CM39" s="74" t="e">
        <f t="shared" si="44"/>
        <v>#REF!</v>
      </c>
    </row>
    <row r="40" spans="1:91">
      <c r="A40" s="105">
        <v>30</v>
      </c>
      <c r="B40" s="106" t="s">
        <v>239</v>
      </c>
      <c r="C40" s="106" t="s">
        <v>240</v>
      </c>
      <c r="D40" s="66">
        <f>'Penguk.CPMK-Smt1'!D39</f>
        <v>78.7</v>
      </c>
      <c r="E40" s="66">
        <f>'Penguk.CPMK-Smt1'!E39</f>
        <v>80.12</v>
      </c>
      <c r="F40" s="66">
        <f>'Penguk.CPMK-Smt1'!F40</f>
        <v>98.29</v>
      </c>
      <c r="G40" s="66">
        <f t="shared" si="8"/>
        <v>86.152900000000002</v>
      </c>
      <c r="H40" s="83">
        <f>'Penguk.CPMK-Smt1'!H40</f>
        <v>92.7</v>
      </c>
      <c r="I40" s="83">
        <f>'Penguk.CPMK-Smt1'!I40</f>
        <v>89.2</v>
      </c>
      <c r="J40" s="83">
        <f t="shared" si="9"/>
        <v>90.95</v>
      </c>
      <c r="K40" s="67">
        <f>'Penguk.CPMK-Smt1'!K40</f>
        <v>90</v>
      </c>
      <c r="L40" s="67">
        <f>'Penguk.CPMK-Smt1'!L40</f>
        <v>82.69</v>
      </c>
      <c r="M40" s="67">
        <f t="shared" si="10"/>
        <v>86.344999999999999</v>
      </c>
      <c r="N40" s="68">
        <f>'Penguk.CPMK-Smt1'!N40</f>
        <v>86.76</v>
      </c>
      <c r="O40" s="68">
        <f>'Penguk.CPMK-Smt1'!O39</f>
        <v>82.73</v>
      </c>
      <c r="P40" s="68">
        <f>'Penguk.CPMK-Smt1'!P40</f>
        <v>88.33</v>
      </c>
      <c r="Q40" s="68">
        <f t="shared" si="11"/>
        <v>85.9011</v>
      </c>
      <c r="R40" s="69">
        <f>'Penguk.CPMK-Smt1'!R40</f>
        <v>83</v>
      </c>
      <c r="S40" s="69">
        <f>'Penguk.CPMK-Smt1'!S40</f>
        <v>73</v>
      </c>
      <c r="T40" s="69">
        <f t="shared" si="12"/>
        <v>78</v>
      </c>
      <c r="U40" s="35">
        <f>'Penguk.CPMK-Smt1'!U40</f>
        <v>86.3</v>
      </c>
      <c r="V40" s="35">
        <f>'Penguk.CPMK-Smt1'!V40</f>
        <v>86.3</v>
      </c>
      <c r="W40" s="35">
        <f t="shared" si="13"/>
        <v>86.3</v>
      </c>
      <c r="X40" s="70">
        <f>'Penguk.CPMK-Smt1'!X40</f>
        <v>79</v>
      </c>
      <c r="Y40" s="70">
        <f>MK8_BID!E48</f>
        <v>86.3</v>
      </c>
      <c r="Z40" s="70">
        <f t="shared" si="29"/>
        <v>39.5</v>
      </c>
      <c r="AB40" s="71"/>
      <c r="AC40" s="81" t="str">
        <f t="shared" si="0"/>
        <v/>
      </c>
      <c r="AD40" s="71">
        <f t="shared" si="15"/>
        <v>86.152900000000002</v>
      </c>
      <c r="AE40" s="81">
        <f t="shared" si="1"/>
        <v>0.86152899999999999</v>
      </c>
      <c r="AF40" s="71"/>
      <c r="AG40" s="81" t="str">
        <f t="shared" si="30"/>
        <v/>
      </c>
      <c r="AH40" s="71">
        <f t="shared" si="16"/>
        <v>168.95</v>
      </c>
      <c r="AI40" s="81">
        <f t="shared" si="2"/>
        <v>0.84474999999999989</v>
      </c>
      <c r="AJ40" s="72"/>
      <c r="AK40" s="72"/>
      <c r="AL40" s="72">
        <f t="shared" si="17"/>
        <v>86.3</v>
      </c>
      <c r="AM40" s="81">
        <f t="shared" si="18"/>
        <v>0.86299999999999999</v>
      </c>
      <c r="AN40" s="72"/>
      <c r="AO40" s="72"/>
      <c r="AP40" s="72">
        <f t="shared" si="19"/>
        <v>45</v>
      </c>
      <c r="AQ40" s="81">
        <f t="shared" si="31"/>
        <v>0.9</v>
      </c>
      <c r="AR40" s="71">
        <f t="shared" si="20"/>
        <v>41.344999999999999</v>
      </c>
      <c r="AS40" s="81">
        <f t="shared" si="32"/>
        <v>0.82689999999999997</v>
      </c>
      <c r="AT40" s="71">
        <f t="shared" si="21"/>
        <v>32.101199999999999</v>
      </c>
      <c r="AU40" s="81">
        <f t="shared" si="5"/>
        <v>0.86759999999999993</v>
      </c>
      <c r="AV40" s="72">
        <f t="shared" si="22"/>
        <v>53.799900000000001</v>
      </c>
      <c r="AW40" s="81">
        <f t="shared" si="6"/>
        <v>0.85396666666666665</v>
      </c>
      <c r="AX40" s="71">
        <f t="shared" si="23"/>
        <v>82.65</v>
      </c>
      <c r="AY40" s="81">
        <f t="shared" si="33"/>
        <v>0.82650000000000001</v>
      </c>
      <c r="BB40" s="4">
        <f t="shared" si="34"/>
        <v>45</v>
      </c>
      <c r="BC40" s="4">
        <f t="shared" si="35"/>
        <v>46.35</v>
      </c>
      <c r="BD40" s="73">
        <f t="shared" si="36"/>
        <v>43.15</v>
      </c>
      <c r="BE40" s="73">
        <f t="shared" si="37"/>
        <v>18.101000000000003</v>
      </c>
      <c r="BF40" s="73">
        <f t="shared" si="38"/>
        <v>43.15</v>
      </c>
      <c r="BG40" s="4"/>
      <c r="BH40" s="4"/>
      <c r="BI40" s="4"/>
      <c r="BJ40" s="4"/>
      <c r="BK40" s="73">
        <f t="shared" si="39"/>
        <v>41.5</v>
      </c>
      <c r="BL40" s="73">
        <f t="shared" si="40"/>
        <v>32.101199999999999</v>
      </c>
      <c r="BM40" s="73">
        <f t="shared" si="41"/>
        <v>41.344999999999999</v>
      </c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73">
        <f t="shared" si="42"/>
        <v>26.498999999999999</v>
      </c>
      <c r="CA40" s="73">
        <f t="shared" si="43"/>
        <v>36.5</v>
      </c>
      <c r="CB40" s="73" t="str">
        <f>IFERROR(IF(X40="","",IFERROR(X40*($X$9/100),""))+IF(#REF!="","",IFERROR(#REF!*(#REF!/100),""))+IF(#REF!="","",IFERROR(#REF!*(#REF!/100),"")),"")</f>
        <v/>
      </c>
      <c r="CC40" s="4"/>
      <c r="CD40" s="4"/>
      <c r="CE40" s="4"/>
      <c r="CF40" s="73" t="str">
        <f>IFERROR(IF(#REF!="","",IFERROR(#REF!*(#REF!/100),"")),"")</f>
        <v/>
      </c>
      <c r="CG40" s="73" t="str">
        <f>IFERROR(IF(#REF!="","",IFERROR(#REF!*(#REF!/100),""))+IF(#REF!="","",IFERROR(#REF!*(#REF!/100),"")),"")</f>
        <v/>
      </c>
      <c r="CH40" s="73" t="str">
        <f>IFERROR(IF(F40="","",IFERROR(F40*($F$9/100),""))+IF(I40="","",IFERROR(I40*($I$9/100),""))+IF(#REF!="","",IFERROR(#REF!*(#REF!/100),""))+IF(#REF!="","",IFERROR(#REF!*(#REF!/100),"")),"")</f>
        <v/>
      </c>
      <c r="CI40" s="4"/>
      <c r="CJ40" s="73" t="str">
        <f>IFERROR(IF(#REF!="","",IFERROR(#REF!*(#REF!/100),""))+IF(#REF!="","",IFERROR(#REF!*(#REF!/100),"")),"")</f>
        <v/>
      </c>
      <c r="CK40" s="73" t="str">
        <f>IFERROR(IF(#REF!="","",IFERROR(#REF!*(#REF!/100),"")),"")</f>
        <v/>
      </c>
      <c r="CL40">
        <f t="shared" si="24"/>
        <v>373.69619999999998</v>
      </c>
      <c r="CM40" s="74" t="e">
        <f t="shared" si="44"/>
        <v>#REF!</v>
      </c>
    </row>
    <row r="41" spans="1:91">
      <c r="A41" s="105">
        <v>31</v>
      </c>
      <c r="B41" s="106" t="s">
        <v>241</v>
      </c>
      <c r="C41" s="106" t="s">
        <v>242</v>
      </c>
      <c r="D41" s="66">
        <f>'Penguk.CPMK-Smt1'!D40</f>
        <v>95.43</v>
      </c>
      <c r="E41" s="66">
        <f>'Penguk.CPMK-Smt1'!E40</f>
        <v>95.71</v>
      </c>
      <c r="F41" s="66">
        <f>'Penguk.CPMK-Smt1'!F41</f>
        <v>84.86</v>
      </c>
      <c r="G41" s="66">
        <f t="shared" si="8"/>
        <v>91.848099999999988</v>
      </c>
      <c r="H41" s="83">
        <f>'Penguk.CPMK-Smt1'!H41</f>
        <v>91.9</v>
      </c>
      <c r="I41" s="83">
        <f>'Penguk.CPMK-Smt1'!I41</f>
        <v>92.1</v>
      </c>
      <c r="J41" s="83">
        <f t="shared" si="9"/>
        <v>92</v>
      </c>
      <c r="K41" s="67">
        <f>'Penguk.CPMK-Smt1'!K41</f>
        <v>90</v>
      </c>
      <c r="L41" s="67">
        <f>'Penguk.CPMK-Smt1'!L41</f>
        <v>82.05</v>
      </c>
      <c r="M41" s="67">
        <f t="shared" si="10"/>
        <v>86.025000000000006</v>
      </c>
      <c r="N41" s="68">
        <f>'Penguk.CPMK-Smt1'!N41</f>
        <v>85.81</v>
      </c>
      <c r="O41" s="68">
        <f>'Penguk.CPMK-Smt1'!O39</f>
        <v>82.73</v>
      </c>
      <c r="P41" s="68">
        <f>'Penguk.CPMK-Smt1'!P41</f>
        <v>87.5</v>
      </c>
      <c r="Q41" s="68">
        <f t="shared" si="11"/>
        <v>85.300600000000003</v>
      </c>
      <c r="R41" s="69">
        <f>'Penguk.CPMK-Smt1'!R41</f>
        <v>83</v>
      </c>
      <c r="S41" s="69">
        <f>'Penguk.CPMK-Smt1'!S41</f>
        <v>73</v>
      </c>
      <c r="T41" s="69">
        <f t="shared" si="12"/>
        <v>78</v>
      </c>
      <c r="U41" s="35">
        <f>'Penguk.CPMK-Smt1'!U41</f>
        <v>79</v>
      </c>
      <c r="V41" s="35">
        <f>'Penguk.CPMK-Smt1'!V41</f>
        <v>79</v>
      </c>
      <c r="W41" s="35">
        <f t="shared" si="13"/>
        <v>79</v>
      </c>
      <c r="X41" s="70">
        <f>'Penguk.CPMK-Smt1'!X41</f>
        <v>79.2</v>
      </c>
      <c r="Y41" s="70">
        <f>MK8_BID!E49</f>
        <v>79</v>
      </c>
      <c r="Z41" s="70">
        <f t="shared" si="29"/>
        <v>39.6</v>
      </c>
      <c r="AB41" s="71"/>
      <c r="AC41" s="81" t="str">
        <f t="shared" si="0"/>
        <v/>
      </c>
      <c r="AD41" s="71">
        <f t="shared" si="15"/>
        <v>91.848099999999988</v>
      </c>
      <c r="AE41" s="81">
        <f t="shared" si="1"/>
        <v>0.91848099999999988</v>
      </c>
      <c r="AF41" s="71"/>
      <c r="AG41" s="81" t="str">
        <f t="shared" si="30"/>
        <v/>
      </c>
      <c r="AH41" s="71">
        <f t="shared" si="16"/>
        <v>170</v>
      </c>
      <c r="AI41" s="81">
        <f t="shared" si="2"/>
        <v>0.85</v>
      </c>
      <c r="AJ41" s="72"/>
      <c r="AK41" s="72"/>
      <c r="AL41" s="72">
        <f t="shared" si="17"/>
        <v>79</v>
      </c>
      <c r="AM41" s="81">
        <f t="shared" si="18"/>
        <v>0.79</v>
      </c>
      <c r="AN41" s="72"/>
      <c r="AO41" s="72"/>
      <c r="AP41" s="72">
        <f t="shared" si="19"/>
        <v>45</v>
      </c>
      <c r="AQ41" s="81">
        <f t="shared" si="31"/>
        <v>0.9</v>
      </c>
      <c r="AR41" s="71">
        <f t="shared" si="20"/>
        <v>41.024999999999999</v>
      </c>
      <c r="AS41" s="81">
        <f t="shared" si="32"/>
        <v>0.82050000000000001</v>
      </c>
      <c r="AT41" s="71">
        <f t="shared" si="21"/>
        <v>31.749700000000001</v>
      </c>
      <c r="AU41" s="81">
        <f t="shared" si="5"/>
        <v>0.85809999999999997</v>
      </c>
      <c r="AV41" s="72">
        <f t="shared" si="22"/>
        <v>53.550899999999999</v>
      </c>
      <c r="AW41" s="81">
        <f t="shared" si="6"/>
        <v>0.85001428571428572</v>
      </c>
      <c r="AX41" s="71">
        <f t="shared" si="23"/>
        <v>79.099999999999994</v>
      </c>
      <c r="AY41" s="81">
        <f t="shared" si="33"/>
        <v>0.79099999999999993</v>
      </c>
      <c r="BB41" s="4">
        <f t="shared" si="34"/>
        <v>45</v>
      </c>
      <c r="BC41" s="4">
        <f t="shared" si="35"/>
        <v>45.95</v>
      </c>
      <c r="BD41" s="73">
        <f t="shared" si="36"/>
        <v>39.5</v>
      </c>
      <c r="BE41" s="73">
        <f t="shared" si="37"/>
        <v>21.948900000000002</v>
      </c>
      <c r="BF41" s="73">
        <f t="shared" si="38"/>
        <v>39.5</v>
      </c>
      <c r="BG41" s="4"/>
      <c r="BH41" s="4"/>
      <c r="BI41" s="4"/>
      <c r="BJ41" s="4"/>
      <c r="BK41" s="73">
        <f t="shared" si="39"/>
        <v>41.5</v>
      </c>
      <c r="BL41" s="73">
        <f t="shared" si="40"/>
        <v>31.749700000000001</v>
      </c>
      <c r="BM41" s="73">
        <f t="shared" si="41"/>
        <v>41.024999999999999</v>
      </c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73">
        <f t="shared" si="42"/>
        <v>26.25</v>
      </c>
      <c r="CA41" s="73">
        <f t="shared" si="43"/>
        <v>36.5</v>
      </c>
      <c r="CB41" s="73" t="str">
        <f>IFERROR(IF(X41="","",IFERROR(X41*($X$9/100),""))+IF(#REF!="","",IFERROR(#REF!*(#REF!/100),""))+IF(#REF!="","",IFERROR(#REF!*(#REF!/100),"")),"")</f>
        <v/>
      </c>
      <c r="CC41" s="4"/>
      <c r="CD41" s="4"/>
      <c r="CE41" s="4"/>
      <c r="CF41" s="73" t="str">
        <f>IFERROR(IF(#REF!="","",IFERROR(#REF!*(#REF!/100),"")),"")</f>
        <v/>
      </c>
      <c r="CG41" s="73" t="str">
        <f>IFERROR(IF(#REF!="","",IFERROR(#REF!*(#REF!/100),""))+IF(#REF!="","",IFERROR(#REF!*(#REF!/100),"")),"")</f>
        <v/>
      </c>
      <c r="CH41" s="73" t="str">
        <f>IFERROR(IF(F41="","",IFERROR(F41*($F$9/100),""))+IF(I41="","",IFERROR(I41*($I$9/100),""))+IF(#REF!="","",IFERROR(#REF!*(#REF!/100),""))+IF(#REF!="","",IFERROR(#REF!*(#REF!/100),"")),"")</f>
        <v/>
      </c>
      <c r="CI41" s="4"/>
      <c r="CJ41" s="73" t="str">
        <f>IFERROR(IF(#REF!="","",IFERROR(#REF!*(#REF!/100),""))+IF(#REF!="","",IFERROR(#REF!*(#REF!/100),"")),"")</f>
        <v/>
      </c>
      <c r="CK41" s="73" t="str">
        <f>IFERROR(IF(#REF!="","",IFERROR(#REF!*(#REF!/100),"")),"")</f>
        <v/>
      </c>
      <c r="CL41">
        <f t="shared" si="24"/>
        <v>368.92359999999996</v>
      </c>
      <c r="CM41" s="74" t="e">
        <f t="shared" si="44"/>
        <v>#REF!</v>
      </c>
    </row>
    <row r="42" spans="1:91">
      <c r="A42" s="105">
        <v>32</v>
      </c>
      <c r="B42" s="106" t="s">
        <v>243</v>
      </c>
      <c r="C42" s="106" t="s">
        <v>244</v>
      </c>
      <c r="D42" s="66">
        <f>'Penguk.CPMK-Smt1'!D41</f>
        <v>88.48</v>
      </c>
      <c r="E42" s="66">
        <f>'Penguk.CPMK-Smt1'!E41</f>
        <v>86.31</v>
      </c>
      <c r="F42" s="66">
        <f>'Penguk.CPMK-Smt1'!F42</f>
        <v>84.6</v>
      </c>
      <c r="G42" s="66">
        <f t="shared" si="8"/>
        <v>86.210599999999999</v>
      </c>
      <c r="H42" s="83">
        <f>'Penguk.CPMK-Smt1'!H42</f>
        <v>89.3</v>
      </c>
      <c r="I42" s="83">
        <f>'Penguk.CPMK-Smt1'!I42</f>
        <v>88.4</v>
      </c>
      <c r="J42" s="83">
        <f t="shared" si="9"/>
        <v>88.85</v>
      </c>
      <c r="K42" s="67">
        <f>'Penguk.CPMK-Smt1'!K42</f>
        <v>90</v>
      </c>
      <c r="L42" s="67">
        <f>'Penguk.CPMK-Smt1'!L42</f>
        <v>82.69</v>
      </c>
      <c r="M42" s="67">
        <f t="shared" si="10"/>
        <v>86.344999999999999</v>
      </c>
      <c r="N42" s="68">
        <f>'Penguk.CPMK-Smt1'!N42</f>
        <v>83.92</v>
      </c>
      <c r="O42" s="68">
        <f>'Penguk.CPMK-Smt1'!O40</f>
        <v>87.27</v>
      </c>
      <c r="P42" s="68">
        <f>'Penguk.CPMK-Smt1'!P42</f>
        <v>85.83</v>
      </c>
      <c r="Q42" s="68">
        <f t="shared" si="11"/>
        <v>85.598500000000001</v>
      </c>
      <c r="R42" s="69">
        <f>'Penguk.CPMK-Smt1'!R42</f>
        <v>84.9</v>
      </c>
      <c r="S42" s="69">
        <f>'Penguk.CPMK-Smt1'!S42</f>
        <v>65.400000000000006</v>
      </c>
      <c r="T42" s="69">
        <f t="shared" si="12"/>
        <v>75.150000000000006</v>
      </c>
      <c r="U42" s="35">
        <f>'Penguk.CPMK-Smt1'!U42</f>
        <v>79.2</v>
      </c>
      <c r="V42" s="35">
        <f>'Penguk.CPMK-Smt1'!V42</f>
        <v>79.2</v>
      </c>
      <c r="W42" s="35">
        <f t="shared" si="13"/>
        <v>79.2</v>
      </c>
      <c r="X42" s="70">
        <f>'Penguk.CPMK-Smt1'!X42</f>
        <v>89.7</v>
      </c>
      <c r="Y42" s="70">
        <f>MK8_BID!E50</f>
        <v>79.2</v>
      </c>
      <c r="Z42" s="70">
        <f t="shared" si="29"/>
        <v>44.85</v>
      </c>
      <c r="AB42" s="71"/>
      <c r="AC42" s="81" t="str">
        <f t="shared" si="0"/>
        <v/>
      </c>
      <c r="AD42" s="71">
        <f t="shared" si="15"/>
        <v>86.210599999999999</v>
      </c>
      <c r="AE42" s="81">
        <f t="shared" si="1"/>
        <v>0.86210600000000004</v>
      </c>
      <c r="AF42" s="71"/>
      <c r="AG42" s="81" t="str">
        <f t="shared" si="30"/>
        <v/>
      </c>
      <c r="AH42" s="71">
        <f t="shared" si="16"/>
        <v>164</v>
      </c>
      <c r="AI42" s="81">
        <f t="shared" si="2"/>
        <v>0.82</v>
      </c>
      <c r="AJ42" s="72"/>
      <c r="AK42" s="72"/>
      <c r="AL42" s="72">
        <f t="shared" si="17"/>
        <v>79.2</v>
      </c>
      <c r="AM42" s="81">
        <f t="shared" si="18"/>
        <v>0.79200000000000004</v>
      </c>
      <c r="AN42" s="72"/>
      <c r="AO42" s="72"/>
      <c r="AP42" s="72">
        <f t="shared" si="19"/>
        <v>45</v>
      </c>
      <c r="AQ42" s="81">
        <f t="shared" si="31"/>
        <v>0.9</v>
      </c>
      <c r="AR42" s="71">
        <f t="shared" si="20"/>
        <v>41.344999999999999</v>
      </c>
      <c r="AS42" s="81">
        <f t="shared" si="32"/>
        <v>0.82689999999999997</v>
      </c>
      <c r="AT42" s="71">
        <f t="shared" si="21"/>
        <v>31.0504</v>
      </c>
      <c r="AU42" s="81">
        <f t="shared" si="5"/>
        <v>0.83919999999999995</v>
      </c>
      <c r="AV42" s="72">
        <f t="shared" si="22"/>
        <v>54.548099999999998</v>
      </c>
      <c r="AW42" s="81">
        <f t="shared" si="6"/>
        <v>0.86584285714285714</v>
      </c>
      <c r="AX42" s="71">
        <f t="shared" si="23"/>
        <v>84.45</v>
      </c>
      <c r="AY42" s="81">
        <f t="shared" si="33"/>
        <v>0.84450000000000003</v>
      </c>
      <c r="BB42" s="4">
        <f t="shared" si="34"/>
        <v>45</v>
      </c>
      <c r="BC42" s="4">
        <f t="shared" si="35"/>
        <v>44.65</v>
      </c>
      <c r="BD42" s="73">
        <f t="shared" si="36"/>
        <v>39.6</v>
      </c>
      <c r="BE42" s="73">
        <f t="shared" si="37"/>
        <v>20.3504</v>
      </c>
      <c r="BF42" s="73">
        <f t="shared" si="38"/>
        <v>39.6</v>
      </c>
      <c r="BG42" s="4"/>
      <c r="BH42" s="4"/>
      <c r="BI42" s="4"/>
      <c r="BJ42" s="4"/>
      <c r="BK42" s="73">
        <f t="shared" si="39"/>
        <v>42.45</v>
      </c>
      <c r="BL42" s="73">
        <f t="shared" si="40"/>
        <v>31.0504</v>
      </c>
      <c r="BM42" s="73">
        <f t="shared" si="41"/>
        <v>41.344999999999999</v>
      </c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73">
        <f t="shared" si="42"/>
        <v>25.748999999999999</v>
      </c>
      <c r="CA42" s="73">
        <f t="shared" si="43"/>
        <v>32.700000000000003</v>
      </c>
      <c r="CB42" s="73" t="str">
        <f>IFERROR(IF(X42="","",IFERROR(X42*($X$9/100),""))+IF(#REF!="","",IFERROR(#REF!*(#REF!/100),""))+IF(#REF!="","",IFERROR(#REF!*(#REF!/100),"")),"")</f>
        <v/>
      </c>
      <c r="CC42" s="4"/>
      <c r="CD42" s="4"/>
      <c r="CE42" s="4"/>
      <c r="CF42" s="73" t="str">
        <f>IFERROR(IF(#REF!="","",IFERROR(#REF!*(#REF!/100),"")),"")</f>
        <v/>
      </c>
      <c r="CG42" s="73" t="str">
        <f>IFERROR(IF(#REF!="","",IFERROR(#REF!*(#REF!/100),""))+IF(#REF!="","",IFERROR(#REF!*(#REF!/100),"")),"")</f>
        <v/>
      </c>
      <c r="CH42" s="73" t="str">
        <f>IFERROR(IF(F42="","",IFERROR(F42*($F$9/100),""))+IF(I42="","",IFERROR(I42*($I$9/100),""))+IF(#REF!="","",IFERROR(#REF!*(#REF!/100),""))+IF(#REF!="","",IFERROR(#REF!*(#REF!/100),"")),"")</f>
        <v/>
      </c>
      <c r="CI42" s="4"/>
      <c r="CJ42" s="73" t="str">
        <f>IFERROR(IF(#REF!="","",IFERROR(#REF!*(#REF!/100),""))+IF(#REF!="","",IFERROR(#REF!*(#REF!/100),"")),"")</f>
        <v/>
      </c>
      <c r="CK42" s="73" t="str">
        <f>IFERROR(IF(#REF!="","",IFERROR(#REF!*(#REF!/100),"")),"")</f>
        <v/>
      </c>
      <c r="CL42">
        <f t="shared" si="24"/>
        <v>362.4948</v>
      </c>
      <c r="CM42" s="74" t="e">
        <f t="shared" si="44"/>
        <v>#REF!</v>
      </c>
    </row>
    <row r="43" spans="1:91" ht="14.5" thickBot="1">
      <c r="AP43" s="72"/>
      <c r="AX43" s="71">
        <f t="shared" si="23"/>
        <v>0</v>
      </c>
    </row>
    <row r="44" spans="1:91" ht="14.5" hidden="1" thickBot="1">
      <c r="D44" s="33" t="str">
        <f>D8</f>
        <v>CPMK022</v>
      </c>
      <c r="F44" s="33" t="str">
        <f>F8</f>
        <v>CPMK025</v>
      </c>
      <c r="H44" s="33" t="str">
        <f>H8</f>
        <v>CPMK44</v>
      </c>
      <c r="I44" s="33" t="str">
        <f>I8</f>
        <v>CPMK46</v>
      </c>
      <c r="K44" s="33" t="str">
        <f>K8</f>
        <v>CPMK81</v>
      </c>
      <c r="L44" s="33" t="str">
        <f>L8</f>
        <v>CPMK91</v>
      </c>
      <c r="N44" s="33" t="str">
        <f>N8</f>
        <v>CPMK104</v>
      </c>
      <c r="P44" s="33" t="str">
        <f>P8</f>
        <v>CPMK112</v>
      </c>
      <c r="R44" s="33" t="str">
        <f>R8</f>
        <v>CPMK41</v>
      </c>
      <c r="S44" s="33" t="str">
        <f>S8</f>
        <v>CPMK42</v>
      </c>
      <c r="U44" s="33" t="str">
        <f>U8</f>
        <v>CPMK61</v>
      </c>
      <c r="V44" s="33" t="str">
        <f>V8</f>
        <v>CPMK62</v>
      </c>
      <c r="X44" s="33" t="str">
        <f>X8</f>
        <v>CPMK121</v>
      </c>
      <c r="AP44" s="72" t="str">
        <f t="shared" ref="AP44:AP53" si="45">IFERROR((K44*($K$9/100)+L44*($L$9/100)),"")</f>
        <v/>
      </c>
    </row>
    <row r="45" spans="1:91" ht="14.5" hidden="1" thickBot="1">
      <c r="C45" s="38" t="s">
        <v>167</v>
      </c>
      <c r="D45" s="39">
        <f>COUNTIF(D11:D40,$C$45)</f>
        <v>3</v>
      </c>
      <c r="E45" s="39"/>
      <c r="F45" s="39">
        <f t="shared" ref="F45:N45" si="46">COUNTIF(F11:F40,$C$45)</f>
        <v>6</v>
      </c>
      <c r="G45" s="39">
        <f t="shared" si="46"/>
        <v>3</v>
      </c>
      <c r="H45" s="39">
        <f t="shared" si="46"/>
        <v>4</v>
      </c>
      <c r="I45" s="39">
        <f t="shared" si="46"/>
        <v>3</v>
      </c>
      <c r="J45" s="39">
        <f t="shared" si="46"/>
        <v>3</v>
      </c>
      <c r="K45" s="39">
        <f t="shared" si="46"/>
        <v>2</v>
      </c>
      <c r="L45" s="39">
        <f t="shared" si="46"/>
        <v>2</v>
      </c>
      <c r="M45" s="39">
        <f t="shared" si="46"/>
        <v>1</v>
      </c>
      <c r="N45" s="39">
        <f t="shared" si="46"/>
        <v>3</v>
      </c>
      <c r="O45" s="39"/>
      <c r="P45" s="39">
        <f t="shared" ref="P45:X45" si="47">COUNTIF(P11:P40,$C$45)</f>
        <v>4</v>
      </c>
      <c r="Q45" s="39">
        <f t="shared" si="47"/>
        <v>4</v>
      </c>
      <c r="R45" s="39">
        <f t="shared" si="47"/>
        <v>1</v>
      </c>
      <c r="S45" s="39">
        <f t="shared" si="47"/>
        <v>1</v>
      </c>
      <c r="T45" s="39">
        <f t="shared" si="47"/>
        <v>1</v>
      </c>
      <c r="U45" s="39">
        <f t="shared" si="47"/>
        <v>6</v>
      </c>
      <c r="V45" s="39">
        <f t="shared" si="47"/>
        <v>1</v>
      </c>
      <c r="W45" s="39">
        <f t="shared" si="47"/>
        <v>1</v>
      </c>
      <c r="X45" s="39">
        <f t="shared" si="47"/>
        <v>6</v>
      </c>
      <c r="Y45" s="39"/>
      <c r="Z45" s="39">
        <f>COUNTIF(Z11:Z40,$C$45)</f>
        <v>29</v>
      </c>
      <c r="AP45" s="72">
        <f t="shared" si="45"/>
        <v>2</v>
      </c>
    </row>
    <row r="46" spans="1:91" ht="14.5" hidden="1" thickBot="1">
      <c r="C46" s="40" t="s">
        <v>95</v>
      </c>
      <c r="D46" s="41">
        <f>COUNTIF(D11:D40,$C$46)-D45</f>
        <v>21</v>
      </c>
      <c r="E46" s="41"/>
      <c r="F46" s="41">
        <f t="shared" ref="F46:N46" si="48">COUNTIF(F11:F40,$C$46)-F45</f>
        <v>17</v>
      </c>
      <c r="G46" s="41">
        <f t="shared" si="48"/>
        <v>23</v>
      </c>
      <c r="H46" s="41">
        <f t="shared" si="48"/>
        <v>17</v>
      </c>
      <c r="I46" s="41">
        <f t="shared" si="48"/>
        <v>20</v>
      </c>
      <c r="J46" s="41">
        <f t="shared" si="48"/>
        <v>20</v>
      </c>
      <c r="K46" s="41">
        <f t="shared" si="48"/>
        <v>20</v>
      </c>
      <c r="L46" s="41">
        <f t="shared" si="48"/>
        <v>26</v>
      </c>
      <c r="M46" s="41">
        <f t="shared" si="48"/>
        <v>23</v>
      </c>
      <c r="N46" s="41">
        <f t="shared" si="48"/>
        <v>23</v>
      </c>
      <c r="O46" s="41"/>
      <c r="P46" s="41">
        <f t="shared" ref="P46:X46" si="49">COUNTIF(P11:P40,$C$46)-P45</f>
        <v>18</v>
      </c>
      <c r="Q46" s="41">
        <f t="shared" si="49"/>
        <v>24</v>
      </c>
      <c r="R46" s="41">
        <f t="shared" si="49"/>
        <v>17</v>
      </c>
      <c r="S46" s="41">
        <f t="shared" si="49"/>
        <v>18</v>
      </c>
      <c r="T46" s="41">
        <f t="shared" si="49"/>
        <v>17</v>
      </c>
      <c r="U46" s="41">
        <f t="shared" si="49"/>
        <v>22</v>
      </c>
      <c r="V46" s="41">
        <f t="shared" si="49"/>
        <v>15</v>
      </c>
      <c r="W46" s="41">
        <f t="shared" si="49"/>
        <v>23</v>
      </c>
      <c r="X46" s="41">
        <f t="shared" si="49"/>
        <v>22</v>
      </c>
      <c r="Y46" s="41"/>
      <c r="Z46" s="41">
        <f>COUNTIF(Z11:Z40,$C$46)-Z45</f>
        <v>0</v>
      </c>
      <c r="AP46" s="72">
        <f t="shared" si="45"/>
        <v>23</v>
      </c>
    </row>
    <row r="47" spans="1:91" ht="14.5" hidden="1" thickBot="1">
      <c r="C47" s="43" t="s">
        <v>96</v>
      </c>
      <c r="D47" s="44">
        <f>COUNTIF(D11:D40,$C$47)</f>
        <v>6</v>
      </c>
      <c r="E47" s="44"/>
      <c r="F47" s="44">
        <f t="shared" ref="F47:N47" si="50">COUNTIF(F11:F40,$C$47)</f>
        <v>7</v>
      </c>
      <c r="G47" s="44">
        <f t="shared" si="50"/>
        <v>4</v>
      </c>
      <c r="H47" s="44">
        <f t="shared" si="50"/>
        <v>9</v>
      </c>
      <c r="I47" s="44">
        <f t="shared" si="50"/>
        <v>7</v>
      </c>
      <c r="J47" s="44">
        <f t="shared" si="50"/>
        <v>7</v>
      </c>
      <c r="K47" s="44">
        <f t="shared" si="50"/>
        <v>8</v>
      </c>
      <c r="L47" s="44">
        <f t="shared" si="50"/>
        <v>2</v>
      </c>
      <c r="M47" s="44">
        <f t="shared" si="50"/>
        <v>6</v>
      </c>
      <c r="N47" s="44">
        <f t="shared" si="50"/>
        <v>4</v>
      </c>
      <c r="O47" s="44"/>
      <c r="P47" s="44">
        <f t="shared" ref="P47:X47" si="51">COUNTIF(P11:P40,$C$47)</f>
        <v>8</v>
      </c>
      <c r="Q47" s="44">
        <f t="shared" si="51"/>
        <v>2</v>
      </c>
      <c r="R47" s="44">
        <f t="shared" si="51"/>
        <v>12</v>
      </c>
      <c r="S47" s="44">
        <f t="shared" si="51"/>
        <v>11</v>
      </c>
      <c r="T47" s="44">
        <f t="shared" si="51"/>
        <v>12</v>
      </c>
      <c r="U47" s="44">
        <f t="shared" si="51"/>
        <v>2</v>
      </c>
      <c r="V47" s="44">
        <f t="shared" si="51"/>
        <v>14</v>
      </c>
      <c r="W47" s="44">
        <f t="shared" si="51"/>
        <v>6</v>
      </c>
      <c r="X47" s="44">
        <f t="shared" si="51"/>
        <v>2</v>
      </c>
      <c r="Y47" s="44"/>
      <c r="Z47" s="44">
        <f>COUNTIF(Z11:Z40,$C$47)</f>
        <v>1</v>
      </c>
      <c r="AP47" s="72">
        <f t="shared" si="45"/>
        <v>5</v>
      </c>
    </row>
    <row r="48" spans="1:91" ht="14.5" hidden="1" thickBot="1">
      <c r="C48" s="45" t="s">
        <v>74</v>
      </c>
      <c r="D48" s="46">
        <f t="shared" ref="D48:Z48" si="52">SUM(D45:D47)</f>
        <v>30</v>
      </c>
      <c r="E48" s="46"/>
      <c r="F48" s="46">
        <f t="shared" si="52"/>
        <v>30</v>
      </c>
      <c r="G48" s="46">
        <f t="shared" si="52"/>
        <v>30</v>
      </c>
      <c r="H48" s="46">
        <f t="shared" si="52"/>
        <v>30</v>
      </c>
      <c r="I48" s="46">
        <f t="shared" si="52"/>
        <v>30</v>
      </c>
      <c r="J48" s="46">
        <f t="shared" si="52"/>
        <v>30</v>
      </c>
      <c r="K48" s="46">
        <f t="shared" si="52"/>
        <v>30</v>
      </c>
      <c r="L48" s="46">
        <f t="shared" si="52"/>
        <v>30</v>
      </c>
      <c r="M48" s="46">
        <f t="shared" si="52"/>
        <v>30</v>
      </c>
      <c r="N48" s="46">
        <f t="shared" si="52"/>
        <v>30</v>
      </c>
      <c r="O48" s="46"/>
      <c r="P48" s="46">
        <f t="shared" si="52"/>
        <v>30</v>
      </c>
      <c r="Q48" s="46">
        <f t="shared" si="52"/>
        <v>30</v>
      </c>
      <c r="R48" s="46">
        <f t="shared" si="52"/>
        <v>30</v>
      </c>
      <c r="S48" s="46">
        <f t="shared" si="52"/>
        <v>30</v>
      </c>
      <c r="T48" s="46">
        <f t="shared" si="52"/>
        <v>30</v>
      </c>
      <c r="U48" s="46">
        <f t="shared" si="52"/>
        <v>30</v>
      </c>
      <c r="V48" s="46">
        <f t="shared" si="52"/>
        <v>30</v>
      </c>
      <c r="W48" s="46">
        <f t="shared" si="52"/>
        <v>30</v>
      </c>
      <c r="X48" s="46">
        <f t="shared" si="52"/>
        <v>30</v>
      </c>
      <c r="Y48" s="46"/>
      <c r="Z48" s="46">
        <f t="shared" si="52"/>
        <v>30</v>
      </c>
      <c r="AP48" s="72">
        <f t="shared" si="45"/>
        <v>30</v>
      </c>
    </row>
    <row r="49" spans="3:91" ht="14.5" hidden="1" thickBot="1">
      <c r="C49" s="47"/>
      <c r="D49" s="47"/>
      <c r="E49" s="47"/>
      <c r="F49" s="47"/>
      <c r="G49" s="47"/>
      <c r="AP49" s="72">
        <f t="shared" si="45"/>
        <v>0</v>
      </c>
    </row>
    <row r="50" spans="3:91" ht="14.5" hidden="1" thickBot="1">
      <c r="C50" s="48" t="s">
        <v>97</v>
      </c>
      <c r="D50" s="49">
        <f>(D46+D47)/D48</f>
        <v>0.9</v>
      </c>
      <c r="E50" s="49"/>
      <c r="F50" s="49">
        <f t="shared" ref="F50:Z50" si="53">(F46+F47)/F48</f>
        <v>0.8</v>
      </c>
      <c r="G50" s="49">
        <f t="shared" si="53"/>
        <v>0.9</v>
      </c>
      <c r="H50" s="49">
        <f t="shared" si="53"/>
        <v>0.8666666666666667</v>
      </c>
      <c r="I50" s="49">
        <f t="shared" si="53"/>
        <v>0.9</v>
      </c>
      <c r="J50" s="49">
        <f t="shared" si="53"/>
        <v>0.9</v>
      </c>
      <c r="K50" s="49">
        <f t="shared" si="53"/>
        <v>0.93333333333333335</v>
      </c>
      <c r="L50" s="49">
        <f t="shared" si="53"/>
        <v>0.93333333333333335</v>
      </c>
      <c r="M50" s="49">
        <f t="shared" si="53"/>
        <v>0.96666666666666667</v>
      </c>
      <c r="N50" s="49">
        <f t="shared" si="53"/>
        <v>0.9</v>
      </c>
      <c r="O50" s="49"/>
      <c r="P50" s="49">
        <f t="shared" si="53"/>
        <v>0.8666666666666667</v>
      </c>
      <c r="Q50" s="49">
        <f t="shared" si="53"/>
        <v>0.8666666666666667</v>
      </c>
      <c r="R50" s="49">
        <f t="shared" si="53"/>
        <v>0.96666666666666667</v>
      </c>
      <c r="S50" s="49">
        <f t="shared" si="53"/>
        <v>0.96666666666666667</v>
      </c>
      <c r="T50" s="49">
        <f t="shared" si="53"/>
        <v>0.96666666666666667</v>
      </c>
      <c r="U50" s="49">
        <f t="shared" si="53"/>
        <v>0.8</v>
      </c>
      <c r="V50" s="49">
        <f t="shared" si="53"/>
        <v>0.96666666666666667</v>
      </c>
      <c r="W50" s="49">
        <f t="shared" si="53"/>
        <v>0.96666666666666667</v>
      </c>
      <c r="X50" s="49">
        <f t="shared" si="53"/>
        <v>0.8</v>
      </c>
      <c r="Y50" s="49"/>
      <c r="Z50" s="49">
        <f t="shared" si="53"/>
        <v>3.3333333333333333E-2</v>
      </c>
      <c r="AP50" s="72">
        <f t="shared" si="45"/>
        <v>0.93333333333333335</v>
      </c>
    </row>
    <row r="51" spans="3:91" ht="14.5" hidden="1" thickBot="1">
      <c r="C51" s="47"/>
      <c r="D51" s="47"/>
      <c r="E51" s="47"/>
      <c r="F51" s="47"/>
      <c r="G51" s="47"/>
      <c r="AP51" s="72">
        <f t="shared" si="45"/>
        <v>0</v>
      </c>
    </row>
    <row r="52" spans="3:91" ht="14.5" hidden="1" thickBot="1">
      <c r="C52" s="48" t="s">
        <v>98</v>
      </c>
      <c r="D52" s="20">
        <f>MIN(D11:D40)</f>
        <v>0</v>
      </c>
      <c r="E52" s="20"/>
      <c r="F52" s="20">
        <f t="shared" ref="F52:N52" si="54">MIN(F11:F40)</f>
        <v>0</v>
      </c>
      <c r="G52" s="20">
        <f t="shared" si="54"/>
        <v>0</v>
      </c>
      <c r="H52" s="20">
        <f t="shared" si="54"/>
        <v>0</v>
      </c>
      <c r="I52" s="20">
        <f t="shared" si="54"/>
        <v>0</v>
      </c>
      <c r="J52" s="20">
        <f t="shared" si="54"/>
        <v>0</v>
      </c>
      <c r="K52" s="20">
        <f t="shared" si="54"/>
        <v>63.76</v>
      </c>
      <c r="L52" s="20">
        <f t="shared" si="54"/>
        <v>43.88</v>
      </c>
      <c r="M52" s="20">
        <f t="shared" si="54"/>
        <v>53.82</v>
      </c>
      <c r="N52" s="20">
        <f t="shared" si="54"/>
        <v>0</v>
      </c>
      <c r="O52" s="20"/>
      <c r="P52" s="20">
        <f t="shared" ref="P52:X52" si="55">MIN(P11:P40)</f>
        <v>0</v>
      </c>
      <c r="Q52" s="20">
        <f t="shared" si="55"/>
        <v>0</v>
      </c>
      <c r="R52" s="20">
        <f t="shared" si="55"/>
        <v>9.4</v>
      </c>
      <c r="S52" s="20">
        <f t="shared" si="55"/>
        <v>9.4</v>
      </c>
      <c r="T52" s="20">
        <f t="shared" si="55"/>
        <v>9.4</v>
      </c>
      <c r="U52" s="20">
        <f t="shared" si="55"/>
        <v>0.6</v>
      </c>
      <c r="V52" s="20">
        <f t="shared" si="55"/>
        <v>0.6</v>
      </c>
      <c r="W52" s="20">
        <f t="shared" si="55"/>
        <v>0.6</v>
      </c>
      <c r="X52" s="20">
        <f t="shared" si="55"/>
        <v>0.6</v>
      </c>
      <c r="Y52" s="20"/>
      <c r="Z52" s="20">
        <f>MIN(Z11:Z40)</f>
        <v>0.3</v>
      </c>
      <c r="AB52" s="75">
        <f>MIN(AB11:AB40)</f>
        <v>0</v>
      </c>
      <c r="AC52" s="76">
        <f>MIN(AC11:AC40)</f>
        <v>0</v>
      </c>
      <c r="AD52" s="75">
        <f>MIN(AD11:AD40)</f>
        <v>0</v>
      </c>
      <c r="AE52" s="76">
        <f>MIN(AE11:AE40)</f>
        <v>0</v>
      </c>
      <c r="AF52" s="75"/>
      <c r="AG52" s="76">
        <f>MIN(AG11:AG40)</f>
        <v>0</v>
      </c>
      <c r="AH52" s="75"/>
      <c r="AI52" s="76">
        <f>MIN(AI11:AI40)</f>
        <v>4.7E-2</v>
      </c>
      <c r="AJ52" s="76"/>
      <c r="AK52" s="76"/>
      <c r="AL52" s="76"/>
      <c r="AM52" s="76"/>
      <c r="AN52" s="76"/>
      <c r="AO52" s="76"/>
      <c r="AP52" s="72">
        <f t="shared" si="45"/>
        <v>53.82</v>
      </c>
      <c r="AQ52" s="76"/>
      <c r="AR52" s="75">
        <f>MIN(AR11:AR40)</f>
        <v>21.94</v>
      </c>
      <c r="AS52" s="76">
        <f>MIN(AS11:AS40)</f>
        <v>0.43880000000000002</v>
      </c>
      <c r="AT52" s="75">
        <f>MIN(AT11:AT40)</f>
        <v>0</v>
      </c>
      <c r="AU52" s="76">
        <f>MIN(AU11:AU40)</f>
        <v>0</v>
      </c>
      <c r="AV52" s="76"/>
      <c r="AW52" s="76"/>
      <c r="AX52" s="75">
        <f>MIN(AX11:AX40)</f>
        <v>0.6</v>
      </c>
      <c r="AY52" s="76">
        <f>MIN(AY11:AY40)</f>
        <v>6.0000000000000001E-3</v>
      </c>
    </row>
    <row r="53" spans="3:91" ht="14.5" hidden="1" thickBot="1">
      <c r="C53" s="77" t="s">
        <v>99</v>
      </c>
      <c r="D53" s="78">
        <f>MAX(D11:D40)</f>
        <v>93.91</v>
      </c>
      <c r="E53" s="78"/>
      <c r="F53" s="78">
        <f t="shared" ref="F53:N53" si="56">MAX(F11:F40)</f>
        <v>98.29</v>
      </c>
      <c r="G53" s="78">
        <f t="shared" si="56"/>
        <v>88.898699999999991</v>
      </c>
      <c r="H53" s="78">
        <f t="shared" si="56"/>
        <v>92.7</v>
      </c>
      <c r="I53" s="78">
        <f t="shared" si="56"/>
        <v>89.2</v>
      </c>
      <c r="J53" s="78">
        <f t="shared" si="56"/>
        <v>90.95</v>
      </c>
      <c r="K53" s="78">
        <f t="shared" si="56"/>
        <v>90</v>
      </c>
      <c r="L53" s="78">
        <f t="shared" si="56"/>
        <v>87.35</v>
      </c>
      <c r="M53" s="78">
        <f t="shared" si="56"/>
        <v>88.204999999999998</v>
      </c>
      <c r="N53" s="78">
        <f t="shared" si="56"/>
        <v>86.76</v>
      </c>
      <c r="O53" s="78"/>
      <c r="P53" s="78">
        <f t="shared" ref="P53:X53" si="57">MAX(P11:P40)</f>
        <v>88.33</v>
      </c>
      <c r="Q53" s="78">
        <f t="shared" si="57"/>
        <v>87.099000000000004</v>
      </c>
      <c r="R53" s="78">
        <f t="shared" si="57"/>
        <v>93.9</v>
      </c>
      <c r="S53" s="78">
        <f t="shared" si="57"/>
        <v>93.9</v>
      </c>
      <c r="T53" s="78">
        <f t="shared" si="57"/>
        <v>93.9</v>
      </c>
      <c r="U53" s="78">
        <f t="shared" si="57"/>
        <v>86.3</v>
      </c>
      <c r="V53" s="78">
        <f t="shared" si="57"/>
        <v>96.5</v>
      </c>
      <c r="W53" s="78">
        <f t="shared" si="57"/>
        <v>89.5</v>
      </c>
      <c r="X53" s="78">
        <f t="shared" si="57"/>
        <v>86.3</v>
      </c>
      <c r="Y53" s="78"/>
      <c r="Z53" s="78">
        <f>MAX(Z11:Z40)</f>
        <v>86</v>
      </c>
      <c r="AB53" s="75">
        <f>MAX(AB11:AB40)</f>
        <v>0</v>
      </c>
      <c r="AC53" s="76">
        <f>MAX(AC11:AC40)</f>
        <v>0</v>
      </c>
      <c r="AD53" s="75">
        <f>MAX(AD11:AD40)</f>
        <v>88.898699999999991</v>
      </c>
      <c r="AE53" s="76">
        <f>MAX(AE11:AE40)</f>
        <v>0.88898699999999986</v>
      </c>
      <c r="AF53" s="75"/>
      <c r="AG53" s="76">
        <f>MAX(AG11:AG40)</f>
        <v>0</v>
      </c>
      <c r="AH53" s="75"/>
      <c r="AI53" s="76">
        <f>MAX(AI11:AI40)</f>
        <v>0.90199999999999991</v>
      </c>
      <c r="AJ53" s="76"/>
      <c r="AK53" s="76"/>
      <c r="AL53" s="76"/>
      <c r="AM53" s="76"/>
      <c r="AN53" s="76"/>
      <c r="AO53" s="76"/>
      <c r="AP53" s="72">
        <f t="shared" si="45"/>
        <v>88.674999999999997</v>
      </c>
      <c r="AQ53" s="76"/>
      <c r="AR53" s="75">
        <f>MAX(AR11:AR40)</f>
        <v>43.674999999999997</v>
      </c>
      <c r="AS53" s="76">
        <f>MAX(AS11:AS40)</f>
        <v>0.87349999999999994</v>
      </c>
      <c r="AT53" s="75">
        <f>MAX(AT11:AT40)</f>
        <v>32.101199999999999</v>
      </c>
      <c r="AU53" s="76">
        <f>MAX(AU11:AU40)</f>
        <v>0.86759999999999993</v>
      </c>
      <c r="AV53" s="76"/>
      <c r="AW53" s="76"/>
      <c r="AX53" s="75">
        <f>MAX(AX11:AX40)</f>
        <v>89.5</v>
      </c>
      <c r="AY53" s="76">
        <f>MAX(AY11:AY40)</f>
        <v>0.89500000000000002</v>
      </c>
    </row>
    <row r="54" spans="3:91" ht="14.5" thickBot="1">
      <c r="C54" s="51" t="s">
        <v>168</v>
      </c>
      <c r="D54" s="52">
        <f>AVERAGE(D11:D42)</f>
        <v>77.650624999999977</v>
      </c>
      <c r="E54" s="52">
        <f t="shared" ref="E54:Z54" si="58">AVERAGE(E11:E42)</f>
        <v>71.88968749999998</v>
      </c>
      <c r="F54" s="52">
        <f t="shared" si="58"/>
        <v>74.110937500000006</v>
      </c>
      <c r="G54" s="52">
        <f t="shared" si="58"/>
        <v>73.992140625000005</v>
      </c>
      <c r="H54" s="52">
        <f t="shared" si="58"/>
        <v>77.040625000000006</v>
      </c>
      <c r="I54" s="52">
        <f t="shared" si="58"/>
        <v>75.878124999999997</v>
      </c>
      <c r="J54" s="52">
        <f t="shared" si="58"/>
        <v>76.459374999999994</v>
      </c>
      <c r="K54" s="52">
        <f t="shared" si="58"/>
        <v>80.24124999999998</v>
      </c>
      <c r="L54" s="52">
        <f t="shared" si="58"/>
        <v>76.602812500000013</v>
      </c>
      <c r="M54" s="52">
        <f t="shared" si="58"/>
        <v>78.422031249999975</v>
      </c>
      <c r="N54" s="52">
        <f t="shared" si="58"/>
        <v>72.53562500000001</v>
      </c>
      <c r="O54" s="52">
        <f t="shared" si="58"/>
        <v>70.946562499999985</v>
      </c>
      <c r="P54" s="52">
        <f t="shared" si="58"/>
        <v>74.541875000000005</v>
      </c>
      <c r="Q54" s="52">
        <f t="shared" si="58"/>
        <v>72.613109374999993</v>
      </c>
      <c r="R54" s="52">
        <f t="shared" si="58"/>
        <v>82.740625000000023</v>
      </c>
      <c r="S54" s="52">
        <f t="shared" si="58"/>
        <v>80.475000000000023</v>
      </c>
      <c r="T54" s="52">
        <f t="shared" si="58"/>
        <v>81.607812500000023</v>
      </c>
      <c r="U54" s="52">
        <f t="shared" si="58"/>
        <v>72.706249999999997</v>
      </c>
      <c r="V54" s="52">
        <f t="shared" si="58"/>
        <v>81.565625000000011</v>
      </c>
      <c r="W54" s="52">
        <f t="shared" si="58"/>
        <v>77.135937500000011</v>
      </c>
      <c r="X54" s="52">
        <f t="shared" si="58"/>
        <v>72.949999999999989</v>
      </c>
      <c r="Y54" s="52">
        <f t="shared" si="58"/>
        <v>81.565625000000011</v>
      </c>
      <c r="Z54" s="52">
        <f t="shared" si="58"/>
        <v>37.982812499999994</v>
      </c>
      <c r="AB54" s="50" t="str">
        <f>IFERROR(AVERAGE(AB11:AB42),"")</f>
        <v/>
      </c>
      <c r="AC54" s="88" t="e">
        <f>AVERAGE(AC11:AC42)</f>
        <v>#DIV/0!</v>
      </c>
      <c r="AD54" s="50">
        <f>IFERROR(AVERAGE(AD11:AD42),"")</f>
        <v>73.992140625000005</v>
      </c>
      <c r="AE54" s="88">
        <f>AVERAGE(AE11:AE42)</f>
        <v>0.73992140625000014</v>
      </c>
      <c r="AF54" s="50"/>
      <c r="AG54" s="88" t="e">
        <f>AVERAGE(AG11:AG42)</f>
        <v>#DIV/0!</v>
      </c>
      <c r="AH54" s="50">
        <f>IFERROR(AVERAGE(AH11:AH42),"")</f>
        <v>158.06718750000002</v>
      </c>
      <c r="AI54" s="88">
        <f>AVERAGE(AI11:AI42)</f>
        <v>0.79033593749999997</v>
      </c>
      <c r="AJ54" s="50" t="str">
        <f>IFERROR(AVERAGE(AJ11:AJ42),"")</f>
        <v/>
      </c>
      <c r="AK54" s="88" t="e">
        <f>AVERAGE(AK11:AK42)</f>
        <v>#DIV/0!</v>
      </c>
      <c r="AL54" s="50">
        <f>IFERROR(AVERAGE(AL11:AL42),"")</f>
        <v>77.135937500000011</v>
      </c>
      <c r="AM54" s="88">
        <f>AVERAGE(AM11:AM42)</f>
        <v>0.77135937500000018</v>
      </c>
      <c r="AN54" s="50" t="str">
        <f>IFERROR(AVERAGE(AN11:AN42),"")</f>
        <v/>
      </c>
      <c r="AO54" s="50" t="str">
        <f>IFERROR(AVERAGE(AO11:AO42),"")</f>
        <v/>
      </c>
      <c r="AP54" s="72">
        <f>IFERROR(AVERAGE(AP11:AP42),"")</f>
        <v>40.12062499999999</v>
      </c>
      <c r="AQ54" s="88">
        <f>AVERAGE(AQ11:AQ42)</f>
        <v>0.80241249999999975</v>
      </c>
      <c r="AR54" s="50">
        <f>IFERROR(AVERAGE(AR11:AR42),"")</f>
        <v>38.301406250000007</v>
      </c>
      <c r="AS54" s="88">
        <f>AVERAGE(AS11:AS42)</f>
        <v>0.76602812499999962</v>
      </c>
      <c r="AT54" s="50">
        <f>IFERROR(AVERAGE(AT11:AT42),"")</f>
        <v>26.838181249999991</v>
      </c>
      <c r="AU54" s="88">
        <f>AVERAGE(AU11:AU42)</f>
        <v>0.72535625000000015</v>
      </c>
      <c r="AV54" s="50">
        <f>IFERROR(AVERAGE(AV11:AV42),"")</f>
        <v>45.774928124999995</v>
      </c>
      <c r="AW54" s="88">
        <f>AVERAGE(AW11:AW42)</f>
        <v>0.72658616071428572</v>
      </c>
      <c r="AX54" s="50">
        <f>IFERROR(AVERAGE(AX11:AX42),"")</f>
        <v>77.2578125</v>
      </c>
      <c r="AY54" s="88">
        <f>AVERAGE(AY11:AY42)</f>
        <v>0.77257812500000023</v>
      </c>
      <c r="BB54" s="73">
        <f>AVERAGE(BB11:BB42)</f>
        <v>40.494687500000005</v>
      </c>
      <c r="BC54" s="73">
        <f>AVERAGE(BC11:BC42)</f>
        <v>42.35</v>
      </c>
      <c r="BD54" s="73">
        <f>AVERAGE(BD11:BD42)</f>
        <v>38.71875</v>
      </c>
      <c r="BE54" s="73">
        <f>AVERAGE(BE11:BE42)</f>
        <v>18.063768750000001</v>
      </c>
      <c r="BF54" s="73">
        <f>AVERAGE(BF11:BF42)</f>
        <v>41.234375</v>
      </c>
      <c r="BG54" s="73"/>
      <c r="BH54" s="73"/>
      <c r="BI54" s="73"/>
      <c r="BJ54" s="73"/>
      <c r="BK54" s="73">
        <f>AVERAGE(BK11:BK42)</f>
        <v>42.509374999999999</v>
      </c>
      <c r="BL54" s="73">
        <f>AVERAGE(BL11:BL42)</f>
        <v>28.529081250000001</v>
      </c>
      <c r="BM54" s="73">
        <f>AVERAGE(BM11:BM42)</f>
        <v>38.876250000000006</v>
      </c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>
        <f>AVERAGE(BZ11:BZ42)</f>
        <v>23.659500000000001</v>
      </c>
      <c r="CA54" s="73">
        <f>AVERAGE(CA11:CA42)</f>
        <v>40.243749999999999</v>
      </c>
      <c r="CB54" s="73" t="e">
        <f>AVERAGE(CB11:CB42)</f>
        <v>#DIV/0!</v>
      </c>
      <c r="CC54" s="73"/>
      <c r="CD54" s="73"/>
      <c r="CE54" s="73"/>
      <c r="CF54" s="73" t="e">
        <f>AVERAGE(CF11:CF42)</f>
        <v>#DIV/0!</v>
      </c>
      <c r="CG54" s="73" t="e">
        <f>AVERAGE(CG11:CG42)</f>
        <v>#DIV/0!</v>
      </c>
      <c r="CH54" s="73" t="e">
        <f>AVERAGE(CH11:CH42)</f>
        <v>#DIV/0!</v>
      </c>
      <c r="CI54" s="73"/>
      <c r="CJ54" s="73" t="e">
        <f>AVERAGE(CJ11:CJ42)</f>
        <v>#DIV/0!</v>
      </c>
      <c r="CK54" s="73" t="e">
        <f>AVERAGE(CK11:CK42)</f>
        <v>#DIV/0!</v>
      </c>
      <c r="CL54" s="74">
        <f>AVERAGE(CL11:CL42)</f>
        <v>354.67953750000004</v>
      </c>
      <c r="CM54" s="74"/>
    </row>
    <row r="55" spans="3:91">
      <c r="AC55" s="52">
        <f>COUNTIF($AC$11:$AC$42,"&gt;=70%")</f>
        <v>0</v>
      </c>
      <c r="AE55" s="52">
        <f>COUNTIF($AE$11:$AE$42,"&gt;=70%")</f>
        <v>26</v>
      </c>
      <c r="AG55" s="52">
        <f>COUNTIF($AG$11:$AG$42,"&gt;=70%")</f>
        <v>0</v>
      </c>
      <c r="AI55" s="52">
        <f>COUNTIF($AI$11:$AI$42,"&gt;=65%")</f>
        <v>31</v>
      </c>
      <c r="AJ55" s="33"/>
      <c r="AK55" s="52">
        <f>COUNTIF($AK$11:$AK$42,"&gt;=70%")</f>
        <v>0</v>
      </c>
      <c r="AM55" s="52">
        <f>COUNTIF($AI$11:$AI$42,"&gt;=65%")</f>
        <v>31</v>
      </c>
      <c r="AP55" s="33"/>
      <c r="AQ55" s="52">
        <f>COUNTIF($AQ$11:$AQ$42,"&gt;=70%")</f>
        <v>30</v>
      </c>
      <c r="AS55" s="52">
        <f>COUNTIF($AS$11:$AS$42,"&gt;=70%")</f>
        <v>26</v>
      </c>
      <c r="AU55" s="52">
        <f>COUNTIF($AU$11:$AU$42,"&gt;=70%")</f>
        <v>22</v>
      </c>
      <c r="AV55" s="33"/>
      <c r="AW55" s="52">
        <f>COUNTIF($AE$11:$AE$42,"&gt;=70%")</f>
        <v>26</v>
      </c>
      <c r="AY55" s="52">
        <f>COUNTIF($AY$11:$AY$42,"&gt;=70%")</f>
        <v>30</v>
      </c>
      <c r="BB55" s="79">
        <f>BB54/BB9</f>
        <v>0.80989375000000008</v>
      </c>
      <c r="BC55" s="79">
        <f>BC54/BC9</f>
        <v>0.84699999999999998</v>
      </c>
      <c r="BD55" s="79">
        <f>BD54/BD9</f>
        <v>0.77437500000000004</v>
      </c>
      <c r="BE55" s="79">
        <f>BE54/BE9</f>
        <v>0.78538125000000003</v>
      </c>
      <c r="BF55" s="79">
        <f>BF54/BF9</f>
        <v>0.82468750000000002</v>
      </c>
      <c r="BG55" s="79"/>
      <c r="BH55" s="79"/>
      <c r="BI55" s="79"/>
      <c r="BJ55" s="79"/>
      <c r="BK55" s="79">
        <f>BK54/BK9</f>
        <v>0.85018749999999998</v>
      </c>
      <c r="BL55" s="79">
        <f>BL54/BL9</f>
        <v>0.77105625</v>
      </c>
      <c r="BM55" s="79">
        <f>BM54/BM9</f>
        <v>0.77752500000000013</v>
      </c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>
        <f>BZ54/BZ9</f>
        <v>0.78865000000000007</v>
      </c>
      <c r="CA55" s="79">
        <f>CA54/CA9</f>
        <v>0.80487500000000001</v>
      </c>
      <c r="CB55" s="79" t="e">
        <f>CB54/CB9</f>
        <v>#DIV/0!</v>
      </c>
      <c r="CC55" s="79"/>
      <c r="CD55" s="79"/>
      <c r="CE55" s="79"/>
      <c r="CF55" s="79" t="e">
        <f>CF54/CF9</f>
        <v>#DIV/0!</v>
      </c>
      <c r="CG55" s="79" t="e">
        <f>CG54/CG9</f>
        <v>#DIV/0!</v>
      </c>
      <c r="CH55" s="79" t="e">
        <f>CH54/CH9</f>
        <v>#DIV/0!</v>
      </c>
      <c r="CI55" s="79"/>
      <c r="CJ55" s="79" t="e">
        <f>CJ54/CJ9</f>
        <v>#DIV/0!</v>
      </c>
      <c r="CK55" s="79" t="e">
        <f>CK54/CK9</f>
        <v>#DIV/0!</v>
      </c>
      <c r="CL55" s="74" t="e">
        <f>CL54/CL9</f>
        <v>#REF!</v>
      </c>
      <c r="CM55" s="74"/>
    </row>
    <row r="56" spans="3:91">
      <c r="AC56" s="82" t="e">
        <f>AC55/AC57</f>
        <v>#DIV/0!</v>
      </c>
      <c r="AE56" s="82">
        <f>AE55/AE57</f>
        <v>0.8125</v>
      </c>
      <c r="AG56" s="82" t="e">
        <f>AG55/AG57</f>
        <v>#DIV/0!</v>
      </c>
      <c r="AI56" s="82">
        <f>AI55/AI57</f>
        <v>0.96875</v>
      </c>
      <c r="AJ56" s="33"/>
      <c r="AK56" s="82" t="e">
        <f>AK55/AK57</f>
        <v>#DIV/0!</v>
      </c>
      <c r="AM56" s="82">
        <f>AM55/AM57</f>
        <v>0.96875</v>
      </c>
      <c r="AP56" s="33"/>
      <c r="AQ56" s="82">
        <f>AQ55/AQ57</f>
        <v>0.9375</v>
      </c>
      <c r="AS56" s="82">
        <f>AS55/AS57</f>
        <v>0.8125</v>
      </c>
      <c r="AU56" s="82">
        <f>AU55/AU57</f>
        <v>0.6875</v>
      </c>
      <c r="AV56" s="33"/>
      <c r="AW56" s="82">
        <f>AW55/AW57</f>
        <v>0.8125</v>
      </c>
      <c r="AY56" s="82">
        <f>AY55/AY57</f>
        <v>0.9375</v>
      </c>
    </row>
    <row r="57" spans="3:91">
      <c r="AC57" s="62">
        <f>COUNT(AC10:AC42)</f>
        <v>0</v>
      </c>
      <c r="AE57" s="62">
        <f>COUNT(AE11:AE42)</f>
        <v>32</v>
      </c>
      <c r="AG57" s="62">
        <f>COUNT(AG11:AG42)</f>
        <v>0</v>
      </c>
      <c r="AI57" s="62">
        <f>COUNT(AI10:AI42)</f>
        <v>32</v>
      </c>
      <c r="AJ57" s="33"/>
      <c r="AK57" s="62">
        <f>COUNT(AK11:AK42)</f>
        <v>0</v>
      </c>
      <c r="AM57" s="62">
        <f>COUNT(AM10:AM42)</f>
        <v>32</v>
      </c>
      <c r="AP57" s="33"/>
      <c r="AQ57" s="62">
        <f>COUNT(AQ11:AQ42)</f>
        <v>32</v>
      </c>
      <c r="AS57" s="62">
        <f>COUNT(AS11:AS42)</f>
        <v>32</v>
      </c>
      <c r="AU57" s="62">
        <f>COUNT(AU10:AU42)</f>
        <v>32</v>
      </c>
      <c r="AV57" s="33"/>
      <c r="AW57" s="62">
        <f>COUNT(AW11:AW42)</f>
        <v>32</v>
      </c>
      <c r="AY57" s="62">
        <f>COUNT(AY11:AY42)</f>
        <v>32</v>
      </c>
    </row>
    <row r="58" spans="3:91">
      <c r="C58" s="32" t="s">
        <v>358</v>
      </c>
      <c r="AB58" s="33">
        <v>1</v>
      </c>
      <c r="AD58" s="33">
        <v>2</v>
      </c>
      <c r="AF58" s="33">
        <v>3</v>
      </c>
      <c r="AG58" s="33"/>
      <c r="AH58" s="33">
        <v>4</v>
      </c>
      <c r="AI58" s="33"/>
      <c r="AJ58">
        <v>5</v>
      </c>
      <c r="AL58">
        <v>6</v>
      </c>
      <c r="AN58">
        <v>7</v>
      </c>
      <c r="AP58">
        <v>8</v>
      </c>
      <c r="AR58">
        <v>9</v>
      </c>
      <c r="AT58">
        <v>10</v>
      </c>
      <c r="AV58">
        <v>11</v>
      </c>
      <c r="AX58">
        <v>12</v>
      </c>
    </row>
    <row r="59" spans="3:91">
      <c r="C59" s="80" t="s">
        <v>169</v>
      </c>
      <c r="D59" s="1" t="s">
        <v>170</v>
      </c>
      <c r="E59" s="1" t="s">
        <v>354</v>
      </c>
      <c r="F59" s="1" t="s">
        <v>171</v>
      </c>
      <c r="G59" s="1" t="s">
        <v>172</v>
      </c>
      <c r="H59" s="1" t="s">
        <v>177</v>
      </c>
      <c r="I59" s="1" t="s">
        <v>178</v>
      </c>
      <c r="J59" s="1" t="s">
        <v>171</v>
      </c>
      <c r="K59" s="1" t="s">
        <v>172</v>
      </c>
      <c r="AF59" s="33"/>
      <c r="AG59" s="33"/>
      <c r="AH59" s="33"/>
      <c r="AI59" s="33"/>
      <c r="AJ59" s="33"/>
      <c r="AZ59"/>
      <c r="BA59" s="91"/>
    </row>
    <row r="60" spans="3:91">
      <c r="C60" s="62" t="s">
        <v>90</v>
      </c>
      <c r="D60" s="255" t="str">
        <f>IF(AF3="","",AF3)</f>
        <v/>
      </c>
      <c r="E60" s="71" t="str">
        <f>IF(AF54="","",AF54)</f>
        <v/>
      </c>
      <c r="F60" s="81" t="str">
        <f>IF(E60="","",(IFERROR(E60/D60,0)))</f>
        <v/>
      </c>
      <c r="G60" s="81" t="str">
        <f>IF(F60="","",IF(F60&gt;70%,"Tercapai","Belum Tercapai"))</f>
        <v/>
      </c>
      <c r="H60" s="89" t="str">
        <f>IF(AG257="","",AG257)</f>
        <v/>
      </c>
      <c r="I60" s="89" t="str">
        <f>IF(AG255="","",AG255)</f>
        <v/>
      </c>
      <c r="J60" s="81" t="str">
        <f>IFERROR(I60/H60,"")</f>
        <v/>
      </c>
      <c r="K60" s="255" t="str">
        <f>IF(J60="","",(IF(J60&gt;=70%,"Tercapai","Belum Tercapai")))</f>
        <v/>
      </c>
      <c r="AF60" s="33"/>
      <c r="AG60" s="33"/>
      <c r="AH60" s="33"/>
      <c r="AI60" s="33"/>
      <c r="AJ60" s="33"/>
      <c r="AZ60"/>
      <c r="BA60" s="91"/>
    </row>
    <row r="61" spans="3:91">
      <c r="C61" s="62" t="s">
        <v>114</v>
      </c>
      <c r="D61" s="255">
        <f>IF(AD8="","",AD8)</f>
        <v>100</v>
      </c>
      <c r="E61" s="71">
        <f>IF(AD54="","",AD54)</f>
        <v>73.992140625000005</v>
      </c>
      <c r="F61" s="94">
        <f>IF(E61="","",(IFERROR(E61/D61,0)))</f>
        <v>0.73992140625000002</v>
      </c>
      <c r="G61" s="94" t="str">
        <f>IF(F61="","",IF(F61&gt;70%,"Tercapai","Belum Tercapai"))</f>
        <v>Tercapai</v>
      </c>
      <c r="H61" s="95">
        <f>IF(AI57="","",AI57)</f>
        <v>32</v>
      </c>
      <c r="I61" s="95">
        <v>26</v>
      </c>
      <c r="J61" s="94">
        <f>IFERROR(I61/H61,"")</f>
        <v>0.8125</v>
      </c>
      <c r="K61" s="255" t="str">
        <f t="shared" ref="K61:K73" si="59">IF(J61="","",(IF(J61&gt;=70%,"Tercapai","Belum Tercapai")))</f>
        <v>Tercapai</v>
      </c>
      <c r="AF61" s="33"/>
      <c r="AG61" s="33"/>
      <c r="AH61" s="33"/>
      <c r="AI61" s="33"/>
      <c r="AJ61" s="33"/>
      <c r="AZ61"/>
      <c r="BA61" s="91"/>
    </row>
    <row r="62" spans="3:91">
      <c r="C62" s="62" t="s">
        <v>104</v>
      </c>
      <c r="D62" s="255" t="str">
        <f>IF(AJ3="","",AJ3)</f>
        <v/>
      </c>
      <c r="E62" s="71" t="str">
        <f>IF(AJ54="","",AJ54)</f>
        <v/>
      </c>
      <c r="F62" s="81" t="str">
        <f t="shared" ref="F62:F71" si="60">IF(E62="","",(IFERROR(E62/D62,0)))</f>
        <v/>
      </c>
      <c r="G62" s="81" t="str">
        <f t="shared" ref="G62:G73" si="61">IF(F62="","",IF(F62&gt;70%,"Tercapai","Belum Tercapai"))</f>
        <v/>
      </c>
      <c r="H62" s="89"/>
      <c r="I62" s="89"/>
      <c r="J62" s="81" t="str">
        <f t="shared" ref="J62:J71" si="62">IFERROR(I62/H62,"")</f>
        <v/>
      </c>
      <c r="K62" s="255" t="str">
        <f t="shared" si="59"/>
        <v/>
      </c>
      <c r="AF62" s="33"/>
      <c r="AG62" s="33"/>
      <c r="AH62" s="33"/>
      <c r="AI62" s="33"/>
      <c r="AJ62" s="33"/>
      <c r="AZ62"/>
      <c r="BA62" s="91"/>
    </row>
    <row r="63" spans="3:91">
      <c r="C63" s="62" t="s">
        <v>103</v>
      </c>
      <c r="D63" s="255">
        <f>IF(AH8="","",AH8)</f>
        <v>200</v>
      </c>
      <c r="E63" s="71">
        <f>IF(AH54="","",AH54)</f>
        <v>158.06718750000002</v>
      </c>
      <c r="F63" s="81">
        <f t="shared" si="60"/>
        <v>0.79033593750000009</v>
      </c>
      <c r="G63" s="81" t="str">
        <f t="shared" si="61"/>
        <v>Tercapai</v>
      </c>
      <c r="H63" s="89">
        <v>32</v>
      </c>
      <c r="I63" s="89">
        <v>31</v>
      </c>
      <c r="J63" s="81">
        <f t="shared" si="62"/>
        <v>0.96875</v>
      </c>
      <c r="K63" s="255" t="str">
        <f t="shared" si="59"/>
        <v>Tercapai</v>
      </c>
      <c r="AF63" s="33"/>
      <c r="AG63" s="33"/>
      <c r="AH63" s="33"/>
      <c r="AI63" s="33"/>
      <c r="AJ63" s="33"/>
      <c r="AZ63"/>
      <c r="BA63" s="91"/>
    </row>
    <row r="64" spans="3:91">
      <c r="C64" s="62" t="s">
        <v>140</v>
      </c>
      <c r="D64" s="255"/>
      <c r="E64" s="255"/>
      <c r="F64" s="81"/>
      <c r="G64" s="81"/>
      <c r="H64" s="89"/>
      <c r="I64" s="89"/>
      <c r="J64" s="81" t="str">
        <f t="shared" si="62"/>
        <v/>
      </c>
      <c r="K64" s="255" t="str">
        <f t="shared" si="59"/>
        <v/>
      </c>
      <c r="AF64" s="33"/>
      <c r="AG64" s="33"/>
      <c r="AH64" s="33"/>
      <c r="AI64" s="33"/>
      <c r="AJ64" s="33"/>
      <c r="AZ64"/>
      <c r="BA64" s="91"/>
    </row>
    <row r="65" spans="3:53">
      <c r="C65" s="62" t="s">
        <v>141</v>
      </c>
      <c r="D65" s="255">
        <f>IF(AL8="","",AL8)</f>
        <v>100</v>
      </c>
      <c r="E65" s="71">
        <f>IF(AL54="","",AL54)</f>
        <v>77.135937500000011</v>
      </c>
      <c r="F65" s="81">
        <f t="shared" si="60"/>
        <v>0.77135937500000007</v>
      </c>
      <c r="G65" s="81" t="str">
        <f t="shared" si="61"/>
        <v>Tercapai</v>
      </c>
      <c r="H65" s="89">
        <f>IF(AQ57="","",AQ57)</f>
        <v>32</v>
      </c>
      <c r="I65" s="89">
        <f>IF(AM55="","",AM55)</f>
        <v>31</v>
      </c>
      <c r="J65" s="81">
        <f t="shared" si="62"/>
        <v>0.96875</v>
      </c>
      <c r="K65" s="255" t="str">
        <f t="shared" si="59"/>
        <v>Tercapai</v>
      </c>
      <c r="AF65" s="33"/>
      <c r="AG65" s="33"/>
      <c r="AH65" s="33"/>
      <c r="AI65" s="33"/>
      <c r="AJ65" s="33"/>
      <c r="AZ65"/>
      <c r="BA65" s="91"/>
    </row>
    <row r="66" spans="3:53">
      <c r="C66" s="62" t="s">
        <v>142</v>
      </c>
      <c r="D66" s="255" t="str">
        <f>IF(AR3="","",AR3)</f>
        <v/>
      </c>
      <c r="E66" s="255" t="str">
        <f>IF(AL254="","",AL254)</f>
        <v/>
      </c>
      <c r="F66" s="81" t="str">
        <f t="shared" si="60"/>
        <v/>
      </c>
      <c r="G66" s="81" t="str">
        <f t="shared" si="61"/>
        <v/>
      </c>
      <c r="H66" s="89" t="str">
        <f>IF(AS5227="","",AS5227)</f>
        <v/>
      </c>
      <c r="I66" s="89"/>
      <c r="J66" s="81" t="str">
        <f t="shared" si="62"/>
        <v/>
      </c>
      <c r="K66" s="255" t="str">
        <f t="shared" si="59"/>
        <v/>
      </c>
      <c r="AF66" s="33"/>
      <c r="AG66" s="33"/>
      <c r="AH66" s="33"/>
      <c r="AI66" s="33"/>
      <c r="AJ66" s="33"/>
      <c r="AZ66"/>
      <c r="BA66" s="91"/>
    </row>
    <row r="67" spans="3:53">
      <c r="C67" s="62" t="s">
        <v>143</v>
      </c>
      <c r="D67" s="255">
        <f>IF(AP8="","",AP8)</f>
        <v>50</v>
      </c>
      <c r="E67" s="71">
        <f>IF(AP54="","",AP54)</f>
        <v>40.12062499999999</v>
      </c>
      <c r="F67" s="81">
        <f t="shared" si="60"/>
        <v>0.80241249999999975</v>
      </c>
      <c r="G67" s="81" t="str">
        <f t="shared" si="61"/>
        <v>Tercapai</v>
      </c>
      <c r="H67" s="89">
        <f>IF(AU57="","",AU57)</f>
        <v>32</v>
      </c>
      <c r="I67" s="89">
        <f>IF(AQ55="","",AQ55)</f>
        <v>30</v>
      </c>
      <c r="J67" s="81">
        <f t="shared" si="62"/>
        <v>0.9375</v>
      </c>
      <c r="K67" s="255" t="str">
        <f t="shared" si="59"/>
        <v>Tercapai</v>
      </c>
      <c r="AF67" s="33"/>
      <c r="AG67" s="33"/>
      <c r="AH67" s="33"/>
      <c r="AI67" s="33"/>
      <c r="AJ67" s="33"/>
      <c r="AZ67"/>
      <c r="BA67" s="91"/>
    </row>
    <row r="68" spans="3:53">
      <c r="C68" s="62" t="s">
        <v>110</v>
      </c>
      <c r="D68" s="255">
        <f>IF(AR8="","",AR8)</f>
        <v>50</v>
      </c>
      <c r="E68" s="71">
        <f>IF(AR54="","",AR54)</f>
        <v>38.301406250000007</v>
      </c>
      <c r="F68" s="81">
        <f t="shared" si="60"/>
        <v>0.76602812500000017</v>
      </c>
      <c r="G68" s="81" t="str">
        <f t="shared" si="61"/>
        <v>Tercapai</v>
      </c>
      <c r="H68" s="89">
        <f>IF(AW57="","",AW57)</f>
        <v>32</v>
      </c>
      <c r="I68" s="89">
        <f>IF(AW55="","",AW55)</f>
        <v>26</v>
      </c>
      <c r="J68" s="81">
        <f t="shared" si="62"/>
        <v>0.8125</v>
      </c>
      <c r="K68" s="255" t="str">
        <f t="shared" si="59"/>
        <v>Tercapai</v>
      </c>
      <c r="AF68" s="33"/>
      <c r="AG68" s="33"/>
      <c r="AH68" s="33"/>
      <c r="AI68" s="33"/>
      <c r="AJ68" s="33"/>
      <c r="AZ68"/>
      <c r="BA68" s="91"/>
    </row>
    <row r="69" spans="3:53">
      <c r="C69" s="62" t="s">
        <v>117</v>
      </c>
      <c r="D69" s="255">
        <f>IF(AT8="","",AT8)</f>
        <v>37</v>
      </c>
      <c r="E69" s="71">
        <f>IF(AT54="","",AT54)</f>
        <v>26.838181249999991</v>
      </c>
      <c r="F69" s="81">
        <f t="shared" si="60"/>
        <v>0.7253562499999997</v>
      </c>
      <c r="G69" s="81" t="str">
        <f t="shared" si="61"/>
        <v>Tercapai</v>
      </c>
      <c r="H69" s="89">
        <f>IF(AY57="","",AY57)</f>
        <v>32</v>
      </c>
      <c r="I69" s="89">
        <f>IF(AY55="","",AY55)</f>
        <v>30</v>
      </c>
      <c r="J69" s="81">
        <f t="shared" si="62"/>
        <v>0.9375</v>
      </c>
      <c r="K69" s="255" t="str">
        <f t="shared" si="59"/>
        <v>Tercapai</v>
      </c>
      <c r="AF69" s="33"/>
      <c r="AG69" s="33"/>
      <c r="AH69" s="33"/>
      <c r="AI69" s="33"/>
      <c r="AJ69" s="33"/>
      <c r="AZ69"/>
      <c r="BA69" s="91"/>
    </row>
    <row r="70" spans="3:53">
      <c r="C70" s="62" t="s">
        <v>144</v>
      </c>
      <c r="D70" s="255">
        <f>IF(AV8="","",AV8)</f>
        <v>63</v>
      </c>
      <c r="E70" s="71">
        <f>IF(AV54="","",AV54)</f>
        <v>45.774928124999995</v>
      </c>
      <c r="F70" s="81">
        <f t="shared" si="60"/>
        <v>0.72658616071428561</v>
      </c>
      <c r="G70" s="81" t="str">
        <f t="shared" si="61"/>
        <v>Tercapai</v>
      </c>
      <c r="H70" s="89" t="str">
        <f>IF(BA57="","",BA57)</f>
        <v/>
      </c>
      <c r="I70" s="89" t="str">
        <f>IF(BA55="","",BA55)</f>
        <v/>
      </c>
      <c r="J70" s="81" t="str">
        <f t="shared" si="62"/>
        <v/>
      </c>
      <c r="K70" s="255" t="str">
        <f t="shared" si="59"/>
        <v/>
      </c>
      <c r="AF70" s="33"/>
      <c r="AG70" s="33"/>
      <c r="AH70" s="33"/>
      <c r="AI70" s="33"/>
      <c r="AJ70" s="33"/>
      <c r="AZ70"/>
      <c r="BA70" s="91"/>
    </row>
    <row r="71" spans="3:53">
      <c r="C71" s="62" t="s">
        <v>118</v>
      </c>
      <c r="D71" s="255">
        <f>IF(AX8="","",AX8)</f>
        <v>100</v>
      </c>
      <c r="E71" s="71">
        <f>IF(AX54="","",AX54)</f>
        <v>77.2578125</v>
      </c>
      <c r="F71" s="94">
        <f t="shared" si="60"/>
        <v>0.772578125</v>
      </c>
      <c r="G71" s="94" t="str">
        <f t="shared" si="61"/>
        <v>Tercapai</v>
      </c>
      <c r="H71" s="95">
        <f>IF(AY57="","",AY57)</f>
        <v>32</v>
      </c>
      <c r="I71" s="95">
        <f>IF(AY55="","",AY55)</f>
        <v>30</v>
      </c>
      <c r="J71" s="94">
        <f t="shared" si="62"/>
        <v>0.9375</v>
      </c>
      <c r="K71" s="255" t="str">
        <f t="shared" si="59"/>
        <v>Tercapai</v>
      </c>
      <c r="AF71" s="33"/>
      <c r="AG71" s="33"/>
      <c r="AH71" s="33"/>
      <c r="AI71" s="33"/>
      <c r="AJ71" s="33"/>
      <c r="AZ71"/>
      <c r="BA71" s="91"/>
    </row>
    <row r="72" spans="3:53">
      <c r="C72" s="3"/>
      <c r="D72" s="255"/>
      <c r="E72" s="255"/>
      <c r="F72" s="255"/>
      <c r="G72" s="94" t="str">
        <f t="shared" si="61"/>
        <v/>
      </c>
      <c r="H72" s="255"/>
      <c r="I72" s="255"/>
      <c r="J72" s="255"/>
      <c r="K72" s="255" t="str">
        <f t="shared" si="59"/>
        <v/>
      </c>
      <c r="AF72" s="33"/>
      <c r="AZ72"/>
      <c r="BA72" s="91"/>
    </row>
    <row r="73" spans="3:53">
      <c r="C73" s="3"/>
      <c r="D73" s="255">
        <v>900</v>
      </c>
      <c r="E73" s="71">
        <f>SUM(E60:E71)</f>
        <v>537.48821874999999</v>
      </c>
      <c r="F73" s="81">
        <f>AVERAGE(F60:F71)</f>
        <v>0.76182223493303569</v>
      </c>
      <c r="G73" s="94" t="str">
        <f t="shared" si="61"/>
        <v>Tercapai</v>
      </c>
      <c r="H73" s="81"/>
      <c r="I73" s="81"/>
      <c r="J73" s="81">
        <f>AVERAGE(J60:J71)</f>
        <v>0.9107142857142857</v>
      </c>
      <c r="K73" s="255" t="str">
        <f t="shared" si="59"/>
        <v>Tercapai</v>
      </c>
      <c r="AF73" s="33"/>
      <c r="AZ73"/>
      <c r="BA73" s="91"/>
    </row>
    <row r="75" spans="3:53">
      <c r="C75" s="32" t="s">
        <v>173</v>
      </c>
    </row>
    <row r="76" spans="3:53">
      <c r="C76" s="32" t="s">
        <v>181</v>
      </c>
    </row>
    <row r="91" spans="32:32">
      <c r="AF91" s="33"/>
    </row>
    <row r="92" spans="32:32">
      <c r="AF92" s="33"/>
    </row>
  </sheetData>
  <mergeCells count="80">
    <mergeCell ref="U4:V4"/>
    <mergeCell ref="Z4:Z9"/>
    <mergeCell ref="U5:V5"/>
    <mergeCell ref="AN4:AO5"/>
    <mergeCell ref="N6:P6"/>
    <mergeCell ref="R6:S6"/>
    <mergeCell ref="U6:V6"/>
    <mergeCell ref="Q4:Q9"/>
    <mergeCell ref="R4:S4"/>
    <mergeCell ref="T4:T9"/>
    <mergeCell ref="AC7:AC9"/>
    <mergeCell ref="AE7:AE9"/>
    <mergeCell ref="AG7:AG9"/>
    <mergeCell ref="AI7:AI9"/>
    <mergeCell ref="AK7:AK9"/>
    <mergeCell ref="AM7:AM9"/>
    <mergeCell ref="AP4:AQ5"/>
    <mergeCell ref="W4:W9"/>
    <mergeCell ref="AB4:AC5"/>
    <mergeCell ref="AD4:AE5"/>
    <mergeCell ref="AF4:AG5"/>
    <mergeCell ref="AH4:AI5"/>
    <mergeCell ref="AJ4:AK5"/>
    <mergeCell ref="AL4:AM5"/>
    <mergeCell ref="D5:F5"/>
    <mergeCell ref="H5:I5"/>
    <mergeCell ref="K5:L5"/>
    <mergeCell ref="N5:P5"/>
    <mergeCell ref="R5:S5"/>
    <mergeCell ref="M4:M9"/>
    <mergeCell ref="D6:F6"/>
    <mergeCell ref="H6:I6"/>
    <mergeCell ref="K6:L6"/>
    <mergeCell ref="N4:P4"/>
    <mergeCell ref="D4:F4"/>
    <mergeCell ref="G4:G9"/>
    <mergeCell ref="H4:I4"/>
    <mergeCell ref="J4:J9"/>
    <mergeCell ref="K4:L4"/>
    <mergeCell ref="AU7:AU9"/>
    <mergeCell ref="AW7:AW9"/>
    <mergeCell ref="AY7:AY9"/>
    <mergeCell ref="BB7:BE7"/>
    <mergeCell ref="AO7:AO9"/>
    <mergeCell ref="AS7:AS9"/>
    <mergeCell ref="AT4:AU5"/>
    <mergeCell ref="AV4:AW5"/>
    <mergeCell ref="BB6:BE6"/>
    <mergeCell ref="BF6:BI6"/>
    <mergeCell ref="AX4:AY5"/>
    <mergeCell ref="CH7:CI7"/>
    <mergeCell ref="CJ7:CK7"/>
    <mergeCell ref="BU7:BW7"/>
    <mergeCell ref="BX7:BY7"/>
    <mergeCell ref="BZ7:CA7"/>
    <mergeCell ref="CH6:CI6"/>
    <mergeCell ref="CJ6:CK6"/>
    <mergeCell ref="CD6:CE6"/>
    <mergeCell ref="CF6:CG6"/>
    <mergeCell ref="BQ6:BT6"/>
    <mergeCell ref="BU6:BW6"/>
    <mergeCell ref="BZ6:CA6"/>
    <mergeCell ref="BX6:BY6"/>
    <mergeCell ref="CB6:CC6"/>
    <mergeCell ref="CB7:CC7"/>
    <mergeCell ref="CD7:CE7"/>
    <mergeCell ref="CF7:CG7"/>
    <mergeCell ref="X4:Y4"/>
    <mergeCell ref="X5:Y5"/>
    <mergeCell ref="X6:Y6"/>
    <mergeCell ref="BJ6:BL6"/>
    <mergeCell ref="BF7:BI7"/>
    <mergeCell ref="BJ7:BL7"/>
    <mergeCell ref="BQ7:BT7"/>
    <mergeCell ref="AQ7:AQ9"/>
    <mergeCell ref="AR4:AS5"/>
    <mergeCell ref="BM7:BN7"/>
    <mergeCell ref="BO7:BP7"/>
    <mergeCell ref="BM6:BN6"/>
    <mergeCell ref="BO6:BP6"/>
  </mergeCells>
  <printOptions horizontalCentered="1"/>
  <pageMargins left="0.31496062992125984" right="0.31496062992125984" top="0.55118110236220474" bottom="0.35433070866141736" header="0" footer="0"/>
  <pageSetup scale="74" orientation="landscape" r:id="rId1"/>
  <rowBreaks count="1" manualBreakCount="1">
    <brk id="57" max="16383" man="1"/>
  </rowBreaks>
  <colBreaks count="3" manualBreakCount="3">
    <brk id="13" max="1048575" man="1"/>
    <brk id="26" max="1048575" man="1"/>
    <brk id="4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Mhsw2024</vt:lpstr>
      <vt:lpstr>ListMKSmt-1</vt:lpstr>
      <vt:lpstr>MK1-TM</vt:lpstr>
      <vt:lpstr>MK2-TO</vt:lpstr>
      <vt:lpstr>MK3-PSTI</vt:lpstr>
      <vt:lpstr>MK4-L&amp;A</vt:lpstr>
      <vt:lpstr>MK5-BP</vt:lpstr>
      <vt:lpstr>MK7-MBD</vt:lpstr>
      <vt:lpstr>MK8_BID</vt:lpstr>
      <vt:lpstr>MK16-AGM</vt:lpstr>
      <vt:lpstr>MK59-KWN</vt:lpstr>
      <vt:lpstr>Penguk.CPMK-Smt1</vt:lpstr>
      <vt:lpstr>Penguk.CPL-Smt1</vt:lpstr>
      <vt:lpstr>'MK3-PSTI'!Print_Area</vt:lpstr>
      <vt:lpstr>MK8_BID!Print_Area</vt:lpstr>
      <vt:lpstr>'Penguk.CPMK-Smt1'!Print_Area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 Jananto, S.Kom., M.Cs</dc:creator>
  <cp:lastModifiedBy>ThinkPad</cp:lastModifiedBy>
  <cp:lastPrinted>2026-06-05T04:03:22Z</cp:lastPrinted>
  <dcterms:created xsi:type="dcterms:W3CDTF">2026-03-14T10:22:13Z</dcterms:created>
  <dcterms:modified xsi:type="dcterms:W3CDTF">2026-06-05T04:16:14Z</dcterms:modified>
</cp:coreProperties>
</file>