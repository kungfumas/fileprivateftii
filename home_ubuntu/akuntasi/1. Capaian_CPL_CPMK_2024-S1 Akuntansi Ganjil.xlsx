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My Job\UNISBANK\S1 Akuntansi\"/>
    </mc:Choice>
  </mc:AlternateContent>
  <xr:revisionPtr revIDLastSave="0" documentId="13_ncr:1_{085A13A9-BE39-43FF-96F7-795CE901103C}" xr6:coauthVersionLast="47" xr6:coauthVersionMax="47" xr10:uidLastSave="{00000000-0000-0000-0000-000000000000}"/>
  <workbookProtection workbookAlgorithmName="SHA-512" workbookHashValue="KFt0jSvDWKVt7WrqcCeIQSCXzQnjoQG5C4rU/Z3+klddqEDu7FVAgoGUqrWvqnJPVkw8MAW2/bnIeKZrTBL9oA==" workbookSaltValue="VIOCH0NPGG0tsfMtB9kCZQ==" workbookSpinCount="100000" lockStructure="1"/>
  <bookViews>
    <workbookView xWindow="-110" yWindow="-110" windowWidth="19420" windowHeight="10300" firstSheet="7" activeTab="11" xr2:uid="{36399BCF-75EB-4921-A323-7A0FE138B426}"/>
  </bookViews>
  <sheets>
    <sheet name="Mhsw2024" sheetId="1" r:id="rId1"/>
    <sheet name="ListMKSmt-1" sheetId="2" r:id="rId2"/>
    <sheet name="MK1-TM" sheetId="3" r:id="rId3"/>
    <sheet name="MK2-TO" sheetId="4" r:id="rId4"/>
    <sheet name="MK3-PSTI" sheetId="5" r:id="rId5"/>
    <sheet name="MK4-L&amp;A" sheetId="6" r:id="rId6"/>
    <sheet name="MK5-BP" sheetId="7" r:id="rId7"/>
    <sheet name="MK7-MBD" sheetId="8" r:id="rId8"/>
    <sheet name="MK8_BID" sheetId="9" r:id="rId9"/>
    <sheet name="MK16-AGM" sheetId="10" r:id="rId10"/>
    <sheet name="MK59-KWN" sheetId="11" r:id="rId11"/>
    <sheet name="Penguk.CPMK-Smt1" sheetId="12" r:id="rId12"/>
    <sheet name="Penguk.CPL-Smt1" sheetId="13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Print_Area" localSheetId="4">'MK3-PSTI'!$A$1:$H$65</definedName>
    <definedName name="_xlnm.Print_Area" localSheetId="11">'Penguk.CPMK-Smt1'!$A$1:$FO$117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12" i="13" l="1"/>
  <c r="AV20" i="13"/>
  <c r="AV28" i="13"/>
  <c r="AW28" i="13" s="1"/>
  <c r="AV36" i="13"/>
  <c r="AW36" i="13" s="1"/>
  <c r="AV11" i="13"/>
  <c r="AW11" i="13" s="1"/>
  <c r="AV8" i="13"/>
  <c r="AO59" i="13"/>
  <c r="AO56" i="13"/>
  <c r="AN56" i="13"/>
  <c r="AC12" i="13"/>
  <c r="AC13" i="13"/>
  <c r="AC14" i="13"/>
  <c r="AC15" i="13"/>
  <c r="AC16" i="13"/>
  <c r="AC17" i="13"/>
  <c r="AC18" i="13"/>
  <c r="AC19" i="13"/>
  <c r="AC20" i="13"/>
  <c r="AC21" i="13"/>
  <c r="AC22" i="13"/>
  <c r="AC23" i="13"/>
  <c r="AC24" i="13"/>
  <c r="AC25" i="13"/>
  <c r="AC26" i="13"/>
  <c r="AC27" i="13"/>
  <c r="AC28" i="13"/>
  <c r="AC29" i="13"/>
  <c r="AC30" i="13"/>
  <c r="AC31" i="13"/>
  <c r="AC32" i="13"/>
  <c r="AC33" i="13"/>
  <c r="AC34" i="13"/>
  <c r="AC35" i="13"/>
  <c r="AC36" i="13"/>
  <c r="AC37" i="13"/>
  <c r="AC38" i="13"/>
  <c r="AC39" i="13"/>
  <c r="AC40" i="13"/>
  <c r="AC41" i="13"/>
  <c r="AC42" i="13"/>
  <c r="AC43" i="13"/>
  <c r="AC44" i="13"/>
  <c r="AC11" i="13"/>
  <c r="AB12" i="13"/>
  <c r="BB12" i="13" s="1"/>
  <c r="AB13" i="13"/>
  <c r="AB14" i="13"/>
  <c r="AB15" i="13"/>
  <c r="AB16" i="13"/>
  <c r="BB16" i="13" s="1"/>
  <c r="BC16" i="13" s="1"/>
  <c r="AB17" i="13"/>
  <c r="AB18" i="13"/>
  <c r="AB19" i="13"/>
  <c r="AB20" i="13"/>
  <c r="BB20" i="13" s="1"/>
  <c r="BC20" i="13" s="1"/>
  <c r="AB21" i="13"/>
  <c r="AB22" i="13"/>
  <c r="AB23" i="13"/>
  <c r="AB24" i="13"/>
  <c r="BB24" i="13" s="1"/>
  <c r="BC24" i="13" s="1"/>
  <c r="AB25" i="13"/>
  <c r="AB26" i="13"/>
  <c r="AB27" i="13"/>
  <c r="AB28" i="13"/>
  <c r="BB28" i="13" s="1"/>
  <c r="BC28" i="13" s="1"/>
  <c r="AB29" i="13"/>
  <c r="AB30" i="13"/>
  <c r="AB31" i="13"/>
  <c r="AB32" i="13"/>
  <c r="BB32" i="13" s="1"/>
  <c r="AB33" i="13"/>
  <c r="AB34" i="13"/>
  <c r="AB35" i="13"/>
  <c r="AB36" i="13"/>
  <c r="BB36" i="13" s="1"/>
  <c r="AB37" i="13"/>
  <c r="AB38" i="13"/>
  <c r="AB39" i="13"/>
  <c r="AB40" i="13"/>
  <c r="BB40" i="13" s="1"/>
  <c r="AB41" i="13"/>
  <c r="AB42" i="13"/>
  <c r="AB43" i="13"/>
  <c r="AB44" i="13"/>
  <c r="BB44" i="13" s="1"/>
  <c r="AB11" i="13"/>
  <c r="AC8" i="13"/>
  <c r="AC9" i="13"/>
  <c r="AB8" i="13"/>
  <c r="AB9" i="13"/>
  <c r="BB8" i="13" s="1"/>
  <c r="AC7" i="13"/>
  <c r="AB7" i="13"/>
  <c r="AB6" i="13"/>
  <c r="AB5" i="13"/>
  <c r="Z12" i="13"/>
  <c r="Z13" i="13"/>
  <c r="Z14" i="13"/>
  <c r="Z15" i="13"/>
  <c r="Z16" i="13"/>
  <c r="Z17" i="13"/>
  <c r="Z18" i="13"/>
  <c r="Z19" i="13"/>
  <c r="Z20" i="13"/>
  <c r="Z21" i="13"/>
  <c r="Z22" i="13"/>
  <c r="Z23" i="13"/>
  <c r="Z24" i="13"/>
  <c r="Z25" i="13"/>
  <c r="Z26" i="13"/>
  <c r="Z27" i="13"/>
  <c r="Z28" i="13"/>
  <c r="Z29" i="13"/>
  <c r="Z30" i="13"/>
  <c r="Z31" i="13"/>
  <c r="Z32" i="13"/>
  <c r="Z33" i="13"/>
  <c r="Z34" i="13"/>
  <c r="Z35" i="13"/>
  <c r="Z36" i="13"/>
  <c r="Z37" i="13"/>
  <c r="Z38" i="13"/>
  <c r="Z39" i="13"/>
  <c r="Z40" i="13"/>
  <c r="Z41" i="13"/>
  <c r="Z42" i="13"/>
  <c r="Z43" i="13"/>
  <c r="Z44" i="13"/>
  <c r="Z11" i="13"/>
  <c r="Y12" i="13"/>
  <c r="AA12" i="13" s="1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11" i="13"/>
  <c r="Z8" i="13"/>
  <c r="Z9" i="13"/>
  <c r="Z7" i="13"/>
  <c r="Y8" i="13"/>
  <c r="Y9" i="13"/>
  <c r="Y7" i="13"/>
  <c r="Y6" i="13"/>
  <c r="Y5" i="13"/>
  <c r="W12" i="13"/>
  <c r="W13" i="13"/>
  <c r="W14" i="13"/>
  <c r="W15" i="13"/>
  <c r="W16" i="13"/>
  <c r="W17" i="13"/>
  <c r="W18" i="13"/>
  <c r="AF18" i="13" s="1"/>
  <c r="AG18" i="13" s="1"/>
  <c r="W19" i="13"/>
  <c r="W20" i="13"/>
  <c r="W21" i="13"/>
  <c r="W22" i="13"/>
  <c r="W23" i="13"/>
  <c r="W24" i="13"/>
  <c r="W25" i="13"/>
  <c r="W26" i="13"/>
  <c r="AF26" i="13" s="1"/>
  <c r="AG26" i="13" s="1"/>
  <c r="W27" i="13"/>
  <c r="W28" i="13"/>
  <c r="W29" i="13"/>
  <c r="W30" i="13"/>
  <c r="W31" i="13"/>
  <c r="W32" i="13"/>
  <c r="W33" i="13"/>
  <c r="W34" i="13"/>
  <c r="AF34" i="13" s="1"/>
  <c r="AG34" i="13" s="1"/>
  <c r="W35" i="13"/>
  <c r="W36" i="13"/>
  <c r="W37" i="13"/>
  <c r="W38" i="13"/>
  <c r="W39" i="13"/>
  <c r="W40" i="13"/>
  <c r="W41" i="13"/>
  <c r="W42" i="13"/>
  <c r="AF42" i="13" s="1"/>
  <c r="AG42" i="13" s="1"/>
  <c r="W43" i="13"/>
  <c r="W44" i="13"/>
  <c r="W11" i="13"/>
  <c r="V12" i="13"/>
  <c r="AF12" i="13" s="1"/>
  <c r="AG12" i="13" s="1"/>
  <c r="V13" i="13"/>
  <c r="AF13" i="13" s="1"/>
  <c r="AG13" i="13" s="1"/>
  <c r="V14" i="13"/>
  <c r="AF14" i="13" s="1"/>
  <c r="AG14" i="13" s="1"/>
  <c r="V15" i="13"/>
  <c r="V16" i="13"/>
  <c r="AF16" i="13" s="1"/>
  <c r="AG16" i="13" s="1"/>
  <c r="V17" i="13"/>
  <c r="AF17" i="13" s="1"/>
  <c r="AG17" i="13" s="1"/>
  <c r="V18" i="13"/>
  <c r="V19" i="13"/>
  <c r="V20" i="13"/>
  <c r="AF20" i="13" s="1"/>
  <c r="AG20" i="13" s="1"/>
  <c r="V21" i="13"/>
  <c r="AF21" i="13" s="1"/>
  <c r="AG21" i="13" s="1"/>
  <c r="V22" i="13"/>
  <c r="AF22" i="13" s="1"/>
  <c r="AG22" i="13" s="1"/>
  <c r="V23" i="13"/>
  <c r="V24" i="13"/>
  <c r="AF24" i="13" s="1"/>
  <c r="AG24" i="13" s="1"/>
  <c r="V25" i="13"/>
  <c r="AF25" i="13" s="1"/>
  <c r="AG25" i="13" s="1"/>
  <c r="V26" i="13"/>
  <c r="V27" i="13"/>
  <c r="V28" i="13"/>
  <c r="AF28" i="13" s="1"/>
  <c r="AG28" i="13" s="1"/>
  <c r="V29" i="13"/>
  <c r="AF29" i="13" s="1"/>
  <c r="AG29" i="13" s="1"/>
  <c r="V30" i="13"/>
  <c r="AF30" i="13" s="1"/>
  <c r="AG30" i="13" s="1"/>
  <c r="V31" i="13"/>
  <c r="V32" i="13"/>
  <c r="AF32" i="13" s="1"/>
  <c r="AG32" i="13" s="1"/>
  <c r="V33" i="13"/>
  <c r="AF33" i="13" s="1"/>
  <c r="AG33" i="13" s="1"/>
  <c r="V34" i="13"/>
  <c r="V35" i="13"/>
  <c r="V36" i="13"/>
  <c r="AF36" i="13" s="1"/>
  <c r="AG36" i="13" s="1"/>
  <c r="V37" i="13"/>
  <c r="AF37" i="13" s="1"/>
  <c r="AG37" i="13" s="1"/>
  <c r="V38" i="13"/>
  <c r="AF38" i="13" s="1"/>
  <c r="AG38" i="13" s="1"/>
  <c r="V39" i="13"/>
  <c r="V40" i="13"/>
  <c r="AF40" i="13" s="1"/>
  <c r="AG40" i="13" s="1"/>
  <c r="V41" i="13"/>
  <c r="AF41" i="13" s="1"/>
  <c r="AG41" i="13" s="1"/>
  <c r="V42" i="13"/>
  <c r="V43" i="13"/>
  <c r="V44" i="13"/>
  <c r="AF44" i="13" s="1"/>
  <c r="AG44" i="13" s="1"/>
  <c r="V11" i="13"/>
  <c r="X11" i="13" s="1"/>
  <c r="W8" i="13"/>
  <c r="W9" i="13"/>
  <c r="W7" i="13"/>
  <c r="V8" i="13"/>
  <c r="V9" i="13"/>
  <c r="AF8" i="13" s="1"/>
  <c r="V7" i="13"/>
  <c r="V6" i="13"/>
  <c r="V5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32" i="13"/>
  <c r="T33" i="13"/>
  <c r="T34" i="13"/>
  <c r="T35" i="13"/>
  <c r="T36" i="13"/>
  <c r="T37" i="13"/>
  <c r="T38" i="13"/>
  <c r="T39" i="13"/>
  <c r="T40" i="13"/>
  <c r="T41" i="13"/>
  <c r="T42" i="13"/>
  <c r="T43" i="13"/>
  <c r="T44" i="13"/>
  <c r="T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11" i="13"/>
  <c r="T8" i="13"/>
  <c r="T9" i="13"/>
  <c r="T7" i="13"/>
  <c r="S8" i="13"/>
  <c r="S9" i="13"/>
  <c r="S7" i="13"/>
  <c r="S6" i="13"/>
  <c r="S5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11" i="13"/>
  <c r="Q8" i="13"/>
  <c r="Q9" i="13"/>
  <c r="Q7" i="13"/>
  <c r="P8" i="13"/>
  <c r="P9" i="13"/>
  <c r="AN8" i="13" s="1"/>
  <c r="P7" i="13"/>
  <c r="P6" i="13"/>
  <c r="P5" i="13"/>
  <c r="N12" i="13"/>
  <c r="N13" i="13"/>
  <c r="N14" i="13"/>
  <c r="AV14" i="13" s="1"/>
  <c r="AW14" i="13" s="1"/>
  <c r="N15" i="13"/>
  <c r="AV15" i="13" s="1"/>
  <c r="AW15" i="13" s="1"/>
  <c r="N16" i="13"/>
  <c r="AV16" i="13" s="1"/>
  <c r="AW16" i="13" s="1"/>
  <c r="N17" i="13"/>
  <c r="N18" i="13"/>
  <c r="AV18" i="13" s="1"/>
  <c r="AW18" i="13" s="1"/>
  <c r="N19" i="13"/>
  <c r="AV19" i="13" s="1"/>
  <c r="AW19" i="13" s="1"/>
  <c r="N20" i="13"/>
  <c r="N21" i="13"/>
  <c r="N22" i="13"/>
  <c r="AV22" i="13" s="1"/>
  <c r="AW22" i="13" s="1"/>
  <c r="N23" i="13"/>
  <c r="AV23" i="13" s="1"/>
  <c r="AW23" i="13" s="1"/>
  <c r="N24" i="13"/>
  <c r="AV24" i="13" s="1"/>
  <c r="AW24" i="13" s="1"/>
  <c r="N25" i="13"/>
  <c r="N26" i="13"/>
  <c r="AV26" i="13" s="1"/>
  <c r="AW26" i="13" s="1"/>
  <c r="N27" i="13"/>
  <c r="AV27" i="13" s="1"/>
  <c r="AW27" i="13" s="1"/>
  <c r="N28" i="13"/>
  <c r="N29" i="13"/>
  <c r="N30" i="13"/>
  <c r="AV30" i="13" s="1"/>
  <c r="AW30" i="13" s="1"/>
  <c r="N31" i="13"/>
  <c r="AV31" i="13" s="1"/>
  <c r="AW31" i="13" s="1"/>
  <c r="N32" i="13"/>
  <c r="AV32" i="13" s="1"/>
  <c r="AW32" i="13" s="1"/>
  <c r="N33" i="13"/>
  <c r="N34" i="13"/>
  <c r="AV34" i="13" s="1"/>
  <c r="AW34" i="13" s="1"/>
  <c r="N35" i="13"/>
  <c r="AV35" i="13" s="1"/>
  <c r="AW35" i="13" s="1"/>
  <c r="N36" i="13"/>
  <c r="N37" i="13"/>
  <c r="N38" i="13"/>
  <c r="AV38" i="13" s="1"/>
  <c r="AW38" i="13" s="1"/>
  <c r="N39" i="13"/>
  <c r="AV39" i="13" s="1"/>
  <c r="AW39" i="13" s="1"/>
  <c r="N40" i="13"/>
  <c r="AV40" i="13" s="1"/>
  <c r="AW40" i="13" s="1"/>
  <c r="N41" i="13"/>
  <c r="N42" i="13"/>
  <c r="AV42" i="13" s="1"/>
  <c r="AW42" i="13" s="1"/>
  <c r="N43" i="13"/>
  <c r="AV43" i="13" s="1"/>
  <c r="AW43" i="13" s="1"/>
  <c r="N44" i="13"/>
  <c r="AV44" i="13" s="1"/>
  <c r="AW44" i="13" s="1"/>
  <c r="N11" i="13"/>
  <c r="M12" i="13"/>
  <c r="AT12" i="13" s="1"/>
  <c r="M13" i="13"/>
  <c r="AT13" i="13" s="1"/>
  <c r="M14" i="13"/>
  <c r="M15" i="13"/>
  <c r="AT15" i="13" s="1"/>
  <c r="M16" i="13"/>
  <c r="AT16" i="13" s="1"/>
  <c r="M17" i="13"/>
  <c r="AT17" i="13" s="1"/>
  <c r="M18" i="13"/>
  <c r="M19" i="13"/>
  <c r="M20" i="13"/>
  <c r="AT20" i="13" s="1"/>
  <c r="M21" i="13"/>
  <c r="AT21" i="13" s="1"/>
  <c r="M22" i="13"/>
  <c r="M23" i="13"/>
  <c r="AT23" i="13" s="1"/>
  <c r="M24" i="13"/>
  <c r="AT24" i="13" s="1"/>
  <c r="M25" i="13"/>
  <c r="AT25" i="13" s="1"/>
  <c r="M26" i="13"/>
  <c r="M27" i="13"/>
  <c r="M28" i="13"/>
  <c r="AT28" i="13" s="1"/>
  <c r="M29" i="13"/>
  <c r="AT29" i="13" s="1"/>
  <c r="M30" i="13"/>
  <c r="M31" i="13"/>
  <c r="AT31" i="13" s="1"/>
  <c r="M32" i="13"/>
  <c r="AT32" i="13" s="1"/>
  <c r="M33" i="13"/>
  <c r="AT33" i="13" s="1"/>
  <c r="M34" i="13"/>
  <c r="M35" i="13"/>
  <c r="M36" i="13"/>
  <c r="AT36" i="13" s="1"/>
  <c r="M37" i="13"/>
  <c r="AT37" i="13" s="1"/>
  <c r="M38" i="13"/>
  <c r="M39" i="13"/>
  <c r="AT39" i="13" s="1"/>
  <c r="M40" i="13"/>
  <c r="AT40" i="13" s="1"/>
  <c r="M41" i="13"/>
  <c r="AT41" i="13" s="1"/>
  <c r="M42" i="13"/>
  <c r="M43" i="13"/>
  <c r="M44" i="13"/>
  <c r="AT44" i="13" s="1"/>
  <c r="M11" i="13"/>
  <c r="AT11" i="13" s="1"/>
  <c r="N8" i="13"/>
  <c r="N9" i="13"/>
  <c r="N7" i="13"/>
  <c r="M8" i="13"/>
  <c r="M9" i="13"/>
  <c r="M7" i="13"/>
  <c r="M6" i="13"/>
  <c r="M5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K11" i="13"/>
  <c r="J11" i="13"/>
  <c r="I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11" i="13"/>
  <c r="G8" i="13"/>
  <c r="H8" i="13"/>
  <c r="I8" i="13"/>
  <c r="J8" i="13"/>
  <c r="K8" i="13"/>
  <c r="G9" i="13"/>
  <c r="AX8" i="13" s="1"/>
  <c r="H9" i="13"/>
  <c r="I9" i="13"/>
  <c r="J9" i="13"/>
  <c r="K9" i="13"/>
  <c r="AZ8" i="13" s="1"/>
  <c r="H7" i="13"/>
  <c r="I7" i="13"/>
  <c r="J7" i="13"/>
  <c r="K7" i="13"/>
  <c r="G7" i="13"/>
  <c r="G6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11" i="13"/>
  <c r="D12" i="13"/>
  <c r="AH12" i="13" s="1"/>
  <c r="D13" i="13"/>
  <c r="D14" i="13"/>
  <c r="AH14" i="13" s="1"/>
  <c r="D15" i="13"/>
  <c r="D16" i="13"/>
  <c r="AH16" i="13" s="1"/>
  <c r="D17" i="13"/>
  <c r="D18" i="13"/>
  <c r="AH18" i="13" s="1"/>
  <c r="D19" i="13"/>
  <c r="D20" i="13"/>
  <c r="AH20" i="13" s="1"/>
  <c r="D21" i="13"/>
  <c r="D22" i="13"/>
  <c r="AH22" i="13" s="1"/>
  <c r="D23" i="13"/>
  <c r="D24" i="13"/>
  <c r="AH24" i="13" s="1"/>
  <c r="D25" i="13"/>
  <c r="D26" i="13"/>
  <c r="AH26" i="13" s="1"/>
  <c r="D27" i="13"/>
  <c r="D28" i="13"/>
  <c r="AH28" i="13" s="1"/>
  <c r="D29" i="13"/>
  <c r="D30" i="13"/>
  <c r="AH30" i="13" s="1"/>
  <c r="D31" i="13"/>
  <c r="D32" i="13"/>
  <c r="AH32" i="13" s="1"/>
  <c r="D33" i="13"/>
  <c r="D34" i="13"/>
  <c r="AH34" i="13" s="1"/>
  <c r="D35" i="13"/>
  <c r="D36" i="13"/>
  <c r="AH36" i="13" s="1"/>
  <c r="D37" i="13"/>
  <c r="D38" i="13"/>
  <c r="AH38" i="13" s="1"/>
  <c r="D39" i="13"/>
  <c r="D40" i="13"/>
  <c r="AH40" i="13" s="1"/>
  <c r="D41" i="13"/>
  <c r="D42" i="13"/>
  <c r="AH42" i="13" s="1"/>
  <c r="D43" i="13"/>
  <c r="D44" i="13"/>
  <c r="AH44" i="13" s="1"/>
  <c r="D11" i="13"/>
  <c r="E8" i="13"/>
  <c r="E9" i="13"/>
  <c r="E7" i="13"/>
  <c r="D8" i="13"/>
  <c r="D9" i="13"/>
  <c r="D7" i="13"/>
  <c r="J115" i="12"/>
  <c r="J114" i="12"/>
  <c r="I115" i="12"/>
  <c r="I114" i="12"/>
  <c r="J112" i="12"/>
  <c r="I112" i="12"/>
  <c r="H113" i="12"/>
  <c r="H114" i="12"/>
  <c r="H115" i="12"/>
  <c r="G115" i="12"/>
  <c r="G114" i="12"/>
  <c r="G112" i="12"/>
  <c r="F115" i="12"/>
  <c r="F114" i="12"/>
  <c r="F112" i="12"/>
  <c r="E115" i="12"/>
  <c r="E114" i="12"/>
  <c r="E112" i="12"/>
  <c r="E113" i="12"/>
  <c r="J111" i="12"/>
  <c r="J108" i="12"/>
  <c r="K108" i="12" s="1"/>
  <c r="L108" i="12" s="1"/>
  <c r="I111" i="12"/>
  <c r="L109" i="12"/>
  <c r="L110" i="12"/>
  <c r="H109" i="12"/>
  <c r="H110" i="12"/>
  <c r="H111" i="12"/>
  <c r="G111" i="12"/>
  <c r="F111" i="12"/>
  <c r="E111" i="12"/>
  <c r="I105" i="12"/>
  <c r="K105" i="12" s="1"/>
  <c r="L105" i="12" s="1"/>
  <c r="H105" i="12"/>
  <c r="G105" i="12"/>
  <c r="G104" i="12"/>
  <c r="H104" i="12" s="1"/>
  <c r="F105" i="12"/>
  <c r="F104" i="12"/>
  <c r="E105" i="12"/>
  <c r="E104" i="12"/>
  <c r="J104" i="12"/>
  <c r="I104" i="12"/>
  <c r="I103" i="12"/>
  <c r="K103" i="12" s="1"/>
  <c r="L103" i="12" s="1"/>
  <c r="G103" i="12"/>
  <c r="F103" i="12"/>
  <c r="E103" i="12"/>
  <c r="L106" i="12"/>
  <c r="K106" i="12"/>
  <c r="J105" i="12"/>
  <c r="J106" i="12"/>
  <c r="I106" i="12"/>
  <c r="J84" i="12"/>
  <c r="J83" i="12"/>
  <c r="J67" i="12"/>
  <c r="K67" i="12" s="1"/>
  <c r="L67" i="12" s="1"/>
  <c r="CP59" i="12"/>
  <c r="I83" i="12" s="1"/>
  <c r="CQ59" i="12"/>
  <c r="I84" i="12"/>
  <c r="I67" i="12"/>
  <c r="H84" i="12"/>
  <c r="G84" i="12"/>
  <c r="G83" i="12"/>
  <c r="H83" i="12" s="1"/>
  <c r="G67" i="12"/>
  <c r="F83" i="12"/>
  <c r="F84" i="12"/>
  <c r="F67" i="12"/>
  <c r="E84" i="12"/>
  <c r="E83" i="12"/>
  <c r="E67" i="12"/>
  <c r="K77" i="12"/>
  <c r="L77" i="12" s="1"/>
  <c r="G68" i="12"/>
  <c r="F68" i="12"/>
  <c r="L66" i="12"/>
  <c r="L68" i="12"/>
  <c r="L69" i="12"/>
  <c r="L70" i="12"/>
  <c r="L71" i="12"/>
  <c r="L72" i="12"/>
  <c r="L73" i="12"/>
  <c r="L74" i="12"/>
  <c r="L75" i="12"/>
  <c r="L76" i="12"/>
  <c r="L78" i="12"/>
  <c r="L79" i="12"/>
  <c r="L80" i="12"/>
  <c r="L81" i="12"/>
  <c r="L82" i="12"/>
  <c r="L85" i="12"/>
  <c r="L89" i="12"/>
  <c r="L93" i="12"/>
  <c r="L97" i="12"/>
  <c r="L98" i="12"/>
  <c r="L100" i="12"/>
  <c r="L101" i="12"/>
  <c r="L102" i="12"/>
  <c r="L107" i="12"/>
  <c r="L113" i="12"/>
  <c r="L116" i="12"/>
  <c r="K68" i="12"/>
  <c r="K69" i="12"/>
  <c r="K70" i="12"/>
  <c r="K71" i="12"/>
  <c r="K72" i="12"/>
  <c r="K73" i="12"/>
  <c r="K74" i="12"/>
  <c r="K75" i="12"/>
  <c r="K76" i="12"/>
  <c r="K78" i="12"/>
  <c r="K79" i="12"/>
  <c r="K80" i="12"/>
  <c r="K81" i="12"/>
  <c r="K82" i="12"/>
  <c r="K85" i="12"/>
  <c r="K86" i="12"/>
  <c r="L86" i="12" s="1"/>
  <c r="K87" i="12"/>
  <c r="L87" i="12" s="1"/>
  <c r="K88" i="12"/>
  <c r="L88" i="12" s="1"/>
  <c r="K89" i="12"/>
  <c r="K90" i="12"/>
  <c r="L90" i="12" s="1"/>
  <c r="K91" i="12"/>
  <c r="L91" i="12" s="1"/>
  <c r="K92" i="12"/>
  <c r="L92" i="12" s="1"/>
  <c r="K93" i="12"/>
  <c r="K94" i="12"/>
  <c r="L94" i="12" s="1"/>
  <c r="K95" i="12"/>
  <c r="L95" i="12" s="1"/>
  <c r="K96" i="12"/>
  <c r="L96" i="12" s="1"/>
  <c r="K97" i="12"/>
  <c r="K98" i="12"/>
  <c r="K99" i="12"/>
  <c r="L99" i="12" s="1"/>
  <c r="K100" i="12"/>
  <c r="K101" i="12"/>
  <c r="K102" i="12"/>
  <c r="K107" i="12"/>
  <c r="K109" i="12"/>
  <c r="K110" i="12"/>
  <c r="K113" i="12"/>
  <c r="K116" i="12"/>
  <c r="F70" i="12"/>
  <c r="G70" i="12"/>
  <c r="H70" i="12" s="1"/>
  <c r="I70" i="12"/>
  <c r="J70" i="12"/>
  <c r="E73" i="12"/>
  <c r="E72" i="12"/>
  <c r="E68" i="12"/>
  <c r="E74" i="12"/>
  <c r="E66" i="12"/>
  <c r="E69" i="12"/>
  <c r="E78" i="12"/>
  <c r="E79" i="12"/>
  <c r="E86" i="12"/>
  <c r="E87" i="12"/>
  <c r="E88" i="12"/>
  <c r="E89" i="12"/>
  <c r="E90" i="12"/>
  <c r="E91" i="12"/>
  <c r="E95" i="12"/>
  <c r="E96" i="12"/>
  <c r="E97" i="12"/>
  <c r="E99" i="12"/>
  <c r="F66" i="12"/>
  <c r="G66" i="12"/>
  <c r="H66" i="12" s="1"/>
  <c r="I66" i="12"/>
  <c r="F69" i="12"/>
  <c r="G69" i="12"/>
  <c r="H69" i="12" s="1"/>
  <c r="I69" i="12"/>
  <c r="F71" i="12"/>
  <c r="G71" i="12"/>
  <c r="H71" i="12" s="1"/>
  <c r="I71" i="12"/>
  <c r="F72" i="12"/>
  <c r="G72" i="12"/>
  <c r="H72" i="12"/>
  <c r="I72" i="12"/>
  <c r="F78" i="12"/>
  <c r="G78" i="12"/>
  <c r="H78" i="12" s="1"/>
  <c r="I78" i="12"/>
  <c r="F79" i="12"/>
  <c r="G79" i="12"/>
  <c r="H79" i="12"/>
  <c r="I79" i="12"/>
  <c r="F86" i="12"/>
  <c r="G86" i="12"/>
  <c r="H86" i="12" s="1"/>
  <c r="F87" i="12"/>
  <c r="G87" i="12"/>
  <c r="H87" i="12"/>
  <c r="F88" i="12"/>
  <c r="G88" i="12"/>
  <c r="H88" i="12" s="1"/>
  <c r="F89" i="12"/>
  <c r="G89" i="12"/>
  <c r="H89" i="12"/>
  <c r="F90" i="12"/>
  <c r="G90" i="12"/>
  <c r="H90" i="12" s="1"/>
  <c r="F91" i="12"/>
  <c r="G91" i="12"/>
  <c r="H91" i="12" s="1"/>
  <c r="F95" i="12"/>
  <c r="G95" i="12"/>
  <c r="H95" i="12" s="1"/>
  <c r="F96" i="12"/>
  <c r="G96" i="12"/>
  <c r="H96" i="12"/>
  <c r="EH11" i="12"/>
  <c r="EH12" i="12"/>
  <c r="EH13" i="12"/>
  <c r="EH14" i="12"/>
  <c r="EH15" i="12"/>
  <c r="EH16" i="12"/>
  <c r="EH17" i="12"/>
  <c r="EH18" i="12"/>
  <c r="EH19" i="12"/>
  <c r="EF11" i="12"/>
  <c r="CT59" i="12"/>
  <c r="CU59" i="12"/>
  <c r="CV59" i="12"/>
  <c r="CW59" i="12"/>
  <c r="CX59" i="12"/>
  <c r="CY59" i="12"/>
  <c r="CZ59" i="12"/>
  <c r="DA59" i="12"/>
  <c r="DB59" i="12"/>
  <c r="DC59" i="12"/>
  <c r="DD59" i="12"/>
  <c r="DE59" i="12"/>
  <c r="DF59" i="12"/>
  <c r="DG59" i="12"/>
  <c r="DH59" i="12"/>
  <c r="DI59" i="12"/>
  <c r="DJ59" i="12"/>
  <c r="DK59" i="12"/>
  <c r="DL59" i="12"/>
  <c r="DM59" i="12"/>
  <c r="DN59" i="12"/>
  <c r="DO59" i="12"/>
  <c r="DP59" i="12"/>
  <c r="DQ59" i="12"/>
  <c r="DT59" i="12"/>
  <c r="DU59" i="12"/>
  <c r="DV59" i="12"/>
  <c r="DW59" i="12"/>
  <c r="FB59" i="12"/>
  <c r="FC59" i="12"/>
  <c r="AI44" i="13" l="1"/>
  <c r="AI32" i="13"/>
  <c r="AI24" i="13"/>
  <c r="AI12" i="13"/>
  <c r="AH43" i="13"/>
  <c r="AH39" i="13"/>
  <c r="AI39" i="13" s="1"/>
  <c r="AH35" i="13"/>
  <c r="AH31" i="13"/>
  <c r="AI31" i="13" s="1"/>
  <c r="AH27" i="13"/>
  <c r="AH23" i="13"/>
  <c r="AI23" i="13" s="1"/>
  <c r="AH19" i="13"/>
  <c r="AH15" i="13"/>
  <c r="AI15" i="13" s="1"/>
  <c r="AU37" i="13"/>
  <c r="AU29" i="13"/>
  <c r="AU21" i="13"/>
  <c r="AU13" i="13"/>
  <c r="AI36" i="13"/>
  <c r="AI38" i="13"/>
  <c r="AI30" i="13"/>
  <c r="AI22" i="13"/>
  <c r="AU39" i="13"/>
  <c r="AU23" i="13"/>
  <c r="AI20" i="13"/>
  <c r="AX35" i="13"/>
  <c r="AY35" i="13" s="1"/>
  <c r="AX19" i="13"/>
  <c r="AY19" i="13" s="1"/>
  <c r="AX42" i="13"/>
  <c r="AY42" i="13" s="1"/>
  <c r="AX26" i="13"/>
  <c r="AY26" i="13" s="1"/>
  <c r="AX14" i="13"/>
  <c r="AY14" i="13" s="1"/>
  <c r="AZ42" i="13"/>
  <c r="BA42" i="13" s="1"/>
  <c r="AZ30" i="13"/>
  <c r="BA30" i="13" s="1"/>
  <c r="AU28" i="13"/>
  <c r="AH11" i="13"/>
  <c r="AH41" i="13"/>
  <c r="AH37" i="13"/>
  <c r="AI37" i="13" s="1"/>
  <c r="AH33" i="13"/>
  <c r="AH29" i="13"/>
  <c r="AI29" i="13" s="1"/>
  <c r="AH25" i="13"/>
  <c r="AH21" i="13"/>
  <c r="AI21" i="13" s="1"/>
  <c r="AH17" i="13"/>
  <c r="AH13" i="13"/>
  <c r="AI13" i="13" s="1"/>
  <c r="AX11" i="13"/>
  <c r="AY11" i="13" s="1"/>
  <c r="AX41" i="13"/>
  <c r="AY41" i="13" s="1"/>
  <c r="AX37" i="13"/>
  <c r="AY37" i="13" s="1"/>
  <c r="AX33" i="13"/>
  <c r="AY33" i="13" s="1"/>
  <c r="AX29" i="13"/>
  <c r="AY29" i="13" s="1"/>
  <c r="AX25" i="13"/>
  <c r="AY25" i="13" s="1"/>
  <c r="AX21" i="13"/>
  <c r="AY21" i="13" s="1"/>
  <c r="AX17" i="13"/>
  <c r="AY17" i="13" s="1"/>
  <c r="AX13" i="13"/>
  <c r="AY13" i="13" s="1"/>
  <c r="AZ41" i="13"/>
  <c r="BA41" i="13" s="1"/>
  <c r="AZ37" i="13"/>
  <c r="BA37" i="13" s="1"/>
  <c r="AZ33" i="13"/>
  <c r="BA33" i="13" s="1"/>
  <c r="AZ29" i="13"/>
  <c r="BA29" i="13" s="1"/>
  <c r="AZ25" i="13"/>
  <c r="BA25" i="13" s="1"/>
  <c r="AZ21" i="13"/>
  <c r="BA21" i="13" s="1"/>
  <c r="AZ17" i="13"/>
  <c r="BA17" i="13" s="1"/>
  <c r="AZ13" i="13"/>
  <c r="BA13" i="13" s="1"/>
  <c r="AV41" i="13"/>
  <c r="AW41" i="13" s="1"/>
  <c r="AV37" i="13"/>
  <c r="AW37" i="13" s="1"/>
  <c r="AV33" i="13"/>
  <c r="AW33" i="13" s="1"/>
  <c r="AV29" i="13"/>
  <c r="AW29" i="13" s="1"/>
  <c r="AV25" i="13"/>
  <c r="AW25" i="13" s="1"/>
  <c r="AV21" i="13"/>
  <c r="AW21" i="13" s="1"/>
  <c r="AV17" i="13"/>
  <c r="AW17" i="13" s="1"/>
  <c r="AV13" i="13"/>
  <c r="AW13" i="13" s="1"/>
  <c r="AF43" i="13"/>
  <c r="AG43" i="13" s="1"/>
  <c r="AF39" i="13"/>
  <c r="AG39" i="13" s="1"/>
  <c r="AF35" i="13"/>
  <c r="AG35" i="13" s="1"/>
  <c r="AF31" i="13"/>
  <c r="AG31" i="13" s="1"/>
  <c r="AF27" i="13"/>
  <c r="AG27" i="13" s="1"/>
  <c r="AF23" i="13"/>
  <c r="AG23" i="13" s="1"/>
  <c r="AF19" i="13"/>
  <c r="AG19" i="13" s="1"/>
  <c r="AF15" i="13"/>
  <c r="AG15" i="13" s="1"/>
  <c r="AX31" i="13"/>
  <c r="AY31" i="13" s="1"/>
  <c r="AX15" i="13"/>
  <c r="AY15" i="13" s="1"/>
  <c r="AZ11" i="13"/>
  <c r="AH8" i="13"/>
  <c r="AI40" i="13" s="1"/>
  <c r="AX38" i="13"/>
  <c r="AY38" i="13" s="1"/>
  <c r="AX30" i="13"/>
  <c r="AY30" i="13" s="1"/>
  <c r="AX18" i="13"/>
  <c r="AY18" i="13" s="1"/>
  <c r="AZ38" i="13"/>
  <c r="BA38" i="13" s="1"/>
  <c r="AZ26" i="13"/>
  <c r="BA26" i="13" s="1"/>
  <c r="AZ18" i="13"/>
  <c r="BA18" i="13" s="1"/>
  <c r="AU44" i="13"/>
  <c r="AU20" i="13"/>
  <c r="AX44" i="13"/>
  <c r="AY44" i="13" s="1"/>
  <c r="AX40" i="13"/>
  <c r="AY40" i="13" s="1"/>
  <c r="AX36" i="13"/>
  <c r="AY36" i="13" s="1"/>
  <c r="AX32" i="13"/>
  <c r="AY32" i="13" s="1"/>
  <c r="AX28" i="13"/>
  <c r="AY28" i="13" s="1"/>
  <c r="AX24" i="13"/>
  <c r="AY24" i="13" s="1"/>
  <c r="AX20" i="13"/>
  <c r="AY20" i="13" s="1"/>
  <c r="AX16" i="13"/>
  <c r="AY16" i="13" s="1"/>
  <c r="AX12" i="13"/>
  <c r="AY12" i="13" s="1"/>
  <c r="AZ44" i="13"/>
  <c r="BA44" i="13" s="1"/>
  <c r="AZ40" i="13"/>
  <c r="BA40" i="13" s="1"/>
  <c r="AZ36" i="13"/>
  <c r="BA36" i="13" s="1"/>
  <c r="AZ32" i="13"/>
  <c r="BA32" i="13" s="1"/>
  <c r="AZ28" i="13"/>
  <c r="BA28" i="13" s="1"/>
  <c r="AZ24" i="13"/>
  <c r="BA24" i="13" s="1"/>
  <c r="AZ20" i="13"/>
  <c r="BA20" i="13" s="1"/>
  <c r="AZ16" i="13"/>
  <c r="BA16" i="13" s="1"/>
  <c r="AZ12" i="13"/>
  <c r="BA12" i="13" s="1"/>
  <c r="AT53" i="13"/>
  <c r="AT51" i="13"/>
  <c r="AT8" i="13"/>
  <c r="AU33" i="13" s="1"/>
  <c r="AT42" i="13"/>
  <c r="AU42" i="13" s="1"/>
  <c r="AT38" i="13"/>
  <c r="AU38" i="13" s="1"/>
  <c r="AT34" i="13"/>
  <c r="AU34" i="13" s="1"/>
  <c r="AT30" i="13"/>
  <c r="AU30" i="13" s="1"/>
  <c r="AT26" i="13"/>
  <c r="AU26" i="13" s="1"/>
  <c r="AT22" i="13"/>
  <c r="AU22" i="13" s="1"/>
  <c r="AT18" i="13"/>
  <c r="AU18" i="13" s="1"/>
  <c r="AT14" i="13"/>
  <c r="AU14" i="13" s="1"/>
  <c r="AD42" i="13"/>
  <c r="BB42" i="13"/>
  <c r="AD38" i="13"/>
  <c r="BB38" i="13"/>
  <c r="AD34" i="13"/>
  <c r="BB34" i="13"/>
  <c r="AD30" i="13"/>
  <c r="BB30" i="13"/>
  <c r="BC30" i="13" s="1"/>
  <c r="AD26" i="13"/>
  <c r="BB26" i="13"/>
  <c r="BC26" i="13" s="1"/>
  <c r="AD22" i="13"/>
  <c r="BB22" i="13"/>
  <c r="BC22" i="13" s="1"/>
  <c r="AD18" i="13"/>
  <c r="BB18" i="13"/>
  <c r="BC18" i="13" s="1"/>
  <c r="AD14" i="13"/>
  <c r="BB14" i="13"/>
  <c r="AX43" i="13"/>
  <c r="AY43" i="13" s="1"/>
  <c r="AX27" i="13"/>
  <c r="AY27" i="13" s="1"/>
  <c r="AZ43" i="13"/>
  <c r="BA43" i="13" s="1"/>
  <c r="AZ39" i="13"/>
  <c r="BA39" i="13" s="1"/>
  <c r="AZ35" i="13"/>
  <c r="BA35" i="13" s="1"/>
  <c r="AZ31" i="13"/>
  <c r="BA31" i="13" s="1"/>
  <c r="AZ27" i="13"/>
  <c r="BA27" i="13" s="1"/>
  <c r="AZ23" i="13"/>
  <c r="BA23" i="13" s="1"/>
  <c r="AZ19" i="13"/>
  <c r="BA19" i="13" s="1"/>
  <c r="AZ15" i="13"/>
  <c r="BA15" i="13" s="1"/>
  <c r="AU11" i="13"/>
  <c r="AF11" i="13"/>
  <c r="AT43" i="13"/>
  <c r="AU43" i="13" s="1"/>
  <c r="AT35" i="13"/>
  <c r="AU35" i="13" s="1"/>
  <c r="AT27" i="13"/>
  <c r="AU27" i="13" s="1"/>
  <c r="AT19" i="13"/>
  <c r="AU19" i="13" s="1"/>
  <c r="AW20" i="13"/>
  <c r="AW12" i="13"/>
  <c r="AX39" i="13"/>
  <c r="AY39" i="13" s="1"/>
  <c r="AX23" i="13"/>
  <c r="AY23" i="13" s="1"/>
  <c r="AX34" i="13"/>
  <c r="AY34" i="13" s="1"/>
  <c r="AX22" i="13"/>
  <c r="AY22" i="13" s="1"/>
  <c r="AZ34" i="13"/>
  <c r="BA34" i="13" s="1"/>
  <c r="AZ22" i="13"/>
  <c r="BA22" i="13" s="1"/>
  <c r="AZ14" i="13"/>
  <c r="BA14" i="13" s="1"/>
  <c r="AU40" i="13"/>
  <c r="AU36" i="13"/>
  <c r="AU24" i="13"/>
  <c r="AU12" i="13"/>
  <c r="AD43" i="13"/>
  <c r="BB43" i="13"/>
  <c r="AD39" i="13"/>
  <c r="BB39" i="13"/>
  <c r="AD35" i="13"/>
  <c r="BB35" i="13"/>
  <c r="AD31" i="13"/>
  <c r="BB31" i="13"/>
  <c r="AD27" i="13"/>
  <c r="BB27" i="13"/>
  <c r="BC27" i="13" s="1"/>
  <c r="AD23" i="13"/>
  <c r="BB23" i="13"/>
  <c r="BC23" i="13" s="1"/>
  <c r="AD19" i="13"/>
  <c r="BB19" i="13"/>
  <c r="BC19" i="13" s="1"/>
  <c r="AD15" i="13"/>
  <c r="BB15" i="13"/>
  <c r="AA11" i="13"/>
  <c r="AA41" i="13"/>
  <c r="AA37" i="13"/>
  <c r="AA33" i="13"/>
  <c r="AA29" i="13"/>
  <c r="AA25" i="13"/>
  <c r="AA21" i="13"/>
  <c r="AA17" i="13"/>
  <c r="AA13" i="13"/>
  <c r="AD20" i="13"/>
  <c r="AD11" i="13"/>
  <c r="BB11" i="13"/>
  <c r="AD41" i="13"/>
  <c r="BB41" i="13"/>
  <c r="AD37" i="13"/>
  <c r="BB37" i="13"/>
  <c r="AD33" i="13"/>
  <c r="BB33" i="13"/>
  <c r="AD29" i="13"/>
  <c r="BB29" i="13"/>
  <c r="BC29" i="13" s="1"/>
  <c r="AD25" i="13"/>
  <c r="BB25" i="13"/>
  <c r="BC25" i="13" s="1"/>
  <c r="AD21" i="13"/>
  <c r="BB21" i="13"/>
  <c r="BC21" i="13" s="1"/>
  <c r="AD17" i="13"/>
  <c r="BB17" i="13"/>
  <c r="BC17" i="13" s="1"/>
  <c r="AD13" i="13"/>
  <c r="BB13" i="13"/>
  <c r="AD44" i="13"/>
  <c r="AD32" i="13"/>
  <c r="AD24" i="13"/>
  <c r="AD16" i="13"/>
  <c r="AD12" i="13"/>
  <c r="AD36" i="13"/>
  <c r="AD40" i="13"/>
  <c r="AD28" i="13"/>
  <c r="AA44" i="13"/>
  <c r="AA40" i="13"/>
  <c r="AA36" i="13"/>
  <c r="AA32" i="13"/>
  <c r="AA28" i="13"/>
  <c r="AA24" i="13"/>
  <c r="AA20" i="13"/>
  <c r="AA16" i="13"/>
  <c r="L41" i="13"/>
  <c r="L37" i="13"/>
  <c r="R42" i="13"/>
  <c r="U21" i="13"/>
  <c r="X13" i="13"/>
  <c r="AA23" i="13"/>
  <c r="AA42" i="13"/>
  <c r="AA38" i="13"/>
  <c r="AA34" i="13"/>
  <c r="AA30" i="13"/>
  <c r="AA26" i="13"/>
  <c r="AA22" i="13"/>
  <c r="AA18" i="13"/>
  <c r="AA14" i="13"/>
  <c r="X42" i="13"/>
  <c r="X34" i="13"/>
  <c r="X22" i="13"/>
  <c r="AA39" i="13"/>
  <c r="AA31" i="13"/>
  <c r="AA15" i="13"/>
  <c r="U11" i="13"/>
  <c r="X38" i="13"/>
  <c r="X26" i="13"/>
  <c r="X14" i="13"/>
  <c r="AA43" i="13"/>
  <c r="AA35" i="13"/>
  <c r="AA27" i="13"/>
  <c r="AA19" i="13"/>
  <c r="X44" i="13"/>
  <c r="X40" i="13"/>
  <c r="X36" i="13"/>
  <c r="X32" i="13"/>
  <c r="X28" i="13"/>
  <c r="X24" i="13"/>
  <c r="X20" i="13"/>
  <c r="X16" i="13"/>
  <c r="X12" i="13"/>
  <c r="X30" i="13"/>
  <c r="X18" i="13"/>
  <c r="L33" i="13"/>
  <c r="L29" i="13"/>
  <c r="L25" i="13"/>
  <c r="L21" i="13"/>
  <c r="L17" i="13"/>
  <c r="L13" i="13"/>
  <c r="R34" i="13"/>
  <c r="R18" i="13"/>
  <c r="U30" i="13"/>
  <c r="U18" i="13"/>
  <c r="X43" i="13"/>
  <c r="X39" i="13"/>
  <c r="X35" i="13"/>
  <c r="X27" i="13"/>
  <c r="X23" i="13"/>
  <c r="X19" i="13"/>
  <c r="X15" i="13"/>
  <c r="O41" i="13"/>
  <c r="O37" i="13"/>
  <c r="O33" i="13"/>
  <c r="O29" i="13"/>
  <c r="O25" i="13"/>
  <c r="O21" i="13"/>
  <c r="O17" i="13"/>
  <c r="O13" i="13"/>
  <c r="R11" i="13"/>
  <c r="R41" i="13"/>
  <c r="R37" i="13"/>
  <c r="R33" i="13"/>
  <c r="R29" i="13"/>
  <c r="R25" i="13"/>
  <c r="R21" i="13"/>
  <c r="R17" i="13"/>
  <c r="R13" i="13"/>
  <c r="R38" i="13"/>
  <c r="R26" i="13"/>
  <c r="R14" i="13"/>
  <c r="U42" i="13"/>
  <c r="U34" i="13"/>
  <c r="U22" i="13"/>
  <c r="X31" i="13"/>
  <c r="O44" i="13"/>
  <c r="O40" i="13"/>
  <c r="O36" i="13"/>
  <c r="O32" i="13"/>
  <c r="O28" i="13"/>
  <c r="O24" i="13"/>
  <c r="O20" i="13"/>
  <c r="O16" i="13"/>
  <c r="O12" i="13"/>
  <c r="R44" i="13"/>
  <c r="R40" i="13"/>
  <c r="R36" i="13"/>
  <c r="R32" i="13"/>
  <c r="R28" i="13"/>
  <c r="R24" i="13"/>
  <c r="R20" i="13"/>
  <c r="R16" i="13"/>
  <c r="R12" i="13"/>
  <c r="U44" i="13"/>
  <c r="U40" i="13"/>
  <c r="U36" i="13"/>
  <c r="U32" i="13"/>
  <c r="U28" i="13"/>
  <c r="U24" i="13"/>
  <c r="U20" i="13"/>
  <c r="U16" i="13"/>
  <c r="U12" i="13"/>
  <c r="X41" i="13"/>
  <c r="X37" i="13"/>
  <c r="X33" i="13"/>
  <c r="X29" i="13"/>
  <c r="X25" i="13"/>
  <c r="X21" i="13"/>
  <c r="X17" i="13"/>
  <c r="R30" i="13"/>
  <c r="R22" i="13"/>
  <c r="U38" i="13"/>
  <c r="U26" i="13"/>
  <c r="U14" i="13"/>
  <c r="O14" i="13"/>
  <c r="O43" i="13"/>
  <c r="O39" i="13"/>
  <c r="O35" i="13"/>
  <c r="O31" i="13"/>
  <c r="O27" i="13"/>
  <c r="O23" i="13"/>
  <c r="O19" i="13"/>
  <c r="O15" i="13"/>
  <c r="R43" i="13"/>
  <c r="R39" i="13"/>
  <c r="R35" i="13"/>
  <c r="R31" i="13"/>
  <c r="R27" i="13"/>
  <c r="R23" i="13"/>
  <c r="R19" i="13"/>
  <c r="R15" i="13"/>
  <c r="U43" i="13"/>
  <c r="U39" i="13"/>
  <c r="U35" i="13"/>
  <c r="U31" i="13"/>
  <c r="U27" i="13"/>
  <c r="U23" i="13"/>
  <c r="U19" i="13"/>
  <c r="U15" i="13"/>
  <c r="O30" i="13"/>
  <c r="O18" i="13"/>
  <c r="U41" i="13"/>
  <c r="U29" i="13"/>
  <c r="U13" i="13"/>
  <c r="O42" i="13"/>
  <c r="O34" i="13"/>
  <c r="O22" i="13"/>
  <c r="U33" i="13"/>
  <c r="U17" i="13"/>
  <c r="L20" i="13"/>
  <c r="L43" i="13"/>
  <c r="L39" i="13"/>
  <c r="L35" i="13"/>
  <c r="L31" i="13"/>
  <c r="L27" i="13"/>
  <c r="L23" i="13"/>
  <c r="L19" i="13"/>
  <c r="L15" i="13"/>
  <c r="O38" i="13"/>
  <c r="O26" i="13"/>
  <c r="U37" i="13"/>
  <c r="U25" i="13"/>
  <c r="L42" i="13"/>
  <c r="L38" i="13"/>
  <c r="L34" i="13"/>
  <c r="L30" i="13"/>
  <c r="L26" i="13"/>
  <c r="L22" i="13"/>
  <c r="L18" i="13"/>
  <c r="L14" i="13"/>
  <c r="O11" i="13"/>
  <c r="L36" i="13"/>
  <c r="L24" i="13"/>
  <c r="L12" i="13"/>
  <c r="L40" i="13"/>
  <c r="L28" i="13"/>
  <c r="L16" i="13"/>
  <c r="L44" i="13"/>
  <c r="L32" i="13"/>
  <c r="F41" i="13"/>
  <c r="F44" i="13"/>
  <c r="F40" i="13"/>
  <c r="F36" i="13"/>
  <c r="F32" i="13"/>
  <c r="F28" i="13"/>
  <c r="F24" i="13"/>
  <c r="F20" i="13"/>
  <c r="F16" i="13"/>
  <c r="F12" i="13"/>
  <c r="F18" i="13"/>
  <c r="F43" i="13"/>
  <c r="F39" i="13"/>
  <c r="F35" i="13"/>
  <c r="F31" i="13"/>
  <c r="F27" i="13"/>
  <c r="F23" i="13"/>
  <c r="F19" i="13"/>
  <c r="F15" i="13"/>
  <c r="F37" i="13"/>
  <c r="F33" i="13"/>
  <c r="F29" i="13"/>
  <c r="F25" i="13"/>
  <c r="F21" i="13"/>
  <c r="F17" i="13"/>
  <c r="F13" i="13"/>
  <c r="F30" i="13"/>
  <c r="F14" i="13"/>
  <c r="F38" i="13"/>
  <c r="F26" i="13"/>
  <c r="F22" i="13"/>
  <c r="F42" i="13"/>
  <c r="F34" i="13"/>
  <c r="K115" i="12"/>
  <c r="L115" i="12" s="1"/>
  <c r="K114" i="12"/>
  <c r="L114" i="12" s="1"/>
  <c r="K112" i="12"/>
  <c r="L112" i="12" s="1"/>
  <c r="K111" i="12"/>
  <c r="L111" i="12" s="1"/>
  <c r="K104" i="12"/>
  <c r="L104" i="12" s="1"/>
  <c r="K84" i="12"/>
  <c r="L84" i="12" s="1"/>
  <c r="K83" i="12"/>
  <c r="L83" i="12" s="1"/>
  <c r="AU32" i="13" l="1"/>
  <c r="AY59" i="13"/>
  <c r="AI25" i="13"/>
  <c r="AI41" i="13"/>
  <c r="AU15" i="13"/>
  <c r="AI14" i="13"/>
  <c r="AI34" i="13"/>
  <c r="AI18" i="13"/>
  <c r="AU25" i="13"/>
  <c r="AU41" i="13"/>
  <c r="AI27" i="13"/>
  <c r="AI43" i="13"/>
  <c r="AI28" i="13"/>
  <c r="BA11" i="13"/>
  <c r="AZ56" i="13"/>
  <c r="AI17" i="13"/>
  <c r="AI33" i="13"/>
  <c r="AU16" i="13"/>
  <c r="AU56" i="13" s="1"/>
  <c r="AU31" i="13"/>
  <c r="AI26" i="13"/>
  <c r="AI42" i="13"/>
  <c r="AU17" i="13"/>
  <c r="AI19" i="13"/>
  <c r="AI35" i="13"/>
  <c r="AI16" i="13"/>
  <c r="EZ45" i="12"/>
  <c r="FA45" i="12" s="1"/>
  <c r="EZ51" i="12"/>
  <c r="FA51" i="12" s="1"/>
  <c r="EZ53" i="12"/>
  <c r="FA53" i="12" s="1"/>
  <c r="EZ58" i="12"/>
  <c r="EX45" i="12"/>
  <c r="EY45" i="12" s="1"/>
  <c r="EX51" i="12"/>
  <c r="EY51" i="12" s="1"/>
  <c r="EX53" i="12"/>
  <c r="EY53" i="12" s="1"/>
  <c r="EX58" i="12"/>
  <c r="ET45" i="12"/>
  <c r="EU45" i="12" s="1"/>
  <c r="ET51" i="12"/>
  <c r="EU51" i="12" s="1"/>
  <c r="ET53" i="12"/>
  <c r="EU53" i="12" s="1"/>
  <c r="ET58" i="12"/>
  <c r="ER45" i="12"/>
  <c r="ES45" i="12" s="1"/>
  <c r="ER51" i="12"/>
  <c r="ES51" i="12" s="1"/>
  <c r="ER53" i="12"/>
  <c r="ES53" i="12" s="1"/>
  <c r="ER58" i="12"/>
  <c r="EL9" i="12"/>
  <c r="E108" i="12" s="1"/>
  <c r="EO12" i="12"/>
  <c r="EO13" i="12"/>
  <c r="EO14" i="12"/>
  <c r="EO15" i="12"/>
  <c r="EO16" i="12"/>
  <c r="EO17" i="12"/>
  <c r="EO18" i="12"/>
  <c r="EO19" i="12"/>
  <c r="EO20" i="12"/>
  <c r="EO21" i="12"/>
  <c r="EO22" i="12"/>
  <c r="EO23" i="12"/>
  <c r="EO24" i="12"/>
  <c r="EO25" i="12"/>
  <c r="EO26" i="12"/>
  <c r="EO27" i="12"/>
  <c r="EO28" i="12"/>
  <c r="EO29" i="12"/>
  <c r="EO30" i="12"/>
  <c r="EO31" i="12"/>
  <c r="EO32" i="12"/>
  <c r="EO33" i="12"/>
  <c r="EO34" i="12"/>
  <c r="EO35" i="12"/>
  <c r="EO36" i="12"/>
  <c r="EO37" i="12"/>
  <c r="EO38" i="12"/>
  <c r="EO39" i="12"/>
  <c r="EO40" i="12"/>
  <c r="EO41" i="12"/>
  <c r="EO42" i="12"/>
  <c r="EO43" i="12"/>
  <c r="EO44" i="12"/>
  <c r="EO45" i="12"/>
  <c r="EO46" i="12"/>
  <c r="EO47" i="12"/>
  <c r="EO48" i="12"/>
  <c r="EO49" i="12"/>
  <c r="EO50" i="12"/>
  <c r="EO51" i="12"/>
  <c r="EO52" i="12"/>
  <c r="EO53" i="12"/>
  <c r="EO54" i="12"/>
  <c r="EO55" i="12"/>
  <c r="EO56" i="12"/>
  <c r="EO57" i="12"/>
  <c r="EO58" i="12"/>
  <c r="EM45" i="12"/>
  <c r="H14" i="12"/>
  <c r="ED14" i="12" s="1"/>
  <c r="EE14" i="12" s="1"/>
  <c r="EL55" i="12"/>
  <c r="EH55" i="12"/>
  <c r="EH58" i="12"/>
  <c r="I14" i="12"/>
  <c r="EF14" i="12" s="1"/>
  <c r="EF55" i="12"/>
  <c r="EG55" i="12" s="1"/>
  <c r="EF58" i="12"/>
  <c r="ED45" i="12"/>
  <c r="EE45" i="12" s="1"/>
  <c r="ED46" i="12"/>
  <c r="EE46" i="12" s="1"/>
  <c r="ED47" i="12"/>
  <c r="EE47" i="12" s="1"/>
  <c r="ED48" i="12"/>
  <c r="EE48" i="12" s="1"/>
  <c r="ED49" i="12"/>
  <c r="EE49" i="12" s="1"/>
  <c r="ED50" i="12"/>
  <c r="EE50" i="12" s="1"/>
  <c r="ED51" i="12"/>
  <c r="EE51" i="12" s="1"/>
  <c r="ED52" i="12"/>
  <c r="EE52" i="12" s="1"/>
  <c r="ED53" i="12"/>
  <c r="EE53" i="12" s="1"/>
  <c r="ED54" i="12"/>
  <c r="EE54" i="12" s="1"/>
  <c r="ED55" i="12"/>
  <c r="EE55" i="12" s="1"/>
  <c r="ED58" i="12"/>
  <c r="J24" i="12"/>
  <c r="ED60" i="12"/>
  <c r="ED61" i="12"/>
  <c r="EB45" i="12"/>
  <c r="EB51" i="12"/>
  <c r="EB53" i="12"/>
  <c r="EB58" i="12"/>
  <c r="AU59" i="13" l="1"/>
  <c r="BA56" i="13"/>
  <c r="BA59" i="13"/>
  <c r="EH24" i="12"/>
  <c r="EI24" i="12" s="1"/>
  <c r="EM55" i="12"/>
  <c r="EH9" i="12"/>
  <c r="EF9" i="12"/>
  <c r="E107" i="12"/>
  <c r="DX45" i="12"/>
  <c r="DX51" i="12"/>
  <c r="DX53" i="12"/>
  <c r="DX58" i="12"/>
  <c r="DR45" i="12"/>
  <c r="DS45" i="12" s="1"/>
  <c r="DR51" i="12"/>
  <c r="DS51" i="12" s="1"/>
  <c r="DR53" i="12"/>
  <c r="DS53" i="12" s="1"/>
  <c r="DR58" i="12"/>
  <c r="CR45" i="12"/>
  <c r="CS45" i="12" s="1"/>
  <c r="CR51" i="12"/>
  <c r="CS51" i="12" s="1"/>
  <c r="CR53" i="12"/>
  <c r="CS53" i="12" s="1"/>
  <c r="CR58" i="12"/>
  <c r="CP9" i="12"/>
  <c r="CP45" i="12"/>
  <c r="CQ45" i="12" s="1"/>
  <c r="CP51" i="12"/>
  <c r="CQ51" i="12" s="1"/>
  <c r="CP53" i="12"/>
  <c r="CQ53" i="12" s="1"/>
  <c r="BT45" i="12"/>
  <c r="BU45" i="12" s="1"/>
  <c r="BT51" i="12"/>
  <c r="BU51" i="12" s="1"/>
  <c r="BT53" i="12"/>
  <c r="BU53" i="12" s="1"/>
  <c r="BT9" i="12"/>
  <c r="BP9" i="12"/>
  <c r="E65" i="12" s="1"/>
  <c r="EI19" i="12" l="1"/>
  <c r="EI15" i="12"/>
  <c r="EI18" i="12"/>
  <c r="EI13" i="12"/>
  <c r="EI16" i="12"/>
  <c r="EI11" i="12"/>
  <c r="EI14" i="12"/>
  <c r="EI12" i="12"/>
  <c r="EI17" i="12"/>
  <c r="EG14" i="12"/>
  <c r="EG11" i="12"/>
  <c r="EM11" i="12"/>
  <c r="EM14" i="12"/>
  <c r="BL45" i="12"/>
  <c r="BL51" i="12"/>
  <c r="BL53" i="12"/>
  <c r="BL58" i="12"/>
  <c r="BL59" i="12"/>
  <c r="BJ45" i="12"/>
  <c r="BJ51" i="12"/>
  <c r="BJ53" i="12"/>
  <c r="BJ58" i="12"/>
  <c r="BJ59" i="12"/>
  <c r="AB8" i="12" l="1"/>
  <c r="AC8" i="12"/>
  <c r="AB9" i="12"/>
  <c r="EX9" i="12" s="1"/>
  <c r="AC9" i="12"/>
  <c r="EZ9" i="12" s="1"/>
  <c r="AC7" i="12"/>
  <c r="AB7" i="12"/>
  <c r="Y8" i="12"/>
  <c r="Z8" i="12"/>
  <c r="Y9" i="12"/>
  <c r="BL9" i="12" s="1"/>
  <c r="E63" i="12" s="1"/>
  <c r="Z9" i="12"/>
  <c r="BN9" i="12" s="1"/>
  <c r="E64" i="12" s="1"/>
  <c r="Z7" i="12"/>
  <c r="Y7" i="12"/>
  <c r="V8" i="12"/>
  <c r="W8" i="12"/>
  <c r="V9" i="12"/>
  <c r="BJ9" i="12" s="1"/>
  <c r="E62" i="12" s="1"/>
  <c r="W9" i="12"/>
  <c r="W7" i="12"/>
  <c r="V7" i="12"/>
  <c r="S9" i="12"/>
  <c r="ER9" i="12" s="1"/>
  <c r="T9" i="12"/>
  <c r="ET9" i="12" s="1"/>
  <c r="S8" i="12"/>
  <c r="T8" i="12"/>
  <c r="T7" i="12"/>
  <c r="S7" i="12"/>
  <c r="AB6" i="12"/>
  <c r="AB5" i="12"/>
  <c r="AC12" i="12"/>
  <c r="EZ12" i="12" s="1"/>
  <c r="FA12" i="12" s="1"/>
  <c r="AC13" i="12"/>
  <c r="EZ13" i="12" s="1"/>
  <c r="FA13" i="12" s="1"/>
  <c r="AC14" i="12"/>
  <c r="EZ14" i="12" s="1"/>
  <c r="FA14" i="12" s="1"/>
  <c r="AC15" i="12"/>
  <c r="EZ15" i="12" s="1"/>
  <c r="FA15" i="12" s="1"/>
  <c r="AC16" i="12"/>
  <c r="EZ16" i="12" s="1"/>
  <c r="FA16" i="12" s="1"/>
  <c r="AC17" i="12"/>
  <c r="EZ17" i="12" s="1"/>
  <c r="FA17" i="12" s="1"/>
  <c r="AC18" i="12"/>
  <c r="EZ18" i="12" s="1"/>
  <c r="FA18" i="12" s="1"/>
  <c r="AC19" i="12"/>
  <c r="EZ19" i="12" s="1"/>
  <c r="FA19" i="12" s="1"/>
  <c r="AC20" i="12"/>
  <c r="EZ20" i="12" s="1"/>
  <c r="FA20" i="12" s="1"/>
  <c r="AC21" i="12"/>
  <c r="EZ21" i="12" s="1"/>
  <c r="FA21" i="12" s="1"/>
  <c r="AC22" i="12"/>
  <c r="EZ22" i="12" s="1"/>
  <c r="FA22" i="12" s="1"/>
  <c r="AC23" i="12"/>
  <c r="EZ23" i="12" s="1"/>
  <c r="FA23" i="12" s="1"/>
  <c r="AC24" i="12"/>
  <c r="EZ24" i="12" s="1"/>
  <c r="FA24" i="12" s="1"/>
  <c r="AC25" i="12"/>
  <c r="EZ25" i="12" s="1"/>
  <c r="FA25" i="12" s="1"/>
  <c r="AC26" i="12"/>
  <c r="EZ26" i="12" s="1"/>
  <c r="FA26" i="12" s="1"/>
  <c r="AC27" i="12"/>
  <c r="EZ27" i="12" s="1"/>
  <c r="FA27" i="12" s="1"/>
  <c r="AC28" i="12"/>
  <c r="EZ28" i="12" s="1"/>
  <c r="FA28" i="12" s="1"/>
  <c r="AC29" i="12"/>
  <c r="EZ29" i="12" s="1"/>
  <c r="FA29" i="12" s="1"/>
  <c r="AC30" i="12"/>
  <c r="EZ30" i="12" s="1"/>
  <c r="FA30" i="12" s="1"/>
  <c r="AC31" i="12"/>
  <c r="EZ31" i="12" s="1"/>
  <c r="FA31" i="12" s="1"/>
  <c r="AC32" i="12"/>
  <c r="EZ32" i="12" s="1"/>
  <c r="FA32" i="12" s="1"/>
  <c r="AC33" i="12"/>
  <c r="EZ33" i="12" s="1"/>
  <c r="FA33" i="12" s="1"/>
  <c r="AC34" i="12"/>
  <c r="EZ34" i="12" s="1"/>
  <c r="FA34" i="12" s="1"/>
  <c r="AC35" i="12"/>
  <c r="EZ35" i="12" s="1"/>
  <c r="FA35" i="12" s="1"/>
  <c r="AB12" i="12"/>
  <c r="EX12" i="12" s="1"/>
  <c r="EY12" i="12" s="1"/>
  <c r="AB13" i="12"/>
  <c r="EX13" i="12" s="1"/>
  <c r="EY13" i="12" s="1"/>
  <c r="AB14" i="12"/>
  <c r="EX14" i="12" s="1"/>
  <c r="EY14" i="12" s="1"/>
  <c r="AB15" i="12"/>
  <c r="EX15" i="12" s="1"/>
  <c r="EY15" i="12" s="1"/>
  <c r="AB16" i="12"/>
  <c r="EX16" i="12" s="1"/>
  <c r="EY16" i="12" s="1"/>
  <c r="AB17" i="12"/>
  <c r="EX17" i="12" s="1"/>
  <c r="EY17" i="12" s="1"/>
  <c r="AB18" i="12"/>
  <c r="EX18" i="12" s="1"/>
  <c r="EY18" i="12" s="1"/>
  <c r="AB19" i="12"/>
  <c r="EX19" i="12" s="1"/>
  <c r="EY19" i="12" s="1"/>
  <c r="AB20" i="12"/>
  <c r="EX20" i="12" s="1"/>
  <c r="EY20" i="12" s="1"/>
  <c r="AB21" i="12"/>
  <c r="EX21" i="12" s="1"/>
  <c r="EY21" i="12" s="1"/>
  <c r="AB22" i="12"/>
  <c r="EX22" i="12" s="1"/>
  <c r="EY22" i="12" s="1"/>
  <c r="AB23" i="12"/>
  <c r="EX23" i="12" s="1"/>
  <c r="EY23" i="12" s="1"/>
  <c r="AB24" i="12"/>
  <c r="EX24" i="12" s="1"/>
  <c r="EY24" i="12" s="1"/>
  <c r="AB25" i="12"/>
  <c r="EX25" i="12" s="1"/>
  <c r="EY25" i="12" s="1"/>
  <c r="AB26" i="12"/>
  <c r="EX26" i="12" s="1"/>
  <c r="EY26" i="12" s="1"/>
  <c r="AB27" i="12"/>
  <c r="EX27" i="12" s="1"/>
  <c r="EY27" i="12" s="1"/>
  <c r="AB28" i="12"/>
  <c r="EX28" i="12" s="1"/>
  <c r="EY28" i="12" s="1"/>
  <c r="AB29" i="12"/>
  <c r="EX29" i="12" s="1"/>
  <c r="EY29" i="12" s="1"/>
  <c r="AB30" i="12"/>
  <c r="EX30" i="12" s="1"/>
  <c r="EY30" i="12" s="1"/>
  <c r="AB31" i="12"/>
  <c r="EX31" i="12" s="1"/>
  <c r="EY31" i="12" s="1"/>
  <c r="AB32" i="12"/>
  <c r="EX32" i="12" s="1"/>
  <c r="EY32" i="12" s="1"/>
  <c r="AB33" i="12"/>
  <c r="EX33" i="12" s="1"/>
  <c r="EY33" i="12" s="1"/>
  <c r="AB34" i="12"/>
  <c r="EX34" i="12" s="1"/>
  <c r="EY34" i="12" s="1"/>
  <c r="AB35" i="12"/>
  <c r="EX35" i="12" s="1"/>
  <c r="EY35" i="12" s="1"/>
  <c r="Y6" i="12"/>
  <c r="Y5" i="12"/>
  <c r="Z12" i="12"/>
  <c r="Z13" i="12"/>
  <c r="BN13" i="12" s="1"/>
  <c r="Z14" i="12"/>
  <c r="Z15" i="12"/>
  <c r="Z16" i="12"/>
  <c r="Z17" i="12"/>
  <c r="BN17" i="12" s="1"/>
  <c r="Z18" i="12"/>
  <c r="Z19" i="12"/>
  <c r="Z20" i="12"/>
  <c r="Z21" i="12"/>
  <c r="BN21" i="12" s="1"/>
  <c r="BO21" i="12" s="1"/>
  <c r="Z22" i="12"/>
  <c r="Z23" i="12"/>
  <c r="Z24" i="12"/>
  <c r="Z25" i="12"/>
  <c r="BN25" i="12" s="1"/>
  <c r="BO25" i="12" s="1"/>
  <c r="Z26" i="12"/>
  <c r="Z27" i="12"/>
  <c r="Z28" i="12"/>
  <c r="Z29" i="12"/>
  <c r="BN29" i="12" s="1"/>
  <c r="BO29" i="12" s="1"/>
  <c r="Z30" i="12"/>
  <c r="Z31" i="12"/>
  <c r="Z32" i="12"/>
  <c r="Z33" i="12"/>
  <c r="BN33" i="12" s="1"/>
  <c r="BO33" i="12" s="1"/>
  <c r="Z34" i="12"/>
  <c r="Z35" i="12"/>
  <c r="Y12" i="12"/>
  <c r="BL12" i="12" s="1"/>
  <c r="Y13" i="12"/>
  <c r="BL13" i="12" s="1"/>
  <c r="Y14" i="12"/>
  <c r="BL14" i="12" s="1"/>
  <c r="Y15" i="12"/>
  <c r="BL15" i="12" s="1"/>
  <c r="Y16" i="12"/>
  <c r="BL16" i="12" s="1"/>
  <c r="Y17" i="12"/>
  <c r="BL17" i="12" s="1"/>
  <c r="Y18" i="12"/>
  <c r="BL18" i="12" s="1"/>
  <c r="Y19" i="12"/>
  <c r="BL19" i="12" s="1"/>
  <c r="Y20" i="12"/>
  <c r="BL20" i="12" s="1"/>
  <c r="BM20" i="12" s="1"/>
  <c r="Y21" i="12"/>
  <c r="BL21" i="12" s="1"/>
  <c r="BM21" i="12" s="1"/>
  <c r="Y22" i="12"/>
  <c r="BL22" i="12" s="1"/>
  <c r="BM22" i="12" s="1"/>
  <c r="Y23" i="12"/>
  <c r="BL23" i="12" s="1"/>
  <c r="BM23" i="12" s="1"/>
  <c r="Y24" i="12"/>
  <c r="BL24" i="12" s="1"/>
  <c r="BM24" i="12" s="1"/>
  <c r="Y25" i="12"/>
  <c r="BL25" i="12" s="1"/>
  <c r="BM25" i="12" s="1"/>
  <c r="Y26" i="12"/>
  <c r="BL26" i="12" s="1"/>
  <c r="BM26" i="12" s="1"/>
  <c r="Y27" i="12"/>
  <c r="BL27" i="12" s="1"/>
  <c r="BM27" i="12" s="1"/>
  <c r="Y28" i="12"/>
  <c r="BL28" i="12" s="1"/>
  <c r="BM28" i="12" s="1"/>
  <c r="Y29" i="12"/>
  <c r="BL29" i="12" s="1"/>
  <c r="BM29" i="12" s="1"/>
  <c r="Y30" i="12"/>
  <c r="BL30" i="12" s="1"/>
  <c r="BM30" i="12" s="1"/>
  <c r="Y31" i="12"/>
  <c r="BL31" i="12" s="1"/>
  <c r="BM31" i="12" s="1"/>
  <c r="Y32" i="12"/>
  <c r="BL32" i="12" s="1"/>
  <c r="BM32" i="12" s="1"/>
  <c r="Y33" i="12"/>
  <c r="BL33" i="12" s="1"/>
  <c r="BM33" i="12" s="1"/>
  <c r="Y34" i="12"/>
  <c r="BL34" i="12" s="1"/>
  <c r="BM34" i="12" s="1"/>
  <c r="Y35" i="12"/>
  <c r="BL35" i="12" s="1"/>
  <c r="BM35" i="12" s="1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V12" i="12"/>
  <c r="BJ12" i="12" s="1"/>
  <c r="V13" i="12"/>
  <c r="V14" i="12"/>
  <c r="V15" i="12"/>
  <c r="BJ15" i="12" s="1"/>
  <c r="V16" i="12"/>
  <c r="BJ16" i="12" s="1"/>
  <c r="V17" i="12"/>
  <c r="V18" i="12"/>
  <c r="V19" i="12"/>
  <c r="BJ19" i="12" s="1"/>
  <c r="V20" i="12"/>
  <c r="BJ20" i="12" s="1"/>
  <c r="BK20" i="12" s="1"/>
  <c r="V21" i="12"/>
  <c r="V22" i="12"/>
  <c r="V23" i="12"/>
  <c r="BJ23" i="12" s="1"/>
  <c r="BK23" i="12" s="1"/>
  <c r="V24" i="12"/>
  <c r="BJ24" i="12" s="1"/>
  <c r="BK24" i="12" s="1"/>
  <c r="V25" i="12"/>
  <c r="V26" i="12"/>
  <c r="V27" i="12"/>
  <c r="BJ27" i="12" s="1"/>
  <c r="BK27" i="12" s="1"/>
  <c r="V28" i="12"/>
  <c r="BJ28" i="12" s="1"/>
  <c r="BK28" i="12" s="1"/>
  <c r="V29" i="12"/>
  <c r="V30" i="12"/>
  <c r="V31" i="12"/>
  <c r="BJ31" i="12" s="1"/>
  <c r="BK31" i="12" s="1"/>
  <c r="V32" i="12"/>
  <c r="BJ32" i="12" s="1"/>
  <c r="BK32" i="12" s="1"/>
  <c r="V33" i="12"/>
  <c r="V34" i="12"/>
  <c r="T12" i="12"/>
  <c r="ET12" i="12" s="1"/>
  <c r="EU12" i="12" s="1"/>
  <c r="T13" i="12"/>
  <c r="ET13" i="12" s="1"/>
  <c r="EU13" i="12" s="1"/>
  <c r="T14" i="12"/>
  <c r="ET14" i="12" s="1"/>
  <c r="EU14" i="12" s="1"/>
  <c r="T15" i="12"/>
  <c r="ET15" i="12" s="1"/>
  <c r="EU15" i="12" s="1"/>
  <c r="T16" i="12"/>
  <c r="ET16" i="12" s="1"/>
  <c r="EU16" i="12" s="1"/>
  <c r="T17" i="12"/>
  <c r="ET17" i="12" s="1"/>
  <c r="EU17" i="12" s="1"/>
  <c r="T18" i="12"/>
  <c r="ET18" i="12" s="1"/>
  <c r="EU18" i="12" s="1"/>
  <c r="T19" i="12"/>
  <c r="ET19" i="12" s="1"/>
  <c r="EU19" i="12" s="1"/>
  <c r="T20" i="12"/>
  <c r="ET20" i="12" s="1"/>
  <c r="EU20" i="12" s="1"/>
  <c r="T21" i="12"/>
  <c r="ET21" i="12" s="1"/>
  <c r="EU21" i="12" s="1"/>
  <c r="T22" i="12"/>
  <c r="ET22" i="12" s="1"/>
  <c r="EU22" i="12" s="1"/>
  <c r="T23" i="12"/>
  <c r="ET23" i="12" s="1"/>
  <c r="EU23" i="12" s="1"/>
  <c r="T24" i="12"/>
  <c r="ET24" i="12" s="1"/>
  <c r="EU24" i="12" s="1"/>
  <c r="T25" i="12"/>
  <c r="ET25" i="12" s="1"/>
  <c r="EU25" i="12" s="1"/>
  <c r="T26" i="12"/>
  <c r="ET26" i="12" s="1"/>
  <c r="EU26" i="12" s="1"/>
  <c r="T27" i="12"/>
  <c r="ET27" i="12" s="1"/>
  <c r="EU27" i="12" s="1"/>
  <c r="T28" i="12"/>
  <c r="ET28" i="12" s="1"/>
  <c r="EU28" i="12" s="1"/>
  <c r="T29" i="12"/>
  <c r="ET29" i="12" s="1"/>
  <c r="EU29" i="12" s="1"/>
  <c r="T30" i="12"/>
  <c r="ET30" i="12" s="1"/>
  <c r="EU30" i="12" s="1"/>
  <c r="T31" i="12"/>
  <c r="ET31" i="12" s="1"/>
  <c r="EU31" i="12" s="1"/>
  <c r="T32" i="12"/>
  <c r="ET32" i="12" s="1"/>
  <c r="EU32" i="12" s="1"/>
  <c r="T33" i="12"/>
  <c r="ET33" i="12" s="1"/>
  <c r="EU33" i="12" s="1"/>
  <c r="T34" i="12"/>
  <c r="ET34" i="12" s="1"/>
  <c r="EU34" i="12" s="1"/>
  <c r="S12" i="12"/>
  <c r="ER12" i="12" s="1"/>
  <c r="ES12" i="12" s="1"/>
  <c r="S13" i="12"/>
  <c r="ER13" i="12" s="1"/>
  <c r="ES13" i="12" s="1"/>
  <c r="S14" i="12"/>
  <c r="ER14" i="12" s="1"/>
  <c r="ES14" i="12" s="1"/>
  <c r="S15" i="12"/>
  <c r="ER15" i="12" s="1"/>
  <c r="ES15" i="12" s="1"/>
  <c r="S16" i="12"/>
  <c r="ER16" i="12" s="1"/>
  <c r="ES16" i="12" s="1"/>
  <c r="S17" i="12"/>
  <c r="ER17" i="12" s="1"/>
  <c r="ES17" i="12" s="1"/>
  <c r="S18" i="12"/>
  <c r="ER18" i="12" s="1"/>
  <c r="ES18" i="12" s="1"/>
  <c r="S19" i="12"/>
  <c r="ER19" i="12" s="1"/>
  <c r="ES19" i="12" s="1"/>
  <c r="S20" i="12"/>
  <c r="ER20" i="12" s="1"/>
  <c r="ES20" i="12" s="1"/>
  <c r="S21" i="12"/>
  <c r="ER21" i="12" s="1"/>
  <c r="ES21" i="12" s="1"/>
  <c r="S22" i="12"/>
  <c r="ER22" i="12" s="1"/>
  <c r="ES22" i="12" s="1"/>
  <c r="S23" i="12"/>
  <c r="ER23" i="12" s="1"/>
  <c r="ES23" i="12" s="1"/>
  <c r="S24" i="12"/>
  <c r="ER24" i="12" s="1"/>
  <c r="ES24" i="12" s="1"/>
  <c r="S25" i="12"/>
  <c r="ER25" i="12" s="1"/>
  <c r="ES25" i="12" s="1"/>
  <c r="S26" i="12"/>
  <c r="ER26" i="12" s="1"/>
  <c r="ES26" i="12" s="1"/>
  <c r="S27" i="12"/>
  <c r="ER27" i="12" s="1"/>
  <c r="ES27" i="12" s="1"/>
  <c r="S28" i="12"/>
  <c r="ER28" i="12" s="1"/>
  <c r="ES28" i="12" s="1"/>
  <c r="S29" i="12"/>
  <c r="ER29" i="12" s="1"/>
  <c r="ES29" i="12" s="1"/>
  <c r="S30" i="12"/>
  <c r="ER30" i="12" s="1"/>
  <c r="ES30" i="12" s="1"/>
  <c r="S31" i="12"/>
  <c r="ER31" i="12" s="1"/>
  <c r="ES31" i="12" s="1"/>
  <c r="S32" i="12"/>
  <c r="ER32" i="12" s="1"/>
  <c r="ES32" i="12" s="1"/>
  <c r="S33" i="12"/>
  <c r="ER33" i="12" s="1"/>
  <c r="ES33" i="12" s="1"/>
  <c r="S34" i="12"/>
  <c r="ER34" i="12" s="1"/>
  <c r="ES34" i="12" s="1"/>
  <c r="S35" i="12"/>
  <c r="ER35" i="12" s="1"/>
  <c r="ES35" i="12" s="1"/>
  <c r="S36" i="12"/>
  <c r="ER36" i="12" s="1"/>
  <c r="ES36" i="12" s="1"/>
  <c r="S37" i="12"/>
  <c r="ER37" i="12" s="1"/>
  <c r="ES37" i="12" s="1"/>
  <c r="S38" i="12"/>
  <c r="ER38" i="12" s="1"/>
  <c r="ES38" i="12" s="1"/>
  <c r="S39" i="12"/>
  <c r="ER39" i="12" s="1"/>
  <c r="ES39" i="12" s="1"/>
  <c r="S40" i="12"/>
  <c r="ER40" i="12" s="1"/>
  <c r="ES40" i="12" s="1"/>
  <c r="S41" i="12"/>
  <c r="ER41" i="12" s="1"/>
  <c r="ES41" i="12" s="1"/>
  <c r="S42" i="12"/>
  <c r="ER42" i="12" s="1"/>
  <c r="ES42" i="12" s="1"/>
  <c r="S43" i="12"/>
  <c r="ER43" i="12" s="1"/>
  <c r="ES43" i="12" s="1"/>
  <c r="S44" i="12"/>
  <c r="ER44" i="12" s="1"/>
  <c r="ES44" i="12" s="1"/>
  <c r="V6" i="12"/>
  <c r="V5" i="12"/>
  <c r="S5" i="12"/>
  <c r="S6" i="12"/>
  <c r="Q11" i="12"/>
  <c r="CR11" i="12" s="1"/>
  <c r="Q12" i="12"/>
  <c r="CR12" i="12" s="1"/>
  <c r="CS12" i="12" s="1"/>
  <c r="Q13" i="12"/>
  <c r="CR13" i="12" s="1"/>
  <c r="CS13" i="12" s="1"/>
  <c r="Q14" i="12"/>
  <c r="CR14" i="12" s="1"/>
  <c r="CS14" i="12" s="1"/>
  <c r="Q15" i="12"/>
  <c r="CR15" i="12" s="1"/>
  <c r="CS15" i="12" s="1"/>
  <c r="Q16" i="12"/>
  <c r="CR16" i="12" s="1"/>
  <c r="CS16" i="12" s="1"/>
  <c r="Q17" i="12"/>
  <c r="CR17" i="12" s="1"/>
  <c r="CS17" i="12" s="1"/>
  <c r="Q18" i="12"/>
  <c r="CR18" i="12" s="1"/>
  <c r="CS18" i="12" s="1"/>
  <c r="Q19" i="12"/>
  <c r="CR19" i="12" s="1"/>
  <c r="CS19" i="12" s="1"/>
  <c r="Q20" i="12"/>
  <c r="CR20" i="12" s="1"/>
  <c r="CS20" i="12" s="1"/>
  <c r="Q21" i="12"/>
  <c r="CR21" i="12" s="1"/>
  <c r="CS21" i="12" s="1"/>
  <c r="Q22" i="12"/>
  <c r="CR22" i="12" s="1"/>
  <c r="CS22" i="12" s="1"/>
  <c r="Q23" i="12"/>
  <c r="CR23" i="12" s="1"/>
  <c r="CS23" i="12" s="1"/>
  <c r="Q24" i="12"/>
  <c r="CR24" i="12" s="1"/>
  <c r="CS24" i="12" s="1"/>
  <c r="Q25" i="12"/>
  <c r="CR25" i="12" s="1"/>
  <c r="CS25" i="12" s="1"/>
  <c r="Q26" i="12"/>
  <c r="CR26" i="12" s="1"/>
  <c r="CS26" i="12" s="1"/>
  <c r="Q27" i="12"/>
  <c r="CR27" i="12" s="1"/>
  <c r="CS27" i="12" s="1"/>
  <c r="Q28" i="12"/>
  <c r="CR28" i="12" s="1"/>
  <c r="CS28" i="12" s="1"/>
  <c r="Q29" i="12"/>
  <c r="CR29" i="12" s="1"/>
  <c r="CS29" i="12" s="1"/>
  <c r="Q30" i="12"/>
  <c r="CR30" i="12" s="1"/>
  <c r="CS30" i="12" s="1"/>
  <c r="Q31" i="12"/>
  <c r="CR31" i="12" s="1"/>
  <c r="CS31" i="12" s="1"/>
  <c r="Q32" i="12"/>
  <c r="CR32" i="12" s="1"/>
  <c r="CS32" i="12" s="1"/>
  <c r="Q33" i="12"/>
  <c r="CR33" i="12" s="1"/>
  <c r="CS33" i="12" s="1"/>
  <c r="Q34" i="12"/>
  <c r="CR34" i="12" s="1"/>
  <c r="CS34" i="12" s="1"/>
  <c r="Q35" i="12"/>
  <c r="CR35" i="12" s="1"/>
  <c r="CS35" i="12" s="1"/>
  <c r="Q36" i="12"/>
  <c r="CR36" i="12" s="1"/>
  <c r="CS36" i="12" s="1"/>
  <c r="Q37" i="12"/>
  <c r="CR37" i="12" s="1"/>
  <c r="CS37" i="12" s="1"/>
  <c r="Q38" i="12"/>
  <c r="CR38" i="12" s="1"/>
  <c r="CS38" i="12" s="1"/>
  <c r="Q39" i="12"/>
  <c r="CR39" i="12" s="1"/>
  <c r="CS39" i="12" s="1"/>
  <c r="Q40" i="12"/>
  <c r="CR40" i="12" s="1"/>
  <c r="CS40" i="12" s="1"/>
  <c r="Q41" i="12"/>
  <c r="CR41" i="12" s="1"/>
  <c r="CS41" i="12" s="1"/>
  <c r="Q42" i="12"/>
  <c r="CR42" i="12" s="1"/>
  <c r="CS42" i="12" s="1"/>
  <c r="Q43" i="12"/>
  <c r="CR43" i="12" s="1"/>
  <c r="CS43" i="12" s="1"/>
  <c r="Q44" i="12"/>
  <c r="CR44" i="12" s="1"/>
  <c r="CS44" i="12" s="1"/>
  <c r="P12" i="12"/>
  <c r="CP12" i="12" s="1"/>
  <c r="CQ12" i="12" s="1"/>
  <c r="P13" i="12"/>
  <c r="CP13" i="12" s="1"/>
  <c r="CQ13" i="12" s="1"/>
  <c r="P14" i="12"/>
  <c r="CP14" i="12" s="1"/>
  <c r="CQ14" i="12" s="1"/>
  <c r="P15" i="12"/>
  <c r="CP15" i="12" s="1"/>
  <c r="CQ15" i="12" s="1"/>
  <c r="P16" i="12"/>
  <c r="CP16" i="12" s="1"/>
  <c r="CQ16" i="12" s="1"/>
  <c r="P17" i="12"/>
  <c r="CP17" i="12" s="1"/>
  <c r="CQ17" i="12" s="1"/>
  <c r="P18" i="12"/>
  <c r="CP18" i="12" s="1"/>
  <c r="CQ18" i="12" s="1"/>
  <c r="P19" i="12"/>
  <c r="CP19" i="12" s="1"/>
  <c r="CQ19" i="12" s="1"/>
  <c r="P20" i="12"/>
  <c r="CP20" i="12" s="1"/>
  <c r="CQ20" i="12" s="1"/>
  <c r="P21" i="12"/>
  <c r="CP21" i="12" s="1"/>
  <c r="CQ21" i="12" s="1"/>
  <c r="P22" i="12"/>
  <c r="CP22" i="12" s="1"/>
  <c r="CQ22" i="12" s="1"/>
  <c r="P23" i="12"/>
  <c r="CP23" i="12" s="1"/>
  <c r="CQ23" i="12" s="1"/>
  <c r="P24" i="12"/>
  <c r="CP24" i="12" s="1"/>
  <c r="CQ24" i="12" s="1"/>
  <c r="P25" i="12"/>
  <c r="CP25" i="12" s="1"/>
  <c r="CQ25" i="12" s="1"/>
  <c r="P26" i="12"/>
  <c r="CP26" i="12" s="1"/>
  <c r="CQ26" i="12" s="1"/>
  <c r="P27" i="12"/>
  <c r="CP27" i="12" s="1"/>
  <c r="CQ27" i="12" s="1"/>
  <c r="P28" i="12"/>
  <c r="CP28" i="12" s="1"/>
  <c r="CQ28" i="12" s="1"/>
  <c r="P29" i="12"/>
  <c r="CP29" i="12" s="1"/>
  <c r="CQ29" i="12" s="1"/>
  <c r="P30" i="12"/>
  <c r="CP30" i="12" s="1"/>
  <c r="CQ30" i="12" s="1"/>
  <c r="P31" i="12"/>
  <c r="CP31" i="12" s="1"/>
  <c r="CQ31" i="12" s="1"/>
  <c r="P32" i="12"/>
  <c r="CP32" i="12" s="1"/>
  <c r="CQ32" i="12" s="1"/>
  <c r="P33" i="12"/>
  <c r="CP33" i="12" s="1"/>
  <c r="CQ33" i="12" s="1"/>
  <c r="P34" i="12"/>
  <c r="CP34" i="12" s="1"/>
  <c r="CQ34" i="12" s="1"/>
  <c r="P35" i="12"/>
  <c r="CP35" i="12" s="1"/>
  <c r="CQ35" i="12" s="1"/>
  <c r="P36" i="12"/>
  <c r="CP36" i="12" s="1"/>
  <c r="CQ36" i="12" s="1"/>
  <c r="P37" i="12"/>
  <c r="CP37" i="12" s="1"/>
  <c r="CQ37" i="12" s="1"/>
  <c r="P38" i="12"/>
  <c r="CP38" i="12" s="1"/>
  <c r="CQ38" i="12" s="1"/>
  <c r="P39" i="12"/>
  <c r="CP39" i="12" s="1"/>
  <c r="CQ39" i="12" s="1"/>
  <c r="P40" i="12"/>
  <c r="CP40" i="12" s="1"/>
  <c r="CQ40" i="12" s="1"/>
  <c r="P41" i="12"/>
  <c r="CP41" i="12" s="1"/>
  <c r="CQ41" i="12" s="1"/>
  <c r="P42" i="12"/>
  <c r="CP42" i="12" s="1"/>
  <c r="CQ42" i="12" s="1"/>
  <c r="P43" i="12"/>
  <c r="CP43" i="12" s="1"/>
  <c r="CQ43" i="12" s="1"/>
  <c r="P44" i="12"/>
  <c r="CP44" i="12" s="1"/>
  <c r="CQ44" i="12" s="1"/>
  <c r="P11" i="12"/>
  <c r="CP11" i="12" s="1"/>
  <c r="P6" i="12"/>
  <c r="P5" i="12"/>
  <c r="N12" i="12"/>
  <c r="DX12" i="12" s="1"/>
  <c r="N13" i="12"/>
  <c r="DX13" i="12" s="1"/>
  <c r="N14" i="12"/>
  <c r="DX14" i="12" s="1"/>
  <c r="N15" i="12"/>
  <c r="DX15" i="12" s="1"/>
  <c r="N16" i="12"/>
  <c r="DX16" i="12" s="1"/>
  <c r="N17" i="12"/>
  <c r="DX17" i="12" s="1"/>
  <c r="N18" i="12"/>
  <c r="DX18" i="12" s="1"/>
  <c r="N19" i="12"/>
  <c r="DX19" i="12" s="1"/>
  <c r="N20" i="12"/>
  <c r="DX20" i="12" s="1"/>
  <c r="N21" i="12"/>
  <c r="DX21" i="12" s="1"/>
  <c r="N22" i="12"/>
  <c r="DX22" i="12" s="1"/>
  <c r="N23" i="12"/>
  <c r="DX23" i="12" s="1"/>
  <c r="N24" i="12"/>
  <c r="DX24" i="12" s="1"/>
  <c r="N25" i="12"/>
  <c r="DX25" i="12" s="1"/>
  <c r="N26" i="12"/>
  <c r="DX26" i="12" s="1"/>
  <c r="N27" i="12"/>
  <c r="DX27" i="12" s="1"/>
  <c r="N28" i="12"/>
  <c r="DX28" i="12" s="1"/>
  <c r="N29" i="12"/>
  <c r="DX29" i="12" s="1"/>
  <c r="N30" i="12"/>
  <c r="DX30" i="12" s="1"/>
  <c r="N31" i="12"/>
  <c r="DX31" i="12" s="1"/>
  <c r="N32" i="12"/>
  <c r="DX32" i="12" s="1"/>
  <c r="N33" i="12"/>
  <c r="DX33" i="12" s="1"/>
  <c r="N34" i="12"/>
  <c r="DX34" i="12" s="1"/>
  <c r="N35" i="12"/>
  <c r="DX35" i="12" s="1"/>
  <c r="N36" i="12"/>
  <c r="DX36" i="12" s="1"/>
  <c r="N37" i="12"/>
  <c r="DX37" i="12" s="1"/>
  <c r="N38" i="12"/>
  <c r="DX38" i="12" s="1"/>
  <c r="N39" i="12"/>
  <c r="DX39" i="12" s="1"/>
  <c r="N40" i="12"/>
  <c r="DX40" i="12" s="1"/>
  <c r="N41" i="12"/>
  <c r="DX41" i="12" s="1"/>
  <c r="N42" i="12"/>
  <c r="DX42" i="12" s="1"/>
  <c r="N43" i="12"/>
  <c r="DX43" i="12" s="1"/>
  <c r="N44" i="12"/>
  <c r="DX44" i="12" s="1"/>
  <c r="M12" i="12"/>
  <c r="DR12" i="12" s="1"/>
  <c r="DS12" i="12" s="1"/>
  <c r="M13" i="12"/>
  <c r="DR13" i="12" s="1"/>
  <c r="DS13" i="12" s="1"/>
  <c r="M14" i="12"/>
  <c r="DR14" i="12" s="1"/>
  <c r="DS14" i="12" s="1"/>
  <c r="M15" i="12"/>
  <c r="DR15" i="12" s="1"/>
  <c r="DS15" i="12" s="1"/>
  <c r="M16" i="12"/>
  <c r="DR16" i="12" s="1"/>
  <c r="DS16" i="12" s="1"/>
  <c r="M17" i="12"/>
  <c r="DR17" i="12" s="1"/>
  <c r="DS17" i="12" s="1"/>
  <c r="M18" i="12"/>
  <c r="DR18" i="12" s="1"/>
  <c r="DS18" i="12" s="1"/>
  <c r="M19" i="12"/>
  <c r="DR19" i="12" s="1"/>
  <c r="DS19" i="12" s="1"/>
  <c r="M20" i="12"/>
  <c r="DR20" i="12" s="1"/>
  <c r="DS20" i="12" s="1"/>
  <c r="M21" i="12"/>
  <c r="DR21" i="12" s="1"/>
  <c r="DS21" i="12" s="1"/>
  <c r="M22" i="12"/>
  <c r="DR22" i="12" s="1"/>
  <c r="DS22" i="12" s="1"/>
  <c r="M23" i="12"/>
  <c r="DR23" i="12" s="1"/>
  <c r="DS23" i="12" s="1"/>
  <c r="M24" i="12"/>
  <c r="DR24" i="12" s="1"/>
  <c r="DS24" i="12" s="1"/>
  <c r="M25" i="12"/>
  <c r="DR25" i="12" s="1"/>
  <c r="DS25" i="12" s="1"/>
  <c r="M26" i="12"/>
  <c r="DR26" i="12" s="1"/>
  <c r="DS26" i="12" s="1"/>
  <c r="M27" i="12"/>
  <c r="DR27" i="12" s="1"/>
  <c r="DS27" i="12" s="1"/>
  <c r="M28" i="12"/>
  <c r="DR28" i="12" s="1"/>
  <c r="DS28" i="12" s="1"/>
  <c r="M29" i="12"/>
  <c r="DR29" i="12" s="1"/>
  <c r="DS29" i="12" s="1"/>
  <c r="M30" i="12"/>
  <c r="DR30" i="12" s="1"/>
  <c r="DS30" i="12" s="1"/>
  <c r="M31" i="12"/>
  <c r="DR31" i="12" s="1"/>
  <c r="DS31" i="12" s="1"/>
  <c r="M32" i="12"/>
  <c r="DR32" i="12" s="1"/>
  <c r="DS32" i="12" s="1"/>
  <c r="M33" i="12"/>
  <c r="DR33" i="12" s="1"/>
  <c r="DS33" i="12" s="1"/>
  <c r="M34" i="12"/>
  <c r="DR34" i="12" s="1"/>
  <c r="DS34" i="12" s="1"/>
  <c r="M35" i="12"/>
  <c r="DR35" i="12" s="1"/>
  <c r="DS35" i="12" s="1"/>
  <c r="M36" i="12"/>
  <c r="DR36" i="12" s="1"/>
  <c r="DS36" i="12" s="1"/>
  <c r="M37" i="12"/>
  <c r="DR37" i="12" s="1"/>
  <c r="DS37" i="12" s="1"/>
  <c r="M38" i="12"/>
  <c r="DR38" i="12" s="1"/>
  <c r="DS38" i="12" s="1"/>
  <c r="M39" i="12"/>
  <c r="DR39" i="12" s="1"/>
  <c r="DS39" i="12" s="1"/>
  <c r="M40" i="12"/>
  <c r="DR40" i="12" s="1"/>
  <c r="DS40" i="12" s="1"/>
  <c r="M41" i="12"/>
  <c r="DR41" i="12" s="1"/>
  <c r="DS41" i="12" s="1"/>
  <c r="M42" i="12"/>
  <c r="DR42" i="12" s="1"/>
  <c r="DS42" i="12" s="1"/>
  <c r="M43" i="12"/>
  <c r="DR43" i="12" s="1"/>
  <c r="DS43" i="12" s="1"/>
  <c r="M44" i="12"/>
  <c r="DR44" i="12" s="1"/>
  <c r="DS44" i="12" s="1"/>
  <c r="N11" i="12"/>
  <c r="DX11" i="12" s="1"/>
  <c r="M11" i="12"/>
  <c r="DR11" i="12" s="1"/>
  <c r="M5" i="12"/>
  <c r="M6" i="12"/>
  <c r="K12" i="12"/>
  <c r="EL12" i="12" s="1"/>
  <c r="K13" i="12"/>
  <c r="K14" i="12"/>
  <c r="K15" i="12"/>
  <c r="EL15" i="12" s="1"/>
  <c r="K16" i="12"/>
  <c r="EL16" i="12" s="1"/>
  <c r="K17" i="12"/>
  <c r="EL17" i="12" s="1"/>
  <c r="K18" i="12"/>
  <c r="EL18" i="12" s="1"/>
  <c r="K19" i="12"/>
  <c r="EL19" i="12" s="1"/>
  <c r="K20" i="12"/>
  <c r="EL20" i="12" s="1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EL51" i="12" s="1"/>
  <c r="K42" i="12"/>
  <c r="K43" i="12"/>
  <c r="EL53" i="12" s="1"/>
  <c r="K44" i="12"/>
  <c r="J20" i="12"/>
  <c r="J21" i="12"/>
  <c r="J22" i="12"/>
  <c r="J23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EH46" i="12" s="1"/>
  <c r="J37" i="12"/>
  <c r="EH47" i="12" s="1"/>
  <c r="J38" i="12"/>
  <c r="EH48" i="12" s="1"/>
  <c r="J39" i="12"/>
  <c r="EH49" i="12" s="1"/>
  <c r="J40" i="12"/>
  <c r="EH50" i="12" s="1"/>
  <c r="J41" i="12"/>
  <c r="EH51" i="12" s="1"/>
  <c r="J42" i="12"/>
  <c r="EH52" i="12" s="1"/>
  <c r="J43" i="12"/>
  <c r="EH53" i="12" s="1"/>
  <c r="J44" i="12"/>
  <c r="EH54" i="12" s="1"/>
  <c r="I12" i="12"/>
  <c r="I13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EF40" i="12" s="1"/>
  <c r="I31" i="12"/>
  <c r="I32" i="12"/>
  <c r="I33" i="12"/>
  <c r="I34" i="12"/>
  <c r="EF44" i="12" s="1"/>
  <c r="I35" i="12"/>
  <c r="EG45" i="12" s="1"/>
  <c r="I36" i="12"/>
  <c r="EF46" i="12" s="1"/>
  <c r="I37" i="12"/>
  <c r="EF47" i="12" s="1"/>
  <c r="I38" i="12"/>
  <c r="EF48" i="12" s="1"/>
  <c r="I39" i="12"/>
  <c r="EF49" i="12" s="1"/>
  <c r="I40" i="12"/>
  <c r="EF50" i="12" s="1"/>
  <c r="I41" i="12"/>
  <c r="EF51" i="12" s="1"/>
  <c r="I42" i="12"/>
  <c r="EF52" i="12" s="1"/>
  <c r="I43" i="12"/>
  <c r="EF53" i="12" s="1"/>
  <c r="I44" i="12"/>
  <c r="EF54" i="12" s="1"/>
  <c r="H12" i="12"/>
  <c r="ED12" i="12" s="1"/>
  <c r="EE12" i="12" s="1"/>
  <c r="H13" i="12"/>
  <c r="ED13" i="12" s="1"/>
  <c r="EE13" i="12" s="1"/>
  <c r="H15" i="12"/>
  <c r="ED15" i="12" s="1"/>
  <c r="EE15" i="12" s="1"/>
  <c r="H16" i="12"/>
  <c r="ED16" i="12" s="1"/>
  <c r="EE16" i="12" s="1"/>
  <c r="H17" i="12"/>
  <c r="ED17" i="12" s="1"/>
  <c r="EE17" i="12" s="1"/>
  <c r="H18" i="12"/>
  <c r="ED18" i="12" s="1"/>
  <c r="EE18" i="12" s="1"/>
  <c r="H19" i="12"/>
  <c r="ED19" i="12" s="1"/>
  <c r="EE19" i="12" s="1"/>
  <c r="H20" i="12"/>
  <c r="ED20" i="12" s="1"/>
  <c r="EE20" i="12" s="1"/>
  <c r="H21" i="12"/>
  <c r="ED21" i="12" s="1"/>
  <c r="EE21" i="12" s="1"/>
  <c r="H22" i="12"/>
  <c r="ED22" i="12" s="1"/>
  <c r="EE22" i="12" s="1"/>
  <c r="H23" i="12"/>
  <c r="ED23" i="12" s="1"/>
  <c r="EE23" i="12" s="1"/>
  <c r="H24" i="12"/>
  <c r="ED24" i="12" s="1"/>
  <c r="EE24" i="12" s="1"/>
  <c r="H25" i="12"/>
  <c r="ED25" i="12" s="1"/>
  <c r="EE25" i="12" s="1"/>
  <c r="H26" i="12"/>
  <c r="ED26" i="12" s="1"/>
  <c r="EE26" i="12" s="1"/>
  <c r="H27" i="12"/>
  <c r="ED27" i="12" s="1"/>
  <c r="EE27" i="12" s="1"/>
  <c r="H28" i="12"/>
  <c r="ED28" i="12" s="1"/>
  <c r="EE28" i="12" s="1"/>
  <c r="H29" i="12"/>
  <c r="ED29" i="12" s="1"/>
  <c r="EE29" i="12" s="1"/>
  <c r="H30" i="12"/>
  <c r="ED30" i="12" s="1"/>
  <c r="EE30" i="12" s="1"/>
  <c r="H31" i="12"/>
  <c r="ED31" i="12" s="1"/>
  <c r="EE31" i="12" s="1"/>
  <c r="H32" i="12"/>
  <c r="ED32" i="12" s="1"/>
  <c r="EE32" i="12" s="1"/>
  <c r="H33" i="12"/>
  <c r="ED33" i="12" s="1"/>
  <c r="EE33" i="12" s="1"/>
  <c r="H34" i="12"/>
  <c r="ED34" i="12" s="1"/>
  <c r="EE34" i="12" s="1"/>
  <c r="H35" i="12"/>
  <c r="ED35" i="12" s="1"/>
  <c r="EE35" i="12" s="1"/>
  <c r="H36" i="12"/>
  <c r="ED36" i="12" s="1"/>
  <c r="EE36" i="12" s="1"/>
  <c r="H37" i="12"/>
  <c r="ED37" i="12" s="1"/>
  <c r="EE37" i="12" s="1"/>
  <c r="H38" i="12"/>
  <c r="ED38" i="12" s="1"/>
  <c r="EE38" i="12" s="1"/>
  <c r="H39" i="12"/>
  <c r="ED39" i="12" s="1"/>
  <c r="EE39" i="12" s="1"/>
  <c r="H40" i="12"/>
  <c r="ED40" i="12" s="1"/>
  <c r="EE40" i="12" s="1"/>
  <c r="H41" i="12"/>
  <c r="ED41" i="12" s="1"/>
  <c r="EE41" i="12" s="1"/>
  <c r="H42" i="12"/>
  <c r="ED42" i="12" s="1"/>
  <c r="EE42" i="12" s="1"/>
  <c r="H43" i="12"/>
  <c r="ED43" i="12" s="1"/>
  <c r="EE43" i="12" s="1"/>
  <c r="H44" i="12"/>
  <c r="ED44" i="12" s="1"/>
  <c r="EE44" i="12" s="1"/>
  <c r="G12" i="12"/>
  <c r="EB12" i="12" s="1"/>
  <c r="G13" i="12"/>
  <c r="EB13" i="12" s="1"/>
  <c r="G14" i="12"/>
  <c r="EB14" i="12" s="1"/>
  <c r="G15" i="12"/>
  <c r="EB15" i="12" s="1"/>
  <c r="G16" i="12"/>
  <c r="EB16" i="12" s="1"/>
  <c r="G17" i="12"/>
  <c r="EB17" i="12" s="1"/>
  <c r="G18" i="12"/>
  <c r="EB18" i="12" s="1"/>
  <c r="G19" i="12"/>
  <c r="EB19" i="12" s="1"/>
  <c r="G20" i="12"/>
  <c r="EB20" i="12" s="1"/>
  <c r="EC20" i="12" s="1"/>
  <c r="G21" i="12"/>
  <c r="EB21" i="12" s="1"/>
  <c r="EC21" i="12" s="1"/>
  <c r="G22" i="12"/>
  <c r="EB22" i="12" s="1"/>
  <c r="EC22" i="12" s="1"/>
  <c r="G23" i="12"/>
  <c r="EB23" i="12" s="1"/>
  <c r="EC23" i="12" s="1"/>
  <c r="G24" i="12"/>
  <c r="EB24" i="12" s="1"/>
  <c r="EC24" i="12" s="1"/>
  <c r="G25" i="12"/>
  <c r="EB25" i="12" s="1"/>
  <c r="EC25" i="12" s="1"/>
  <c r="G26" i="12"/>
  <c r="EB26" i="12" s="1"/>
  <c r="EC26" i="12" s="1"/>
  <c r="G27" i="12"/>
  <c r="EB27" i="12" s="1"/>
  <c r="EC27" i="12" s="1"/>
  <c r="G28" i="12"/>
  <c r="EB28" i="12" s="1"/>
  <c r="EC28" i="12" s="1"/>
  <c r="G29" i="12"/>
  <c r="EB29" i="12" s="1"/>
  <c r="EC29" i="12" s="1"/>
  <c r="G30" i="12"/>
  <c r="EB30" i="12" s="1"/>
  <c r="EC30" i="12" s="1"/>
  <c r="G31" i="12"/>
  <c r="EB31" i="12" s="1"/>
  <c r="EC31" i="12" s="1"/>
  <c r="G32" i="12"/>
  <c r="EB32" i="12" s="1"/>
  <c r="EC32" i="12" s="1"/>
  <c r="G33" i="12"/>
  <c r="EB33" i="12" s="1"/>
  <c r="EC33" i="12" s="1"/>
  <c r="G34" i="12"/>
  <c r="EB34" i="12" s="1"/>
  <c r="EC34" i="12" s="1"/>
  <c r="G35" i="12"/>
  <c r="EB35" i="12" s="1"/>
  <c r="G36" i="12"/>
  <c r="EB36" i="12" s="1"/>
  <c r="G37" i="12"/>
  <c r="EB37" i="12" s="1"/>
  <c r="G38" i="12"/>
  <c r="EB38" i="12" s="1"/>
  <c r="G39" i="12"/>
  <c r="EB39" i="12" s="1"/>
  <c r="G40" i="12"/>
  <c r="EB40" i="12" s="1"/>
  <c r="G41" i="12"/>
  <c r="EB41" i="12" s="1"/>
  <c r="G42" i="12"/>
  <c r="EB42" i="12" s="1"/>
  <c r="G43" i="12"/>
  <c r="EB43" i="12" s="1"/>
  <c r="G44" i="12"/>
  <c r="EB44" i="12" s="1"/>
  <c r="K11" i="12"/>
  <c r="H11" i="12"/>
  <c r="ED11" i="12" s="1"/>
  <c r="G11" i="12"/>
  <c r="EB11" i="12" s="1"/>
  <c r="E12" i="12"/>
  <c r="E13" i="12"/>
  <c r="BT13" i="12" s="1"/>
  <c r="BU13" i="12" s="1"/>
  <c r="E14" i="12"/>
  <c r="BT14" i="12" s="1"/>
  <c r="BU14" i="12" s="1"/>
  <c r="E15" i="12"/>
  <c r="BT15" i="12" s="1"/>
  <c r="BU15" i="12" s="1"/>
  <c r="E16" i="12"/>
  <c r="BT16" i="12" s="1"/>
  <c r="BU16" i="12" s="1"/>
  <c r="E17" i="12"/>
  <c r="BT17" i="12" s="1"/>
  <c r="BU17" i="12" s="1"/>
  <c r="E18" i="12"/>
  <c r="BT18" i="12" s="1"/>
  <c r="BU18" i="12" s="1"/>
  <c r="E19" i="12"/>
  <c r="BT19" i="12" s="1"/>
  <c r="BU19" i="12" s="1"/>
  <c r="E20" i="12"/>
  <c r="BT20" i="12" s="1"/>
  <c r="BU20" i="12" s="1"/>
  <c r="E21" i="12"/>
  <c r="BT21" i="12" s="1"/>
  <c r="BU21" i="12" s="1"/>
  <c r="E22" i="12"/>
  <c r="BT22" i="12" s="1"/>
  <c r="BU22" i="12" s="1"/>
  <c r="E23" i="12"/>
  <c r="BT23" i="12" s="1"/>
  <c r="BU23" i="12" s="1"/>
  <c r="E24" i="12"/>
  <c r="BT24" i="12" s="1"/>
  <c r="BU24" i="12" s="1"/>
  <c r="E25" i="12"/>
  <c r="BT25" i="12" s="1"/>
  <c r="BU25" i="12" s="1"/>
  <c r="E26" i="12"/>
  <c r="BT26" i="12" s="1"/>
  <c r="BU26" i="12" s="1"/>
  <c r="E27" i="12"/>
  <c r="BT27" i="12" s="1"/>
  <c r="BU27" i="12" s="1"/>
  <c r="E28" i="12"/>
  <c r="BT28" i="12" s="1"/>
  <c r="BU28" i="12" s="1"/>
  <c r="E29" i="12"/>
  <c r="BT29" i="12" s="1"/>
  <c r="BU29" i="12" s="1"/>
  <c r="E30" i="12"/>
  <c r="BT30" i="12" s="1"/>
  <c r="BU30" i="12" s="1"/>
  <c r="E31" i="12"/>
  <c r="BT31" i="12" s="1"/>
  <c r="BU31" i="12" s="1"/>
  <c r="E32" i="12"/>
  <c r="BT32" i="12" s="1"/>
  <c r="BU32" i="12" s="1"/>
  <c r="E33" i="12"/>
  <c r="BT33" i="12" s="1"/>
  <c r="BU33" i="12" s="1"/>
  <c r="E34" i="12"/>
  <c r="BT34" i="12" s="1"/>
  <c r="BU34" i="12" s="1"/>
  <c r="E35" i="12"/>
  <c r="BT35" i="12" s="1"/>
  <c r="BU35" i="12" s="1"/>
  <c r="E36" i="12"/>
  <c r="BT36" i="12" s="1"/>
  <c r="BU36" i="12" s="1"/>
  <c r="E37" i="12"/>
  <c r="BT37" i="12" s="1"/>
  <c r="BU37" i="12" s="1"/>
  <c r="E38" i="12"/>
  <c r="BT38" i="12" s="1"/>
  <c r="BU38" i="12" s="1"/>
  <c r="E39" i="12"/>
  <c r="BT39" i="12" s="1"/>
  <c r="BU39" i="12" s="1"/>
  <c r="E40" i="12"/>
  <c r="BT40" i="12" s="1"/>
  <c r="BU40" i="12" s="1"/>
  <c r="E41" i="12"/>
  <c r="BT41" i="12" s="1"/>
  <c r="BU41" i="12" s="1"/>
  <c r="E42" i="12"/>
  <c r="BT42" i="12" s="1"/>
  <c r="BU42" i="12" s="1"/>
  <c r="E43" i="12"/>
  <c r="BT43" i="12" s="1"/>
  <c r="BU43" i="12" s="1"/>
  <c r="E44" i="12"/>
  <c r="BT44" i="12" s="1"/>
  <c r="BU44" i="12" s="1"/>
  <c r="D12" i="12"/>
  <c r="BP12" i="12" s="1"/>
  <c r="D13" i="12"/>
  <c r="BP13" i="12" s="1"/>
  <c r="D14" i="12"/>
  <c r="BP14" i="12" s="1"/>
  <c r="D15" i="12"/>
  <c r="BP15" i="12" s="1"/>
  <c r="D16" i="12"/>
  <c r="BP16" i="12" s="1"/>
  <c r="D17" i="12"/>
  <c r="BP17" i="12" s="1"/>
  <c r="D18" i="12"/>
  <c r="BP18" i="12" s="1"/>
  <c r="D19" i="12"/>
  <c r="BP19" i="12" s="1"/>
  <c r="D20" i="12"/>
  <c r="BP20" i="12" s="1"/>
  <c r="BQ20" i="12" s="1"/>
  <c r="D21" i="12"/>
  <c r="BP21" i="12" s="1"/>
  <c r="BQ21" i="12" s="1"/>
  <c r="D22" i="12"/>
  <c r="BP22" i="12" s="1"/>
  <c r="BQ22" i="12" s="1"/>
  <c r="D23" i="12"/>
  <c r="BP23" i="12" s="1"/>
  <c r="BQ23" i="12" s="1"/>
  <c r="D24" i="12"/>
  <c r="BP24" i="12" s="1"/>
  <c r="BQ24" i="12" s="1"/>
  <c r="D25" i="12"/>
  <c r="BP25" i="12" s="1"/>
  <c r="BQ25" i="12" s="1"/>
  <c r="D26" i="12"/>
  <c r="BP26" i="12" s="1"/>
  <c r="BQ26" i="12" s="1"/>
  <c r="D27" i="12"/>
  <c r="BP27" i="12" s="1"/>
  <c r="BQ27" i="12" s="1"/>
  <c r="D28" i="12"/>
  <c r="BP28" i="12" s="1"/>
  <c r="BQ28" i="12" s="1"/>
  <c r="D29" i="12"/>
  <c r="BP29" i="12" s="1"/>
  <c r="BQ29" i="12" s="1"/>
  <c r="D30" i="12"/>
  <c r="BP30" i="12" s="1"/>
  <c r="BQ30" i="12" s="1"/>
  <c r="D31" i="12"/>
  <c r="BP31" i="12" s="1"/>
  <c r="BQ31" i="12" s="1"/>
  <c r="D32" i="12"/>
  <c r="BP32" i="12" s="1"/>
  <c r="BQ32" i="12" s="1"/>
  <c r="D33" i="12"/>
  <c r="BP33" i="12" s="1"/>
  <c r="BQ33" i="12" s="1"/>
  <c r="D34" i="12"/>
  <c r="BP34" i="12" s="1"/>
  <c r="BQ34" i="12" s="1"/>
  <c r="D35" i="12"/>
  <c r="BP35" i="12" s="1"/>
  <c r="BQ35" i="12" s="1"/>
  <c r="D36" i="12"/>
  <c r="BP36" i="12" s="1"/>
  <c r="D37" i="12"/>
  <c r="BP37" i="12" s="1"/>
  <c r="D38" i="12"/>
  <c r="BP38" i="12" s="1"/>
  <c r="D39" i="12"/>
  <c r="BP39" i="12" s="1"/>
  <c r="D40" i="12"/>
  <c r="BP40" i="12" s="1"/>
  <c r="D41" i="12"/>
  <c r="BP41" i="12" s="1"/>
  <c r="D42" i="12"/>
  <c r="BP42" i="12" s="1"/>
  <c r="D43" i="12"/>
  <c r="BP43" i="12" s="1"/>
  <c r="D44" i="12"/>
  <c r="BP44" i="12" s="1"/>
  <c r="E11" i="12"/>
  <c r="BT11" i="12" s="1"/>
  <c r="D11" i="12"/>
  <c r="BP11" i="12" s="1"/>
  <c r="F19" i="7"/>
  <c r="F20" i="7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19" i="8"/>
  <c r="G62" i="4"/>
  <c r="H62" i="4"/>
  <c r="I62" i="4"/>
  <c r="I66" i="4"/>
  <c r="F65" i="3"/>
  <c r="I65" i="4"/>
  <c r="I64" i="4"/>
  <c r="F63" i="5"/>
  <c r="F64" i="3"/>
  <c r="F63" i="3"/>
  <c r="E66" i="4"/>
  <c r="F66" i="4"/>
  <c r="G66" i="4"/>
  <c r="H66" i="4"/>
  <c r="D66" i="4"/>
  <c r="E65" i="4"/>
  <c r="F65" i="4"/>
  <c r="G65" i="4"/>
  <c r="H65" i="4"/>
  <c r="D65" i="4"/>
  <c r="E64" i="4"/>
  <c r="F64" i="4"/>
  <c r="G64" i="4"/>
  <c r="H64" i="4"/>
  <c r="D64" i="4"/>
  <c r="H58" i="4"/>
  <c r="E56" i="5"/>
  <c r="H59" i="4"/>
  <c r="D57" i="4"/>
  <c r="D58" i="4" s="1"/>
  <c r="F59" i="4"/>
  <c r="F58" i="3"/>
  <c r="F57" i="3"/>
  <c r="D57" i="3"/>
  <c r="F55" i="4"/>
  <c r="G55" i="4"/>
  <c r="H55" i="4"/>
  <c r="I55" i="4"/>
  <c r="E56" i="4"/>
  <c r="F56" i="4"/>
  <c r="G56" i="4"/>
  <c r="H56" i="4"/>
  <c r="H57" i="4" s="1"/>
  <c r="D56" i="4"/>
  <c r="D55" i="3"/>
  <c r="D56" i="3" s="1"/>
  <c r="F56" i="3"/>
  <c r="F55" i="3"/>
  <c r="EF36" i="12" l="1"/>
  <c r="EL44" i="12"/>
  <c r="EC11" i="12"/>
  <c r="EB59" i="12"/>
  <c r="EB56" i="12"/>
  <c r="EB57" i="12" s="1"/>
  <c r="EG54" i="12"/>
  <c r="EM54" i="12"/>
  <c r="EG50" i="12"/>
  <c r="EM50" i="12"/>
  <c r="EG46" i="12"/>
  <c r="EM46" i="12"/>
  <c r="EH42" i="12"/>
  <c r="EI42" i="12" s="1"/>
  <c r="EH28" i="12"/>
  <c r="EI28" i="12" s="1"/>
  <c r="EH38" i="12"/>
  <c r="EI38" i="12" s="1"/>
  <c r="EH33" i="12"/>
  <c r="EI33" i="12" s="1"/>
  <c r="EH23" i="12"/>
  <c r="EI23" i="12" s="1"/>
  <c r="DX59" i="12"/>
  <c r="DX56" i="12"/>
  <c r="CS11" i="12"/>
  <c r="CR56" i="12"/>
  <c r="CR57" i="12" s="1"/>
  <c r="CR59" i="12"/>
  <c r="BQ11" i="12"/>
  <c r="BP56" i="12"/>
  <c r="F65" i="12" s="1"/>
  <c r="BU11" i="12"/>
  <c r="EE11" i="12"/>
  <c r="ED56" i="12"/>
  <c r="ED57" i="12" s="1"/>
  <c r="ED59" i="12"/>
  <c r="EG53" i="12"/>
  <c r="EM53" i="12"/>
  <c r="EG49" i="12"/>
  <c r="EM49" i="12"/>
  <c r="EH41" i="12"/>
  <c r="EI41" i="12" s="1"/>
  <c r="EH37" i="12"/>
  <c r="EI37" i="12" s="1"/>
  <c r="EH27" i="12"/>
  <c r="EI27" i="12" s="1"/>
  <c r="EH22" i="12"/>
  <c r="EI22" i="12" s="1"/>
  <c r="EH32" i="12"/>
  <c r="EI32" i="12" s="1"/>
  <c r="CQ11" i="12"/>
  <c r="CP56" i="12"/>
  <c r="CP57" i="12" s="1"/>
  <c r="EL21" i="12"/>
  <c r="EL11" i="12"/>
  <c r="EG52" i="12"/>
  <c r="EM52" i="12"/>
  <c r="EG48" i="12"/>
  <c r="EM48" i="12"/>
  <c r="EG44" i="12"/>
  <c r="EM44" i="12"/>
  <c r="EG40" i="12"/>
  <c r="EM40" i="12"/>
  <c r="EG36" i="12"/>
  <c r="EM36" i="12"/>
  <c r="EF32" i="12"/>
  <c r="EH44" i="12"/>
  <c r="EI44" i="12" s="1"/>
  <c r="EH34" i="12"/>
  <c r="EI34" i="12" s="1"/>
  <c r="EH40" i="12"/>
  <c r="EI40" i="12" s="1"/>
  <c r="EH26" i="12"/>
  <c r="EI26" i="12" s="1"/>
  <c r="EH36" i="12"/>
  <c r="EI36" i="12" s="1"/>
  <c r="EH21" i="12"/>
  <c r="EI21" i="12" s="1"/>
  <c r="EH31" i="12"/>
  <c r="EI31" i="12" s="1"/>
  <c r="EL40" i="12"/>
  <c r="EL36" i="12"/>
  <c r="EL32" i="12"/>
  <c r="EL24" i="12"/>
  <c r="EL14" i="12"/>
  <c r="EG51" i="12"/>
  <c r="EM51" i="12"/>
  <c r="EG47" i="12"/>
  <c r="EM47" i="12"/>
  <c r="EF43" i="12"/>
  <c r="EF39" i="12"/>
  <c r="EF35" i="12"/>
  <c r="EH43" i="12"/>
  <c r="EI43" i="12" s="1"/>
  <c r="EH29" i="12"/>
  <c r="EI29" i="12" s="1"/>
  <c r="EH39" i="12"/>
  <c r="EI39" i="12" s="1"/>
  <c r="EH25" i="12"/>
  <c r="EI25" i="12" s="1"/>
  <c r="EH35" i="12"/>
  <c r="EI35" i="12" s="1"/>
  <c r="EH30" i="12"/>
  <c r="EI30" i="12" s="1"/>
  <c r="EH20" i="12"/>
  <c r="EL43" i="12"/>
  <c r="EL39" i="12"/>
  <c r="EL35" i="12"/>
  <c r="EL31" i="12"/>
  <c r="EL23" i="12"/>
  <c r="EL13" i="12"/>
  <c r="DS11" i="12"/>
  <c r="DR56" i="12"/>
  <c r="DR59" i="12"/>
  <c r="EF31" i="12"/>
  <c r="EF21" i="12"/>
  <c r="EF27" i="12"/>
  <c r="EF17" i="12"/>
  <c r="EF22" i="12"/>
  <c r="EF12" i="12"/>
  <c r="EL27" i="12"/>
  <c r="EF42" i="12"/>
  <c r="EF38" i="12"/>
  <c r="EF34" i="12"/>
  <c r="EF24" i="12"/>
  <c r="EF30" i="12"/>
  <c r="EF20" i="12"/>
  <c r="EF26" i="12"/>
  <c r="EF16" i="12"/>
  <c r="EL42" i="12"/>
  <c r="EL38" i="12"/>
  <c r="EL34" i="12"/>
  <c r="EL30" i="12"/>
  <c r="EL26" i="12"/>
  <c r="EL22" i="12"/>
  <c r="EF41" i="12"/>
  <c r="EF37" i="12"/>
  <c r="EF33" i="12"/>
  <c r="EF19" i="12"/>
  <c r="EF29" i="12"/>
  <c r="EF25" i="12"/>
  <c r="EF15" i="12"/>
  <c r="EL41" i="12"/>
  <c r="EL37" i="12"/>
  <c r="EL33" i="12"/>
  <c r="EL29" i="12"/>
  <c r="EL25" i="12"/>
  <c r="EF18" i="12"/>
  <c r="EF28" i="12"/>
  <c r="EF13" i="12"/>
  <c r="EF23" i="12"/>
  <c r="EL28" i="12"/>
  <c r="BN35" i="12"/>
  <c r="BO35" i="12" s="1"/>
  <c r="BN31" i="12"/>
  <c r="BO31" i="12" s="1"/>
  <c r="BN27" i="12"/>
  <c r="BO27" i="12" s="1"/>
  <c r="BN23" i="12"/>
  <c r="BO23" i="12" s="1"/>
  <c r="BN19" i="12"/>
  <c r="BN15" i="12"/>
  <c r="BN34" i="12"/>
  <c r="BO34" i="12" s="1"/>
  <c r="BN30" i="12"/>
  <c r="BO30" i="12" s="1"/>
  <c r="BN26" i="12"/>
  <c r="BO26" i="12" s="1"/>
  <c r="BN22" i="12"/>
  <c r="BO22" i="12" s="1"/>
  <c r="BN18" i="12"/>
  <c r="BN14" i="12"/>
  <c r="BN32" i="12"/>
  <c r="BO32" i="12" s="1"/>
  <c r="BN28" i="12"/>
  <c r="BO28" i="12" s="1"/>
  <c r="BN24" i="12"/>
  <c r="BO24" i="12" s="1"/>
  <c r="BN20" i="12"/>
  <c r="BO20" i="12" s="1"/>
  <c r="BN16" i="12"/>
  <c r="BN12" i="12"/>
  <c r="BT12" i="12"/>
  <c r="BU12" i="12" s="1"/>
  <c r="BJ34" i="12"/>
  <c r="BK34" i="12" s="1"/>
  <c r="BJ30" i="12"/>
  <c r="BK30" i="12" s="1"/>
  <c r="BJ26" i="12"/>
  <c r="BK26" i="12" s="1"/>
  <c r="BJ22" i="12"/>
  <c r="BK22" i="12" s="1"/>
  <c r="BJ18" i="12"/>
  <c r="BJ14" i="12"/>
  <c r="BJ33" i="12"/>
  <c r="BK33" i="12" s="1"/>
  <c r="BJ29" i="12"/>
  <c r="BK29" i="12" s="1"/>
  <c r="BJ25" i="12"/>
  <c r="BK25" i="12" s="1"/>
  <c r="BJ21" i="12"/>
  <c r="BK21" i="12" s="1"/>
  <c r="BJ17" i="12"/>
  <c r="BJ13" i="12"/>
  <c r="AD33" i="12"/>
  <c r="X13" i="12"/>
  <c r="AA32" i="12"/>
  <c r="AA28" i="12"/>
  <c r="AA24" i="12"/>
  <c r="AA20" i="12"/>
  <c r="AA16" i="12"/>
  <c r="AA12" i="12"/>
  <c r="AD34" i="12"/>
  <c r="AD30" i="12"/>
  <c r="AD22" i="12"/>
  <c r="AD18" i="12"/>
  <c r="AD14" i="12"/>
  <c r="AD29" i="12"/>
  <c r="AD25" i="12"/>
  <c r="AD21" i="12"/>
  <c r="AD17" i="12"/>
  <c r="AD13" i="12"/>
  <c r="AD26" i="12"/>
  <c r="R42" i="12"/>
  <c r="R38" i="12"/>
  <c r="R34" i="12"/>
  <c r="R30" i="12"/>
  <c r="R26" i="12"/>
  <c r="R22" i="12"/>
  <c r="R18" i="12"/>
  <c r="R14" i="12"/>
  <c r="X33" i="12"/>
  <c r="X29" i="12"/>
  <c r="X25" i="12"/>
  <c r="X21" i="12"/>
  <c r="X17" i="12"/>
  <c r="R43" i="12"/>
  <c r="R39" i="12"/>
  <c r="R35" i="12"/>
  <c r="R31" i="12"/>
  <c r="R27" i="12"/>
  <c r="R23" i="12"/>
  <c r="R19" i="12"/>
  <c r="R15" i="12"/>
  <c r="AA35" i="12"/>
  <c r="AA31" i="12"/>
  <c r="AA27" i="12"/>
  <c r="AA23" i="12"/>
  <c r="AA19" i="12"/>
  <c r="AA15" i="12"/>
  <c r="AD32" i="12"/>
  <c r="AD28" i="12"/>
  <c r="AD24" i="12"/>
  <c r="AA33" i="12"/>
  <c r="AA17" i="12"/>
  <c r="AD35" i="12"/>
  <c r="AD31" i="12"/>
  <c r="AD27" i="12"/>
  <c r="H56" i="12"/>
  <c r="EE56" i="12" s="1"/>
  <c r="AD20" i="12"/>
  <c r="AD16" i="12"/>
  <c r="AD12" i="12"/>
  <c r="F44" i="12"/>
  <c r="F40" i="12"/>
  <c r="F36" i="12"/>
  <c r="F32" i="12"/>
  <c r="F28" i="12"/>
  <c r="F24" i="12"/>
  <c r="F20" i="12"/>
  <c r="F16" i="12"/>
  <c r="F12" i="12"/>
  <c r="O44" i="12"/>
  <c r="O40" i="12"/>
  <c r="O36" i="12"/>
  <c r="O32" i="12"/>
  <c r="O28" i="12"/>
  <c r="O24" i="12"/>
  <c r="O20" i="12"/>
  <c r="O16" i="12"/>
  <c r="O12" i="12"/>
  <c r="AD23" i="12"/>
  <c r="AD19" i="12"/>
  <c r="AD15" i="12"/>
  <c r="O41" i="12"/>
  <c r="O37" i="12"/>
  <c r="O33" i="12"/>
  <c r="O29" i="12"/>
  <c r="O25" i="12"/>
  <c r="O21" i="12"/>
  <c r="O17" i="12"/>
  <c r="O13" i="12"/>
  <c r="AA25" i="12"/>
  <c r="AA34" i="12"/>
  <c r="AA30" i="12"/>
  <c r="AA26" i="12"/>
  <c r="AA22" i="12"/>
  <c r="AA18" i="12"/>
  <c r="AA14" i="12"/>
  <c r="AA29" i="12"/>
  <c r="AA13" i="12"/>
  <c r="X34" i="12"/>
  <c r="X30" i="12"/>
  <c r="X26" i="12"/>
  <c r="X22" i="12"/>
  <c r="X18" i="12"/>
  <c r="X14" i="12"/>
  <c r="AA21" i="12"/>
  <c r="O43" i="12"/>
  <c r="O39" i="12"/>
  <c r="O35" i="12"/>
  <c r="O31" i="12"/>
  <c r="O27" i="12"/>
  <c r="O23" i="12"/>
  <c r="O19" i="12"/>
  <c r="O15" i="12"/>
  <c r="U32" i="12"/>
  <c r="U28" i="12"/>
  <c r="U24" i="12"/>
  <c r="U20" i="12"/>
  <c r="U16" i="12"/>
  <c r="U12" i="12"/>
  <c r="X31" i="12"/>
  <c r="X27" i="12"/>
  <c r="X23" i="12"/>
  <c r="X19" i="12"/>
  <c r="X15" i="12"/>
  <c r="R40" i="12"/>
  <c r="R32" i="12"/>
  <c r="R20" i="12"/>
  <c r="U27" i="12"/>
  <c r="U15" i="12"/>
  <c r="R44" i="12"/>
  <c r="R36" i="12"/>
  <c r="R28" i="12"/>
  <c r="R24" i="12"/>
  <c r="R16" i="12"/>
  <c r="U31" i="12"/>
  <c r="U23" i="12"/>
  <c r="U19" i="12"/>
  <c r="R41" i="12"/>
  <c r="R37" i="12"/>
  <c r="R33" i="12"/>
  <c r="R29" i="12"/>
  <c r="R25" i="12"/>
  <c r="R21" i="12"/>
  <c r="R17" i="12"/>
  <c r="R13" i="12"/>
  <c r="U34" i="12"/>
  <c r="U30" i="12"/>
  <c r="U26" i="12"/>
  <c r="U22" i="12"/>
  <c r="U18" i="12"/>
  <c r="U14" i="12"/>
  <c r="U33" i="12"/>
  <c r="U29" i="12"/>
  <c r="U25" i="12"/>
  <c r="U21" i="12"/>
  <c r="U17" i="12"/>
  <c r="U13" i="12"/>
  <c r="X32" i="12"/>
  <c r="X28" i="12"/>
  <c r="X24" i="12"/>
  <c r="X20" i="12"/>
  <c r="X16" i="12"/>
  <c r="X12" i="12"/>
  <c r="I56" i="12"/>
  <c r="J56" i="12"/>
  <c r="F11" i="12"/>
  <c r="F42" i="12"/>
  <c r="F38" i="12"/>
  <c r="F34" i="12"/>
  <c r="F30" i="12"/>
  <c r="F26" i="12"/>
  <c r="F22" i="12"/>
  <c r="F18" i="12"/>
  <c r="F14" i="12"/>
  <c r="F43" i="12"/>
  <c r="F27" i="12"/>
  <c r="L11" i="12"/>
  <c r="L41" i="12"/>
  <c r="L37" i="12"/>
  <c r="L33" i="12"/>
  <c r="L29" i="12"/>
  <c r="L25" i="12"/>
  <c r="L21" i="12"/>
  <c r="L17" i="12"/>
  <c r="L13" i="12"/>
  <c r="L43" i="12"/>
  <c r="L39" i="12"/>
  <c r="L35" i="12"/>
  <c r="L31" i="12"/>
  <c r="L27" i="12"/>
  <c r="L23" i="12"/>
  <c r="L19" i="12"/>
  <c r="L15" i="12"/>
  <c r="O11" i="12"/>
  <c r="O42" i="12"/>
  <c r="O38" i="12"/>
  <c r="O34" i="12"/>
  <c r="O30" i="12"/>
  <c r="O26" i="12"/>
  <c r="O22" i="12"/>
  <c r="O18" i="12"/>
  <c r="O14" i="12"/>
  <c r="R12" i="12"/>
  <c r="F41" i="12"/>
  <c r="F37" i="12"/>
  <c r="F33" i="12"/>
  <c r="F29" i="12"/>
  <c r="F25" i="12"/>
  <c r="F21" i="12"/>
  <c r="F17" i="12"/>
  <c r="F13" i="12"/>
  <c r="L44" i="12"/>
  <c r="L40" i="12"/>
  <c r="L36" i="12"/>
  <c r="L32" i="12"/>
  <c r="L28" i="12"/>
  <c r="L24" i="12"/>
  <c r="L20" i="12"/>
  <c r="L16" i="12"/>
  <c r="L12" i="12"/>
  <c r="L42" i="12"/>
  <c r="L38" i="12"/>
  <c r="L34" i="12"/>
  <c r="L30" i="12"/>
  <c r="L26" i="12"/>
  <c r="L22" i="12"/>
  <c r="L18" i="12"/>
  <c r="L14" i="12"/>
  <c r="R11" i="12"/>
  <c r="F39" i="12"/>
  <c r="F35" i="12"/>
  <c r="F31" i="12"/>
  <c r="F23" i="12"/>
  <c r="F19" i="12"/>
  <c r="F15" i="12"/>
  <c r="E57" i="4"/>
  <c r="F57" i="4" s="1"/>
  <c r="G57" i="4" s="1"/>
  <c r="G58" i="4" s="1"/>
  <c r="H60" i="4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G19" i="9"/>
  <c r="G20" i="9"/>
  <c r="F19" i="10"/>
  <c r="F19" i="9"/>
  <c r="F12" i="10"/>
  <c r="G46" i="9"/>
  <c r="G47" i="9"/>
  <c r="G48" i="9"/>
  <c r="G26" i="9"/>
  <c r="G27" i="9"/>
  <c r="G28" i="9"/>
  <c r="G29" i="9"/>
  <c r="G30" i="9"/>
  <c r="G31" i="9"/>
  <c r="G32" i="9"/>
  <c r="G33" i="9"/>
  <c r="G34" i="9"/>
  <c r="G35" i="9"/>
  <c r="G36" i="9"/>
  <c r="G37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G21" i="9"/>
  <c r="D13" i="8"/>
  <c r="D14" i="8"/>
  <c r="D54" i="8"/>
  <c r="D55" i="8"/>
  <c r="D56" i="8" s="1"/>
  <c r="D57" i="8" s="1"/>
  <c r="D58" i="8"/>
  <c r="D63" i="8"/>
  <c r="D64" i="8"/>
  <c r="D65" i="8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G33" i="6"/>
  <c r="G19" i="6"/>
  <c r="G21" i="6"/>
  <c r="F19" i="6"/>
  <c r="F20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G59" i="4"/>
  <c r="E65" i="5"/>
  <c r="D65" i="5"/>
  <c r="E64" i="5"/>
  <c r="D64" i="5"/>
  <c r="E63" i="5"/>
  <c r="D63" i="5"/>
  <c r="E58" i="5"/>
  <c r="D58" i="5"/>
  <c r="D56" i="5"/>
  <c r="D57" i="5" s="1"/>
  <c r="E55" i="5"/>
  <c r="D55" i="5"/>
  <c r="F54" i="5"/>
  <c r="E54" i="5"/>
  <c r="D54" i="5"/>
  <c r="E59" i="4"/>
  <c r="D59" i="4"/>
  <c r="E55" i="4"/>
  <c r="D55" i="4"/>
  <c r="E57" i="3"/>
  <c r="E58" i="3"/>
  <c r="D58" i="3"/>
  <c r="D65" i="3"/>
  <c r="E65" i="3"/>
  <c r="E64" i="3"/>
  <c r="E63" i="3"/>
  <c r="D63" i="3"/>
  <c r="E56" i="3"/>
  <c r="E55" i="3"/>
  <c r="G41" i="5"/>
  <c r="G45" i="5"/>
  <c r="G49" i="5"/>
  <c r="F20" i="5"/>
  <c r="F65" i="5" s="1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G38" i="5" s="1"/>
  <c r="F39" i="5"/>
  <c r="G39" i="5" s="1"/>
  <c r="F40" i="5"/>
  <c r="G40" i="5" s="1"/>
  <c r="F41" i="5"/>
  <c r="F42" i="5"/>
  <c r="G42" i="5" s="1"/>
  <c r="F43" i="5"/>
  <c r="G43" i="5" s="1"/>
  <c r="F44" i="5"/>
  <c r="G44" i="5" s="1"/>
  <c r="F45" i="5"/>
  <c r="F46" i="5"/>
  <c r="G46" i="5" s="1"/>
  <c r="F47" i="5"/>
  <c r="G47" i="5" s="1"/>
  <c r="F48" i="5"/>
  <c r="G48" i="5" s="1"/>
  <c r="F49" i="5"/>
  <c r="F50" i="5"/>
  <c r="G50" i="5" s="1"/>
  <c r="F51" i="5"/>
  <c r="G51" i="5" s="1"/>
  <c r="F52" i="5"/>
  <c r="G52" i="5" s="1"/>
  <c r="F19" i="5"/>
  <c r="F64" i="5" s="1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J39" i="4" s="1"/>
  <c r="I40" i="4"/>
  <c r="I41" i="4"/>
  <c r="I42" i="4"/>
  <c r="I43" i="4"/>
  <c r="I44" i="4"/>
  <c r="J44" i="4" s="1"/>
  <c r="I45" i="4"/>
  <c r="J45" i="4" s="1"/>
  <c r="I46" i="4"/>
  <c r="I47" i="4"/>
  <c r="J47" i="4" s="1"/>
  <c r="I48" i="4"/>
  <c r="J48" i="4" s="1"/>
  <c r="I49" i="4"/>
  <c r="I50" i="4"/>
  <c r="I51" i="4"/>
  <c r="J51" i="4" s="1"/>
  <c r="I52" i="4"/>
  <c r="I19" i="4"/>
  <c r="J43" i="4"/>
  <c r="J49" i="4"/>
  <c r="J38" i="4"/>
  <c r="J40" i="4"/>
  <c r="J41" i="4"/>
  <c r="J42" i="4"/>
  <c r="J46" i="4"/>
  <c r="J50" i="4"/>
  <c r="J52" i="4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F52" i="3"/>
  <c r="G52" i="3" s="1"/>
  <c r="EG28" i="12" l="1"/>
  <c r="EM28" i="12"/>
  <c r="EG25" i="12"/>
  <c r="EM25" i="12"/>
  <c r="EG37" i="12"/>
  <c r="EM37" i="12"/>
  <c r="EG16" i="12"/>
  <c r="EM16" i="12"/>
  <c r="EG24" i="12"/>
  <c r="EM24" i="12"/>
  <c r="EG27" i="12"/>
  <c r="EM27" i="12"/>
  <c r="DR57" i="12"/>
  <c r="G97" i="12" s="1"/>
  <c r="H97" i="12" s="1"/>
  <c r="F97" i="12"/>
  <c r="EI20" i="12"/>
  <c r="EH56" i="12"/>
  <c r="EH57" i="12" s="1"/>
  <c r="EH59" i="12"/>
  <c r="EG39" i="12"/>
  <c r="EM39" i="12"/>
  <c r="CQ57" i="12"/>
  <c r="CQ58" i="12" s="1"/>
  <c r="CQ56" i="12"/>
  <c r="EE59" i="12"/>
  <c r="EE57" i="12"/>
  <c r="EE58" i="12" s="1"/>
  <c r="EG18" i="12"/>
  <c r="EM18" i="12"/>
  <c r="EG29" i="12"/>
  <c r="EM29" i="12"/>
  <c r="EG41" i="12"/>
  <c r="EM41" i="12"/>
  <c r="EG26" i="12"/>
  <c r="EM26" i="12"/>
  <c r="EG34" i="12"/>
  <c r="EM34" i="12"/>
  <c r="EG12" i="12"/>
  <c r="EF56" i="12"/>
  <c r="EF57" i="12" s="1"/>
  <c r="EF59" i="12"/>
  <c r="EM12" i="12"/>
  <c r="EG21" i="12"/>
  <c r="EM21" i="12"/>
  <c r="DS57" i="12"/>
  <c r="DS58" i="12" s="1"/>
  <c r="DS59" i="12"/>
  <c r="I97" i="12" s="1"/>
  <c r="EG43" i="12"/>
  <c r="EM43" i="12"/>
  <c r="EL56" i="12"/>
  <c r="EL59" i="12"/>
  <c r="BT56" i="12"/>
  <c r="EG23" i="12"/>
  <c r="EM23" i="12"/>
  <c r="EG19" i="12"/>
  <c r="EM19" i="12"/>
  <c r="EG20" i="12"/>
  <c r="EM20" i="12"/>
  <c r="EG38" i="12"/>
  <c r="EM38" i="12"/>
  <c r="EG22" i="12"/>
  <c r="EM22" i="12"/>
  <c r="EG31" i="12"/>
  <c r="EM31" i="12"/>
  <c r="EG32" i="12"/>
  <c r="EM32" i="12"/>
  <c r="BU59" i="12"/>
  <c r="BU56" i="12"/>
  <c r="BU57" i="12"/>
  <c r="BU58" i="12" s="1"/>
  <c r="EG13" i="12"/>
  <c r="EM13" i="12"/>
  <c r="EG15" i="12"/>
  <c r="EM15" i="12"/>
  <c r="EG33" i="12"/>
  <c r="EM33" i="12"/>
  <c r="EG30" i="12"/>
  <c r="EM30" i="12"/>
  <c r="EG42" i="12"/>
  <c r="EM42" i="12"/>
  <c r="EG17" i="12"/>
  <c r="EM17" i="12"/>
  <c r="EG35" i="12"/>
  <c r="EM35" i="12"/>
  <c r="CS59" i="12"/>
  <c r="CS57" i="12"/>
  <c r="CS58" i="12" s="1"/>
  <c r="CS56" i="12"/>
  <c r="F58" i="4"/>
  <c r="E58" i="4"/>
  <c r="I56" i="4"/>
  <c r="I57" i="4" s="1"/>
  <c r="I58" i="4" s="1"/>
  <c r="I59" i="4"/>
  <c r="D60" i="4"/>
  <c r="D62" i="4" s="1"/>
  <c r="D59" i="8"/>
  <c r="D61" i="8" s="1"/>
  <c r="F55" i="5"/>
  <c r="F58" i="5"/>
  <c r="D59" i="5"/>
  <c r="D61" i="5" s="1"/>
  <c r="E57" i="5"/>
  <c r="F56" i="5"/>
  <c r="F57" i="5" s="1"/>
  <c r="N74" i="13"/>
  <c r="EZ57" i="12" l="1"/>
  <c r="EX57" i="12"/>
  <c r="ER57" i="12"/>
  <c r="EL57" i="12"/>
  <c r="ET57" i="12"/>
  <c r="BT57" i="12"/>
  <c r="H67" i="12" s="1"/>
  <c r="EG56" i="12"/>
  <c r="EG59" i="12"/>
  <c r="EG57" i="12"/>
  <c r="EG58" i="12" s="1"/>
  <c r="EM56" i="12"/>
  <c r="EM59" i="12"/>
  <c r="EM57" i="12"/>
  <c r="EI59" i="12"/>
  <c r="EI56" i="12"/>
  <c r="EI57" i="12"/>
  <c r="F59" i="5"/>
  <c r="F61" i="5" s="1"/>
  <c r="E59" i="5"/>
  <c r="E61" i="5" s="1"/>
  <c r="J66" i="12"/>
  <c r="K66" i="12" s="1"/>
  <c r="J69" i="12"/>
  <c r="J78" i="12"/>
  <c r="J79" i="12"/>
  <c r="J86" i="12"/>
  <c r="J87" i="12"/>
  <c r="J88" i="12"/>
  <c r="J89" i="12"/>
  <c r="J90" i="12"/>
  <c r="J91" i="12"/>
  <c r="J95" i="12"/>
  <c r="J96" i="12"/>
  <c r="J97" i="12"/>
  <c r="J99" i="12"/>
  <c r="J107" i="12"/>
  <c r="I107" i="12"/>
  <c r="I108" i="12"/>
  <c r="FM44" i="12"/>
  <c r="FK44" i="12"/>
  <c r="FG44" i="12"/>
  <c r="FE44" i="12"/>
  <c r="FE17" i="12"/>
  <c r="EW44" i="12"/>
  <c r="EW17" i="12"/>
  <c r="EC44" i="12"/>
  <c r="CE44" i="12"/>
  <c r="K67" i="13"/>
  <c r="L67" i="13"/>
  <c r="K68" i="13"/>
  <c r="L68" i="13"/>
  <c r="K69" i="13"/>
  <c r="K72" i="13"/>
  <c r="D72" i="13"/>
  <c r="D69" i="13"/>
  <c r="D68" i="13"/>
  <c r="D67" i="13"/>
  <c r="D62" i="13"/>
  <c r="AK44" i="13"/>
  <c r="AI11" i="13"/>
  <c r="G99" i="12"/>
  <c r="H99" i="12" s="1"/>
  <c r="G107" i="12"/>
  <c r="H107" i="12" s="1"/>
  <c r="H112" i="12"/>
  <c r="F99" i="12"/>
  <c r="F107" i="12"/>
  <c r="E72" i="13"/>
  <c r="F72" i="13" s="1"/>
  <c r="G72" i="13" s="1"/>
  <c r="AS56" i="13"/>
  <c r="AR56" i="13"/>
  <c r="E68" i="13" s="1"/>
  <c r="F68" i="13" s="1"/>
  <c r="G68" i="13" s="1"/>
  <c r="AQ56" i="13"/>
  <c r="AP56" i="13"/>
  <c r="E67" i="13" s="1"/>
  <c r="F67" i="13" s="1"/>
  <c r="G67" i="13" s="1"/>
  <c r="AC46" i="13"/>
  <c r="AB46" i="13"/>
  <c r="Z46" i="13"/>
  <c r="Y46" i="13"/>
  <c r="W46" i="13"/>
  <c r="V46" i="13"/>
  <c r="T46" i="13"/>
  <c r="S46" i="13"/>
  <c r="Q46" i="13"/>
  <c r="P46" i="13"/>
  <c r="N46" i="13"/>
  <c r="M46" i="13"/>
  <c r="AT46" i="13" s="1"/>
  <c r="K46" i="13"/>
  <c r="G46" i="13"/>
  <c r="E46" i="13"/>
  <c r="D46" i="13"/>
  <c r="BO44" i="13"/>
  <c r="BP44" i="13"/>
  <c r="CJ43" i="13"/>
  <c r="CO43" i="13"/>
  <c r="BJ43" i="13"/>
  <c r="BO43" i="13"/>
  <c r="BP43" i="13"/>
  <c r="CJ42" i="13"/>
  <c r="CO42" i="13"/>
  <c r="BJ42" i="13"/>
  <c r="BP42" i="13"/>
  <c r="CJ41" i="13"/>
  <c r="CO41" i="13"/>
  <c r="BJ41" i="13"/>
  <c r="BO41" i="13"/>
  <c r="BP41" i="13"/>
  <c r="CJ40" i="13"/>
  <c r="CO40" i="13"/>
  <c r="BJ40" i="13"/>
  <c r="BO40" i="13"/>
  <c r="BP40" i="13"/>
  <c r="CJ39" i="13"/>
  <c r="CO39" i="13"/>
  <c r="BJ39" i="13"/>
  <c r="BO39" i="13"/>
  <c r="BP39" i="13"/>
  <c r="CJ38" i="13"/>
  <c r="BO38" i="13"/>
  <c r="CD38" i="13"/>
  <c r="BQ38" i="13"/>
  <c r="CJ37" i="13"/>
  <c r="BO37" i="13"/>
  <c r="CD37" i="13"/>
  <c r="BQ37" i="13"/>
  <c r="CJ36" i="13"/>
  <c r="BO36" i="13"/>
  <c r="CD36" i="13"/>
  <c r="BQ36" i="13"/>
  <c r="CJ35" i="13"/>
  <c r="BJ35" i="13"/>
  <c r="BO35" i="13"/>
  <c r="CD35" i="13"/>
  <c r="BP34" i="13"/>
  <c r="BQ34" i="13"/>
  <c r="CJ33" i="13"/>
  <c r="BJ33" i="13"/>
  <c r="BO33" i="13"/>
  <c r="CD33" i="13"/>
  <c r="BP33" i="13"/>
  <c r="BO32" i="13"/>
  <c r="BP32" i="13"/>
  <c r="CJ31" i="13"/>
  <c r="CO31" i="13"/>
  <c r="BO31" i="13"/>
  <c r="CD31" i="13"/>
  <c r="BP31" i="13"/>
  <c r="BQ31" i="13"/>
  <c r="CJ15" i="13"/>
  <c r="CO15" i="13"/>
  <c r="BO15" i="13"/>
  <c r="CD15" i="13"/>
  <c r="BP15" i="13"/>
  <c r="CJ14" i="13"/>
  <c r="CO14" i="13"/>
  <c r="BO14" i="13"/>
  <c r="BP14" i="13"/>
  <c r="BQ14" i="13"/>
  <c r="CJ13" i="13"/>
  <c r="CO13" i="13"/>
  <c r="BJ13" i="13"/>
  <c r="BO13" i="13"/>
  <c r="CD13" i="13"/>
  <c r="BP13" i="13"/>
  <c r="BQ13" i="13"/>
  <c r="CJ12" i="13"/>
  <c r="CO12" i="13"/>
  <c r="BO12" i="13"/>
  <c r="CD12" i="13"/>
  <c r="BP12" i="13"/>
  <c r="CO9" i="13"/>
  <c r="CN9" i="13"/>
  <c r="CL9" i="13"/>
  <c r="CK9" i="13"/>
  <c r="CJ9" i="13"/>
  <c r="CF9" i="13"/>
  <c r="CE9" i="13"/>
  <c r="CD9" i="13"/>
  <c r="BQ9" i="13"/>
  <c r="BP9" i="13"/>
  <c r="BO9" i="13"/>
  <c r="BJ9" i="13"/>
  <c r="BI9" i="13"/>
  <c r="BH9" i="13"/>
  <c r="BG9" i="13"/>
  <c r="BG11" i="13" s="1"/>
  <c r="BF9" i="13"/>
  <c r="C9" i="13"/>
  <c r="D73" i="13"/>
  <c r="D71" i="13"/>
  <c r="D70" i="13"/>
  <c r="D65" i="13"/>
  <c r="D64" i="13"/>
  <c r="D63" i="13"/>
  <c r="AC44" i="12"/>
  <c r="EZ44" i="12" s="1"/>
  <c r="FA44" i="12" s="1"/>
  <c r="AB44" i="12"/>
  <c r="EX44" i="12" s="1"/>
  <c r="EY44" i="12" s="1"/>
  <c r="AC43" i="12"/>
  <c r="EZ43" i="12" s="1"/>
  <c r="FA43" i="12" s="1"/>
  <c r="AB43" i="12"/>
  <c r="EX43" i="12" s="1"/>
  <c r="EY43" i="12" s="1"/>
  <c r="AC42" i="12"/>
  <c r="EZ42" i="12" s="1"/>
  <c r="FA42" i="12" s="1"/>
  <c r="EV42" i="12"/>
  <c r="AB42" i="12"/>
  <c r="EX42" i="12" s="1"/>
  <c r="EY42" i="12" s="1"/>
  <c r="AC41" i="12"/>
  <c r="EZ41" i="12" s="1"/>
  <c r="FA41" i="12" s="1"/>
  <c r="AB41" i="12"/>
  <c r="EX41" i="12" s="1"/>
  <c r="EY41" i="12" s="1"/>
  <c r="AC40" i="12"/>
  <c r="EZ40" i="12" s="1"/>
  <c r="FA40" i="12" s="1"/>
  <c r="EV40" i="12"/>
  <c r="AB40" i="12"/>
  <c r="EX40" i="12" s="1"/>
  <c r="EY40" i="12" s="1"/>
  <c r="AC39" i="12"/>
  <c r="EZ39" i="12" s="1"/>
  <c r="FA39" i="12" s="1"/>
  <c r="AB39" i="12"/>
  <c r="EX39" i="12" s="1"/>
  <c r="EY39" i="12" s="1"/>
  <c r="AC38" i="12"/>
  <c r="EZ38" i="12" s="1"/>
  <c r="FA38" i="12" s="1"/>
  <c r="EV38" i="12"/>
  <c r="AB38" i="12"/>
  <c r="EX38" i="12" s="1"/>
  <c r="EY38" i="12" s="1"/>
  <c r="AC37" i="12"/>
  <c r="EZ37" i="12" s="1"/>
  <c r="FA37" i="12" s="1"/>
  <c r="EV37" i="12"/>
  <c r="AB37" i="12"/>
  <c r="EX37" i="12" s="1"/>
  <c r="EY37" i="12" s="1"/>
  <c r="AC36" i="12"/>
  <c r="EZ36" i="12" s="1"/>
  <c r="FA36" i="12" s="1"/>
  <c r="EV36" i="12"/>
  <c r="AB36" i="12"/>
  <c r="EX36" i="12" s="1"/>
  <c r="EY36" i="12" s="1"/>
  <c r="EV19" i="12"/>
  <c r="EV18" i="12"/>
  <c r="EV14" i="12"/>
  <c r="EV13" i="12"/>
  <c r="EV12" i="12"/>
  <c r="AC11" i="12"/>
  <c r="EZ11" i="12" s="1"/>
  <c r="EV11" i="12"/>
  <c r="AB11" i="12"/>
  <c r="EX11" i="12" s="1"/>
  <c r="Z44" i="12"/>
  <c r="Y44" i="12"/>
  <c r="BL44" i="12" s="1"/>
  <c r="Z43" i="12"/>
  <c r="BN43" i="12" s="1"/>
  <c r="Y43" i="12"/>
  <c r="BL43" i="12" s="1"/>
  <c r="Z42" i="12"/>
  <c r="Y42" i="12"/>
  <c r="BL42" i="12" s="1"/>
  <c r="Z41" i="12"/>
  <c r="Y41" i="12"/>
  <c r="BL41" i="12" s="1"/>
  <c r="Z40" i="12"/>
  <c r="Y40" i="12"/>
  <c r="BL40" i="12" s="1"/>
  <c r="Z39" i="12"/>
  <c r="Y39" i="12"/>
  <c r="BL39" i="12" s="1"/>
  <c r="Z38" i="12"/>
  <c r="BN38" i="12" s="1"/>
  <c r="BO38" i="12" s="1"/>
  <c r="Y38" i="12"/>
  <c r="BL38" i="12" s="1"/>
  <c r="Z37" i="12"/>
  <c r="Y37" i="12"/>
  <c r="BL37" i="12" s="1"/>
  <c r="BM37" i="12" s="1"/>
  <c r="Z36" i="12"/>
  <c r="Y36" i="12"/>
  <c r="BL36" i="12" s="1"/>
  <c r="BM36" i="12" s="1"/>
  <c r="FL35" i="12"/>
  <c r="FL19" i="12"/>
  <c r="FL18" i="12"/>
  <c r="FL17" i="12"/>
  <c r="FL14" i="12"/>
  <c r="FL13" i="12"/>
  <c r="FL12" i="12"/>
  <c r="Z11" i="12"/>
  <c r="Y11" i="12"/>
  <c r="BL11" i="12" s="1"/>
  <c r="BM11" i="12" s="1"/>
  <c r="W44" i="12"/>
  <c r="V44" i="12"/>
  <c r="BJ44" i="12" s="1"/>
  <c r="W43" i="12"/>
  <c r="V43" i="12"/>
  <c r="BJ43" i="12" s="1"/>
  <c r="W42" i="12"/>
  <c r="V42" i="12"/>
  <c r="BJ42" i="12" s="1"/>
  <c r="W41" i="12"/>
  <c r="V41" i="12"/>
  <c r="BJ41" i="12" s="1"/>
  <c r="W40" i="12"/>
  <c r="V40" i="12"/>
  <c r="BJ40" i="12" s="1"/>
  <c r="W39" i="12"/>
  <c r="V39" i="12"/>
  <c r="BJ39" i="12" s="1"/>
  <c r="W38" i="12"/>
  <c r="V38" i="12"/>
  <c r="BJ38" i="12" s="1"/>
  <c r="W37" i="12"/>
  <c r="V37" i="12"/>
  <c r="BJ37" i="12" s="1"/>
  <c r="W36" i="12"/>
  <c r="V36" i="12"/>
  <c r="BJ36" i="12" s="1"/>
  <c r="W35" i="12"/>
  <c r="AH35" i="12"/>
  <c r="V35" i="12"/>
  <c r="BJ35" i="12" s="1"/>
  <c r="BK35" i="12" s="1"/>
  <c r="AH16" i="12"/>
  <c r="AH12" i="12"/>
  <c r="W11" i="12"/>
  <c r="V11" i="12"/>
  <c r="BJ11" i="12" s="1"/>
  <c r="T44" i="12"/>
  <c r="ET44" i="12" s="1"/>
  <c r="EU44" i="12" s="1"/>
  <c r="T43" i="12"/>
  <c r="ET43" i="12" s="1"/>
  <c r="EU43" i="12" s="1"/>
  <c r="T42" i="12"/>
  <c r="ET42" i="12" s="1"/>
  <c r="EU42" i="12" s="1"/>
  <c r="T41" i="12"/>
  <c r="ET41" i="12" s="1"/>
  <c r="EU41" i="12" s="1"/>
  <c r="T40" i="12"/>
  <c r="ET40" i="12" s="1"/>
  <c r="EU40" i="12" s="1"/>
  <c r="T39" i="12"/>
  <c r="ET39" i="12" s="1"/>
  <c r="EU39" i="12" s="1"/>
  <c r="T38" i="12"/>
  <c r="ET38" i="12" s="1"/>
  <c r="EU38" i="12" s="1"/>
  <c r="T37" i="12"/>
  <c r="ET37" i="12" s="1"/>
  <c r="EU37" i="12" s="1"/>
  <c r="T36" i="12"/>
  <c r="ET36" i="12" s="1"/>
  <c r="EU36" i="12" s="1"/>
  <c r="T35" i="12"/>
  <c r="T11" i="12"/>
  <c r="ET11" i="12" s="1"/>
  <c r="S11" i="12"/>
  <c r="ER11" i="12" s="1"/>
  <c r="AL12" i="12"/>
  <c r="AL13" i="12"/>
  <c r="AL14" i="12"/>
  <c r="AL35" i="12"/>
  <c r="AL38" i="12"/>
  <c r="AL44" i="12"/>
  <c r="AL11" i="12"/>
  <c r="BA56" i="12"/>
  <c r="AZ56" i="12"/>
  <c r="AU56" i="12"/>
  <c r="AT56" i="12"/>
  <c r="AS56" i="12"/>
  <c r="AR56" i="12"/>
  <c r="AQ56" i="12"/>
  <c r="AP56" i="12"/>
  <c r="AO56" i="12"/>
  <c r="AN56" i="12"/>
  <c r="AC46" i="12"/>
  <c r="EZ46" i="12" s="1"/>
  <c r="FA46" i="12" s="1"/>
  <c r="AB46" i="12"/>
  <c r="EX46" i="12" s="1"/>
  <c r="EY46" i="12" s="1"/>
  <c r="Z46" i="12"/>
  <c r="Y46" i="12"/>
  <c r="BL46" i="12" s="1"/>
  <c r="W46" i="12"/>
  <c r="V46" i="12"/>
  <c r="BJ46" i="12" s="1"/>
  <c r="T46" i="12"/>
  <c r="ET46" i="12" s="1"/>
  <c r="EU46" i="12" s="1"/>
  <c r="S46" i="12"/>
  <c r="ER46" i="12" s="1"/>
  <c r="ES46" i="12" s="1"/>
  <c r="Q46" i="12"/>
  <c r="CR46" i="12" s="1"/>
  <c r="CS46" i="12" s="1"/>
  <c r="P46" i="12"/>
  <c r="CP46" i="12" s="1"/>
  <c r="CQ46" i="12" s="1"/>
  <c r="N46" i="12"/>
  <c r="DX46" i="12" s="1"/>
  <c r="M46" i="12"/>
  <c r="DR46" i="12" s="1"/>
  <c r="DS46" i="12" s="1"/>
  <c r="K46" i="12"/>
  <c r="G46" i="12"/>
  <c r="EB46" i="12" s="1"/>
  <c r="E46" i="12"/>
  <c r="BT46" i="12" s="1"/>
  <c r="BU46" i="12" s="1"/>
  <c r="D46" i="12"/>
  <c r="FL9" i="12"/>
  <c r="FJ9" i="12"/>
  <c r="FF9" i="12"/>
  <c r="E102" i="12"/>
  <c r="DX9" i="12"/>
  <c r="E71" i="12"/>
  <c r="E70" i="12"/>
  <c r="C9" i="12"/>
  <c r="BF8" i="12"/>
  <c r="BD8" i="12"/>
  <c r="BB8" i="12"/>
  <c r="AX8" i="12"/>
  <c r="AV8" i="12"/>
  <c r="AL8" i="12"/>
  <c r="AJ8" i="12"/>
  <c r="AH8" i="12"/>
  <c r="F50" i="11"/>
  <c r="E50" i="11"/>
  <c r="D50" i="11"/>
  <c r="F49" i="11"/>
  <c r="E49" i="11"/>
  <c r="D49" i="11"/>
  <c r="F48" i="11"/>
  <c r="E48" i="11"/>
  <c r="D48" i="11"/>
  <c r="F43" i="11"/>
  <c r="E43" i="11"/>
  <c r="D43" i="11"/>
  <c r="F40" i="11"/>
  <c r="E40" i="11"/>
  <c r="D40" i="11"/>
  <c r="F39" i="11"/>
  <c r="E39" i="11"/>
  <c r="D39" i="11"/>
  <c r="G37" i="11"/>
  <c r="H37" i="11" s="1"/>
  <c r="G36" i="11"/>
  <c r="H36" i="11" s="1"/>
  <c r="G35" i="11"/>
  <c r="H35" i="11" s="1"/>
  <c r="G34" i="11"/>
  <c r="H34" i="11" s="1"/>
  <c r="G33" i="11"/>
  <c r="H33" i="11" s="1"/>
  <c r="G32" i="11"/>
  <c r="H32" i="11" s="1"/>
  <c r="G31" i="11"/>
  <c r="H31" i="11" s="1"/>
  <c r="G30" i="11"/>
  <c r="H30" i="11" s="1"/>
  <c r="G29" i="11"/>
  <c r="H29" i="11" s="1"/>
  <c r="G28" i="11"/>
  <c r="H28" i="11" s="1"/>
  <c r="G27" i="11"/>
  <c r="H27" i="11" s="1"/>
  <c r="G26" i="11"/>
  <c r="H26" i="11" s="1"/>
  <c r="G25" i="11"/>
  <c r="H25" i="11" s="1"/>
  <c r="G24" i="11"/>
  <c r="H24" i="11" s="1"/>
  <c r="G23" i="11"/>
  <c r="H23" i="11" s="1"/>
  <c r="G22" i="11"/>
  <c r="H22" i="11" s="1"/>
  <c r="G21" i="11"/>
  <c r="H21" i="11" s="1"/>
  <c r="G20" i="11"/>
  <c r="G50" i="11" s="1"/>
  <c r="D14" i="11"/>
  <c r="D13" i="11"/>
  <c r="G12" i="11"/>
  <c r="G39" i="11" s="1"/>
  <c r="M68" i="13" l="1"/>
  <c r="N68" i="13" s="1"/>
  <c r="CE32" i="13"/>
  <c r="BH11" i="13"/>
  <c r="CE11" i="13"/>
  <c r="DX57" i="12"/>
  <c r="E100" i="12"/>
  <c r="EM58" i="12"/>
  <c r="EU11" i="12"/>
  <c r="EW11" i="12"/>
  <c r="EI58" i="12"/>
  <c r="U35" i="12"/>
  <c r="ET35" i="12"/>
  <c r="EU35" i="12" s="1"/>
  <c r="EZ56" i="12"/>
  <c r="EZ59" i="12"/>
  <c r="FA11" i="12"/>
  <c r="ER56" i="12"/>
  <c r="ER59" i="12"/>
  <c r="ES11" i="12"/>
  <c r="EX59" i="12"/>
  <c r="EX56" i="12"/>
  <c r="EY11" i="12"/>
  <c r="EL46" i="12"/>
  <c r="DY44" i="12"/>
  <c r="DY11" i="12"/>
  <c r="DY23" i="12"/>
  <c r="DY22" i="12"/>
  <c r="DY21" i="12"/>
  <c r="DY20" i="12"/>
  <c r="DY35" i="12"/>
  <c r="DY34" i="12"/>
  <c r="DY33" i="12"/>
  <c r="DY32" i="12"/>
  <c r="DY31" i="12"/>
  <c r="DY30" i="12"/>
  <c r="DY29" i="12"/>
  <c r="DY28" i="12"/>
  <c r="DY27" i="12"/>
  <c r="DY26" i="12"/>
  <c r="DY25" i="12"/>
  <c r="DY24" i="12"/>
  <c r="FL36" i="12"/>
  <c r="BN36" i="12"/>
  <c r="BO36" i="12" s="1"/>
  <c r="FL40" i="12"/>
  <c r="FM40" i="12" s="1"/>
  <c r="BN40" i="12"/>
  <c r="BO40" i="12" s="1"/>
  <c r="FL42" i="12"/>
  <c r="FM42" i="12" s="1"/>
  <c r="BN42" i="12"/>
  <c r="BO42" i="12" s="1"/>
  <c r="FL11" i="12"/>
  <c r="FM11" i="12" s="1"/>
  <c r="BN11" i="12"/>
  <c r="BO11" i="12" s="1"/>
  <c r="FL37" i="12"/>
  <c r="BN37" i="12"/>
  <c r="BO37" i="12" s="1"/>
  <c r="FL39" i="12"/>
  <c r="FM39" i="12" s="1"/>
  <c r="BN39" i="12"/>
  <c r="BO39" i="12" s="1"/>
  <c r="FL41" i="12"/>
  <c r="FM41" i="12" s="1"/>
  <c r="BN41" i="12"/>
  <c r="BO41" i="12" s="1"/>
  <c r="AD43" i="12"/>
  <c r="AD36" i="12"/>
  <c r="AD42" i="12"/>
  <c r="AA11" i="12"/>
  <c r="AD39" i="12"/>
  <c r="AD44" i="12"/>
  <c r="AD11" i="12"/>
  <c r="X11" i="12"/>
  <c r="X44" i="12"/>
  <c r="AD37" i="12"/>
  <c r="X38" i="12"/>
  <c r="AD38" i="12"/>
  <c r="AD40" i="12"/>
  <c r="AA42" i="12"/>
  <c r="AD41" i="12"/>
  <c r="X39" i="12"/>
  <c r="X36" i="12"/>
  <c r="X41" i="12"/>
  <c r="AA36" i="12"/>
  <c r="AA38" i="12"/>
  <c r="AA40" i="12"/>
  <c r="AA44" i="12"/>
  <c r="AA37" i="12"/>
  <c r="AA39" i="12"/>
  <c r="AA41" i="12"/>
  <c r="AA43" i="12"/>
  <c r="X35" i="12"/>
  <c r="X40" i="12"/>
  <c r="X43" i="12"/>
  <c r="CA11" i="12"/>
  <c r="U11" i="12"/>
  <c r="X37" i="12"/>
  <c r="X42" i="12"/>
  <c r="CE13" i="12"/>
  <c r="BQ16" i="12"/>
  <c r="FM17" i="12"/>
  <c r="CA17" i="12"/>
  <c r="CA44" i="12"/>
  <c r="BC32" i="13"/>
  <c r="L11" i="13"/>
  <c r="CK39" i="13"/>
  <c r="CK40" i="13"/>
  <c r="BI44" i="13"/>
  <c r="CA14" i="12"/>
  <c r="CA36" i="12"/>
  <c r="CA42" i="12"/>
  <c r="AM31" i="13"/>
  <c r="FM19" i="12"/>
  <c r="EW38" i="12"/>
  <c r="FM35" i="12"/>
  <c r="EW19" i="12"/>
  <c r="EW42" i="12"/>
  <c r="CE43" i="12"/>
  <c r="CA18" i="12"/>
  <c r="DY12" i="12"/>
  <c r="DY16" i="12"/>
  <c r="DY37" i="12"/>
  <c r="BQ13" i="12"/>
  <c r="BQ43" i="12"/>
  <c r="DY40" i="12"/>
  <c r="FM12" i="12"/>
  <c r="CE42" i="12"/>
  <c r="CE19" i="12"/>
  <c r="DY36" i="12"/>
  <c r="DY14" i="12"/>
  <c r="DY18" i="12"/>
  <c r="DY39" i="12"/>
  <c r="BQ40" i="12"/>
  <c r="BQ44" i="12"/>
  <c r="CE39" i="12"/>
  <c r="CE16" i="12"/>
  <c r="CE41" i="12"/>
  <c r="CE18" i="12"/>
  <c r="BQ18" i="12"/>
  <c r="EW12" i="12"/>
  <c r="CA12" i="12"/>
  <c r="CA16" i="12"/>
  <c r="CA39" i="12"/>
  <c r="FM14" i="12"/>
  <c r="FM18" i="12"/>
  <c r="FM37" i="12"/>
  <c r="EW14" i="12"/>
  <c r="EW18" i="12"/>
  <c r="EW37" i="12"/>
  <c r="DY19" i="12"/>
  <c r="DY38" i="12"/>
  <c r="BQ15" i="12"/>
  <c r="BQ19" i="12"/>
  <c r="BQ38" i="12"/>
  <c r="BQ42" i="12"/>
  <c r="FM13" i="12"/>
  <c r="FM36" i="12"/>
  <c r="EW13" i="12"/>
  <c r="EW36" i="12"/>
  <c r="EW40" i="12"/>
  <c r="BQ12" i="12"/>
  <c r="AH19" i="12"/>
  <c r="AI19" i="12" s="1"/>
  <c r="FD13" i="12"/>
  <c r="FE13" i="12" s="1"/>
  <c r="EC16" i="12"/>
  <c r="FD36" i="12"/>
  <c r="FE36" i="12" s="1"/>
  <c r="FD40" i="12"/>
  <c r="FE40" i="12" s="1"/>
  <c r="AX43" i="12"/>
  <c r="AY43" i="12" s="1"/>
  <c r="BB44" i="12"/>
  <c r="BC44" i="12" s="1"/>
  <c r="FJ14" i="12"/>
  <c r="FK14" i="12" s="1"/>
  <c r="FJ18" i="12"/>
  <c r="FK18" i="12" s="1"/>
  <c r="FJ41" i="12"/>
  <c r="FK41" i="12" s="1"/>
  <c r="FF37" i="12"/>
  <c r="FG37" i="12" s="1"/>
  <c r="AH40" i="12"/>
  <c r="AI40" i="12" s="1"/>
  <c r="AX36" i="12"/>
  <c r="AY36" i="12" s="1"/>
  <c r="CE11" i="12"/>
  <c r="AV13" i="12"/>
  <c r="AW13" i="12" s="1"/>
  <c r="AL41" i="12"/>
  <c r="AM41" i="12" s="1"/>
  <c r="AV12" i="12"/>
  <c r="AW12" i="12" s="1"/>
  <c r="AV14" i="12"/>
  <c r="AW14" i="12" s="1"/>
  <c r="AV35" i="12"/>
  <c r="AW35" i="12" s="1"/>
  <c r="U43" i="12"/>
  <c r="BF37" i="12"/>
  <c r="BG37" i="12" s="1"/>
  <c r="FJ19" i="12"/>
  <c r="FK19" i="12" s="1"/>
  <c r="FJ13" i="12"/>
  <c r="FK13" i="12" s="1"/>
  <c r="BK11" i="12"/>
  <c r="CE12" i="12"/>
  <c r="FJ37" i="12"/>
  <c r="FK37" i="12" s="1"/>
  <c r="BB40" i="12"/>
  <c r="BC40" i="12" s="1"/>
  <c r="W54" i="12"/>
  <c r="FD11" i="12"/>
  <c r="BF40" i="12"/>
  <c r="BG40" i="12" s="1"/>
  <c r="BF44" i="12"/>
  <c r="BG44" i="12" s="1"/>
  <c r="AF16" i="12"/>
  <c r="AG16" i="12" s="1"/>
  <c r="BD18" i="12"/>
  <c r="BE18" i="12" s="1"/>
  <c r="BD17" i="12"/>
  <c r="BE17" i="12" s="1"/>
  <c r="AV16" i="12"/>
  <c r="AW16" i="12" s="1"/>
  <c r="AV18" i="12"/>
  <c r="AW18" i="12" s="1"/>
  <c r="AV41" i="12"/>
  <c r="AW41" i="12" s="1"/>
  <c r="AV43" i="12"/>
  <c r="AW43" i="12" s="1"/>
  <c r="T56" i="12"/>
  <c r="FD12" i="12"/>
  <c r="FE12" i="12" s="1"/>
  <c r="FD16" i="12"/>
  <c r="FE16" i="12" s="1"/>
  <c r="FD35" i="12"/>
  <c r="FE35" i="12" s="1"/>
  <c r="FD39" i="12"/>
  <c r="FE39" i="12" s="1"/>
  <c r="FD43" i="12"/>
  <c r="FE43" i="12" s="1"/>
  <c r="CE35" i="12"/>
  <c r="AL39" i="12"/>
  <c r="AM39" i="12" s="1"/>
  <c r="U37" i="12"/>
  <c r="EC12" i="12"/>
  <c r="BF14" i="12"/>
  <c r="BG14" i="12" s="1"/>
  <c r="AX16" i="12"/>
  <c r="AY16" i="12" s="1"/>
  <c r="BB17" i="12"/>
  <c r="BC17" i="12" s="1"/>
  <c r="BF18" i="12"/>
  <c r="BG18" i="12" s="1"/>
  <c r="AX35" i="12"/>
  <c r="AY35" i="12" s="1"/>
  <c r="BF41" i="12"/>
  <c r="BG41" i="12" s="1"/>
  <c r="EC43" i="12"/>
  <c r="FJ11" i="12"/>
  <c r="FK11" i="12" s="1"/>
  <c r="BB18" i="12"/>
  <c r="BC18" i="12" s="1"/>
  <c r="AX44" i="12"/>
  <c r="AY44" i="12" s="1"/>
  <c r="M67" i="13"/>
  <c r="N67" i="13" s="1"/>
  <c r="BD8" i="13"/>
  <c r="BI12" i="13"/>
  <c r="CN34" i="13"/>
  <c r="CN11" i="13"/>
  <c r="CN39" i="13"/>
  <c r="BG39" i="13"/>
  <c r="CE40" i="13"/>
  <c r="CN31" i="13"/>
  <c r="CF34" i="13"/>
  <c r="BJ36" i="13"/>
  <c r="CK37" i="13"/>
  <c r="BJ12" i="13"/>
  <c r="CL31" i="13"/>
  <c r="AM38" i="13"/>
  <c r="CN13" i="13"/>
  <c r="BJ15" i="13"/>
  <c r="BJ31" i="13"/>
  <c r="CE33" i="13"/>
  <c r="BF11" i="13"/>
  <c r="CK12" i="13"/>
  <c r="CL13" i="13"/>
  <c r="CK14" i="13"/>
  <c r="CE15" i="13"/>
  <c r="CE31" i="13"/>
  <c r="CN32" i="13"/>
  <c r="BQ32" i="13"/>
  <c r="CL33" i="13"/>
  <c r="CK33" i="13"/>
  <c r="CN33" i="13"/>
  <c r="AM37" i="13"/>
  <c r="CK41" i="13"/>
  <c r="CN41" i="13"/>
  <c r="CN42" i="13"/>
  <c r="CK43" i="13"/>
  <c r="CN43" i="13"/>
  <c r="CE13" i="13"/>
  <c r="CF32" i="13"/>
  <c r="BF35" i="13"/>
  <c r="F11" i="13"/>
  <c r="CF12" i="13"/>
  <c r="BH31" i="13"/>
  <c r="CL34" i="13"/>
  <c r="AM36" i="13"/>
  <c r="CL40" i="13"/>
  <c r="BF34" i="13"/>
  <c r="BI15" i="13"/>
  <c r="CL32" i="13"/>
  <c r="BC36" i="13"/>
  <c r="CK36" i="13"/>
  <c r="AM44" i="13"/>
  <c r="AM32" i="13"/>
  <c r="S47" i="13"/>
  <c r="S48" i="13" s="1"/>
  <c r="BJ11" i="13"/>
  <c r="CF13" i="13"/>
  <c r="AM14" i="13"/>
  <c r="BQ15" i="13"/>
  <c r="AM15" i="13"/>
  <c r="CJ34" i="13"/>
  <c r="BG36" i="13"/>
  <c r="CL37" i="13"/>
  <c r="CN40" i="13"/>
  <c r="BI31" i="13"/>
  <c r="BC31" i="13"/>
  <c r="CK31" i="13"/>
  <c r="BG33" i="13"/>
  <c r="CO33" i="13"/>
  <c r="CO34" i="13"/>
  <c r="BQ35" i="13"/>
  <c r="AM35" i="13"/>
  <c r="AM11" i="13"/>
  <c r="Q49" i="13"/>
  <c r="BG32" i="13"/>
  <c r="BO34" i="13"/>
  <c r="CF35" i="13"/>
  <c r="CL42" i="13"/>
  <c r="BO42" i="13"/>
  <c r="CF11" i="13"/>
  <c r="CD11" i="13"/>
  <c r="BQ12" i="13"/>
  <c r="AM12" i="13"/>
  <c r="BI13" i="13"/>
  <c r="BH13" i="13"/>
  <c r="BC13" i="13"/>
  <c r="CK13" i="13"/>
  <c r="CL14" i="13"/>
  <c r="CD14" i="13"/>
  <c r="BG14" i="13"/>
  <c r="BJ14" i="13"/>
  <c r="CF15" i="13"/>
  <c r="CF31" i="13"/>
  <c r="CK34" i="13"/>
  <c r="CL36" i="13"/>
  <c r="BJ37" i="13"/>
  <c r="AK11" i="13"/>
  <c r="BC11" i="13"/>
  <c r="BP11" i="13"/>
  <c r="CL12" i="13"/>
  <c r="BH12" i="13"/>
  <c r="BC12" i="13"/>
  <c r="CN12" i="13"/>
  <c r="BG13" i="13"/>
  <c r="AM13" i="13"/>
  <c r="CE14" i="13"/>
  <c r="CF14" i="13"/>
  <c r="CL15" i="13"/>
  <c r="BH15" i="13"/>
  <c r="BC15" i="13"/>
  <c r="CN15" i="13"/>
  <c r="BG31" i="13"/>
  <c r="BH33" i="13"/>
  <c r="AK34" i="13"/>
  <c r="BC35" i="13"/>
  <c r="CN35" i="13"/>
  <c r="CF37" i="13"/>
  <c r="BC37" i="13"/>
  <c r="CL39" i="13"/>
  <c r="BG12" i="13"/>
  <c r="BI14" i="13"/>
  <c r="BH14" i="13"/>
  <c r="BC14" i="13"/>
  <c r="CN14" i="13"/>
  <c r="BG15" i="13"/>
  <c r="CK15" i="13"/>
  <c r="BH32" i="13"/>
  <c r="BI32" i="13"/>
  <c r="AM33" i="13"/>
  <c r="BH34" i="13"/>
  <c r="CK35" i="13"/>
  <c r="CF36" i="13"/>
  <c r="CK42" i="13"/>
  <c r="CL41" i="13"/>
  <c r="CL43" i="13"/>
  <c r="BD11" i="12"/>
  <c r="BE11" i="12" s="1"/>
  <c r="CE37" i="12"/>
  <c r="AL37" i="12"/>
  <c r="AM37" i="12" s="1"/>
  <c r="AH41" i="12"/>
  <c r="AI41" i="12" s="1"/>
  <c r="BQ41" i="12"/>
  <c r="FJ17" i="12"/>
  <c r="FK17" i="12" s="1"/>
  <c r="BF17" i="12"/>
  <c r="BG17" i="12" s="1"/>
  <c r="AF12" i="12"/>
  <c r="AG12" i="12" s="1"/>
  <c r="CE14" i="12"/>
  <c r="AL18" i="12"/>
  <c r="AM18" i="12" s="1"/>
  <c r="CA35" i="12"/>
  <c r="BK12" i="12"/>
  <c r="BM12" i="12"/>
  <c r="BB13" i="12"/>
  <c r="BC13" i="12" s="1"/>
  <c r="BB36" i="12"/>
  <c r="BC36" i="12" s="1"/>
  <c r="EC39" i="12"/>
  <c r="AX39" i="12"/>
  <c r="AY39" i="12" s="1"/>
  <c r="AX12" i="12"/>
  <c r="AY12" i="12" s="1"/>
  <c r="EC35" i="12"/>
  <c r="AF40" i="12"/>
  <c r="AG40" i="12" s="1"/>
  <c r="FJ40" i="12"/>
  <c r="FK40" i="12" s="1"/>
  <c r="FF41" i="12"/>
  <c r="FG41" i="12" s="1"/>
  <c r="BD37" i="12"/>
  <c r="BE37" i="12" s="1"/>
  <c r="FF18" i="12"/>
  <c r="FG18" i="12" s="1"/>
  <c r="FF14" i="12"/>
  <c r="FG14" i="12" s="1"/>
  <c r="AL43" i="12"/>
  <c r="AM43" i="12" s="1"/>
  <c r="BD44" i="12"/>
  <c r="BE44" i="12" s="1"/>
  <c r="FF17" i="12"/>
  <c r="FG17" i="12" s="1"/>
  <c r="M47" i="12"/>
  <c r="AM44" i="12"/>
  <c r="FF43" i="12"/>
  <c r="FG43" i="12" s="1"/>
  <c r="AV17" i="12"/>
  <c r="AW17" i="12" s="1"/>
  <c r="AV40" i="12"/>
  <c r="AW40" i="12" s="1"/>
  <c r="AX13" i="12"/>
  <c r="AY13" i="12" s="1"/>
  <c r="EC36" i="12"/>
  <c r="FD37" i="12"/>
  <c r="FE37" i="12" s="1"/>
  <c r="FD41" i="12"/>
  <c r="FE41" i="12" s="1"/>
  <c r="BO17" i="12"/>
  <c r="FJ16" i="12"/>
  <c r="FK16" i="12" s="1"/>
  <c r="P47" i="12"/>
  <c r="AJ18" i="12"/>
  <c r="AK18" i="12" s="1"/>
  <c r="CA13" i="12"/>
  <c r="AJ40" i="12"/>
  <c r="AK40" i="12" s="1"/>
  <c r="U40" i="12"/>
  <c r="BQ14" i="12"/>
  <c r="AH14" i="12"/>
  <c r="AI14" i="12" s="1"/>
  <c r="AH37" i="12"/>
  <c r="AI37" i="12" s="1"/>
  <c r="BQ37" i="12"/>
  <c r="BB35" i="12"/>
  <c r="BC35" i="12" s="1"/>
  <c r="EV35" i="12"/>
  <c r="EW35" i="12" s="1"/>
  <c r="FJ36" i="12"/>
  <c r="FK36" i="12" s="1"/>
  <c r="BF36" i="12"/>
  <c r="BG36" i="12" s="1"/>
  <c r="EV39" i="12"/>
  <c r="EW39" i="12" s="1"/>
  <c r="BB39" i="12"/>
  <c r="BC39" i="12" s="1"/>
  <c r="EV43" i="12"/>
  <c r="EW43" i="12" s="1"/>
  <c r="BB43" i="12"/>
  <c r="BC43" i="12" s="1"/>
  <c r="FF36" i="12"/>
  <c r="FG36" i="12" s="1"/>
  <c r="BD36" i="12"/>
  <c r="BE36" i="12" s="1"/>
  <c r="AL40" i="12"/>
  <c r="AM40" i="12" s="1"/>
  <c r="CE40" i="12"/>
  <c r="AL36" i="12"/>
  <c r="AM36" i="12" s="1"/>
  <c r="CE36" i="12"/>
  <c r="CE17" i="12"/>
  <c r="AL17" i="12"/>
  <c r="AM17" i="12" s="1"/>
  <c r="U36" i="12"/>
  <c r="AJ36" i="12"/>
  <c r="AK36" i="12" s="1"/>
  <c r="CA38" i="12"/>
  <c r="U38" i="12"/>
  <c r="BB12" i="12"/>
  <c r="BC12" i="12" s="1"/>
  <c r="EV16" i="12"/>
  <c r="EW16" i="12" s="1"/>
  <c r="BF13" i="12"/>
  <c r="BG13" i="12" s="1"/>
  <c r="AF17" i="12"/>
  <c r="AG17" i="12" s="1"/>
  <c r="W56" i="12"/>
  <c r="AF11" i="12"/>
  <c r="AG11" i="12" s="1"/>
  <c r="D49" i="12"/>
  <c r="AF44" i="12"/>
  <c r="AG44" i="12" s="1"/>
  <c r="FF40" i="12"/>
  <c r="FG40" i="12" s="1"/>
  <c r="BD40" i="12"/>
  <c r="BE40" i="12" s="1"/>
  <c r="FF13" i="12"/>
  <c r="FG13" i="12" s="1"/>
  <c r="BD13" i="12"/>
  <c r="BE13" i="12" s="1"/>
  <c r="AF39" i="12"/>
  <c r="AG39" i="12" s="1"/>
  <c r="AF35" i="12"/>
  <c r="AG35" i="12" s="1"/>
  <c r="G47" i="12"/>
  <c r="K55" i="12"/>
  <c r="AF13" i="12"/>
  <c r="AG13" i="12" s="1"/>
  <c r="BO13" i="12"/>
  <c r="BB16" i="12"/>
  <c r="BC16" i="12" s="1"/>
  <c r="AJ17" i="12"/>
  <c r="AK17" i="12" s="1"/>
  <c r="AH18" i="12"/>
  <c r="AI18" i="12" s="1"/>
  <c r="AF36" i="12"/>
  <c r="AG36" i="12" s="1"/>
  <c r="CA40" i="12"/>
  <c r="AF14" i="12"/>
  <c r="AG14" i="12" s="1"/>
  <c r="BD35" i="12"/>
  <c r="BE35" i="12" s="1"/>
  <c r="FF11" i="12"/>
  <c r="FG11" i="12" s="1"/>
  <c r="AM35" i="12"/>
  <c r="AM12" i="12"/>
  <c r="BO19" i="12"/>
  <c r="BM17" i="12"/>
  <c r="E56" i="12"/>
  <c r="N47" i="12"/>
  <c r="N55" i="12"/>
  <c r="DX55" i="12" s="1"/>
  <c r="BQ36" i="12"/>
  <c r="AH36" i="12"/>
  <c r="AI36" i="12" s="1"/>
  <c r="Z55" i="12"/>
  <c r="AC47" i="12"/>
  <c r="AB56" i="12"/>
  <c r="BF16" i="12"/>
  <c r="BG16" i="12" s="1"/>
  <c r="FJ35" i="12"/>
  <c r="FK35" i="12" s="1"/>
  <c r="FJ39" i="12"/>
  <c r="FK39" i="12" s="1"/>
  <c r="FJ43" i="12"/>
  <c r="FK43" i="12" s="1"/>
  <c r="BB14" i="12"/>
  <c r="BC14" i="12" s="1"/>
  <c r="AX17" i="12"/>
  <c r="AY17" i="12" s="1"/>
  <c r="FD18" i="12"/>
  <c r="FE18" i="12" s="1"/>
  <c r="BF19" i="12"/>
  <c r="BG19" i="12" s="1"/>
  <c r="BB37" i="12"/>
  <c r="BC37" i="12" s="1"/>
  <c r="EC40" i="12"/>
  <c r="BB41" i="12"/>
  <c r="BC41" i="12" s="1"/>
  <c r="AH13" i="12"/>
  <c r="AI13" i="12" s="1"/>
  <c r="BD14" i="12"/>
  <c r="BE14" i="12" s="1"/>
  <c r="BQ17" i="12"/>
  <c r="EC17" i="12"/>
  <c r="AM38" i="12"/>
  <c r="BK40" i="12"/>
  <c r="BD41" i="12"/>
  <c r="BE41" i="12" s="1"/>
  <c r="DY41" i="12"/>
  <c r="AF43" i="12"/>
  <c r="AG43" i="12" s="1"/>
  <c r="DY43" i="12"/>
  <c r="E54" i="12"/>
  <c r="BT54" i="12" s="1"/>
  <c r="BU54" i="12" s="1"/>
  <c r="S47" i="12"/>
  <c r="U41" i="12"/>
  <c r="CA41" i="12"/>
  <c r="AJ43" i="12"/>
  <c r="AK43" i="12" s="1"/>
  <c r="BQ39" i="12"/>
  <c r="AH39" i="12"/>
  <c r="AI39" i="12" s="1"/>
  <c r="BK39" i="12"/>
  <c r="AM11" i="12"/>
  <c r="AJ13" i="12"/>
  <c r="AK13" i="12" s="1"/>
  <c r="AL16" i="12"/>
  <c r="AM16" i="12" s="1"/>
  <c r="FF16" i="12"/>
  <c r="FG16" i="12" s="1"/>
  <c r="AL19" i="12"/>
  <c r="AM19" i="12" s="1"/>
  <c r="BK36" i="12"/>
  <c r="AV37" i="12"/>
  <c r="AW37" i="12" s="1"/>
  <c r="AH43" i="12"/>
  <c r="AI43" i="12" s="1"/>
  <c r="BO43" i="12"/>
  <c r="AH44" i="12"/>
  <c r="AI44" i="12" s="1"/>
  <c r="M49" i="12"/>
  <c r="DR49" i="12" s="1"/>
  <c r="DS49" i="12" s="1"/>
  <c r="V56" i="12"/>
  <c r="BJ56" i="12" s="1"/>
  <c r="BD16" i="12"/>
  <c r="BE16" i="12" s="1"/>
  <c r="BO18" i="12"/>
  <c r="FF39" i="12"/>
  <c r="FG39" i="12" s="1"/>
  <c r="BD43" i="12"/>
  <c r="BE43" i="12" s="1"/>
  <c r="CO38" i="13"/>
  <c r="M55" i="13"/>
  <c r="M56" i="13"/>
  <c r="M54" i="13"/>
  <c r="AT54" i="13" s="1"/>
  <c r="M49" i="13"/>
  <c r="M47" i="13"/>
  <c r="P55" i="13"/>
  <c r="P56" i="13"/>
  <c r="P54" i="13"/>
  <c r="P49" i="13"/>
  <c r="P47" i="13"/>
  <c r="V56" i="13"/>
  <c r="V54" i="13"/>
  <c r="V49" i="13"/>
  <c r="V55" i="13"/>
  <c r="V47" i="13"/>
  <c r="AC55" i="13"/>
  <c r="AC56" i="13"/>
  <c r="AC54" i="13"/>
  <c r="AC49" i="13"/>
  <c r="AC47" i="13"/>
  <c r="BO11" i="13"/>
  <c r="CL11" i="13"/>
  <c r="CE12" i="13"/>
  <c r="BF32" i="13"/>
  <c r="BJ32" i="13"/>
  <c r="CD32" i="13"/>
  <c r="AK33" i="13"/>
  <c r="BC33" i="13"/>
  <c r="CF33" i="13"/>
  <c r="BI34" i="13"/>
  <c r="BC34" i="13"/>
  <c r="CD34" i="13"/>
  <c r="CE35" i="13"/>
  <c r="BI37" i="13"/>
  <c r="BP37" i="13"/>
  <c r="AK37" i="13"/>
  <c r="BH37" i="13"/>
  <c r="CN37" i="13"/>
  <c r="BG40" i="13"/>
  <c r="T55" i="13"/>
  <c r="T56" i="13"/>
  <c r="T54" i="13"/>
  <c r="T49" i="13"/>
  <c r="T47" i="13"/>
  <c r="CK11" i="13"/>
  <c r="BF14" i="13"/>
  <c r="BF31" i="13"/>
  <c r="AM41" i="13"/>
  <c r="BQ41" i="13"/>
  <c r="CP9" i="13"/>
  <c r="G55" i="13"/>
  <c r="G56" i="13"/>
  <c r="G54" i="13"/>
  <c r="G47" i="13"/>
  <c r="G49" i="13"/>
  <c r="N55" i="13"/>
  <c r="N56" i="13"/>
  <c r="N54" i="13"/>
  <c r="N49" i="13"/>
  <c r="N47" i="13"/>
  <c r="Q55" i="13"/>
  <c r="Q56" i="13"/>
  <c r="Q54" i="13"/>
  <c r="Q47" i="13"/>
  <c r="W56" i="13"/>
  <c r="W54" i="13"/>
  <c r="W49" i="13"/>
  <c r="W55" i="13"/>
  <c r="W47" i="13"/>
  <c r="Z55" i="13"/>
  <c r="Z56" i="13"/>
  <c r="Z54" i="13"/>
  <c r="Z49" i="13"/>
  <c r="Z47" i="13"/>
  <c r="AG11" i="13"/>
  <c r="AG59" i="13" s="1"/>
  <c r="AK12" i="13"/>
  <c r="AK13" i="13"/>
  <c r="AK14" i="13"/>
  <c r="AK15" i="13"/>
  <c r="AK31" i="13"/>
  <c r="CO32" i="13"/>
  <c r="BI33" i="13"/>
  <c r="BQ33" i="13"/>
  <c r="BG34" i="13"/>
  <c r="BI35" i="13"/>
  <c r="BP35" i="13"/>
  <c r="AK35" i="13"/>
  <c r="BH35" i="13"/>
  <c r="CE36" i="13"/>
  <c r="BG37" i="13"/>
  <c r="CO37" i="13"/>
  <c r="BF37" i="13"/>
  <c r="CE38" i="13"/>
  <c r="BG38" i="13"/>
  <c r="BI42" i="13"/>
  <c r="CD42" i="13"/>
  <c r="BH42" i="13"/>
  <c r="E56" i="13"/>
  <c r="E54" i="13"/>
  <c r="E49" i="13"/>
  <c r="E55" i="13"/>
  <c r="E47" i="13"/>
  <c r="Y56" i="13"/>
  <c r="Y54" i="13"/>
  <c r="Y49" i="13"/>
  <c r="Y55" i="13"/>
  <c r="Y47" i="13"/>
  <c r="BF12" i="13"/>
  <c r="BF13" i="13"/>
  <c r="BF15" i="13"/>
  <c r="CO36" i="13"/>
  <c r="BF36" i="13"/>
  <c r="CE37" i="13"/>
  <c r="CE43" i="13"/>
  <c r="CE39" i="13"/>
  <c r="CE42" i="13"/>
  <c r="CE41" i="13"/>
  <c r="D56" i="13"/>
  <c r="D54" i="13"/>
  <c r="D49" i="13"/>
  <c r="D55" i="13"/>
  <c r="D47" i="13"/>
  <c r="K56" i="13"/>
  <c r="K54" i="13"/>
  <c r="K49" i="13"/>
  <c r="K55" i="13"/>
  <c r="K47" i="13"/>
  <c r="S56" i="13"/>
  <c r="S54" i="13"/>
  <c r="S49" i="13"/>
  <c r="S55" i="13"/>
  <c r="AB56" i="13"/>
  <c r="AB54" i="13"/>
  <c r="AB49" i="13"/>
  <c r="AB55" i="13"/>
  <c r="AB47" i="13"/>
  <c r="BI11" i="13"/>
  <c r="BQ11" i="13"/>
  <c r="CJ11" i="13"/>
  <c r="CO11" i="13"/>
  <c r="AK32" i="13"/>
  <c r="BF33" i="13"/>
  <c r="CE34" i="13"/>
  <c r="BJ34" i="13"/>
  <c r="CL35" i="13"/>
  <c r="BG35" i="13"/>
  <c r="CO35" i="13"/>
  <c r="BI36" i="13"/>
  <c r="BP36" i="13"/>
  <c r="AK36" i="13"/>
  <c r="BH36" i="13"/>
  <c r="CN36" i="13"/>
  <c r="BP38" i="13"/>
  <c r="AK38" i="13"/>
  <c r="CN38" i="13"/>
  <c r="BG42" i="13"/>
  <c r="CD39" i="13"/>
  <c r="BH39" i="13"/>
  <c r="AM42" i="13"/>
  <c r="BQ42" i="13"/>
  <c r="BI43" i="13"/>
  <c r="CD43" i="13"/>
  <c r="BH43" i="13"/>
  <c r="BG43" i="13"/>
  <c r="BH44" i="13"/>
  <c r="BC44" i="13"/>
  <c r="BI38" i="13"/>
  <c r="BH38" i="13"/>
  <c r="CF38" i="13"/>
  <c r="AM39" i="13"/>
  <c r="BQ39" i="13"/>
  <c r="BI40" i="13"/>
  <c r="CD40" i="13"/>
  <c r="BH40" i="13"/>
  <c r="AM43" i="13"/>
  <c r="BQ43" i="13"/>
  <c r="BG44" i="13"/>
  <c r="BJ44" i="13"/>
  <c r="BF44" i="13"/>
  <c r="BJ38" i="13"/>
  <c r="BF38" i="13"/>
  <c r="CK38" i="13"/>
  <c r="BC38" i="13"/>
  <c r="CL38" i="13"/>
  <c r="BQ40" i="13"/>
  <c r="BI41" i="13"/>
  <c r="CD41" i="13"/>
  <c r="BH41" i="13"/>
  <c r="BG41" i="13"/>
  <c r="AK39" i="13"/>
  <c r="BC39" i="13"/>
  <c r="CF39" i="13"/>
  <c r="AK40" i="13"/>
  <c r="BC40" i="13"/>
  <c r="CF40" i="13"/>
  <c r="AK41" i="13"/>
  <c r="BC41" i="13"/>
  <c r="CF41" i="13"/>
  <c r="AK42" i="13"/>
  <c r="BC42" i="13"/>
  <c r="CF42" i="13"/>
  <c r="AK43" i="13"/>
  <c r="BC43" i="13"/>
  <c r="CF43" i="13"/>
  <c r="BI39" i="13"/>
  <c r="BF39" i="13"/>
  <c r="BF40" i="13"/>
  <c r="BF41" i="13"/>
  <c r="BF42" i="13"/>
  <c r="BF43" i="13"/>
  <c r="AX40" i="12"/>
  <c r="AY40" i="12" s="1"/>
  <c r="EC13" i="12"/>
  <c r="FJ12" i="12"/>
  <c r="FK12" i="12" s="1"/>
  <c r="FD14" i="12"/>
  <c r="FE14" i="12" s="1"/>
  <c r="AB47" i="12"/>
  <c r="AB49" i="12"/>
  <c r="EX49" i="12" s="1"/>
  <c r="EY49" i="12" s="1"/>
  <c r="AB55" i="12"/>
  <c r="EX55" i="12" s="1"/>
  <c r="EY55" i="12" s="1"/>
  <c r="AX41" i="12"/>
  <c r="AY41" i="12" s="1"/>
  <c r="EC18" i="12"/>
  <c r="BF12" i="12"/>
  <c r="BG12" i="12" s="1"/>
  <c r="AX18" i="12"/>
  <c r="AY18" i="12" s="1"/>
  <c r="AX37" i="12"/>
  <c r="AY37" i="12" s="1"/>
  <c r="EC41" i="12"/>
  <c r="BF43" i="12"/>
  <c r="BG43" i="12" s="1"/>
  <c r="FL43" i="12"/>
  <c r="FM43" i="12" s="1"/>
  <c r="FL16" i="12"/>
  <c r="FM16" i="12" s="1"/>
  <c r="BF35" i="12"/>
  <c r="BG35" i="12" s="1"/>
  <c r="EC37" i="12"/>
  <c r="BF39" i="12"/>
  <c r="BG39" i="12" s="1"/>
  <c r="Z49" i="12"/>
  <c r="FD19" i="12"/>
  <c r="FE19" i="12" s="1"/>
  <c r="Y55" i="12"/>
  <c r="BL55" i="12" s="1"/>
  <c r="BD12" i="12"/>
  <c r="BE12" i="12" s="1"/>
  <c r="FF35" i="12"/>
  <c r="FG35" i="12" s="1"/>
  <c r="AF37" i="12"/>
  <c r="AG37" i="12" s="1"/>
  <c r="BD39" i="12"/>
  <c r="BE39" i="12" s="1"/>
  <c r="V47" i="12"/>
  <c r="FF12" i="12"/>
  <c r="FG12" i="12" s="1"/>
  <c r="BO14" i="12"/>
  <c r="AF41" i="12"/>
  <c r="AG41" i="12" s="1"/>
  <c r="W49" i="12"/>
  <c r="AH15" i="12"/>
  <c r="AI15" i="12" s="1"/>
  <c r="AF18" i="12"/>
  <c r="AG18" i="12" s="1"/>
  <c r="V55" i="12"/>
  <c r="BJ55" i="12" s="1"/>
  <c r="CA37" i="12"/>
  <c r="S55" i="12"/>
  <c r="ER55" i="12" s="1"/>
  <c r="ES55" i="12" s="1"/>
  <c r="AJ35" i="12"/>
  <c r="AK35" i="12" s="1"/>
  <c r="U39" i="12"/>
  <c r="S56" i="12"/>
  <c r="AJ41" i="12"/>
  <c r="AK41" i="12" s="1"/>
  <c r="AJ16" i="12"/>
  <c r="AK16" i="12" s="1"/>
  <c r="AJ37" i="12"/>
  <c r="AK37" i="12" s="1"/>
  <c r="CA43" i="12"/>
  <c r="AV39" i="12"/>
  <c r="AW39" i="12" s="1"/>
  <c r="Q55" i="12"/>
  <c r="CR55" i="12" s="1"/>
  <c r="CS55" i="12" s="1"/>
  <c r="P54" i="12"/>
  <c r="CP54" i="12" s="1"/>
  <c r="CQ54" i="12" s="1"/>
  <c r="AJ19" i="12"/>
  <c r="AK19" i="12" s="1"/>
  <c r="DY17" i="12"/>
  <c r="AV36" i="12"/>
  <c r="AW36" i="12" s="1"/>
  <c r="Q49" i="12"/>
  <c r="CR49" i="12" s="1"/>
  <c r="CS49" i="12" s="1"/>
  <c r="DY13" i="12"/>
  <c r="Q47" i="12"/>
  <c r="Q54" i="12"/>
  <c r="CR54" i="12" s="1"/>
  <c r="CS54" i="12" s="1"/>
  <c r="Q56" i="12"/>
  <c r="AJ12" i="12"/>
  <c r="AK12" i="12" s="1"/>
  <c r="P56" i="12"/>
  <c r="AJ39" i="12"/>
  <c r="AK39" i="12" s="1"/>
  <c r="FJ42" i="12"/>
  <c r="FK42" i="12" s="1"/>
  <c r="BF38" i="12"/>
  <c r="BG38" i="12" s="1"/>
  <c r="FD42" i="12"/>
  <c r="FE42" i="12" s="1"/>
  <c r="FD38" i="12"/>
  <c r="FE38" i="12" s="1"/>
  <c r="AX14" i="12"/>
  <c r="AY14" i="12" s="1"/>
  <c r="EC14" i="12"/>
  <c r="AC55" i="12"/>
  <c r="EZ55" i="12" s="1"/>
  <c r="FA55" i="12" s="1"/>
  <c r="AC49" i="12"/>
  <c r="EZ49" i="12" s="1"/>
  <c r="FA49" i="12" s="1"/>
  <c r="AC54" i="12"/>
  <c r="EZ54" i="12" s="1"/>
  <c r="FA54" i="12" s="1"/>
  <c r="AC56" i="12"/>
  <c r="FJ15" i="12"/>
  <c r="FK15" i="12" s="1"/>
  <c r="FJ38" i="12"/>
  <c r="FK38" i="12" s="1"/>
  <c r="EV15" i="12"/>
  <c r="EW15" i="12" s="1"/>
  <c r="EV41" i="12"/>
  <c r="EW41" i="12" s="1"/>
  <c r="BB38" i="12"/>
  <c r="BC38" i="12" s="1"/>
  <c r="BB19" i="12"/>
  <c r="BC19" i="12" s="1"/>
  <c r="AX19" i="12"/>
  <c r="AY19" i="12" s="1"/>
  <c r="AB54" i="12"/>
  <c r="EX54" i="12" s="1"/>
  <c r="EY54" i="12" s="1"/>
  <c r="EC42" i="12"/>
  <c r="EC38" i="12"/>
  <c r="EC19" i="12"/>
  <c r="FL38" i="12"/>
  <c r="FM38" i="12" s="1"/>
  <c r="BF15" i="12"/>
  <c r="BG15" i="12" s="1"/>
  <c r="BF42" i="12"/>
  <c r="BG42" i="12" s="1"/>
  <c r="Z47" i="12"/>
  <c r="Z48" i="12" s="1"/>
  <c r="Z54" i="12"/>
  <c r="Z56" i="12"/>
  <c r="FL15" i="12"/>
  <c r="FM15" i="12" s="1"/>
  <c r="BB42" i="12"/>
  <c r="BC42" i="12" s="1"/>
  <c r="BB15" i="12"/>
  <c r="BC15" i="12" s="1"/>
  <c r="FD15" i="12"/>
  <c r="FE15" i="12" s="1"/>
  <c r="AX38" i="12"/>
  <c r="AY38" i="12" s="1"/>
  <c r="AX42" i="12"/>
  <c r="AY42" i="12" s="1"/>
  <c r="Y47" i="12"/>
  <c r="Y49" i="12"/>
  <c r="BL49" i="12" s="1"/>
  <c r="AX15" i="12"/>
  <c r="AY15" i="12" s="1"/>
  <c r="Y56" i="12"/>
  <c r="BL56" i="12" s="1"/>
  <c r="EC15" i="12"/>
  <c r="Y54" i="12"/>
  <c r="BL54" i="12" s="1"/>
  <c r="W47" i="12"/>
  <c r="W48" i="12" s="1"/>
  <c r="W55" i="12"/>
  <c r="AH42" i="12"/>
  <c r="AI42" i="12" s="1"/>
  <c r="AH38" i="12"/>
  <c r="AI38" i="12" s="1"/>
  <c r="BM38" i="12"/>
  <c r="BM19" i="12"/>
  <c r="BM15" i="12"/>
  <c r="V49" i="12"/>
  <c r="BJ49" i="12" s="1"/>
  <c r="V54" i="12"/>
  <c r="BJ54" i="12" s="1"/>
  <c r="T47" i="12"/>
  <c r="T49" i="12"/>
  <c r="ET49" i="12" s="1"/>
  <c r="EU49" i="12" s="1"/>
  <c r="T55" i="12"/>
  <c r="ET55" i="12" s="1"/>
  <c r="EU55" i="12" s="1"/>
  <c r="U42" i="12"/>
  <c r="T54" i="12"/>
  <c r="ET54" i="12" s="1"/>
  <c r="EU54" i="12" s="1"/>
  <c r="AV42" i="12"/>
  <c r="AW42" i="12" s="1"/>
  <c r="AV38" i="12"/>
  <c r="AW38" i="12" s="1"/>
  <c r="AV19" i="12"/>
  <c r="AW19" i="12" s="1"/>
  <c r="CA15" i="12"/>
  <c r="S49" i="12"/>
  <c r="ER49" i="12" s="1"/>
  <c r="ES49" i="12" s="1"/>
  <c r="CA19" i="12"/>
  <c r="AJ42" i="12"/>
  <c r="AK42" i="12" s="1"/>
  <c r="S54" i="12"/>
  <c r="ER54" i="12" s="1"/>
  <c r="ES54" i="12" s="1"/>
  <c r="DY15" i="12"/>
  <c r="AV15" i="12"/>
  <c r="AW15" i="12" s="1"/>
  <c r="DY42" i="12"/>
  <c r="AJ38" i="12"/>
  <c r="AK38" i="12" s="1"/>
  <c r="P49" i="12"/>
  <c r="CP49" i="12" s="1"/>
  <c r="CQ49" i="12" s="1"/>
  <c r="P55" i="12"/>
  <c r="CP55" i="12" s="1"/>
  <c r="CQ55" i="12" s="1"/>
  <c r="AJ15" i="12"/>
  <c r="AJ14" i="12"/>
  <c r="AK14" i="12" s="1"/>
  <c r="N49" i="12"/>
  <c r="DX49" i="12" s="1"/>
  <c r="N54" i="12"/>
  <c r="DX54" i="12" s="1"/>
  <c r="N56" i="12"/>
  <c r="FF42" i="12"/>
  <c r="FG42" i="12" s="1"/>
  <c r="BD38" i="12"/>
  <c r="BE38" i="12" s="1"/>
  <c r="AL15" i="12"/>
  <c r="AM15" i="12" s="1"/>
  <c r="CE38" i="12"/>
  <c r="AL42" i="12"/>
  <c r="AM42" i="12" s="1"/>
  <c r="CE15" i="12"/>
  <c r="M54" i="12"/>
  <c r="DR54" i="12" s="1"/>
  <c r="DS54" i="12" s="1"/>
  <c r="M55" i="12"/>
  <c r="DR55" i="12" s="1"/>
  <c r="DS55" i="12" s="1"/>
  <c r="BK15" i="12"/>
  <c r="M56" i="12"/>
  <c r="AF42" i="12"/>
  <c r="AG42" i="12" s="1"/>
  <c r="FF38" i="12"/>
  <c r="FG38" i="12" s="1"/>
  <c r="K56" i="12"/>
  <c r="F108" i="12" s="1"/>
  <c r="K47" i="12"/>
  <c r="K54" i="12"/>
  <c r="EL54" i="12" s="1"/>
  <c r="BD42" i="12"/>
  <c r="BE42" i="12" s="1"/>
  <c r="FF19" i="12"/>
  <c r="FG19" i="12" s="1"/>
  <c r="K49" i="12"/>
  <c r="G55" i="12"/>
  <c r="EB55" i="12" s="1"/>
  <c r="G49" i="12"/>
  <c r="EB49" i="12" s="1"/>
  <c r="G54" i="12"/>
  <c r="EB54" i="12" s="1"/>
  <c r="G56" i="12"/>
  <c r="AF38" i="12"/>
  <c r="AG38" i="12" s="1"/>
  <c r="AF19" i="12"/>
  <c r="AG19" i="12" s="1"/>
  <c r="BD15" i="12"/>
  <c r="BE15" i="12" s="1"/>
  <c r="FF15" i="12"/>
  <c r="FG15" i="12" s="1"/>
  <c r="E49" i="12"/>
  <c r="BT49" i="12" s="1"/>
  <c r="BU49" i="12" s="1"/>
  <c r="E55" i="12"/>
  <c r="BT55" i="12" s="1"/>
  <c r="BU55" i="12" s="1"/>
  <c r="BD19" i="12"/>
  <c r="E47" i="12"/>
  <c r="D54" i="12"/>
  <c r="D55" i="12"/>
  <c r="D56" i="12"/>
  <c r="AF15" i="12"/>
  <c r="AG15" i="12" s="1"/>
  <c r="D47" i="12"/>
  <c r="D48" i="12" s="1"/>
  <c r="AI12" i="12"/>
  <c r="AI35" i="12"/>
  <c r="FN9" i="12"/>
  <c r="BM43" i="12"/>
  <c r="BM44" i="12"/>
  <c r="BM42" i="12"/>
  <c r="BM41" i="12"/>
  <c r="BM18" i="12"/>
  <c r="BM13" i="12"/>
  <c r="BM40" i="12"/>
  <c r="BM16" i="12"/>
  <c r="BO12" i="12"/>
  <c r="BM39" i="12"/>
  <c r="BK43" i="12"/>
  <c r="BK44" i="12"/>
  <c r="BK38" i="12"/>
  <c r="BK19" i="12"/>
  <c r="BK17" i="12"/>
  <c r="BK14" i="12"/>
  <c r="BK42" i="12"/>
  <c r="BK41" i="12"/>
  <c r="BK37" i="12"/>
  <c r="BK18" i="12"/>
  <c r="BK13" i="12"/>
  <c r="BN44" i="12"/>
  <c r="BO44" i="12" s="1"/>
  <c r="BO16" i="12"/>
  <c r="BO15" i="12"/>
  <c r="AM13" i="12"/>
  <c r="AM14" i="12"/>
  <c r="BM14" i="12"/>
  <c r="AI16" i="12"/>
  <c r="BK16" i="12"/>
  <c r="F44" i="11"/>
  <c r="D41" i="11"/>
  <c r="D42" i="11" s="1"/>
  <c r="H20" i="11"/>
  <c r="F41" i="11"/>
  <c r="F42" i="11" s="1"/>
  <c r="E41" i="11"/>
  <c r="E42" i="11" s="1"/>
  <c r="G40" i="11"/>
  <c r="G44" i="11" s="1"/>
  <c r="G41" i="11"/>
  <c r="G42" i="11" s="1"/>
  <c r="G43" i="11"/>
  <c r="G48" i="11"/>
  <c r="G49" i="11"/>
  <c r="AT56" i="13" l="1"/>
  <c r="E69" i="13" s="1"/>
  <c r="F69" i="13" s="1"/>
  <c r="G69" i="13" s="1"/>
  <c r="AT47" i="13"/>
  <c r="AT55" i="13"/>
  <c r="AT49" i="13"/>
  <c r="ET59" i="12"/>
  <c r="ET56" i="12"/>
  <c r="T48" i="12"/>
  <c r="ET48" i="12" s="1"/>
  <c r="EU48" i="12" s="1"/>
  <c r="ET47" i="12"/>
  <c r="EU47" i="12" s="1"/>
  <c r="F63" i="12"/>
  <c r="BL57" i="12"/>
  <c r="G63" i="12" s="1"/>
  <c r="H63" i="12" s="1"/>
  <c r="EW59" i="12"/>
  <c r="AB48" i="12"/>
  <c r="EX48" i="12" s="1"/>
  <c r="EY48" i="12" s="1"/>
  <c r="EX47" i="12"/>
  <c r="EY47" i="12" s="1"/>
  <c r="S48" i="12"/>
  <c r="ER48" i="12" s="1"/>
  <c r="ES48" i="12" s="1"/>
  <c r="ER47" i="12"/>
  <c r="ES47" i="12" s="1"/>
  <c r="AC48" i="12"/>
  <c r="EZ48" i="12" s="1"/>
  <c r="FA48" i="12" s="1"/>
  <c r="EZ47" i="12"/>
  <c r="FA47" i="12" s="1"/>
  <c r="ES57" i="12"/>
  <c r="ES56" i="12"/>
  <c r="ES59" i="12"/>
  <c r="FA56" i="12"/>
  <c r="FA57" i="12"/>
  <c r="FA59" i="12"/>
  <c r="EU56" i="12"/>
  <c r="EU59" i="12"/>
  <c r="EU57" i="12"/>
  <c r="FE11" i="12"/>
  <c r="FE59" i="12" s="1"/>
  <c r="FD59" i="12"/>
  <c r="EY56" i="12"/>
  <c r="EY59" i="12"/>
  <c r="EY57" i="12"/>
  <c r="F62" i="12"/>
  <c r="BJ57" i="12"/>
  <c r="G62" i="12" s="1"/>
  <c r="H62" i="12" s="1"/>
  <c r="EC59" i="12"/>
  <c r="BK57" i="12"/>
  <c r="DY59" i="12"/>
  <c r="EV59" i="12"/>
  <c r="K48" i="12"/>
  <c r="G108" i="12"/>
  <c r="H108" i="12" s="1"/>
  <c r="EL47" i="12"/>
  <c r="EL49" i="12"/>
  <c r="G48" i="12"/>
  <c r="EB48" i="12" s="1"/>
  <c r="EB47" i="12"/>
  <c r="J113" i="12"/>
  <c r="BM57" i="12"/>
  <c r="BO57" i="12"/>
  <c r="J64" i="12" s="1"/>
  <c r="K64" i="12" s="1"/>
  <c r="L64" i="12" s="1"/>
  <c r="FG57" i="12"/>
  <c r="FK57" i="12"/>
  <c r="BQ57" i="12"/>
  <c r="N48" i="12"/>
  <c r="DX48" i="12" s="1"/>
  <c r="DX47" i="12"/>
  <c r="M48" i="12"/>
  <c r="DR48" i="12" s="1"/>
  <c r="DS48" i="12" s="1"/>
  <c r="DR47" i="12"/>
  <c r="DS47" i="12" s="1"/>
  <c r="J72" i="12"/>
  <c r="DS56" i="12"/>
  <c r="J116" i="12"/>
  <c r="FM57" i="12"/>
  <c r="EC57" i="12"/>
  <c r="J103" i="12" s="1"/>
  <c r="DY57" i="12"/>
  <c r="P48" i="12"/>
  <c r="CP48" i="12" s="1"/>
  <c r="CQ48" i="12" s="1"/>
  <c r="CP47" i="12"/>
  <c r="CQ47" i="12" s="1"/>
  <c r="Q48" i="12"/>
  <c r="CR48" i="12" s="1"/>
  <c r="CS48" i="12" s="1"/>
  <c r="CR47" i="12"/>
  <c r="CS47" i="12" s="1"/>
  <c r="E48" i="12"/>
  <c r="BT48" i="12" s="1"/>
  <c r="BU48" i="12" s="1"/>
  <c r="BT47" i="12"/>
  <c r="BU47" i="12" s="1"/>
  <c r="Y48" i="12"/>
  <c r="BL48" i="12" s="1"/>
  <c r="BL47" i="12"/>
  <c r="V48" i="12"/>
  <c r="BJ48" i="12" s="1"/>
  <c r="BJ47" i="12"/>
  <c r="BC57" i="13"/>
  <c r="J102" i="12"/>
  <c r="J71" i="12"/>
  <c r="AK57" i="13"/>
  <c r="AW57" i="13"/>
  <c r="J62" i="12"/>
  <c r="K62" i="12" s="1"/>
  <c r="L62" i="12" s="1"/>
  <c r="J63" i="12"/>
  <c r="AG57" i="13"/>
  <c r="L62" i="13" s="1"/>
  <c r="FM59" i="12"/>
  <c r="I100" i="12"/>
  <c r="BO56" i="12"/>
  <c r="I113" i="12"/>
  <c r="I102" i="12"/>
  <c r="BM59" i="12"/>
  <c r="I63" i="12" s="1"/>
  <c r="BO59" i="12"/>
  <c r="I64" i="12" s="1"/>
  <c r="FM56" i="12"/>
  <c r="I116" i="12"/>
  <c r="BK56" i="12"/>
  <c r="BK59" i="12"/>
  <c r="I62" i="12" s="1"/>
  <c r="FG59" i="12"/>
  <c r="FG56" i="12"/>
  <c r="EC56" i="12"/>
  <c r="BM56" i="12"/>
  <c r="FK56" i="12"/>
  <c r="FK59" i="12"/>
  <c r="BQ59" i="12"/>
  <c r="I65" i="12" s="1"/>
  <c r="BQ56" i="12"/>
  <c r="DY56" i="12"/>
  <c r="E118" i="12"/>
  <c r="Z50" i="12"/>
  <c r="Z52" i="12" s="1"/>
  <c r="AC50" i="12"/>
  <c r="Q50" i="12"/>
  <c r="L49" i="12"/>
  <c r="F56" i="12"/>
  <c r="FL56" i="12"/>
  <c r="FL57" i="12" s="1"/>
  <c r="CJ56" i="13"/>
  <c r="CJ57" i="13" s="1"/>
  <c r="L54" i="13"/>
  <c r="CP14" i="13"/>
  <c r="CQ14" i="13" s="1"/>
  <c r="F55" i="13"/>
  <c r="K62" i="13"/>
  <c r="CN56" i="13"/>
  <c r="CN57" i="13" s="1"/>
  <c r="CP33" i="13"/>
  <c r="CQ33" i="13" s="1"/>
  <c r="O54" i="13"/>
  <c r="F47" i="13"/>
  <c r="F48" i="13" s="1"/>
  <c r="CD56" i="13"/>
  <c r="CD57" i="13" s="1"/>
  <c r="BJ56" i="13"/>
  <c r="BJ57" i="13" s="1"/>
  <c r="CE56" i="13"/>
  <c r="CE57" i="13" s="1"/>
  <c r="AI56" i="13"/>
  <c r="AX55" i="13"/>
  <c r="BG56" i="13"/>
  <c r="BG57" i="13" s="1"/>
  <c r="CF56" i="13"/>
  <c r="CF57" i="13" s="1"/>
  <c r="BO56" i="13"/>
  <c r="BO57" i="13" s="1"/>
  <c r="AG56" i="13"/>
  <c r="O49" i="13"/>
  <c r="CP11" i="13"/>
  <c r="CQ11" i="13" s="1"/>
  <c r="CP15" i="13"/>
  <c r="CQ15" i="13" s="1"/>
  <c r="BH56" i="13"/>
  <c r="BH57" i="13" s="1"/>
  <c r="O55" i="13"/>
  <c r="AM34" i="13"/>
  <c r="AY56" i="13"/>
  <c r="BC59" i="13"/>
  <c r="K73" i="13" s="1"/>
  <c r="BC56" i="13"/>
  <c r="AW56" i="13"/>
  <c r="AW59" i="13"/>
  <c r="K70" i="13" s="1"/>
  <c r="CL56" i="13"/>
  <c r="CL57" i="13" s="1"/>
  <c r="CP41" i="13"/>
  <c r="CQ41" i="13" s="1"/>
  <c r="CP35" i="13"/>
  <c r="CQ35" i="13" s="1"/>
  <c r="BP56" i="13"/>
  <c r="BP57" i="13" s="1"/>
  <c r="AM40" i="13"/>
  <c r="CP38" i="13"/>
  <c r="CQ38" i="13" s="1"/>
  <c r="F56" i="13"/>
  <c r="CP13" i="13"/>
  <c r="CQ13" i="13" s="1"/>
  <c r="L49" i="13"/>
  <c r="CP31" i="13"/>
  <c r="CQ31" i="13" s="1"/>
  <c r="AK56" i="13"/>
  <c r="AK59" i="13"/>
  <c r="M50" i="12"/>
  <c r="L47" i="12"/>
  <c r="L48" i="12" s="1"/>
  <c r="K50" i="12"/>
  <c r="O49" i="12"/>
  <c r="U47" i="12"/>
  <c r="U48" i="12" s="1"/>
  <c r="FJ56" i="12"/>
  <c r="FJ57" i="12" s="1"/>
  <c r="L56" i="12"/>
  <c r="AD47" i="12"/>
  <c r="AD48" i="12" s="1"/>
  <c r="O54" i="12"/>
  <c r="F47" i="12"/>
  <c r="F48" i="12" s="1"/>
  <c r="U56" i="12"/>
  <c r="AH54" i="12"/>
  <c r="FF56" i="12"/>
  <c r="FF57" i="12" s="1"/>
  <c r="BF55" i="12"/>
  <c r="AL55" i="12"/>
  <c r="L54" i="12"/>
  <c r="F49" i="12"/>
  <c r="AL54" i="12"/>
  <c r="F55" i="12"/>
  <c r="X54" i="12"/>
  <c r="L55" i="12"/>
  <c r="AA56" i="12"/>
  <c r="AB48" i="13"/>
  <c r="AB50" i="13" s="1"/>
  <c r="D48" i="13"/>
  <c r="Y48" i="13"/>
  <c r="AF56" i="13"/>
  <c r="E62" i="13" s="1"/>
  <c r="F62" i="13" s="1"/>
  <c r="AF54" i="13"/>
  <c r="AF55" i="13"/>
  <c r="N48" i="13"/>
  <c r="BC54" i="13"/>
  <c r="BC55" i="13"/>
  <c r="CP42" i="13"/>
  <c r="CQ42" i="13" s="1"/>
  <c r="BQ56" i="13"/>
  <c r="BQ57" i="13" s="1"/>
  <c r="CP12" i="13"/>
  <c r="CQ12" i="13" s="1"/>
  <c r="O47" i="13"/>
  <c r="O56" i="13"/>
  <c r="CP37" i="13"/>
  <c r="CQ37" i="13" s="1"/>
  <c r="AD55" i="13"/>
  <c r="AD56" i="13"/>
  <c r="AD54" i="13"/>
  <c r="AD47" i="13"/>
  <c r="AD49" i="13"/>
  <c r="AH55" i="13"/>
  <c r="E65" i="13"/>
  <c r="F65" i="13" s="1"/>
  <c r="G65" i="13" s="1"/>
  <c r="L47" i="13"/>
  <c r="L56" i="13"/>
  <c r="CP32" i="13"/>
  <c r="CQ32" i="13" s="1"/>
  <c r="AA55" i="13"/>
  <c r="AA56" i="13"/>
  <c r="AA54" i="13"/>
  <c r="AA47" i="13"/>
  <c r="AA49" i="13"/>
  <c r="V48" i="13"/>
  <c r="V50" i="13" s="1"/>
  <c r="BB55" i="13"/>
  <c r="F49" i="13"/>
  <c r="AV54" i="13"/>
  <c r="R56" i="13"/>
  <c r="R54" i="13"/>
  <c r="R49" i="13"/>
  <c r="R55" i="13"/>
  <c r="R47" i="13"/>
  <c r="Q48" i="13"/>
  <c r="Q50" i="13" s="1"/>
  <c r="AH56" i="13"/>
  <c r="E63" i="13" s="1"/>
  <c r="F63" i="13" s="1"/>
  <c r="G63" i="13" s="1"/>
  <c r="AV55" i="13"/>
  <c r="CP43" i="13"/>
  <c r="CQ43" i="13" s="1"/>
  <c r="CP39" i="13"/>
  <c r="CQ39" i="13" s="1"/>
  <c r="BI56" i="13"/>
  <c r="BI57" i="13" s="1"/>
  <c r="AX54" i="13"/>
  <c r="E48" i="13"/>
  <c r="E64" i="13"/>
  <c r="F64" i="13" s="1"/>
  <c r="G64" i="13" s="1"/>
  <c r="Z48" i="13"/>
  <c r="Z50" i="13" s="1"/>
  <c r="G48" i="13"/>
  <c r="G50" i="13" s="1"/>
  <c r="CK56" i="13"/>
  <c r="CK57" i="13" s="1"/>
  <c r="L55" i="13"/>
  <c r="X55" i="13"/>
  <c r="X56" i="13"/>
  <c r="X54" i="13"/>
  <c r="X49" i="13"/>
  <c r="X47" i="13"/>
  <c r="P48" i="13"/>
  <c r="CP34" i="13"/>
  <c r="CQ34" i="13" s="1"/>
  <c r="BB56" i="13"/>
  <c r="E73" i="13" s="1"/>
  <c r="F73" i="13" s="1"/>
  <c r="G73" i="13" s="1"/>
  <c r="F54" i="13"/>
  <c r="AV56" i="13"/>
  <c r="E70" i="13" s="1"/>
  <c r="F70" i="13" s="1"/>
  <c r="G70" i="13" s="1"/>
  <c r="T48" i="13"/>
  <c r="T50" i="13" s="1"/>
  <c r="CP40" i="13"/>
  <c r="CQ40" i="13" s="1"/>
  <c r="CO56" i="13"/>
  <c r="CO57" i="13" s="1"/>
  <c r="K48" i="13"/>
  <c r="CP36" i="13"/>
  <c r="CQ36" i="13" s="1"/>
  <c r="AX56" i="13"/>
  <c r="E71" i="13" s="1"/>
  <c r="F71" i="13" s="1"/>
  <c r="G71" i="13" s="1"/>
  <c r="BF56" i="13"/>
  <c r="BF57" i="13" s="1"/>
  <c r="W48" i="13"/>
  <c r="W50" i="13" s="1"/>
  <c r="AH54" i="13"/>
  <c r="U55" i="13"/>
  <c r="U56" i="13"/>
  <c r="U54" i="13"/>
  <c r="U49" i="13"/>
  <c r="U47" i="13"/>
  <c r="AC48" i="13"/>
  <c r="M48" i="13"/>
  <c r="S50" i="13"/>
  <c r="S52" i="13" s="1"/>
  <c r="BB54" i="13"/>
  <c r="AW54" i="13"/>
  <c r="AW55" i="13"/>
  <c r="AD56" i="12"/>
  <c r="BF54" i="12"/>
  <c r="X55" i="12"/>
  <c r="W50" i="12"/>
  <c r="W52" i="12" s="1"/>
  <c r="U54" i="12"/>
  <c r="S50" i="12"/>
  <c r="AJ54" i="12"/>
  <c r="R47" i="12"/>
  <c r="R48" i="12" s="1"/>
  <c r="P50" i="12"/>
  <c r="BF56" i="12"/>
  <c r="BB56" i="12"/>
  <c r="BB55" i="12"/>
  <c r="AX56" i="12"/>
  <c r="AX54" i="12"/>
  <c r="AD55" i="12"/>
  <c r="BB54" i="12"/>
  <c r="AD49" i="12"/>
  <c r="AX55" i="12"/>
  <c r="AD54" i="12"/>
  <c r="AA54" i="12"/>
  <c r="AA47" i="12"/>
  <c r="AA48" i="12" s="1"/>
  <c r="AA49" i="12"/>
  <c r="AA55" i="12"/>
  <c r="X56" i="12"/>
  <c r="X49" i="12"/>
  <c r="AH56" i="12"/>
  <c r="X47" i="12"/>
  <c r="X48" i="12" s="1"/>
  <c r="AH55" i="12"/>
  <c r="AF56" i="12"/>
  <c r="BN56" i="12"/>
  <c r="U49" i="12"/>
  <c r="AV55" i="12"/>
  <c r="AV54" i="12"/>
  <c r="AV56" i="12"/>
  <c r="AJ56" i="12"/>
  <c r="U55" i="12"/>
  <c r="R49" i="12"/>
  <c r="AW56" i="12"/>
  <c r="R54" i="12"/>
  <c r="AK15" i="12"/>
  <c r="AK54" i="12" s="1"/>
  <c r="AJ55" i="12"/>
  <c r="R55" i="12"/>
  <c r="R56" i="12"/>
  <c r="BD56" i="12"/>
  <c r="AL56" i="12"/>
  <c r="O55" i="12"/>
  <c r="O56" i="12"/>
  <c r="O47" i="12"/>
  <c r="O48" i="12" s="1"/>
  <c r="AM54" i="12"/>
  <c r="BE19" i="12"/>
  <c r="BE54" i="12" s="1"/>
  <c r="BD55" i="12"/>
  <c r="BD54" i="12"/>
  <c r="F54" i="12"/>
  <c r="AF55" i="12"/>
  <c r="AF54" i="12"/>
  <c r="AM56" i="12"/>
  <c r="T50" i="12"/>
  <c r="BG54" i="12"/>
  <c r="BG56" i="12"/>
  <c r="BG55" i="12"/>
  <c r="AW55" i="12"/>
  <c r="AM55" i="12"/>
  <c r="BC54" i="12"/>
  <c r="BC56" i="12"/>
  <c r="BC55" i="12"/>
  <c r="AW54" i="12"/>
  <c r="D50" i="12"/>
  <c r="D52" i="12" s="1"/>
  <c r="G50" i="12"/>
  <c r="AB50" i="12"/>
  <c r="AG54" i="12"/>
  <c r="AG55" i="12"/>
  <c r="AG56" i="12"/>
  <c r="AY55" i="12"/>
  <c r="AY56" i="12"/>
  <c r="AY54" i="12"/>
  <c r="AI55" i="12"/>
  <c r="AI56" i="12"/>
  <c r="AI54" i="12"/>
  <c r="F46" i="11"/>
  <c r="D44" i="11"/>
  <c r="D46" i="11" s="1"/>
  <c r="E46" i="11"/>
  <c r="G46" i="11"/>
  <c r="E44" i="11"/>
  <c r="M50" i="13" l="1"/>
  <c r="AT48" i="13"/>
  <c r="AU57" i="13"/>
  <c r="AO57" i="13"/>
  <c r="BA57" i="13"/>
  <c r="K63" i="12"/>
  <c r="L63" i="12" s="1"/>
  <c r="EY58" i="12"/>
  <c r="S52" i="12"/>
  <c r="ER52" i="12" s="1"/>
  <c r="ES52" i="12" s="1"/>
  <c r="ER50" i="12"/>
  <c r="ES50" i="12" s="1"/>
  <c r="EU58" i="12"/>
  <c r="FA58" i="12"/>
  <c r="ES58" i="12"/>
  <c r="F64" i="12"/>
  <c r="BN57" i="12"/>
  <c r="G64" i="12" s="1"/>
  <c r="H64" i="12" s="1"/>
  <c r="AB52" i="12"/>
  <c r="EX52" i="12" s="1"/>
  <c r="EY52" i="12" s="1"/>
  <c r="EX50" i="12"/>
  <c r="EY50" i="12" s="1"/>
  <c r="T52" i="12"/>
  <c r="ET52" i="12" s="1"/>
  <c r="EU52" i="12" s="1"/>
  <c r="ET50" i="12"/>
  <c r="EU50" i="12" s="1"/>
  <c r="N50" i="12"/>
  <c r="DX50" i="12" s="1"/>
  <c r="AC52" i="12"/>
  <c r="EZ52" i="12" s="1"/>
  <c r="FA52" i="12" s="1"/>
  <c r="EZ50" i="12"/>
  <c r="FA50" i="12" s="1"/>
  <c r="J65" i="12"/>
  <c r="K65" i="12" s="1"/>
  <c r="L65" i="12" s="1"/>
  <c r="BQ58" i="12"/>
  <c r="G52" i="12"/>
  <c r="EB52" i="12" s="1"/>
  <c r="EB50" i="12"/>
  <c r="K52" i="12"/>
  <c r="EL52" i="12" s="1"/>
  <c r="EL50" i="12"/>
  <c r="Y50" i="12"/>
  <c r="Y52" i="12" s="1"/>
  <c r="BL52" i="12" s="1"/>
  <c r="EL48" i="12"/>
  <c r="M52" i="12"/>
  <c r="DR52" i="12" s="1"/>
  <c r="DS52" i="12" s="1"/>
  <c r="DR50" i="12"/>
  <c r="DS50" i="12" s="1"/>
  <c r="N52" i="12"/>
  <c r="DX52" i="12" s="1"/>
  <c r="BP57" i="12"/>
  <c r="G65" i="12" s="1"/>
  <c r="H65" i="12" s="1"/>
  <c r="G100" i="12"/>
  <c r="H100" i="12" s="1"/>
  <c r="P52" i="12"/>
  <c r="CP52" i="12" s="1"/>
  <c r="CQ52" i="12" s="1"/>
  <c r="CP50" i="12"/>
  <c r="CQ50" i="12" s="1"/>
  <c r="Q52" i="12"/>
  <c r="CR52" i="12" s="1"/>
  <c r="CS52" i="12" s="1"/>
  <c r="CR50" i="12"/>
  <c r="CS50" i="12" s="1"/>
  <c r="E50" i="12"/>
  <c r="BT50" i="12" s="1"/>
  <c r="BU50" i="12" s="1"/>
  <c r="V50" i="12"/>
  <c r="V52" i="12" s="1"/>
  <c r="BJ52" i="12" s="1"/>
  <c r="AY57" i="13"/>
  <c r="L71" i="13" s="1"/>
  <c r="AI54" i="13"/>
  <c r="AI57" i="13"/>
  <c r="L63" i="13" s="1"/>
  <c r="AM57" i="13"/>
  <c r="M62" i="13"/>
  <c r="N62" i="13" s="1"/>
  <c r="F75" i="13"/>
  <c r="G62" i="13"/>
  <c r="DY58" i="12"/>
  <c r="J100" i="12"/>
  <c r="FM58" i="12"/>
  <c r="BO58" i="12"/>
  <c r="BK58" i="12"/>
  <c r="EC58" i="12"/>
  <c r="BM58" i="12"/>
  <c r="FK58" i="12"/>
  <c r="FG58" i="12"/>
  <c r="U50" i="12"/>
  <c r="U52" i="12" s="1"/>
  <c r="BE56" i="12"/>
  <c r="L73" i="13"/>
  <c r="M73" i="13" s="1"/>
  <c r="N73" i="13" s="1"/>
  <c r="L70" i="13"/>
  <c r="M70" i="13" s="1"/>
  <c r="N70" i="13" s="1"/>
  <c r="AK58" i="13"/>
  <c r="AY55" i="13"/>
  <c r="AG58" i="13"/>
  <c r="AM54" i="13"/>
  <c r="K71" i="13"/>
  <c r="AY54" i="13"/>
  <c r="BC58" i="13"/>
  <c r="AM56" i="13"/>
  <c r="AM59" i="13"/>
  <c r="AM55" i="13"/>
  <c r="AI59" i="13"/>
  <c r="K63" i="13" s="1"/>
  <c r="AW58" i="13"/>
  <c r="AI55" i="13"/>
  <c r="O50" i="12"/>
  <c r="O52" i="12" s="1"/>
  <c r="F100" i="12"/>
  <c r="H103" i="12"/>
  <c r="G113" i="12"/>
  <c r="F113" i="12"/>
  <c r="G102" i="12"/>
  <c r="H102" i="12" s="1"/>
  <c r="F102" i="12"/>
  <c r="G116" i="12"/>
  <c r="H116" i="12" s="1"/>
  <c r="F116" i="12"/>
  <c r="BE55" i="12"/>
  <c r="F50" i="12"/>
  <c r="F52" i="12" s="1"/>
  <c r="AA50" i="12"/>
  <c r="AA52" i="12" s="1"/>
  <c r="X48" i="13"/>
  <c r="X50" i="13" s="1"/>
  <c r="L48" i="13"/>
  <c r="AG54" i="13"/>
  <c r="AG55" i="13"/>
  <c r="Y50" i="13"/>
  <c r="Y52" i="13" s="1"/>
  <c r="M52" i="13"/>
  <c r="U48" i="13"/>
  <c r="U50" i="13" s="1"/>
  <c r="W52" i="13"/>
  <c r="K50" i="13"/>
  <c r="K52" i="13" s="1"/>
  <c r="E50" i="13"/>
  <c r="E52" i="13" s="1"/>
  <c r="R48" i="13"/>
  <c r="AA48" i="13"/>
  <c r="AA50" i="13" s="1"/>
  <c r="O48" i="13"/>
  <c r="Q52" i="13"/>
  <c r="AD48" i="13"/>
  <c r="AD50" i="13" s="1"/>
  <c r="AB52" i="13"/>
  <c r="AC50" i="13"/>
  <c r="AC52" i="13" s="1"/>
  <c r="P50" i="13"/>
  <c r="P52" i="13" s="1"/>
  <c r="G52" i="13"/>
  <c r="AK54" i="13"/>
  <c r="AK55" i="13"/>
  <c r="T52" i="13"/>
  <c r="Z52" i="13"/>
  <c r="F50" i="13"/>
  <c r="F52" i="13" s="1"/>
  <c r="V52" i="13"/>
  <c r="N50" i="13"/>
  <c r="N52" i="13" s="1"/>
  <c r="E75" i="13"/>
  <c r="D50" i="13"/>
  <c r="D52" i="13" s="1"/>
  <c r="CP56" i="13"/>
  <c r="CP57" i="13" s="1"/>
  <c r="X50" i="12"/>
  <c r="X52" i="12" s="1"/>
  <c r="AK56" i="12"/>
  <c r="AK55" i="12"/>
  <c r="R50" i="12"/>
  <c r="R52" i="12" s="1"/>
  <c r="AD50" i="12"/>
  <c r="AD52" i="12" s="1"/>
  <c r="L50" i="12"/>
  <c r="L52" i="12" s="1"/>
  <c r="E65" i="10"/>
  <c r="D65" i="10"/>
  <c r="E64" i="10"/>
  <c r="D64" i="10"/>
  <c r="E63" i="10"/>
  <c r="D63" i="10"/>
  <c r="E58" i="10"/>
  <c r="D58" i="10"/>
  <c r="E55" i="10"/>
  <c r="D55" i="10"/>
  <c r="E54" i="10"/>
  <c r="D54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25" i="10"/>
  <c r="G24" i="10"/>
  <c r="G23" i="10"/>
  <c r="G22" i="10"/>
  <c r="G21" i="10"/>
  <c r="G19" i="10"/>
  <c r="D14" i="10"/>
  <c r="D13" i="10"/>
  <c r="F54" i="10"/>
  <c r="AT52" i="13" l="1"/>
  <c r="AT50" i="13"/>
  <c r="BA58" i="13"/>
  <c r="L72" i="13"/>
  <c r="M72" i="13" s="1"/>
  <c r="N72" i="13" s="1"/>
  <c r="AO58" i="13"/>
  <c r="AU58" i="13"/>
  <c r="L69" i="13"/>
  <c r="M69" i="13" s="1"/>
  <c r="N69" i="13" s="1"/>
  <c r="BL50" i="12"/>
  <c r="E52" i="12"/>
  <c r="BT52" i="12" s="1"/>
  <c r="BU52" i="12" s="1"/>
  <c r="BJ50" i="12"/>
  <c r="F65" i="10"/>
  <c r="M71" i="13"/>
  <c r="N71" i="13" s="1"/>
  <c r="M65" i="13"/>
  <c r="N65" i="13" s="1"/>
  <c r="G118" i="12"/>
  <c r="M63" i="13"/>
  <c r="N63" i="13" s="1"/>
  <c r="F118" i="12"/>
  <c r="AY58" i="13"/>
  <c r="AI58" i="13"/>
  <c r="M66" i="13"/>
  <c r="N66" i="13" s="1"/>
  <c r="M64" i="13"/>
  <c r="N64" i="13" s="1"/>
  <c r="AM58" i="13"/>
  <c r="L50" i="13"/>
  <c r="L52" i="13" s="1"/>
  <c r="AA52" i="13"/>
  <c r="U52" i="13"/>
  <c r="X52" i="13"/>
  <c r="AD52" i="13"/>
  <c r="O50" i="13"/>
  <c r="O52" i="13" s="1"/>
  <c r="R50" i="13"/>
  <c r="R52" i="13" s="1"/>
  <c r="G20" i="10"/>
  <c r="D56" i="10"/>
  <c r="D57" i="10" s="1"/>
  <c r="E56" i="10"/>
  <c r="E57" i="10" s="1"/>
  <c r="F55" i="10"/>
  <c r="F56" i="10"/>
  <c r="F57" i="10" s="1"/>
  <c r="F58" i="10"/>
  <c r="F63" i="10"/>
  <c r="F64" i="10"/>
  <c r="M75" i="13" l="1"/>
  <c r="N75" i="13" s="1"/>
  <c r="E59" i="10"/>
  <c r="E61" i="10" s="1"/>
  <c r="F59" i="10"/>
  <c r="F61" i="10" s="1"/>
  <c r="D59" i="10"/>
  <c r="D61" i="10" s="1"/>
  <c r="E65" i="9" l="1"/>
  <c r="D65" i="9"/>
  <c r="E64" i="9"/>
  <c r="D64" i="9"/>
  <c r="E63" i="9"/>
  <c r="D63" i="9"/>
  <c r="E58" i="9"/>
  <c r="D58" i="9"/>
  <c r="E55" i="9"/>
  <c r="D55" i="9"/>
  <c r="F54" i="9"/>
  <c r="E54" i="9"/>
  <c r="D54" i="9"/>
  <c r="G52" i="9"/>
  <c r="G51" i="9"/>
  <c r="G50" i="9"/>
  <c r="G49" i="9"/>
  <c r="G45" i="9"/>
  <c r="G44" i="9"/>
  <c r="G43" i="9"/>
  <c r="G42" i="9"/>
  <c r="G41" i="9"/>
  <c r="G40" i="9"/>
  <c r="G39" i="9"/>
  <c r="G38" i="9"/>
  <c r="G25" i="9"/>
  <c r="G24" i="9"/>
  <c r="G23" i="9"/>
  <c r="G22" i="9"/>
  <c r="D14" i="9"/>
  <c r="D13" i="9"/>
  <c r="F65" i="9" l="1"/>
  <c r="E56" i="9"/>
  <c r="E57" i="9" s="1"/>
  <c r="D56" i="9"/>
  <c r="D57" i="9" s="1"/>
  <c r="F55" i="9"/>
  <c r="F56" i="9"/>
  <c r="F57" i="9" s="1"/>
  <c r="F58" i="9"/>
  <c r="F63" i="9"/>
  <c r="F64" i="9"/>
  <c r="F59" i="9" l="1"/>
  <c r="F61" i="9" s="1"/>
  <c r="E59" i="9"/>
  <c r="E61" i="9" s="1"/>
  <c r="D59" i="9"/>
  <c r="D61" i="9" s="1"/>
  <c r="E65" i="8" l="1"/>
  <c r="E64" i="8"/>
  <c r="E63" i="8"/>
  <c r="E58" i="8"/>
  <c r="E55" i="8"/>
  <c r="F54" i="8"/>
  <c r="E54" i="8"/>
  <c r="G52" i="8"/>
  <c r="G51" i="8"/>
  <c r="G50" i="8"/>
  <c r="G49" i="8"/>
  <c r="G48" i="8"/>
  <c r="G47" i="8"/>
  <c r="G46" i="8"/>
  <c r="G45" i="8"/>
  <c r="G44" i="8"/>
  <c r="G43" i="8"/>
  <c r="G27" i="8"/>
  <c r="G26" i="8"/>
  <c r="G25" i="8"/>
  <c r="G24" i="8"/>
  <c r="G23" i="8"/>
  <c r="G22" i="8"/>
  <c r="G21" i="8" l="1"/>
  <c r="G19" i="8"/>
  <c r="F65" i="8"/>
  <c r="G20" i="8"/>
  <c r="E56" i="8"/>
  <c r="E57" i="8" s="1"/>
  <c r="F55" i="8"/>
  <c r="F56" i="8"/>
  <c r="F57" i="8" s="1"/>
  <c r="F58" i="8"/>
  <c r="F63" i="8"/>
  <c r="F64" i="8"/>
  <c r="F59" i="8" l="1"/>
  <c r="F61" i="8" s="1"/>
  <c r="E59" i="8"/>
  <c r="E61" i="8" s="1"/>
  <c r="E65" i="7" l="1"/>
  <c r="D65" i="7"/>
  <c r="E64" i="7"/>
  <c r="D64" i="7"/>
  <c r="E63" i="7"/>
  <c r="D63" i="7"/>
  <c r="E58" i="7"/>
  <c r="D58" i="7"/>
  <c r="E55" i="7"/>
  <c r="E56" i="7" s="1"/>
  <c r="E57" i="7" s="1"/>
  <c r="D55" i="7"/>
  <c r="D56" i="7" s="1"/>
  <c r="D57" i="7" s="1"/>
  <c r="F54" i="7"/>
  <c r="E54" i="7"/>
  <c r="D54" i="7"/>
  <c r="G25" i="7"/>
  <c r="F24" i="7"/>
  <c r="G24" i="7" s="1"/>
  <c r="F23" i="7"/>
  <c r="G23" i="7" s="1"/>
  <c r="F22" i="7"/>
  <c r="G22" i="7" s="1"/>
  <c r="F21" i="7"/>
  <c r="D14" i="7"/>
  <c r="D13" i="7"/>
  <c r="G21" i="7" l="1"/>
  <c r="G19" i="7"/>
  <c r="F65" i="7"/>
  <c r="E59" i="7"/>
  <c r="E61" i="7" s="1"/>
  <c r="D59" i="7"/>
  <c r="D61" i="7" s="1"/>
  <c r="F64" i="7"/>
  <c r="F56" i="7"/>
  <c r="F57" i="7" s="1"/>
  <c r="F58" i="7"/>
  <c r="G20" i="7"/>
  <c r="F63" i="7"/>
  <c r="F55" i="7"/>
  <c r="F59" i="7" l="1"/>
  <c r="F61" i="7" s="1"/>
  <c r="E65" i="6" l="1"/>
  <c r="D65" i="6"/>
  <c r="E64" i="6"/>
  <c r="D64" i="6"/>
  <c r="E63" i="6"/>
  <c r="D63" i="6"/>
  <c r="E58" i="6"/>
  <c r="D58" i="6"/>
  <c r="E55" i="6"/>
  <c r="D55" i="6"/>
  <c r="D56" i="6" s="1"/>
  <c r="D57" i="6" s="1"/>
  <c r="F54" i="6"/>
  <c r="E54" i="6"/>
  <c r="D54" i="6"/>
  <c r="F33" i="6"/>
  <c r="F32" i="6"/>
  <c r="G32" i="6" s="1"/>
  <c r="F31" i="6"/>
  <c r="G31" i="6" s="1"/>
  <c r="F30" i="6"/>
  <c r="G30" i="6" s="1"/>
  <c r="F29" i="6"/>
  <c r="G29" i="6" s="1"/>
  <c r="F28" i="6"/>
  <c r="G28" i="6" s="1"/>
  <c r="F27" i="6"/>
  <c r="G27" i="6" s="1"/>
  <c r="F26" i="6"/>
  <c r="G26" i="6" s="1"/>
  <c r="F25" i="6"/>
  <c r="G25" i="6" s="1"/>
  <c r="F24" i="6"/>
  <c r="G24" i="6" s="1"/>
  <c r="F23" i="6"/>
  <c r="G23" i="6" s="1"/>
  <c r="F22" i="6"/>
  <c r="G22" i="6" s="1"/>
  <c r="F21" i="6"/>
  <c r="D14" i="6"/>
  <c r="D13" i="6"/>
  <c r="F65" i="6" l="1"/>
  <c r="D59" i="6"/>
  <c r="D61" i="6" s="1"/>
  <c r="F58" i="6"/>
  <c r="F64" i="6"/>
  <c r="G20" i="6"/>
  <c r="E56" i="6"/>
  <c r="E57" i="6" s="1"/>
  <c r="F63" i="6"/>
  <c r="F56" i="6"/>
  <c r="F57" i="6" s="1"/>
  <c r="F55" i="6"/>
  <c r="F59" i="6" l="1"/>
  <c r="F61" i="6" s="1"/>
  <c r="E59" i="6"/>
  <c r="E61" i="6" s="1"/>
  <c r="G37" i="5" l="1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D14" i="5"/>
  <c r="D13" i="5"/>
  <c r="G19" i="5" l="1"/>
  <c r="J37" i="4" l="1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D14" i="4"/>
  <c r="D13" i="4"/>
  <c r="J20" i="4" l="1"/>
  <c r="J19" i="4"/>
  <c r="D64" i="3" l="1"/>
  <c r="F54" i="3"/>
  <c r="E54" i="3"/>
  <c r="D54" i="3"/>
  <c r="F37" i="3"/>
  <c r="G37" i="3" s="1"/>
  <c r="F36" i="3"/>
  <c r="G36" i="3" s="1"/>
  <c r="F35" i="3"/>
  <c r="G35" i="3" s="1"/>
  <c r="F34" i="3"/>
  <c r="G34" i="3" s="1"/>
  <c r="F33" i="3"/>
  <c r="G33" i="3" s="1"/>
  <c r="F32" i="3"/>
  <c r="G32" i="3" s="1"/>
  <c r="F31" i="3"/>
  <c r="G31" i="3" s="1"/>
  <c r="F30" i="3"/>
  <c r="G30" i="3" s="1"/>
  <c r="F29" i="3"/>
  <c r="G29" i="3" s="1"/>
  <c r="F28" i="3"/>
  <c r="G28" i="3" s="1"/>
  <c r="F27" i="3"/>
  <c r="G27" i="3" s="1"/>
  <c r="F26" i="3"/>
  <c r="G26" i="3" s="1"/>
  <c r="F25" i="3"/>
  <c r="G25" i="3" s="1"/>
  <c r="F24" i="3"/>
  <c r="G24" i="3" s="1"/>
  <c r="F23" i="3"/>
  <c r="G23" i="3" s="1"/>
  <c r="F22" i="3"/>
  <c r="G22" i="3" s="1"/>
  <c r="F21" i="3"/>
  <c r="G21" i="3" s="1"/>
  <c r="F20" i="3"/>
  <c r="G20" i="3" s="1"/>
  <c r="F19" i="3"/>
  <c r="G19" i="3" s="1"/>
  <c r="E59" i="3" l="1"/>
  <c r="E61" i="3" s="1"/>
  <c r="F59" i="3"/>
  <c r="F61" i="3" s="1"/>
  <c r="D59" i="3"/>
  <c r="D61" i="3" s="1"/>
  <c r="E60" i="4" l="1"/>
  <c r="E62" i="4" s="1"/>
  <c r="G60" i="4" l="1"/>
  <c r="I60" i="4"/>
  <c r="F60" i="4"/>
  <c r="F62" i="4" s="1"/>
  <c r="FN11" i="12"/>
  <c r="FO11" i="12" l="1"/>
  <c r="FN19" i="12"/>
  <c r="FO19" i="12" s="1"/>
  <c r="FN12" i="12"/>
  <c r="FN13" i="12"/>
  <c r="FO13" i="12" s="1"/>
  <c r="FN14" i="12"/>
  <c r="FO14" i="12" s="1"/>
  <c r="FN15" i="12"/>
  <c r="FO15" i="12" s="1"/>
  <c r="FN39" i="12"/>
  <c r="FO39" i="12" s="1"/>
  <c r="FN17" i="12"/>
  <c r="FO17" i="12" s="1"/>
  <c r="FN18" i="12"/>
  <c r="FO18" i="12" s="1"/>
  <c r="FN43" i="12"/>
  <c r="FO43" i="12" s="1"/>
  <c r="FN40" i="12"/>
  <c r="FO40" i="12" s="1"/>
  <c r="FN41" i="12"/>
  <c r="FO41" i="12" s="1"/>
  <c r="FN42" i="12"/>
  <c r="FO42" i="12" s="1"/>
  <c r="FN35" i="12"/>
  <c r="FO35" i="12" s="1"/>
  <c r="FN16" i="12"/>
  <c r="FO16" i="12" s="1"/>
  <c r="FN36" i="12"/>
  <c r="FO36" i="12" s="1"/>
  <c r="FN37" i="12"/>
  <c r="FO37" i="12" s="1"/>
  <c r="FN38" i="12"/>
  <c r="FO38" i="12" s="1"/>
  <c r="FN56" i="12" l="1"/>
  <c r="FN57" i="12" s="1"/>
  <c r="FO12" i="12"/>
</calcChain>
</file>

<file path=xl/sharedStrings.xml><?xml version="1.0" encoding="utf-8"?>
<sst xmlns="http://schemas.openxmlformats.org/spreadsheetml/2006/main" count="1719" uniqueCount="350">
  <si>
    <t>No</t>
  </si>
  <si>
    <t>NIM</t>
  </si>
  <si>
    <t>Nama Mahasiswa</t>
  </si>
  <si>
    <t>24.01.55.0002</t>
  </si>
  <si>
    <t>NADIA SALSABILLA PUTRI</t>
  </si>
  <si>
    <t>24.01.55.0003</t>
  </si>
  <si>
    <t>LISA RAHMAWATI</t>
  </si>
  <si>
    <t>24.01.55.0004</t>
  </si>
  <si>
    <t>NAZWA FITRI AULIA</t>
  </si>
  <si>
    <t>24.01.55.0005</t>
  </si>
  <si>
    <t>RAFFAEL ANGGARA ARYA DEWA</t>
  </si>
  <si>
    <t>24.01.55.0006</t>
  </si>
  <si>
    <t>YUMROTUL MUKAROMAH</t>
  </si>
  <si>
    <t>24.01.55.0007</t>
  </si>
  <si>
    <t>USWATUN AULIA PANGESTIKA</t>
  </si>
  <si>
    <t>24.01.55.0008</t>
  </si>
  <si>
    <t>VINCENT LISTANEOF SANTOSO</t>
  </si>
  <si>
    <t>24.01.55.0009</t>
  </si>
  <si>
    <t>RETNO AJENG PUSPITASARI</t>
  </si>
  <si>
    <t>24.01.55.0010</t>
  </si>
  <si>
    <t>IQBAL FAHAR</t>
  </si>
  <si>
    <t>24.01.55.0011</t>
  </si>
  <si>
    <t>SHABRINA AULIA PUTRI</t>
  </si>
  <si>
    <t>24.01.55.0012</t>
  </si>
  <si>
    <t>ADELA PUTRI AJI</t>
  </si>
  <si>
    <t>24.01.55.0013</t>
  </si>
  <si>
    <t>AMELIA RISKI KURNIAWATI</t>
  </si>
  <si>
    <t>24.01.55.0014</t>
  </si>
  <si>
    <t>DAFFA IQBAL MAULANA</t>
  </si>
  <si>
    <t>24.01.55.0015</t>
  </si>
  <si>
    <t>KAISYA AUDIA VIERA</t>
  </si>
  <si>
    <t>24.01.55.0016</t>
  </si>
  <si>
    <t>LAILLA FATIMAH AZZAHRA</t>
  </si>
  <si>
    <t>24.01.55.3001</t>
  </si>
  <si>
    <t>REZA TANJUNG SETIAWAN</t>
  </si>
  <si>
    <t>24.01.55.3002</t>
  </si>
  <si>
    <t>MUHAMAD SATRIA AMBORO WIJAYA</t>
  </si>
  <si>
    <t>24.01.55.3003</t>
  </si>
  <si>
    <t>ANANTA SOFIANNUR</t>
  </si>
  <si>
    <t>24.01.55.3004</t>
  </si>
  <si>
    <t>RISTRAWAN WIRAWINELDA</t>
  </si>
  <si>
    <t>Kode Matakuliah</t>
  </si>
  <si>
    <t>Nama Matakuliah</t>
  </si>
  <si>
    <t>Kategori</t>
  </si>
  <si>
    <t>SKS</t>
  </si>
  <si>
    <t>ID</t>
  </si>
  <si>
    <t>Smtr</t>
  </si>
  <si>
    <t>MK1</t>
  </si>
  <si>
    <t>P.20.01.55.1.01</t>
  </si>
  <si>
    <t>TEORI MANAJEMEN</t>
  </si>
  <si>
    <t>Wajib</t>
  </si>
  <si>
    <t>V</t>
  </si>
  <si>
    <t>I</t>
  </si>
  <si>
    <t>MK2</t>
  </si>
  <si>
    <t>P.20.01.55.1.02</t>
  </si>
  <si>
    <t>TEORI ORGANISASI</t>
  </si>
  <si>
    <t>MK3</t>
  </si>
  <si>
    <t>P.20.01.55.1.03</t>
  </si>
  <si>
    <t>KONSEP SISTEM DAN TEKNOLOGI INFORMASI</t>
  </si>
  <si>
    <t>MK4</t>
  </si>
  <si>
    <t>P.20.01.55.1.04</t>
  </si>
  <si>
    <t>LOGIKA DAN ALGORITMA</t>
  </si>
  <si>
    <t>MK5</t>
  </si>
  <si>
    <t>P.20.01.55.1.05</t>
  </si>
  <si>
    <t>BAHASA PEMROGRAMAN</t>
  </si>
  <si>
    <t>MK6</t>
  </si>
  <si>
    <t>P.20.01.55.1.06</t>
  </si>
  <si>
    <t>LOGIKA MATEMATIKA</t>
  </si>
  <si>
    <t>MK7</t>
  </si>
  <si>
    <t>MANAJEMEN BASIS DATA</t>
  </si>
  <si>
    <t>P.20.01.55.1.07</t>
  </si>
  <si>
    <t>MK8</t>
  </si>
  <si>
    <t>BAHASA INGGRIS DASAR</t>
  </si>
  <si>
    <t>U.20.01.55.1.01</t>
  </si>
  <si>
    <t>MK59</t>
  </si>
  <si>
    <t>MK9</t>
  </si>
  <si>
    <t>P.20.01.55.2.08</t>
  </si>
  <si>
    <t>ANALISA SISTEM INFORMASI</t>
  </si>
  <si>
    <t>Total</t>
  </si>
  <si>
    <t>FORM MONITORING DAN EVALUASI</t>
  </si>
  <si>
    <t>KETERCAPAIAN CAPAIAN PEMBELAJARAN MATAKULIAH(CPMK) PADA SATU ANGKATAN</t>
  </si>
  <si>
    <t>Tahun Akademik</t>
  </si>
  <si>
    <t>: 2024/2025</t>
  </si>
  <si>
    <t>Program Studi</t>
  </si>
  <si>
    <t>: Sistem Informasi</t>
  </si>
  <si>
    <t>Fakultas</t>
  </si>
  <si>
    <t>: Teknologi Informasi dan Industri</t>
  </si>
  <si>
    <t>SKS Matakuliah</t>
  </si>
  <si>
    <t>: 2</t>
  </si>
  <si>
    <t>Semester/ Kelas</t>
  </si>
  <si>
    <t>: I / A1+DLC</t>
  </si>
  <si>
    <t>Dosen Pengampu</t>
  </si>
  <si>
    <t>Nilai Akhir MK</t>
  </si>
  <si>
    <t>Nilai Huruf</t>
  </si>
  <si>
    <t>CPL01</t>
  </si>
  <si>
    <t>CPL13</t>
  </si>
  <si>
    <t>CPMK014</t>
  </si>
  <si>
    <t>CPMK131</t>
  </si>
  <si>
    <t>&lt;=65</t>
  </si>
  <si>
    <t>&lt;85</t>
  </si>
  <si>
    <t>&gt;=85</t>
  </si>
  <si>
    <t>Jumlah mhsw yg lulus CPMK</t>
  </si>
  <si>
    <t>Minimal</t>
  </si>
  <si>
    <t>Maksimal</t>
  </si>
  <si>
    <t>Rata-Rata</t>
  </si>
  <si>
    <t>CPMK012</t>
  </si>
  <si>
    <t>Tidak KRS/Tidak Aktif</t>
  </si>
  <si>
    <t>CPL04</t>
  </si>
  <si>
    <t>CPL03</t>
  </si>
  <si>
    <t>CPMK011</t>
  </si>
  <si>
    <t>CPMK041</t>
  </si>
  <si>
    <t>CPMK031</t>
  </si>
  <si>
    <t>: 3</t>
  </si>
  <si>
    <t>: 2.</t>
  </si>
  <si>
    <t>CPL09</t>
  </si>
  <si>
    <t>CPMK033</t>
  </si>
  <si>
    <t>CPMK092</t>
  </si>
  <si>
    <t>CPMK032</t>
  </si>
  <si>
    <t>CPL02</t>
  </si>
  <si>
    <t>CPMK013</t>
  </si>
  <si>
    <t>CPMK021</t>
  </si>
  <si>
    <t>CPL10</t>
  </si>
  <si>
    <t>CPL12</t>
  </si>
  <si>
    <t>CPL14</t>
  </si>
  <si>
    <t>CPMK101</t>
  </si>
  <si>
    <t>CPMK121</t>
  </si>
  <si>
    <t>CPMK141</t>
  </si>
  <si>
    <t>: U.24.01.55.1.03</t>
  </si>
  <si>
    <t>: KEWARGANEGARAAN</t>
  </si>
  <si>
    <t>: 1.YU.2.03.07.063 - R. SOELISTIJADI, S.SOS, M.Kom.</t>
  </si>
  <si>
    <t>CPMK122</t>
  </si>
  <si>
    <t>[Mata Kuliah Semester I]</t>
  </si>
  <si>
    <t>Nilai Akhir Matakuliah</t>
  </si>
  <si>
    <t>Nilai</t>
  </si>
  <si>
    <t>D,G,J,T</t>
  </si>
  <si>
    <t>U</t>
  </si>
  <si>
    <t>N,Q</t>
  </si>
  <si>
    <t>K</t>
  </si>
  <si>
    <t>O,R</t>
  </si>
  <si>
    <t>X,AB,AF</t>
  </si>
  <si>
    <t>Y,AC,AG</t>
  </si>
  <si>
    <t>E,H, L,V</t>
  </si>
  <si>
    <t>Z,AD,AH</t>
  </si>
  <si>
    <t>E,H,L,V</t>
  </si>
  <si>
    <t>Capaian (%)</t>
  </si>
  <si>
    <t>CPL05</t>
  </si>
  <si>
    <t>CPL06</t>
  </si>
  <si>
    <t>CPL07</t>
  </si>
  <si>
    <t>CPL08</t>
  </si>
  <si>
    <t>CPL11</t>
  </si>
  <si>
    <t>CPMK091</t>
  </si>
  <si>
    <t>CPMK142</t>
  </si>
  <si>
    <t>SMT-I</t>
  </si>
  <si>
    <t>CPMK022</t>
  </si>
  <si>
    <t>CPMK023</t>
  </si>
  <si>
    <t>CPMK024</t>
  </si>
  <si>
    <t>CPMK042</t>
  </si>
  <si>
    <t>CPMK051</t>
  </si>
  <si>
    <t>CPMK052</t>
  </si>
  <si>
    <t>CPMK061</t>
  </si>
  <si>
    <t>CPMK062</t>
  </si>
  <si>
    <t>CPMK063</t>
  </si>
  <si>
    <t>CPMK064</t>
  </si>
  <si>
    <t>CPMK071</t>
  </si>
  <si>
    <t>CPMK072</t>
  </si>
  <si>
    <t>CPMK073</t>
  </si>
  <si>
    <t>CPMK081</t>
  </si>
  <si>
    <t>CPMK082</t>
  </si>
  <si>
    <t>CPMK102</t>
  </si>
  <si>
    <t>CPMK111</t>
  </si>
  <si>
    <t>CPMK112</t>
  </si>
  <si>
    <t>CPMK132</t>
  </si>
  <si>
    <t>&lt;65</t>
  </si>
  <si>
    <t>Rata-Rata CPMK</t>
  </si>
  <si>
    <t>CPL</t>
  </si>
  <si>
    <t>Total Capaian</t>
  </si>
  <si>
    <t>Rata-rata</t>
  </si>
  <si>
    <t>%</t>
  </si>
  <si>
    <t>Status</t>
  </si>
  <si>
    <t>Catatan :</t>
  </si>
  <si>
    <t>Pengukuran CPL di tingkat mata kuliah pada satu angkatan (2024)</t>
  </si>
  <si>
    <t>Capaian CPMK Semester 1</t>
  </si>
  <si>
    <t>CPMK</t>
  </si>
  <si>
    <t>Rata-Rata CPMK Per-MK</t>
  </si>
  <si>
    <t>Peserta</t>
  </si>
  <si>
    <t>Lulus</t>
  </si>
  <si>
    <t>Pengukuran CPMK di tingkat mata kuliah pada satu angkatan (2024)</t>
  </si>
  <si>
    <t>Capaian CPL Semester 1</t>
  </si>
  <si>
    <t>Tidak KRS/ Tidak Aktif</t>
  </si>
  <si>
    <t>CPL tercapai jika nilai capaian CPL&gt;=70 %</t>
  </si>
  <si>
    <r>
      <rPr>
        <sz val="11"/>
        <color theme="0"/>
        <rFont val="Aptos Narrow"/>
        <family val="2"/>
        <scheme val="minor"/>
      </rPr>
      <t xml:space="preserve">Rerata </t>
    </r>
    <r>
      <rPr>
        <b/>
        <sz val="11"/>
        <color theme="0"/>
        <rFont val="Aptos Narrow"/>
        <family val="2"/>
        <scheme val="minor"/>
      </rPr>
      <t>Capaian</t>
    </r>
  </si>
  <si>
    <t>24.05.52.0002</t>
  </si>
  <si>
    <t>SNEHA JAYA BAIDURI</t>
  </si>
  <si>
    <t>24.05.52.0003</t>
  </si>
  <si>
    <t>ALFARIESSA GIFTHA ANDREA PITALOKA</t>
  </si>
  <si>
    <t>24.05.52.0004</t>
  </si>
  <si>
    <t>MAHARANI PUTRI RUSTIANTI</t>
  </si>
  <si>
    <t>24.05.52.0005</t>
  </si>
  <si>
    <t>FLORA SUCI FERONIKA</t>
  </si>
  <si>
    <t>24.05.52.0006</t>
  </si>
  <si>
    <t>AATHIRA AUFA AZ-ZAHRA</t>
  </si>
  <si>
    <t>24.05.52.0007</t>
  </si>
  <si>
    <t>SHEILA MONA PUTRI IKSANTI</t>
  </si>
  <si>
    <t>24.05.52.0008</t>
  </si>
  <si>
    <t>RAIHAN RIFA MAHARADITYA</t>
  </si>
  <si>
    <t>24.05.52.0009</t>
  </si>
  <si>
    <t>MARLINA DWI SAPUTRI</t>
  </si>
  <si>
    <t>24.05.52.0011</t>
  </si>
  <si>
    <t>JONATHAN REXY FERDINAN</t>
  </si>
  <si>
    <t>24.05.52.0012</t>
  </si>
  <si>
    <t>GITA TEONANDA ARELLIA</t>
  </si>
  <si>
    <t>24.05.52.0014</t>
  </si>
  <si>
    <t>ARELIA SALSABILA SAFITRI</t>
  </si>
  <si>
    <t>24.05.52.0015</t>
  </si>
  <si>
    <t>JULLER IBEL LAURENTIUS TURNIP</t>
  </si>
  <si>
    <t>24.05.52.0016</t>
  </si>
  <si>
    <t>GADING BINTANG WICAKSONO</t>
  </si>
  <si>
    <t>24.05.52.0017</t>
  </si>
  <si>
    <t>VINA OKITA</t>
  </si>
  <si>
    <t>24.05.52.0018</t>
  </si>
  <si>
    <t>VIMAS CHARIZA ANGGRAINY</t>
  </si>
  <si>
    <t>24.05.52.0019</t>
  </si>
  <si>
    <t>KADIZHA OKTI FAUSTA</t>
  </si>
  <si>
    <t>24.05.52.0020</t>
  </si>
  <si>
    <t>FIRMAN AKBAR SAMUDRA</t>
  </si>
  <si>
    <t>24.05.52.0021</t>
  </si>
  <si>
    <t>JESSICA OKTAVIANA BASTAMAN</t>
  </si>
  <si>
    <t>24.05.52.0022</t>
  </si>
  <si>
    <t>AHMAD NABIL FEBRI SAPUTRA</t>
  </si>
  <si>
    <t>24.05.52.0023</t>
  </si>
  <si>
    <t>NABILA SASKIA PUTRI</t>
  </si>
  <si>
    <t>24.05.52.0024</t>
  </si>
  <si>
    <t>SAFRILLA LAURINTA</t>
  </si>
  <si>
    <t>24.05.52.0026</t>
  </si>
  <si>
    <t>ALIFVINDA MUTIARA BALQIS</t>
  </si>
  <si>
    <t>24.05.52.3001</t>
  </si>
  <si>
    <t>ROFIQ MUHANDANU FAISAL KHULUD F</t>
  </si>
  <si>
    <t>24.05.52.3002</t>
  </si>
  <si>
    <t>AJENG SUKMA ANDRIYANI</t>
  </si>
  <si>
    <t>24.05.52.3003</t>
  </si>
  <si>
    <t>MARETA SARI PURBANINGRUM</t>
  </si>
  <si>
    <t>24.05.52.3004</t>
  </si>
  <si>
    <t>ARFIANI ARIFAH</t>
  </si>
  <si>
    <t>24.05.52.3005</t>
  </si>
  <si>
    <t>AULIA SAHWA KAILA</t>
  </si>
  <si>
    <t>24.05.52.3006</t>
  </si>
  <si>
    <t>FELICITAS DIVA RAHAYUNINGSIH N</t>
  </si>
  <si>
    <t>24.05.52.3008</t>
  </si>
  <si>
    <t>GRACIELLA NATHANIA KUSUMADEWI</t>
  </si>
  <si>
    <t>24.05.52.3009</t>
  </si>
  <si>
    <t>DEBY KARUNIA ANGGRAENI</t>
  </si>
  <si>
    <t>24.05.52.3010</t>
  </si>
  <si>
    <t>PUTRY MEINERS ELISABET FAHIK</t>
  </si>
  <si>
    <t>24.05.52.3011</t>
  </si>
  <si>
    <t>AMINATUL AROFAH</t>
  </si>
  <si>
    <t>24.05.52.3012</t>
  </si>
  <si>
    <t>RORO AYU SUKMAWATI</t>
  </si>
  <si>
    <t>P.24.05.52.1.01</t>
  </si>
  <si>
    <t>Akuntansi Pengantar 1</t>
  </si>
  <si>
    <t>P.24.05.52.1.02</t>
  </si>
  <si>
    <t>Perpajakan 1</t>
  </si>
  <si>
    <t>P.24.05.52.1.03</t>
  </si>
  <si>
    <t>Etika Bisnis dan Profesi</t>
  </si>
  <si>
    <t>P.24.05.52.1.04</t>
  </si>
  <si>
    <t>Teori Ekonomi</t>
  </si>
  <si>
    <t>P.24.05.52.1.05</t>
  </si>
  <si>
    <t>Hukum Bisnis dan Perikatan</t>
  </si>
  <si>
    <t>U.24.05.52.1.01</t>
  </si>
  <si>
    <t>Agama</t>
  </si>
  <si>
    <t>U.24.05.52.1.02</t>
  </si>
  <si>
    <t>Kewarganegaraan</t>
  </si>
  <si>
    <t>U.24.05.52.1.03</t>
  </si>
  <si>
    <t>English for Business</t>
  </si>
  <si>
    <t>: Akuntansi</t>
  </si>
  <si>
    <t>: P.24.05.52.1.01</t>
  </si>
  <si>
    <t>: Ekonomika dan Bisnis</t>
  </si>
  <si>
    <t>: Akuntansi Pengantar 1</t>
  </si>
  <si>
    <t>: 1. YU.2.03.04.059 RR. Tjahjaning Poerwati, SE., M.Si, Ak, CA</t>
  </si>
  <si>
    <t>: 2. YU.2.20.01.122 Muhammad Ali Ma`Sum, S.E., M.Sc</t>
  </si>
  <si>
    <t>24.05.52.0013</t>
  </si>
  <si>
    <t>MUHAMMAD MAFTUF</t>
  </si>
  <si>
    <t>ROFIQ MUHANDANU FAISAL K</t>
  </si>
  <si>
    <t>: P.24.01.52.1.02</t>
  </si>
  <si>
    <t>: Perpajakan 1</t>
  </si>
  <si>
    <t>: 2.Y.3.00.10.075 - Rachmawati Meita O, S.E., M.Si., Ak., CA</t>
  </si>
  <si>
    <t>: 1.Y.2.93.01.090 - Jaeni, S.E., M.Si., Ak., CA</t>
  </si>
  <si>
    <t>CPMK103</t>
  </si>
  <si>
    <t>CPMK104</t>
  </si>
  <si>
    <t>: P.24.05.52.1.03</t>
  </si>
  <si>
    <t>: Etika Bisnis dan Profesi</t>
  </si>
  <si>
    <t xml:space="preserve">: 1.Y.2.93.01.091 - Dr. Pancawati Hardiningsih, SE, M.Si, Ak, CA, Asean CPA, CSR	</t>
  </si>
  <si>
    <t>: 2.Y.2.00.04.115 - Arief Himmawan Dwi Nugroho, SE, MM, M.Si., Ak, CA, CPA.</t>
  </si>
  <si>
    <t>: P.24.05.52.1.04</t>
  </si>
  <si>
    <t>: Teori Ekonomi</t>
  </si>
  <si>
    <t xml:space="preserve">: 1.	</t>
  </si>
  <si>
    <t>CPMK81</t>
  </si>
  <si>
    <t>CPMK91</t>
  </si>
  <si>
    <t>CPMK55</t>
  </si>
  <si>
    <t>CPMK56</t>
  </si>
  <si>
    <t>: P.24.05.52.1.05</t>
  </si>
  <si>
    <t>: Hukum Bisnis dan Perikatan</t>
  </si>
  <si>
    <t>CPMK114</t>
  </si>
  <si>
    <t>CPMK115</t>
  </si>
  <si>
    <t>: U.24.05.52.1.01</t>
  </si>
  <si>
    <t>: Agama</t>
  </si>
  <si>
    <t>: U.24.05.52.1.02</t>
  </si>
  <si>
    <t>: Kewarganegaraan</t>
  </si>
  <si>
    <t>: English for Business</t>
  </si>
  <si>
    <t>: UU.24.05.52.1.03</t>
  </si>
  <si>
    <t>: 1. Y.2.90.01.052 Dr. TRISTIANA RIJANTI, S.H, M.M.</t>
  </si>
  <si>
    <t>: 2. Y.2.91.10.069 ADI SULIANTORO, SH., M.H</t>
  </si>
  <si>
    <t>: 1. L.0329 JUNAIDI, S.Pd.I., M.S.I.</t>
  </si>
  <si>
    <t>: 2. L.0410 BM. HARRY PUTRANTI, S.FK</t>
  </si>
  <si>
    <t>: 3. YK.2.06.07.028 Dr. ANTONO ADHI, S.Kom, M.M., M.T.</t>
  </si>
  <si>
    <t>: 1. Y.2.91.10.067 Dr. SRI ISNOWATI, S.E., M.Si</t>
  </si>
  <si>
    <t>: 2. Y.2.92.07.087 Dr. Drs. AGUS BUDI SANTOSA, M.Si</t>
  </si>
  <si>
    <t>CPL1</t>
  </si>
  <si>
    <t>CPMK12</t>
  </si>
  <si>
    <t>CPMK13</t>
  </si>
  <si>
    <t>CPMK123</t>
  </si>
  <si>
    <t>: 1. L.0308 SARAH SUMPONOGATI, S.S, M.Li.</t>
  </si>
  <si>
    <t>CPMK11</t>
  </si>
  <si>
    <t>CPMK043</t>
  </si>
  <si>
    <t>CPMK044</t>
  </si>
  <si>
    <t>CPMK045</t>
  </si>
  <si>
    <t>CPMK046</t>
  </si>
  <si>
    <t>CPMK047</t>
  </si>
  <si>
    <t>CPMK053</t>
  </si>
  <si>
    <t>CPMK054</t>
  </si>
  <si>
    <t>CPMK055</t>
  </si>
  <si>
    <t>CPMK056</t>
  </si>
  <si>
    <t>CPMK057</t>
  </si>
  <si>
    <t>CPMK058</t>
  </si>
  <si>
    <t>CPMK074</t>
  </si>
  <si>
    <t>CPMK075</t>
  </si>
  <si>
    <t>CPMK076</t>
  </si>
  <si>
    <t>CPMK083</t>
  </si>
  <si>
    <t>CPMK093</t>
  </si>
  <si>
    <t>CPMK105</t>
  </si>
  <si>
    <t>CPMK113</t>
  </si>
  <si>
    <t>CPMK124</t>
  </si>
  <si>
    <t>CPMK125</t>
  </si>
  <si>
    <t>V,W,Y,Z</t>
  </si>
  <si>
    <t>D,E</t>
  </si>
  <si>
    <t>P,Q</t>
  </si>
  <si>
    <t>M,N</t>
  </si>
  <si>
    <t>N</t>
  </si>
  <si>
    <t>G,H,I,J</t>
  </si>
  <si>
    <t>K,S,T</t>
  </si>
  <si>
    <t>AB,AC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</si>
</sst>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b/>
      <sz val="8"/>
      <color theme="1"/>
      <name val="Times New Roman"/>
      <family val="1"/>
    </font>
    <font>
      <b/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4E291"/>
        <bgColor indexed="64"/>
      </patternFill>
    </fill>
    <fill>
      <patternFill patternType="solid">
        <fgColor rgb="FFB3E5A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0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4" fillId="0" borderId="3" xfId="0" applyFont="1" applyBorder="1" applyAlignment="1">
      <alignment wrapText="1"/>
    </xf>
    <xf numFmtId="0" fontId="0" fillId="0" borderId="4" xfId="0" applyBorder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 wrapText="1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/>
    <xf numFmtId="0" fontId="4" fillId="0" borderId="4" xfId="0" applyFont="1" applyBorder="1"/>
    <xf numFmtId="0" fontId="1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7" borderId="16" xfId="0" applyFill="1" applyBorder="1" applyAlignment="1">
      <alignment wrapText="1"/>
    </xf>
    <xf numFmtId="0" fontId="0" fillId="7" borderId="6" xfId="0" applyFill="1" applyBorder="1" applyAlignment="1">
      <alignment horizontal="center" wrapText="1"/>
    </xf>
    <xf numFmtId="0" fontId="0" fillId="4" borderId="16" xfId="0" applyFill="1" applyBorder="1" applyAlignment="1">
      <alignment wrapText="1"/>
    </xf>
    <xf numFmtId="0" fontId="0" fillId="4" borderId="6" xfId="0" applyFill="1" applyBorder="1" applyAlignment="1">
      <alignment horizontal="center" wrapText="1"/>
    </xf>
    <xf numFmtId="0" fontId="0" fillId="8" borderId="2" xfId="0" applyFill="1" applyBorder="1" applyAlignment="1">
      <alignment wrapText="1"/>
    </xf>
    <xf numFmtId="0" fontId="0" fillId="9" borderId="3" xfId="0" applyFill="1" applyBorder="1" applyAlignment="1">
      <alignment horizontal="center" wrapText="1"/>
    </xf>
    <xf numFmtId="1" fontId="0" fillId="9" borderId="3" xfId="0" applyNumberFormat="1" applyFill="1" applyBorder="1" applyAlignment="1">
      <alignment horizontal="center" wrapText="1"/>
    </xf>
    <xf numFmtId="0" fontId="0" fillId="10" borderId="2" xfId="0" applyFill="1" applyBorder="1" applyAlignment="1">
      <alignment wrapText="1"/>
    </xf>
    <xf numFmtId="0" fontId="0" fillId="10" borderId="3" xfId="0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11" fillId="0" borderId="4" xfId="0" applyFont="1" applyBorder="1" applyAlignment="1">
      <alignment wrapText="1"/>
    </xf>
    <xf numFmtId="9" fontId="0" fillId="0" borderId="4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wrapText="1"/>
    </xf>
    <xf numFmtId="0" fontId="0" fillId="0" borderId="22" xfId="0" applyBorder="1" applyAlignment="1">
      <alignment wrapText="1"/>
    </xf>
    <xf numFmtId="0" fontId="11" fillId="0" borderId="1" xfId="0" applyFont="1" applyBorder="1" applyAlignment="1">
      <alignment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0" fontId="12" fillId="0" borderId="0" xfId="0" applyFont="1"/>
    <xf numFmtId="0" fontId="13" fillId="0" borderId="0" xfId="0" applyFont="1"/>
    <xf numFmtId="0" fontId="14" fillId="0" borderId="1" xfId="0" applyFont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5" xfId="0" applyBorder="1" applyAlignment="1">
      <alignment horizontal="center" vertical="center"/>
    </xf>
    <xf numFmtId="2" fontId="0" fillId="11" borderId="1" xfId="0" applyNumberFormat="1" applyFill="1" applyBorder="1" applyAlignment="1">
      <alignment horizontal="center"/>
    </xf>
    <xf numFmtId="2" fontId="0" fillId="13" borderId="1" xfId="0" applyNumberFormat="1" applyFill="1" applyBorder="1" applyAlignment="1">
      <alignment horizontal="center"/>
    </xf>
    <xf numFmtId="2" fontId="0" fillId="14" borderId="1" xfId="0" applyNumberFormat="1" applyFill="1" applyBorder="1" applyAlignment="1">
      <alignment horizontal="center"/>
    </xf>
    <xf numFmtId="2" fontId="0" fillId="15" borderId="1" xfId="0" applyNumberFormat="1" applyFill="1" applyBorder="1" applyAlignment="1">
      <alignment horizontal="center"/>
    </xf>
    <xf numFmtId="2" fontId="0" fillId="16" borderId="1" xfId="0" applyNumberFormat="1" applyFill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  <xf numFmtId="2" fontId="0" fillId="0" borderId="4" xfId="0" applyNumberFormat="1" applyBorder="1" applyAlignment="1">
      <alignment horizontal="right" wrapText="1"/>
    </xf>
    <xf numFmtId="2" fontId="0" fillId="0" borderId="4" xfId="1" applyNumberFormat="1" applyFont="1" applyBorder="1" applyAlignment="1">
      <alignment horizontal="right" wrapText="1"/>
    </xf>
    <xf numFmtId="0" fontId="11" fillId="0" borderId="22" xfId="0" applyFont="1" applyBorder="1" applyAlignment="1">
      <alignment wrapText="1"/>
    </xf>
    <xf numFmtId="0" fontId="0" fillId="0" borderId="22" xfId="0" applyBorder="1" applyAlignment="1">
      <alignment horizontal="right" wrapText="1"/>
    </xf>
    <xf numFmtId="9" fontId="0" fillId="0" borderId="1" xfId="1" applyFont="1" applyBorder="1"/>
    <xf numFmtId="0" fontId="2" fillId="2" borderId="1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/>
    </xf>
    <xf numFmtId="0" fontId="0" fillId="2" borderId="1" xfId="0" applyFill="1" applyBorder="1"/>
    <xf numFmtId="2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/>
    </xf>
    <xf numFmtId="9" fontId="0" fillId="0" borderId="4" xfId="1" applyFont="1" applyBorder="1" applyAlignment="1">
      <alignment horizontal="center" vertical="center" wrapText="1"/>
    </xf>
    <xf numFmtId="0" fontId="0" fillId="0" borderId="1" xfId="1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5" fillId="0" borderId="0" xfId="0" applyFont="1"/>
    <xf numFmtId="2" fontId="15" fillId="0" borderId="0" xfId="0" applyNumberFormat="1" applyFont="1"/>
    <xf numFmtId="9" fontId="0" fillId="0" borderId="0" xfId="1" applyFont="1"/>
    <xf numFmtId="9" fontId="0" fillId="0" borderId="1" xfId="1" applyFont="1" applyFill="1" applyBorder="1" applyAlignment="1">
      <alignment horizontal="center"/>
    </xf>
    <xf numFmtId="0" fontId="0" fillId="0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2" xfId="0" applyFont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0" fontId="17" fillId="0" borderId="27" xfId="0" applyFont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2" fontId="0" fillId="6" borderId="0" xfId="0" applyNumberFormat="1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6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2" fontId="18" fillId="6" borderId="1" xfId="0" applyNumberFormat="1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8" fillId="0" borderId="0" xfId="0" applyFont="1" applyBorder="1"/>
    <xf numFmtId="2" fontId="18" fillId="0" borderId="0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7" borderId="16" xfId="0" applyFont="1" applyFill="1" applyBorder="1" applyAlignment="1">
      <alignment wrapText="1"/>
    </xf>
    <xf numFmtId="0" fontId="18" fillId="7" borderId="6" xfId="0" applyFont="1" applyFill="1" applyBorder="1" applyAlignment="1">
      <alignment horizontal="center" wrapText="1"/>
    </xf>
    <xf numFmtId="0" fontId="18" fillId="4" borderId="16" xfId="0" applyFont="1" applyFill="1" applyBorder="1" applyAlignment="1">
      <alignment wrapText="1"/>
    </xf>
    <xf numFmtId="0" fontId="18" fillId="4" borderId="6" xfId="0" applyFont="1" applyFill="1" applyBorder="1" applyAlignment="1">
      <alignment horizontal="center" wrapText="1"/>
    </xf>
    <xf numFmtId="0" fontId="18" fillId="8" borderId="2" xfId="0" applyFont="1" applyFill="1" applyBorder="1" applyAlignment="1">
      <alignment wrapText="1"/>
    </xf>
    <xf numFmtId="0" fontId="18" fillId="9" borderId="3" xfId="0" applyFont="1" applyFill="1" applyBorder="1" applyAlignment="1">
      <alignment horizontal="center" wrapText="1"/>
    </xf>
    <xf numFmtId="1" fontId="18" fillId="9" borderId="3" xfId="0" applyNumberFormat="1" applyFont="1" applyFill="1" applyBorder="1" applyAlignment="1">
      <alignment horizontal="center" wrapText="1"/>
    </xf>
    <xf numFmtId="0" fontId="18" fillId="10" borderId="2" xfId="0" applyFont="1" applyFill="1" applyBorder="1" applyAlignment="1">
      <alignment wrapText="1"/>
    </xf>
    <xf numFmtId="0" fontId="18" fillId="10" borderId="3" xfId="0" applyFont="1" applyFill="1" applyBorder="1" applyAlignment="1">
      <alignment horizontal="center" wrapText="1"/>
    </xf>
    <xf numFmtId="0" fontId="18" fillId="0" borderId="2" xfId="0" applyFont="1" applyBorder="1" applyAlignment="1">
      <alignment wrapText="1"/>
    </xf>
    <xf numFmtId="0" fontId="18" fillId="0" borderId="3" xfId="0" applyFont="1" applyBorder="1" applyAlignment="1">
      <alignment horizontal="center" wrapText="1"/>
    </xf>
    <xf numFmtId="0" fontId="18" fillId="0" borderId="4" xfId="0" applyFont="1" applyBorder="1" applyAlignment="1">
      <alignment wrapText="1"/>
    </xf>
    <xf numFmtId="0" fontId="20" fillId="0" borderId="4" xfId="0" applyFont="1" applyBorder="1" applyAlignment="1">
      <alignment wrapText="1"/>
    </xf>
    <xf numFmtId="9" fontId="18" fillId="0" borderId="4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wrapText="1"/>
    </xf>
    <xf numFmtId="2" fontId="18" fillId="0" borderId="4" xfId="0" applyNumberFormat="1" applyFont="1" applyBorder="1" applyAlignment="1">
      <alignment horizontal="center" wrapText="1"/>
    </xf>
    <xf numFmtId="2" fontId="18" fillId="6" borderId="0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18" fillId="4" borderId="6" xfId="0" applyNumberFormat="1" applyFont="1" applyFill="1" applyBorder="1" applyAlignment="1">
      <alignment horizontal="center" wrapText="1"/>
    </xf>
    <xf numFmtId="0" fontId="0" fillId="0" borderId="0" xfId="0" applyFill="1" applyBorder="1" applyAlignment="1">
      <alignment horizontal="left"/>
    </xf>
    <xf numFmtId="2" fontId="0" fillId="0" borderId="0" xfId="0" applyNumberFormat="1" applyFill="1" applyBorder="1" applyAlignment="1">
      <alignment horizontal="center"/>
    </xf>
    <xf numFmtId="0" fontId="18" fillId="6" borderId="1" xfId="0" applyFont="1" applyFill="1" applyBorder="1" applyAlignment="1">
      <alignment horizontal="left"/>
    </xf>
    <xf numFmtId="0" fontId="18" fillId="2" borderId="0" xfId="0" applyFont="1" applyFill="1"/>
    <xf numFmtId="0" fontId="18" fillId="0" borderId="0" xfId="0" applyFont="1" applyFill="1"/>
    <xf numFmtId="2" fontId="18" fillId="6" borderId="1" xfId="0" applyNumberFormat="1" applyFont="1" applyFill="1" applyBorder="1"/>
    <xf numFmtId="2" fontId="18" fillId="6" borderId="0" xfId="0" applyNumberFormat="1" applyFont="1" applyFill="1" applyBorder="1"/>
    <xf numFmtId="2" fontId="0" fillId="6" borderId="0" xfId="0" applyNumberFormat="1" applyFill="1"/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left"/>
    </xf>
    <xf numFmtId="2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16" xfId="0" applyFill="1" applyBorder="1" applyAlignment="1">
      <alignment wrapText="1"/>
    </xf>
    <xf numFmtId="0" fontId="0" fillId="2" borderId="6" xfId="0" applyFill="1" applyBorder="1" applyAlignment="1">
      <alignment horizontal="center"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horizontal="center" wrapText="1"/>
    </xf>
    <xf numFmtId="1" fontId="0" fillId="2" borderId="3" xfId="0" applyNumberFormat="1" applyFill="1" applyBorder="1" applyAlignment="1">
      <alignment horizontal="center" wrapText="1"/>
    </xf>
    <xf numFmtId="0" fontId="0" fillId="2" borderId="4" xfId="0" applyFill="1" applyBorder="1" applyAlignment="1">
      <alignment wrapText="1"/>
    </xf>
    <xf numFmtId="0" fontId="11" fillId="2" borderId="4" xfId="0" applyFont="1" applyFill="1" applyBorder="1" applyAlignment="1">
      <alignment wrapText="1"/>
    </xf>
    <xf numFmtId="9" fontId="0" fillId="2" borderId="4" xfId="0" applyNumberForma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wrapText="1"/>
    </xf>
    <xf numFmtId="2" fontId="0" fillId="2" borderId="4" xfId="0" applyNumberFormat="1" applyFill="1" applyBorder="1" applyAlignment="1">
      <alignment horizontal="center" wrapText="1"/>
    </xf>
    <xf numFmtId="0" fontId="18" fillId="0" borderId="0" xfId="0" applyNumberFormat="1" applyFont="1"/>
    <xf numFmtId="0" fontId="18" fillId="4" borderId="16" xfId="0" applyNumberFormat="1" applyFont="1" applyFill="1" applyBorder="1" applyAlignment="1">
      <alignment wrapText="1"/>
    </xf>
    <xf numFmtId="0" fontId="18" fillId="4" borderId="6" xfId="0" applyNumberFormat="1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18" fillId="11" borderId="1" xfId="0" applyFont="1" applyFill="1" applyBorder="1" applyAlignment="1">
      <alignment horizontal="center"/>
    </xf>
    <xf numFmtId="0" fontId="18" fillId="12" borderId="1" xfId="0" applyFont="1" applyFill="1" applyBorder="1" applyAlignment="1">
      <alignment horizontal="left"/>
    </xf>
    <xf numFmtId="0" fontId="18" fillId="12" borderId="1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9" fontId="0" fillId="0" borderId="13" xfId="1" applyFont="1" applyBorder="1" applyAlignment="1">
      <alignment horizontal="center" vertical="center"/>
    </xf>
    <xf numFmtId="9" fontId="0" fillId="0" borderId="15" xfId="1" applyFont="1" applyBorder="1" applyAlignment="1">
      <alignment horizontal="center" vertical="center"/>
    </xf>
    <xf numFmtId="9" fontId="0" fillId="2" borderId="1" xfId="1" applyFont="1" applyFill="1" applyBorder="1"/>
    <xf numFmtId="9" fontId="0" fillId="0" borderId="0" xfId="1" applyFont="1" applyBorder="1" applyAlignment="1">
      <alignment horizontal="center" vertical="center" wrapText="1"/>
    </xf>
    <xf numFmtId="9" fontId="0" fillId="0" borderId="0" xfId="1" applyFont="1" applyBorder="1" applyAlignment="1">
      <alignment horizontal="center" vertical="center"/>
    </xf>
    <xf numFmtId="0" fontId="15" fillId="2" borderId="0" xfId="0" applyFont="1" applyFill="1"/>
    <xf numFmtId="2" fontId="0" fillId="2" borderId="1" xfId="0" applyNumberFormat="1" applyFill="1" applyBorder="1"/>
    <xf numFmtId="9" fontId="0" fillId="2" borderId="1" xfId="1" applyFont="1" applyFill="1" applyBorder="1" applyAlignment="1">
      <alignment horizontal="center"/>
    </xf>
    <xf numFmtId="9" fontId="0" fillId="2" borderId="4" xfId="1" applyFont="1" applyFill="1" applyBorder="1" applyAlignment="1">
      <alignment horizontal="center" vertical="center" wrapText="1"/>
    </xf>
    <xf numFmtId="2" fontId="15" fillId="2" borderId="0" xfId="0" applyNumberFormat="1" applyFont="1" applyFill="1"/>
    <xf numFmtId="2" fontId="0" fillId="2" borderId="1" xfId="0" applyNumberFormat="1" applyFill="1" applyBorder="1" applyAlignment="1">
      <alignment horizontal="center" wrapText="1"/>
    </xf>
    <xf numFmtId="9" fontId="0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1" applyNumberFormat="1" applyFont="1"/>
    <xf numFmtId="0" fontId="0" fillId="0" borderId="13" xfId="1" applyNumberFormat="1" applyFont="1" applyBorder="1" applyAlignment="1">
      <alignment horizontal="center" vertical="center"/>
    </xf>
    <xf numFmtId="0" fontId="0" fillId="0" borderId="15" xfId="1" applyNumberFormat="1" applyFont="1" applyBorder="1" applyAlignment="1">
      <alignment horizontal="center" vertical="center"/>
    </xf>
    <xf numFmtId="0" fontId="0" fillId="2" borderId="1" xfId="1" applyNumberFormat="1" applyFont="1" applyFill="1" applyBorder="1"/>
    <xf numFmtId="2" fontId="22" fillId="0" borderId="1" xfId="1" applyNumberFormat="1" applyFont="1" applyBorder="1" applyAlignment="1">
      <alignment horizontal="center"/>
    </xf>
    <xf numFmtId="2" fontId="0" fillId="0" borderId="1" xfId="1" applyNumberFormat="1" applyFont="1" applyBorder="1"/>
    <xf numFmtId="2" fontId="0" fillId="0" borderId="13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9" fontId="22" fillId="0" borderId="1" xfId="1" applyFon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9" fillId="5" borderId="7" xfId="0" applyFont="1" applyFill="1" applyBorder="1" applyAlignment="1">
      <alignment horizontal="right" vertical="center"/>
    </xf>
    <xf numFmtId="0" fontId="9" fillId="5" borderId="8" xfId="0" applyFont="1" applyFill="1" applyBorder="1" applyAlignment="1">
      <alignment horizontal="right" vertical="center"/>
    </xf>
    <xf numFmtId="0" fontId="9" fillId="5" borderId="9" xfId="0" applyFont="1" applyFill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8" fillId="6" borderId="11" xfId="0" applyFont="1" applyFill="1" applyBorder="1" applyAlignment="1">
      <alignment horizontal="center"/>
    </xf>
    <xf numFmtId="0" fontId="18" fillId="6" borderId="12" xfId="0" applyFont="1" applyFill="1" applyBorder="1" applyAlignment="1">
      <alignment horizontal="center"/>
    </xf>
    <xf numFmtId="0" fontId="18" fillId="6" borderId="13" xfId="0" applyFont="1" applyFill="1" applyBorder="1" applyAlignment="1">
      <alignment horizontal="center" vertical="center" wrapText="1"/>
    </xf>
    <xf numFmtId="0" fontId="18" fillId="6" borderId="14" xfId="0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8" fillId="11" borderId="11" xfId="0" applyFont="1" applyFill="1" applyBorder="1" applyAlignment="1">
      <alignment horizontal="center"/>
    </xf>
    <xf numFmtId="0" fontId="18" fillId="11" borderId="21" xfId="0" applyFont="1" applyFill="1" applyBorder="1" applyAlignment="1">
      <alignment horizontal="center"/>
    </xf>
    <xf numFmtId="0" fontId="0" fillId="11" borderId="13" xfId="0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 wrapText="1"/>
    </xf>
    <xf numFmtId="0" fontId="0" fillId="11" borderId="15" xfId="0" applyFill="1" applyBorder="1" applyAlignment="1">
      <alignment horizontal="center" vertical="center" wrapText="1"/>
    </xf>
    <xf numFmtId="0" fontId="18" fillId="12" borderId="11" xfId="0" applyFont="1" applyFill="1" applyBorder="1" applyAlignment="1">
      <alignment horizontal="center"/>
    </xf>
    <xf numFmtId="0" fontId="18" fillId="12" borderId="12" xfId="0" applyFont="1" applyFill="1" applyBorder="1" applyAlignment="1">
      <alignment horizontal="center"/>
    </xf>
    <xf numFmtId="0" fontId="18" fillId="12" borderId="21" xfId="0" applyFont="1" applyFill="1" applyBorder="1" applyAlignment="1">
      <alignment horizontal="center"/>
    </xf>
    <xf numFmtId="0" fontId="0" fillId="12" borderId="13" xfId="0" applyFill="1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/>
    </xf>
    <xf numFmtId="0" fontId="0" fillId="13" borderId="18" xfId="0" applyFill="1" applyBorder="1" applyAlignment="1">
      <alignment horizontal="center"/>
    </xf>
    <xf numFmtId="0" fontId="0" fillId="13" borderId="13" xfId="0" applyFill="1" applyBorder="1" applyAlignment="1">
      <alignment horizontal="center" vertical="center" wrapText="1"/>
    </xf>
    <xf numFmtId="0" fontId="0" fillId="13" borderId="14" xfId="0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6" borderId="11" xfId="0" applyFill="1" applyBorder="1" applyAlignment="1">
      <alignment horizontal="center"/>
    </xf>
    <xf numFmtId="0" fontId="0" fillId="16" borderId="21" xfId="0" applyFill="1" applyBorder="1" applyAlignment="1">
      <alignment horizontal="center"/>
    </xf>
    <xf numFmtId="0" fontId="0" fillId="16" borderId="13" xfId="0" applyFill="1" applyBorder="1" applyAlignment="1">
      <alignment horizontal="center" vertical="center" wrapText="1"/>
    </xf>
    <xf numFmtId="0" fontId="0" fillId="16" borderId="14" xfId="0" applyFill="1" applyBorder="1" applyAlignment="1">
      <alignment horizontal="center" vertical="center" wrapText="1"/>
    </xf>
    <xf numFmtId="0" fontId="0" fillId="16" borderId="15" xfId="0" applyFill="1" applyBorder="1" applyAlignment="1">
      <alignment horizontal="center" vertical="center" wrapText="1"/>
    </xf>
    <xf numFmtId="0" fontId="0" fillId="17" borderId="11" xfId="0" applyFill="1" applyBorder="1" applyAlignment="1">
      <alignment horizontal="center"/>
    </xf>
    <xf numFmtId="0" fontId="0" fillId="17" borderId="21" xfId="0" applyFill="1" applyBorder="1" applyAlignment="1">
      <alignment horizontal="center"/>
    </xf>
    <xf numFmtId="0" fontId="0" fillId="17" borderId="13" xfId="0" applyFill="1" applyBorder="1" applyAlignment="1">
      <alignment horizontal="center" vertical="center" wrapText="1"/>
    </xf>
    <xf numFmtId="0" fontId="0" fillId="17" borderId="14" xfId="0" applyFill="1" applyBorder="1" applyAlignment="1">
      <alignment horizontal="center" vertical="center" wrapText="1"/>
    </xf>
    <xf numFmtId="0" fontId="0" fillId="17" borderId="15" xfId="0" applyFill="1" applyBorder="1" applyAlignment="1">
      <alignment horizontal="center" vertical="center" wrapText="1"/>
    </xf>
    <xf numFmtId="0" fontId="0" fillId="14" borderId="11" xfId="0" applyFill="1" applyBorder="1" applyAlignment="1">
      <alignment horizontal="center"/>
    </xf>
    <xf numFmtId="0" fontId="0" fillId="14" borderId="21" xfId="0" applyFill="1" applyBorder="1" applyAlignment="1">
      <alignment horizontal="center"/>
    </xf>
    <xf numFmtId="0" fontId="0" fillId="14" borderId="13" xfId="0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 wrapText="1"/>
    </xf>
    <xf numFmtId="0" fontId="0" fillId="14" borderId="15" xfId="0" applyFill="1" applyBorder="1" applyAlignment="1">
      <alignment horizontal="center" vertical="center" wrapText="1"/>
    </xf>
    <xf numFmtId="0" fontId="0" fillId="15" borderId="11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15" borderId="13" xfId="0" applyFill="1" applyBorder="1" applyAlignment="1">
      <alignment horizontal="center" vertical="center" wrapText="1"/>
    </xf>
    <xf numFmtId="0" fontId="0" fillId="15" borderId="14" xfId="0" applyFill="1" applyBorder="1" applyAlignment="1">
      <alignment horizontal="center" vertical="center" wrapText="1"/>
    </xf>
    <xf numFmtId="0" fontId="0" fillId="15" borderId="15" xfId="0" applyFill="1" applyBorder="1" applyAlignment="1">
      <alignment horizontal="center" vertical="center" wrapText="1"/>
    </xf>
    <xf numFmtId="9" fontId="0" fillId="0" borderId="13" xfId="1" applyFont="1" applyBorder="1" applyAlignment="1">
      <alignment horizontal="center" vertical="center"/>
    </xf>
    <xf numFmtId="9" fontId="0" fillId="0" borderId="15" xfId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6" borderId="12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Capaian</a:t>
            </a:r>
            <a:r>
              <a:rPr lang="en-ID" baseline="0"/>
              <a:t> Rata-rata CPL - [Semester I]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'[10]Penguk.MK-CPL-I'!$C$44:$C$57</c:f>
              <c:strCache>
                <c:ptCount val="14"/>
                <c:pt idx="0">
                  <c:v>CPL01</c:v>
                </c:pt>
                <c:pt idx="1">
                  <c:v>CPL02</c:v>
                </c:pt>
                <c:pt idx="2">
                  <c:v>CPL03</c:v>
                </c:pt>
                <c:pt idx="3">
                  <c:v>CPL04</c:v>
                </c:pt>
                <c:pt idx="4">
                  <c:v>CPL05</c:v>
                </c:pt>
                <c:pt idx="5">
                  <c:v>CPL06</c:v>
                </c:pt>
                <c:pt idx="6">
                  <c:v>CPL07</c:v>
                </c:pt>
                <c:pt idx="7">
                  <c:v>CPL08</c:v>
                </c:pt>
                <c:pt idx="8">
                  <c:v>CPL09</c:v>
                </c:pt>
                <c:pt idx="9">
                  <c:v>CPL10</c:v>
                </c:pt>
                <c:pt idx="10">
                  <c:v>CPL11</c:v>
                </c:pt>
                <c:pt idx="11">
                  <c:v>CPL12</c:v>
                </c:pt>
                <c:pt idx="12">
                  <c:v>CPL13</c:v>
                </c:pt>
                <c:pt idx="13">
                  <c:v>CPL14</c:v>
                </c:pt>
              </c:strCache>
            </c:strRef>
          </c:cat>
          <c:val>
            <c:numRef>
              <c:f>'[10]Penguk.MK-CPL-I'!$F$44:$F$57</c:f>
              <c:numCache>
                <c:formatCode>General</c:formatCode>
                <c:ptCount val="14"/>
                <c:pt idx="0">
                  <c:v>0.8274545219638243</c:v>
                </c:pt>
                <c:pt idx="1">
                  <c:v>0.77250000000000019</c:v>
                </c:pt>
                <c:pt idx="2">
                  <c:v>0.7645264705882352</c:v>
                </c:pt>
                <c:pt idx="3">
                  <c:v>0.79136842105263161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0.75394705882352941</c:v>
                </c:pt>
                <c:pt idx="9">
                  <c:v>0.80412777777777755</c:v>
                </c:pt>
                <c:pt idx="10">
                  <c:v>0</c:v>
                </c:pt>
                <c:pt idx="11">
                  <c:v>0.73652777777777778</c:v>
                </c:pt>
                <c:pt idx="12">
                  <c:v>0.87748405797101459</c:v>
                </c:pt>
                <c:pt idx="13">
                  <c:v>0.71722222222222209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0-4FDE-869D-00AEF36EF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752095"/>
        <c:axId val="754734815"/>
      </c:radarChart>
      <c:catAx>
        <c:axId val="75475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734815"/>
        <c:crosses val="autoZero"/>
        <c:auto val="1"/>
        <c:lblAlgn val="ctr"/>
        <c:lblOffset val="100"/>
        <c:noMultiLvlLbl val="0"/>
      </c:catAx>
      <c:valAx>
        <c:axId val="75473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75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Tingkat Rata-rata Capaian CPMK</a:t>
            </a:r>
            <a:r>
              <a:rPr lang="en-ID" baseline="0"/>
              <a:t> Matakuliah Semester I Angkatan 2024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'Penguk.CPMK-Smt1'!$D$62:$D$116</c:f>
              <c:strCache>
                <c:ptCount val="55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CPMK021</c:v>
                </c:pt>
                <c:pt idx="4">
                  <c:v>CPMK022</c:v>
                </c:pt>
                <c:pt idx="5">
                  <c:v>CPMK023</c:v>
                </c:pt>
                <c:pt idx="6">
                  <c:v>CPMK024</c:v>
                </c:pt>
                <c:pt idx="7">
                  <c:v>CPMK031</c:v>
                </c:pt>
                <c:pt idx="8">
                  <c:v>CPMK032</c:v>
                </c:pt>
                <c:pt idx="9">
                  <c:v>CPMK033</c:v>
                </c:pt>
                <c:pt idx="10">
                  <c:v>CPMK041</c:v>
                </c:pt>
                <c:pt idx="11">
                  <c:v>CPMK042</c:v>
                </c:pt>
                <c:pt idx="12">
                  <c:v>CPMK043</c:v>
                </c:pt>
                <c:pt idx="13">
                  <c:v>CPMK044</c:v>
                </c:pt>
                <c:pt idx="14">
                  <c:v>CPMK045</c:v>
                </c:pt>
                <c:pt idx="15">
                  <c:v>CPMK046</c:v>
                </c:pt>
                <c:pt idx="16">
                  <c:v>CPMK047</c:v>
                </c:pt>
                <c:pt idx="17">
                  <c:v>CPMK051</c:v>
                </c:pt>
                <c:pt idx="18">
                  <c:v>CPMK052</c:v>
                </c:pt>
                <c:pt idx="19">
                  <c:v>CPMK053</c:v>
                </c:pt>
                <c:pt idx="20">
                  <c:v>CPMK054</c:v>
                </c:pt>
                <c:pt idx="21">
                  <c:v>CPMK055</c:v>
                </c:pt>
                <c:pt idx="22">
                  <c:v>CPMK056</c:v>
                </c:pt>
                <c:pt idx="23">
                  <c:v>CPMK057</c:v>
                </c:pt>
                <c:pt idx="24">
                  <c:v>CPMK058</c:v>
                </c:pt>
                <c:pt idx="25">
                  <c:v>CPMK061</c:v>
                </c:pt>
                <c:pt idx="26">
                  <c:v>CPMK062</c:v>
                </c:pt>
                <c:pt idx="27">
                  <c:v>CPMK063</c:v>
                </c:pt>
                <c:pt idx="28">
                  <c:v>CPMK064</c:v>
                </c:pt>
                <c:pt idx="29">
                  <c:v>CPMK071</c:v>
                </c:pt>
                <c:pt idx="30">
                  <c:v>CPMK072</c:v>
                </c:pt>
                <c:pt idx="31">
                  <c:v>CPMK073</c:v>
                </c:pt>
                <c:pt idx="32">
                  <c:v>CPMK074</c:v>
                </c:pt>
                <c:pt idx="33">
                  <c:v>CPMK075</c:v>
                </c:pt>
                <c:pt idx="34">
                  <c:v>CPMK076</c:v>
                </c:pt>
                <c:pt idx="35">
                  <c:v>CPMK081</c:v>
                </c:pt>
                <c:pt idx="36">
                  <c:v>CPMK082</c:v>
                </c:pt>
                <c:pt idx="37">
                  <c:v>CPMK083</c:v>
                </c:pt>
                <c:pt idx="38">
                  <c:v>CPMK091</c:v>
                </c:pt>
                <c:pt idx="39">
                  <c:v>CPMK092</c:v>
                </c:pt>
                <c:pt idx="40">
                  <c:v>CPMK093</c:v>
                </c:pt>
                <c:pt idx="41">
                  <c:v>CPMK101</c:v>
                </c:pt>
                <c:pt idx="42">
                  <c:v>CPMK102</c:v>
                </c:pt>
                <c:pt idx="43">
                  <c:v>CPMK103</c:v>
                </c:pt>
                <c:pt idx="44">
                  <c:v>CPMK104</c:v>
                </c:pt>
                <c:pt idx="45">
                  <c:v>CPMK105</c:v>
                </c:pt>
                <c:pt idx="46">
                  <c:v>CPMK111</c:v>
                </c:pt>
                <c:pt idx="47">
                  <c:v>CPMK112</c:v>
                </c:pt>
                <c:pt idx="48">
                  <c:v>CPMK113</c:v>
                </c:pt>
                <c:pt idx="49">
                  <c:v>CPMK114</c:v>
                </c:pt>
                <c:pt idx="50">
                  <c:v>CPMK115</c:v>
                </c:pt>
                <c:pt idx="51">
                  <c:v>CPMK121</c:v>
                </c:pt>
                <c:pt idx="52">
                  <c:v>CPMK122</c:v>
                </c:pt>
                <c:pt idx="53">
                  <c:v>CPMK123</c:v>
                </c:pt>
                <c:pt idx="54">
                  <c:v>CPMK124</c:v>
                </c:pt>
              </c:strCache>
            </c:strRef>
          </c:cat>
          <c:val>
            <c:numRef>
              <c:f>'Penguk.CPMK-Smt1'!$G$62:$G$116</c:f>
              <c:numCache>
                <c:formatCode>0%</c:formatCode>
                <c:ptCount val="55"/>
                <c:pt idx="0">
                  <c:v>0.83904999999999974</c:v>
                </c:pt>
                <c:pt idx="1">
                  <c:v>0.82121666666666682</c:v>
                </c:pt>
                <c:pt idx="2">
                  <c:v>0.82911764705882351</c:v>
                </c:pt>
                <c:pt idx="3">
                  <c:v>0.83072058823529404</c:v>
                </c:pt>
                <c:pt idx="4">
                  <c:v>0</c:v>
                </c:pt>
                <c:pt idx="5">
                  <c:v>0.85939705882352935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6">
                  <c:v>0</c:v>
                </c:pt>
                <c:pt idx="17">
                  <c:v>0</c:v>
                </c:pt>
                <c:pt idx="21">
                  <c:v>0.79123529411764704</c:v>
                </c:pt>
                <c:pt idx="22">
                  <c:v>0.84361764705882369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0.77911764705882358</c:v>
                </c:pt>
                <c:pt idx="37">
                  <c:v>0</c:v>
                </c:pt>
                <c:pt idx="38">
                  <c:v>0.76726470588235296</c:v>
                </c:pt>
                <c:pt idx="40">
                  <c:v>0</c:v>
                </c:pt>
                <c:pt idx="41">
                  <c:v>0.77273823529411745</c:v>
                </c:pt>
                <c:pt idx="42">
                  <c:v>0.78442941176470593</c:v>
                </c:pt>
                <c:pt idx="43">
                  <c:v>0.80710882352941204</c:v>
                </c:pt>
                <c:pt idx="45">
                  <c:v>0</c:v>
                </c:pt>
                <c:pt idx="46">
                  <c:v>0.85939705882352935</c:v>
                </c:pt>
                <c:pt idx="49">
                  <c:v>0.85939705882352935</c:v>
                </c:pt>
                <c:pt idx="50">
                  <c:v>0.85939705882352935</c:v>
                </c:pt>
                <c:pt idx="51">
                  <c:v>0</c:v>
                </c:pt>
                <c:pt idx="52">
                  <c:v>0.85939705882352935</c:v>
                </c:pt>
                <c:pt idx="53">
                  <c:v>0.85939705882352935</c:v>
                </c:pt>
                <c:pt idx="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3-409E-A902-F64CA88D0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116447"/>
        <c:axId val="2133114527"/>
      </c:radarChart>
      <c:catAx>
        <c:axId val="213311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14527"/>
        <c:crosses val="autoZero"/>
        <c:auto val="1"/>
        <c:lblAlgn val="ctr"/>
        <c:lblOffset val="100"/>
        <c:noMultiLvlLbl val="0"/>
      </c:catAx>
      <c:valAx>
        <c:axId val="21331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1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</a:t>
            </a:r>
            <a:r>
              <a:rPr lang="en-ID" baseline="0"/>
              <a:t> Tingkat Ketercapaian CPMK Program Studi Semester I Angkatan 2024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'Penguk.CPMK-Smt1'!$D$62:$D$116</c:f>
              <c:strCache>
                <c:ptCount val="55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CPMK021</c:v>
                </c:pt>
                <c:pt idx="4">
                  <c:v>CPMK022</c:v>
                </c:pt>
                <c:pt idx="5">
                  <c:v>CPMK023</c:v>
                </c:pt>
                <c:pt idx="6">
                  <c:v>CPMK024</c:v>
                </c:pt>
                <c:pt idx="7">
                  <c:v>CPMK031</c:v>
                </c:pt>
                <c:pt idx="8">
                  <c:v>CPMK032</c:v>
                </c:pt>
                <c:pt idx="9">
                  <c:v>CPMK033</c:v>
                </c:pt>
                <c:pt idx="10">
                  <c:v>CPMK041</c:v>
                </c:pt>
                <c:pt idx="11">
                  <c:v>CPMK042</c:v>
                </c:pt>
                <c:pt idx="12">
                  <c:v>CPMK043</c:v>
                </c:pt>
                <c:pt idx="13">
                  <c:v>CPMK044</c:v>
                </c:pt>
                <c:pt idx="14">
                  <c:v>CPMK045</c:v>
                </c:pt>
                <c:pt idx="15">
                  <c:v>CPMK046</c:v>
                </c:pt>
                <c:pt idx="16">
                  <c:v>CPMK047</c:v>
                </c:pt>
                <c:pt idx="17">
                  <c:v>CPMK051</c:v>
                </c:pt>
                <c:pt idx="18">
                  <c:v>CPMK052</c:v>
                </c:pt>
                <c:pt idx="19">
                  <c:v>CPMK053</c:v>
                </c:pt>
                <c:pt idx="20">
                  <c:v>CPMK054</c:v>
                </c:pt>
                <c:pt idx="21">
                  <c:v>CPMK055</c:v>
                </c:pt>
                <c:pt idx="22">
                  <c:v>CPMK056</c:v>
                </c:pt>
                <c:pt idx="23">
                  <c:v>CPMK057</c:v>
                </c:pt>
                <c:pt idx="24">
                  <c:v>CPMK058</c:v>
                </c:pt>
                <c:pt idx="25">
                  <c:v>CPMK061</c:v>
                </c:pt>
                <c:pt idx="26">
                  <c:v>CPMK062</c:v>
                </c:pt>
                <c:pt idx="27">
                  <c:v>CPMK063</c:v>
                </c:pt>
                <c:pt idx="28">
                  <c:v>CPMK064</c:v>
                </c:pt>
                <c:pt idx="29">
                  <c:v>CPMK071</c:v>
                </c:pt>
                <c:pt idx="30">
                  <c:v>CPMK072</c:v>
                </c:pt>
                <c:pt idx="31">
                  <c:v>CPMK073</c:v>
                </c:pt>
                <c:pt idx="32">
                  <c:v>CPMK074</c:v>
                </c:pt>
                <c:pt idx="33">
                  <c:v>CPMK075</c:v>
                </c:pt>
                <c:pt idx="34">
                  <c:v>CPMK076</c:v>
                </c:pt>
                <c:pt idx="35">
                  <c:v>CPMK081</c:v>
                </c:pt>
                <c:pt idx="36">
                  <c:v>CPMK082</c:v>
                </c:pt>
                <c:pt idx="37">
                  <c:v>CPMK083</c:v>
                </c:pt>
                <c:pt idx="38">
                  <c:v>CPMK091</c:v>
                </c:pt>
                <c:pt idx="39">
                  <c:v>CPMK092</c:v>
                </c:pt>
                <c:pt idx="40">
                  <c:v>CPMK093</c:v>
                </c:pt>
                <c:pt idx="41">
                  <c:v>CPMK101</c:v>
                </c:pt>
                <c:pt idx="42">
                  <c:v>CPMK102</c:v>
                </c:pt>
                <c:pt idx="43">
                  <c:v>CPMK103</c:v>
                </c:pt>
                <c:pt idx="44">
                  <c:v>CPMK104</c:v>
                </c:pt>
                <c:pt idx="45">
                  <c:v>CPMK105</c:v>
                </c:pt>
                <c:pt idx="46">
                  <c:v>CPMK111</c:v>
                </c:pt>
                <c:pt idx="47">
                  <c:v>CPMK112</c:v>
                </c:pt>
                <c:pt idx="48">
                  <c:v>CPMK113</c:v>
                </c:pt>
                <c:pt idx="49">
                  <c:v>CPMK114</c:v>
                </c:pt>
                <c:pt idx="50">
                  <c:v>CPMK115</c:v>
                </c:pt>
                <c:pt idx="51">
                  <c:v>CPMK121</c:v>
                </c:pt>
                <c:pt idx="52">
                  <c:v>CPMK122</c:v>
                </c:pt>
                <c:pt idx="53">
                  <c:v>CPMK123</c:v>
                </c:pt>
                <c:pt idx="54">
                  <c:v>CPMK124</c:v>
                </c:pt>
              </c:strCache>
            </c:strRef>
          </c:cat>
          <c:val>
            <c:numRef>
              <c:f>'Penguk.CPMK-Smt1'!$K$62:$K$116</c:f>
              <c:numCache>
                <c:formatCode>0%</c:formatCode>
                <c:ptCount val="55"/>
                <c:pt idx="0">
                  <c:v>0.97058823529411764</c:v>
                </c:pt>
                <c:pt idx="1">
                  <c:v>0.97058823529411764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0.94117647058823528</c:v>
                </c:pt>
                <c:pt idx="22">
                  <c:v>0.94117647058823528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0.94117647058823528</c:v>
                </c:pt>
                <c:pt idx="36">
                  <c:v>0</c:v>
                </c:pt>
                <c:pt idx="37">
                  <c:v>0</c:v>
                </c:pt>
                <c:pt idx="38">
                  <c:v>0.82352941176470584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0.97058823529411764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0.94117647058823528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0.97058823529411764</c:v>
                </c:pt>
                <c:pt idx="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F-4FDE-9940-705CA8216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107807"/>
        <c:axId val="2133113567"/>
      </c:radarChart>
      <c:catAx>
        <c:axId val="213310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13567"/>
        <c:crosses val="autoZero"/>
        <c:auto val="1"/>
        <c:lblAlgn val="ctr"/>
        <c:lblOffset val="100"/>
        <c:noMultiLvlLbl val="0"/>
      </c:catAx>
      <c:valAx>
        <c:axId val="213311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0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Tingkat Rata-rata Capaian CPMK Matakuliah Semester I Angkatan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136C-403E-83FA-5CF81D40A12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136C-403E-83FA-5CF81D40A12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136C-403E-83FA-5CF81D40A12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136C-403E-83FA-5CF81D40A12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136C-403E-83FA-5CF81D40A12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136C-403E-83FA-5CF81D40A12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136C-403E-83FA-5CF81D40A12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136C-403E-83FA-5CF81D40A12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136C-403E-83FA-5CF81D40A128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136C-403E-83FA-5CF81D40A12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136C-403E-83FA-5CF81D40A128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136C-403E-83FA-5CF81D40A128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136C-403E-83FA-5CF81D40A128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136C-403E-83FA-5CF81D40A128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136C-403E-83FA-5CF81D40A128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136C-403E-83FA-5CF81D40A128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136C-403E-83FA-5CF81D40A128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136C-403E-83FA-5CF81D40A128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5-136C-403E-83FA-5CF81D40A128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136C-403E-83FA-5CF81D40A128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136C-403E-83FA-5CF81D40A128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136C-403E-83FA-5CF81D40A12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D-136C-403E-83FA-5CF81D40A128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F-136C-403E-83FA-5CF81D40A12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1-136C-403E-83FA-5CF81D40A128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3-136C-403E-83FA-5CF81D40A128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5-136C-403E-83FA-5CF81D40A128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7-136C-403E-83FA-5CF81D40A128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9-136C-403E-83FA-5CF81D40A128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B-136C-403E-83FA-5CF81D40A128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D-136C-403E-83FA-5CF81D40A128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F-136C-403E-83FA-5CF81D40A128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1-136C-403E-83FA-5CF81D40A128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3-136C-403E-83FA-5CF81D40A128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5-136C-403E-83FA-5CF81D40A128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7-136C-403E-83FA-5CF81D40A128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9-279B-4C60-861B-4D62F01EEC8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B-279B-4C60-861B-4D62F01EEC89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D-279B-4C60-861B-4D62F01EEC89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F-279B-4C60-861B-4D62F01EEC89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1-279B-4C60-861B-4D62F01EEC89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3-279B-4C60-861B-4D62F01EEC89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5-279B-4C60-861B-4D62F01EEC89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7-279B-4C60-861B-4D62F01EEC89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9-279B-4C60-861B-4D62F01EEC89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B-279B-4C60-861B-4D62F01EEC89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D-279B-4C60-861B-4D62F01EEC89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F-279B-4C60-861B-4D62F01EEC89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1-279B-4C60-861B-4D62F01EEC89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3-279B-4C60-861B-4D62F01EEC89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5-279B-4C60-861B-4D62F01EEC89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7-279B-4C60-861B-4D62F01EEC89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9-279B-4C60-861B-4D62F01EEC89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B-279B-4C60-861B-4D62F01EEC89}"/>
              </c:ext>
            </c:extLst>
          </c:dPt>
          <c:dPt>
            <c:idx val="5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D-279B-4C60-861B-4D62F01EEC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'Penguk.CPMK-Smt1'!$D$62:$D$116</c:f>
              <c:strCache>
                <c:ptCount val="55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CPMK021</c:v>
                </c:pt>
                <c:pt idx="4">
                  <c:v>CPMK022</c:v>
                </c:pt>
                <c:pt idx="5">
                  <c:v>CPMK023</c:v>
                </c:pt>
                <c:pt idx="6">
                  <c:v>CPMK024</c:v>
                </c:pt>
                <c:pt idx="7">
                  <c:v>CPMK031</c:v>
                </c:pt>
                <c:pt idx="8">
                  <c:v>CPMK032</c:v>
                </c:pt>
                <c:pt idx="9">
                  <c:v>CPMK033</c:v>
                </c:pt>
                <c:pt idx="10">
                  <c:v>CPMK041</c:v>
                </c:pt>
                <c:pt idx="11">
                  <c:v>CPMK042</c:v>
                </c:pt>
                <c:pt idx="12">
                  <c:v>CPMK043</c:v>
                </c:pt>
                <c:pt idx="13">
                  <c:v>CPMK044</c:v>
                </c:pt>
                <c:pt idx="14">
                  <c:v>CPMK045</c:v>
                </c:pt>
                <c:pt idx="15">
                  <c:v>CPMK046</c:v>
                </c:pt>
                <c:pt idx="16">
                  <c:v>CPMK047</c:v>
                </c:pt>
                <c:pt idx="17">
                  <c:v>CPMK051</c:v>
                </c:pt>
                <c:pt idx="18">
                  <c:v>CPMK052</c:v>
                </c:pt>
                <c:pt idx="19">
                  <c:v>CPMK053</c:v>
                </c:pt>
                <c:pt idx="20">
                  <c:v>CPMK054</c:v>
                </c:pt>
                <c:pt idx="21">
                  <c:v>CPMK055</c:v>
                </c:pt>
                <c:pt idx="22">
                  <c:v>CPMK056</c:v>
                </c:pt>
                <c:pt idx="23">
                  <c:v>CPMK057</c:v>
                </c:pt>
                <c:pt idx="24">
                  <c:v>CPMK058</c:v>
                </c:pt>
                <c:pt idx="25">
                  <c:v>CPMK061</c:v>
                </c:pt>
                <c:pt idx="26">
                  <c:v>CPMK062</c:v>
                </c:pt>
                <c:pt idx="27">
                  <c:v>CPMK063</c:v>
                </c:pt>
                <c:pt idx="28">
                  <c:v>CPMK064</c:v>
                </c:pt>
                <c:pt idx="29">
                  <c:v>CPMK071</c:v>
                </c:pt>
                <c:pt idx="30">
                  <c:v>CPMK072</c:v>
                </c:pt>
                <c:pt idx="31">
                  <c:v>CPMK073</c:v>
                </c:pt>
                <c:pt idx="32">
                  <c:v>CPMK074</c:v>
                </c:pt>
                <c:pt idx="33">
                  <c:v>CPMK075</c:v>
                </c:pt>
                <c:pt idx="34">
                  <c:v>CPMK076</c:v>
                </c:pt>
                <c:pt idx="35">
                  <c:v>CPMK081</c:v>
                </c:pt>
                <c:pt idx="36">
                  <c:v>CPMK082</c:v>
                </c:pt>
                <c:pt idx="37">
                  <c:v>CPMK083</c:v>
                </c:pt>
                <c:pt idx="38">
                  <c:v>CPMK091</c:v>
                </c:pt>
                <c:pt idx="39">
                  <c:v>CPMK092</c:v>
                </c:pt>
                <c:pt idx="40">
                  <c:v>CPMK093</c:v>
                </c:pt>
                <c:pt idx="41">
                  <c:v>CPMK101</c:v>
                </c:pt>
                <c:pt idx="42">
                  <c:v>CPMK102</c:v>
                </c:pt>
                <c:pt idx="43">
                  <c:v>CPMK103</c:v>
                </c:pt>
                <c:pt idx="44">
                  <c:v>CPMK104</c:v>
                </c:pt>
                <c:pt idx="45">
                  <c:v>CPMK105</c:v>
                </c:pt>
                <c:pt idx="46">
                  <c:v>CPMK111</c:v>
                </c:pt>
                <c:pt idx="47">
                  <c:v>CPMK112</c:v>
                </c:pt>
                <c:pt idx="48">
                  <c:v>CPMK113</c:v>
                </c:pt>
                <c:pt idx="49">
                  <c:v>CPMK114</c:v>
                </c:pt>
                <c:pt idx="50">
                  <c:v>CPMK115</c:v>
                </c:pt>
                <c:pt idx="51">
                  <c:v>CPMK121</c:v>
                </c:pt>
                <c:pt idx="52">
                  <c:v>CPMK122</c:v>
                </c:pt>
                <c:pt idx="53">
                  <c:v>CPMK123</c:v>
                </c:pt>
                <c:pt idx="54">
                  <c:v>CPMK124</c:v>
                </c:pt>
              </c:strCache>
            </c:strRef>
          </c:cat>
          <c:val>
            <c:numRef>
              <c:f>'Penguk.CPMK-Smt1'!$G$62:$G$116</c:f>
              <c:numCache>
                <c:formatCode>0%</c:formatCode>
                <c:ptCount val="55"/>
                <c:pt idx="0">
                  <c:v>0.83904999999999974</c:v>
                </c:pt>
                <c:pt idx="1">
                  <c:v>0.82121666666666682</c:v>
                </c:pt>
                <c:pt idx="2">
                  <c:v>0.82911764705882351</c:v>
                </c:pt>
                <c:pt idx="3">
                  <c:v>0.83072058823529404</c:v>
                </c:pt>
                <c:pt idx="4">
                  <c:v>0</c:v>
                </c:pt>
                <c:pt idx="5">
                  <c:v>0.85939705882352935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6">
                  <c:v>0</c:v>
                </c:pt>
                <c:pt idx="17">
                  <c:v>0</c:v>
                </c:pt>
                <c:pt idx="21">
                  <c:v>0.79123529411764704</c:v>
                </c:pt>
                <c:pt idx="22">
                  <c:v>0.84361764705882369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0.77911764705882358</c:v>
                </c:pt>
                <c:pt idx="37">
                  <c:v>0</c:v>
                </c:pt>
                <c:pt idx="38">
                  <c:v>0.76726470588235296</c:v>
                </c:pt>
                <c:pt idx="40">
                  <c:v>0</c:v>
                </c:pt>
                <c:pt idx="41">
                  <c:v>0.77273823529411745</c:v>
                </c:pt>
                <c:pt idx="42">
                  <c:v>0.78442941176470593</c:v>
                </c:pt>
                <c:pt idx="43">
                  <c:v>0.80710882352941204</c:v>
                </c:pt>
                <c:pt idx="45">
                  <c:v>0</c:v>
                </c:pt>
                <c:pt idx="46">
                  <c:v>0.85939705882352935</c:v>
                </c:pt>
                <c:pt idx="49">
                  <c:v>0.85939705882352935</c:v>
                </c:pt>
                <c:pt idx="50">
                  <c:v>0.85939705882352935</c:v>
                </c:pt>
                <c:pt idx="51">
                  <c:v>0</c:v>
                </c:pt>
                <c:pt idx="52">
                  <c:v>0.85939705882352935</c:v>
                </c:pt>
                <c:pt idx="53">
                  <c:v>0.85939705882352935</c:v>
                </c:pt>
                <c:pt idx="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6-4BA1-AD11-2690C35ED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60817520"/>
        <c:axId val="1360815600"/>
        <c:axId val="0"/>
      </c:bar3DChart>
      <c:catAx>
        <c:axId val="136081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15600"/>
        <c:crosses val="autoZero"/>
        <c:auto val="1"/>
        <c:lblAlgn val="ctr"/>
        <c:lblOffset val="100"/>
        <c:noMultiLvlLbl val="0"/>
      </c:catAx>
      <c:valAx>
        <c:axId val="136081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1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Persentase Tingkat Ketercapaian CPMK Program Studi Semester I Angkatan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4A29-4937-B236-6AD32ADD95EA}"/>
              </c:ext>
            </c:extLst>
          </c:dPt>
          <c:cat>
            <c:strRef>
              <c:f>'Penguk.CPMK-Smt1'!$D$62:$D$116</c:f>
              <c:strCache>
                <c:ptCount val="55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CPMK021</c:v>
                </c:pt>
                <c:pt idx="4">
                  <c:v>CPMK022</c:v>
                </c:pt>
                <c:pt idx="5">
                  <c:v>CPMK023</c:v>
                </c:pt>
                <c:pt idx="6">
                  <c:v>CPMK024</c:v>
                </c:pt>
                <c:pt idx="7">
                  <c:v>CPMK031</c:v>
                </c:pt>
                <c:pt idx="8">
                  <c:v>CPMK032</c:v>
                </c:pt>
                <c:pt idx="9">
                  <c:v>CPMK033</c:v>
                </c:pt>
                <c:pt idx="10">
                  <c:v>CPMK041</c:v>
                </c:pt>
                <c:pt idx="11">
                  <c:v>CPMK042</c:v>
                </c:pt>
                <c:pt idx="12">
                  <c:v>CPMK043</c:v>
                </c:pt>
                <c:pt idx="13">
                  <c:v>CPMK044</c:v>
                </c:pt>
                <c:pt idx="14">
                  <c:v>CPMK045</c:v>
                </c:pt>
                <c:pt idx="15">
                  <c:v>CPMK046</c:v>
                </c:pt>
                <c:pt idx="16">
                  <c:v>CPMK047</c:v>
                </c:pt>
                <c:pt idx="17">
                  <c:v>CPMK051</c:v>
                </c:pt>
                <c:pt idx="18">
                  <c:v>CPMK052</c:v>
                </c:pt>
                <c:pt idx="19">
                  <c:v>CPMK053</c:v>
                </c:pt>
                <c:pt idx="20">
                  <c:v>CPMK054</c:v>
                </c:pt>
                <c:pt idx="21">
                  <c:v>CPMK055</c:v>
                </c:pt>
                <c:pt idx="22">
                  <c:v>CPMK056</c:v>
                </c:pt>
                <c:pt idx="23">
                  <c:v>CPMK057</c:v>
                </c:pt>
                <c:pt idx="24">
                  <c:v>CPMK058</c:v>
                </c:pt>
                <c:pt idx="25">
                  <c:v>CPMK061</c:v>
                </c:pt>
                <c:pt idx="26">
                  <c:v>CPMK062</c:v>
                </c:pt>
                <c:pt idx="27">
                  <c:v>CPMK063</c:v>
                </c:pt>
                <c:pt idx="28">
                  <c:v>CPMK064</c:v>
                </c:pt>
                <c:pt idx="29">
                  <c:v>CPMK071</c:v>
                </c:pt>
                <c:pt idx="30">
                  <c:v>CPMK072</c:v>
                </c:pt>
                <c:pt idx="31">
                  <c:v>CPMK073</c:v>
                </c:pt>
                <c:pt idx="32">
                  <c:v>CPMK074</c:v>
                </c:pt>
                <c:pt idx="33">
                  <c:v>CPMK075</c:v>
                </c:pt>
                <c:pt idx="34">
                  <c:v>CPMK076</c:v>
                </c:pt>
                <c:pt idx="35">
                  <c:v>CPMK081</c:v>
                </c:pt>
                <c:pt idx="36">
                  <c:v>CPMK082</c:v>
                </c:pt>
                <c:pt idx="37">
                  <c:v>CPMK083</c:v>
                </c:pt>
                <c:pt idx="38">
                  <c:v>CPMK091</c:v>
                </c:pt>
                <c:pt idx="39">
                  <c:v>CPMK092</c:v>
                </c:pt>
                <c:pt idx="40">
                  <c:v>CPMK093</c:v>
                </c:pt>
                <c:pt idx="41">
                  <c:v>CPMK101</c:v>
                </c:pt>
                <c:pt idx="42">
                  <c:v>CPMK102</c:v>
                </c:pt>
                <c:pt idx="43">
                  <c:v>CPMK103</c:v>
                </c:pt>
                <c:pt idx="44">
                  <c:v>CPMK104</c:v>
                </c:pt>
                <c:pt idx="45">
                  <c:v>CPMK105</c:v>
                </c:pt>
                <c:pt idx="46">
                  <c:v>CPMK111</c:v>
                </c:pt>
                <c:pt idx="47">
                  <c:v>CPMK112</c:v>
                </c:pt>
                <c:pt idx="48">
                  <c:v>CPMK113</c:v>
                </c:pt>
                <c:pt idx="49">
                  <c:v>CPMK114</c:v>
                </c:pt>
                <c:pt idx="50">
                  <c:v>CPMK115</c:v>
                </c:pt>
                <c:pt idx="51">
                  <c:v>CPMK121</c:v>
                </c:pt>
                <c:pt idx="52">
                  <c:v>CPMK122</c:v>
                </c:pt>
                <c:pt idx="53">
                  <c:v>CPMK123</c:v>
                </c:pt>
                <c:pt idx="54">
                  <c:v>CPMK124</c:v>
                </c:pt>
              </c:strCache>
            </c:strRef>
          </c:cat>
          <c:val>
            <c:numRef>
              <c:f>'Penguk.CPMK-Smt1'!#REF!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B-4773-9DAD-8FB54DBA3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0784096"/>
        <c:axId val="1550780736"/>
        <c:axId val="0"/>
      </c:bar3DChart>
      <c:catAx>
        <c:axId val="155078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780736"/>
        <c:crosses val="autoZero"/>
        <c:auto val="1"/>
        <c:lblAlgn val="ctr"/>
        <c:lblOffset val="100"/>
        <c:noMultiLvlLbl val="0"/>
      </c:catAx>
      <c:valAx>
        <c:axId val="1550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78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Rata-rata Capaian CPMK Semester</a:t>
            </a:r>
            <a:r>
              <a:rPr lang="en-ID" baseline="0"/>
              <a:t> I Angkatan 2024</a:t>
            </a:r>
          </a:p>
          <a:p>
            <a:pPr>
              <a:defRPr/>
            </a:pP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902A-4434-B85A-B4ACA248D95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902A-4434-B85A-B4ACA248D95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902A-4434-B85A-B4ACA248D95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902A-4434-B85A-B4ACA248D95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902A-4434-B85A-B4ACA248D95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902A-4434-B85A-B4ACA248D95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902A-4434-B85A-B4ACA248D95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902A-4434-B85A-B4ACA248D95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902A-4434-B85A-B4ACA248D95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902A-4434-B85A-B4ACA248D95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902A-4434-B85A-B4ACA248D95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902A-4434-B85A-B4ACA248D95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902A-4434-B85A-B4ACA248D95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902A-4434-B85A-B4ACA248D95E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902A-4434-B85A-B4ACA248D95E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902A-4434-B85A-B4ACA248D95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902A-4434-B85A-B4ACA248D95E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902A-4434-B85A-B4ACA248D95E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5-902A-4434-B85A-B4ACA248D95E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902A-4434-B85A-B4ACA248D95E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902A-4434-B85A-B4ACA248D95E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902A-4434-B85A-B4ACA248D95E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D-902A-4434-B85A-B4ACA248D95E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F-902A-4434-B85A-B4ACA248D95E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1-902A-4434-B85A-B4ACA248D95E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3-902A-4434-B85A-B4ACA248D95E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5-902A-4434-B85A-B4ACA248D95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7-902A-4434-B85A-B4ACA248D95E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9-902A-4434-B85A-B4ACA248D95E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B-902A-4434-B85A-B4ACA248D95E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D-902A-4434-B85A-B4ACA248D95E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F-902A-4434-B85A-B4ACA248D95E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1-902A-4434-B85A-B4ACA248D95E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3-902A-4434-B85A-B4ACA248D95E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5-902A-4434-B85A-B4ACA248D95E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7-902A-4434-B85A-B4ACA248D9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'[10]Penguk.MK-CPL-I'!$BP$8:$CY$8</c:f>
              <c:strCache>
                <c:ptCount val="36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CPMK014</c:v>
                </c:pt>
                <c:pt idx="4">
                  <c:v>CPMK021</c:v>
                </c:pt>
                <c:pt idx="5">
                  <c:v>CPMK022</c:v>
                </c:pt>
                <c:pt idx="6">
                  <c:v>CPMK023</c:v>
                </c:pt>
                <c:pt idx="7">
                  <c:v>CPMK024</c:v>
                </c:pt>
                <c:pt idx="8">
                  <c:v>CPMK031</c:v>
                </c:pt>
                <c:pt idx="9">
                  <c:v>CPMK032</c:v>
                </c:pt>
                <c:pt idx="10">
                  <c:v>CPMK033</c:v>
                </c:pt>
                <c:pt idx="11">
                  <c:v>CPMK041</c:v>
                </c:pt>
                <c:pt idx="12">
                  <c:v>CPMK042</c:v>
                </c:pt>
                <c:pt idx="13">
                  <c:v>CPMK051</c:v>
                </c:pt>
                <c:pt idx="14">
                  <c:v>CPMK052</c:v>
                </c:pt>
                <c:pt idx="15">
                  <c:v>CPMK061</c:v>
                </c:pt>
                <c:pt idx="16">
                  <c:v>CPMK062</c:v>
                </c:pt>
                <c:pt idx="17">
                  <c:v>CPMK063</c:v>
                </c:pt>
                <c:pt idx="18">
                  <c:v>CPMK064</c:v>
                </c:pt>
                <c:pt idx="19">
                  <c:v>CPMK071</c:v>
                </c:pt>
                <c:pt idx="20">
                  <c:v>CPMK072</c:v>
                </c:pt>
                <c:pt idx="21">
                  <c:v>CPMK073</c:v>
                </c:pt>
                <c:pt idx="22">
                  <c:v>CPMK081</c:v>
                </c:pt>
                <c:pt idx="23">
                  <c:v>CPMK082</c:v>
                </c:pt>
                <c:pt idx="24">
                  <c:v>CPMK091</c:v>
                </c:pt>
                <c:pt idx="25">
                  <c:v>CPMK092</c:v>
                </c:pt>
                <c:pt idx="26">
                  <c:v>CPMK101</c:v>
                </c:pt>
                <c:pt idx="27">
                  <c:v>CPMK102</c:v>
                </c:pt>
                <c:pt idx="28">
                  <c:v>CPMK111</c:v>
                </c:pt>
                <c:pt idx="29">
                  <c:v>CPMK112</c:v>
                </c:pt>
                <c:pt idx="30">
                  <c:v>CPMK121</c:v>
                </c:pt>
                <c:pt idx="31">
                  <c:v>CPMK122</c:v>
                </c:pt>
                <c:pt idx="32">
                  <c:v>CPMK131</c:v>
                </c:pt>
                <c:pt idx="33">
                  <c:v>CPMK132</c:v>
                </c:pt>
                <c:pt idx="34">
                  <c:v>CPMK141</c:v>
                </c:pt>
                <c:pt idx="35">
                  <c:v>CPMK142</c:v>
                </c:pt>
              </c:strCache>
            </c:strRef>
          </c:cat>
          <c:val>
            <c:numRef>
              <c:f>'[10]Penguk.MK-CPL-I'!$BP$42:$CY$42</c:f>
              <c:numCache>
                <c:formatCode>General</c:formatCode>
                <c:ptCount val="36"/>
                <c:pt idx="0">
                  <c:v>0.79069444444444437</c:v>
                </c:pt>
                <c:pt idx="1">
                  <c:v>0.8412777777777779</c:v>
                </c:pt>
                <c:pt idx="2">
                  <c:v>0.80412777777777777</c:v>
                </c:pt>
                <c:pt idx="3">
                  <c:v>0.87131111111111104</c:v>
                </c:pt>
                <c:pt idx="4">
                  <c:v>0.73652777777777789</c:v>
                </c:pt>
                <c:pt idx="9">
                  <c:v>0.74609375</c:v>
                </c:pt>
                <c:pt idx="10">
                  <c:v>0.7853</c:v>
                </c:pt>
                <c:pt idx="11">
                  <c:v>0.79738888888888881</c:v>
                </c:pt>
                <c:pt idx="24">
                  <c:v>0.74599411764705903</c:v>
                </c:pt>
                <c:pt idx="25">
                  <c:v>0.80529375000000003</c:v>
                </c:pt>
                <c:pt idx="26">
                  <c:v>0.80584117647058806</c:v>
                </c:pt>
                <c:pt idx="30">
                  <c:v>0.7767187499999999</c:v>
                </c:pt>
                <c:pt idx="31">
                  <c:v>0.77671875000000001</c:v>
                </c:pt>
                <c:pt idx="32">
                  <c:v>0.89290244565217392</c:v>
                </c:pt>
                <c:pt idx="34">
                  <c:v>0.760625</c:v>
                </c:pt>
                <c:pt idx="35">
                  <c:v>0.76062500000000011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902A-4434-B85A-B4ACA248D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8791712"/>
        <c:axId val="1558792192"/>
        <c:axId val="0"/>
      </c:bar3DChart>
      <c:catAx>
        <c:axId val="155879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92192"/>
        <c:crosses val="autoZero"/>
        <c:auto val="1"/>
        <c:lblAlgn val="ctr"/>
        <c:lblOffset val="100"/>
        <c:noMultiLvlLbl val="0"/>
      </c:catAx>
      <c:valAx>
        <c:axId val="155879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9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Tingkat Ketercapaian CPL Program Studi Semester I Angkatan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D2A9-414F-9F14-B1F1266FB35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D2A9-414F-9F14-B1F1266FB35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D2A9-414F-9F14-B1F1266FB35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D2A9-414F-9F14-B1F1266FB35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D2A9-414F-9F14-B1F1266FB35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D2A9-414F-9F14-B1F1266FB35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D2A9-414F-9F14-B1F1266FB35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D2A9-414F-9F14-B1F1266FB35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D2A9-414F-9F14-B1F1266FB35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D2A9-414F-9F14-B1F1266FB35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D2A9-414F-9F14-B1F1266FB35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D2A9-414F-9F14-B1F1266FB3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'Penguk.CPL-Smt1'!$C$62:$C$73</c:f>
              <c:strCache>
                <c:ptCount val="12"/>
                <c:pt idx="0">
                  <c:v>CPL01</c:v>
                </c:pt>
                <c:pt idx="1">
                  <c:v>CPL02</c:v>
                </c:pt>
                <c:pt idx="2">
                  <c:v>CPL03</c:v>
                </c:pt>
                <c:pt idx="3">
                  <c:v>CPL04</c:v>
                </c:pt>
                <c:pt idx="4">
                  <c:v>CPL05</c:v>
                </c:pt>
                <c:pt idx="5">
                  <c:v>CPL06</c:v>
                </c:pt>
                <c:pt idx="6">
                  <c:v>CPL07</c:v>
                </c:pt>
                <c:pt idx="7">
                  <c:v>CPL08</c:v>
                </c:pt>
                <c:pt idx="8">
                  <c:v>CPL09</c:v>
                </c:pt>
                <c:pt idx="9">
                  <c:v>CPL10</c:v>
                </c:pt>
                <c:pt idx="10">
                  <c:v>CPL11</c:v>
                </c:pt>
                <c:pt idx="11">
                  <c:v>CPL12</c:v>
                </c:pt>
              </c:strCache>
            </c:strRef>
          </c:cat>
          <c:val>
            <c:numRef>
              <c:f>'Penguk.CPL-Smt1'!$M$62:$M$73</c:f>
              <c:numCache>
                <c:formatCode>0%</c:formatCode>
                <c:ptCount val="12"/>
                <c:pt idx="0">
                  <c:v>0.94117647058823528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0.82352941176470584</c:v>
                </c:pt>
                <c:pt idx="9">
                  <c:v>0.94117647058823528</c:v>
                </c:pt>
                <c:pt idx="10">
                  <c:v>1</c:v>
                </c:pt>
                <c:pt idx="11">
                  <c:v>0.97058823529411764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E-4AA2-ADC1-E73524D2A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7383184"/>
        <c:axId val="1627383664"/>
        <c:axId val="0"/>
      </c:bar3DChart>
      <c:catAx>
        <c:axId val="162738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3664"/>
        <c:crosses val="autoZero"/>
        <c:auto val="1"/>
        <c:lblAlgn val="ctr"/>
        <c:lblOffset val="100"/>
        <c:noMultiLvlLbl val="0"/>
      </c:catAx>
      <c:valAx>
        <c:axId val="16273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Persentase Tingkat Ketercapaian CPL Program Studi Semester I Angkatan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'Penguk.CPL-Smt1'!$C$62:$C$73</c:f>
              <c:strCache>
                <c:ptCount val="12"/>
                <c:pt idx="0">
                  <c:v>CPL01</c:v>
                </c:pt>
                <c:pt idx="1">
                  <c:v>CPL02</c:v>
                </c:pt>
                <c:pt idx="2">
                  <c:v>CPL03</c:v>
                </c:pt>
                <c:pt idx="3">
                  <c:v>CPL04</c:v>
                </c:pt>
                <c:pt idx="4">
                  <c:v>CPL05</c:v>
                </c:pt>
                <c:pt idx="5">
                  <c:v>CPL06</c:v>
                </c:pt>
                <c:pt idx="6">
                  <c:v>CPL07</c:v>
                </c:pt>
                <c:pt idx="7">
                  <c:v>CPL08</c:v>
                </c:pt>
                <c:pt idx="8">
                  <c:v>CPL09</c:v>
                </c:pt>
                <c:pt idx="9">
                  <c:v>CPL10</c:v>
                </c:pt>
                <c:pt idx="10">
                  <c:v>CPL11</c:v>
                </c:pt>
                <c:pt idx="11">
                  <c:v>CPL12</c:v>
                </c:pt>
              </c:strCache>
            </c:strRef>
          </c:cat>
          <c:val>
            <c:numRef>
              <c:f>'Penguk.CPL-Smt1'!$M$62:$M$73</c:f>
              <c:numCache>
                <c:formatCode>0%</c:formatCode>
                <c:ptCount val="12"/>
                <c:pt idx="0">
                  <c:v>0.94117647058823528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0.82352941176470584</c:v>
                </c:pt>
                <c:pt idx="9">
                  <c:v>0.94117647058823528</c:v>
                </c:pt>
                <c:pt idx="10">
                  <c:v>1</c:v>
                </c:pt>
                <c:pt idx="11">
                  <c:v>0.97058823529411764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7-48CB-8DE0-49E47E365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379344"/>
        <c:axId val="1627384144"/>
      </c:radarChart>
      <c:catAx>
        <c:axId val="162737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4144"/>
        <c:crosses val="autoZero"/>
        <c:auto val="1"/>
        <c:lblAlgn val="ctr"/>
        <c:lblOffset val="100"/>
        <c:noMultiLvlLbl val="0"/>
      </c:catAx>
      <c:valAx>
        <c:axId val="162738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7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Tingkat Rata-rata</a:t>
            </a:r>
            <a:r>
              <a:rPr lang="en-ID" baseline="0"/>
              <a:t> Ketercapaian CPL Program Studi Semester I Angkatan 2024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'Penguk.CPL-Smt1'!$C$62:$C$73</c:f>
              <c:strCache>
                <c:ptCount val="12"/>
                <c:pt idx="0">
                  <c:v>CPL01</c:v>
                </c:pt>
                <c:pt idx="1">
                  <c:v>CPL02</c:v>
                </c:pt>
                <c:pt idx="2">
                  <c:v>CPL03</c:v>
                </c:pt>
                <c:pt idx="3">
                  <c:v>CPL04</c:v>
                </c:pt>
                <c:pt idx="4">
                  <c:v>CPL05</c:v>
                </c:pt>
                <c:pt idx="5">
                  <c:v>CPL06</c:v>
                </c:pt>
                <c:pt idx="6">
                  <c:v>CPL07</c:v>
                </c:pt>
                <c:pt idx="7">
                  <c:v>CPL08</c:v>
                </c:pt>
                <c:pt idx="8">
                  <c:v>CPL09</c:v>
                </c:pt>
                <c:pt idx="9">
                  <c:v>CPL10</c:v>
                </c:pt>
                <c:pt idx="10">
                  <c:v>CPL11</c:v>
                </c:pt>
                <c:pt idx="11">
                  <c:v>CPL12</c:v>
                </c:pt>
              </c:strCache>
            </c:strRef>
          </c:cat>
          <c:val>
            <c:numRef>
              <c:f>'Penguk.CPL-Smt1'!$F$62:$F$73</c:f>
              <c:numCache>
                <c:formatCode>0%</c:formatCode>
                <c:ptCount val="12"/>
                <c:pt idx="0">
                  <c:v>0.84524632352941187</c:v>
                </c:pt>
                <c:pt idx="1">
                  <c:v>0.84505882352941175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0.79628333333333345</c:v>
                </c:pt>
                <c:pt idx="8">
                  <c:v>0.76726470588235296</c:v>
                </c:pt>
                <c:pt idx="9">
                  <c:v>0.78881500372300795</c:v>
                </c:pt>
                <c:pt idx="10">
                  <c:v>0.79367301895965003</c:v>
                </c:pt>
                <c:pt idx="11">
                  <c:v>0.88136764705882353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8-4A2E-A6A3-62308BCE6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381744"/>
        <c:axId val="1627382704"/>
      </c:radarChart>
      <c:catAx>
        <c:axId val="162738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2704"/>
        <c:crosses val="autoZero"/>
        <c:auto val="1"/>
        <c:lblAlgn val="ctr"/>
        <c:lblOffset val="100"/>
        <c:noMultiLvlLbl val="0"/>
      </c:catAx>
      <c:valAx>
        <c:axId val="162738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Tingkat Rata-Rata Ketercapaian CPL Program Studi Semester I Angkatan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5D91-4F72-9AB2-04C8D748BCE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5D91-4F72-9AB2-04C8D748BCE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5D91-4F72-9AB2-04C8D748BCE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5D91-4F72-9AB2-04C8D748BCE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5D91-4F72-9AB2-04C8D748BCE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5D91-4F72-9AB2-04C8D748BCE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5D91-4F72-9AB2-04C8D748BCE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5D91-4F72-9AB2-04C8D748BCE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5D91-4F72-9AB2-04C8D748BCE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5D91-4F72-9AB2-04C8D748BCE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5D91-4F72-9AB2-04C8D748BCE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5D91-4F72-9AB2-04C8D748BC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'Penguk.CPL-Smt1'!$C$62:$C$73</c:f>
              <c:strCache>
                <c:ptCount val="12"/>
                <c:pt idx="0">
                  <c:v>CPL01</c:v>
                </c:pt>
                <c:pt idx="1">
                  <c:v>CPL02</c:v>
                </c:pt>
                <c:pt idx="2">
                  <c:v>CPL03</c:v>
                </c:pt>
                <c:pt idx="3">
                  <c:v>CPL04</c:v>
                </c:pt>
                <c:pt idx="4">
                  <c:v>CPL05</c:v>
                </c:pt>
                <c:pt idx="5">
                  <c:v>CPL06</c:v>
                </c:pt>
                <c:pt idx="6">
                  <c:v>CPL07</c:v>
                </c:pt>
                <c:pt idx="7">
                  <c:v>CPL08</c:v>
                </c:pt>
                <c:pt idx="8">
                  <c:v>CPL09</c:v>
                </c:pt>
                <c:pt idx="9">
                  <c:v>CPL10</c:v>
                </c:pt>
                <c:pt idx="10">
                  <c:v>CPL11</c:v>
                </c:pt>
                <c:pt idx="11">
                  <c:v>CPL12</c:v>
                </c:pt>
              </c:strCache>
            </c:strRef>
          </c:cat>
          <c:val>
            <c:numRef>
              <c:f>'Penguk.CPL-Smt1'!$F$62:$F$73</c:f>
              <c:numCache>
                <c:formatCode>0%</c:formatCode>
                <c:ptCount val="12"/>
                <c:pt idx="0">
                  <c:v>0.84524632352941187</c:v>
                </c:pt>
                <c:pt idx="1">
                  <c:v>0.84505882352941175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0.79628333333333345</c:v>
                </c:pt>
                <c:pt idx="8">
                  <c:v>0.76726470588235296</c:v>
                </c:pt>
                <c:pt idx="9">
                  <c:v>0.78881500372300795</c:v>
                </c:pt>
                <c:pt idx="10">
                  <c:v>0.79367301895965003</c:v>
                </c:pt>
                <c:pt idx="11">
                  <c:v>0.88136764705882353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9-41BE-B8D9-FB57B18BD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25712816"/>
        <c:axId val="1425718576"/>
        <c:axId val="0"/>
      </c:bar3DChart>
      <c:catAx>
        <c:axId val="142571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718576"/>
        <c:crosses val="autoZero"/>
        <c:auto val="1"/>
        <c:lblAlgn val="ctr"/>
        <c:lblOffset val="100"/>
        <c:noMultiLvlLbl val="0"/>
      </c:catAx>
      <c:valAx>
        <c:axId val="142571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71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56</xdr:row>
      <xdr:rowOff>171450</xdr:rowOff>
    </xdr:from>
    <xdr:to>
      <xdr:col>15</xdr:col>
      <xdr:colOff>187325</xdr:colOff>
      <xdr:row>57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C5D9D-70B4-41EA-8F20-C7A00820C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77438</xdr:colOff>
      <xdr:row>60</xdr:row>
      <xdr:rowOff>5009</xdr:rowOff>
    </xdr:from>
    <xdr:to>
      <xdr:col>20</xdr:col>
      <xdr:colOff>425450</xdr:colOff>
      <xdr:row>90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61436-E13B-9ED0-D030-CEF2C61F8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158750</xdr:colOff>
      <xdr:row>94</xdr:row>
      <xdr:rowOff>10583</xdr:rowOff>
    </xdr:from>
    <xdr:to>
      <xdr:col>20</xdr:col>
      <xdr:colOff>463550</xdr:colOff>
      <xdr:row>118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FF0999-9E56-5709-43CF-8DDDBD95F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783167</xdr:colOff>
      <xdr:row>59</xdr:row>
      <xdr:rowOff>173307</xdr:rowOff>
    </xdr:from>
    <xdr:to>
      <xdr:col>26</xdr:col>
      <xdr:colOff>751418</xdr:colOff>
      <xdr:row>90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0648D2-48F6-6C7B-862C-F20808ABA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771551</xdr:colOff>
      <xdr:row>94</xdr:row>
      <xdr:rowOff>9654</xdr:rowOff>
    </xdr:from>
    <xdr:to>
      <xdr:col>26</xdr:col>
      <xdr:colOff>783168</xdr:colOff>
      <xdr:row>118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AE7CE2-B653-E2FD-AE62-542338C4C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599279</xdr:colOff>
      <xdr:row>58</xdr:row>
      <xdr:rowOff>21431</xdr:rowOff>
    </xdr:from>
    <xdr:to>
      <xdr:col>77</xdr:col>
      <xdr:colOff>174625</xdr:colOff>
      <xdr:row>73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D324E4-F6F8-4416-8345-56C6AD138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868890</xdr:colOff>
      <xdr:row>59</xdr:row>
      <xdr:rowOff>156634</xdr:rowOff>
    </xdr:from>
    <xdr:to>
      <xdr:col>26</xdr:col>
      <xdr:colOff>514350</xdr:colOff>
      <xdr:row>77</xdr:row>
      <xdr:rowOff>99484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53FA87-2255-C0C0-637C-D7CC8FC7C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98425</xdr:colOff>
      <xdr:row>59</xdr:row>
      <xdr:rowOff>141817</xdr:rowOff>
    </xdr:from>
    <xdr:to>
      <xdr:col>20</xdr:col>
      <xdr:colOff>781049</xdr:colOff>
      <xdr:row>77</xdr:row>
      <xdr:rowOff>122767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62EF6D-69CE-CE0B-6D08-FA298E875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45508</xdr:colOff>
      <xdr:row>78</xdr:row>
      <xdr:rowOff>67733</xdr:rowOff>
    </xdr:from>
    <xdr:to>
      <xdr:col>20</xdr:col>
      <xdr:colOff>819149</xdr:colOff>
      <xdr:row>95</xdr:row>
      <xdr:rowOff>40217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95E042-B38D-F34C-28D1-7ABE23085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877358</xdr:colOff>
      <xdr:row>78</xdr:row>
      <xdr:rowOff>40216</xdr:rowOff>
    </xdr:from>
    <xdr:to>
      <xdr:col>26</xdr:col>
      <xdr:colOff>539750</xdr:colOff>
      <xdr:row>95</xdr:row>
      <xdr:rowOff>27516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A95414-A51B-7F9C-BEE5-9F2230458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Teori%20Manajemen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Teori%20Organisasi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PSTI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LOGIKA%20DAN%20ALGORITMA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BAHASA%20PEMROGRAMAN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MANAJEMEN%20BASIS%20DATA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BAHASA%20INGGRIS%20DASAR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AGAMA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KEWARGANEGARAAN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Capaian_CPL/Pengukuran_Ketercapaian_CPL_Seluruh_Matakuliah_Dalam_Satu_Semester(Template&amp;Contoh%20SI%20Semester%20I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ngkatan2024"/>
      <sheetName val="Penguk.MK-CPL-I"/>
      <sheetName val="Sheet2"/>
      <sheetName val="Pengukuran.MK-CPL-II"/>
      <sheetName val="Pengukuran.MK-CPL-I+II"/>
      <sheetName val="Sheet1"/>
    </sheetNames>
    <sheetDataSet>
      <sheetData sheetId="0"/>
      <sheetData sheetId="1">
        <row r="8">
          <cell r="BP8" t="str">
            <v>CPMK011</v>
          </cell>
          <cell r="BQ8" t="str">
            <v>CPMK012</v>
          </cell>
          <cell r="BR8" t="str">
            <v>CPMK013</v>
          </cell>
          <cell r="BS8" t="str">
            <v>CPMK014</v>
          </cell>
          <cell r="BT8" t="str">
            <v>CPMK021</v>
          </cell>
          <cell r="BU8" t="str">
            <v>CPMK022</v>
          </cell>
          <cell r="BV8" t="str">
            <v>CPMK023</v>
          </cell>
          <cell r="BW8" t="str">
            <v>CPMK024</v>
          </cell>
          <cell r="BX8" t="str">
            <v>CPMK031</v>
          </cell>
          <cell r="BY8" t="str">
            <v>CPMK032</v>
          </cell>
          <cell r="BZ8" t="str">
            <v>CPMK033</v>
          </cell>
          <cell r="CA8" t="str">
            <v>CPMK041</v>
          </cell>
          <cell r="CB8" t="str">
            <v>CPMK042</v>
          </cell>
          <cell r="CC8" t="str">
            <v>CPMK051</v>
          </cell>
          <cell r="CD8" t="str">
            <v>CPMK052</v>
          </cell>
          <cell r="CE8" t="str">
            <v>CPMK061</v>
          </cell>
          <cell r="CF8" t="str">
            <v>CPMK062</v>
          </cell>
          <cell r="CG8" t="str">
            <v>CPMK063</v>
          </cell>
          <cell r="CH8" t="str">
            <v>CPMK064</v>
          </cell>
          <cell r="CI8" t="str">
            <v>CPMK071</v>
          </cell>
          <cell r="CJ8" t="str">
            <v>CPMK072</v>
          </cell>
          <cell r="CK8" t="str">
            <v>CPMK073</v>
          </cell>
          <cell r="CL8" t="str">
            <v>CPMK081</v>
          </cell>
          <cell r="CM8" t="str">
            <v>CPMK082</v>
          </cell>
          <cell r="CN8" t="str">
            <v>CPMK091</v>
          </cell>
          <cell r="CO8" t="str">
            <v>CPMK092</v>
          </cell>
          <cell r="CP8" t="str">
            <v>CPMK101</v>
          </cell>
          <cell r="CQ8" t="str">
            <v>CPMK102</v>
          </cell>
          <cell r="CR8" t="str">
            <v>CPMK111</v>
          </cell>
          <cell r="CS8" t="str">
            <v>CPMK112</v>
          </cell>
          <cell r="CT8" t="str">
            <v>CPMK121</v>
          </cell>
          <cell r="CU8" t="str">
            <v>CPMK122</v>
          </cell>
          <cell r="CV8" t="str">
            <v>CPMK131</v>
          </cell>
          <cell r="CW8" t="str">
            <v>CPMK132</v>
          </cell>
          <cell r="CX8" t="str">
            <v>CPMK141</v>
          </cell>
          <cell r="CY8" t="str">
            <v>CPMK142</v>
          </cell>
        </row>
        <row r="42">
          <cell r="BP42">
            <v>0.79069444444444437</v>
          </cell>
          <cell r="BQ42">
            <v>0.8412777777777779</v>
          </cell>
          <cell r="BR42">
            <v>0.80412777777777777</v>
          </cell>
          <cell r="BS42">
            <v>0.87131111111111104</v>
          </cell>
          <cell r="BT42">
            <v>0.73652777777777789</v>
          </cell>
          <cell r="BU42"/>
          <cell r="BV42"/>
          <cell r="BW42"/>
          <cell r="BX42"/>
          <cell r="BY42">
            <v>0.74609375</v>
          </cell>
          <cell r="BZ42">
            <v>0.7853</v>
          </cell>
          <cell r="CA42">
            <v>0.79738888888888881</v>
          </cell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  <cell r="CL42"/>
          <cell r="CM42"/>
          <cell r="CN42">
            <v>0.74599411764705903</v>
          </cell>
          <cell r="CO42">
            <v>0.80529375000000003</v>
          </cell>
          <cell r="CP42">
            <v>0.80584117647058806</v>
          </cell>
          <cell r="CQ42"/>
          <cell r="CR42"/>
          <cell r="CS42"/>
          <cell r="CT42">
            <v>0.7767187499999999</v>
          </cell>
          <cell r="CU42">
            <v>0.77671875000000001</v>
          </cell>
          <cell r="CV42">
            <v>0.89290244565217392</v>
          </cell>
          <cell r="CW42"/>
          <cell r="CX42">
            <v>0.760625</v>
          </cell>
          <cell r="CY42">
            <v>0.76062500000000011</v>
          </cell>
        </row>
        <row r="44">
          <cell r="C44" t="str">
            <v>CPL01</v>
          </cell>
          <cell r="F44">
            <v>0.8274545219638243</v>
          </cell>
        </row>
        <row r="45">
          <cell r="C45" t="str">
            <v>CPL02</v>
          </cell>
          <cell r="F45">
            <v>0.77250000000000019</v>
          </cell>
        </row>
        <row r="46">
          <cell r="C46" t="str">
            <v>CPL03</v>
          </cell>
          <cell r="F46">
            <v>0.7645264705882352</v>
          </cell>
        </row>
        <row r="47">
          <cell r="C47" t="str">
            <v>CPL04</v>
          </cell>
          <cell r="F47">
            <v>0.79136842105263161</v>
          </cell>
        </row>
        <row r="48">
          <cell r="C48" t="str">
            <v>CPL05</v>
          </cell>
          <cell r="F48">
            <v>0</v>
          </cell>
        </row>
        <row r="49">
          <cell r="C49" t="str">
            <v>CPL06</v>
          </cell>
          <cell r="F49">
            <v>0</v>
          </cell>
        </row>
        <row r="50">
          <cell r="C50" t="str">
            <v>CPL07</v>
          </cell>
          <cell r="F50">
            <v>0</v>
          </cell>
        </row>
        <row r="51">
          <cell r="C51" t="str">
            <v>CPL08</v>
          </cell>
          <cell r="F51">
            <v>0</v>
          </cell>
        </row>
        <row r="52">
          <cell r="C52" t="str">
            <v>CPL09</v>
          </cell>
          <cell r="F52">
            <v>0.75394705882352941</v>
          </cell>
        </row>
        <row r="53">
          <cell r="C53" t="str">
            <v>CPL10</v>
          </cell>
          <cell r="F53">
            <v>0.80412777777777755</v>
          </cell>
        </row>
        <row r="54">
          <cell r="C54" t="str">
            <v>CPL11</v>
          </cell>
          <cell r="F54">
            <v>0</v>
          </cell>
        </row>
        <row r="55">
          <cell r="C55" t="str">
            <v>CPL12</v>
          </cell>
          <cell r="F55">
            <v>0.73652777777777778</v>
          </cell>
        </row>
        <row r="56">
          <cell r="C56" t="str">
            <v>CPL13</v>
          </cell>
          <cell r="F56">
            <v>0.87748405797101459</v>
          </cell>
        </row>
        <row r="57">
          <cell r="C57" t="str">
            <v>CPL14</v>
          </cell>
          <cell r="F57">
            <v>0.71722222222222209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198A-8F73-4456-92CB-F1D59CC534B4}">
  <dimension ref="A1:C35"/>
  <sheetViews>
    <sheetView workbookViewId="0">
      <selection activeCell="A2" sqref="A2:C35"/>
    </sheetView>
  </sheetViews>
  <sheetFormatPr defaultRowHeight="14"/>
  <cols>
    <col min="1" max="1" width="3.08203125" bestFit="1" customWidth="1"/>
    <col min="2" max="2" width="12.4140625" bestFit="1" customWidth="1"/>
    <col min="3" max="3" width="37.8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05">
        <v>1</v>
      </c>
      <c r="B2" s="4" t="s">
        <v>191</v>
      </c>
      <c r="C2" s="4" t="s">
        <v>192</v>
      </c>
    </row>
    <row r="3" spans="1:3">
      <c r="A3" s="105">
        <v>2</v>
      </c>
      <c r="B3" s="4" t="s">
        <v>193</v>
      </c>
      <c r="C3" s="4" t="s">
        <v>194</v>
      </c>
    </row>
    <row r="4" spans="1:3">
      <c r="A4" s="105">
        <v>3</v>
      </c>
      <c r="B4" s="4" t="s">
        <v>195</v>
      </c>
      <c r="C4" s="4" t="s">
        <v>196</v>
      </c>
    </row>
    <row r="5" spans="1:3">
      <c r="A5" s="105">
        <v>4</v>
      </c>
      <c r="B5" s="4" t="s">
        <v>197</v>
      </c>
      <c r="C5" s="4" t="s">
        <v>198</v>
      </c>
    </row>
    <row r="6" spans="1:3">
      <c r="A6" s="105">
        <v>5</v>
      </c>
      <c r="B6" s="4" t="s">
        <v>199</v>
      </c>
      <c r="C6" s="4" t="s">
        <v>200</v>
      </c>
    </row>
    <row r="7" spans="1:3">
      <c r="A7" s="105">
        <v>6</v>
      </c>
      <c r="B7" s="4" t="s">
        <v>201</v>
      </c>
      <c r="C7" s="4" t="s">
        <v>202</v>
      </c>
    </row>
    <row r="8" spans="1:3">
      <c r="A8" s="105">
        <v>7</v>
      </c>
      <c r="B8" s="4" t="s">
        <v>203</v>
      </c>
      <c r="C8" s="4" t="s">
        <v>204</v>
      </c>
    </row>
    <row r="9" spans="1:3">
      <c r="A9" s="105">
        <v>8</v>
      </c>
      <c r="B9" s="4" t="s">
        <v>205</v>
      </c>
      <c r="C9" s="4" t="s">
        <v>206</v>
      </c>
    </row>
    <row r="10" spans="1:3">
      <c r="A10" s="105">
        <v>9</v>
      </c>
      <c r="B10" s="4" t="s">
        <v>207</v>
      </c>
      <c r="C10" s="4" t="s">
        <v>208</v>
      </c>
    </row>
    <row r="11" spans="1:3">
      <c r="A11" s="105">
        <v>10</v>
      </c>
      <c r="B11" s="4" t="s">
        <v>209</v>
      </c>
      <c r="C11" s="4" t="s">
        <v>210</v>
      </c>
    </row>
    <row r="12" spans="1:3">
      <c r="A12" s="105">
        <v>11</v>
      </c>
      <c r="B12" s="4" t="s">
        <v>279</v>
      </c>
      <c r="C12" s="4" t="s">
        <v>280</v>
      </c>
    </row>
    <row r="13" spans="1:3">
      <c r="A13" s="105">
        <v>12</v>
      </c>
      <c r="B13" s="4" t="s">
        <v>211</v>
      </c>
      <c r="C13" s="4" t="s">
        <v>212</v>
      </c>
    </row>
    <row r="14" spans="1:3">
      <c r="A14" s="105">
        <v>13</v>
      </c>
      <c r="B14" s="4" t="s">
        <v>213</v>
      </c>
      <c r="C14" s="4" t="s">
        <v>214</v>
      </c>
    </row>
    <row r="15" spans="1:3">
      <c r="A15" s="105">
        <v>14</v>
      </c>
      <c r="B15" s="4" t="s">
        <v>215</v>
      </c>
      <c r="C15" s="4" t="s">
        <v>216</v>
      </c>
    </row>
    <row r="16" spans="1:3">
      <c r="A16" s="105">
        <v>15</v>
      </c>
      <c r="B16" s="4" t="s">
        <v>217</v>
      </c>
      <c r="C16" s="4" t="s">
        <v>218</v>
      </c>
    </row>
    <row r="17" spans="1:3">
      <c r="A17" s="105">
        <v>16</v>
      </c>
      <c r="B17" s="4" t="s">
        <v>219</v>
      </c>
      <c r="C17" s="4" t="s">
        <v>220</v>
      </c>
    </row>
    <row r="18" spans="1:3">
      <c r="A18" s="105">
        <v>17</v>
      </c>
      <c r="B18" s="4" t="s">
        <v>221</v>
      </c>
      <c r="C18" s="4" t="s">
        <v>222</v>
      </c>
    </row>
    <row r="19" spans="1:3">
      <c r="A19" s="105">
        <v>18</v>
      </c>
      <c r="B19" s="4" t="s">
        <v>223</v>
      </c>
      <c r="C19" s="4" t="s">
        <v>224</v>
      </c>
    </row>
    <row r="20" spans="1:3">
      <c r="A20" s="105">
        <v>19</v>
      </c>
      <c r="B20" s="4" t="s">
        <v>225</v>
      </c>
      <c r="C20" s="4" t="s">
        <v>226</v>
      </c>
    </row>
    <row r="21" spans="1:3">
      <c r="A21" s="105">
        <v>20</v>
      </c>
      <c r="B21" s="4" t="s">
        <v>227</v>
      </c>
      <c r="C21" s="4" t="s">
        <v>228</v>
      </c>
    </row>
    <row r="22" spans="1:3">
      <c r="A22" s="105">
        <v>21</v>
      </c>
      <c r="B22" s="4" t="s">
        <v>229</v>
      </c>
      <c r="C22" s="4" t="s">
        <v>230</v>
      </c>
    </row>
    <row r="23" spans="1:3">
      <c r="A23" s="105">
        <v>22</v>
      </c>
      <c r="B23" s="4" t="s">
        <v>231</v>
      </c>
      <c r="C23" s="4" t="s">
        <v>232</v>
      </c>
    </row>
    <row r="24" spans="1:3">
      <c r="A24" s="105">
        <v>23</v>
      </c>
      <c r="B24" s="4" t="s">
        <v>233</v>
      </c>
      <c r="C24" s="4" t="s">
        <v>234</v>
      </c>
    </row>
    <row r="25" spans="1:3">
      <c r="A25" s="105">
        <v>24</v>
      </c>
      <c r="B25" s="4" t="s">
        <v>235</v>
      </c>
      <c r="C25" s="4" t="s">
        <v>236</v>
      </c>
    </row>
    <row r="26" spans="1:3">
      <c r="A26" s="105">
        <v>25</v>
      </c>
      <c r="B26" s="4" t="s">
        <v>237</v>
      </c>
      <c r="C26" s="4" t="s">
        <v>238</v>
      </c>
    </row>
    <row r="27" spans="1:3">
      <c r="A27" s="105">
        <v>26</v>
      </c>
      <c r="B27" s="4" t="s">
        <v>239</v>
      </c>
      <c r="C27" s="4" t="s">
        <v>240</v>
      </c>
    </row>
    <row r="28" spans="1:3">
      <c r="A28" s="105">
        <v>27</v>
      </c>
      <c r="B28" s="4" t="s">
        <v>241</v>
      </c>
      <c r="C28" s="4" t="s">
        <v>242</v>
      </c>
    </row>
    <row r="29" spans="1:3">
      <c r="A29" s="105">
        <v>28</v>
      </c>
      <c r="B29" s="4" t="s">
        <v>243</v>
      </c>
      <c r="C29" s="4" t="s">
        <v>244</v>
      </c>
    </row>
    <row r="30" spans="1:3">
      <c r="A30" s="105">
        <v>29</v>
      </c>
      <c r="B30" s="4" t="s">
        <v>245</v>
      </c>
      <c r="C30" s="4" t="s">
        <v>246</v>
      </c>
    </row>
    <row r="31" spans="1:3">
      <c r="A31" s="105">
        <v>30</v>
      </c>
      <c r="B31" s="4" t="s">
        <v>247</v>
      </c>
      <c r="C31" s="4" t="s">
        <v>248</v>
      </c>
    </row>
    <row r="32" spans="1:3">
      <c r="A32" s="105">
        <v>31</v>
      </c>
      <c r="B32" s="4" t="s">
        <v>249</v>
      </c>
      <c r="C32" s="4" t="s">
        <v>250</v>
      </c>
    </row>
    <row r="33" spans="1:3">
      <c r="A33" s="105">
        <v>32</v>
      </c>
      <c r="B33" s="4" t="s">
        <v>251</v>
      </c>
      <c r="C33" s="4" t="s">
        <v>252</v>
      </c>
    </row>
    <row r="34" spans="1:3">
      <c r="A34" s="105">
        <v>33</v>
      </c>
      <c r="B34" s="4" t="s">
        <v>253</v>
      </c>
      <c r="C34" s="4" t="s">
        <v>254</v>
      </c>
    </row>
    <row r="35" spans="1:3">
      <c r="A35" s="116">
        <v>34</v>
      </c>
      <c r="B35" s="4" t="s">
        <v>255</v>
      </c>
      <c r="C35" s="4" t="s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8024-372E-473F-9241-86A76A638724}">
  <dimension ref="A1:AV938"/>
  <sheetViews>
    <sheetView workbookViewId="0">
      <selection activeCell="D9" sqref="D9"/>
    </sheetView>
  </sheetViews>
  <sheetFormatPr defaultRowHeight="14" customHeight="1"/>
  <cols>
    <col min="1" max="1" width="3.1640625" bestFit="1" customWidth="1"/>
    <col min="2" max="2" width="5.5" bestFit="1" customWidth="1"/>
    <col min="3" max="3" width="4.9140625" bestFit="1" customWidth="1"/>
    <col min="4" max="4" width="15.1640625" bestFit="1" customWidth="1"/>
    <col min="5" max="5" width="43.9140625" bestFit="1" customWidth="1"/>
    <col min="6" max="6" width="8.08203125" bestFit="1" customWidth="1"/>
    <col min="7" max="7" width="4.4140625" bestFit="1" customWidth="1"/>
    <col min="8" max="15" width="1.75" bestFit="1" customWidth="1"/>
  </cols>
  <sheetData>
    <row r="1" spans="1:48" ht="14" customHeight="1" thickBot="1">
      <c r="A1" s="23" t="s">
        <v>0</v>
      </c>
      <c r="B1" s="24" t="s">
        <v>45</v>
      </c>
      <c r="C1" s="23" t="s">
        <v>46</v>
      </c>
      <c r="D1" s="23" t="s">
        <v>41</v>
      </c>
      <c r="E1" s="24" t="s">
        <v>42</v>
      </c>
      <c r="F1" s="24" t="s">
        <v>43</v>
      </c>
      <c r="G1" s="24" t="s">
        <v>44</v>
      </c>
      <c r="H1" s="25">
        <v>1</v>
      </c>
      <c r="I1" s="25">
        <v>2</v>
      </c>
      <c r="J1" s="25">
        <v>3</v>
      </c>
      <c r="K1" s="25">
        <v>4</v>
      </c>
      <c r="L1" s="25">
        <v>5</v>
      </c>
      <c r="M1" s="25">
        <v>6</v>
      </c>
      <c r="N1" s="25">
        <v>7</v>
      </c>
      <c r="O1" s="25">
        <v>8</v>
      </c>
      <c r="P1" s="26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0"/>
      <c r="AF1" s="12" t="s">
        <v>0</v>
      </c>
      <c r="AG1" s="13"/>
      <c r="AH1" s="12" t="s">
        <v>41</v>
      </c>
      <c r="AI1" s="14" t="s">
        <v>42</v>
      </c>
      <c r="AJ1" s="12" t="s">
        <v>43</v>
      </c>
      <c r="AK1" s="14" t="s">
        <v>44</v>
      </c>
      <c r="AL1" s="15">
        <v>1</v>
      </c>
      <c r="AM1" s="15">
        <v>2</v>
      </c>
      <c r="AN1" s="15">
        <v>3</v>
      </c>
      <c r="AO1" s="15">
        <v>4</v>
      </c>
      <c r="AP1" s="15">
        <v>5</v>
      </c>
      <c r="AQ1" s="15">
        <v>6</v>
      </c>
      <c r="AR1" s="15">
        <v>7</v>
      </c>
      <c r="AS1" s="15">
        <v>8</v>
      </c>
      <c r="AT1" s="9"/>
      <c r="AU1" s="9"/>
      <c r="AV1" s="9"/>
    </row>
    <row r="2" spans="1:48" ht="14" customHeight="1" thickBot="1">
      <c r="A2" s="27">
        <v>1</v>
      </c>
      <c r="B2" s="27" t="s">
        <v>47</v>
      </c>
      <c r="C2" s="27" t="s">
        <v>52</v>
      </c>
      <c r="D2" s="106" t="s">
        <v>257</v>
      </c>
      <c r="E2" s="107" t="s">
        <v>258</v>
      </c>
      <c r="F2" s="28" t="s">
        <v>50</v>
      </c>
      <c r="G2" s="108">
        <v>3</v>
      </c>
      <c r="H2" s="29" t="s">
        <v>51</v>
      </c>
      <c r="I2" s="30"/>
      <c r="J2" s="30"/>
      <c r="K2" s="30"/>
      <c r="L2" s="30"/>
      <c r="M2" s="30"/>
      <c r="N2" s="30"/>
      <c r="O2" s="30"/>
      <c r="P2" s="26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0"/>
      <c r="AF2" s="16">
        <v>1</v>
      </c>
      <c r="AG2" s="16" t="s">
        <v>47</v>
      </c>
      <c r="AH2" s="17" t="s">
        <v>48</v>
      </c>
      <c r="AI2" s="18" t="s">
        <v>49</v>
      </c>
      <c r="AJ2" s="6" t="s">
        <v>50</v>
      </c>
      <c r="AK2" s="7">
        <v>2</v>
      </c>
      <c r="AL2" s="8" t="s">
        <v>51</v>
      </c>
      <c r="AM2" s="5"/>
      <c r="AN2" s="5"/>
      <c r="AO2" s="5"/>
      <c r="AP2" s="5"/>
      <c r="AQ2" s="5"/>
      <c r="AR2" s="5"/>
      <c r="AS2" s="5"/>
      <c r="AT2" s="9"/>
      <c r="AU2" s="9"/>
      <c r="AV2" s="9"/>
    </row>
    <row r="3" spans="1:48" ht="14" customHeight="1" thickBot="1">
      <c r="A3" s="27">
        <v>2</v>
      </c>
      <c r="B3" s="27" t="s">
        <v>53</v>
      </c>
      <c r="C3" s="27" t="s">
        <v>52</v>
      </c>
      <c r="D3" s="109" t="s">
        <v>259</v>
      </c>
      <c r="E3" s="110" t="s">
        <v>260</v>
      </c>
      <c r="F3" s="28" t="s">
        <v>50</v>
      </c>
      <c r="G3" s="111">
        <v>3</v>
      </c>
      <c r="H3" s="29" t="s">
        <v>51</v>
      </c>
      <c r="I3" s="30"/>
      <c r="J3" s="30"/>
      <c r="K3" s="30"/>
      <c r="L3" s="30"/>
      <c r="M3" s="30"/>
      <c r="N3" s="30"/>
      <c r="O3" s="30"/>
      <c r="P3" s="26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0"/>
      <c r="AF3" s="16">
        <v>2</v>
      </c>
      <c r="AG3" s="16" t="s">
        <v>53</v>
      </c>
      <c r="AH3" s="17" t="s">
        <v>54</v>
      </c>
      <c r="AI3" s="18" t="s">
        <v>55</v>
      </c>
      <c r="AJ3" s="6" t="s">
        <v>50</v>
      </c>
      <c r="AK3" s="7">
        <v>2</v>
      </c>
      <c r="AL3" s="8" t="s">
        <v>51</v>
      </c>
      <c r="AM3" s="5"/>
      <c r="AN3" s="5"/>
      <c r="AO3" s="5"/>
      <c r="AP3" s="5"/>
      <c r="AQ3" s="5"/>
      <c r="AR3" s="5"/>
      <c r="AS3" s="5"/>
      <c r="AT3" s="9"/>
      <c r="AU3" s="9"/>
      <c r="AV3" s="9"/>
    </row>
    <row r="4" spans="1:48" ht="14" customHeight="1" thickBot="1">
      <c r="A4" s="27">
        <v>3</v>
      </c>
      <c r="B4" s="27" t="s">
        <v>56</v>
      </c>
      <c r="C4" s="27" t="s">
        <v>52</v>
      </c>
      <c r="D4" s="109" t="s">
        <v>261</v>
      </c>
      <c r="E4" s="110" t="s">
        <v>262</v>
      </c>
      <c r="F4" s="28" t="s">
        <v>50</v>
      </c>
      <c r="G4" s="111">
        <v>2</v>
      </c>
      <c r="H4" s="29" t="s">
        <v>51</v>
      </c>
      <c r="I4" s="30"/>
      <c r="J4" s="30"/>
      <c r="K4" s="30"/>
      <c r="L4" s="30"/>
      <c r="M4" s="30"/>
      <c r="N4" s="30"/>
      <c r="O4" s="30"/>
      <c r="P4" s="26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0"/>
      <c r="AF4" s="16">
        <v>3</v>
      </c>
      <c r="AG4" s="16" t="s">
        <v>56</v>
      </c>
      <c r="AH4" s="17" t="s">
        <v>57</v>
      </c>
      <c r="AI4" s="18" t="s">
        <v>58</v>
      </c>
      <c r="AJ4" s="6" t="s">
        <v>50</v>
      </c>
      <c r="AK4" s="7">
        <v>2</v>
      </c>
      <c r="AL4" s="8" t="s">
        <v>51</v>
      </c>
      <c r="AM4" s="5"/>
      <c r="AN4" s="5"/>
      <c r="AO4" s="5"/>
      <c r="AP4" s="5"/>
      <c r="AQ4" s="5"/>
      <c r="AR4" s="5"/>
      <c r="AS4" s="5"/>
      <c r="AT4" s="9"/>
      <c r="AU4" s="9"/>
      <c r="AV4" s="9"/>
    </row>
    <row r="5" spans="1:48" ht="14" customHeight="1" thickBot="1">
      <c r="A5" s="27">
        <v>4</v>
      </c>
      <c r="B5" s="27" t="s">
        <v>59</v>
      </c>
      <c r="C5" s="27" t="s">
        <v>52</v>
      </c>
      <c r="D5" s="109" t="s">
        <v>263</v>
      </c>
      <c r="E5" s="110" t="s">
        <v>264</v>
      </c>
      <c r="F5" s="28" t="s">
        <v>50</v>
      </c>
      <c r="G5" s="111">
        <v>3</v>
      </c>
      <c r="H5" s="29" t="s">
        <v>51</v>
      </c>
      <c r="I5" s="30"/>
      <c r="J5" s="30"/>
      <c r="K5" s="30"/>
      <c r="L5" s="30"/>
      <c r="M5" s="30"/>
      <c r="N5" s="30"/>
      <c r="O5" s="30"/>
      <c r="P5" s="26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0"/>
      <c r="AF5" s="16">
        <v>4</v>
      </c>
      <c r="AG5" s="16" t="s">
        <v>59</v>
      </c>
      <c r="AH5" s="17" t="s">
        <v>60</v>
      </c>
      <c r="AI5" s="18" t="s">
        <v>61</v>
      </c>
      <c r="AJ5" s="6" t="s">
        <v>50</v>
      </c>
      <c r="AK5" s="7">
        <v>3</v>
      </c>
      <c r="AL5" s="8" t="s">
        <v>51</v>
      </c>
      <c r="AM5" s="5"/>
      <c r="AN5" s="5"/>
      <c r="AO5" s="5"/>
      <c r="AP5" s="5"/>
      <c r="AQ5" s="5"/>
      <c r="AR5" s="5"/>
      <c r="AS5" s="5"/>
      <c r="AT5" s="9"/>
      <c r="AU5" s="9"/>
      <c r="AV5" s="9"/>
    </row>
    <row r="6" spans="1:48" ht="14" customHeight="1" thickBot="1">
      <c r="A6" s="27">
        <v>5</v>
      </c>
      <c r="B6" s="27" t="s">
        <v>62</v>
      </c>
      <c r="C6" s="27" t="s">
        <v>52</v>
      </c>
      <c r="D6" s="109" t="s">
        <v>265</v>
      </c>
      <c r="E6" s="110" t="s">
        <v>266</v>
      </c>
      <c r="F6" s="28" t="s">
        <v>50</v>
      </c>
      <c r="G6" s="111">
        <v>2</v>
      </c>
      <c r="H6" s="29" t="s">
        <v>51</v>
      </c>
      <c r="I6" s="30"/>
      <c r="J6" s="30"/>
      <c r="K6" s="30"/>
      <c r="L6" s="30"/>
      <c r="M6" s="30"/>
      <c r="N6" s="30"/>
      <c r="O6" s="30"/>
      <c r="P6" s="26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0"/>
      <c r="AF6" s="16">
        <v>5</v>
      </c>
      <c r="AG6" s="16" t="s">
        <v>62</v>
      </c>
      <c r="AH6" s="17" t="s">
        <v>63</v>
      </c>
      <c r="AI6" s="18" t="s">
        <v>64</v>
      </c>
      <c r="AJ6" s="6" t="s">
        <v>50</v>
      </c>
      <c r="AK6" s="7">
        <v>2</v>
      </c>
      <c r="AL6" s="8" t="s">
        <v>51</v>
      </c>
      <c r="AM6" s="5"/>
      <c r="AN6" s="5"/>
      <c r="AO6" s="5"/>
      <c r="AP6" s="5"/>
      <c r="AQ6" s="5"/>
      <c r="AR6" s="5"/>
      <c r="AS6" s="5"/>
      <c r="AT6" s="9"/>
      <c r="AU6" s="9"/>
      <c r="AV6" s="9"/>
    </row>
    <row r="7" spans="1:48" ht="14" customHeight="1" thickBot="1">
      <c r="A7" s="27">
        <v>6</v>
      </c>
      <c r="B7" s="27" t="s">
        <v>65</v>
      </c>
      <c r="C7" s="27" t="s">
        <v>52</v>
      </c>
      <c r="D7" s="109" t="s">
        <v>267</v>
      </c>
      <c r="E7" s="110" t="s">
        <v>268</v>
      </c>
      <c r="F7" s="28" t="s">
        <v>50</v>
      </c>
      <c r="G7" s="111">
        <v>2</v>
      </c>
      <c r="H7" s="29" t="s">
        <v>51</v>
      </c>
      <c r="I7" s="30"/>
      <c r="J7" s="30"/>
      <c r="K7" s="30"/>
      <c r="L7" s="30"/>
      <c r="M7" s="30"/>
      <c r="N7" s="30"/>
      <c r="O7" s="30"/>
      <c r="P7" s="26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0"/>
      <c r="AF7" s="16">
        <v>6</v>
      </c>
      <c r="AG7" s="16" t="s">
        <v>65</v>
      </c>
      <c r="AH7" s="17" t="s">
        <v>66</v>
      </c>
      <c r="AI7" s="18" t="s">
        <v>67</v>
      </c>
      <c r="AJ7" s="6" t="s">
        <v>50</v>
      </c>
      <c r="AK7" s="7">
        <v>3</v>
      </c>
      <c r="AL7" s="8" t="s">
        <v>51</v>
      </c>
      <c r="AM7" s="5"/>
      <c r="AN7" s="19"/>
      <c r="AO7" s="5"/>
      <c r="AP7" s="5"/>
      <c r="AQ7" s="5"/>
      <c r="AR7" s="5"/>
      <c r="AS7" s="5"/>
      <c r="AT7" s="9"/>
      <c r="AU7" s="9"/>
      <c r="AV7" s="9"/>
    </row>
    <row r="8" spans="1:48" ht="14" customHeight="1" thickBot="1">
      <c r="A8" s="27">
        <v>7</v>
      </c>
      <c r="B8" s="27" t="s">
        <v>68</v>
      </c>
      <c r="C8" s="27" t="s">
        <v>52</v>
      </c>
      <c r="D8" s="109" t="s">
        <v>269</v>
      </c>
      <c r="E8" s="110" t="s">
        <v>270</v>
      </c>
      <c r="F8" s="28" t="s">
        <v>50</v>
      </c>
      <c r="G8" s="111">
        <v>2</v>
      </c>
      <c r="H8" s="29" t="s">
        <v>51</v>
      </c>
      <c r="I8" s="30"/>
      <c r="J8" s="30"/>
      <c r="K8" s="30"/>
      <c r="L8" s="30"/>
      <c r="M8" s="30"/>
      <c r="N8" s="30"/>
      <c r="O8" s="30"/>
      <c r="P8" s="26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0"/>
      <c r="AF8" s="16">
        <v>7</v>
      </c>
      <c r="AG8" s="16" t="s">
        <v>68</v>
      </c>
      <c r="AH8" s="17" t="s">
        <v>70</v>
      </c>
      <c r="AI8" s="18" t="s">
        <v>69</v>
      </c>
      <c r="AJ8" s="6" t="s">
        <v>50</v>
      </c>
      <c r="AK8" s="7">
        <v>3</v>
      </c>
      <c r="AL8" s="8" t="s">
        <v>51</v>
      </c>
      <c r="AM8" s="5"/>
      <c r="AN8" s="5"/>
      <c r="AO8" s="5"/>
      <c r="AP8" s="5"/>
      <c r="AQ8" s="5"/>
      <c r="AR8" s="5"/>
      <c r="AS8" s="5"/>
      <c r="AT8" s="9"/>
      <c r="AU8" s="9"/>
      <c r="AV8" s="9"/>
    </row>
    <row r="9" spans="1:48" ht="14" customHeight="1" thickBot="1">
      <c r="A9" s="27">
        <v>8</v>
      </c>
      <c r="B9" s="27" t="s">
        <v>71</v>
      </c>
      <c r="C9" s="27" t="s">
        <v>52</v>
      </c>
      <c r="D9" s="109" t="s">
        <v>271</v>
      </c>
      <c r="E9" s="112" t="s">
        <v>272</v>
      </c>
      <c r="F9" s="28" t="s">
        <v>50</v>
      </c>
      <c r="G9" s="111">
        <v>2</v>
      </c>
      <c r="H9" s="29" t="s">
        <v>51</v>
      </c>
      <c r="I9" s="31"/>
      <c r="J9" s="30"/>
      <c r="K9" s="30"/>
      <c r="L9" s="30"/>
      <c r="M9" s="30"/>
      <c r="N9" s="30"/>
      <c r="O9" s="30"/>
      <c r="P9" s="26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0"/>
      <c r="AF9" s="16">
        <v>8</v>
      </c>
      <c r="AG9" s="16" t="s">
        <v>71</v>
      </c>
      <c r="AH9" s="17" t="s">
        <v>73</v>
      </c>
      <c r="AI9" s="18" t="s">
        <v>72</v>
      </c>
      <c r="AJ9" s="6" t="s">
        <v>50</v>
      </c>
      <c r="AK9" s="7">
        <v>2</v>
      </c>
      <c r="AL9" s="8" t="s">
        <v>51</v>
      </c>
      <c r="AM9" s="5"/>
      <c r="AN9" s="5"/>
      <c r="AO9" s="5"/>
      <c r="AP9" s="5"/>
      <c r="AQ9" s="5"/>
      <c r="AR9" s="5"/>
      <c r="AS9" s="5"/>
      <c r="AT9" s="9"/>
      <c r="AU9" s="9"/>
      <c r="AV9" s="9"/>
    </row>
    <row r="10" spans="1:48" ht="14" customHeight="1" thickBot="1">
      <c r="A10" s="213">
        <v>19</v>
      </c>
      <c r="B10" s="214"/>
      <c r="C10" s="214"/>
      <c r="D10" s="214"/>
      <c r="E10" s="215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26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0"/>
      <c r="AF10" s="16">
        <v>9</v>
      </c>
      <c r="AG10" s="16" t="s">
        <v>75</v>
      </c>
      <c r="AH10" s="17" t="s">
        <v>76</v>
      </c>
      <c r="AI10" s="18" t="s">
        <v>77</v>
      </c>
      <c r="AJ10" s="6" t="s">
        <v>50</v>
      </c>
      <c r="AK10" s="7">
        <v>3</v>
      </c>
      <c r="AL10" s="5"/>
      <c r="AM10" s="8" t="s">
        <v>51</v>
      </c>
      <c r="AN10" s="5"/>
      <c r="AO10" s="5"/>
      <c r="AP10" s="5"/>
      <c r="AQ10" s="5"/>
      <c r="AR10" s="5"/>
      <c r="AS10" s="5"/>
      <c r="AT10" s="9"/>
      <c r="AU10" s="9"/>
      <c r="AV10" s="9"/>
    </row>
    <row r="11" spans="1:48" ht="14" customHeight="1" thickBo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 spans="1:48" ht="14" customHeight="1" thickBo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spans="1:48" ht="14" customHeight="1" thickBo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spans="1:48" ht="14" customHeight="1" thickBo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</row>
    <row r="15" spans="1:48" ht="14" customHeight="1" thickBo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spans="1:48" ht="14" customHeight="1" thickBo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spans="1:48" ht="14" customHeight="1" thickBo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spans="1:48" ht="14" customHeight="1" thickBo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spans="1:48" ht="14" customHeight="1" thickBo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spans="1:48" ht="14" customHeight="1" thickBo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spans="1:48" ht="14" customHeight="1" thickBo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spans="1:48" ht="14" customHeight="1" thickBo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 spans="1:48" ht="14" customHeight="1" thickBo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spans="1:48" ht="14" customHeight="1" thickBo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 spans="1:48" ht="14" customHeight="1" thickBo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 spans="1:48" ht="14" customHeight="1" thickBo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 spans="1:48" ht="14" customHeight="1" thickBo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 spans="1:48" ht="14" customHeight="1" thickBo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 spans="1:48" ht="14" customHeight="1" thickBo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 spans="1:48" ht="14" customHeight="1" thickBo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 spans="1:48" ht="14" customHeight="1" thickBo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 spans="1:48" ht="14" customHeight="1" thickBo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 spans="1:48" ht="14" customHeight="1" thickBo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 spans="1:48" ht="14" customHeight="1" thickBo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 spans="1:48" ht="14" customHeight="1" thickBo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 spans="1:48" ht="14" customHeight="1" thickBo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</row>
    <row r="37" spans="1:48" ht="14" customHeight="1" thickBo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 spans="1:48" ht="14" customHeight="1" thickBo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 spans="1:48" ht="14" customHeight="1" thickBo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 spans="1:48" ht="14" customHeight="1" thickBo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 spans="1:48" ht="14" customHeight="1" thickBo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 spans="1:48" ht="14" customHeight="1" thickBo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 spans="1:48" ht="14" customHeight="1" thickBo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 spans="1:48" ht="14" customHeight="1" thickBo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 spans="1:48" ht="14" customHeight="1" thickBo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 spans="1:48" ht="14" customHeight="1" thickBo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 spans="1:48" ht="14" customHeight="1" thickBo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 spans="1:48" ht="14" customHeight="1" thickBo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 spans="1:48" ht="14" customHeight="1" thickBo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 spans="1:48" ht="14" customHeight="1" thickBo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 spans="1:48" ht="14" customHeight="1" thickBo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 spans="1:48" ht="14" customHeight="1" thickBo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 spans="1:48" ht="14" customHeight="1" thickBo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 spans="1:48" ht="14" customHeight="1" thickBo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 spans="1:48" ht="14" customHeight="1" thickBo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 spans="1:48" ht="14" customHeight="1" thickBo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 spans="1:48" ht="14" customHeight="1" thickBo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 spans="1:48" ht="14" customHeight="1" thickBo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 spans="1:48" ht="14" customHeight="1" thickBo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 spans="1:48" ht="14" customHeight="1" thickBo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 spans="1:48" ht="14" customHeight="1" thickBo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 spans="1:48" ht="14" customHeight="1" thickBo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 spans="1:48" ht="14" customHeight="1" thickBo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 spans="1:48" ht="14" customHeight="1" thickBo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 spans="1:48" ht="14" customHeight="1" thickBo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 spans="1:48" ht="14" customHeight="1" thickBo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 spans="1:48" ht="14" customHeight="1" thickBo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 spans="1:48" ht="14" customHeight="1" thickBo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 spans="1:48" ht="14" customHeight="1" thickBo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 spans="1:48" ht="14" customHeight="1" thickBo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 spans="1:48" ht="14" customHeight="1" thickBo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 spans="1:48" ht="14" customHeight="1" thickBo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 spans="1:48" ht="14" customHeight="1" thickBo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 spans="1:48" ht="14" customHeight="1" thickBo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 spans="1:48" ht="14" customHeight="1" thickBo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 spans="1:48" ht="14" customHeight="1" thickBo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 spans="1:48" ht="14" customHeight="1" thickBo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 spans="1:48" ht="14" customHeight="1" thickBo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 spans="1:48" ht="14" customHeight="1" thickBo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 spans="1:48" ht="14" customHeight="1" thickBo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 spans="1:48" ht="14" customHeight="1" thickBo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 spans="1:48" ht="14" customHeight="1" thickBo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 spans="1:48" ht="14" customHeight="1" thickBo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 spans="1:48" ht="14" customHeight="1" thickBo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 spans="1:48" ht="14" customHeight="1" thickBo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 spans="1:48" ht="14" customHeight="1" thickBo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 spans="1:48" ht="14" customHeight="1" thickBo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 spans="1:48" ht="14" customHeight="1" thickBo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 spans="1:48" ht="14" customHeight="1" thickBo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 spans="1:48" ht="14" customHeight="1" thickBo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 spans="1:48" ht="14" customHeight="1" thickBo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spans="1:48" ht="14" customHeight="1" thickBo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 spans="1:48" ht="14" customHeight="1" thickBo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 spans="1:48" ht="14" customHeight="1" thickBo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 spans="1:48" ht="14" customHeight="1" thickBo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 spans="1:48" ht="14" customHeight="1" thickBo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 spans="1:48" ht="14" customHeight="1" thickBo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 spans="1:48" ht="14" customHeight="1" thickBo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ht="14" customHeight="1" thickBo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ht="14" customHeight="1" thickBo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ht="14" customHeight="1" thickBo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ht="14" customHeight="1" thickBo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ht="14" customHeight="1" thickBo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ht="14" customHeight="1" thickBo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ht="14" customHeight="1" thickBo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ht="14" customHeight="1" thickBo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ht="14" customHeight="1" thickBo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ht="14" customHeight="1" thickBo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ht="14" customHeight="1" thickBo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ht="14" customHeight="1" thickBo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ht="14" customHeight="1" thickBo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ht="14" customHeight="1" thickBo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ht="14" customHeight="1" thickBo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ht="14" customHeight="1" thickBo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ht="14" customHeight="1" thickBo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ht="14" customHeight="1" thickBo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ht="14" customHeight="1" thickBo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ht="14" customHeight="1" thickBo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ht="14" customHeight="1" thickBo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ht="14" customHeight="1" thickBo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ht="14" customHeight="1" thickBo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ht="14" customHeight="1" thickBo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ht="14" customHeight="1" thickBo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ht="14" customHeight="1" thickBo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ht="14" customHeight="1" thickBo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ht="14" customHeight="1" thickBo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ht="14" customHeight="1" thickBo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ht="14" customHeight="1" thickBo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ht="14" customHeight="1" thickBo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ht="14" customHeight="1" thickBo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ht="14" customHeight="1" thickBo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ht="14" customHeight="1" thickBo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ht="14" customHeight="1" thickBo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ht="14" customHeight="1" thickBo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ht="14" customHeight="1" thickBo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ht="14" customHeight="1" thickBo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4" customHeight="1" thickBo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ht="14" customHeight="1" thickBo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ht="14" customHeight="1" thickBo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 spans="1:48" ht="14" customHeight="1" thickBo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 spans="1:48" ht="14" customHeight="1" thickBo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 spans="1:48" ht="14" customHeight="1" thickBo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 spans="1:48" ht="14" customHeight="1" thickBo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 spans="1:48" ht="14" customHeight="1" thickBo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 spans="1:48" ht="14" customHeight="1" thickBo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 spans="1:48" ht="14" customHeight="1" thickBo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 spans="1:48" ht="14" customHeight="1" thickBo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 spans="1:48" ht="14" customHeight="1" thickBo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 spans="1:48" ht="14" customHeight="1" thickBo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 spans="1:48" ht="14" customHeight="1" thickBo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 spans="1:48" ht="14" customHeight="1" thickBo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 spans="1:48" ht="14" customHeight="1" thickBo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 spans="1:48" ht="14" customHeight="1" thickBo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 spans="1:48" ht="14" customHeight="1" thickBo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 spans="1:48" ht="14" customHeight="1" thickBo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 spans="1:48" ht="14" customHeight="1" thickBo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 spans="1:48" ht="14" customHeight="1" thickBo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 spans="1:48" ht="14" customHeight="1" thickBo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 spans="1:48" ht="14" customHeight="1" thickBo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 spans="1:48" ht="14" customHeight="1" thickBo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 spans="1:48" ht="14" customHeight="1" thickBo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 spans="1:48" ht="14" customHeight="1" thickBo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 spans="1:48" ht="14" customHeight="1" thickBo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 spans="1:48" ht="14" customHeight="1" thickBo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 spans="1:48" ht="14" customHeight="1" thickBo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 spans="1:48" ht="14" customHeight="1" thickBo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 spans="1:48" ht="14" customHeight="1" thickBo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 spans="1:48" ht="14" customHeight="1" thickBo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 spans="1:48" ht="14" customHeight="1" thickBo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 spans="1:48" ht="14" customHeight="1" thickBo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 spans="1:48" ht="14" customHeight="1" thickBo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 spans="1:48" ht="14" customHeight="1" thickBo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 spans="1:48" ht="14" customHeight="1" thickBo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 spans="1:48" ht="14" customHeight="1" thickBo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 spans="1:48" ht="14" customHeight="1" thickBo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 spans="1:48" ht="14" customHeight="1" thickBo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 spans="1:48" ht="14" customHeight="1" thickBo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 spans="1:48" ht="14" customHeight="1" thickBo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 spans="1:48" ht="14" customHeight="1" thickBo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 spans="1:48" ht="14" customHeight="1" thickBo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 spans="1:48" ht="14" customHeight="1" thickBo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 spans="1:48" ht="14" customHeight="1" thickBo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 spans="1:48" ht="14" customHeight="1" thickBo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 spans="1:48" ht="14" customHeight="1" thickBo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 spans="1:48" ht="14" customHeight="1" thickBo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 spans="1:48" ht="14" customHeight="1" thickBo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 spans="1:48" ht="14" customHeight="1" thickBo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 spans="1:48" ht="14" customHeight="1" thickBo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 spans="1:48" ht="14" customHeight="1" thickBo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 spans="1:48" ht="14" customHeight="1" thickBo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 spans="1:48" ht="14" customHeight="1" thickBo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 spans="1:48" ht="14" customHeight="1" thickBo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 spans="1:48" ht="14" customHeight="1" thickBo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 spans="1:48" ht="14" customHeight="1" thickBo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 spans="1:48" ht="14" customHeight="1" thickBo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 spans="1:48" ht="14" customHeight="1" thickBo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 spans="1:48" ht="14" customHeight="1" thickBo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 spans="1:48" ht="14" customHeight="1" thickBo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 spans="1:48" ht="14" customHeight="1" thickBo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 spans="1:48" ht="14" customHeight="1" thickBo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 spans="1:48" ht="14" customHeight="1" thickBo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 spans="1:48" ht="14" customHeight="1" thickBo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 spans="1:48" ht="14" customHeight="1" thickBo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 spans="1:48" ht="14" customHeight="1" thickBo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 spans="1:48" ht="14" customHeight="1" thickBo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 spans="1:48" ht="14" customHeight="1" thickBo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 spans="1:48" ht="14" customHeight="1" thickBo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 spans="1:48" ht="14" customHeight="1" thickBo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 spans="1:48" ht="14" customHeight="1" thickBo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 spans="1:48" ht="14" customHeight="1" thickBo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 spans="1:48" ht="14" customHeight="1" thickBo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 spans="1:48" ht="14" customHeight="1" thickBo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 spans="1:48" ht="14" customHeight="1" thickBo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 spans="1:48" ht="14" customHeight="1" thickBo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 spans="1:48" ht="14" customHeight="1" thickBo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 spans="1:48" ht="14" customHeight="1" thickBo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 spans="1:48" ht="14" customHeight="1" thickBo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 spans="1:48" ht="14" customHeight="1" thickBo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 spans="1:48" ht="14" customHeight="1" thickBo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 spans="1:48" ht="14" customHeight="1" thickBo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 spans="1:48" ht="14" customHeight="1" thickBo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 spans="1:48" ht="14" customHeight="1" thickBo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 spans="1:48" ht="14" customHeight="1" thickBo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 spans="1:48" ht="14" customHeight="1" thickBo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 spans="1:48" ht="14" customHeight="1" thickBo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 spans="1:48" ht="14" customHeight="1" thickBo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 spans="1:48" ht="14" customHeight="1" thickBo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 spans="1:48" ht="14" customHeight="1" thickBo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 spans="1:48" ht="14" customHeight="1" thickBo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 spans="1:48" ht="14" customHeight="1" thickBo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 spans="1:48" ht="14" customHeight="1" thickBo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 spans="1:48" ht="14" customHeight="1" thickBo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 spans="1:48" ht="14" customHeight="1" thickBo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 spans="1:48" ht="14" customHeight="1" thickBo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 spans="1:48" ht="14" customHeight="1" thickBo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 spans="1:48" ht="14" customHeight="1" thickBo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 spans="1:48" ht="14" customHeight="1" thickBo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 spans="1:48" ht="14" customHeight="1" thickBo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 spans="1:48" ht="14" customHeight="1" thickBo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 spans="1:48" ht="14" customHeight="1" thickBo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 spans="1:48" ht="14" customHeight="1" thickBo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 spans="1:48" ht="14" customHeight="1" thickBo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 spans="1:48" ht="14" customHeight="1" thickBo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 spans="1:48" ht="14" customHeight="1" thickBo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 spans="1:48" ht="14" customHeight="1" thickBo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 spans="1:48" ht="14" customHeight="1" thickBo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 spans="1:48" ht="14" customHeight="1" thickBo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 spans="1:48" ht="14" customHeight="1" thickBo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 spans="1:48" ht="14" customHeight="1" thickBo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 spans="1:48" ht="14" customHeight="1" thickBo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  <row r="251" spans="1:48" ht="14" customHeight="1" thickBo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</row>
    <row r="252" spans="1:48" ht="14" customHeight="1" thickBo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</row>
    <row r="253" spans="1:48" ht="14" customHeight="1" thickBo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</row>
    <row r="254" spans="1:48" ht="14" customHeight="1" thickBo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</row>
    <row r="255" spans="1:48" ht="14" customHeight="1" thickBo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</row>
    <row r="256" spans="1:48" ht="14" customHeight="1" thickBo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</row>
    <row r="257" spans="1:48" ht="14" customHeight="1" thickBo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</row>
    <row r="258" spans="1:48" ht="14" customHeight="1" thickBo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</row>
    <row r="259" spans="1:48" ht="14" customHeight="1" thickBo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</row>
    <row r="260" spans="1:48" ht="14" customHeight="1" thickBo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</row>
    <row r="261" spans="1:48" ht="14" customHeight="1" thickBo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</row>
    <row r="262" spans="1:48" ht="14" customHeight="1" thickBo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</row>
    <row r="263" spans="1:48" ht="14" customHeight="1" thickBo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</row>
    <row r="264" spans="1:48" ht="14" customHeight="1" thickBo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</row>
    <row r="265" spans="1:48" ht="14" customHeight="1" thickBo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</row>
    <row r="266" spans="1:48" ht="14" customHeight="1" thickBo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</row>
    <row r="267" spans="1:48" ht="14" customHeight="1" thickBo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</row>
    <row r="268" spans="1:48" ht="14" customHeight="1" thickBo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</row>
    <row r="269" spans="1:48" ht="14" customHeight="1" thickBo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</row>
    <row r="270" spans="1:48" ht="14" customHeight="1" thickBo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</row>
    <row r="271" spans="1:48" ht="14" customHeight="1" thickBo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</row>
    <row r="272" spans="1:48" ht="14" customHeight="1" thickBo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</row>
    <row r="273" spans="1:48" ht="14" customHeight="1" thickBo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</row>
    <row r="274" spans="1:48" ht="14" customHeight="1" thickBo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</row>
    <row r="275" spans="1:48" ht="14" customHeight="1" thickBo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</row>
    <row r="276" spans="1:48" ht="14" customHeight="1" thickBo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</row>
    <row r="277" spans="1:48" ht="14" customHeight="1" thickBo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</row>
    <row r="278" spans="1:48" ht="14" customHeight="1" thickBo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</row>
    <row r="279" spans="1:48" ht="14" customHeight="1" thickBo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</row>
    <row r="280" spans="1:48" ht="14" customHeight="1" thickBo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</row>
    <row r="281" spans="1:48" ht="14" customHeight="1" thickBo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</row>
    <row r="282" spans="1:48" ht="14" customHeight="1" thickBo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</row>
    <row r="283" spans="1:48" ht="14" customHeight="1" thickBo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</row>
    <row r="284" spans="1:48" ht="14" customHeight="1" thickBo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</row>
    <row r="285" spans="1:48" ht="14" customHeight="1" thickBo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</row>
    <row r="286" spans="1:48" ht="14" customHeight="1" thickBo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</row>
    <row r="287" spans="1:48" ht="14" customHeight="1" thickBo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</row>
    <row r="288" spans="1:48" ht="14" customHeight="1" thickBo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</row>
    <row r="289" spans="1:48" ht="14" customHeight="1" thickBo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</row>
    <row r="290" spans="1:48" ht="14" customHeight="1" thickBo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</row>
    <row r="291" spans="1:48" ht="14" customHeight="1" thickBo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</row>
    <row r="292" spans="1:48" ht="14" customHeight="1" thickBo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</row>
    <row r="293" spans="1:48" ht="14" customHeight="1" thickBo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</row>
    <row r="294" spans="1:48" ht="14" customHeight="1" thickBo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</row>
    <row r="295" spans="1:48" ht="14" customHeight="1" thickBo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</row>
    <row r="296" spans="1:48" ht="14" customHeight="1" thickBo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</row>
    <row r="297" spans="1:48" ht="14" customHeight="1" thickBo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</row>
    <row r="298" spans="1:48" ht="14" customHeight="1" thickBo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</row>
    <row r="299" spans="1:48" ht="14" customHeight="1" thickBo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</row>
    <row r="300" spans="1:48" ht="14" customHeight="1" thickBo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</row>
    <row r="301" spans="1:48" ht="14" customHeight="1" thickBo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</row>
    <row r="302" spans="1:48" ht="14" customHeight="1" thickBo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</row>
    <row r="303" spans="1:48" ht="14" customHeight="1" thickBo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</row>
    <row r="304" spans="1:48" ht="14" customHeight="1" thickBo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</row>
    <row r="305" spans="1:48" ht="14" customHeight="1" thickBo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</row>
    <row r="306" spans="1:48" ht="14" customHeight="1" thickBo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</row>
    <row r="307" spans="1:48" ht="14" customHeight="1" thickBo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</row>
    <row r="308" spans="1:48" ht="14" customHeight="1" thickBo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</row>
    <row r="309" spans="1:48" ht="14" customHeight="1" thickBo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</row>
    <row r="310" spans="1:48" ht="14" customHeight="1" thickBo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</row>
    <row r="311" spans="1:48" ht="14" customHeight="1" thickBo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</row>
    <row r="312" spans="1:48" ht="14" customHeight="1" thickBo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</row>
    <row r="313" spans="1:48" ht="14" customHeight="1" thickBo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</row>
    <row r="314" spans="1:48" ht="14" customHeight="1" thickBo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</row>
    <row r="315" spans="1:48" ht="14" customHeight="1" thickBo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</row>
    <row r="316" spans="1:48" ht="14" customHeight="1" thickBo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</row>
    <row r="317" spans="1:48" ht="14" customHeight="1" thickBo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</row>
    <row r="318" spans="1:48" ht="14" customHeight="1" thickBo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</row>
    <row r="319" spans="1:48" ht="14" customHeight="1" thickBo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</row>
    <row r="320" spans="1:48" ht="14" customHeight="1" thickBo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</row>
    <row r="321" spans="1:48" ht="14" customHeight="1" thickBo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</row>
    <row r="322" spans="1:48" ht="14" customHeight="1" thickBo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</row>
    <row r="323" spans="1:48" ht="14" customHeight="1" thickBo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</row>
    <row r="324" spans="1:48" ht="14" customHeight="1" thickBo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</row>
    <row r="325" spans="1:48" ht="14" customHeight="1" thickBo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</row>
    <row r="326" spans="1:48" ht="14" customHeight="1" thickBo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</row>
    <row r="327" spans="1:48" ht="14" customHeight="1" thickBo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</row>
    <row r="328" spans="1:48" ht="14" customHeight="1" thickBo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</row>
    <row r="329" spans="1:48" ht="14" customHeight="1" thickBo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</row>
    <row r="330" spans="1:48" ht="14" customHeight="1" thickBo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</row>
    <row r="331" spans="1:48" ht="14" customHeight="1" thickBo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</row>
    <row r="332" spans="1:48" ht="14" customHeight="1" thickBo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</row>
    <row r="333" spans="1:48" ht="14" customHeight="1" thickBo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</row>
    <row r="334" spans="1:48" ht="14" customHeight="1" thickBo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</row>
    <row r="335" spans="1:48" ht="14" customHeight="1" thickBo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</row>
    <row r="336" spans="1:48" ht="14" customHeight="1" thickBo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</row>
    <row r="337" spans="1:48" ht="14" customHeight="1" thickBo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</row>
    <row r="338" spans="1:48" ht="14" customHeight="1" thickBo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</row>
    <row r="339" spans="1:48" ht="14" customHeight="1" thickBo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</row>
    <row r="340" spans="1:48" ht="14" customHeight="1" thickBo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</row>
    <row r="341" spans="1:48" ht="14" customHeight="1" thickBo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</row>
    <row r="342" spans="1:48" ht="14" customHeight="1" thickBo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</row>
    <row r="343" spans="1:48" ht="14" customHeight="1" thickBo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</row>
    <row r="344" spans="1:48" ht="14" customHeight="1" thickBo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</row>
    <row r="345" spans="1:48" ht="14" customHeight="1" thickBo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</row>
    <row r="346" spans="1:48" ht="14" customHeight="1" thickBo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</row>
    <row r="347" spans="1:48" ht="14" customHeight="1" thickBo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</row>
    <row r="348" spans="1:48" ht="14" customHeight="1" thickBo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</row>
    <row r="349" spans="1:48" ht="14" customHeight="1" thickBo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</row>
    <row r="350" spans="1:48" ht="14" customHeight="1" thickBo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</row>
    <row r="351" spans="1:48" ht="14" customHeight="1" thickBo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</row>
    <row r="352" spans="1:48" ht="14" customHeight="1" thickBo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</row>
    <row r="353" spans="1:48" ht="14" customHeight="1" thickBo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</row>
    <row r="354" spans="1:48" ht="14" customHeight="1" thickBo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</row>
    <row r="355" spans="1:48" ht="14" customHeight="1" thickBo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</row>
    <row r="356" spans="1:48" ht="14" customHeight="1" thickBo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</row>
    <row r="357" spans="1:48" ht="14" customHeight="1" thickBo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</row>
    <row r="358" spans="1:48" ht="14" customHeight="1" thickBo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</row>
    <row r="359" spans="1:48" ht="14" customHeight="1" thickBo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</row>
    <row r="360" spans="1:48" ht="14" customHeight="1" thickBo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</row>
    <row r="361" spans="1:48" ht="14" customHeight="1" thickBo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</row>
    <row r="362" spans="1:48" ht="14" customHeight="1" thickBo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</row>
    <row r="363" spans="1:48" ht="14" customHeight="1" thickBo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</row>
    <row r="364" spans="1:48" ht="14" customHeight="1" thickBo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</row>
    <row r="365" spans="1:48" ht="14" customHeight="1" thickBo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</row>
    <row r="366" spans="1:48" ht="14" customHeight="1" thickBo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</row>
    <row r="367" spans="1:48" ht="14" customHeight="1" thickBo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</row>
    <row r="368" spans="1:48" ht="14" customHeight="1" thickBo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</row>
    <row r="369" spans="1:48" ht="14" customHeight="1" thickBo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</row>
    <row r="370" spans="1:48" ht="14" customHeight="1" thickBo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</row>
    <row r="371" spans="1:48" ht="14" customHeight="1" thickBo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</row>
    <row r="372" spans="1:48" ht="14" customHeight="1" thickBo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</row>
    <row r="373" spans="1:48" ht="14" customHeight="1" thickBo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</row>
    <row r="374" spans="1:48" ht="14" customHeight="1" thickBo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</row>
    <row r="375" spans="1:48" ht="14" customHeight="1" thickBo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</row>
    <row r="376" spans="1:48" ht="14" customHeight="1" thickBo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</row>
    <row r="377" spans="1:48" ht="14" customHeight="1" thickBo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</row>
    <row r="378" spans="1:48" ht="14" customHeight="1" thickBo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</row>
    <row r="379" spans="1:48" ht="14" customHeight="1" thickBo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</row>
    <row r="380" spans="1:48" ht="14" customHeight="1" thickBo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</row>
    <row r="381" spans="1:48" ht="14" customHeight="1" thickBo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</row>
    <row r="382" spans="1:48" ht="14" customHeight="1" thickBo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</row>
    <row r="383" spans="1:48" ht="14" customHeight="1" thickBo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</row>
    <row r="384" spans="1:48" ht="14" customHeight="1" thickBo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</row>
    <row r="385" spans="1:48" ht="14" customHeight="1" thickBo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</row>
    <row r="386" spans="1:48" ht="14" customHeight="1" thickBo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</row>
    <row r="387" spans="1:48" ht="14" customHeight="1" thickBo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</row>
    <row r="388" spans="1:48" ht="14" customHeight="1" thickBo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</row>
    <row r="389" spans="1:48" ht="14" customHeight="1" thickBo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</row>
    <row r="390" spans="1:48" ht="14" customHeight="1" thickBo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</row>
    <row r="391" spans="1:48" ht="14" customHeight="1" thickBo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</row>
    <row r="392" spans="1:48" ht="14" customHeight="1" thickBo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</row>
    <row r="393" spans="1:48" ht="14" customHeight="1" thickBo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</row>
    <row r="394" spans="1:48" ht="14" customHeight="1" thickBo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</row>
    <row r="395" spans="1:48" ht="14" customHeight="1" thickBo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</row>
    <row r="396" spans="1:48" ht="14" customHeight="1" thickBo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</row>
    <row r="397" spans="1:48" ht="14" customHeight="1" thickBo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</row>
    <row r="398" spans="1:48" ht="14" customHeight="1" thickBo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</row>
    <row r="399" spans="1:48" ht="14" customHeight="1" thickBo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</row>
    <row r="400" spans="1:48" ht="14" customHeight="1" thickBo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</row>
    <row r="401" spans="1:48" ht="14" customHeight="1" thickBo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</row>
    <row r="402" spans="1:48" ht="14" customHeight="1" thickBo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</row>
    <row r="403" spans="1:48" ht="14" customHeight="1" thickBo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</row>
    <row r="404" spans="1:48" ht="14" customHeight="1" thickBo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</row>
    <row r="405" spans="1:48" ht="14" customHeight="1" thickBo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</row>
    <row r="406" spans="1:48" ht="14" customHeight="1" thickBo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</row>
    <row r="407" spans="1:48" ht="14" customHeight="1" thickBo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</row>
    <row r="408" spans="1:48" ht="14" customHeight="1" thickBo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</row>
    <row r="409" spans="1:48" ht="14" customHeight="1" thickBo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</row>
    <row r="410" spans="1:48" ht="14" customHeight="1" thickBo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</row>
    <row r="411" spans="1:48" ht="14" customHeight="1" thickBo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</row>
    <row r="412" spans="1:48" ht="14" customHeight="1" thickBo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</row>
    <row r="413" spans="1:48" ht="14" customHeight="1" thickBo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</row>
    <row r="414" spans="1:48" ht="14" customHeight="1" thickBo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</row>
    <row r="415" spans="1:48" ht="14" customHeight="1" thickBo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</row>
    <row r="416" spans="1:48" ht="14" customHeight="1" thickBo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</row>
    <row r="417" spans="1:48" ht="14" customHeight="1" thickBo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</row>
    <row r="418" spans="1:48" ht="14" customHeight="1" thickBo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</row>
    <row r="419" spans="1:48" ht="14" customHeight="1" thickBo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</row>
    <row r="420" spans="1:48" ht="14" customHeight="1" thickBo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</row>
    <row r="421" spans="1:48" ht="14" customHeight="1" thickBo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</row>
    <row r="422" spans="1:48" ht="14" customHeight="1" thickBo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</row>
    <row r="423" spans="1:48" ht="14" customHeight="1" thickBo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</row>
    <row r="424" spans="1:48" ht="14" customHeight="1" thickBo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</row>
    <row r="425" spans="1:48" ht="14" customHeight="1" thickBo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</row>
    <row r="426" spans="1:48" ht="14" customHeight="1" thickBo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</row>
    <row r="427" spans="1:48" ht="14" customHeight="1" thickBo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</row>
    <row r="428" spans="1:48" ht="14" customHeight="1" thickBo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</row>
    <row r="429" spans="1:48" ht="14" customHeight="1" thickBo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</row>
    <row r="430" spans="1:48" ht="14" customHeight="1" thickBo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</row>
    <row r="431" spans="1:48" ht="14" customHeight="1" thickBo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</row>
    <row r="432" spans="1:48" ht="14" customHeight="1" thickBo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</row>
    <row r="433" spans="1:48" ht="14" customHeight="1" thickBo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</row>
    <row r="434" spans="1:48" ht="14" customHeight="1" thickBo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</row>
    <row r="435" spans="1:48" ht="14" customHeight="1" thickBo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</row>
    <row r="436" spans="1:48" ht="14" customHeight="1" thickBo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</row>
    <row r="437" spans="1:48" ht="14" customHeight="1" thickBo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</row>
    <row r="438" spans="1:48" ht="14" customHeight="1" thickBo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</row>
    <row r="439" spans="1:48" ht="14" customHeight="1" thickBo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</row>
    <row r="440" spans="1:48" ht="14" customHeight="1" thickBo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</row>
    <row r="441" spans="1:48" ht="14" customHeight="1" thickBo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</row>
    <row r="442" spans="1:48" ht="14" customHeight="1" thickBo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</row>
    <row r="443" spans="1:48" ht="14" customHeight="1" thickBo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</row>
    <row r="444" spans="1:48" ht="14" customHeight="1" thickBo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</row>
    <row r="445" spans="1:48" ht="14" customHeight="1" thickBo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</row>
    <row r="446" spans="1:48" ht="14" customHeight="1" thickBo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</row>
    <row r="447" spans="1:48" ht="14" customHeight="1" thickBo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</row>
    <row r="448" spans="1:48" ht="14" customHeight="1" thickBo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</row>
    <row r="449" spans="1:48" ht="14" customHeight="1" thickBo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</row>
    <row r="450" spans="1:48" ht="14" customHeight="1" thickBo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</row>
    <row r="451" spans="1:48" ht="14" customHeight="1" thickBo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</row>
    <row r="452" spans="1:48" ht="14" customHeight="1" thickBo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</row>
    <row r="453" spans="1:48" ht="14" customHeight="1" thickBo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</row>
    <row r="454" spans="1:48" ht="14" customHeight="1" thickBo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</row>
    <row r="455" spans="1:48" ht="14" customHeight="1" thickBo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</row>
    <row r="456" spans="1:48" ht="14" customHeight="1" thickBo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</row>
    <row r="457" spans="1:48" ht="14" customHeight="1" thickBo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</row>
    <row r="458" spans="1:48" ht="14" customHeight="1" thickBo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</row>
    <row r="459" spans="1:48" ht="14" customHeight="1" thickBo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</row>
    <row r="460" spans="1:48" ht="14" customHeight="1" thickBo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</row>
    <row r="461" spans="1:48" ht="14" customHeight="1" thickBo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</row>
    <row r="462" spans="1:48" ht="14" customHeight="1" thickBo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</row>
    <row r="463" spans="1:48" ht="14" customHeight="1" thickBo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</row>
    <row r="464" spans="1:48" ht="14" customHeight="1" thickBo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</row>
    <row r="465" spans="1:48" ht="14" customHeight="1" thickBo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</row>
    <row r="466" spans="1:48" ht="14" customHeight="1" thickBo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</row>
    <row r="467" spans="1:48" ht="14" customHeight="1" thickBo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</row>
    <row r="468" spans="1:48" ht="14" customHeight="1" thickBo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</row>
    <row r="469" spans="1:48" ht="14" customHeight="1" thickBo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</row>
    <row r="470" spans="1:48" ht="14" customHeight="1" thickBo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</row>
    <row r="471" spans="1:48" ht="14" customHeight="1" thickBo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</row>
    <row r="472" spans="1:48" ht="14" customHeight="1" thickBo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</row>
    <row r="473" spans="1:48" ht="14" customHeight="1" thickBo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</row>
    <row r="474" spans="1:48" ht="14" customHeight="1" thickBo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</row>
    <row r="475" spans="1:48" ht="14" customHeight="1" thickBo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</row>
    <row r="476" spans="1:48" ht="14" customHeight="1" thickBo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</row>
    <row r="477" spans="1:48" ht="14" customHeight="1" thickBo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</row>
    <row r="478" spans="1:48" ht="14" customHeight="1" thickBo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</row>
    <row r="479" spans="1:48" ht="14" customHeight="1" thickBo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</row>
    <row r="480" spans="1:48" ht="14" customHeight="1" thickBo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</row>
    <row r="481" spans="1:48" ht="14" customHeight="1" thickBo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</row>
    <row r="482" spans="1:48" ht="14" customHeight="1" thickBo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</row>
    <row r="483" spans="1:48" ht="14" customHeight="1" thickBo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</row>
    <row r="484" spans="1:48" ht="14" customHeight="1" thickBo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</row>
    <row r="485" spans="1:48" ht="14" customHeight="1" thickBo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</row>
    <row r="486" spans="1:48" ht="14" customHeight="1" thickBo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</row>
    <row r="487" spans="1:48" ht="14" customHeight="1" thickBo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</row>
    <row r="488" spans="1:48" ht="14" customHeight="1" thickBo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</row>
    <row r="489" spans="1:48" ht="14" customHeight="1" thickBo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</row>
    <row r="490" spans="1:48" ht="14" customHeight="1" thickBo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</row>
    <row r="491" spans="1:48" ht="14" customHeight="1" thickBo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</row>
    <row r="492" spans="1:48" ht="14" customHeight="1" thickBo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</row>
    <row r="493" spans="1:48" ht="14" customHeight="1" thickBo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</row>
    <row r="494" spans="1:48" ht="14" customHeight="1" thickBo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</row>
    <row r="495" spans="1:48" ht="14" customHeight="1" thickBo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</row>
    <row r="496" spans="1:48" ht="14" customHeight="1" thickBo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</row>
    <row r="497" spans="1:48" ht="14" customHeight="1" thickBo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</row>
    <row r="498" spans="1:48" ht="14" customHeight="1" thickBo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</row>
    <row r="499" spans="1:48" ht="14" customHeight="1" thickBo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</row>
    <row r="500" spans="1:48" ht="14" customHeight="1" thickBo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</row>
    <row r="501" spans="1:48" ht="14" customHeight="1" thickBo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</row>
    <row r="502" spans="1:48" ht="14" customHeight="1" thickBo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</row>
    <row r="503" spans="1:48" ht="14" customHeight="1" thickBo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</row>
    <row r="504" spans="1:48" ht="14" customHeight="1" thickBo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</row>
    <row r="505" spans="1:48" ht="14" customHeight="1" thickBo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</row>
    <row r="506" spans="1:48" ht="14" customHeight="1" thickBo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</row>
    <row r="507" spans="1:48" ht="14" customHeight="1" thickBo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</row>
    <row r="508" spans="1:48" ht="14" customHeight="1" thickBo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</row>
    <row r="509" spans="1:48" ht="14" customHeight="1" thickBo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</row>
    <row r="510" spans="1:48" ht="14" customHeight="1" thickBo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</row>
    <row r="511" spans="1:48" ht="14" customHeight="1" thickBo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</row>
    <row r="512" spans="1:48" ht="14" customHeight="1" thickBo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</row>
    <row r="513" spans="1:48" ht="14" customHeight="1" thickBo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</row>
    <row r="514" spans="1:48" ht="14" customHeight="1" thickBo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</row>
    <row r="515" spans="1:48" ht="14" customHeight="1" thickBo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</row>
    <row r="516" spans="1:48" ht="14" customHeight="1" thickBo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</row>
    <row r="517" spans="1:48" ht="14" customHeight="1" thickBo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</row>
    <row r="518" spans="1:48" ht="14" customHeight="1" thickBo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</row>
    <row r="519" spans="1:48" ht="14" customHeight="1" thickBo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</row>
    <row r="520" spans="1:48" ht="14" customHeight="1" thickBo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</row>
    <row r="521" spans="1:48" ht="14" customHeight="1" thickBo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</row>
    <row r="522" spans="1:48" ht="14" customHeight="1" thickBo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</row>
    <row r="523" spans="1:48" ht="14" customHeight="1" thickBo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</row>
    <row r="524" spans="1:48" ht="14" customHeight="1" thickBo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</row>
    <row r="525" spans="1:48" ht="14" customHeight="1" thickBo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</row>
    <row r="526" spans="1:48" ht="14" customHeight="1" thickBo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</row>
    <row r="527" spans="1:48" ht="14" customHeight="1" thickBo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</row>
    <row r="528" spans="1:48" ht="14" customHeight="1" thickBo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</row>
    <row r="529" spans="1:48" ht="14" customHeight="1" thickBo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</row>
    <row r="530" spans="1:48" ht="14" customHeight="1" thickBo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</row>
    <row r="531" spans="1:48" ht="14" customHeight="1" thickBo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</row>
    <row r="532" spans="1:48" ht="14" customHeight="1" thickBo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</row>
    <row r="533" spans="1:48" ht="14" customHeight="1" thickBo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</row>
    <row r="534" spans="1:48" ht="14" customHeight="1" thickBo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</row>
    <row r="535" spans="1:48" ht="14" customHeight="1" thickBo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</row>
    <row r="536" spans="1:48" ht="14" customHeight="1" thickBo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</row>
    <row r="537" spans="1:48" ht="14" customHeight="1" thickBo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</row>
    <row r="538" spans="1:48" ht="14" customHeight="1" thickBo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</row>
    <row r="539" spans="1:48" ht="14" customHeight="1" thickBo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</row>
    <row r="540" spans="1:48" ht="14" customHeight="1" thickBo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</row>
    <row r="541" spans="1:48" ht="14" customHeight="1" thickBo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</row>
    <row r="542" spans="1:48" ht="14" customHeight="1" thickBo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</row>
    <row r="543" spans="1:48" ht="14" customHeight="1" thickBo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</row>
    <row r="544" spans="1:48" ht="14" customHeight="1" thickBo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</row>
    <row r="545" spans="1:48" ht="14" customHeight="1" thickBo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</row>
    <row r="546" spans="1:48" ht="14" customHeight="1" thickBo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</row>
    <row r="547" spans="1:48" ht="14" customHeight="1" thickBo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</row>
    <row r="548" spans="1:48" ht="14" customHeight="1" thickBo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</row>
    <row r="549" spans="1:48" ht="14" customHeight="1" thickBo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</row>
    <row r="550" spans="1:48" ht="14" customHeight="1" thickBo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</row>
    <row r="551" spans="1:48" ht="14" customHeight="1" thickBo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</row>
    <row r="552" spans="1:48" ht="14" customHeight="1" thickBo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</row>
    <row r="553" spans="1:48" ht="14" customHeight="1" thickBo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</row>
    <row r="554" spans="1:48" ht="14" customHeight="1" thickBo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</row>
    <row r="555" spans="1:48" ht="14" customHeight="1" thickBo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</row>
    <row r="556" spans="1:48" ht="14" customHeight="1" thickBo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</row>
    <row r="557" spans="1:48" ht="14" customHeight="1" thickBo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</row>
    <row r="558" spans="1:48" ht="14" customHeight="1" thickBo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</row>
    <row r="559" spans="1:48" ht="14" customHeight="1" thickBo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</row>
    <row r="560" spans="1:48" ht="14" customHeight="1" thickBo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</row>
    <row r="561" spans="1:48" ht="14" customHeight="1" thickBo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</row>
    <row r="562" spans="1:48" ht="14" customHeight="1" thickBo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</row>
    <row r="563" spans="1:48" ht="14" customHeight="1" thickBo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</row>
    <row r="564" spans="1:48" ht="14" customHeight="1" thickBo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</row>
    <row r="565" spans="1:48" ht="14" customHeight="1" thickBo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</row>
    <row r="566" spans="1:48" ht="14" customHeight="1" thickBo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</row>
    <row r="567" spans="1:48" ht="14" customHeight="1" thickBo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</row>
    <row r="568" spans="1:48" ht="14" customHeight="1" thickBo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</row>
    <row r="569" spans="1:48" ht="14" customHeight="1" thickBo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</row>
    <row r="570" spans="1:48" ht="14" customHeight="1" thickBo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</row>
    <row r="571" spans="1:48" ht="14" customHeight="1" thickBo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</row>
    <row r="572" spans="1:48" ht="14" customHeight="1" thickBo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</row>
    <row r="573" spans="1:48" ht="14" customHeight="1" thickBo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</row>
    <row r="574" spans="1:48" ht="14" customHeight="1" thickBo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</row>
    <row r="575" spans="1:48" ht="14" customHeight="1" thickBo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</row>
    <row r="576" spans="1:48" ht="14" customHeight="1" thickBo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</row>
    <row r="577" spans="1:48" ht="14" customHeight="1" thickBo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</row>
    <row r="578" spans="1:48" ht="14" customHeight="1" thickBo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</row>
    <row r="579" spans="1:48" ht="14" customHeight="1" thickBo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</row>
    <row r="580" spans="1:48" ht="14" customHeight="1" thickBo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</row>
    <row r="581" spans="1:48" ht="14" customHeight="1" thickBo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</row>
    <row r="582" spans="1:48" ht="14" customHeight="1" thickBo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</row>
    <row r="583" spans="1:48" ht="14" customHeight="1" thickBo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</row>
    <row r="584" spans="1:48" ht="14" customHeight="1" thickBo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</row>
    <row r="585" spans="1:48" ht="14" customHeight="1" thickBo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</row>
    <row r="586" spans="1:48" ht="14" customHeight="1" thickBo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</row>
    <row r="587" spans="1:48" ht="14" customHeight="1" thickBo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</row>
    <row r="588" spans="1:48" ht="14" customHeight="1" thickBo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</row>
    <row r="589" spans="1:48" ht="14" customHeight="1" thickBo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</row>
    <row r="590" spans="1:48" ht="14" customHeight="1" thickBo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</row>
    <row r="591" spans="1:48" ht="14" customHeight="1" thickBo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</row>
    <row r="592" spans="1:48" ht="14" customHeight="1" thickBo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</row>
    <row r="593" spans="1:48" ht="14" customHeight="1" thickBo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</row>
    <row r="594" spans="1:48" ht="14" customHeight="1" thickBo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</row>
    <row r="595" spans="1:48" ht="14" customHeight="1" thickBo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</row>
    <row r="596" spans="1:48" ht="14" customHeight="1" thickBo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</row>
    <row r="597" spans="1:48" ht="14" customHeight="1" thickBo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</row>
    <row r="598" spans="1:48" ht="14" customHeight="1" thickBo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</row>
    <row r="599" spans="1:48" ht="14" customHeight="1" thickBo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</row>
    <row r="600" spans="1:48" ht="14" customHeight="1" thickBo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</row>
    <row r="601" spans="1:48" ht="14" customHeight="1" thickBo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</row>
    <row r="602" spans="1:48" ht="14" customHeight="1" thickBo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</row>
    <row r="603" spans="1:48" ht="14" customHeight="1" thickBo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</row>
    <row r="604" spans="1:48" ht="14" customHeight="1" thickBo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</row>
    <row r="605" spans="1:48" ht="14" customHeight="1" thickBo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</row>
    <row r="606" spans="1:48" ht="14" customHeight="1" thickBo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</row>
    <row r="607" spans="1:48" ht="14" customHeight="1" thickBo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</row>
    <row r="608" spans="1:48" ht="14" customHeight="1" thickBo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</row>
    <row r="609" spans="1:48" ht="14" customHeight="1" thickBo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</row>
    <row r="610" spans="1:48" ht="14" customHeight="1" thickBo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</row>
    <row r="611" spans="1:48" ht="14" customHeight="1" thickBo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</row>
    <row r="612" spans="1:48" ht="14" customHeight="1" thickBo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</row>
    <row r="613" spans="1:48" ht="14" customHeight="1" thickBo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</row>
    <row r="614" spans="1:48" ht="14" customHeight="1" thickBo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</row>
    <row r="615" spans="1:48" ht="14" customHeight="1" thickBo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</row>
    <row r="616" spans="1:48" ht="14" customHeight="1" thickBo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</row>
    <row r="617" spans="1:48" ht="14" customHeight="1" thickBo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</row>
    <row r="618" spans="1:48" ht="14" customHeight="1" thickBo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</row>
    <row r="619" spans="1:48" ht="14" customHeight="1" thickBo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</row>
    <row r="620" spans="1:48" ht="14" customHeight="1" thickBo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</row>
    <row r="621" spans="1:48" ht="14" customHeight="1" thickBo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</row>
    <row r="622" spans="1:48" ht="14" customHeight="1" thickBo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</row>
    <row r="623" spans="1:48" ht="14" customHeight="1" thickBo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</row>
    <row r="624" spans="1:48" ht="14" customHeight="1" thickBo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</row>
    <row r="625" spans="1:48" ht="14" customHeight="1" thickBo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</row>
    <row r="626" spans="1:48" ht="14" customHeight="1" thickBo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</row>
    <row r="627" spans="1:48" ht="14" customHeight="1" thickBo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</row>
    <row r="628" spans="1:48" ht="14" customHeight="1" thickBo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</row>
    <row r="629" spans="1:48" ht="14" customHeight="1" thickBo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</row>
    <row r="630" spans="1:48" ht="14" customHeight="1" thickBo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</row>
    <row r="631" spans="1:48" ht="14" customHeight="1" thickBo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</row>
    <row r="632" spans="1:48" ht="14" customHeight="1" thickBo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</row>
    <row r="633" spans="1:48" ht="14" customHeight="1" thickBo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</row>
    <row r="634" spans="1:48" ht="14" customHeight="1" thickBo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</row>
    <row r="635" spans="1:48" ht="14" customHeight="1" thickBo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</row>
    <row r="636" spans="1:48" ht="14" customHeight="1" thickBo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</row>
    <row r="637" spans="1:48" ht="14" customHeight="1" thickBo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</row>
    <row r="638" spans="1:48" ht="14" customHeight="1" thickBo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</row>
    <row r="639" spans="1:48" ht="14" customHeight="1" thickBo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</row>
    <row r="640" spans="1:48" ht="14" customHeight="1" thickBo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</row>
    <row r="641" spans="1:48" ht="14" customHeight="1" thickBo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</row>
    <row r="642" spans="1:48" ht="14" customHeight="1" thickBo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</row>
    <row r="643" spans="1:48" ht="14" customHeight="1" thickBo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</row>
    <row r="644" spans="1:48" ht="14" customHeight="1" thickBo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</row>
    <row r="645" spans="1:48" ht="14" customHeight="1" thickBo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</row>
    <row r="646" spans="1:48" ht="14" customHeight="1" thickBo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</row>
    <row r="647" spans="1:48" ht="14" customHeight="1" thickBo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</row>
    <row r="648" spans="1:48" ht="14" customHeight="1" thickBo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</row>
    <row r="649" spans="1:48" ht="14" customHeight="1" thickBo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</row>
    <row r="650" spans="1:48" ht="14" customHeight="1" thickBo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</row>
    <row r="651" spans="1:48" ht="14" customHeight="1" thickBo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</row>
    <row r="652" spans="1:48" ht="14" customHeight="1" thickBo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</row>
    <row r="653" spans="1:48" ht="14" customHeight="1" thickBo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</row>
    <row r="654" spans="1:48" ht="14" customHeight="1" thickBo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</row>
    <row r="655" spans="1:48" ht="14" customHeight="1" thickBo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</row>
    <row r="656" spans="1:48" ht="14" customHeight="1" thickBo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</row>
    <row r="657" spans="1:48" ht="14" customHeight="1" thickBo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</row>
    <row r="658" spans="1:48" ht="14" customHeight="1" thickBo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</row>
    <row r="659" spans="1:48" ht="14" customHeight="1" thickBo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</row>
    <row r="660" spans="1:48" ht="14" customHeight="1" thickBo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</row>
    <row r="661" spans="1:48" ht="14" customHeight="1" thickBo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</row>
    <row r="662" spans="1:48" ht="14" customHeight="1" thickBo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</row>
    <row r="663" spans="1:48" ht="14" customHeight="1" thickBo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</row>
    <row r="664" spans="1:48" ht="14" customHeight="1" thickBo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</row>
    <row r="665" spans="1:48" ht="14" customHeight="1" thickBo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</row>
    <row r="666" spans="1:48" ht="14" customHeight="1" thickBo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</row>
    <row r="667" spans="1:48" ht="14" customHeight="1" thickBo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</row>
    <row r="668" spans="1:48" ht="14" customHeight="1" thickBo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</row>
    <row r="669" spans="1:48" ht="14" customHeight="1" thickBo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</row>
    <row r="670" spans="1:48" ht="14" customHeight="1" thickBo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</row>
    <row r="671" spans="1:48" ht="14" customHeight="1" thickBo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</row>
    <row r="672" spans="1:48" ht="14" customHeight="1" thickBo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</row>
    <row r="673" spans="1:48" ht="14" customHeight="1" thickBo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</row>
    <row r="674" spans="1:48" ht="14" customHeight="1" thickBo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</row>
    <row r="675" spans="1:48" ht="14" customHeight="1" thickBo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</row>
    <row r="676" spans="1:48" ht="14" customHeight="1" thickBo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</row>
    <row r="677" spans="1:48" ht="14" customHeight="1" thickBo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</row>
    <row r="678" spans="1:48" ht="14" customHeight="1" thickBo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</row>
    <row r="679" spans="1:48" ht="14" customHeight="1" thickBo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</row>
    <row r="680" spans="1:48" ht="14" customHeight="1" thickBo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</row>
    <row r="681" spans="1:48" ht="14" customHeight="1" thickBo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</row>
    <row r="682" spans="1:48" ht="14" customHeight="1" thickBo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</row>
    <row r="683" spans="1:48" ht="14" customHeight="1" thickBo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</row>
    <row r="684" spans="1:48" ht="14" customHeight="1" thickBo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</row>
    <row r="685" spans="1:48" ht="14" customHeight="1" thickBo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</row>
    <row r="686" spans="1:48" ht="14" customHeight="1" thickBo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</row>
    <row r="687" spans="1:48" ht="14" customHeight="1" thickBo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</row>
    <row r="688" spans="1:48" ht="14" customHeight="1" thickBo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</row>
    <row r="689" spans="1:48" ht="14" customHeight="1" thickBo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</row>
    <row r="690" spans="1:48" ht="14" customHeight="1" thickBo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</row>
    <row r="691" spans="1:48" ht="14" customHeight="1" thickBo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</row>
    <row r="692" spans="1:48" ht="14" customHeight="1" thickBo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</row>
    <row r="693" spans="1:48" ht="14" customHeight="1" thickBo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</row>
    <row r="694" spans="1:48" ht="14" customHeight="1" thickBo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</row>
    <row r="695" spans="1:48" ht="14" customHeight="1" thickBo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</row>
    <row r="696" spans="1:48" ht="14" customHeight="1" thickBo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</row>
    <row r="697" spans="1:48" ht="14" customHeight="1" thickBo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</row>
    <row r="698" spans="1:48" ht="14" customHeight="1" thickBo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</row>
    <row r="699" spans="1:48" ht="14" customHeight="1" thickBo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</row>
    <row r="700" spans="1:48" ht="14" customHeight="1" thickBo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</row>
    <row r="701" spans="1:48" ht="14" customHeight="1" thickBo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</row>
    <row r="702" spans="1:48" ht="14" customHeight="1" thickBo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</row>
    <row r="703" spans="1:48" ht="14" customHeight="1" thickBo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</row>
    <row r="704" spans="1:48" ht="14" customHeight="1" thickBo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</row>
    <row r="705" spans="1:48" ht="14" customHeight="1" thickBo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</row>
    <row r="706" spans="1:48" ht="14" customHeight="1" thickBo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</row>
    <row r="707" spans="1:48" ht="14" customHeight="1" thickBo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</row>
    <row r="708" spans="1:48" ht="14" customHeight="1" thickBo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</row>
    <row r="709" spans="1:48" ht="14" customHeight="1" thickBo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</row>
    <row r="710" spans="1:48" ht="14" customHeight="1" thickBo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</row>
    <row r="711" spans="1:48" ht="14" customHeight="1" thickBo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</row>
    <row r="712" spans="1:48" ht="14" customHeight="1" thickBo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</row>
    <row r="713" spans="1:48" ht="14" customHeight="1" thickBo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</row>
    <row r="714" spans="1:48" ht="14" customHeight="1" thickBo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</row>
    <row r="715" spans="1:48" ht="14" customHeight="1" thickBo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</row>
    <row r="716" spans="1:48" ht="14" customHeight="1" thickBo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</row>
    <row r="717" spans="1:48" ht="14" customHeight="1" thickBo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</row>
    <row r="718" spans="1:48" ht="14" customHeight="1" thickBo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</row>
    <row r="719" spans="1:48" ht="14" customHeight="1" thickBo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</row>
    <row r="720" spans="1:48" ht="14" customHeight="1" thickBo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</row>
    <row r="721" spans="1:48" ht="14" customHeight="1" thickBo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</row>
    <row r="722" spans="1:48" ht="14" customHeight="1" thickBo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</row>
    <row r="723" spans="1:48" ht="14" customHeight="1" thickBo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</row>
    <row r="724" spans="1:48" ht="14" customHeight="1" thickBo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</row>
    <row r="725" spans="1:48" ht="14" customHeight="1" thickBo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</row>
    <row r="726" spans="1:48" ht="14" customHeight="1" thickBo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</row>
    <row r="727" spans="1:48" ht="14" customHeight="1" thickBo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</row>
    <row r="728" spans="1:48" ht="14" customHeight="1" thickBo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</row>
    <row r="729" spans="1:48" ht="14" customHeight="1" thickBo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</row>
    <row r="730" spans="1:48" ht="14" customHeight="1" thickBo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</row>
    <row r="731" spans="1:48" ht="14" customHeight="1" thickBo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</row>
    <row r="732" spans="1:48" ht="14" customHeight="1" thickBo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</row>
    <row r="733" spans="1:48" ht="14" customHeight="1" thickBo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</row>
    <row r="734" spans="1:48" ht="14" customHeight="1" thickBo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</row>
    <row r="735" spans="1:48" ht="14" customHeight="1" thickBo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</row>
    <row r="736" spans="1:48" ht="14" customHeight="1" thickBo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</row>
    <row r="737" spans="1:48" ht="14" customHeight="1" thickBo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</row>
    <row r="738" spans="1:48" ht="14" customHeight="1" thickBo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</row>
    <row r="739" spans="1:48" ht="14" customHeight="1" thickBo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</row>
    <row r="740" spans="1:48" ht="14" customHeight="1" thickBo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</row>
    <row r="741" spans="1:48" ht="14" customHeight="1" thickBo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</row>
    <row r="742" spans="1:48" ht="14" customHeight="1" thickBo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</row>
    <row r="743" spans="1:48" ht="14" customHeight="1" thickBo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</row>
    <row r="744" spans="1:48" ht="14" customHeight="1" thickBo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</row>
    <row r="745" spans="1:48" ht="14" customHeight="1" thickBo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</row>
    <row r="746" spans="1:48" ht="14" customHeight="1" thickBo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</row>
    <row r="747" spans="1:48" ht="14" customHeight="1" thickBo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</row>
    <row r="748" spans="1:48" ht="14" customHeight="1" thickBo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</row>
    <row r="749" spans="1:48" ht="14" customHeight="1" thickBo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</row>
    <row r="750" spans="1:48" ht="14" customHeight="1" thickBo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</row>
    <row r="751" spans="1:48" ht="14" customHeight="1" thickBo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</row>
    <row r="752" spans="1:48" ht="14" customHeight="1" thickBo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</row>
    <row r="753" spans="1:48" ht="14" customHeight="1" thickBo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</row>
    <row r="754" spans="1:48" ht="14" customHeight="1" thickBo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</row>
    <row r="755" spans="1:48" ht="14" customHeight="1" thickBo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</row>
    <row r="756" spans="1:48" ht="14" customHeight="1" thickBo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</row>
    <row r="757" spans="1:48" ht="14" customHeight="1" thickBo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</row>
    <row r="758" spans="1:48" ht="14" customHeight="1" thickBo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</row>
    <row r="759" spans="1:48" ht="14" customHeight="1" thickBo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</row>
    <row r="760" spans="1:48" ht="14" customHeight="1" thickBo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</row>
    <row r="761" spans="1:48" ht="14" customHeight="1" thickBo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</row>
    <row r="762" spans="1:48" ht="14" customHeight="1" thickBo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</row>
    <row r="763" spans="1:48" ht="14" customHeight="1" thickBo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</row>
    <row r="764" spans="1:48" ht="14" customHeight="1" thickBo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</row>
    <row r="765" spans="1:48" ht="14" customHeight="1" thickBo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</row>
    <row r="766" spans="1:48" ht="14" customHeight="1" thickBo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</row>
    <row r="767" spans="1:48" ht="14" customHeight="1" thickBo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</row>
    <row r="768" spans="1:48" ht="14" customHeight="1" thickBo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</row>
    <row r="769" spans="1:48" ht="14" customHeight="1" thickBo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</row>
    <row r="770" spans="1:48" ht="14" customHeight="1" thickBo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</row>
    <row r="771" spans="1:48" ht="14" customHeight="1" thickBo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</row>
    <row r="772" spans="1:48" ht="14" customHeight="1" thickBo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</row>
    <row r="773" spans="1:48" ht="14" customHeight="1" thickBo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</row>
    <row r="774" spans="1:48" ht="14" customHeight="1" thickBo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</row>
    <row r="775" spans="1:48" ht="14" customHeight="1" thickBo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</row>
    <row r="776" spans="1:48" ht="14" customHeight="1" thickBo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</row>
    <row r="777" spans="1:48" ht="14" customHeight="1" thickBo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</row>
    <row r="778" spans="1:48" ht="14" customHeight="1" thickBo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</row>
    <row r="779" spans="1:48" ht="14" customHeight="1" thickBo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</row>
    <row r="780" spans="1:48" ht="14" customHeight="1" thickBo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</row>
    <row r="781" spans="1:48" ht="14" customHeight="1" thickBo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</row>
    <row r="782" spans="1:48" ht="14" customHeight="1" thickBo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</row>
    <row r="783" spans="1:48" ht="14" customHeight="1" thickBo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</row>
    <row r="784" spans="1:48" ht="14" customHeight="1" thickBo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</row>
    <row r="785" spans="1:48" ht="14" customHeight="1" thickBo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</row>
    <row r="786" spans="1:48" ht="14" customHeight="1" thickBo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</row>
    <row r="787" spans="1:48" ht="14" customHeight="1" thickBo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</row>
    <row r="788" spans="1:48" ht="14" customHeight="1" thickBo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</row>
    <row r="789" spans="1:48" ht="14" customHeight="1" thickBo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</row>
    <row r="790" spans="1:48" ht="14" customHeight="1" thickBo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</row>
    <row r="791" spans="1:48" ht="14" customHeight="1" thickBo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</row>
    <row r="792" spans="1:48" ht="14" customHeight="1" thickBo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</row>
    <row r="793" spans="1:48" ht="14" customHeight="1" thickBo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</row>
    <row r="794" spans="1:48" ht="14" customHeight="1" thickBo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</row>
    <row r="795" spans="1:48" ht="14" customHeight="1" thickBo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</row>
    <row r="796" spans="1:48" ht="14" customHeight="1" thickBo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</row>
    <row r="797" spans="1:48" ht="14" customHeight="1" thickBo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</row>
    <row r="798" spans="1:48" ht="14" customHeight="1" thickBo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</row>
    <row r="799" spans="1:48" ht="14" customHeight="1" thickBo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</row>
    <row r="800" spans="1:48" ht="14" customHeight="1" thickBo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</row>
    <row r="801" spans="1:48" ht="14" customHeight="1" thickBo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</row>
    <row r="802" spans="1:48" ht="14" customHeight="1" thickBo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</row>
    <row r="803" spans="1:48" ht="14" customHeight="1" thickBo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</row>
    <row r="804" spans="1:48" ht="14" customHeight="1" thickBo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</row>
    <row r="805" spans="1:48" ht="14" customHeight="1" thickBo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</row>
    <row r="806" spans="1:48" ht="14" customHeight="1" thickBo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</row>
    <row r="807" spans="1:48" ht="14" customHeight="1" thickBo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</row>
    <row r="808" spans="1:48" ht="14" customHeight="1" thickBo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</row>
    <row r="809" spans="1:48" ht="14" customHeight="1" thickBo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</row>
    <row r="810" spans="1:48" ht="14" customHeight="1" thickBo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</row>
    <row r="811" spans="1:48" ht="14" customHeight="1" thickBo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</row>
    <row r="812" spans="1:48" ht="14" customHeight="1" thickBo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</row>
    <row r="813" spans="1:48" ht="14" customHeight="1" thickBo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</row>
    <row r="814" spans="1:48" ht="14" customHeight="1" thickBo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</row>
    <row r="815" spans="1:48" ht="14" customHeight="1" thickBo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</row>
    <row r="816" spans="1:48" ht="14" customHeight="1" thickBo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</row>
    <row r="817" spans="1:48" ht="14" customHeight="1" thickBo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</row>
    <row r="818" spans="1:48" ht="14" customHeight="1" thickBo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</row>
    <row r="819" spans="1:48" ht="14" customHeight="1" thickBo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</row>
    <row r="820" spans="1:48" ht="14" customHeight="1" thickBo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</row>
    <row r="821" spans="1:48" ht="14" customHeight="1" thickBo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</row>
    <row r="822" spans="1:48" ht="14" customHeight="1" thickBo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</row>
    <row r="823" spans="1:48" ht="14" customHeight="1" thickBo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</row>
    <row r="824" spans="1:48" ht="14" customHeight="1" thickBo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</row>
    <row r="825" spans="1:48" ht="14" customHeight="1" thickBo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</row>
    <row r="826" spans="1:48" ht="14" customHeight="1" thickBo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</row>
    <row r="827" spans="1:48" ht="14" customHeight="1" thickBo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</row>
    <row r="828" spans="1:48" ht="14" customHeight="1" thickBo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</row>
    <row r="829" spans="1:48" ht="14" customHeight="1" thickBo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</row>
    <row r="830" spans="1:48" ht="14" customHeight="1" thickBo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</row>
    <row r="831" spans="1:48" ht="14" customHeight="1" thickBo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</row>
    <row r="832" spans="1:48" ht="14" customHeight="1" thickBo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</row>
    <row r="833" spans="1:48" ht="14" customHeight="1" thickBo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</row>
    <row r="834" spans="1:48" ht="14" customHeight="1" thickBo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</row>
    <row r="835" spans="1:48" ht="14" customHeight="1" thickBo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</row>
    <row r="836" spans="1:48" ht="14" customHeight="1" thickBo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</row>
    <row r="837" spans="1:48" ht="14" customHeight="1" thickBo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</row>
    <row r="838" spans="1:48" ht="14" customHeight="1" thickBo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</row>
    <row r="839" spans="1:48" ht="14" customHeight="1" thickBo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</row>
    <row r="840" spans="1:48" ht="14" customHeight="1" thickBo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</row>
    <row r="841" spans="1:48" ht="14" customHeight="1" thickBo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</row>
    <row r="842" spans="1:48" ht="14" customHeight="1" thickBo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</row>
    <row r="843" spans="1:48" ht="14" customHeight="1" thickBo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</row>
    <row r="844" spans="1:48" ht="14" customHeight="1" thickBo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</row>
    <row r="845" spans="1:48" ht="14" customHeight="1" thickBo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</row>
    <row r="846" spans="1:48" ht="14" customHeight="1" thickBo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</row>
    <row r="847" spans="1:48" ht="14" customHeight="1" thickBo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</row>
    <row r="848" spans="1:48" ht="14" customHeight="1" thickBo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</row>
    <row r="849" spans="1:48" ht="14" customHeight="1" thickBo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</row>
    <row r="850" spans="1:48" ht="14" customHeight="1" thickBo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</row>
    <row r="851" spans="1:48" ht="14" customHeight="1" thickBo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</row>
    <row r="852" spans="1:48" ht="14" customHeight="1" thickBo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</row>
    <row r="853" spans="1:48" ht="14" customHeight="1" thickBo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</row>
    <row r="854" spans="1:48" ht="14" customHeight="1" thickBo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</row>
    <row r="855" spans="1:48" ht="14" customHeight="1" thickBo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</row>
    <row r="856" spans="1:48" ht="14" customHeight="1" thickBo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</row>
    <row r="857" spans="1:48" ht="14" customHeight="1" thickBo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</row>
    <row r="858" spans="1:48" ht="14" customHeight="1" thickBo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</row>
    <row r="859" spans="1:48" ht="14" customHeight="1" thickBo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</row>
    <row r="860" spans="1:48" ht="14" customHeight="1" thickBo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</row>
    <row r="861" spans="1:48" ht="14" customHeight="1" thickBo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</row>
    <row r="862" spans="1:48" ht="14" customHeight="1" thickBo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</row>
    <row r="863" spans="1:48" ht="14" customHeight="1" thickBo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</row>
    <row r="864" spans="1:48" ht="14" customHeight="1" thickBo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</row>
    <row r="865" spans="1:48" ht="14" customHeight="1" thickBo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</row>
    <row r="866" spans="1:48" ht="14" customHeight="1" thickBo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</row>
    <row r="867" spans="1:48" ht="14" customHeight="1" thickBo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</row>
    <row r="868" spans="1:48" ht="14" customHeight="1" thickBo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</row>
    <row r="869" spans="1:48" ht="14" customHeight="1" thickBo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</row>
    <row r="870" spans="1:48" ht="14" customHeight="1" thickBo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</row>
    <row r="871" spans="1:48" ht="14" customHeight="1" thickBo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</row>
    <row r="872" spans="1:48" ht="14" customHeight="1" thickBo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</row>
    <row r="873" spans="1:48" ht="14" customHeight="1" thickBo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</row>
    <row r="874" spans="1:48" ht="14" customHeight="1" thickBo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</row>
    <row r="875" spans="1:48" ht="14" customHeight="1" thickBo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</row>
    <row r="876" spans="1:48" ht="14" customHeight="1" thickBo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</row>
    <row r="877" spans="1:48" ht="14" customHeight="1" thickBo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</row>
    <row r="878" spans="1:48" ht="14" customHeight="1" thickBo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</row>
    <row r="879" spans="1:48" ht="14" customHeight="1" thickBo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</row>
    <row r="880" spans="1:48" ht="14" customHeight="1" thickBo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</row>
    <row r="881" spans="1:48" ht="14" customHeight="1" thickBo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</row>
    <row r="882" spans="1:48" ht="14" customHeight="1" thickBo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</row>
    <row r="883" spans="1:48" ht="14" customHeight="1" thickBo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</row>
    <row r="884" spans="1:48" ht="14" customHeight="1" thickBo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</row>
    <row r="885" spans="1:48" ht="14" customHeight="1" thickBo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</row>
    <row r="886" spans="1:48" ht="14" customHeight="1" thickBo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</row>
    <row r="887" spans="1:48" ht="14" customHeight="1" thickBo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</row>
    <row r="888" spans="1:48" ht="14" customHeight="1" thickBo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</row>
    <row r="889" spans="1:48" ht="14" customHeight="1" thickBo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</row>
    <row r="890" spans="1:48" ht="14" customHeight="1" thickBo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</row>
    <row r="891" spans="1:48" ht="14" customHeight="1" thickBo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</row>
    <row r="892" spans="1:48" ht="14" customHeight="1" thickBo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</row>
    <row r="893" spans="1:48" ht="14" customHeight="1" thickBo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</row>
    <row r="894" spans="1:48" ht="14" customHeight="1" thickBo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</row>
    <row r="895" spans="1:48" ht="14" customHeight="1" thickBo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</row>
    <row r="896" spans="1:48" ht="14" customHeight="1" thickBo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</row>
    <row r="897" spans="1:48" ht="14" customHeight="1" thickBo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</row>
    <row r="898" spans="1:48" ht="14" customHeight="1" thickBo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</row>
    <row r="899" spans="1:48" ht="14" customHeight="1" thickBo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</row>
    <row r="900" spans="1:48" ht="14" customHeight="1" thickBo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</row>
    <row r="901" spans="1:48" ht="14" customHeight="1" thickBo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</row>
    <row r="902" spans="1:48" ht="14" customHeight="1" thickBo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</row>
    <row r="903" spans="1:48" ht="14" customHeight="1" thickBo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</row>
    <row r="904" spans="1:48" ht="14" customHeight="1" thickBo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</row>
    <row r="905" spans="1:48" ht="14" customHeight="1" thickBo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</row>
    <row r="906" spans="1:48" ht="14" customHeight="1" thickBo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</row>
    <row r="907" spans="1:48" ht="14" customHeight="1" thickBo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</row>
    <row r="908" spans="1:48" ht="14" customHeight="1" thickBo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</row>
    <row r="909" spans="1:48" ht="14" customHeight="1" thickBo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</row>
    <row r="910" spans="1:48" ht="14" customHeight="1" thickBo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</row>
    <row r="911" spans="1:48" ht="14" customHeight="1" thickBo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</row>
    <row r="912" spans="1:48" ht="14" customHeight="1" thickBo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</row>
    <row r="913" spans="1:48" ht="14" customHeight="1" thickBo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</row>
    <row r="914" spans="1:48" ht="14" customHeight="1" thickBo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</row>
    <row r="915" spans="1:48" ht="14" customHeight="1" thickBo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</row>
    <row r="916" spans="1:48" ht="14" customHeight="1" thickBo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</row>
    <row r="917" spans="1:48" ht="14" customHeight="1" thickBo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</row>
    <row r="918" spans="1:48" ht="14" customHeight="1" thickBo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</row>
    <row r="919" spans="1:48" ht="14" customHeight="1" thickBo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</row>
    <row r="920" spans="1:48" ht="14" customHeight="1" thickBo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</row>
    <row r="921" spans="1:48" ht="14" customHeight="1" thickBo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</row>
    <row r="922" spans="1:48" ht="14" customHeight="1" thickBo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</row>
    <row r="923" spans="1:48" ht="14" customHeight="1" thickBo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</row>
    <row r="924" spans="1:48" ht="14" customHeight="1" thickBo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</row>
    <row r="925" spans="1:48" ht="14" customHeight="1" thickBo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</row>
    <row r="926" spans="1:48" ht="14" customHeight="1" thickBo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</row>
    <row r="927" spans="1:48" ht="14" customHeight="1" thickBo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</row>
    <row r="928" spans="1:48" ht="14" customHeight="1" thickBo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</row>
    <row r="929" spans="1:48" ht="14" customHeight="1" thickBo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</row>
    <row r="930" spans="1:48" ht="14" customHeight="1" thickBo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</row>
    <row r="931" spans="1:48" ht="14" customHeight="1" thickBo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</row>
    <row r="932" spans="1:48" ht="14" customHeight="1" thickBo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</row>
    <row r="933" spans="1:48" ht="14" customHeight="1" thickBo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</row>
    <row r="934" spans="1:48" ht="14" customHeight="1" thickBo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</row>
    <row r="935" spans="1:48" ht="14" customHeight="1" thickBo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</row>
    <row r="936" spans="1:48" ht="14" customHeight="1" thickBo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</row>
    <row r="937" spans="1:48" ht="14" customHeight="1" thickBo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</row>
    <row r="938" spans="1:48" ht="14" customHeight="1" thickBo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</row>
  </sheetData>
  <mergeCells count="1">
    <mergeCell ref="A10:E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8CD1-7886-4823-974E-B600145CC16B}">
  <dimension ref="A1:V65"/>
  <sheetViews>
    <sheetView view="pageBreakPreview" topLeftCell="A4" zoomScaleNormal="120" zoomScaleSheetLayoutView="100" workbookViewId="0">
      <selection activeCell="D12" sqref="D12:E17"/>
    </sheetView>
  </sheetViews>
  <sheetFormatPr defaultRowHeight="14"/>
  <cols>
    <col min="1" max="1" width="4" customWidth="1"/>
    <col min="2" max="2" width="12.83203125" customWidth="1"/>
    <col min="3" max="3" width="34.83203125" customWidth="1"/>
    <col min="4" max="4" width="13.08203125" customWidth="1"/>
    <col min="5" max="5" width="15.25" customWidth="1"/>
    <col min="6" max="6" width="12.6640625" customWidth="1"/>
    <col min="9" max="9" width="13" customWidth="1"/>
  </cols>
  <sheetData>
    <row r="1" spans="1:22" ht="18">
      <c r="A1" s="216" t="s">
        <v>79</v>
      </c>
      <c r="B1" s="216"/>
      <c r="C1" s="216"/>
      <c r="D1" s="216"/>
      <c r="E1" s="216"/>
      <c r="F1" s="216"/>
      <c r="G1" s="216"/>
      <c r="H1" s="216"/>
      <c r="I1" s="33"/>
    </row>
    <row r="2" spans="1:22" ht="18.5" thickBot="1">
      <c r="A2" s="217" t="s">
        <v>80</v>
      </c>
      <c r="B2" s="217"/>
      <c r="C2" s="217"/>
      <c r="D2" s="217"/>
      <c r="E2" s="217"/>
      <c r="F2" s="217"/>
      <c r="G2" s="217"/>
      <c r="H2" s="217"/>
      <c r="I2" s="33"/>
    </row>
    <row r="4" spans="1:22">
      <c r="A4" t="s">
        <v>81</v>
      </c>
      <c r="C4" t="s">
        <v>82</v>
      </c>
      <c r="E4" t="s">
        <v>83</v>
      </c>
      <c r="F4" t="s">
        <v>273</v>
      </c>
    </row>
    <row r="5" spans="1:22">
      <c r="A5" t="s">
        <v>41</v>
      </c>
      <c r="C5" s="34" t="s">
        <v>274</v>
      </c>
      <c r="E5" t="s">
        <v>85</v>
      </c>
      <c r="F5" t="s">
        <v>275</v>
      </c>
    </row>
    <row r="6" spans="1:22">
      <c r="A6" t="s">
        <v>42</v>
      </c>
      <c r="C6" t="s">
        <v>276</v>
      </c>
    </row>
    <row r="7" spans="1:22">
      <c r="A7" t="s">
        <v>87</v>
      </c>
      <c r="C7" t="s">
        <v>112</v>
      </c>
    </row>
    <row r="8" spans="1:22">
      <c r="A8" t="s">
        <v>89</v>
      </c>
      <c r="C8" t="s">
        <v>90</v>
      </c>
    </row>
    <row r="9" spans="1:22">
      <c r="A9" t="s">
        <v>91</v>
      </c>
      <c r="C9" t="s">
        <v>277</v>
      </c>
    </row>
    <row r="10" spans="1:22">
      <c r="C10" t="s">
        <v>278</v>
      </c>
    </row>
    <row r="11" spans="1:22">
      <c r="C11" s="35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1:22" s="117" customFormat="1" ht="12.5">
      <c r="C12" s="118"/>
      <c r="D12" s="218" t="s">
        <v>47</v>
      </c>
      <c r="E12" s="219"/>
      <c r="F12" s="220" t="s">
        <v>92</v>
      </c>
      <c r="G12" s="220" t="s">
        <v>93</v>
      </c>
    </row>
    <row r="13" spans="1:22" s="117" customFormat="1" ht="12.5">
      <c r="C13" s="118"/>
      <c r="D13" s="218" t="s">
        <v>257</v>
      </c>
      <c r="E13" s="219"/>
      <c r="F13" s="221"/>
      <c r="G13" s="221"/>
    </row>
    <row r="14" spans="1:22" s="117" customFormat="1" ht="12.5">
      <c r="C14" s="118"/>
      <c r="D14" s="218" t="s">
        <v>258</v>
      </c>
      <c r="E14" s="219"/>
      <c r="F14" s="221"/>
      <c r="G14" s="221"/>
    </row>
    <row r="15" spans="1:22" s="117" customFormat="1" ht="12.5">
      <c r="C15" s="118"/>
      <c r="D15" s="119" t="s">
        <v>118</v>
      </c>
      <c r="E15" s="119" t="s">
        <v>118</v>
      </c>
      <c r="F15" s="221"/>
      <c r="G15" s="221"/>
    </row>
    <row r="16" spans="1:22" s="117" customFormat="1" ht="12.5">
      <c r="C16" s="118"/>
      <c r="D16" s="119" t="s">
        <v>120</v>
      </c>
      <c r="E16" s="119" t="s">
        <v>154</v>
      </c>
      <c r="F16" s="221"/>
      <c r="G16" s="221"/>
    </row>
    <row r="17" spans="1:7" s="117" customFormat="1" ht="12.5">
      <c r="C17" s="118"/>
      <c r="D17" s="119">
        <v>50</v>
      </c>
      <c r="E17" s="119">
        <v>50</v>
      </c>
      <c r="F17" s="222"/>
      <c r="G17" s="222"/>
    </row>
    <row r="18" spans="1:7" s="117" customFormat="1" ht="13">
      <c r="A18" s="120" t="s">
        <v>0</v>
      </c>
      <c r="B18" s="120" t="s">
        <v>1</v>
      </c>
      <c r="C18" s="120" t="s">
        <v>2</v>
      </c>
      <c r="D18" s="120"/>
      <c r="E18" s="120"/>
      <c r="F18" s="120"/>
      <c r="G18" s="120"/>
    </row>
    <row r="19" spans="1:7" s="117" customFormat="1" ht="12.5">
      <c r="A19" s="121">
        <v>1</v>
      </c>
      <c r="B19" s="122" t="s">
        <v>191</v>
      </c>
      <c r="C19" s="122" t="s">
        <v>192</v>
      </c>
      <c r="D19" s="123">
        <v>77.5</v>
      </c>
      <c r="E19" s="123">
        <v>82</v>
      </c>
      <c r="F19" s="123">
        <f t="shared" ref="F19:F52" si="0">IFERROR((D19*($D$17/100))+(E19*($E$17/100)),"")</f>
        <v>79.75</v>
      </c>
      <c r="G19" s="123" t="str">
        <f>IFERROR(VLOOKUP(F19,[1]Sheet1!$AA$1:$AB$10,2),"")</f>
        <v>B+</v>
      </c>
    </row>
    <row r="20" spans="1:7" s="117" customFormat="1" ht="12.5">
      <c r="A20" s="121">
        <v>2</v>
      </c>
      <c r="B20" s="122" t="s">
        <v>193</v>
      </c>
      <c r="C20" s="122" t="s">
        <v>194</v>
      </c>
      <c r="D20" s="123">
        <v>94</v>
      </c>
      <c r="E20" s="123">
        <v>99.5</v>
      </c>
      <c r="F20" s="123">
        <f t="shared" si="0"/>
        <v>96.75</v>
      </c>
      <c r="G20" s="123" t="str">
        <f>IFERROR(VLOOKUP(F20,[1]Sheet1!$AA$1:$AB$10,2),"")</f>
        <v>A</v>
      </c>
    </row>
    <row r="21" spans="1:7" s="117" customFormat="1" ht="12.5">
      <c r="A21" s="121">
        <v>3</v>
      </c>
      <c r="B21" s="122" t="s">
        <v>195</v>
      </c>
      <c r="C21" s="122" t="s">
        <v>196</v>
      </c>
      <c r="D21" s="123">
        <v>93</v>
      </c>
      <c r="E21" s="123">
        <v>98.5</v>
      </c>
      <c r="F21" s="123">
        <f t="shared" si="0"/>
        <v>95.75</v>
      </c>
      <c r="G21" s="123" t="str">
        <f>IFERROR(VLOOKUP(F21,[1]Sheet1!$AA$1:$AB$10,2),"")</f>
        <v>A</v>
      </c>
    </row>
    <row r="22" spans="1:7" s="117" customFormat="1" ht="12.5">
      <c r="A22" s="121">
        <v>4</v>
      </c>
      <c r="B22" s="122" t="s">
        <v>197</v>
      </c>
      <c r="C22" s="122" t="s">
        <v>198</v>
      </c>
      <c r="D22" s="123">
        <v>77.5</v>
      </c>
      <c r="E22" s="123">
        <v>82</v>
      </c>
      <c r="F22" s="123">
        <f t="shared" si="0"/>
        <v>79.75</v>
      </c>
      <c r="G22" s="123" t="str">
        <f>IFERROR(VLOOKUP(F22,[1]Sheet1!$AA$1:$AB$10,2),"")</f>
        <v>B+</v>
      </c>
    </row>
    <row r="23" spans="1:7" s="117" customFormat="1" ht="12.5">
      <c r="A23" s="121">
        <v>5</v>
      </c>
      <c r="B23" s="122" t="s">
        <v>199</v>
      </c>
      <c r="C23" s="122" t="s">
        <v>200</v>
      </c>
      <c r="D23" s="123">
        <v>77.5</v>
      </c>
      <c r="E23" s="123">
        <v>82.5</v>
      </c>
      <c r="F23" s="123">
        <f t="shared" si="0"/>
        <v>80</v>
      </c>
      <c r="G23" s="123" t="str">
        <f>IFERROR(VLOOKUP(F23,[1]Sheet1!$AA$1:$AB$10,2),"")</f>
        <v>B+</v>
      </c>
    </row>
    <row r="24" spans="1:7" s="117" customFormat="1" ht="12.5">
      <c r="A24" s="121">
        <v>6</v>
      </c>
      <c r="B24" s="122" t="s">
        <v>201</v>
      </c>
      <c r="C24" s="122" t="s">
        <v>202</v>
      </c>
      <c r="D24" s="123">
        <v>76.3</v>
      </c>
      <c r="E24" s="123">
        <v>80.8</v>
      </c>
      <c r="F24" s="123">
        <f t="shared" si="0"/>
        <v>78.55</v>
      </c>
      <c r="G24" s="123" t="str">
        <f>IFERROR(VLOOKUP(F24,[1]Sheet1!$AA$1:$AB$10,2),"")</f>
        <v>B+</v>
      </c>
    </row>
    <row r="25" spans="1:7" s="117" customFormat="1" ht="12.5">
      <c r="A25" s="121">
        <v>7</v>
      </c>
      <c r="B25" s="122" t="s">
        <v>203</v>
      </c>
      <c r="C25" s="122" t="s">
        <v>204</v>
      </c>
      <c r="D25" s="123">
        <v>93</v>
      </c>
      <c r="E25" s="123">
        <v>99</v>
      </c>
      <c r="F25" s="123">
        <f t="shared" si="0"/>
        <v>96</v>
      </c>
      <c r="G25" s="123" t="str">
        <f>IFERROR(VLOOKUP(F25,[1]Sheet1!$AA$1:$AB$10,2),"")</f>
        <v>A</v>
      </c>
    </row>
    <row r="26" spans="1:7" s="117" customFormat="1" ht="12.5">
      <c r="A26" s="121">
        <v>8</v>
      </c>
      <c r="B26" s="122" t="s">
        <v>205</v>
      </c>
      <c r="C26" s="122" t="s">
        <v>206</v>
      </c>
      <c r="D26" s="123">
        <v>77.5</v>
      </c>
      <c r="E26" s="123">
        <v>82</v>
      </c>
      <c r="F26" s="123">
        <f t="shared" si="0"/>
        <v>79.75</v>
      </c>
      <c r="G26" s="123" t="str">
        <f>IFERROR(VLOOKUP(F26,[1]Sheet1!$AA$1:$AB$10,2),"")</f>
        <v>B+</v>
      </c>
    </row>
    <row r="27" spans="1:7" s="117" customFormat="1" ht="12.5">
      <c r="A27" s="121">
        <v>9</v>
      </c>
      <c r="B27" s="122" t="s">
        <v>207</v>
      </c>
      <c r="C27" s="122" t="s">
        <v>208</v>
      </c>
      <c r="D27" s="123">
        <v>77.5</v>
      </c>
      <c r="E27" s="123">
        <v>81.5</v>
      </c>
      <c r="F27" s="123">
        <f t="shared" si="0"/>
        <v>79.5</v>
      </c>
      <c r="G27" s="123" t="str">
        <f>IFERROR(VLOOKUP(F27,[1]Sheet1!$AA$1:$AB$10,2),"")</f>
        <v>B+</v>
      </c>
    </row>
    <row r="28" spans="1:7" s="117" customFormat="1" ht="12.5">
      <c r="A28" s="121">
        <v>10</v>
      </c>
      <c r="B28" s="122" t="s">
        <v>209</v>
      </c>
      <c r="C28" s="122" t="s">
        <v>210</v>
      </c>
      <c r="D28" s="123">
        <v>94</v>
      </c>
      <c r="E28" s="123">
        <v>99.5</v>
      </c>
      <c r="F28" s="123">
        <f t="shared" si="0"/>
        <v>96.75</v>
      </c>
      <c r="G28" s="123" t="str">
        <f>IFERROR(VLOOKUP(F28,[1]Sheet1!$AA$1:$AB$10,2),"")</f>
        <v>A</v>
      </c>
    </row>
    <row r="29" spans="1:7" s="117" customFormat="1" ht="12.5">
      <c r="A29" s="121">
        <v>11</v>
      </c>
      <c r="B29" s="122" t="s">
        <v>279</v>
      </c>
      <c r="C29" s="122" t="s">
        <v>280</v>
      </c>
      <c r="D29" s="123">
        <v>82</v>
      </c>
      <c r="E29" s="123">
        <v>86.5</v>
      </c>
      <c r="F29" s="123">
        <f t="shared" si="0"/>
        <v>84.25</v>
      </c>
      <c r="G29" s="123" t="str">
        <f>IFERROR(VLOOKUP(F29,[1]Sheet1!$AA$1:$AB$10,2),"")</f>
        <v>B+</v>
      </c>
    </row>
    <row r="30" spans="1:7" s="117" customFormat="1" ht="12.5">
      <c r="A30" s="121">
        <v>12</v>
      </c>
      <c r="B30" s="122" t="s">
        <v>211</v>
      </c>
      <c r="C30" s="122" t="s">
        <v>212</v>
      </c>
      <c r="D30" s="123">
        <v>94</v>
      </c>
      <c r="E30" s="123">
        <v>99.5</v>
      </c>
      <c r="F30" s="123">
        <f t="shared" si="0"/>
        <v>96.75</v>
      </c>
      <c r="G30" s="123" t="str">
        <f>IFERROR(VLOOKUP(F30,[1]Sheet1!$AA$1:$AB$10,2),"")</f>
        <v>A</v>
      </c>
    </row>
    <row r="31" spans="1:7" s="117" customFormat="1" ht="12.5">
      <c r="A31" s="121">
        <v>13</v>
      </c>
      <c r="B31" s="122" t="s">
        <v>213</v>
      </c>
      <c r="C31" s="122" t="s">
        <v>214</v>
      </c>
      <c r="D31" s="123">
        <v>75.599999999999994</v>
      </c>
      <c r="E31" s="123">
        <v>76.599999999999994</v>
      </c>
      <c r="F31" s="123">
        <f t="shared" si="0"/>
        <v>76.099999999999994</v>
      </c>
      <c r="G31" s="123" t="str">
        <f>IFERROR(VLOOKUP(F31,[1]Sheet1!$AA$1:$AB$10,2),"")</f>
        <v>B+</v>
      </c>
    </row>
    <row r="32" spans="1:7" s="117" customFormat="1" ht="12.5">
      <c r="A32" s="121">
        <v>14</v>
      </c>
      <c r="B32" s="122" t="s">
        <v>215</v>
      </c>
      <c r="C32" s="122" t="s">
        <v>216</v>
      </c>
      <c r="D32" s="123">
        <v>82</v>
      </c>
      <c r="E32" s="123">
        <v>86.5</v>
      </c>
      <c r="F32" s="123">
        <f t="shared" si="0"/>
        <v>84.25</v>
      </c>
      <c r="G32" s="123" t="str">
        <f>IFERROR(VLOOKUP(F32,[1]Sheet1!$AA$1:$AB$10,2),"")</f>
        <v>B+</v>
      </c>
    </row>
    <row r="33" spans="1:7" s="117" customFormat="1" ht="12.5">
      <c r="A33" s="121">
        <v>15</v>
      </c>
      <c r="B33" s="122" t="s">
        <v>217</v>
      </c>
      <c r="C33" s="122" t="s">
        <v>218</v>
      </c>
      <c r="D33" s="123">
        <v>94</v>
      </c>
      <c r="E33" s="123">
        <v>99.5</v>
      </c>
      <c r="F33" s="123">
        <f t="shared" si="0"/>
        <v>96.75</v>
      </c>
      <c r="G33" s="123" t="str">
        <f>IFERROR(VLOOKUP(F33,[1]Sheet1!$AA$1:$AB$10,2),"")</f>
        <v>A</v>
      </c>
    </row>
    <row r="34" spans="1:7" s="117" customFormat="1" ht="12.5">
      <c r="A34" s="121">
        <v>16</v>
      </c>
      <c r="B34" s="122" t="s">
        <v>219</v>
      </c>
      <c r="C34" s="122" t="s">
        <v>220</v>
      </c>
      <c r="D34" s="123">
        <v>82</v>
      </c>
      <c r="E34" s="123">
        <v>87</v>
      </c>
      <c r="F34" s="123">
        <f t="shared" si="0"/>
        <v>84.5</v>
      </c>
      <c r="G34" s="123" t="str">
        <f>IFERROR(VLOOKUP(F34,[1]Sheet1!$AA$1:$AB$10,2),"")</f>
        <v>A-</v>
      </c>
    </row>
    <row r="35" spans="1:7" s="117" customFormat="1" ht="12.5">
      <c r="A35" s="121">
        <v>17</v>
      </c>
      <c r="B35" s="122" t="s">
        <v>221</v>
      </c>
      <c r="C35" s="122" t="s">
        <v>222</v>
      </c>
      <c r="D35" s="123">
        <v>82</v>
      </c>
      <c r="E35" s="123">
        <v>87</v>
      </c>
      <c r="F35" s="123">
        <f t="shared" si="0"/>
        <v>84.5</v>
      </c>
      <c r="G35" s="123" t="str">
        <f>IFERROR(VLOOKUP(F35,[1]Sheet1!$AA$1:$AB$10,2),"")</f>
        <v>A-</v>
      </c>
    </row>
    <row r="36" spans="1:7" s="117" customFormat="1" ht="12.5">
      <c r="A36" s="121">
        <v>18</v>
      </c>
      <c r="B36" s="122" t="s">
        <v>223</v>
      </c>
      <c r="C36" s="122" t="s">
        <v>224</v>
      </c>
      <c r="D36" s="123">
        <v>77.400000000000006</v>
      </c>
      <c r="E36" s="123">
        <v>81.900000000000006</v>
      </c>
      <c r="F36" s="123">
        <f t="shared" si="0"/>
        <v>79.650000000000006</v>
      </c>
      <c r="G36" s="123" t="str">
        <f>IFERROR(VLOOKUP(F36,[1]Sheet1!$AA$1:$AB$10,2),"")</f>
        <v>B+</v>
      </c>
    </row>
    <row r="37" spans="1:7" s="117" customFormat="1" ht="12.5">
      <c r="A37" s="121">
        <v>19</v>
      </c>
      <c r="B37" s="122" t="s">
        <v>225</v>
      </c>
      <c r="C37" s="122" t="s">
        <v>226</v>
      </c>
      <c r="D37" s="123">
        <v>77.5</v>
      </c>
      <c r="E37" s="123">
        <v>82</v>
      </c>
      <c r="F37" s="123">
        <f t="shared" si="0"/>
        <v>79.75</v>
      </c>
      <c r="G37" s="123" t="str">
        <f>IFERROR(VLOOKUP(F37,[1]Sheet1!$AA$1:$AB$10,2),"")</f>
        <v>B+</v>
      </c>
    </row>
    <row r="38" spans="1:7" s="117" customFormat="1" ht="12.5">
      <c r="A38" s="121">
        <v>20</v>
      </c>
      <c r="B38" s="122" t="s">
        <v>227</v>
      </c>
      <c r="C38" s="122" t="s">
        <v>228</v>
      </c>
      <c r="D38" s="123">
        <v>81</v>
      </c>
      <c r="E38" s="123">
        <v>78</v>
      </c>
      <c r="F38" s="123">
        <f t="shared" si="0"/>
        <v>79.5</v>
      </c>
      <c r="G38" s="123" t="str">
        <f>IFERROR(VLOOKUP(F38,[1]Sheet1!$AA$1:$AB$10,2),"")</f>
        <v>B+</v>
      </c>
    </row>
    <row r="39" spans="1:7" s="117" customFormat="1" ht="12.5">
      <c r="A39" s="121">
        <v>21</v>
      </c>
      <c r="B39" s="122" t="s">
        <v>229</v>
      </c>
      <c r="C39" s="122" t="s">
        <v>230</v>
      </c>
      <c r="D39" s="123">
        <v>76.900000000000006</v>
      </c>
      <c r="E39" s="123">
        <v>81.400000000000006</v>
      </c>
      <c r="F39" s="123">
        <f t="shared" si="0"/>
        <v>79.150000000000006</v>
      </c>
      <c r="G39" s="123" t="str">
        <f>IFERROR(VLOOKUP(F39,[1]Sheet1!$AA$1:$AB$10,2),"")</f>
        <v>B+</v>
      </c>
    </row>
    <row r="40" spans="1:7" s="117" customFormat="1" ht="12.5">
      <c r="A40" s="121">
        <v>22</v>
      </c>
      <c r="B40" s="122" t="s">
        <v>231</v>
      </c>
      <c r="C40" s="122" t="s">
        <v>232</v>
      </c>
      <c r="D40" s="123">
        <v>82</v>
      </c>
      <c r="E40" s="123">
        <v>83.5</v>
      </c>
      <c r="F40" s="123">
        <f t="shared" si="0"/>
        <v>82.75</v>
      </c>
      <c r="G40" s="123" t="str">
        <f>IFERROR(VLOOKUP(F40,[1]Sheet1!$AA$1:$AB$10,2),"")</f>
        <v>B+</v>
      </c>
    </row>
    <row r="41" spans="1:7" s="117" customFormat="1" ht="12.5">
      <c r="A41" s="121">
        <v>23</v>
      </c>
      <c r="B41" s="122" t="s">
        <v>233</v>
      </c>
      <c r="C41" s="122" t="s">
        <v>234</v>
      </c>
      <c r="D41" s="123">
        <v>82.5</v>
      </c>
      <c r="E41" s="123">
        <v>87.5</v>
      </c>
      <c r="F41" s="123">
        <f t="shared" si="0"/>
        <v>85</v>
      </c>
      <c r="G41" s="123" t="str">
        <f>IFERROR(VLOOKUP(F41,[1]Sheet1!$AA$1:$AB$10,2),"")</f>
        <v>A-</v>
      </c>
    </row>
    <row r="42" spans="1:7" s="117" customFormat="1" ht="12.5">
      <c r="A42" s="121">
        <v>24</v>
      </c>
      <c r="B42" s="122" t="s">
        <v>235</v>
      </c>
      <c r="C42" s="122" t="s">
        <v>281</v>
      </c>
      <c r="D42" s="123">
        <v>85.5</v>
      </c>
      <c r="E42" s="123">
        <v>85.5</v>
      </c>
      <c r="F42" s="123">
        <f t="shared" si="0"/>
        <v>85.5</v>
      </c>
      <c r="G42" s="123" t="str">
        <f>IFERROR(VLOOKUP(F42,[1]Sheet1!$AA$1:$AB$10,2),"")</f>
        <v>A-</v>
      </c>
    </row>
    <row r="43" spans="1:7" s="117" customFormat="1" ht="12.5">
      <c r="A43" s="121">
        <v>25</v>
      </c>
      <c r="B43" s="122" t="s">
        <v>237</v>
      </c>
      <c r="C43" s="122" t="s">
        <v>238</v>
      </c>
      <c r="D43" s="123">
        <v>83.75</v>
      </c>
      <c r="E43" s="123">
        <v>83.75</v>
      </c>
      <c r="F43" s="123">
        <f t="shared" si="0"/>
        <v>83.75</v>
      </c>
      <c r="G43" s="123" t="str">
        <f>IFERROR(VLOOKUP(F43,[1]Sheet1!$AA$1:$AB$10,2),"")</f>
        <v>B+</v>
      </c>
    </row>
    <row r="44" spans="1:7" s="117" customFormat="1" ht="12.5">
      <c r="A44" s="121">
        <v>26</v>
      </c>
      <c r="B44" s="122" t="s">
        <v>239</v>
      </c>
      <c r="C44" s="122" t="s">
        <v>240</v>
      </c>
      <c r="D44" s="123">
        <v>80.25</v>
      </c>
      <c r="E44" s="123">
        <v>80.25</v>
      </c>
      <c r="F44" s="123">
        <f t="shared" si="0"/>
        <v>80.25</v>
      </c>
      <c r="G44" s="123" t="str">
        <f>IFERROR(VLOOKUP(F44,[1]Sheet1!$AA$1:$AB$10,2),"")</f>
        <v>B+</v>
      </c>
    </row>
    <row r="45" spans="1:7" s="117" customFormat="1" ht="12.5">
      <c r="A45" s="121">
        <v>27</v>
      </c>
      <c r="B45" s="122" t="s">
        <v>241</v>
      </c>
      <c r="C45" s="122" t="s">
        <v>242</v>
      </c>
      <c r="D45" s="123">
        <v>83.75</v>
      </c>
      <c r="E45" s="123">
        <v>83.75</v>
      </c>
      <c r="F45" s="123">
        <f t="shared" si="0"/>
        <v>83.75</v>
      </c>
      <c r="G45" s="123" t="str">
        <f>IFERROR(VLOOKUP(F45,[1]Sheet1!$AA$1:$AB$10,2),"")</f>
        <v>B+</v>
      </c>
    </row>
    <row r="46" spans="1:7" s="117" customFormat="1" ht="12.5">
      <c r="A46" s="121">
        <v>28</v>
      </c>
      <c r="B46" s="122" t="s">
        <v>243</v>
      </c>
      <c r="C46" s="122" t="s">
        <v>244</v>
      </c>
      <c r="D46" s="123">
        <v>83.75</v>
      </c>
      <c r="E46" s="123">
        <v>83.75</v>
      </c>
      <c r="F46" s="123">
        <f t="shared" si="0"/>
        <v>83.75</v>
      </c>
      <c r="G46" s="123" t="str">
        <f>IFERROR(VLOOKUP(F46,[1]Sheet1!$AA$1:$AB$10,2),"")</f>
        <v>B+</v>
      </c>
    </row>
    <row r="47" spans="1:7" s="117" customFormat="1" ht="12.5">
      <c r="A47" s="121">
        <v>29</v>
      </c>
      <c r="B47" s="122" t="s">
        <v>245</v>
      </c>
      <c r="C47" s="122" t="s">
        <v>246</v>
      </c>
      <c r="D47" s="123">
        <v>85.5</v>
      </c>
      <c r="E47" s="123">
        <v>85.5</v>
      </c>
      <c r="F47" s="123">
        <f t="shared" si="0"/>
        <v>85.5</v>
      </c>
      <c r="G47" s="123" t="str">
        <f>IFERROR(VLOOKUP(F47,[1]Sheet1!$AA$1:$AB$10,2),"")</f>
        <v>A-</v>
      </c>
    </row>
    <row r="48" spans="1:7" s="117" customFormat="1" ht="12.5">
      <c r="A48" s="121">
        <v>30</v>
      </c>
      <c r="B48" s="122" t="s">
        <v>247</v>
      </c>
      <c r="C48" s="122" t="s">
        <v>248</v>
      </c>
      <c r="D48" s="123">
        <v>85.5</v>
      </c>
      <c r="E48" s="123">
        <v>85.5</v>
      </c>
      <c r="F48" s="123">
        <f t="shared" si="0"/>
        <v>85.5</v>
      </c>
      <c r="G48" s="123" t="str">
        <f>IFERROR(VLOOKUP(F48,[1]Sheet1!$AA$1:$AB$10,2),"")</f>
        <v>A-</v>
      </c>
    </row>
    <row r="49" spans="1:7" s="117" customFormat="1" ht="12.5">
      <c r="A49" s="121">
        <v>31</v>
      </c>
      <c r="B49" s="122" t="s">
        <v>249</v>
      </c>
      <c r="C49" s="122" t="s">
        <v>250</v>
      </c>
      <c r="D49" s="123">
        <v>85.5</v>
      </c>
      <c r="E49" s="123">
        <v>85.5</v>
      </c>
      <c r="F49" s="123">
        <f t="shared" si="0"/>
        <v>85.5</v>
      </c>
      <c r="G49" s="123" t="str">
        <f>IFERROR(VLOOKUP(F49,[1]Sheet1!$AA$1:$AB$10,2),"")</f>
        <v>A-</v>
      </c>
    </row>
    <row r="50" spans="1:7" s="117" customFormat="1" ht="12.5">
      <c r="A50" s="121">
        <v>32</v>
      </c>
      <c r="B50" s="122" t="s">
        <v>251</v>
      </c>
      <c r="C50" s="122" t="s">
        <v>252</v>
      </c>
      <c r="D50" s="123">
        <v>80.25</v>
      </c>
      <c r="E50" s="123">
        <v>80.25</v>
      </c>
      <c r="F50" s="123">
        <f t="shared" si="0"/>
        <v>80.25</v>
      </c>
      <c r="G50" s="123" t="str">
        <f>IFERROR(VLOOKUP(F50,[1]Sheet1!$AA$1:$AB$10,2),"")</f>
        <v>B+</v>
      </c>
    </row>
    <row r="51" spans="1:7" s="117" customFormat="1" ht="12.5">
      <c r="A51" s="121">
        <v>33</v>
      </c>
      <c r="B51" s="122" t="s">
        <v>253</v>
      </c>
      <c r="C51" s="122" t="s">
        <v>254</v>
      </c>
      <c r="D51" s="123">
        <v>83.75</v>
      </c>
      <c r="E51" s="123">
        <v>83.75</v>
      </c>
      <c r="F51" s="123">
        <f t="shared" si="0"/>
        <v>83.75</v>
      </c>
      <c r="G51" s="123" t="str">
        <f>IFERROR(VLOOKUP(F51,[1]Sheet1!$AA$1:$AB$10,2),"")</f>
        <v>B+</v>
      </c>
    </row>
    <row r="52" spans="1:7" s="117" customFormat="1" ht="12.5">
      <c r="A52" s="124">
        <v>34</v>
      </c>
      <c r="B52" s="122" t="s">
        <v>255</v>
      </c>
      <c r="C52" s="122" t="s">
        <v>256</v>
      </c>
      <c r="D52" s="123">
        <v>80.25</v>
      </c>
      <c r="E52" s="123">
        <v>80.25</v>
      </c>
      <c r="F52" s="123">
        <f t="shared" si="0"/>
        <v>80.25</v>
      </c>
      <c r="G52" s="123" t="str">
        <f>IFERROR(VLOOKUP(F52,[1]Sheet1!$AA$1:$AB$10,2),"")</f>
        <v>B+</v>
      </c>
    </row>
    <row r="53" spans="1:7" s="117" customFormat="1" ht="12.5">
      <c r="A53" s="125"/>
      <c r="B53" s="126"/>
      <c r="C53" s="126"/>
      <c r="D53" s="125"/>
      <c r="E53" s="125"/>
      <c r="F53" s="127"/>
      <c r="G53" s="127"/>
    </row>
    <row r="54" spans="1:7" s="117" customFormat="1" ht="13" thickBot="1">
      <c r="C54" s="118"/>
      <c r="D54" s="128" t="str">
        <f t="shared" ref="D54:E54" si="1">D16</f>
        <v>CPMK021</v>
      </c>
      <c r="E54" s="128" t="str">
        <f t="shared" si="1"/>
        <v>CPMK023</v>
      </c>
      <c r="F54" s="128" t="str">
        <f>F12</f>
        <v>Nilai Akhir MK</v>
      </c>
    </row>
    <row r="55" spans="1:7" s="117" customFormat="1" ht="13" thickBot="1">
      <c r="C55" s="129" t="s">
        <v>188</v>
      </c>
      <c r="D55" s="130">
        <f>IFERROR(COUNTIF(D19:D52,""),"")</f>
        <v>0</v>
      </c>
      <c r="E55" s="130">
        <f>IFERROR(COUNTIF(E19:E52,""),"")</f>
        <v>0</v>
      </c>
      <c r="F55" s="130">
        <f>IFERROR(COUNTIF(F19:F52,""),"")</f>
        <v>0</v>
      </c>
    </row>
    <row r="56" spans="1:7" s="117" customFormat="1" ht="13" thickBot="1">
      <c r="C56" s="131" t="s">
        <v>98</v>
      </c>
      <c r="D56" s="148">
        <f>IFERROR(COUNTIF(D19:D52,C56)+COUNTIF(D19:D52,""),"")-D55</f>
        <v>0</v>
      </c>
      <c r="E56" s="132">
        <f>COUNTIF(E19:E52,C56)+COUNTIF(E19:E52,"")-E55</f>
        <v>0</v>
      </c>
      <c r="F56" s="148">
        <f>IFERROR(COUNTIF(F19:F52,C56)+COUNTIF(F19:F52,""),"")-F55</f>
        <v>0</v>
      </c>
    </row>
    <row r="57" spans="1:7" s="117" customFormat="1" ht="13" thickBot="1">
      <c r="C57" s="133" t="s">
        <v>99</v>
      </c>
      <c r="D57" s="134">
        <f>IFERROR(COUNTIF(D19:D52,C57)-D56,"")</f>
        <v>24</v>
      </c>
      <c r="E57" s="134">
        <f>COUNTIF(E19:E52,C57)-E56</f>
        <v>19</v>
      </c>
      <c r="F57" s="135">
        <f>IFERROR(COUNTIF(F19:F52,C57)-F56,"")</f>
        <v>23</v>
      </c>
    </row>
    <row r="58" spans="1:7" s="117" customFormat="1" ht="13" thickBot="1">
      <c r="C58" s="136" t="s">
        <v>100</v>
      </c>
      <c r="D58" s="137">
        <f>COUNTIF(D19:D52,C58)</f>
        <v>10</v>
      </c>
      <c r="E58" s="137">
        <f>COUNTIF(E19:E52,C58)</f>
        <v>15</v>
      </c>
      <c r="F58" s="137">
        <f>IFERROR(COUNTIF(F19:F52,C58),"")</f>
        <v>11</v>
      </c>
    </row>
    <row r="59" spans="1:7" s="117" customFormat="1" ht="13" thickBot="1">
      <c r="C59" s="138" t="s">
        <v>78</v>
      </c>
      <c r="D59" s="139">
        <f>SUM(D55:D58)</f>
        <v>34</v>
      </c>
      <c r="E59" s="139">
        <f t="shared" ref="E59:F59" si="2">SUM(E55:E58)</f>
        <v>34</v>
      </c>
      <c r="F59" s="139">
        <f t="shared" si="2"/>
        <v>34</v>
      </c>
    </row>
    <row r="60" spans="1:7" s="117" customFormat="1" ht="13" thickBot="1">
      <c r="C60" s="140"/>
      <c r="D60" s="128"/>
      <c r="E60" s="128"/>
      <c r="F60" s="128"/>
    </row>
    <row r="61" spans="1:7" s="117" customFormat="1" ht="13" thickBot="1">
      <c r="C61" s="141" t="s">
        <v>101</v>
      </c>
      <c r="D61" s="142">
        <f>(D57+D58)/(D59-D55)</f>
        <v>1</v>
      </c>
      <c r="E61" s="142">
        <f>(E57+E58)/(E59-E55)</f>
        <v>1</v>
      </c>
      <c r="F61" s="142">
        <f>(F57+F58)/(F59-F55)</f>
        <v>1</v>
      </c>
    </row>
    <row r="62" spans="1:7" s="117" customFormat="1" ht="13" thickBot="1">
      <c r="C62" s="140"/>
      <c r="D62" s="128"/>
      <c r="E62" s="128"/>
      <c r="F62" s="128"/>
    </row>
    <row r="63" spans="1:7" s="117" customFormat="1" ht="13" thickBot="1">
      <c r="C63" s="141" t="s">
        <v>102</v>
      </c>
      <c r="D63" s="143">
        <f>MIN(D19:D52)</f>
        <v>75.599999999999994</v>
      </c>
      <c r="E63" s="143">
        <f>MIN(E19:E52)</f>
        <v>76.599999999999994</v>
      </c>
      <c r="F63" s="143">
        <f>IFERROR(MIN(F19:F52),"")</f>
        <v>76.099999999999994</v>
      </c>
    </row>
    <row r="64" spans="1:7" s="117" customFormat="1" ht="13" thickBot="1">
      <c r="C64" s="141" t="s">
        <v>103</v>
      </c>
      <c r="D64" s="143">
        <f>MAX(D19:D37)</f>
        <v>94</v>
      </c>
      <c r="E64" s="143">
        <f>MAX(E19:E52)</f>
        <v>99.5</v>
      </c>
      <c r="F64" s="143">
        <f>IFERROR(MAX(F19:F52),"")</f>
        <v>96.75</v>
      </c>
    </row>
    <row r="65" spans="3:6" s="117" customFormat="1" ht="13" thickBot="1">
      <c r="C65" s="141" t="s">
        <v>104</v>
      </c>
      <c r="D65" s="144">
        <f>AVERAGE(D19:D52)</f>
        <v>83.072058823529403</v>
      </c>
      <c r="E65" s="144">
        <f>AVERAGE(E19:E52)</f>
        <v>85.939705882352939</v>
      </c>
      <c r="F65" s="144">
        <f>IFERROR(AVERAGE(F19:F52),"")</f>
        <v>84.505882352941171</v>
      </c>
    </row>
  </sheetData>
  <mergeCells count="7">
    <mergeCell ref="A1:H1"/>
    <mergeCell ref="A2:H2"/>
    <mergeCell ref="D12:E12"/>
    <mergeCell ref="F12:F17"/>
    <mergeCell ref="G12:G17"/>
    <mergeCell ref="D13:E13"/>
    <mergeCell ref="D14:E14"/>
  </mergeCells>
  <printOptions horizontalCentered="1"/>
  <pageMargins left="0.19685039370078741" right="0.11811023622047245" top="0.15748031496062992" bottom="0.15748031496062992" header="0" footer="0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2041-C74A-47E8-90FF-E348C56994EA}">
  <dimension ref="A1:Y66"/>
  <sheetViews>
    <sheetView view="pageBreakPreview" topLeftCell="A27" zoomScaleNormal="100" zoomScaleSheetLayoutView="100" workbookViewId="0">
      <selection activeCell="D12" sqref="D12:H17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8" width="5.83203125" customWidth="1"/>
    <col min="9" max="9" width="8" customWidth="1"/>
    <col min="12" max="12" width="13" customWidth="1"/>
  </cols>
  <sheetData>
    <row r="1" spans="1:25" ht="18">
      <c r="A1" s="216" t="s">
        <v>79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33"/>
    </row>
    <row r="2" spans="1:25" ht="18.5" thickBot="1">
      <c r="A2" s="217" t="s">
        <v>80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33"/>
    </row>
    <row r="4" spans="1:25">
      <c r="A4" t="s">
        <v>81</v>
      </c>
      <c r="C4" t="s">
        <v>82</v>
      </c>
      <c r="H4" t="s">
        <v>83</v>
      </c>
      <c r="I4" t="s">
        <v>273</v>
      </c>
    </row>
    <row r="5" spans="1:25">
      <c r="A5" t="s">
        <v>41</v>
      </c>
      <c r="C5" s="34" t="s">
        <v>282</v>
      </c>
      <c r="D5" s="34"/>
      <c r="E5" s="34"/>
      <c r="F5" s="34"/>
      <c r="H5" t="s">
        <v>85</v>
      </c>
      <c r="I5" t="s">
        <v>275</v>
      </c>
    </row>
    <row r="6" spans="1:25">
      <c r="A6" t="s">
        <v>42</v>
      </c>
      <c r="C6" t="s">
        <v>283</v>
      </c>
    </row>
    <row r="7" spans="1:25">
      <c r="A7" t="s">
        <v>87</v>
      </c>
      <c r="C7" t="s">
        <v>88</v>
      </c>
    </row>
    <row r="8" spans="1:25">
      <c r="A8" t="s">
        <v>89</v>
      </c>
      <c r="C8" t="s">
        <v>90</v>
      </c>
    </row>
    <row r="9" spans="1:25">
      <c r="A9" t="s">
        <v>91</v>
      </c>
      <c r="C9" t="s">
        <v>285</v>
      </c>
    </row>
    <row r="10" spans="1:25">
      <c r="C10" t="s">
        <v>284</v>
      </c>
    </row>
    <row r="11" spans="1:25">
      <c r="C11" s="35"/>
      <c r="D11" s="35"/>
      <c r="E11" s="35"/>
      <c r="F11" s="35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</row>
    <row r="12" spans="1:25" s="117" customFormat="1" ht="12.5">
      <c r="C12" s="118"/>
      <c r="D12" s="223" t="s">
        <v>53</v>
      </c>
      <c r="E12" s="223"/>
      <c r="F12" s="223"/>
      <c r="G12" s="223"/>
      <c r="H12" s="223"/>
      <c r="I12" s="220" t="s">
        <v>92</v>
      </c>
      <c r="J12" s="220" t="s">
        <v>93</v>
      </c>
    </row>
    <row r="13" spans="1:25" s="117" customFormat="1" ht="12.5">
      <c r="C13" s="118"/>
      <c r="D13" s="223" t="str">
        <f>TRIM(MID(C5,3,100))</f>
        <v>P.24.01.52.1.02</v>
      </c>
      <c r="E13" s="223"/>
      <c r="F13" s="223"/>
      <c r="G13" s="223"/>
      <c r="H13" s="223"/>
      <c r="I13" s="221"/>
      <c r="J13" s="221"/>
    </row>
    <row r="14" spans="1:25" s="117" customFormat="1" ht="12.5">
      <c r="C14" s="118"/>
      <c r="D14" s="223" t="str">
        <f>TRIM(MID(C6,3,100))</f>
        <v>Perpajakan 1</v>
      </c>
      <c r="E14" s="223"/>
      <c r="F14" s="223"/>
      <c r="G14" s="223"/>
      <c r="H14" s="223"/>
      <c r="I14" s="221"/>
      <c r="J14" s="221"/>
    </row>
    <row r="15" spans="1:25" s="117" customFormat="1" ht="12.5">
      <c r="C15" s="118"/>
      <c r="D15" s="151" t="s">
        <v>121</v>
      </c>
      <c r="E15" s="151" t="s">
        <v>121</v>
      </c>
      <c r="F15" s="151" t="s">
        <v>121</v>
      </c>
      <c r="G15" s="119" t="s">
        <v>121</v>
      </c>
      <c r="H15" s="119" t="s">
        <v>149</v>
      </c>
      <c r="I15" s="221"/>
      <c r="J15" s="221"/>
    </row>
    <row r="16" spans="1:25" s="117" customFormat="1" ht="12.5">
      <c r="C16" s="118"/>
      <c r="D16" s="151" t="s">
        <v>124</v>
      </c>
      <c r="E16" s="151" t="s">
        <v>168</v>
      </c>
      <c r="F16" s="151" t="s">
        <v>286</v>
      </c>
      <c r="G16" s="119" t="s">
        <v>287</v>
      </c>
      <c r="H16" s="119" t="s">
        <v>169</v>
      </c>
      <c r="I16" s="221"/>
      <c r="J16" s="221"/>
    </row>
    <row r="17" spans="1:11" s="117" customFormat="1" ht="12.5">
      <c r="C17" s="118"/>
      <c r="D17" s="151">
        <v>16</v>
      </c>
      <c r="E17" s="151">
        <v>16</v>
      </c>
      <c r="F17" s="151">
        <v>26</v>
      </c>
      <c r="G17" s="119">
        <v>21</v>
      </c>
      <c r="H17" s="119">
        <v>21</v>
      </c>
      <c r="I17" s="222"/>
      <c r="J17" s="222"/>
    </row>
    <row r="18" spans="1:11" s="152" customFormat="1" ht="13">
      <c r="A18" s="120" t="s">
        <v>0</v>
      </c>
      <c r="B18" s="120" t="s">
        <v>1</v>
      </c>
      <c r="C18" s="120" t="s">
        <v>2</v>
      </c>
      <c r="D18" s="120"/>
      <c r="E18" s="120"/>
      <c r="F18" s="120"/>
      <c r="G18" s="120"/>
      <c r="H18" s="120"/>
      <c r="I18" s="120"/>
      <c r="J18" s="120"/>
      <c r="K18" s="153"/>
    </row>
    <row r="19" spans="1:11" s="117" customFormat="1" ht="12.5">
      <c r="A19" s="121">
        <v>1</v>
      </c>
      <c r="B19" s="122" t="s">
        <v>191</v>
      </c>
      <c r="C19" s="122" t="s">
        <v>192</v>
      </c>
      <c r="D19" s="154">
        <v>79.25</v>
      </c>
      <c r="E19" s="154">
        <v>80.5</v>
      </c>
      <c r="F19" s="154">
        <v>83.38</v>
      </c>
      <c r="G19" s="123">
        <v>80.86</v>
      </c>
      <c r="H19" s="123">
        <v>83</v>
      </c>
      <c r="I19" s="123">
        <f>IFERROR((D19*($D$17/100))+(E19*($E$17/100))+(F19*($F$17/100))+(G19*($G$17/100))+(H19*($H$17/100)),"")</f>
        <v>81.649399999999986</v>
      </c>
      <c r="J19" s="123" t="str">
        <f>IFERROR(VLOOKUP(I19,[2]Sheet1!$AA$1:$AB$10,2),"")</f>
        <v>B+</v>
      </c>
    </row>
    <row r="20" spans="1:11" s="117" customFormat="1" ht="12.5">
      <c r="A20" s="121">
        <v>2</v>
      </c>
      <c r="B20" s="122" t="s">
        <v>193</v>
      </c>
      <c r="C20" s="122" t="s">
        <v>194</v>
      </c>
      <c r="D20" s="154">
        <v>76.13</v>
      </c>
      <c r="E20" s="154">
        <v>78.63</v>
      </c>
      <c r="F20" s="154">
        <v>86.46</v>
      </c>
      <c r="G20" s="123">
        <v>78.900000000000006</v>
      </c>
      <c r="H20" s="123">
        <v>86.1</v>
      </c>
      <c r="I20" s="123">
        <f t="shared" ref="I20:I52" si="0">IFERROR((D20*($D$17/100))+(E20*($E$17/100))+(F20*($F$17/100))+(G20*($G$17/100))+(H20*($H$17/100)),"")</f>
        <v>81.891199999999998</v>
      </c>
      <c r="J20" s="123" t="str">
        <f>IFERROR(VLOOKUP(I20,[2]Sheet1!$AA$1:$AB$10,2),"")</f>
        <v>B+</v>
      </c>
    </row>
    <row r="21" spans="1:11" s="117" customFormat="1" ht="12.5">
      <c r="A21" s="121">
        <v>3</v>
      </c>
      <c r="B21" s="122" t="s">
        <v>195</v>
      </c>
      <c r="C21" s="122" t="s">
        <v>196</v>
      </c>
      <c r="D21" s="154">
        <v>78</v>
      </c>
      <c r="E21" s="154">
        <v>80.5</v>
      </c>
      <c r="F21" s="154">
        <v>84.15</v>
      </c>
      <c r="G21" s="123">
        <v>81.05</v>
      </c>
      <c r="H21" s="123">
        <v>83.95</v>
      </c>
      <c r="I21" s="123">
        <f t="shared" si="0"/>
        <v>81.88900000000001</v>
      </c>
      <c r="J21" s="123" t="str">
        <f>IFERROR(VLOOKUP(I21,[2]Sheet1!$AA$1:$AB$10,2),"")</f>
        <v>B+</v>
      </c>
    </row>
    <row r="22" spans="1:11" s="117" customFormat="1" ht="12.5">
      <c r="A22" s="121">
        <v>4</v>
      </c>
      <c r="B22" s="122" t="s">
        <v>197</v>
      </c>
      <c r="C22" s="122" t="s">
        <v>198</v>
      </c>
      <c r="D22" s="154">
        <v>78</v>
      </c>
      <c r="E22" s="154">
        <v>80.5</v>
      </c>
      <c r="F22" s="154">
        <v>84.15</v>
      </c>
      <c r="G22" s="123">
        <v>80.86</v>
      </c>
      <c r="H22" s="123">
        <v>83.95</v>
      </c>
      <c r="I22" s="123">
        <f t="shared" si="0"/>
        <v>81.849099999999993</v>
      </c>
      <c r="J22" s="123" t="str">
        <f>IFERROR(VLOOKUP(I22,[2]Sheet1!$AA$1:$AB$10,2),"")</f>
        <v>B+</v>
      </c>
    </row>
    <row r="23" spans="1:11" s="117" customFormat="1" ht="12.5">
      <c r="A23" s="121">
        <v>5</v>
      </c>
      <c r="B23" s="122" t="s">
        <v>199</v>
      </c>
      <c r="C23" s="122" t="s">
        <v>200</v>
      </c>
      <c r="D23" s="154">
        <v>78.63</v>
      </c>
      <c r="E23" s="154">
        <v>81.13</v>
      </c>
      <c r="F23" s="154">
        <v>80.31</v>
      </c>
      <c r="G23" s="123">
        <v>81.569999999999993</v>
      </c>
      <c r="H23" s="123">
        <v>80.38</v>
      </c>
      <c r="I23" s="123">
        <f t="shared" si="0"/>
        <v>80.451700000000002</v>
      </c>
      <c r="J23" s="123" t="str">
        <f>IFERROR(VLOOKUP(I23,[2]Sheet1!$AA$1:$AB$10,2),"")</f>
        <v>B+</v>
      </c>
    </row>
    <row r="24" spans="1:11" s="117" customFormat="1" ht="12.5">
      <c r="A24" s="121">
        <v>6</v>
      </c>
      <c r="B24" s="122" t="s">
        <v>201</v>
      </c>
      <c r="C24" s="122" t="s">
        <v>202</v>
      </c>
      <c r="D24" s="154">
        <v>76.75</v>
      </c>
      <c r="E24" s="154">
        <v>78</v>
      </c>
      <c r="F24" s="154">
        <v>83.38</v>
      </c>
      <c r="G24" s="123">
        <v>78</v>
      </c>
      <c r="H24" s="123">
        <v>83</v>
      </c>
      <c r="I24" s="123">
        <f t="shared" si="0"/>
        <v>80.248799999999989</v>
      </c>
      <c r="J24" s="123" t="str">
        <f>IFERROR(VLOOKUP(I24,[2]Sheet1!$AA$1:$AB$10,2),"")</f>
        <v>B+</v>
      </c>
    </row>
    <row r="25" spans="1:11" s="117" customFormat="1" ht="12.5">
      <c r="A25" s="121">
        <v>7</v>
      </c>
      <c r="B25" s="122" t="s">
        <v>203</v>
      </c>
      <c r="C25" s="122" t="s">
        <v>204</v>
      </c>
      <c r="D25" s="154">
        <v>76.13</v>
      </c>
      <c r="E25" s="154">
        <v>77.38</v>
      </c>
      <c r="F25" s="154">
        <v>84.15</v>
      </c>
      <c r="G25" s="123">
        <v>77.290000000000006</v>
      </c>
      <c r="H25" s="123">
        <v>83.71</v>
      </c>
      <c r="I25" s="123">
        <f t="shared" si="0"/>
        <v>80.250600000000006</v>
      </c>
      <c r="J25" s="123" t="str">
        <f>IFERROR(VLOOKUP(I25,[2]Sheet1!$AA$1:$AB$10,2),"")</f>
        <v>B+</v>
      </c>
    </row>
    <row r="26" spans="1:11" s="117" customFormat="1" ht="12.5">
      <c r="A26" s="121">
        <v>8</v>
      </c>
      <c r="B26" s="122" t="s">
        <v>205</v>
      </c>
      <c r="C26" s="122" t="s">
        <v>206</v>
      </c>
      <c r="D26" s="154">
        <v>76.75</v>
      </c>
      <c r="E26" s="154">
        <v>80.5</v>
      </c>
      <c r="F26" s="154">
        <v>84.15</v>
      </c>
      <c r="G26" s="123">
        <v>79.430000000000007</v>
      </c>
      <c r="H26" s="123">
        <v>83.95</v>
      </c>
      <c r="I26" s="123">
        <f t="shared" si="0"/>
        <v>81.348800000000011</v>
      </c>
      <c r="J26" s="123" t="str">
        <f>IFERROR(VLOOKUP(I26,[2]Sheet1!$AA$1:$AB$10,2),"")</f>
        <v>B+</v>
      </c>
    </row>
    <row r="27" spans="1:11" s="117" customFormat="1" ht="12.5">
      <c r="A27" s="121">
        <v>9</v>
      </c>
      <c r="B27" s="122" t="s">
        <v>207</v>
      </c>
      <c r="C27" s="122" t="s">
        <v>208</v>
      </c>
      <c r="D27" s="154">
        <v>78</v>
      </c>
      <c r="E27" s="154">
        <v>81.75</v>
      </c>
      <c r="F27" s="154">
        <v>80.31</v>
      </c>
      <c r="G27" s="123">
        <v>81.05</v>
      </c>
      <c r="H27" s="123">
        <v>80.38</v>
      </c>
      <c r="I27" s="123">
        <f t="shared" si="0"/>
        <v>80.340900000000005</v>
      </c>
      <c r="J27" s="123" t="str">
        <f>IFERROR(VLOOKUP(I27,[2]Sheet1!$AA$1:$AB$10,2),"")</f>
        <v>B+</v>
      </c>
    </row>
    <row r="28" spans="1:11" s="117" customFormat="1" ht="12.5">
      <c r="A28" s="121">
        <v>10</v>
      </c>
      <c r="B28" s="122" t="s">
        <v>209</v>
      </c>
      <c r="C28" s="122" t="s">
        <v>210</v>
      </c>
      <c r="D28" s="154">
        <v>78</v>
      </c>
      <c r="E28" s="154">
        <v>80.5</v>
      </c>
      <c r="F28" s="154">
        <v>84.15</v>
      </c>
      <c r="G28" s="123">
        <v>80.86</v>
      </c>
      <c r="H28" s="123">
        <v>83.95</v>
      </c>
      <c r="I28" s="123">
        <f t="shared" si="0"/>
        <v>81.849099999999993</v>
      </c>
      <c r="J28" s="123" t="str">
        <f>IFERROR(VLOOKUP(I28,[2]Sheet1!$AA$1:$AB$10,2),"")</f>
        <v>B+</v>
      </c>
    </row>
    <row r="29" spans="1:11" s="117" customFormat="1" ht="12.5">
      <c r="A29" s="121">
        <v>11</v>
      </c>
      <c r="B29" s="122" t="s">
        <v>279</v>
      </c>
      <c r="C29" s="122" t="s">
        <v>280</v>
      </c>
      <c r="D29" s="154">
        <v>76.13</v>
      </c>
      <c r="E29" s="154">
        <v>78.63</v>
      </c>
      <c r="F29" s="154">
        <v>84.15</v>
      </c>
      <c r="G29" s="123">
        <v>78.709999999999994</v>
      </c>
      <c r="H29" s="123">
        <v>83.95</v>
      </c>
      <c r="I29" s="123">
        <f t="shared" si="0"/>
        <v>80.799200000000013</v>
      </c>
      <c r="J29" s="123" t="str">
        <f>IFERROR(VLOOKUP(I29,[2]Sheet1!$AA$1:$AB$10,2),"")</f>
        <v>B+</v>
      </c>
    </row>
    <row r="30" spans="1:11" s="117" customFormat="1" ht="12.5">
      <c r="A30" s="121">
        <v>12</v>
      </c>
      <c r="B30" s="122" t="s">
        <v>211</v>
      </c>
      <c r="C30" s="122" t="s">
        <v>212</v>
      </c>
      <c r="D30" s="154">
        <v>78</v>
      </c>
      <c r="E30" s="154">
        <v>80.5</v>
      </c>
      <c r="F30" s="154">
        <v>84.15</v>
      </c>
      <c r="G30" s="123">
        <v>81.62</v>
      </c>
      <c r="H30" s="123">
        <v>83.95</v>
      </c>
      <c r="I30" s="123">
        <f t="shared" si="0"/>
        <v>82.008700000000005</v>
      </c>
      <c r="J30" s="123" t="str">
        <f>IFERROR(VLOOKUP(I30,[2]Sheet1!$AA$1:$AB$10,2),"")</f>
        <v>B+</v>
      </c>
    </row>
    <row r="31" spans="1:11" s="117" customFormat="1" ht="12.5">
      <c r="A31" s="121">
        <v>13</v>
      </c>
      <c r="B31" s="122" t="s">
        <v>213</v>
      </c>
      <c r="C31" s="122" t="s">
        <v>214</v>
      </c>
      <c r="D31" s="154">
        <v>77.25</v>
      </c>
      <c r="E31" s="154">
        <v>79.75</v>
      </c>
      <c r="F31" s="154">
        <v>86</v>
      </c>
      <c r="G31" s="123">
        <v>79.33</v>
      </c>
      <c r="H31" s="123">
        <v>85.52</v>
      </c>
      <c r="I31" s="123">
        <f t="shared" si="0"/>
        <v>82.098499999999987</v>
      </c>
      <c r="J31" s="123" t="str">
        <f>IFERROR(VLOOKUP(I31,[2]Sheet1!$AA$1:$AB$10,2),"")</f>
        <v>B+</v>
      </c>
    </row>
    <row r="32" spans="1:11" s="117" customFormat="1" ht="12.5">
      <c r="A32" s="121">
        <v>14</v>
      </c>
      <c r="B32" s="122" t="s">
        <v>215</v>
      </c>
      <c r="C32" s="122" t="s">
        <v>216</v>
      </c>
      <c r="D32" s="154">
        <v>77.38</v>
      </c>
      <c r="E32" s="154">
        <v>79.88</v>
      </c>
      <c r="F32" s="154">
        <v>83.38</v>
      </c>
      <c r="G32" s="123">
        <v>79.19</v>
      </c>
      <c r="H32" s="123">
        <v>83.24</v>
      </c>
      <c r="I32" s="123">
        <f t="shared" si="0"/>
        <v>80.950699999999998</v>
      </c>
      <c r="J32" s="123" t="str">
        <f>IFERROR(VLOOKUP(I32,[2]Sheet1!$AA$1:$AB$10,2),"")</f>
        <v>B+</v>
      </c>
    </row>
    <row r="33" spans="1:10" s="117" customFormat="1" ht="12.5">
      <c r="A33" s="121">
        <v>15</v>
      </c>
      <c r="B33" s="122" t="s">
        <v>217</v>
      </c>
      <c r="C33" s="122" t="s">
        <v>218</v>
      </c>
      <c r="D33" s="154">
        <v>76.13</v>
      </c>
      <c r="E33" s="154">
        <v>78.63</v>
      </c>
      <c r="F33" s="154">
        <v>84.92</v>
      </c>
      <c r="G33" s="123">
        <v>77.760000000000005</v>
      </c>
      <c r="H33" s="123">
        <v>84.67</v>
      </c>
      <c r="I33" s="123">
        <f t="shared" si="0"/>
        <v>80.951099999999997</v>
      </c>
      <c r="J33" s="123" t="str">
        <f>IFERROR(VLOOKUP(I33,[2]Sheet1!$AA$1:$AB$10,2),"")</f>
        <v>B+</v>
      </c>
    </row>
    <row r="34" spans="1:10" s="117" customFormat="1" ht="12.5">
      <c r="A34" s="121">
        <v>16</v>
      </c>
      <c r="B34" s="122" t="s">
        <v>219</v>
      </c>
      <c r="C34" s="122" t="s">
        <v>220</v>
      </c>
      <c r="D34" s="154">
        <v>78.63</v>
      </c>
      <c r="E34" s="154">
        <v>81.13</v>
      </c>
      <c r="F34" s="154">
        <v>84.92</v>
      </c>
      <c r="G34" s="123">
        <v>81.569999999999993</v>
      </c>
      <c r="H34" s="123">
        <v>84.67</v>
      </c>
      <c r="I34" s="123">
        <f t="shared" si="0"/>
        <v>82.551199999999994</v>
      </c>
      <c r="J34" s="123" t="str">
        <f>IFERROR(VLOOKUP(I34,[2]Sheet1!$AA$1:$AB$10,2),"")</f>
        <v>B+</v>
      </c>
    </row>
    <row r="35" spans="1:10" s="117" customFormat="1" ht="12.5">
      <c r="A35" s="121">
        <v>17</v>
      </c>
      <c r="B35" s="122" t="s">
        <v>221</v>
      </c>
      <c r="C35" s="122" t="s">
        <v>222</v>
      </c>
      <c r="D35" s="154">
        <v>78</v>
      </c>
      <c r="E35" s="154">
        <v>81.75</v>
      </c>
      <c r="F35" s="154">
        <v>84.15</v>
      </c>
      <c r="G35" s="123">
        <v>81.05</v>
      </c>
      <c r="H35" s="123">
        <v>83.95</v>
      </c>
      <c r="I35" s="123">
        <f t="shared" si="0"/>
        <v>82.088999999999999</v>
      </c>
      <c r="J35" s="123" t="str">
        <f>IFERROR(VLOOKUP(I35,[2]Sheet1!$AA$1:$AB$10,2),"")</f>
        <v>B+</v>
      </c>
    </row>
    <row r="36" spans="1:10" s="117" customFormat="1" ht="12.5">
      <c r="A36" s="121">
        <v>18</v>
      </c>
      <c r="B36" s="122" t="s">
        <v>223</v>
      </c>
      <c r="C36" s="122" t="s">
        <v>224</v>
      </c>
      <c r="D36" s="154">
        <v>76.75</v>
      </c>
      <c r="E36" s="154">
        <v>79.25</v>
      </c>
      <c r="F36" s="154">
        <v>84.15</v>
      </c>
      <c r="G36" s="123">
        <v>78.48</v>
      </c>
      <c r="H36" s="123">
        <v>83.95</v>
      </c>
      <c r="I36" s="123">
        <f t="shared" si="0"/>
        <v>80.949299999999994</v>
      </c>
      <c r="J36" s="123" t="str">
        <f>IFERROR(VLOOKUP(I36,[2]Sheet1!$AA$1:$AB$10,2),"")</f>
        <v>B+</v>
      </c>
    </row>
    <row r="37" spans="1:10" s="117" customFormat="1" ht="12.5">
      <c r="A37" s="121">
        <v>19</v>
      </c>
      <c r="B37" s="122" t="s">
        <v>225</v>
      </c>
      <c r="C37" s="122" t="s">
        <v>226</v>
      </c>
      <c r="D37" s="154">
        <v>78</v>
      </c>
      <c r="E37" s="154">
        <v>80.5</v>
      </c>
      <c r="F37" s="154">
        <v>84.92</v>
      </c>
      <c r="G37" s="123">
        <v>80.86</v>
      </c>
      <c r="H37" s="123">
        <v>84.67</v>
      </c>
      <c r="I37" s="123">
        <f t="shared" si="0"/>
        <v>82.200499999999991</v>
      </c>
      <c r="J37" s="123" t="str">
        <f>IFERROR(VLOOKUP(I37,[2]Sheet1!$AA$1:$AB$10,2),"")</f>
        <v>B+</v>
      </c>
    </row>
    <row r="38" spans="1:10" s="117" customFormat="1" ht="12.5">
      <c r="A38" s="121">
        <v>20</v>
      </c>
      <c r="B38" s="122" t="s">
        <v>227</v>
      </c>
      <c r="C38" s="122" t="s">
        <v>228</v>
      </c>
      <c r="D38" s="155">
        <v>76.13</v>
      </c>
      <c r="E38" s="155">
        <v>78.63</v>
      </c>
      <c r="F38" s="155">
        <v>86.46</v>
      </c>
      <c r="G38" s="145">
        <v>78.900000000000006</v>
      </c>
      <c r="H38" s="145">
        <v>86.1</v>
      </c>
      <c r="I38" s="123">
        <f t="shared" si="0"/>
        <v>81.891199999999998</v>
      </c>
      <c r="J38" s="123" t="str">
        <f>IFERROR(VLOOKUP(I38,[2]Sheet1!$AA$1:$AB$10,2),"")</f>
        <v>B+</v>
      </c>
    </row>
    <row r="39" spans="1:10" s="117" customFormat="1" ht="12.5">
      <c r="A39" s="121">
        <v>21</v>
      </c>
      <c r="B39" s="122" t="s">
        <v>229</v>
      </c>
      <c r="C39" s="122" t="s">
        <v>230</v>
      </c>
      <c r="D39" s="155">
        <v>79.25</v>
      </c>
      <c r="E39" s="155">
        <v>80.5</v>
      </c>
      <c r="F39" s="155">
        <v>82.62</v>
      </c>
      <c r="G39" s="145">
        <v>79.900000000000006</v>
      </c>
      <c r="H39" s="145">
        <v>82.29</v>
      </c>
      <c r="I39" s="123">
        <f t="shared" si="0"/>
        <v>81.101100000000002</v>
      </c>
      <c r="J39" s="123" t="str">
        <f>IFERROR(VLOOKUP(I39,[2]Sheet1!$AA$1:$AB$10,2),"")</f>
        <v>B+</v>
      </c>
    </row>
    <row r="40" spans="1:10" s="117" customFormat="1" ht="12.5">
      <c r="A40" s="121">
        <v>22</v>
      </c>
      <c r="B40" s="122" t="s">
        <v>231</v>
      </c>
      <c r="C40" s="122" t="s">
        <v>232</v>
      </c>
      <c r="D40" s="155">
        <v>76.13</v>
      </c>
      <c r="E40" s="155">
        <v>78.63</v>
      </c>
      <c r="F40" s="155">
        <v>84.15</v>
      </c>
      <c r="G40" s="145">
        <v>77.760000000000005</v>
      </c>
      <c r="H40" s="145">
        <v>83.95</v>
      </c>
      <c r="I40" s="123">
        <f t="shared" si="0"/>
        <v>80.599700000000013</v>
      </c>
      <c r="J40" s="123" t="str">
        <f>IFERROR(VLOOKUP(I40,[2]Sheet1!$AA$1:$AB$10,2),"")</f>
        <v>B+</v>
      </c>
    </row>
    <row r="41" spans="1:10" s="117" customFormat="1" ht="12.5">
      <c r="A41" s="121">
        <v>23</v>
      </c>
      <c r="B41" s="122" t="s">
        <v>233</v>
      </c>
      <c r="C41" s="122" t="s">
        <v>234</v>
      </c>
      <c r="D41" s="155">
        <v>76.75</v>
      </c>
      <c r="E41" s="155">
        <v>79.25</v>
      </c>
      <c r="F41" s="155">
        <v>84.92</v>
      </c>
      <c r="G41" s="145">
        <v>78.48</v>
      </c>
      <c r="H41" s="145">
        <v>84.67</v>
      </c>
      <c r="I41" s="123">
        <f t="shared" si="0"/>
        <v>81.300699999999992</v>
      </c>
      <c r="J41" s="123" t="str">
        <f>IFERROR(VLOOKUP(I41,[2]Sheet1!$AA$1:$AB$10,2),"")</f>
        <v>B+</v>
      </c>
    </row>
    <row r="42" spans="1:10" s="117" customFormat="1">
      <c r="A42" s="121">
        <v>24</v>
      </c>
      <c r="B42" s="122" t="s">
        <v>235</v>
      </c>
      <c r="C42" s="122" t="s">
        <v>281</v>
      </c>
      <c r="D42" s="156">
        <v>69.25</v>
      </c>
      <c r="E42" s="156">
        <v>68.75</v>
      </c>
      <c r="F42" s="156">
        <v>71.849999999999994</v>
      </c>
      <c r="G42" s="156">
        <v>63.24</v>
      </c>
      <c r="H42" s="156">
        <v>72.290000000000006</v>
      </c>
      <c r="I42" s="123">
        <f t="shared" si="0"/>
        <v>69.22229999999999</v>
      </c>
      <c r="J42" s="123" t="str">
        <f>IFERROR(VLOOKUP(I42,[2]Sheet1!$AA$1:$AB$10,2),"")</f>
        <v>B-</v>
      </c>
    </row>
    <row r="43" spans="1:10" s="117" customFormat="1">
      <c r="A43" s="121">
        <v>25</v>
      </c>
      <c r="B43" s="122" t="s">
        <v>237</v>
      </c>
      <c r="C43" s="122" t="s">
        <v>238</v>
      </c>
      <c r="D43" s="156">
        <v>82.5</v>
      </c>
      <c r="E43" s="156">
        <v>84.5</v>
      </c>
      <c r="F43" s="156">
        <v>85.38</v>
      </c>
      <c r="G43" s="156">
        <v>81.900000000000006</v>
      </c>
      <c r="H43" s="156">
        <v>85.48</v>
      </c>
      <c r="I43" s="123">
        <f t="shared" si="0"/>
        <v>84.068600000000004</v>
      </c>
      <c r="J43" s="123" t="str">
        <f>IFERROR(VLOOKUP(I43,[2]Sheet1!$AA$1:$AB$10,2),"")</f>
        <v>B+</v>
      </c>
    </row>
    <row r="44" spans="1:10" s="117" customFormat="1">
      <c r="A44" s="121">
        <v>26</v>
      </c>
      <c r="B44" s="122" t="s">
        <v>239</v>
      </c>
      <c r="C44" s="122" t="s">
        <v>240</v>
      </c>
      <c r="D44" s="156">
        <v>76.25</v>
      </c>
      <c r="E44" s="156">
        <v>75</v>
      </c>
      <c r="F44" s="156">
        <v>64.62</v>
      </c>
      <c r="G44" s="156">
        <v>72.86</v>
      </c>
      <c r="H44" s="156">
        <v>66.709999999999994</v>
      </c>
      <c r="I44" s="123">
        <f t="shared" si="0"/>
        <v>70.310900000000004</v>
      </c>
      <c r="J44" s="123" t="str">
        <f>IFERROR(VLOOKUP(I44,[2]Sheet1!$AA$1:$AB$10,2),"")</f>
        <v>B-</v>
      </c>
    </row>
    <row r="45" spans="1:10" s="117" customFormat="1">
      <c r="A45" s="121">
        <v>27</v>
      </c>
      <c r="B45" s="122" t="s">
        <v>241</v>
      </c>
      <c r="C45" s="122" t="s">
        <v>242</v>
      </c>
      <c r="D45" s="156">
        <v>76.25</v>
      </c>
      <c r="E45" s="156">
        <v>73.75</v>
      </c>
      <c r="F45" s="156">
        <v>72.31</v>
      </c>
      <c r="G45" s="156">
        <v>73.81</v>
      </c>
      <c r="H45" s="156">
        <v>72.86</v>
      </c>
      <c r="I45" s="123">
        <f t="shared" si="0"/>
        <v>73.601300000000009</v>
      </c>
      <c r="J45" s="123" t="str">
        <f>IFERROR(VLOOKUP(I45,[2]Sheet1!$AA$1:$AB$10,2),"")</f>
        <v>B</v>
      </c>
    </row>
    <row r="46" spans="1:10" s="117" customFormat="1">
      <c r="A46" s="121">
        <v>28</v>
      </c>
      <c r="B46" s="122" t="s">
        <v>243</v>
      </c>
      <c r="C46" s="122" t="s">
        <v>244</v>
      </c>
      <c r="D46" s="156">
        <v>72.25</v>
      </c>
      <c r="E46" s="156">
        <v>72.25</v>
      </c>
      <c r="F46" s="156">
        <v>72.150000000000006</v>
      </c>
      <c r="G46" s="156">
        <v>72.67</v>
      </c>
      <c r="H46" s="156">
        <v>71.95</v>
      </c>
      <c r="I46" s="123">
        <f t="shared" si="0"/>
        <v>72.249200000000002</v>
      </c>
      <c r="J46" s="123" t="str">
        <f>IFERROR(VLOOKUP(I46,[2]Sheet1!$AA$1:$AB$10,2),"")</f>
        <v>B</v>
      </c>
    </row>
    <row r="47" spans="1:10" s="117" customFormat="1">
      <c r="A47" s="121">
        <v>29</v>
      </c>
      <c r="B47" s="122" t="s">
        <v>245</v>
      </c>
      <c r="C47" s="122" t="s">
        <v>246</v>
      </c>
      <c r="D47" s="156">
        <v>79.38</v>
      </c>
      <c r="E47" s="156">
        <v>79.38</v>
      </c>
      <c r="F47" s="156">
        <v>81.23</v>
      </c>
      <c r="G47" s="156">
        <v>76.430000000000007</v>
      </c>
      <c r="H47" s="156">
        <v>81.52</v>
      </c>
      <c r="I47" s="123">
        <f t="shared" si="0"/>
        <v>79.690899999999999</v>
      </c>
      <c r="J47" s="123" t="str">
        <f>IFERROR(VLOOKUP(I47,[2]Sheet1!$AA$1:$AB$10,2),"")</f>
        <v>B+</v>
      </c>
    </row>
    <row r="48" spans="1:10" s="117" customFormat="1">
      <c r="A48" s="121">
        <v>30</v>
      </c>
      <c r="B48" s="122" t="s">
        <v>247</v>
      </c>
      <c r="C48" s="122" t="s">
        <v>248</v>
      </c>
      <c r="D48" s="156">
        <v>82.5</v>
      </c>
      <c r="E48" s="156">
        <v>83.75</v>
      </c>
      <c r="F48" s="156">
        <v>85.38</v>
      </c>
      <c r="G48" s="156">
        <v>83.81</v>
      </c>
      <c r="H48" s="156">
        <v>86.48</v>
      </c>
      <c r="I48" s="123">
        <f t="shared" si="0"/>
        <v>84.559699999999992</v>
      </c>
      <c r="J48" s="123" t="str">
        <f>IFERROR(VLOOKUP(I48,[2]Sheet1!$AA$1:$AB$10,2),"")</f>
        <v>A-</v>
      </c>
    </row>
    <row r="49" spans="1:10" s="117" customFormat="1">
      <c r="A49" s="121">
        <v>31</v>
      </c>
      <c r="B49" s="122" t="s">
        <v>249</v>
      </c>
      <c r="C49" s="122" t="s">
        <v>250</v>
      </c>
      <c r="D49" s="156">
        <v>82.5</v>
      </c>
      <c r="E49" s="156">
        <v>82.5</v>
      </c>
      <c r="F49" s="156">
        <v>81.23</v>
      </c>
      <c r="G49" s="156">
        <v>80</v>
      </c>
      <c r="H49" s="156">
        <v>81.52</v>
      </c>
      <c r="I49" s="123">
        <f t="shared" si="0"/>
        <v>81.438999999999993</v>
      </c>
      <c r="J49" s="123" t="str">
        <f>IFERROR(VLOOKUP(I49,[2]Sheet1!$AA$1:$AB$10,2),"")</f>
        <v>B+</v>
      </c>
    </row>
    <row r="50" spans="1:10" s="117" customFormat="1">
      <c r="A50" s="121">
        <v>32</v>
      </c>
      <c r="B50" s="122" t="s">
        <v>251</v>
      </c>
      <c r="C50" s="122" t="s">
        <v>252</v>
      </c>
      <c r="D50" s="156">
        <v>79.38</v>
      </c>
      <c r="E50" s="156">
        <v>81.38</v>
      </c>
      <c r="F50" s="156">
        <v>72.31</v>
      </c>
      <c r="G50" s="156">
        <v>76.430000000000007</v>
      </c>
      <c r="H50" s="156">
        <v>72.86</v>
      </c>
      <c r="I50" s="123">
        <f t="shared" si="0"/>
        <v>75.873099999999994</v>
      </c>
      <c r="J50" s="123" t="str">
        <f>IFERROR(VLOOKUP(I50,[2]Sheet1!$AA$1:$AB$10,2),"")</f>
        <v>B+</v>
      </c>
    </row>
    <row r="51" spans="1:10" s="117" customFormat="1">
      <c r="A51" s="121">
        <v>33</v>
      </c>
      <c r="B51" s="122" t="s">
        <v>253</v>
      </c>
      <c r="C51" s="122" t="s">
        <v>254</v>
      </c>
      <c r="D51" s="156">
        <v>76.25</v>
      </c>
      <c r="E51" s="156">
        <v>76.25</v>
      </c>
      <c r="F51" s="156">
        <v>80</v>
      </c>
      <c r="G51" s="156">
        <v>72.86</v>
      </c>
      <c r="H51" s="156">
        <v>80</v>
      </c>
      <c r="I51" s="123">
        <f t="shared" si="0"/>
        <v>77.300600000000003</v>
      </c>
      <c r="J51" s="123" t="str">
        <f>IFERROR(VLOOKUP(I51,[2]Sheet1!$AA$1:$AB$10,2),"")</f>
        <v>B+</v>
      </c>
    </row>
    <row r="52" spans="1:10" s="117" customFormat="1">
      <c r="A52" s="124">
        <v>34</v>
      </c>
      <c r="B52" s="122" t="s">
        <v>255</v>
      </c>
      <c r="C52" s="122" t="s">
        <v>256</v>
      </c>
      <c r="D52" s="156">
        <v>70.63</v>
      </c>
      <c r="E52" s="156">
        <v>53.13</v>
      </c>
      <c r="F52" s="156">
        <v>44.23</v>
      </c>
      <c r="G52" s="156">
        <v>70.48</v>
      </c>
      <c r="H52" s="156">
        <v>42.86</v>
      </c>
      <c r="I52" s="123">
        <f t="shared" si="0"/>
        <v>55.102800000000002</v>
      </c>
      <c r="J52" s="123" t="str">
        <f>IFERROR(VLOOKUP(I52,[2]Sheet1!$AA$1:$AB$10,2),"")</f>
        <v>C-</v>
      </c>
    </row>
    <row r="53" spans="1:10">
      <c r="A53" s="113"/>
      <c r="B53" s="113"/>
      <c r="C53" s="114"/>
      <c r="D53" s="149"/>
      <c r="E53" s="149"/>
      <c r="F53" s="149"/>
      <c r="G53" s="150"/>
      <c r="H53" s="150"/>
      <c r="I53" s="150"/>
      <c r="J53" s="150"/>
    </row>
    <row r="54" spans="1:10">
      <c r="C54" s="35"/>
      <c r="D54" s="35"/>
      <c r="E54" s="35"/>
      <c r="F54" s="35"/>
      <c r="G54" s="36"/>
      <c r="H54" s="36"/>
      <c r="I54" s="36"/>
    </row>
    <row r="55" spans="1:10" s="117" customFormat="1" ht="13" thickBot="1">
      <c r="C55" s="118"/>
      <c r="D55" s="128">
        <f t="shared" ref="D55:I55" si="1">D17</f>
        <v>16</v>
      </c>
      <c r="E55" s="128">
        <f t="shared" si="1"/>
        <v>16</v>
      </c>
      <c r="F55" s="128">
        <f t="shared" si="1"/>
        <v>26</v>
      </c>
      <c r="G55" s="128">
        <f t="shared" si="1"/>
        <v>21</v>
      </c>
      <c r="H55" s="128">
        <f t="shared" si="1"/>
        <v>21</v>
      </c>
      <c r="I55" s="128">
        <f t="shared" si="1"/>
        <v>0</v>
      </c>
    </row>
    <row r="56" spans="1:10" s="117" customFormat="1" ht="13" thickBot="1">
      <c r="C56" s="129" t="s">
        <v>188</v>
      </c>
      <c r="D56" s="130">
        <f>IFERROR(COUNTIF(D19:D52,""),"")</f>
        <v>0</v>
      </c>
      <c r="E56" s="130">
        <f t="shared" ref="E56:H56" si="2">IFERROR(COUNTIF(E19:E52,""),"")</f>
        <v>0</v>
      </c>
      <c r="F56" s="130">
        <f t="shared" si="2"/>
        <v>0</v>
      </c>
      <c r="G56" s="130">
        <f t="shared" si="2"/>
        <v>0</v>
      </c>
      <c r="H56" s="130">
        <f t="shared" si="2"/>
        <v>0</v>
      </c>
      <c r="I56" s="130">
        <f>IFERROR(COUNTIF(I19:I52,""),"")</f>
        <v>0</v>
      </c>
    </row>
    <row r="57" spans="1:10" s="176" customFormat="1" ht="13" thickBot="1">
      <c r="C57" s="177" t="s">
        <v>98</v>
      </c>
      <c r="D57" s="178">
        <f>IFERROR(COUNTIF(D19:D52,C57)-D56,"")</f>
        <v>0</v>
      </c>
      <c r="E57" s="178">
        <f t="shared" ref="E57:G57" si="3">IFERROR(COUNTIF(E19:E52,D57)+COUNTIF(E19:E52,""),"")-E56</f>
        <v>0</v>
      </c>
      <c r="F57" s="178">
        <f t="shared" si="3"/>
        <v>0</v>
      </c>
      <c r="G57" s="178">
        <f t="shared" si="3"/>
        <v>0</v>
      </c>
      <c r="H57" s="178">
        <f>IFERROR(COUNTIF(H19:H52,C57)+COUNTIF(H19:H52,""),"")-H56</f>
        <v>1</v>
      </c>
      <c r="I57" s="178">
        <f>IFERROR(COUNTIF(I19:I52,C57)+COUNTIF(I19:I52,""),"")-I56</f>
        <v>1</v>
      </c>
    </row>
    <row r="58" spans="1:10" s="117" customFormat="1" ht="13" thickBot="1">
      <c r="C58" s="133" t="s">
        <v>99</v>
      </c>
      <c r="D58" s="134">
        <f>IFERROR(COUNTIF(D19:D52,C58)-D57,"")</f>
        <v>34</v>
      </c>
      <c r="E58" s="134">
        <f>IFERROR(COUNTIF(E19:E52,C58)-E57,"")</f>
        <v>34</v>
      </c>
      <c r="F58" s="134">
        <f>IFERROR(COUNTIF(F19:F52,C58)-F57,"")</f>
        <v>29</v>
      </c>
      <c r="G58" s="134">
        <f>IFERROR(COUNTIF(G19:G52,C58)-G57,"")</f>
        <v>34</v>
      </c>
      <c r="H58" s="134">
        <f>IFERROR(COUNTIF(H19:H52,C58)-H57,"")</f>
        <v>28</v>
      </c>
      <c r="I58" s="135">
        <f>IFERROR(COUNTIF(I19:I52,C58)-I57,"")</f>
        <v>33</v>
      </c>
    </row>
    <row r="59" spans="1:10" s="117" customFormat="1" ht="13" thickBot="1">
      <c r="C59" s="136" t="s">
        <v>100</v>
      </c>
      <c r="D59" s="137">
        <f>COUNTIF(D20:D53,C59)</f>
        <v>0</v>
      </c>
      <c r="E59" s="137">
        <f>COUNTIF(E20:E53,C59)</f>
        <v>0</v>
      </c>
      <c r="F59" s="137">
        <f>IFERROR(COUNTIF(F19:F52,C59),"")</f>
        <v>5</v>
      </c>
      <c r="G59" s="137">
        <f t="shared" ref="G59" si="4">IFERROR(COUNTIF(G20:G53,D59),"")</f>
        <v>0</v>
      </c>
      <c r="H59" s="137">
        <f>IFERROR(COUNTIF(H19:H52,C59),"")</f>
        <v>5</v>
      </c>
      <c r="I59" s="137">
        <f>IFERROR(COUNTIF(I19:I52,C59),"")</f>
        <v>0</v>
      </c>
    </row>
    <row r="60" spans="1:10" s="117" customFormat="1" ht="13" thickBot="1">
      <c r="C60" s="138" t="s">
        <v>78</v>
      </c>
      <c r="D60" s="139">
        <f>SUM(D56:D59)</f>
        <v>34</v>
      </c>
      <c r="E60" s="139">
        <f t="shared" ref="E60:F60" si="5">SUM(E56:E59)</f>
        <v>34</v>
      </c>
      <c r="F60" s="139">
        <f t="shared" si="5"/>
        <v>34</v>
      </c>
      <c r="G60" s="139">
        <f t="shared" ref="G60:I60" si="6">SUM(G56:G59)</f>
        <v>34</v>
      </c>
      <c r="H60" s="139">
        <f>SUM(H56:H59)</f>
        <v>34</v>
      </c>
      <c r="I60" s="139">
        <f t="shared" si="6"/>
        <v>34</v>
      </c>
    </row>
    <row r="61" spans="1:10" s="117" customFormat="1" ht="13" thickBot="1">
      <c r="C61" s="140"/>
      <c r="D61" s="128"/>
      <c r="E61" s="128"/>
      <c r="F61" s="128"/>
    </row>
    <row r="62" spans="1:10" s="117" customFormat="1" ht="13" thickBot="1">
      <c r="C62" s="141" t="s">
        <v>101</v>
      </c>
      <c r="D62" s="142">
        <f>(D58+D59)/(D60-D56)</f>
        <v>1</v>
      </c>
      <c r="E62" s="142">
        <f>(E58+E59)/(E60-E56)</f>
        <v>1</v>
      </c>
      <c r="F62" s="142">
        <f>(F58+F59)/(F60-F56)</f>
        <v>1</v>
      </c>
      <c r="G62" s="142">
        <f t="shared" ref="G62:I62" si="7">(G58+G59)/(G60-G56)</f>
        <v>1</v>
      </c>
      <c r="H62" s="142">
        <f t="shared" si="7"/>
        <v>0.97058823529411764</v>
      </c>
      <c r="I62" s="142">
        <f t="shared" si="7"/>
        <v>0.97058823529411764</v>
      </c>
    </row>
    <row r="63" spans="1:10" s="117" customFormat="1" ht="13" thickBot="1">
      <c r="C63" s="140"/>
      <c r="D63" s="128"/>
      <c r="E63" s="128"/>
      <c r="F63" s="128"/>
    </row>
    <row r="64" spans="1:10" s="117" customFormat="1" ht="13" thickBot="1">
      <c r="C64" s="141" t="s">
        <v>102</v>
      </c>
      <c r="D64" s="144">
        <f>MIN(D19:D52)</f>
        <v>69.25</v>
      </c>
      <c r="E64" s="144">
        <f t="shared" ref="E64:H64" si="8">MIN(E19:E52)</f>
        <v>53.13</v>
      </c>
      <c r="F64" s="144">
        <f t="shared" si="8"/>
        <v>44.23</v>
      </c>
      <c r="G64" s="144">
        <f t="shared" si="8"/>
        <v>63.24</v>
      </c>
      <c r="H64" s="144">
        <f t="shared" si="8"/>
        <v>42.86</v>
      </c>
      <c r="I64" s="144">
        <f>IFERROR(MIN(I19:I52),"")</f>
        <v>55.102800000000002</v>
      </c>
    </row>
    <row r="65" spans="3:9" s="117" customFormat="1" ht="13" thickBot="1">
      <c r="C65" s="141" t="s">
        <v>103</v>
      </c>
      <c r="D65" s="144">
        <f>MAX(D19:D52)</f>
        <v>82.5</v>
      </c>
      <c r="E65" s="144">
        <f t="shared" ref="E65:H65" si="9">MAX(E19:E52)</f>
        <v>84.5</v>
      </c>
      <c r="F65" s="144">
        <f t="shared" si="9"/>
        <v>86.46</v>
      </c>
      <c r="G65" s="144">
        <f t="shared" si="9"/>
        <v>83.81</v>
      </c>
      <c r="H65" s="144">
        <f t="shared" si="9"/>
        <v>86.48</v>
      </c>
      <c r="I65" s="144">
        <f>IFERROR(MAX(I19:I52),"")</f>
        <v>84.559699999999992</v>
      </c>
    </row>
    <row r="66" spans="3:9" s="117" customFormat="1" ht="13" thickBot="1">
      <c r="C66" s="141" t="s">
        <v>104</v>
      </c>
      <c r="D66" s="144">
        <f>AVERAGE(D19:D52)</f>
        <v>77.273823529411786</v>
      </c>
      <c r="E66" s="144">
        <f t="shared" ref="E66:H66" si="10">AVERAGE(E19:E52)</f>
        <v>78.442941176470612</v>
      </c>
      <c r="F66" s="144">
        <f t="shared" si="10"/>
        <v>80.710882352941198</v>
      </c>
      <c r="G66" s="144">
        <f t="shared" si="10"/>
        <v>78.175588235294114</v>
      </c>
      <c r="H66" s="144">
        <f t="shared" si="10"/>
        <v>80.661176470588245</v>
      </c>
      <c r="I66" s="144">
        <f>IFERROR(AVERAGE(I19:I52),"")</f>
        <v>79.255232352941164</v>
      </c>
    </row>
  </sheetData>
  <mergeCells count="7">
    <mergeCell ref="A1:K1"/>
    <mergeCell ref="A2:K2"/>
    <mergeCell ref="I12:I17"/>
    <mergeCell ref="J12:J17"/>
    <mergeCell ref="D12:H12"/>
    <mergeCell ref="D13:H13"/>
    <mergeCell ref="D14:H14"/>
  </mergeCells>
  <printOptions horizontalCentered="1"/>
  <pageMargins left="0.19685039370078741" right="0.11811023622047245" top="0.19685039370078741" bottom="0.15748031496062992" header="0" footer="0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FDD3-037F-4AD2-9867-87004BE6F4EA}">
  <dimension ref="A1:V65"/>
  <sheetViews>
    <sheetView view="pageBreakPreview" zoomScale="90" zoomScaleNormal="100" zoomScaleSheetLayoutView="90" workbookViewId="0">
      <selection activeCell="F19" sqref="F19"/>
    </sheetView>
  </sheetViews>
  <sheetFormatPr defaultRowHeight="14"/>
  <cols>
    <col min="1" max="1" width="4" customWidth="1"/>
    <col min="2" max="2" width="12.83203125" customWidth="1"/>
    <col min="3" max="3" width="35" customWidth="1"/>
    <col min="4" max="4" width="13.08203125" customWidth="1"/>
    <col min="5" max="5" width="15.25" customWidth="1"/>
    <col min="6" max="6" width="12.6640625" customWidth="1"/>
    <col min="9" max="9" width="13" customWidth="1"/>
  </cols>
  <sheetData>
    <row r="1" spans="1:22" ht="18">
      <c r="A1" s="216" t="s">
        <v>79</v>
      </c>
      <c r="B1" s="216"/>
      <c r="C1" s="216"/>
      <c r="D1" s="216"/>
      <c r="E1" s="216"/>
      <c r="F1" s="216"/>
      <c r="G1" s="216"/>
      <c r="H1" s="216"/>
      <c r="I1" s="33"/>
    </row>
    <row r="2" spans="1:22" ht="18.5" thickBot="1">
      <c r="A2" s="217" t="s">
        <v>80</v>
      </c>
      <c r="B2" s="217"/>
      <c r="C2" s="217"/>
      <c r="D2" s="217"/>
      <c r="E2" s="217"/>
      <c r="F2" s="217"/>
      <c r="G2" s="217"/>
      <c r="H2" s="217"/>
      <c r="I2" s="33"/>
    </row>
    <row r="4" spans="1:22">
      <c r="A4" t="s">
        <v>81</v>
      </c>
      <c r="C4" t="s">
        <v>82</v>
      </c>
      <c r="E4" t="s">
        <v>83</v>
      </c>
      <c r="F4" t="s">
        <v>273</v>
      </c>
    </row>
    <row r="5" spans="1:22">
      <c r="A5" t="s">
        <v>41</v>
      </c>
      <c r="C5" s="34" t="s">
        <v>288</v>
      </c>
      <c r="E5" t="s">
        <v>85</v>
      </c>
      <c r="F5" t="s">
        <v>275</v>
      </c>
    </row>
    <row r="6" spans="1:22">
      <c r="A6" t="s">
        <v>42</v>
      </c>
      <c r="C6" t="s">
        <v>289</v>
      </c>
    </row>
    <row r="7" spans="1:22">
      <c r="A7" t="s">
        <v>87</v>
      </c>
      <c r="C7" t="s">
        <v>88</v>
      </c>
    </row>
    <row r="8" spans="1:22">
      <c r="A8" t="s">
        <v>89</v>
      </c>
      <c r="C8" t="s">
        <v>90</v>
      </c>
    </row>
    <row r="9" spans="1:22">
      <c r="A9" t="s">
        <v>91</v>
      </c>
      <c r="C9" t="s">
        <v>290</v>
      </c>
    </row>
    <row r="10" spans="1:22">
      <c r="C10" t="s">
        <v>291</v>
      </c>
    </row>
    <row r="11" spans="1:22">
      <c r="C11" s="35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1:22">
      <c r="C12" s="35"/>
      <c r="D12" s="224" t="s">
        <v>56</v>
      </c>
      <c r="E12" s="225"/>
      <c r="F12" s="226" t="s">
        <v>92</v>
      </c>
      <c r="G12" s="226" t="s">
        <v>93</v>
      </c>
    </row>
    <row r="13" spans="1:22">
      <c r="C13" s="35"/>
      <c r="D13" s="229" t="str">
        <f>TRIM(MID(C5,2,20))</f>
        <v>P.24.05.52.1.03</v>
      </c>
      <c r="E13" s="229"/>
      <c r="F13" s="227"/>
      <c r="G13" s="227"/>
    </row>
    <row r="14" spans="1:22">
      <c r="C14" s="35"/>
      <c r="D14" s="230" t="str">
        <f>TRIM(MID(C6,2,100))</f>
        <v>Etika Bisnis dan Profesi</v>
      </c>
      <c r="E14" s="231"/>
      <c r="F14" s="227"/>
      <c r="G14" s="227"/>
    </row>
    <row r="15" spans="1:22">
      <c r="C15" s="35"/>
      <c r="D15" s="37" t="s">
        <v>148</v>
      </c>
      <c r="E15" s="37" t="s">
        <v>114</v>
      </c>
      <c r="F15" s="227"/>
      <c r="G15" s="227"/>
    </row>
    <row r="16" spans="1:22">
      <c r="C16" s="35"/>
      <c r="D16" s="37" t="s">
        <v>295</v>
      </c>
      <c r="E16" s="37" t="s">
        <v>296</v>
      </c>
      <c r="F16" s="227"/>
      <c r="G16" s="227"/>
    </row>
    <row r="17" spans="1:7">
      <c r="C17" s="35"/>
      <c r="D17" s="37">
        <v>50</v>
      </c>
      <c r="E17" s="37">
        <v>50</v>
      </c>
      <c r="F17" s="228"/>
      <c r="G17" s="228"/>
    </row>
    <row r="18" spans="1:7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</row>
    <row r="19" spans="1:7">
      <c r="A19" s="121">
        <v>1</v>
      </c>
      <c r="B19" s="122" t="s">
        <v>191</v>
      </c>
      <c r="C19" s="122" t="s">
        <v>192</v>
      </c>
      <c r="D19" s="38">
        <v>79</v>
      </c>
      <c r="E19" s="38">
        <v>82.5</v>
      </c>
      <c r="F19" s="38">
        <f>IFERROR((D19*($D$17/100))+(E19*($E$17/100)),"")</f>
        <v>80.75</v>
      </c>
      <c r="G19" s="38" t="str">
        <f>IFERROR(VLOOKUP(F19,[3]Sheet1!$AA$1:$AB$10,2),"")</f>
        <v>B+</v>
      </c>
    </row>
    <row r="20" spans="1:7">
      <c r="A20" s="121">
        <v>2</v>
      </c>
      <c r="B20" s="122" t="s">
        <v>193</v>
      </c>
      <c r="C20" s="122" t="s">
        <v>194</v>
      </c>
      <c r="D20" s="38">
        <v>86</v>
      </c>
      <c r="E20" s="38">
        <v>86</v>
      </c>
      <c r="F20" s="38">
        <f t="shared" ref="F20:F52" si="0">IFERROR((D20*($D$17/100))+(E20*($E$17/100)),"")</f>
        <v>86</v>
      </c>
      <c r="G20" s="38" t="str">
        <f>IFERROR(VLOOKUP(F20,[2]Sheet1!$AA$1:$AB$10,2),"")</f>
        <v>A-</v>
      </c>
    </row>
    <row r="21" spans="1:7">
      <c r="A21" s="121">
        <v>3</v>
      </c>
      <c r="B21" s="122" t="s">
        <v>195</v>
      </c>
      <c r="C21" s="122" t="s">
        <v>196</v>
      </c>
      <c r="D21" s="38">
        <v>84</v>
      </c>
      <c r="E21" s="38">
        <v>86</v>
      </c>
      <c r="F21" s="38">
        <f t="shared" si="0"/>
        <v>85</v>
      </c>
      <c r="G21" s="38" t="str">
        <f>IFERROR(VLOOKUP(F21,[2]Sheet1!$AA$1:$AB$10,2),"")</f>
        <v>A-</v>
      </c>
    </row>
    <row r="22" spans="1:7">
      <c r="A22" s="121">
        <v>4</v>
      </c>
      <c r="B22" s="122" t="s">
        <v>197</v>
      </c>
      <c r="C22" s="122" t="s">
        <v>198</v>
      </c>
      <c r="D22" s="38">
        <v>78.400000000000006</v>
      </c>
      <c r="E22" s="38">
        <v>81.900000000000006</v>
      </c>
      <c r="F22" s="38">
        <f t="shared" si="0"/>
        <v>80.150000000000006</v>
      </c>
      <c r="G22" s="38" t="str">
        <f>IFERROR(VLOOKUP(F22,[2]Sheet1!$AA$1:$AB$10,2),"")</f>
        <v>B+</v>
      </c>
    </row>
    <row r="23" spans="1:7">
      <c r="A23" s="121">
        <v>5</v>
      </c>
      <c r="B23" s="122" t="s">
        <v>199</v>
      </c>
      <c r="C23" s="122" t="s">
        <v>200</v>
      </c>
      <c r="D23" s="38">
        <v>77</v>
      </c>
      <c r="E23" s="38">
        <v>82.5</v>
      </c>
      <c r="F23" s="38">
        <f t="shared" si="0"/>
        <v>79.75</v>
      </c>
      <c r="G23" s="38" t="str">
        <f>IFERROR(VLOOKUP(F23,[2]Sheet1!$AA$1:$AB$10,2),"")</f>
        <v>B+</v>
      </c>
    </row>
    <row r="24" spans="1:7">
      <c r="A24" s="121">
        <v>6</v>
      </c>
      <c r="B24" s="122" t="s">
        <v>201</v>
      </c>
      <c r="C24" s="122" t="s">
        <v>202</v>
      </c>
      <c r="D24" s="38">
        <v>76.400000000000006</v>
      </c>
      <c r="E24" s="38">
        <v>81.900000000000006</v>
      </c>
      <c r="F24" s="38">
        <f t="shared" si="0"/>
        <v>79.150000000000006</v>
      </c>
      <c r="G24" s="38" t="str">
        <f>IFERROR(VLOOKUP(F24,[2]Sheet1!$AA$1:$AB$10,2),"")</f>
        <v>B+</v>
      </c>
    </row>
    <row r="25" spans="1:7">
      <c r="A25" s="121">
        <v>7</v>
      </c>
      <c r="B25" s="122" t="s">
        <v>203</v>
      </c>
      <c r="C25" s="122" t="s">
        <v>204</v>
      </c>
      <c r="D25" s="38">
        <v>86</v>
      </c>
      <c r="E25" s="38">
        <v>89.5</v>
      </c>
      <c r="F25" s="38">
        <f t="shared" si="0"/>
        <v>87.75</v>
      </c>
      <c r="G25" s="38" t="str">
        <f>IFERROR(VLOOKUP(F25,[2]Sheet1!$AA$1:$AB$10,2),"")</f>
        <v>A-</v>
      </c>
    </row>
    <row r="26" spans="1:7">
      <c r="A26" s="121">
        <v>8</v>
      </c>
      <c r="B26" s="122" t="s">
        <v>205</v>
      </c>
      <c r="C26" s="122" t="s">
        <v>206</v>
      </c>
      <c r="D26" s="38">
        <v>79</v>
      </c>
      <c r="E26" s="38">
        <v>82.5</v>
      </c>
      <c r="F26" s="38">
        <f t="shared" si="0"/>
        <v>80.75</v>
      </c>
      <c r="G26" s="38" t="str">
        <f>IFERROR(VLOOKUP(F26,[2]Sheet1!$AA$1:$AB$10,2),"")</f>
        <v>B+</v>
      </c>
    </row>
    <row r="27" spans="1:7">
      <c r="A27" s="121">
        <v>9</v>
      </c>
      <c r="B27" s="122" t="s">
        <v>207</v>
      </c>
      <c r="C27" s="122" t="s">
        <v>208</v>
      </c>
      <c r="D27" s="38">
        <v>82.5</v>
      </c>
      <c r="E27" s="38">
        <v>82.5</v>
      </c>
      <c r="F27" s="38">
        <f t="shared" si="0"/>
        <v>82.5</v>
      </c>
      <c r="G27" s="38" t="str">
        <f>IFERROR(VLOOKUP(F27,[2]Sheet1!$AA$1:$AB$10,2),"")</f>
        <v>B+</v>
      </c>
    </row>
    <row r="28" spans="1:7">
      <c r="A28" s="121">
        <v>10</v>
      </c>
      <c r="B28" s="122" t="s">
        <v>209</v>
      </c>
      <c r="C28" s="122" t="s">
        <v>210</v>
      </c>
      <c r="D28" s="38">
        <v>86</v>
      </c>
      <c r="E28" s="38">
        <v>86</v>
      </c>
      <c r="F28" s="38">
        <f t="shared" si="0"/>
        <v>86</v>
      </c>
      <c r="G28" s="38" t="str">
        <f>IFERROR(VLOOKUP(F28,[2]Sheet1!$AA$1:$AB$10,2),"")</f>
        <v>A-</v>
      </c>
    </row>
    <row r="29" spans="1:7">
      <c r="A29" s="121">
        <v>11</v>
      </c>
      <c r="B29" s="122" t="s">
        <v>279</v>
      </c>
      <c r="C29" s="122" t="s">
        <v>280</v>
      </c>
      <c r="D29" s="38">
        <v>86</v>
      </c>
      <c r="E29" s="38">
        <v>86</v>
      </c>
      <c r="F29" s="38">
        <f t="shared" si="0"/>
        <v>86</v>
      </c>
      <c r="G29" s="38" t="str">
        <f>IFERROR(VLOOKUP(F29,[2]Sheet1!$AA$1:$AB$10,2),"")</f>
        <v>A-</v>
      </c>
    </row>
    <row r="30" spans="1:7">
      <c r="A30" s="121">
        <v>12</v>
      </c>
      <c r="B30" s="122" t="s">
        <v>211</v>
      </c>
      <c r="C30" s="122" t="s">
        <v>212</v>
      </c>
      <c r="D30" s="38">
        <v>89.5</v>
      </c>
      <c r="E30" s="38">
        <v>89.5</v>
      </c>
      <c r="F30" s="38">
        <f t="shared" si="0"/>
        <v>89.5</v>
      </c>
      <c r="G30" s="38" t="str">
        <f>IFERROR(VLOOKUP(F30,[2]Sheet1!$AA$1:$AB$10,2),"")</f>
        <v>A-</v>
      </c>
    </row>
    <row r="31" spans="1:7">
      <c r="A31" s="121">
        <v>13</v>
      </c>
      <c r="B31" s="122" t="s">
        <v>213</v>
      </c>
      <c r="C31" s="122" t="s">
        <v>214</v>
      </c>
      <c r="D31" s="38">
        <v>67.400000000000006</v>
      </c>
      <c r="E31" s="38">
        <v>74.400000000000006</v>
      </c>
      <c r="F31" s="38">
        <f t="shared" si="0"/>
        <v>70.900000000000006</v>
      </c>
      <c r="G31" s="38" t="str">
        <f>IFERROR(VLOOKUP(F31,[2]Sheet1!$AA$1:$AB$10,2),"")</f>
        <v>B</v>
      </c>
    </row>
    <row r="32" spans="1:7">
      <c r="A32" s="121">
        <v>14</v>
      </c>
      <c r="B32" s="122" t="s">
        <v>215</v>
      </c>
      <c r="C32" s="122" t="s">
        <v>216</v>
      </c>
      <c r="D32" s="38">
        <v>86</v>
      </c>
      <c r="E32" s="38">
        <v>86</v>
      </c>
      <c r="F32" s="38">
        <f t="shared" si="0"/>
        <v>86</v>
      </c>
      <c r="G32" s="38" t="str">
        <f>IFERROR(VLOOKUP(F32,[2]Sheet1!$AA$1:$AB$10,2),"")</f>
        <v>A-</v>
      </c>
    </row>
    <row r="33" spans="1:7">
      <c r="A33" s="121">
        <v>15</v>
      </c>
      <c r="B33" s="122" t="s">
        <v>217</v>
      </c>
      <c r="C33" s="122" t="s">
        <v>218</v>
      </c>
      <c r="D33" s="38">
        <v>86</v>
      </c>
      <c r="E33" s="38">
        <v>86</v>
      </c>
      <c r="F33" s="38">
        <f t="shared" si="0"/>
        <v>86</v>
      </c>
      <c r="G33" s="38" t="str">
        <f>IFERROR(VLOOKUP(F33,[2]Sheet1!$AA$1:$AB$10,2),"")</f>
        <v>A-</v>
      </c>
    </row>
    <row r="34" spans="1:7">
      <c r="A34" s="121">
        <v>16</v>
      </c>
      <c r="B34" s="122" t="s">
        <v>219</v>
      </c>
      <c r="C34" s="122" t="s">
        <v>220</v>
      </c>
      <c r="D34" s="38">
        <v>86</v>
      </c>
      <c r="E34" s="38">
        <v>86</v>
      </c>
      <c r="F34" s="38">
        <f t="shared" si="0"/>
        <v>86</v>
      </c>
      <c r="G34" s="38" t="str">
        <f>IFERROR(VLOOKUP(F34,[2]Sheet1!$AA$1:$AB$10,2),"")</f>
        <v>A-</v>
      </c>
    </row>
    <row r="35" spans="1:7">
      <c r="A35" s="121">
        <v>17</v>
      </c>
      <c r="B35" s="122" t="s">
        <v>221</v>
      </c>
      <c r="C35" s="122" t="s">
        <v>222</v>
      </c>
      <c r="D35" s="38">
        <v>85.4</v>
      </c>
      <c r="E35" s="38">
        <v>88.9</v>
      </c>
      <c r="F35" s="38">
        <f t="shared" si="0"/>
        <v>87.15</v>
      </c>
      <c r="G35" s="38" t="str">
        <f>IFERROR(VLOOKUP(F35,[2]Sheet1!$AA$1:$AB$10,2),"")</f>
        <v>A-</v>
      </c>
    </row>
    <row r="36" spans="1:7">
      <c r="A36" s="121">
        <v>18</v>
      </c>
      <c r="B36" s="122" t="s">
        <v>223</v>
      </c>
      <c r="C36" s="122" t="s">
        <v>224</v>
      </c>
      <c r="D36" s="38">
        <v>85.4</v>
      </c>
      <c r="E36" s="38">
        <v>88.9</v>
      </c>
      <c r="F36" s="38">
        <f t="shared" si="0"/>
        <v>87.15</v>
      </c>
      <c r="G36" s="38" t="str">
        <f>IFERROR(VLOOKUP(F36,[2]Sheet1!$AA$1:$AB$10,2),"")</f>
        <v>A-</v>
      </c>
    </row>
    <row r="37" spans="1:7">
      <c r="A37" s="121">
        <v>19</v>
      </c>
      <c r="B37" s="122" t="s">
        <v>225</v>
      </c>
      <c r="C37" s="122" t="s">
        <v>226</v>
      </c>
      <c r="D37" s="38">
        <v>85.4</v>
      </c>
      <c r="E37" s="38">
        <v>88.9</v>
      </c>
      <c r="F37" s="38">
        <f t="shared" si="0"/>
        <v>87.15</v>
      </c>
      <c r="G37" s="38" t="str">
        <f>IFERROR(VLOOKUP(F37,[2]Sheet1!$AA$1:$AB$10,2),"")</f>
        <v>A-</v>
      </c>
    </row>
    <row r="38" spans="1:7">
      <c r="A38" s="121">
        <v>20</v>
      </c>
      <c r="B38" s="122" t="s">
        <v>227</v>
      </c>
      <c r="C38" s="122" t="s">
        <v>228</v>
      </c>
      <c r="D38" s="115">
        <v>85.4</v>
      </c>
      <c r="E38" s="115">
        <v>88.2</v>
      </c>
      <c r="F38" s="38">
        <f t="shared" si="0"/>
        <v>86.800000000000011</v>
      </c>
      <c r="G38" s="38" t="str">
        <f>IFERROR(VLOOKUP(F38,[2]Sheet1!$AA$1:$AB$10,2),"")</f>
        <v>A-</v>
      </c>
    </row>
    <row r="39" spans="1:7">
      <c r="A39" s="121">
        <v>21</v>
      </c>
      <c r="B39" s="122" t="s">
        <v>229</v>
      </c>
      <c r="C39" s="122" t="s">
        <v>230</v>
      </c>
      <c r="D39" s="115">
        <v>75.8</v>
      </c>
      <c r="E39" s="115">
        <v>81.3</v>
      </c>
      <c r="F39" s="38">
        <f t="shared" si="0"/>
        <v>78.55</v>
      </c>
      <c r="G39" s="38" t="str">
        <f>IFERROR(VLOOKUP(F39,[2]Sheet1!$AA$1:$AB$10,2),"")</f>
        <v>B+</v>
      </c>
    </row>
    <row r="40" spans="1:7">
      <c r="A40" s="121">
        <v>22</v>
      </c>
      <c r="B40" s="122" t="s">
        <v>231</v>
      </c>
      <c r="C40" s="122" t="s">
        <v>232</v>
      </c>
      <c r="D40" s="115">
        <v>86</v>
      </c>
      <c r="E40" s="115">
        <v>86</v>
      </c>
      <c r="F40" s="38">
        <f t="shared" si="0"/>
        <v>86</v>
      </c>
      <c r="G40" s="38" t="str">
        <f>IFERROR(VLOOKUP(F40,[2]Sheet1!$AA$1:$AB$10,2),"")</f>
        <v>A-</v>
      </c>
    </row>
    <row r="41" spans="1:7">
      <c r="A41" s="121">
        <v>23</v>
      </c>
      <c r="B41" s="122" t="s">
        <v>233</v>
      </c>
      <c r="C41" s="122" t="s">
        <v>234</v>
      </c>
      <c r="D41" s="115">
        <v>85.4</v>
      </c>
      <c r="E41" s="115">
        <v>88.2</v>
      </c>
      <c r="F41" s="38">
        <f t="shared" si="0"/>
        <v>86.800000000000011</v>
      </c>
      <c r="G41" s="38" t="str">
        <f>IFERROR(VLOOKUP(F41,[2]Sheet1!$AA$1:$AB$10,2),"")</f>
        <v>A-</v>
      </c>
    </row>
    <row r="42" spans="1:7">
      <c r="A42" s="121">
        <v>24</v>
      </c>
      <c r="B42" s="122" t="s">
        <v>235</v>
      </c>
      <c r="C42" s="122" t="s">
        <v>281</v>
      </c>
      <c r="D42" s="115">
        <v>75.5</v>
      </c>
      <c r="E42" s="115">
        <v>51</v>
      </c>
      <c r="F42" s="38">
        <f t="shared" si="0"/>
        <v>63.25</v>
      </c>
      <c r="G42" s="38" t="str">
        <f>IFERROR(VLOOKUP(F42,[2]Sheet1!$AA$1:$AB$10,2),"")</f>
        <v>C+</v>
      </c>
    </row>
    <row r="43" spans="1:7">
      <c r="A43" s="121">
        <v>25</v>
      </c>
      <c r="B43" s="122" t="s">
        <v>237</v>
      </c>
      <c r="C43" s="122" t="s">
        <v>238</v>
      </c>
      <c r="D43" s="115">
        <v>75.5</v>
      </c>
      <c r="E43" s="115">
        <v>51</v>
      </c>
      <c r="F43" s="38">
        <f t="shared" si="0"/>
        <v>63.25</v>
      </c>
      <c r="G43" s="38" t="str">
        <f>IFERROR(VLOOKUP(F43,[2]Sheet1!$AA$1:$AB$10,2),"")</f>
        <v>C+</v>
      </c>
    </row>
    <row r="44" spans="1:7">
      <c r="A44" s="121">
        <v>26</v>
      </c>
      <c r="B44" s="122" t="s">
        <v>239</v>
      </c>
      <c r="C44" s="122" t="s">
        <v>240</v>
      </c>
      <c r="D44" s="115">
        <v>75.5</v>
      </c>
      <c r="E44" s="115">
        <v>51</v>
      </c>
      <c r="F44" s="38">
        <f t="shared" si="0"/>
        <v>63.25</v>
      </c>
      <c r="G44" s="38" t="str">
        <f>IFERROR(VLOOKUP(F44,[2]Sheet1!$AA$1:$AB$10,2),"")</f>
        <v>C+</v>
      </c>
    </row>
    <row r="45" spans="1:7">
      <c r="A45" s="121">
        <v>27</v>
      </c>
      <c r="B45" s="122" t="s">
        <v>241</v>
      </c>
      <c r="C45" s="122" t="s">
        <v>242</v>
      </c>
      <c r="D45" s="115">
        <v>82.5</v>
      </c>
      <c r="E45" s="115">
        <v>72</v>
      </c>
      <c r="F45" s="38">
        <f t="shared" si="0"/>
        <v>77.25</v>
      </c>
      <c r="G45" s="38" t="str">
        <f>IFERROR(VLOOKUP(F45,[2]Sheet1!$AA$1:$AB$10,2),"")</f>
        <v>B+</v>
      </c>
    </row>
    <row r="46" spans="1:7">
      <c r="A46" s="121">
        <v>28</v>
      </c>
      <c r="B46" s="122" t="s">
        <v>243</v>
      </c>
      <c r="C46" s="122" t="s">
        <v>244</v>
      </c>
      <c r="D46" s="115">
        <v>10</v>
      </c>
      <c r="E46" s="115">
        <v>10</v>
      </c>
      <c r="F46" s="38">
        <f t="shared" si="0"/>
        <v>10</v>
      </c>
      <c r="G46" s="38" t="str">
        <f>IFERROR(VLOOKUP(F46,[2]Sheet1!$AA$1:$AB$10,2),"")</f>
        <v>E</v>
      </c>
    </row>
    <row r="47" spans="1:7">
      <c r="A47" s="121">
        <v>29</v>
      </c>
      <c r="B47" s="122" t="s">
        <v>245</v>
      </c>
      <c r="C47" s="122" t="s">
        <v>246</v>
      </c>
      <c r="D47" s="115">
        <v>86</v>
      </c>
      <c r="E47" s="115">
        <v>96.5</v>
      </c>
      <c r="F47" s="38">
        <f t="shared" si="0"/>
        <v>91.25</v>
      </c>
      <c r="G47" s="38" t="str">
        <f>IFERROR(VLOOKUP(F47,[2]Sheet1!$AA$1:$AB$10,2),"")</f>
        <v>A</v>
      </c>
    </row>
    <row r="48" spans="1:7">
      <c r="A48" s="121">
        <v>30</v>
      </c>
      <c r="B48" s="122" t="s">
        <v>247</v>
      </c>
      <c r="C48" s="122" t="s">
        <v>248</v>
      </c>
      <c r="D48" s="115">
        <v>86</v>
      </c>
      <c r="E48" s="115">
        <v>91.6</v>
      </c>
      <c r="F48" s="38">
        <f t="shared" si="0"/>
        <v>88.8</v>
      </c>
      <c r="G48" s="38" t="str">
        <f>IFERROR(VLOOKUP(F48,[2]Sheet1!$AA$1:$AB$10,2),"")</f>
        <v>A-</v>
      </c>
    </row>
    <row r="49" spans="1:7">
      <c r="A49" s="121">
        <v>31</v>
      </c>
      <c r="B49" s="122" t="s">
        <v>249</v>
      </c>
      <c r="C49" s="122" t="s">
        <v>250</v>
      </c>
      <c r="D49" s="115">
        <v>89.5</v>
      </c>
      <c r="E49" s="115">
        <v>93</v>
      </c>
      <c r="F49" s="38">
        <f t="shared" si="0"/>
        <v>91.25</v>
      </c>
      <c r="G49" s="38" t="str">
        <f>IFERROR(VLOOKUP(F49,[2]Sheet1!$AA$1:$AB$10,2),"")</f>
        <v>A</v>
      </c>
    </row>
    <row r="50" spans="1:7">
      <c r="A50" s="121">
        <v>32</v>
      </c>
      <c r="B50" s="122" t="s">
        <v>251</v>
      </c>
      <c r="C50" s="122" t="s">
        <v>252</v>
      </c>
      <c r="D50" s="115">
        <v>82.5</v>
      </c>
      <c r="E50" s="115">
        <v>72</v>
      </c>
      <c r="F50" s="38">
        <f t="shared" si="0"/>
        <v>77.25</v>
      </c>
      <c r="G50" s="38" t="str">
        <f>IFERROR(VLOOKUP(F50,[2]Sheet1!$AA$1:$AB$10,2),"")</f>
        <v>B+</v>
      </c>
    </row>
    <row r="51" spans="1:7">
      <c r="A51" s="121">
        <v>33</v>
      </c>
      <c r="B51" s="122" t="s">
        <v>253</v>
      </c>
      <c r="C51" s="122" t="s">
        <v>254</v>
      </c>
      <c r="D51" s="115">
        <v>72</v>
      </c>
      <c r="E51" s="115">
        <v>51</v>
      </c>
      <c r="F51" s="38">
        <f t="shared" si="0"/>
        <v>61.5</v>
      </c>
      <c r="G51" s="38" t="str">
        <f>IFERROR(VLOOKUP(F51,[2]Sheet1!$AA$1:$AB$10,2),"")</f>
        <v>C+</v>
      </c>
    </row>
    <row r="52" spans="1:7">
      <c r="A52" s="124">
        <v>34</v>
      </c>
      <c r="B52" s="122" t="s">
        <v>255</v>
      </c>
      <c r="C52" s="122" t="s">
        <v>256</v>
      </c>
      <c r="D52" s="115">
        <v>10</v>
      </c>
      <c r="E52" s="115">
        <v>10</v>
      </c>
      <c r="F52" s="38">
        <f t="shared" si="0"/>
        <v>10</v>
      </c>
      <c r="G52" s="38" t="str">
        <f>IFERROR(VLOOKUP(F52,[2]Sheet1!$AA$1:$AB$10,2),"")</f>
        <v>E</v>
      </c>
    </row>
    <row r="53" spans="1:7">
      <c r="C53" s="35"/>
      <c r="D53" s="36"/>
      <c r="E53" s="36"/>
      <c r="F53" s="36"/>
    </row>
    <row r="54" spans="1:7" s="117" customFormat="1" ht="13" thickBot="1">
      <c r="C54" s="118"/>
      <c r="D54" s="128" t="str">
        <f t="shared" ref="D54:E54" si="1">D16</f>
        <v>CPMK81</v>
      </c>
      <c r="E54" s="128" t="str">
        <f t="shared" si="1"/>
        <v>CPMK91</v>
      </c>
      <c r="F54" s="128" t="str">
        <f>F12</f>
        <v>Nilai Akhir MK</v>
      </c>
    </row>
    <row r="55" spans="1:7" s="117" customFormat="1" ht="13" thickBot="1">
      <c r="C55" s="129" t="s">
        <v>188</v>
      </c>
      <c r="D55" s="130">
        <f>IFERROR(COUNTIF(D19:D52,""),"")</f>
        <v>0</v>
      </c>
      <c r="E55" s="130">
        <f>IFERROR(COUNTIF(E19:E52,""),"")</f>
        <v>0</v>
      </c>
      <c r="F55" s="130">
        <f>IFERROR(COUNTIF(F19:F52,""),"")</f>
        <v>0</v>
      </c>
    </row>
    <row r="56" spans="1:7" s="117" customFormat="1" ht="13" thickBot="1">
      <c r="C56" s="131" t="s">
        <v>98</v>
      </c>
      <c r="D56" s="132">
        <f>IFERROR(COUNTIF(D19:D52,C56)+COUNTIF(D19:D52,""),"")-D55</f>
        <v>2</v>
      </c>
      <c r="E56" s="148">
        <f>COUNTIF(E19:E52,C56)+COUNTIF(E19:E52,"")-E55</f>
        <v>6</v>
      </c>
      <c r="F56" s="148">
        <f>IFERROR(COUNTIF(F19:F52,C56)+COUNTIF(F19:F52,""),"")-F55</f>
        <v>6</v>
      </c>
    </row>
    <row r="57" spans="1:7" s="117" customFormat="1" ht="13" thickBot="1">
      <c r="C57" s="133" t="s">
        <v>99</v>
      </c>
      <c r="D57" s="134">
        <f>IFERROR(COUNTIF(D19:D52,C57)-D56,"")</f>
        <v>15</v>
      </c>
      <c r="E57" s="134">
        <f>COUNTIF(E19:E52,C57)-E56</f>
        <v>10</v>
      </c>
      <c r="F57" s="135">
        <f>IFERROR(COUNTIF(F19:F52,C57)-F56,"")</f>
        <v>10</v>
      </c>
    </row>
    <row r="58" spans="1:7" s="117" customFormat="1" ht="13" thickBot="1">
      <c r="C58" s="136" t="s">
        <v>100</v>
      </c>
      <c r="D58" s="137">
        <f>COUNTIF(D19:D52,C58)</f>
        <v>17</v>
      </c>
      <c r="E58" s="137">
        <f>COUNTIF(E19:E52,C58)</f>
        <v>18</v>
      </c>
      <c r="F58" s="137">
        <f>IFERROR(COUNTIF(F19:F52,C58),"")</f>
        <v>18</v>
      </c>
    </row>
    <row r="59" spans="1:7" s="117" customFormat="1" ht="13" thickBot="1">
      <c r="C59" s="138" t="s">
        <v>78</v>
      </c>
      <c r="D59" s="139">
        <f>SUM(D55:D58)</f>
        <v>34</v>
      </c>
      <c r="E59" s="139">
        <f t="shared" ref="E59:F59" si="2">SUM(E55:E58)</f>
        <v>34</v>
      </c>
      <c r="F59" s="139">
        <f t="shared" si="2"/>
        <v>34</v>
      </c>
    </row>
    <row r="60" spans="1:7" s="117" customFormat="1" ht="13" thickBot="1">
      <c r="C60" s="140"/>
      <c r="D60" s="128"/>
      <c r="E60" s="128"/>
      <c r="F60" s="128"/>
    </row>
    <row r="61" spans="1:7" s="117" customFormat="1" ht="13" thickBot="1">
      <c r="C61" s="141" t="s">
        <v>101</v>
      </c>
      <c r="D61" s="142">
        <f>(D57+D58)/(D59-D55)</f>
        <v>0.94117647058823528</v>
      </c>
      <c r="E61" s="142">
        <f>(E57+E58)/(E59-E55)</f>
        <v>0.82352941176470584</v>
      </c>
      <c r="F61" s="142">
        <f>(F57+F58)/(F59-F55)</f>
        <v>0.82352941176470584</v>
      </c>
    </row>
    <row r="62" spans="1:7" s="117" customFormat="1" ht="13" thickBot="1">
      <c r="C62" s="140"/>
      <c r="D62" s="128"/>
      <c r="E62" s="128"/>
      <c r="F62" s="128"/>
    </row>
    <row r="63" spans="1:7" s="117" customFormat="1" ht="13" thickBot="1">
      <c r="C63" s="141" t="s">
        <v>102</v>
      </c>
      <c r="D63" s="143">
        <f>MIN(D19:D52)</f>
        <v>10</v>
      </c>
      <c r="E63" s="143">
        <f>MIN(E19:E52)</f>
        <v>10</v>
      </c>
      <c r="F63" s="143">
        <f>IFERROR(MIN(F19:F52),"")</f>
        <v>10</v>
      </c>
    </row>
    <row r="64" spans="1:7" s="117" customFormat="1" ht="13" thickBot="1">
      <c r="C64" s="141" t="s">
        <v>103</v>
      </c>
      <c r="D64" s="143">
        <f>MAX(D19:D37)</f>
        <v>89.5</v>
      </c>
      <c r="E64" s="143">
        <f>MAX(E19:E52)</f>
        <v>96.5</v>
      </c>
      <c r="F64" s="143">
        <f>IFERROR(MAX(F19:F52),"")</f>
        <v>91.25</v>
      </c>
    </row>
    <row r="65" spans="3:6" s="117" customFormat="1" ht="13" thickBot="1">
      <c r="C65" s="141" t="s">
        <v>104</v>
      </c>
      <c r="D65" s="144">
        <f>AVERAGE(D19:D52)</f>
        <v>77.911764705882362</v>
      </c>
      <c r="E65" s="144">
        <f>AVERAGE(E19:E52)</f>
        <v>76.726470588235301</v>
      </c>
      <c r="F65" s="144">
        <f>IFERROR(AVERAGE(F19:F52),"")</f>
        <v>77.319117647058832</v>
      </c>
    </row>
  </sheetData>
  <mergeCells count="7">
    <mergeCell ref="A1:H1"/>
    <mergeCell ref="A2:H2"/>
    <mergeCell ref="D12:E12"/>
    <mergeCell ref="F12:F17"/>
    <mergeCell ref="G12:G17"/>
    <mergeCell ref="D13:E13"/>
    <mergeCell ref="D14:E14"/>
  </mergeCells>
  <printOptions horizontalCentered="1"/>
  <pageMargins left="0.19685039370078741" right="0.11811023622047245" top="0.19685039370078741" bottom="0.15748031496062992" header="0" footer="0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251A-DDE9-4DF8-8A4D-81C080AFA04A}">
  <dimension ref="A1:V65"/>
  <sheetViews>
    <sheetView view="pageBreakPreview" zoomScaleNormal="100" zoomScaleSheetLayoutView="100" workbookViewId="0">
      <selection activeCell="E5" sqref="E5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4" width="13.08203125" style="36" customWidth="1"/>
    <col min="5" max="5" width="15.25" style="36" customWidth="1"/>
    <col min="6" max="6" width="12.6640625" customWidth="1"/>
    <col min="9" max="9" width="13" customWidth="1"/>
  </cols>
  <sheetData>
    <row r="1" spans="1:22" ht="18">
      <c r="A1" s="216" t="s">
        <v>79</v>
      </c>
      <c r="B1" s="216"/>
      <c r="C1" s="216"/>
      <c r="D1" s="216"/>
      <c r="E1" s="216"/>
      <c r="F1" s="216"/>
      <c r="G1" s="216"/>
      <c r="H1" s="216"/>
      <c r="I1" s="33"/>
    </row>
    <row r="2" spans="1:22" ht="18.5" thickBot="1">
      <c r="A2" s="217" t="s">
        <v>80</v>
      </c>
      <c r="B2" s="217"/>
      <c r="C2" s="217"/>
      <c r="D2" s="217"/>
      <c r="E2" s="217"/>
      <c r="F2" s="217"/>
      <c r="G2" s="217"/>
      <c r="H2" s="217"/>
      <c r="I2" s="33"/>
    </row>
    <row r="4" spans="1:22">
      <c r="A4" t="s">
        <v>81</v>
      </c>
      <c r="C4" t="s">
        <v>82</v>
      </c>
      <c r="E4" s="36" t="s">
        <v>83</v>
      </c>
      <c r="F4" t="s">
        <v>273</v>
      </c>
    </row>
    <row r="5" spans="1:22">
      <c r="A5" t="s">
        <v>41</v>
      </c>
      <c r="C5" s="34" t="s">
        <v>292</v>
      </c>
      <c r="E5" s="36" t="s">
        <v>85</v>
      </c>
      <c r="F5" t="s">
        <v>275</v>
      </c>
    </row>
    <row r="6" spans="1:22">
      <c r="A6" t="s">
        <v>42</v>
      </c>
      <c r="C6" t="s">
        <v>293</v>
      </c>
    </row>
    <row r="7" spans="1:22">
      <c r="A7" t="s">
        <v>87</v>
      </c>
      <c r="C7" t="s">
        <v>112</v>
      </c>
    </row>
    <row r="8" spans="1:22">
      <c r="A8" t="s">
        <v>89</v>
      </c>
      <c r="C8" t="s">
        <v>90</v>
      </c>
    </row>
    <row r="9" spans="1:22">
      <c r="A9" t="s">
        <v>91</v>
      </c>
      <c r="C9" t="s">
        <v>314</v>
      </c>
    </row>
    <row r="10" spans="1:22">
      <c r="C10" t="s">
        <v>315</v>
      </c>
    </row>
    <row r="11" spans="1:22">
      <c r="C11" s="35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1:22">
      <c r="C12" s="35"/>
      <c r="D12" s="229" t="s">
        <v>59</v>
      </c>
      <c r="E12" s="229"/>
      <c r="F12" s="232" t="s">
        <v>92</v>
      </c>
      <c r="G12" s="232" t="s">
        <v>93</v>
      </c>
    </row>
    <row r="13" spans="1:22">
      <c r="C13" s="35"/>
      <c r="D13" s="229" t="str">
        <f>TRIM(MID(C5,2,20))</f>
        <v>P.24.05.52.1.04</v>
      </c>
      <c r="E13" s="229"/>
      <c r="F13" s="232"/>
      <c r="G13" s="232"/>
    </row>
    <row r="14" spans="1:22">
      <c r="C14" s="35"/>
      <c r="D14" s="229" t="str">
        <f>TRIM(MID(C6,2,100))</f>
        <v>Teori Ekonomi</v>
      </c>
      <c r="E14" s="229"/>
      <c r="F14" s="232"/>
      <c r="G14" s="232"/>
    </row>
    <row r="15" spans="1:22">
      <c r="C15" s="35"/>
      <c r="D15" s="146" t="s">
        <v>145</v>
      </c>
      <c r="E15" s="146" t="s">
        <v>145</v>
      </c>
      <c r="F15" s="232"/>
      <c r="G15" s="232"/>
    </row>
    <row r="16" spans="1:22">
      <c r="C16" s="35"/>
      <c r="D16" s="146" t="s">
        <v>297</v>
      </c>
      <c r="E16" s="146" t="s">
        <v>298</v>
      </c>
      <c r="F16" s="232"/>
      <c r="G16" s="232"/>
    </row>
    <row r="17" spans="1:7">
      <c r="C17" s="35"/>
      <c r="D17" s="146">
        <v>50</v>
      </c>
      <c r="E17" s="146">
        <v>50</v>
      </c>
      <c r="F17" s="232"/>
      <c r="G17" s="232"/>
    </row>
    <row r="18" spans="1:7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</row>
    <row r="19" spans="1:7">
      <c r="A19" s="121">
        <v>1</v>
      </c>
      <c r="B19" s="122" t="s">
        <v>191</v>
      </c>
      <c r="C19" s="122" t="s">
        <v>192</v>
      </c>
      <c r="D19" s="38">
        <v>84.5</v>
      </c>
      <c r="E19" s="38">
        <v>87</v>
      </c>
      <c r="F19" s="38">
        <f>IFERROR((D19*($D$17/100))+(E19*($E$17/100)),"")</f>
        <v>85.75</v>
      </c>
      <c r="G19" s="38" t="str">
        <f>IFERROR(VLOOKUP(F21,[4]Sheet1!$AA$1:$AB$10,2),"")</f>
        <v>A-</v>
      </c>
    </row>
    <row r="20" spans="1:7">
      <c r="A20" s="121">
        <v>2</v>
      </c>
      <c r="B20" s="122" t="s">
        <v>193</v>
      </c>
      <c r="C20" s="122" t="s">
        <v>194</v>
      </c>
      <c r="D20" s="38">
        <v>88</v>
      </c>
      <c r="E20" s="38">
        <v>87</v>
      </c>
      <c r="F20" s="38">
        <f>IFERROR((D20*($D$17/100))+(E20*($E$17/100)),"")</f>
        <v>87.5</v>
      </c>
      <c r="G20" s="38" t="str">
        <f>IFERROR(VLOOKUP(F20,[4]Sheet1!$AA$1:$AB$10,2),"")</f>
        <v>A-</v>
      </c>
    </row>
    <row r="21" spans="1:7">
      <c r="A21" s="121">
        <v>3</v>
      </c>
      <c r="B21" s="122" t="s">
        <v>195</v>
      </c>
      <c r="C21" s="122" t="s">
        <v>196</v>
      </c>
      <c r="D21" s="38">
        <v>88</v>
      </c>
      <c r="E21" s="38">
        <v>87</v>
      </c>
      <c r="F21" s="38">
        <f t="shared" ref="F21:F52" si="0">IFERROR((D21*($D$17/100))+(E21*($E$17/100)),"")</f>
        <v>87.5</v>
      </c>
      <c r="G21" s="38" t="str">
        <f>IFERROR(VLOOKUP(F21,[4]Sheet1!$AA$1:$AB$10,2),"")</f>
        <v>A-</v>
      </c>
    </row>
    <row r="22" spans="1:7">
      <c r="A22" s="121">
        <v>4</v>
      </c>
      <c r="B22" s="122" t="s">
        <v>197</v>
      </c>
      <c r="C22" s="122" t="s">
        <v>198</v>
      </c>
      <c r="D22" s="38">
        <v>81</v>
      </c>
      <c r="E22" s="38">
        <v>87</v>
      </c>
      <c r="F22" s="38">
        <f t="shared" si="0"/>
        <v>84</v>
      </c>
      <c r="G22" s="38" t="str">
        <f>IFERROR(VLOOKUP(F22,[4]Sheet1!$AA$1:$AB$10,2),"")</f>
        <v>B+</v>
      </c>
    </row>
    <row r="23" spans="1:7">
      <c r="A23" s="121">
        <v>5</v>
      </c>
      <c r="B23" s="122" t="s">
        <v>199</v>
      </c>
      <c r="C23" s="122" t="s">
        <v>200</v>
      </c>
      <c r="D23" s="38">
        <v>81</v>
      </c>
      <c r="E23" s="38">
        <v>87</v>
      </c>
      <c r="F23" s="38">
        <f t="shared" si="0"/>
        <v>84</v>
      </c>
      <c r="G23" s="38" t="str">
        <f>IFERROR(VLOOKUP(F23,[4]Sheet1!$AA$1:$AB$10,2),"")</f>
        <v>B+</v>
      </c>
    </row>
    <row r="24" spans="1:7">
      <c r="A24" s="121">
        <v>6</v>
      </c>
      <c r="B24" s="122" t="s">
        <v>201</v>
      </c>
      <c r="C24" s="122" t="s">
        <v>202</v>
      </c>
      <c r="D24" s="38">
        <v>85.9</v>
      </c>
      <c r="E24" s="38">
        <v>87</v>
      </c>
      <c r="F24" s="38">
        <f t="shared" si="0"/>
        <v>86.45</v>
      </c>
      <c r="G24" s="38" t="str">
        <f>IFERROR(VLOOKUP(F24,[4]Sheet1!$AA$1:$AB$10,2),"")</f>
        <v>A-</v>
      </c>
    </row>
    <row r="25" spans="1:7">
      <c r="A25" s="121">
        <v>7</v>
      </c>
      <c r="B25" s="122" t="s">
        <v>203</v>
      </c>
      <c r="C25" s="122" t="s">
        <v>204</v>
      </c>
      <c r="D25" s="38">
        <v>84.5</v>
      </c>
      <c r="E25" s="38">
        <v>90.5</v>
      </c>
      <c r="F25" s="38">
        <f t="shared" si="0"/>
        <v>87.5</v>
      </c>
      <c r="G25" s="38" t="str">
        <f>IFERROR(VLOOKUP(F25,[4]Sheet1!$AA$1:$AB$10,2),"")</f>
        <v>A-</v>
      </c>
    </row>
    <row r="26" spans="1:7">
      <c r="A26" s="121">
        <v>8</v>
      </c>
      <c r="B26" s="122" t="s">
        <v>205</v>
      </c>
      <c r="C26" s="122" t="s">
        <v>206</v>
      </c>
      <c r="D26" s="38">
        <v>88</v>
      </c>
      <c r="E26" s="38">
        <v>87</v>
      </c>
      <c r="F26" s="38">
        <f t="shared" si="0"/>
        <v>87.5</v>
      </c>
      <c r="G26" s="38" t="str">
        <f>IFERROR(VLOOKUP(F26,[4]Sheet1!$AA$1:$AB$10,2),"")</f>
        <v>A-</v>
      </c>
    </row>
    <row r="27" spans="1:7">
      <c r="A27" s="121">
        <v>9</v>
      </c>
      <c r="B27" s="122" t="s">
        <v>207</v>
      </c>
      <c r="C27" s="122" t="s">
        <v>208</v>
      </c>
      <c r="D27" s="38">
        <v>84.5</v>
      </c>
      <c r="E27" s="38">
        <v>83.5</v>
      </c>
      <c r="F27" s="38">
        <f t="shared" si="0"/>
        <v>84</v>
      </c>
      <c r="G27" s="38" t="str">
        <f>IFERROR(VLOOKUP(F27,[4]Sheet1!$AA$1:$AB$10,2),"")</f>
        <v>B+</v>
      </c>
    </row>
    <row r="28" spans="1:7">
      <c r="A28" s="121">
        <v>10</v>
      </c>
      <c r="B28" s="122" t="s">
        <v>209</v>
      </c>
      <c r="C28" s="122" t="s">
        <v>210</v>
      </c>
      <c r="D28" s="38">
        <v>88</v>
      </c>
      <c r="E28" s="38">
        <v>87</v>
      </c>
      <c r="F28" s="38">
        <f t="shared" si="0"/>
        <v>87.5</v>
      </c>
      <c r="G28" s="38" t="str">
        <f>IFERROR(VLOOKUP(F28,[4]Sheet1!$AA$1:$AB$10,2),"")</f>
        <v>A-</v>
      </c>
    </row>
    <row r="29" spans="1:7">
      <c r="A29" s="121">
        <v>11</v>
      </c>
      <c r="B29" s="122" t="s">
        <v>279</v>
      </c>
      <c r="C29" s="122" t="s">
        <v>280</v>
      </c>
      <c r="D29" s="38">
        <v>84.5</v>
      </c>
      <c r="E29" s="38">
        <v>83.5</v>
      </c>
      <c r="F29" s="38">
        <f t="shared" si="0"/>
        <v>84</v>
      </c>
      <c r="G29" s="38" t="str">
        <f>IFERROR(VLOOKUP(F29,[4]Sheet1!$AA$1:$AB$10,2),"")</f>
        <v>B+</v>
      </c>
    </row>
    <row r="30" spans="1:7">
      <c r="A30" s="121">
        <v>12</v>
      </c>
      <c r="B30" s="122" t="s">
        <v>211</v>
      </c>
      <c r="C30" s="122" t="s">
        <v>212</v>
      </c>
      <c r="D30" s="38">
        <v>88</v>
      </c>
      <c r="E30" s="38">
        <v>87</v>
      </c>
      <c r="F30" s="38">
        <f t="shared" si="0"/>
        <v>87.5</v>
      </c>
      <c r="G30" s="38" t="str">
        <f>IFERROR(VLOOKUP(F30,[4]Sheet1!$AA$1:$AB$10,2),"")</f>
        <v>A-</v>
      </c>
    </row>
    <row r="31" spans="1:7">
      <c r="A31" s="121">
        <v>13</v>
      </c>
      <c r="B31" s="122" t="s">
        <v>213</v>
      </c>
      <c r="C31" s="122" t="s">
        <v>214</v>
      </c>
      <c r="D31" s="38">
        <v>81</v>
      </c>
      <c r="E31" s="38">
        <v>80</v>
      </c>
      <c r="F31" s="38">
        <f t="shared" si="0"/>
        <v>80.5</v>
      </c>
      <c r="G31" s="38" t="str">
        <f>IFERROR(VLOOKUP(F31,[4]Sheet1!$AA$1:$AB$10,2),"")</f>
        <v>B+</v>
      </c>
    </row>
    <row r="32" spans="1:7">
      <c r="A32" s="121">
        <v>14</v>
      </c>
      <c r="B32" s="122" t="s">
        <v>215</v>
      </c>
      <c r="C32" s="122" t="s">
        <v>216</v>
      </c>
      <c r="D32" s="38">
        <v>81</v>
      </c>
      <c r="E32" s="38">
        <v>80</v>
      </c>
      <c r="F32" s="38">
        <f t="shared" si="0"/>
        <v>80.5</v>
      </c>
      <c r="G32" s="38" t="str">
        <f>IFERROR(VLOOKUP(F32,[4]Sheet1!$AA$1:$AB$10,2),"")</f>
        <v>B+</v>
      </c>
    </row>
    <row r="33" spans="1:7">
      <c r="A33" s="121">
        <v>15</v>
      </c>
      <c r="B33" s="122" t="s">
        <v>217</v>
      </c>
      <c r="C33" s="122" t="s">
        <v>218</v>
      </c>
      <c r="D33" s="38">
        <v>88</v>
      </c>
      <c r="E33" s="38">
        <v>87</v>
      </c>
      <c r="F33" s="38">
        <f t="shared" si="0"/>
        <v>87.5</v>
      </c>
      <c r="G33" s="38" t="str">
        <f>IFERROR(VLOOKUP(F33,[4]Sheet1!$AA$1:$AB$10,2),"")</f>
        <v>A-</v>
      </c>
    </row>
    <row r="34" spans="1:7">
      <c r="A34" s="121">
        <v>16</v>
      </c>
      <c r="B34" s="122" t="s">
        <v>219</v>
      </c>
      <c r="C34" s="122" t="s">
        <v>220</v>
      </c>
      <c r="D34" s="38">
        <v>88</v>
      </c>
      <c r="E34" s="38">
        <v>87</v>
      </c>
      <c r="F34" s="38">
        <f t="shared" si="0"/>
        <v>87.5</v>
      </c>
      <c r="G34" s="38" t="str">
        <f>IFERROR(VLOOKUP(F34,[4]Sheet1!$AA$1:$AB$10,2),"")</f>
        <v>A-</v>
      </c>
    </row>
    <row r="35" spans="1:7">
      <c r="A35" s="121">
        <v>17</v>
      </c>
      <c r="B35" s="122" t="s">
        <v>221</v>
      </c>
      <c r="C35" s="122" t="s">
        <v>222</v>
      </c>
      <c r="D35" s="38">
        <v>88</v>
      </c>
      <c r="E35" s="38">
        <v>87</v>
      </c>
      <c r="F35" s="38">
        <f t="shared" si="0"/>
        <v>87.5</v>
      </c>
      <c r="G35" s="38" t="str">
        <f>IFERROR(VLOOKUP(F35,[4]Sheet1!$AA$1:$AB$10,2),"")</f>
        <v>A-</v>
      </c>
    </row>
    <row r="36" spans="1:7">
      <c r="A36" s="121">
        <v>18</v>
      </c>
      <c r="B36" s="122" t="s">
        <v>223</v>
      </c>
      <c r="C36" s="122" t="s">
        <v>224</v>
      </c>
      <c r="D36" s="38">
        <v>87.4</v>
      </c>
      <c r="E36" s="38">
        <v>86.4</v>
      </c>
      <c r="F36" s="38">
        <f t="shared" si="0"/>
        <v>86.9</v>
      </c>
      <c r="G36" s="38" t="str">
        <f>IFERROR(VLOOKUP(F36,[4]Sheet1!$AA$1:$AB$10,2),"")</f>
        <v>A-</v>
      </c>
    </row>
    <row r="37" spans="1:7">
      <c r="A37" s="121">
        <v>19</v>
      </c>
      <c r="B37" s="122" t="s">
        <v>225</v>
      </c>
      <c r="C37" s="122" t="s">
        <v>226</v>
      </c>
      <c r="D37" s="38">
        <v>88</v>
      </c>
      <c r="E37" s="38">
        <v>87</v>
      </c>
      <c r="F37" s="38">
        <f t="shared" si="0"/>
        <v>87.5</v>
      </c>
      <c r="G37" s="38" t="str">
        <f>IFERROR(VLOOKUP(F37,[4]Sheet1!$AA$1:$AB$10,2),"")</f>
        <v>A-</v>
      </c>
    </row>
    <row r="38" spans="1:7">
      <c r="A38" s="121">
        <v>20</v>
      </c>
      <c r="B38" s="122" t="s">
        <v>227</v>
      </c>
      <c r="C38" s="122" t="s">
        <v>228</v>
      </c>
      <c r="D38" s="38">
        <v>88</v>
      </c>
      <c r="E38" s="38">
        <v>87</v>
      </c>
      <c r="F38" s="38">
        <f t="shared" si="0"/>
        <v>87.5</v>
      </c>
      <c r="G38" s="38" t="str">
        <f>IFERROR(VLOOKUP(F38,[4]Sheet1!$AA$1:$AB$10,2),"")</f>
        <v>A-</v>
      </c>
    </row>
    <row r="39" spans="1:7">
      <c r="A39" s="121">
        <v>21</v>
      </c>
      <c r="B39" s="122" t="s">
        <v>229</v>
      </c>
      <c r="C39" s="122" t="s">
        <v>230</v>
      </c>
      <c r="D39" s="38">
        <v>88</v>
      </c>
      <c r="E39" s="38">
        <v>87</v>
      </c>
      <c r="F39" s="38">
        <f t="shared" si="0"/>
        <v>87.5</v>
      </c>
      <c r="G39" s="38" t="str">
        <f>IFERROR(VLOOKUP(F39,[4]Sheet1!$AA$1:$AB$10,2),"")</f>
        <v>A-</v>
      </c>
    </row>
    <row r="40" spans="1:7">
      <c r="A40" s="121">
        <v>22</v>
      </c>
      <c r="B40" s="122" t="s">
        <v>231</v>
      </c>
      <c r="C40" s="122" t="s">
        <v>232</v>
      </c>
      <c r="D40" s="38">
        <v>88</v>
      </c>
      <c r="E40" s="38">
        <v>87</v>
      </c>
      <c r="F40" s="38">
        <f t="shared" si="0"/>
        <v>87.5</v>
      </c>
      <c r="G40" s="38" t="str">
        <f>IFERROR(VLOOKUP(F40,[4]Sheet1!$AA$1:$AB$10,2),"")</f>
        <v>A-</v>
      </c>
    </row>
    <row r="41" spans="1:7">
      <c r="A41" s="121">
        <v>23</v>
      </c>
      <c r="B41" s="122" t="s">
        <v>233</v>
      </c>
      <c r="C41" s="122" t="s">
        <v>234</v>
      </c>
      <c r="D41" s="38">
        <v>87.4</v>
      </c>
      <c r="E41" s="38">
        <v>86.4</v>
      </c>
      <c r="F41" s="38">
        <f t="shared" si="0"/>
        <v>86.9</v>
      </c>
      <c r="G41" s="38" t="str">
        <f>IFERROR(VLOOKUP(F41,[4]Sheet1!$AA$1:$AB$10,2),"")</f>
        <v>A-</v>
      </c>
    </row>
    <row r="42" spans="1:7">
      <c r="A42" s="121">
        <v>24</v>
      </c>
      <c r="B42" s="122" t="s">
        <v>235</v>
      </c>
      <c r="C42" s="122" t="s">
        <v>281</v>
      </c>
      <c r="D42" s="38">
        <v>78.5</v>
      </c>
      <c r="E42" s="38">
        <v>94.5</v>
      </c>
      <c r="F42" s="38">
        <f t="shared" si="0"/>
        <v>86.5</v>
      </c>
      <c r="G42" s="38" t="str">
        <f>IFERROR(VLOOKUP(F42,[4]Sheet1!$AA$1:$AB$10,2),"")</f>
        <v>A-</v>
      </c>
    </row>
    <row r="43" spans="1:7">
      <c r="A43" s="121">
        <v>25</v>
      </c>
      <c r="B43" s="122" t="s">
        <v>237</v>
      </c>
      <c r="C43" s="122" t="s">
        <v>238</v>
      </c>
      <c r="D43" s="38">
        <v>84.5</v>
      </c>
      <c r="E43" s="38">
        <v>91</v>
      </c>
      <c r="F43" s="38">
        <f t="shared" si="0"/>
        <v>87.75</v>
      </c>
      <c r="G43" s="38" t="str">
        <f>IFERROR(VLOOKUP(F43,[4]Sheet1!$AA$1:$AB$10,2),"")</f>
        <v>A-</v>
      </c>
    </row>
    <row r="44" spans="1:7">
      <c r="A44" s="121">
        <v>26</v>
      </c>
      <c r="B44" s="122" t="s">
        <v>239</v>
      </c>
      <c r="C44" s="122" t="s">
        <v>240</v>
      </c>
      <c r="D44" s="38">
        <v>74</v>
      </c>
      <c r="E44" s="38">
        <v>82</v>
      </c>
      <c r="F44" s="38">
        <f t="shared" si="0"/>
        <v>78</v>
      </c>
      <c r="G44" s="38" t="str">
        <f>IFERROR(VLOOKUP(F44,[4]Sheet1!$AA$1:$AB$10,2),"")</f>
        <v>B+</v>
      </c>
    </row>
    <row r="45" spans="1:7">
      <c r="A45" s="121">
        <v>27</v>
      </c>
      <c r="B45" s="122" t="s">
        <v>241</v>
      </c>
      <c r="C45" s="122" t="s">
        <v>242</v>
      </c>
      <c r="D45" s="38">
        <v>81</v>
      </c>
      <c r="E45" s="38">
        <v>91</v>
      </c>
      <c r="F45" s="38">
        <f t="shared" si="0"/>
        <v>86</v>
      </c>
      <c r="G45" s="38" t="str">
        <f>IFERROR(VLOOKUP(F45,[4]Sheet1!$AA$1:$AB$10,2),"")</f>
        <v>A-</v>
      </c>
    </row>
    <row r="46" spans="1:7">
      <c r="A46" s="121">
        <v>28</v>
      </c>
      <c r="B46" s="122" t="s">
        <v>243</v>
      </c>
      <c r="C46" s="122" t="s">
        <v>244</v>
      </c>
      <c r="D46" s="38">
        <v>10</v>
      </c>
      <c r="E46" s="38">
        <v>61</v>
      </c>
      <c r="F46" s="38">
        <f t="shared" si="0"/>
        <v>35.5</v>
      </c>
      <c r="G46" s="38" t="str">
        <f>IFERROR(VLOOKUP(F46,[4]Sheet1!$AA$1:$AB$10,2),"")</f>
        <v>E</v>
      </c>
    </row>
    <row r="47" spans="1:7">
      <c r="A47" s="121">
        <v>29</v>
      </c>
      <c r="B47" s="122" t="s">
        <v>245</v>
      </c>
      <c r="C47" s="122" t="s">
        <v>246</v>
      </c>
      <c r="D47" s="38">
        <v>67</v>
      </c>
      <c r="E47" s="38">
        <v>82</v>
      </c>
      <c r="F47" s="38">
        <f t="shared" si="0"/>
        <v>74.5</v>
      </c>
      <c r="G47" s="38" t="str">
        <f>IFERROR(VLOOKUP(F47,[4]Sheet1!$AA$1:$AB$10,2),"")</f>
        <v>B</v>
      </c>
    </row>
    <row r="48" spans="1:7">
      <c r="A48" s="121">
        <v>30</v>
      </c>
      <c r="B48" s="122" t="s">
        <v>247</v>
      </c>
      <c r="C48" s="122" t="s">
        <v>248</v>
      </c>
      <c r="D48" s="38">
        <v>85.5</v>
      </c>
      <c r="E48" s="38">
        <v>87.5</v>
      </c>
      <c r="F48" s="38">
        <f t="shared" si="0"/>
        <v>86.5</v>
      </c>
      <c r="G48" s="38" t="str">
        <f>IFERROR(VLOOKUP(F48,[4]Sheet1!$AA$1:$AB$10,2),"")</f>
        <v>A-</v>
      </c>
    </row>
    <row r="49" spans="1:7">
      <c r="A49" s="121">
        <v>31</v>
      </c>
      <c r="B49" s="122" t="s">
        <v>249</v>
      </c>
      <c r="C49" s="122" t="s">
        <v>250</v>
      </c>
      <c r="D49" s="38">
        <v>73</v>
      </c>
      <c r="E49" s="38">
        <v>82</v>
      </c>
      <c r="F49" s="38">
        <f t="shared" si="0"/>
        <v>77.5</v>
      </c>
      <c r="G49" s="38" t="str">
        <f>IFERROR(VLOOKUP(F49,[4]Sheet1!$AA$1:$AB$10,2),"")</f>
        <v>B+</v>
      </c>
    </row>
    <row r="50" spans="1:7">
      <c r="A50" s="121">
        <v>32</v>
      </c>
      <c r="B50" s="122" t="s">
        <v>251</v>
      </c>
      <c r="C50" s="122" t="s">
        <v>252</v>
      </c>
      <c r="D50" s="38">
        <v>74</v>
      </c>
      <c r="E50" s="38">
        <v>74</v>
      </c>
      <c r="F50" s="38">
        <f t="shared" si="0"/>
        <v>74</v>
      </c>
      <c r="G50" s="38" t="str">
        <f>IFERROR(VLOOKUP(F50,[4]Sheet1!$AA$1:$AB$10,2),"")</f>
        <v>B</v>
      </c>
    </row>
    <row r="51" spans="1:7">
      <c r="A51" s="121">
        <v>33</v>
      </c>
      <c r="B51" s="122" t="s">
        <v>253</v>
      </c>
      <c r="C51" s="122" t="s">
        <v>254</v>
      </c>
      <c r="D51" s="38">
        <v>74</v>
      </c>
      <c r="E51" s="38">
        <v>82</v>
      </c>
      <c r="F51" s="38">
        <f t="shared" si="0"/>
        <v>78</v>
      </c>
      <c r="G51" s="38" t="str">
        <f>IFERROR(VLOOKUP(F51,[4]Sheet1!$AA$1:$AB$10,2),"")</f>
        <v>B+</v>
      </c>
    </row>
    <row r="52" spans="1:7">
      <c r="A52" s="124">
        <v>34</v>
      </c>
      <c r="B52" s="122" t="s">
        <v>255</v>
      </c>
      <c r="C52" s="122" t="s">
        <v>256</v>
      </c>
      <c r="D52" s="38">
        <v>10</v>
      </c>
      <c r="E52" s="38">
        <v>59</v>
      </c>
      <c r="F52" s="38">
        <f t="shared" si="0"/>
        <v>34.5</v>
      </c>
      <c r="G52" s="38" t="str">
        <f>IFERROR(VLOOKUP(F52,[4]Sheet1!$AA$1:$AB$10,2),"")</f>
        <v>E</v>
      </c>
    </row>
    <row r="53" spans="1:7">
      <c r="C53" s="35"/>
      <c r="F53" s="36"/>
    </row>
    <row r="54" spans="1:7" ht="14.5" thickBot="1">
      <c r="C54" s="35"/>
      <c r="D54" s="36" t="str">
        <f t="shared" ref="D54:E54" si="1">D16</f>
        <v>CPMK55</v>
      </c>
      <c r="E54" s="36" t="str">
        <f t="shared" si="1"/>
        <v>CPMK56</v>
      </c>
      <c r="F54" s="36" t="str">
        <f>F12</f>
        <v>Nilai Akhir MK</v>
      </c>
    </row>
    <row r="55" spans="1:7" ht="14.5" thickBot="1">
      <c r="C55" s="39" t="s">
        <v>106</v>
      </c>
      <c r="D55" s="40">
        <f>IFERROR(COUNTIF(D19:D52,""),"")</f>
        <v>0</v>
      </c>
      <c r="E55" s="40">
        <f>IFERROR(COUNTIF(E19:E52,""),"")</f>
        <v>0</v>
      </c>
      <c r="F55" s="40">
        <f>IFERROR(COUNTIF(F19:F52,""),"")</f>
        <v>0</v>
      </c>
    </row>
    <row r="56" spans="1:7" ht="14.5" thickBot="1">
      <c r="C56" s="41" t="s">
        <v>98</v>
      </c>
      <c r="D56" s="42">
        <f>IFERROR(COUNTIF(D19:D52,C56)+COUNTIF(D19:D52,""),"")-D55</f>
        <v>2</v>
      </c>
      <c r="E56" s="42">
        <f>COUNTIF(E19:E52,C56)+COUNTIF(E19:E52,"")-E55</f>
        <v>2</v>
      </c>
      <c r="F56" s="42">
        <f>IFERROR(COUNTIF(F19:F52,C56)+COUNTIF(F19:F52,""),"")</f>
        <v>2</v>
      </c>
    </row>
    <row r="57" spans="1:7" ht="14.5" thickBot="1">
      <c r="C57" s="43" t="s">
        <v>99</v>
      </c>
      <c r="D57" s="44">
        <f>IFERROR(COUNTIF(D19:D52,C57)-D56,"")</f>
        <v>16</v>
      </c>
      <c r="E57" s="44">
        <f>COUNTIF(E19:E52,C57)-E56</f>
        <v>9</v>
      </c>
      <c r="F57" s="45">
        <f>IFERROR(COUNTIF(F19:F52,C57)-F56,"")</f>
        <v>11</v>
      </c>
    </row>
    <row r="58" spans="1:7" ht="14.5" thickBot="1">
      <c r="C58" s="46" t="s">
        <v>100</v>
      </c>
      <c r="D58" s="47">
        <f>COUNTIF(D19:D52,C58)</f>
        <v>16</v>
      </c>
      <c r="E58" s="47">
        <f>COUNTIF(E19:E52,C58)</f>
        <v>23</v>
      </c>
      <c r="F58" s="47">
        <f>IFERROR(COUNTIF(F19:F52,C58),"")</f>
        <v>21</v>
      </c>
    </row>
    <row r="59" spans="1:7" ht="14.5" thickBot="1">
      <c r="C59" s="48" t="s">
        <v>78</v>
      </c>
      <c r="D59" s="49">
        <f>SUM(D55:D58)</f>
        <v>34</v>
      </c>
      <c r="E59" s="49">
        <f t="shared" ref="E59:F59" si="2">SUM(E55:E58)</f>
        <v>34</v>
      </c>
      <c r="F59" s="49">
        <f t="shared" si="2"/>
        <v>34</v>
      </c>
    </row>
    <row r="60" spans="1:7" ht="14.5" thickBot="1">
      <c r="C60" s="50"/>
      <c r="F60" s="36"/>
    </row>
    <row r="61" spans="1:7" ht="14.5" thickBot="1">
      <c r="C61" s="51" t="s">
        <v>101</v>
      </c>
      <c r="D61" s="52">
        <f>(D57+D58)/(D59-D55)</f>
        <v>0.94117647058823528</v>
      </c>
      <c r="E61" s="52">
        <f>(E57+E58)/(E59-E55)</f>
        <v>0.94117647058823528</v>
      </c>
      <c r="F61" s="52">
        <f>(F57+F58)/(F59-F55)</f>
        <v>0.94117647058823528</v>
      </c>
    </row>
    <row r="62" spans="1:7" ht="14.5" thickBot="1">
      <c r="C62" s="50"/>
      <c r="F62" s="36"/>
    </row>
    <row r="63" spans="1:7" ht="14.5" thickBot="1">
      <c r="C63" s="51" t="s">
        <v>102</v>
      </c>
      <c r="D63" s="22">
        <f>MIN(D19:D52)</f>
        <v>10</v>
      </c>
      <c r="E63" s="22">
        <f>MIN(E19:E52)</f>
        <v>59</v>
      </c>
      <c r="F63" s="53">
        <f>IFERROR(MIN(F19:F52),"")</f>
        <v>34.5</v>
      </c>
    </row>
    <row r="64" spans="1:7" ht="14.5" thickBot="1">
      <c r="C64" s="51" t="s">
        <v>103</v>
      </c>
      <c r="D64" s="22">
        <f>MAX(D19:D52)</f>
        <v>88</v>
      </c>
      <c r="E64" s="22">
        <f>MAX(E19:E52)</f>
        <v>94.5</v>
      </c>
      <c r="F64" s="53">
        <f>IFERROR(MAX(F19:F52),"")</f>
        <v>87.75</v>
      </c>
    </row>
    <row r="65" spans="3:6" ht="14.5" thickBot="1">
      <c r="C65" s="51" t="s">
        <v>104</v>
      </c>
      <c r="D65" s="53">
        <f>AVERAGE(D19:D52)</f>
        <v>79.123529411764707</v>
      </c>
      <c r="E65" s="53">
        <f>AVERAGE(E19:E52)</f>
        <v>84.361764705882365</v>
      </c>
      <c r="F65" s="53">
        <f>IFERROR(AVERAGE(F19:F52),"")</f>
        <v>81.742647058823536</v>
      </c>
    </row>
  </sheetData>
  <mergeCells count="7">
    <mergeCell ref="A1:H1"/>
    <mergeCell ref="A2:H2"/>
    <mergeCell ref="D12:E12"/>
    <mergeCell ref="F12:F17"/>
    <mergeCell ref="G12:G17"/>
    <mergeCell ref="D13:E13"/>
    <mergeCell ref="D14:E14"/>
  </mergeCells>
  <printOptions horizontalCentered="1"/>
  <pageMargins left="0.19685039370078741" right="0.11811023622047245" top="0.19685039370078741" bottom="0.15748031496062992" header="0" footer="0"/>
  <pageSetup paperSize="9" scale="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9A6C-959A-4D6B-A858-19FE8B001863}">
  <dimension ref="A1:V65"/>
  <sheetViews>
    <sheetView view="pageBreakPreview" zoomScale="110" zoomScaleNormal="100" zoomScaleSheetLayoutView="110" workbookViewId="0">
      <selection activeCell="C6" sqref="C6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4" width="13.08203125" customWidth="1"/>
    <col min="5" max="5" width="15.25" customWidth="1"/>
    <col min="6" max="6" width="12.6640625" customWidth="1"/>
    <col min="9" max="9" width="13" customWidth="1"/>
  </cols>
  <sheetData>
    <row r="1" spans="1:22" ht="18">
      <c r="A1" s="216" t="s">
        <v>79</v>
      </c>
      <c r="B1" s="216"/>
      <c r="C1" s="216"/>
      <c r="D1" s="216"/>
      <c r="E1" s="216"/>
      <c r="F1" s="216"/>
      <c r="G1" s="216"/>
      <c r="H1" s="216"/>
      <c r="I1" s="33"/>
    </row>
    <row r="2" spans="1:22" ht="18.5" thickBot="1">
      <c r="A2" s="217" t="s">
        <v>80</v>
      </c>
      <c r="B2" s="217"/>
      <c r="C2" s="217"/>
      <c r="D2" s="217"/>
      <c r="E2" s="217"/>
      <c r="F2" s="217"/>
      <c r="G2" s="217"/>
      <c r="H2" s="217"/>
      <c r="I2" s="33"/>
    </row>
    <row r="4" spans="1:22">
      <c r="A4" t="s">
        <v>81</v>
      </c>
      <c r="C4" t="s">
        <v>82</v>
      </c>
      <c r="E4" t="s">
        <v>83</v>
      </c>
      <c r="F4" t="s">
        <v>273</v>
      </c>
    </row>
    <row r="5" spans="1:22">
      <c r="A5" t="s">
        <v>41</v>
      </c>
      <c r="C5" s="34" t="s">
        <v>299</v>
      </c>
      <c r="E5" t="s">
        <v>85</v>
      </c>
      <c r="F5" t="s">
        <v>275</v>
      </c>
    </row>
    <row r="6" spans="1:22">
      <c r="A6" t="s">
        <v>42</v>
      </c>
      <c r="C6" t="s">
        <v>300</v>
      </c>
    </row>
    <row r="7" spans="1:22">
      <c r="A7" t="s">
        <v>87</v>
      </c>
      <c r="C7" t="s">
        <v>88</v>
      </c>
    </row>
    <row r="8" spans="1:22">
      <c r="A8" t="s">
        <v>89</v>
      </c>
      <c r="C8" t="s">
        <v>90</v>
      </c>
    </row>
    <row r="9" spans="1:22">
      <c r="A9" t="s">
        <v>91</v>
      </c>
      <c r="C9" t="s">
        <v>309</v>
      </c>
    </row>
    <row r="10" spans="1:22">
      <c r="C10" t="s">
        <v>310</v>
      </c>
    </row>
    <row r="11" spans="1:22">
      <c r="C11" s="35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1:22" ht="14.5">
      <c r="C12" s="179"/>
      <c r="D12" s="224" t="s">
        <v>62</v>
      </c>
      <c r="E12" s="225"/>
      <c r="F12" s="226" t="s">
        <v>92</v>
      </c>
      <c r="G12" s="226" t="s">
        <v>93</v>
      </c>
    </row>
    <row r="13" spans="1:22" ht="14.5">
      <c r="C13" s="179"/>
      <c r="D13" s="229" t="str">
        <f>TRIM(MID(C5,2,20))</f>
        <v>P.24.05.52.1.05</v>
      </c>
      <c r="E13" s="229"/>
      <c r="F13" s="227"/>
      <c r="G13" s="227"/>
    </row>
    <row r="14" spans="1:22">
      <c r="C14" s="35"/>
      <c r="D14" s="230" t="str">
        <f>TRIM(MID(C6,2,100))</f>
        <v>Hukum Bisnis dan Perikatan</v>
      </c>
      <c r="E14" s="231"/>
      <c r="F14" s="227"/>
      <c r="G14" s="227"/>
    </row>
    <row r="15" spans="1:22">
      <c r="C15" s="35"/>
      <c r="D15" s="37" t="s">
        <v>149</v>
      </c>
      <c r="E15" s="37" t="s">
        <v>149</v>
      </c>
      <c r="F15" s="227"/>
      <c r="G15" s="227"/>
    </row>
    <row r="16" spans="1:22">
      <c r="C16" s="35"/>
      <c r="D16" s="37" t="s">
        <v>301</v>
      </c>
      <c r="E16" s="37" t="s">
        <v>302</v>
      </c>
      <c r="F16" s="227"/>
      <c r="G16" s="227"/>
    </row>
    <row r="17" spans="1:7">
      <c r="C17" s="35"/>
      <c r="D17" s="37">
        <v>50</v>
      </c>
      <c r="E17" s="37">
        <v>50</v>
      </c>
      <c r="F17" s="228"/>
      <c r="G17" s="228"/>
    </row>
    <row r="18" spans="1:7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</row>
    <row r="19" spans="1:7">
      <c r="A19" s="121">
        <v>1</v>
      </c>
      <c r="B19" s="122" t="s">
        <v>191</v>
      </c>
      <c r="C19" s="122" t="s">
        <v>192</v>
      </c>
      <c r="D19" s="38">
        <v>75.599999999999994</v>
      </c>
      <c r="E19" s="38">
        <v>68.099999999999994</v>
      </c>
      <c r="F19" s="38">
        <f>IFERROR((D20*($D$17/100))+(E20*($E$17/100)),"")</f>
        <v>71.849999999999994</v>
      </c>
      <c r="G19" s="38" t="str">
        <f>IFERROR(VLOOKUP(F21,[4]Sheet1!$AA$1:$AB$10,2),"")</f>
        <v>B</v>
      </c>
    </row>
    <row r="20" spans="1:7">
      <c r="A20" s="121">
        <v>2</v>
      </c>
      <c r="B20" s="122" t="s">
        <v>193</v>
      </c>
      <c r="C20" s="122" t="s">
        <v>194</v>
      </c>
      <c r="D20" s="38">
        <v>75.599999999999994</v>
      </c>
      <c r="E20" s="38">
        <v>68.099999999999994</v>
      </c>
      <c r="F20" s="38">
        <f>IFERROR((D20*($D$17/100))+(E20*($E$17/100)),"")</f>
        <v>71.849999999999994</v>
      </c>
      <c r="G20" s="38" t="str">
        <f>IFERROR(VLOOKUP(F20,[5]Sheet1!$AA$1:$AB$10,2),"")</f>
        <v>B</v>
      </c>
    </row>
    <row r="21" spans="1:7">
      <c r="A21" s="121">
        <v>3</v>
      </c>
      <c r="B21" s="122" t="s">
        <v>195</v>
      </c>
      <c r="C21" s="122" t="s">
        <v>196</v>
      </c>
      <c r="D21" s="38">
        <v>75.599999999999994</v>
      </c>
      <c r="E21" s="38">
        <v>68.099999999999994</v>
      </c>
      <c r="F21" s="38">
        <f t="shared" ref="F21:F52" si="0">IFERROR((D21*($D$17/100))+(E21*($E$17/100)),"")</f>
        <v>71.849999999999994</v>
      </c>
      <c r="G21" s="38" t="str">
        <f>IFERROR(VLOOKUP(F21,[5]Sheet1!$AA$1:$AB$10,2),"")</f>
        <v>B</v>
      </c>
    </row>
    <row r="22" spans="1:7">
      <c r="A22" s="121">
        <v>4</v>
      </c>
      <c r="B22" s="122" t="s">
        <v>197</v>
      </c>
      <c r="C22" s="122" t="s">
        <v>198</v>
      </c>
      <c r="D22" s="38">
        <v>75.599999999999994</v>
      </c>
      <c r="E22" s="38">
        <v>68.099999999999994</v>
      </c>
      <c r="F22" s="38">
        <f t="shared" si="0"/>
        <v>71.849999999999994</v>
      </c>
      <c r="G22" s="38" t="str">
        <f>IFERROR(VLOOKUP(F22,[5]Sheet1!$AA$1:$AB$10,2),"")</f>
        <v>B</v>
      </c>
    </row>
    <row r="23" spans="1:7">
      <c r="A23" s="121">
        <v>5</v>
      </c>
      <c r="B23" s="122" t="s">
        <v>199</v>
      </c>
      <c r="C23" s="122" t="s">
        <v>200</v>
      </c>
      <c r="D23" s="38">
        <v>78.400000000000006</v>
      </c>
      <c r="E23" s="38">
        <v>70.900000000000006</v>
      </c>
      <c r="F23" s="38">
        <f t="shared" si="0"/>
        <v>74.650000000000006</v>
      </c>
      <c r="G23" s="38" t="str">
        <f>IFERROR(VLOOKUP(F23,[5]Sheet1!$AA$1:$AB$10,2),"")</f>
        <v>B</v>
      </c>
    </row>
    <row r="24" spans="1:7">
      <c r="A24" s="121">
        <v>6</v>
      </c>
      <c r="B24" s="122" t="s">
        <v>201</v>
      </c>
      <c r="C24" s="122" t="s">
        <v>202</v>
      </c>
      <c r="D24" s="38">
        <v>75.599999999999994</v>
      </c>
      <c r="E24" s="38">
        <v>68.099999999999994</v>
      </c>
      <c r="F24" s="38">
        <f t="shared" si="0"/>
        <v>71.849999999999994</v>
      </c>
      <c r="G24" s="38" t="str">
        <f>IFERROR(VLOOKUP(F24,[5]Sheet1!$AA$1:$AB$10,2),"")</f>
        <v>B</v>
      </c>
    </row>
    <row r="25" spans="1:7">
      <c r="A25" s="121">
        <v>7</v>
      </c>
      <c r="B25" s="122" t="s">
        <v>203</v>
      </c>
      <c r="C25" s="122" t="s">
        <v>204</v>
      </c>
      <c r="D25" s="38">
        <v>78.400000000000006</v>
      </c>
      <c r="E25" s="38">
        <v>70.900000000000006</v>
      </c>
      <c r="F25" s="38">
        <f t="shared" si="0"/>
        <v>74.650000000000006</v>
      </c>
      <c r="G25" s="38" t="str">
        <f>IFERROR(VLOOKUP(F25,[5]Sheet1!$AA$1:$AB$10,2),"")</f>
        <v>B</v>
      </c>
    </row>
    <row r="26" spans="1:7">
      <c r="A26" s="121">
        <v>8</v>
      </c>
      <c r="B26" s="122" t="s">
        <v>205</v>
      </c>
      <c r="C26" s="122" t="s">
        <v>206</v>
      </c>
      <c r="D26" s="38">
        <v>75.599999999999994</v>
      </c>
      <c r="E26" s="38">
        <v>68.099999999999994</v>
      </c>
      <c r="F26" s="38">
        <f t="shared" si="0"/>
        <v>71.849999999999994</v>
      </c>
      <c r="G26" s="38" t="str">
        <f>IFERROR(VLOOKUP(F26,[5]Sheet1!$AA$1:$AB$10,2),"")</f>
        <v>B</v>
      </c>
    </row>
    <row r="27" spans="1:7">
      <c r="A27" s="121">
        <v>9</v>
      </c>
      <c r="B27" s="122" t="s">
        <v>207</v>
      </c>
      <c r="C27" s="122" t="s">
        <v>208</v>
      </c>
      <c r="D27" s="38">
        <v>75.599999999999994</v>
      </c>
      <c r="E27" s="38">
        <v>68.099999999999994</v>
      </c>
      <c r="F27" s="38">
        <f t="shared" si="0"/>
        <v>71.849999999999994</v>
      </c>
      <c r="G27" s="38" t="str">
        <f>IFERROR(VLOOKUP(F27,[5]Sheet1!$AA$1:$AB$10,2),"")</f>
        <v>B</v>
      </c>
    </row>
    <row r="28" spans="1:7">
      <c r="A28" s="121">
        <v>10</v>
      </c>
      <c r="B28" s="122" t="s">
        <v>209</v>
      </c>
      <c r="C28" s="122" t="s">
        <v>210</v>
      </c>
      <c r="D28" s="38">
        <v>78.400000000000006</v>
      </c>
      <c r="E28" s="38">
        <v>70.900000000000006</v>
      </c>
      <c r="F28" s="38">
        <f t="shared" si="0"/>
        <v>74.650000000000006</v>
      </c>
      <c r="G28" s="38" t="str">
        <f>IFERROR(VLOOKUP(F28,[5]Sheet1!$AA$1:$AB$10,2),"")</f>
        <v>B</v>
      </c>
    </row>
    <row r="29" spans="1:7">
      <c r="A29" s="121">
        <v>11</v>
      </c>
      <c r="B29" s="122" t="s">
        <v>279</v>
      </c>
      <c r="C29" s="122" t="s">
        <v>280</v>
      </c>
      <c r="D29" s="38">
        <v>75.599999999999994</v>
      </c>
      <c r="E29" s="38">
        <v>68.099999999999994</v>
      </c>
      <c r="F29" s="38">
        <f t="shared" si="0"/>
        <v>71.849999999999994</v>
      </c>
      <c r="G29" s="38" t="str">
        <f>IFERROR(VLOOKUP(F29,[5]Sheet1!$AA$1:$AB$10,2),"")</f>
        <v>B</v>
      </c>
    </row>
    <row r="30" spans="1:7">
      <c r="A30" s="121">
        <v>12</v>
      </c>
      <c r="B30" s="122" t="s">
        <v>211</v>
      </c>
      <c r="C30" s="122" t="s">
        <v>212</v>
      </c>
      <c r="D30" s="38">
        <v>78.400000000000006</v>
      </c>
      <c r="E30" s="38">
        <v>70.900000000000006</v>
      </c>
      <c r="F30" s="38">
        <f t="shared" si="0"/>
        <v>74.650000000000006</v>
      </c>
      <c r="G30" s="38" t="str">
        <f>IFERROR(VLOOKUP(F30,[5]Sheet1!$AA$1:$AB$10,2),"")</f>
        <v>B</v>
      </c>
    </row>
    <row r="31" spans="1:7">
      <c r="A31" s="121">
        <v>13</v>
      </c>
      <c r="B31" s="122" t="s">
        <v>213</v>
      </c>
      <c r="C31" s="122" t="s">
        <v>214</v>
      </c>
      <c r="D31" s="38">
        <v>75.599999999999994</v>
      </c>
      <c r="E31" s="38">
        <v>68.099999999999994</v>
      </c>
      <c r="F31" s="38">
        <f t="shared" si="0"/>
        <v>71.849999999999994</v>
      </c>
      <c r="G31" s="38" t="str">
        <f>IFERROR(VLOOKUP(F31,[5]Sheet1!$AA$1:$AB$10,2),"")</f>
        <v>B</v>
      </c>
    </row>
    <row r="32" spans="1:7">
      <c r="A32" s="121">
        <v>14</v>
      </c>
      <c r="B32" s="122" t="s">
        <v>215</v>
      </c>
      <c r="C32" s="122" t="s">
        <v>216</v>
      </c>
      <c r="D32" s="38">
        <v>75.599999999999994</v>
      </c>
      <c r="E32" s="38">
        <v>68.099999999999994</v>
      </c>
      <c r="F32" s="38">
        <f t="shared" si="0"/>
        <v>71.849999999999994</v>
      </c>
      <c r="G32" s="38" t="str">
        <f>IFERROR(VLOOKUP(F32,[5]Sheet1!$AA$1:$AB$10,2),"")</f>
        <v>B</v>
      </c>
    </row>
    <row r="33" spans="1:7">
      <c r="A33" s="121">
        <v>15</v>
      </c>
      <c r="B33" s="122" t="s">
        <v>217</v>
      </c>
      <c r="C33" s="122" t="s">
        <v>218</v>
      </c>
      <c r="D33" s="38">
        <v>78.400000000000006</v>
      </c>
      <c r="E33" s="38">
        <v>70.900000000000006</v>
      </c>
      <c r="F33" s="38">
        <f t="shared" si="0"/>
        <v>74.650000000000006</v>
      </c>
      <c r="G33" s="38" t="str">
        <f>IFERROR(VLOOKUP(F33,[5]Sheet1!$AA$1:$AB$10,2),"")</f>
        <v>B</v>
      </c>
    </row>
    <row r="34" spans="1:7">
      <c r="A34" s="121">
        <v>16</v>
      </c>
      <c r="B34" s="122" t="s">
        <v>219</v>
      </c>
      <c r="C34" s="122" t="s">
        <v>220</v>
      </c>
      <c r="D34" s="38">
        <v>78.400000000000006</v>
      </c>
      <c r="E34" s="38">
        <v>70.900000000000006</v>
      </c>
      <c r="F34" s="38">
        <f t="shared" si="0"/>
        <v>74.650000000000006</v>
      </c>
      <c r="G34" s="38" t="str">
        <f>IFERROR(VLOOKUP(F34,[5]Sheet1!$AA$1:$AB$10,2),"")</f>
        <v>B</v>
      </c>
    </row>
    <row r="35" spans="1:7">
      <c r="A35" s="121">
        <v>17</v>
      </c>
      <c r="B35" s="122" t="s">
        <v>221</v>
      </c>
      <c r="C35" s="122" t="s">
        <v>222</v>
      </c>
      <c r="D35" s="38">
        <v>78.400000000000006</v>
      </c>
      <c r="E35" s="38">
        <v>70.900000000000006</v>
      </c>
      <c r="F35" s="38">
        <f t="shared" si="0"/>
        <v>74.650000000000006</v>
      </c>
      <c r="G35" s="38" t="str">
        <f>IFERROR(VLOOKUP(F35,[5]Sheet1!$AA$1:$AB$10,2),"")</f>
        <v>B</v>
      </c>
    </row>
    <row r="36" spans="1:7">
      <c r="A36" s="121">
        <v>18</v>
      </c>
      <c r="B36" s="122" t="s">
        <v>223</v>
      </c>
      <c r="C36" s="122" t="s">
        <v>224</v>
      </c>
      <c r="D36" s="38">
        <v>75.599999999999994</v>
      </c>
      <c r="E36" s="38">
        <v>68.099999999999994</v>
      </c>
      <c r="F36" s="38">
        <f t="shared" si="0"/>
        <v>71.849999999999994</v>
      </c>
      <c r="G36" s="38" t="str">
        <f>IFERROR(VLOOKUP(F36,[5]Sheet1!$AA$1:$AB$10,2),"")</f>
        <v>B</v>
      </c>
    </row>
    <row r="37" spans="1:7">
      <c r="A37" s="121">
        <v>19</v>
      </c>
      <c r="B37" s="122" t="s">
        <v>225</v>
      </c>
      <c r="C37" s="122" t="s">
        <v>226</v>
      </c>
      <c r="D37" s="38">
        <v>78.400000000000006</v>
      </c>
      <c r="E37" s="38">
        <v>70.900000000000006</v>
      </c>
      <c r="F37" s="38">
        <f t="shared" si="0"/>
        <v>74.650000000000006</v>
      </c>
      <c r="G37" s="38" t="str">
        <f>IFERROR(VLOOKUP(F37,[5]Sheet1!$AA$1:$AB$10,2),"")</f>
        <v>B</v>
      </c>
    </row>
    <row r="38" spans="1:7">
      <c r="A38" s="121">
        <v>20</v>
      </c>
      <c r="B38" s="122" t="s">
        <v>227</v>
      </c>
      <c r="C38" s="122" t="s">
        <v>228</v>
      </c>
      <c r="D38" s="38">
        <v>75.599999999999994</v>
      </c>
      <c r="E38" s="38">
        <v>68.099999999999994</v>
      </c>
      <c r="F38" s="38">
        <f t="shared" si="0"/>
        <v>71.849999999999994</v>
      </c>
      <c r="G38" s="38" t="str">
        <f>IFERROR(VLOOKUP(F38,[5]Sheet1!$AA$1:$AB$10,2),"")</f>
        <v>B</v>
      </c>
    </row>
    <row r="39" spans="1:7">
      <c r="A39" s="121">
        <v>21</v>
      </c>
      <c r="B39" s="122" t="s">
        <v>229</v>
      </c>
      <c r="C39" s="122" t="s">
        <v>230</v>
      </c>
      <c r="D39" s="38">
        <v>75.599999999999994</v>
      </c>
      <c r="E39" s="38">
        <v>68.099999999999994</v>
      </c>
      <c r="F39" s="38">
        <f t="shared" si="0"/>
        <v>71.849999999999994</v>
      </c>
      <c r="G39" s="38" t="str">
        <f>IFERROR(VLOOKUP(F39,[5]Sheet1!$AA$1:$AB$10,2),"")</f>
        <v>B</v>
      </c>
    </row>
    <row r="40" spans="1:7">
      <c r="A40" s="121">
        <v>22</v>
      </c>
      <c r="B40" s="122" t="s">
        <v>231</v>
      </c>
      <c r="C40" s="122" t="s">
        <v>232</v>
      </c>
      <c r="D40" s="38">
        <v>75.599999999999994</v>
      </c>
      <c r="E40" s="38">
        <v>68.099999999999994</v>
      </c>
      <c r="F40" s="38">
        <f t="shared" si="0"/>
        <v>71.849999999999994</v>
      </c>
      <c r="G40" s="38" t="str">
        <f>IFERROR(VLOOKUP(F40,[5]Sheet1!$AA$1:$AB$10,2),"")</f>
        <v>B</v>
      </c>
    </row>
    <row r="41" spans="1:7">
      <c r="A41" s="121">
        <v>23</v>
      </c>
      <c r="B41" s="122" t="s">
        <v>233</v>
      </c>
      <c r="C41" s="122" t="s">
        <v>234</v>
      </c>
      <c r="D41" s="38">
        <v>75.599999999999994</v>
      </c>
      <c r="E41" s="38">
        <v>68.099999999999994</v>
      </c>
      <c r="F41" s="38">
        <f t="shared" si="0"/>
        <v>71.849999999999994</v>
      </c>
      <c r="G41" s="38" t="str">
        <f>IFERROR(VLOOKUP(F41,[5]Sheet1!$AA$1:$AB$10,2),"")</f>
        <v>B</v>
      </c>
    </row>
    <row r="42" spans="1:7">
      <c r="A42" s="121">
        <v>24</v>
      </c>
      <c r="B42" s="122" t="s">
        <v>235</v>
      </c>
      <c r="C42" s="122" t="s">
        <v>281</v>
      </c>
      <c r="D42" s="38">
        <v>91</v>
      </c>
      <c r="E42" s="38">
        <v>91</v>
      </c>
      <c r="F42" s="38">
        <f t="shared" si="0"/>
        <v>91</v>
      </c>
      <c r="G42" s="38" t="str">
        <f>IFERROR(VLOOKUP(F42,[5]Sheet1!$AA$1:$AB$10,2),"")</f>
        <v>A</v>
      </c>
    </row>
    <row r="43" spans="1:7">
      <c r="A43" s="121">
        <v>25</v>
      </c>
      <c r="B43" s="122" t="s">
        <v>237</v>
      </c>
      <c r="C43" s="122" t="s">
        <v>238</v>
      </c>
      <c r="D43" s="38">
        <v>95.5</v>
      </c>
      <c r="E43" s="38">
        <v>95.5</v>
      </c>
      <c r="F43" s="38">
        <f t="shared" si="0"/>
        <v>95.5</v>
      </c>
      <c r="G43" s="38" t="str">
        <f>IFERROR(VLOOKUP(F43,[5]Sheet1!$AA$1:$AB$10,2),"")</f>
        <v>A</v>
      </c>
    </row>
    <row r="44" spans="1:7">
      <c r="A44" s="121">
        <v>26</v>
      </c>
      <c r="B44" s="122" t="s">
        <v>239</v>
      </c>
      <c r="C44" s="122" t="s">
        <v>240</v>
      </c>
      <c r="D44" s="38">
        <v>95.5</v>
      </c>
      <c r="E44" s="38">
        <v>95.5</v>
      </c>
      <c r="F44" s="38">
        <f t="shared" si="0"/>
        <v>95.5</v>
      </c>
      <c r="G44" s="38" t="str">
        <f>IFERROR(VLOOKUP(F44,[5]Sheet1!$AA$1:$AB$10,2),"")</f>
        <v>A</v>
      </c>
    </row>
    <row r="45" spans="1:7">
      <c r="A45" s="121">
        <v>27</v>
      </c>
      <c r="B45" s="122" t="s">
        <v>241</v>
      </c>
      <c r="C45" s="122" t="s">
        <v>242</v>
      </c>
      <c r="D45" s="38">
        <v>91</v>
      </c>
      <c r="E45" s="38">
        <v>91</v>
      </c>
      <c r="F45" s="38">
        <f t="shared" si="0"/>
        <v>91</v>
      </c>
      <c r="G45" s="38" t="str">
        <f>IFERROR(VLOOKUP(F45,[5]Sheet1!$AA$1:$AB$10,2),"")</f>
        <v>A</v>
      </c>
    </row>
    <row r="46" spans="1:7">
      <c r="A46" s="121">
        <v>28</v>
      </c>
      <c r="B46" s="122" t="s">
        <v>243</v>
      </c>
      <c r="C46" s="122" t="s">
        <v>244</v>
      </c>
      <c r="D46" s="38">
        <v>95.5</v>
      </c>
      <c r="E46" s="38">
        <v>95.5</v>
      </c>
      <c r="F46" s="38">
        <f t="shared" si="0"/>
        <v>95.5</v>
      </c>
      <c r="G46" s="38" t="str">
        <f>IFERROR(VLOOKUP(F46,[5]Sheet1!$AA$1:$AB$10,2),"")</f>
        <v>A</v>
      </c>
    </row>
    <row r="47" spans="1:7">
      <c r="A47" s="121">
        <v>29</v>
      </c>
      <c r="B47" s="122" t="s">
        <v>245</v>
      </c>
      <c r="C47" s="122" t="s">
        <v>246</v>
      </c>
      <c r="D47" s="38">
        <v>91</v>
      </c>
      <c r="E47" s="38">
        <v>91</v>
      </c>
      <c r="F47" s="38">
        <f t="shared" si="0"/>
        <v>91</v>
      </c>
      <c r="G47" s="38" t="str">
        <f>IFERROR(VLOOKUP(F47,[5]Sheet1!$AA$1:$AB$10,2),"")</f>
        <v>A</v>
      </c>
    </row>
    <row r="48" spans="1:7">
      <c r="A48" s="121">
        <v>30</v>
      </c>
      <c r="B48" s="122" t="s">
        <v>247</v>
      </c>
      <c r="C48" s="122" t="s">
        <v>248</v>
      </c>
      <c r="D48" s="38">
        <v>91</v>
      </c>
      <c r="E48" s="38">
        <v>91</v>
      </c>
      <c r="F48" s="38">
        <f t="shared" si="0"/>
        <v>91</v>
      </c>
      <c r="G48" s="38" t="str">
        <f>IFERROR(VLOOKUP(F48,[5]Sheet1!$AA$1:$AB$10,2),"")</f>
        <v>A</v>
      </c>
    </row>
    <row r="49" spans="1:7">
      <c r="A49" s="121">
        <v>31</v>
      </c>
      <c r="B49" s="122" t="s">
        <v>249</v>
      </c>
      <c r="C49" s="122" t="s">
        <v>250</v>
      </c>
      <c r="D49" s="38">
        <v>95.5</v>
      </c>
      <c r="E49" s="38">
        <v>95.5</v>
      </c>
      <c r="F49" s="38">
        <f t="shared" si="0"/>
        <v>95.5</v>
      </c>
      <c r="G49" s="38" t="str">
        <f>IFERROR(VLOOKUP(F49,[5]Sheet1!$AA$1:$AB$10,2),"")</f>
        <v>A</v>
      </c>
    </row>
    <row r="50" spans="1:7">
      <c r="A50" s="121">
        <v>32</v>
      </c>
      <c r="B50" s="122" t="s">
        <v>251</v>
      </c>
      <c r="C50" s="122" t="s">
        <v>252</v>
      </c>
      <c r="D50" s="38">
        <v>91</v>
      </c>
      <c r="E50" s="38">
        <v>91</v>
      </c>
      <c r="F50" s="38">
        <f t="shared" si="0"/>
        <v>91</v>
      </c>
      <c r="G50" s="38" t="str">
        <f>IFERROR(VLOOKUP(F50,[5]Sheet1!$AA$1:$AB$10,2),"")</f>
        <v>A</v>
      </c>
    </row>
    <row r="51" spans="1:7">
      <c r="A51" s="121">
        <v>33</v>
      </c>
      <c r="B51" s="122" t="s">
        <v>253</v>
      </c>
      <c r="C51" s="122" t="s">
        <v>254</v>
      </c>
      <c r="D51" s="38">
        <v>95.5</v>
      </c>
      <c r="E51" s="38">
        <v>95.5</v>
      </c>
      <c r="F51" s="38">
        <f t="shared" si="0"/>
        <v>95.5</v>
      </c>
      <c r="G51" s="38" t="str">
        <f>IFERROR(VLOOKUP(F51,[5]Sheet1!$AA$1:$AB$10,2),"")</f>
        <v>A</v>
      </c>
    </row>
    <row r="52" spans="1:7">
      <c r="A52" s="124">
        <v>34</v>
      </c>
      <c r="B52" s="122" t="s">
        <v>255</v>
      </c>
      <c r="C52" s="122" t="s">
        <v>256</v>
      </c>
      <c r="D52" s="38">
        <v>95.5</v>
      </c>
      <c r="E52" s="38">
        <v>95.5</v>
      </c>
      <c r="F52" s="38">
        <f t="shared" si="0"/>
        <v>95.5</v>
      </c>
      <c r="G52" s="38" t="str">
        <f>IFERROR(VLOOKUP(F52,[5]Sheet1!$AA$1:$AB$10,2),"")</f>
        <v>A</v>
      </c>
    </row>
    <row r="53" spans="1:7">
      <c r="C53" s="35"/>
      <c r="D53" s="36"/>
      <c r="E53" s="36"/>
      <c r="F53" s="36"/>
    </row>
    <row r="54" spans="1:7" ht="14.5" thickBot="1">
      <c r="C54" s="35"/>
      <c r="D54" s="36" t="str">
        <f t="shared" ref="D54:E54" si="1">D16</f>
        <v>CPMK114</v>
      </c>
      <c r="E54" s="36" t="str">
        <f t="shared" si="1"/>
        <v>CPMK115</v>
      </c>
      <c r="F54" s="36" t="str">
        <f>F12</f>
        <v>Nilai Akhir MK</v>
      </c>
    </row>
    <row r="55" spans="1:7" ht="14.5" thickBot="1">
      <c r="C55" s="39" t="s">
        <v>106</v>
      </c>
      <c r="D55" s="40">
        <f>IFERROR(COUNTIF(D19:D52,""),"")</f>
        <v>0</v>
      </c>
      <c r="E55" s="40">
        <f>IFERROR(COUNTIF(E19:E52,""),"")</f>
        <v>0</v>
      </c>
      <c r="F55" s="40">
        <f>IFERROR(COUNTIF(F19:F52,""),"")</f>
        <v>0</v>
      </c>
    </row>
    <row r="56" spans="1:7" ht="14.5" thickBot="1">
      <c r="C56" s="41" t="s">
        <v>98</v>
      </c>
      <c r="D56" s="42">
        <f>IFERROR(COUNTIF(D19:D52,C56)+COUNTIF(D19:D52,""),"")-D55</f>
        <v>0</v>
      </c>
      <c r="E56" s="42">
        <f>COUNTIF(E19:E52,C56)+COUNTIF(E19:E52,"")-E55</f>
        <v>0</v>
      </c>
      <c r="F56" s="42">
        <f>IFERROR(COUNTIF(F19:F52,C56)+COUNTIF(F19:F52,""),"")</f>
        <v>0</v>
      </c>
    </row>
    <row r="57" spans="1:7" ht="14.5" thickBot="1">
      <c r="C57" s="43" t="s">
        <v>99</v>
      </c>
      <c r="D57" s="44">
        <f>IFERROR(COUNTIF(D19:D52,C57)-D56,"")</f>
        <v>23</v>
      </c>
      <c r="E57" s="44">
        <f>COUNTIF(E19:E52,C57)-E56</f>
        <v>23</v>
      </c>
      <c r="F57" s="45">
        <f>IFERROR(COUNTIF(F19:F52,C57)-F56,"")</f>
        <v>23</v>
      </c>
    </row>
    <row r="58" spans="1:7" ht="14.5" thickBot="1">
      <c r="C58" s="46" t="s">
        <v>100</v>
      </c>
      <c r="D58" s="47">
        <f>COUNTIF(D19:D52,C58)</f>
        <v>11</v>
      </c>
      <c r="E58" s="47">
        <f>COUNTIF(E19:E52,C58)</f>
        <v>11</v>
      </c>
      <c r="F58" s="47">
        <f>IFERROR(COUNTIF(F19:F52,C58),"")</f>
        <v>11</v>
      </c>
    </row>
    <row r="59" spans="1:7" ht="14.5" thickBot="1">
      <c r="C59" s="48" t="s">
        <v>78</v>
      </c>
      <c r="D59" s="49">
        <f>SUM(D55:D58)</f>
        <v>34</v>
      </c>
      <c r="E59" s="49">
        <f t="shared" ref="E59:F59" si="2">SUM(E55:E58)</f>
        <v>34</v>
      </c>
      <c r="F59" s="49">
        <f t="shared" si="2"/>
        <v>34</v>
      </c>
    </row>
    <row r="60" spans="1:7" ht="14.5" thickBot="1">
      <c r="C60" s="50"/>
      <c r="D60" s="36"/>
      <c r="E60" s="36"/>
      <c r="F60" s="36"/>
    </row>
    <row r="61" spans="1:7" ht="14.5" thickBot="1">
      <c r="C61" s="51" t="s">
        <v>101</v>
      </c>
      <c r="D61" s="52">
        <f>(D57+D58)/(D59-D55)</f>
        <v>1</v>
      </c>
      <c r="E61" s="52">
        <f>(E57+E58)/(E59-E55)</f>
        <v>1</v>
      </c>
      <c r="F61" s="52">
        <f>(F57+F58)/(F59-F55)</f>
        <v>1</v>
      </c>
    </row>
    <row r="62" spans="1:7" ht="14.5" thickBot="1">
      <c r="C62" s="50"/>
      <c r="D62" s="36"/>
      <c r="E62" s="36"/>
      <c r="F62" s="36"/>
    </row>
    <row r="63" spans="1:7" ht="14.5" thickBot="1">
      <c r="C63" s="51" t="s">
        <v>102</v>
      </c>
      <c r="D63" s="22">
        <f>MIN(D19:D52)</f>
        <v>75.599999999999994</v>
      </c>
      <c r="E63" s="22">
        <f>MIN(E19:E52)</f>
        <v>68.099999999999994</v>
      </c>
      <c r="F63" s="53">
        <f>IFERROR(MIN(F19:F52),"")</f>
        <v>71.849999999999994</v>
      </c>
    </row>
    <row r="64" spans="1:7" ht="14.5" thickBot="1">
      <c r="C64" s="51" t="s">
        <v>103</v>
      </c>
      <c r="D64" s="22">
        <f>MAX(D19:D52)</f>
        <v>95.5</v>
      </c>
      <c r="E64" s="22">
        <f>MAX(E19:E52)</f>
        <v>95.5</v>
      </c>
      <c r="F64" s="53">
        <f>IFERROR(MAX(F19:F52),"")</f>
        <v>95.5</v>
      </c>
    </row>
    <row r="65" spans="3:6" ht="14.5" thickBot="1">
      <c r="C65" s="51" t="s">
        <v>104</v>
      </c>
      <c r="D65" s="53">
        <f>AVERAGE(D19:D52)</f>
        <v>82.035294117647055</v>
      </c>
      <c r="E65" s="53">
        <f>AVERAGE(E19:E52)</f>
        <v>76.961764705882345</v>
      </c>
      <c r="F65" s="53">
        <f>IFERROR(AVERAGE(F19:F52),"")</f>
        <v>79.498529411764707</v>
      </c>
    </row>
  </sheetData>
  <mergeCells count="7">
    <mergeCell ref="A1:H1"/>
    <mergeCell ref="A2:H2"/>
    <mergeCell ref="D12:E12"/>
    <mergeCell ref="F12:F17"/>
    <mergeCell ref="G12:G17"/>
    <mergeCell ref="D13:E13"/>
    <mergeCell ref="D14:E14"/>
  </mergeCells>
  <printOptions horizontalCentered="1"/>
  <pageMargins left="0.19685039370078741" right="0.11811023622047245" top="0.19685039370078741" bottom="0.15748031496062992" header="0" footer="0"/>
  <pageSetup paperSize="9" scale="9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A158-01A7-4416-AA4F-D2977131719E}">
  <dimension ref="A1:V65"/>
  <sheetViews>
    <sheetView view="pageBreakPreview" zoomScaleNormal="100" zoomScaleSheetLayoutView="100" workbookViewId="0">
      <selection activeCell="E17" sqref="E17"/>
    </sheetView>
  </sheetViews>
  <sheetFormatPr defaultRowHeight="14"/>
  <cols>
    <col min="1" max="1" width="4" customWidth="1"/>
    <col min="2" max="2" width="12.83203125" customWidth="1"/>
    <col min="3" max="3" width="34.6640625" customWidth="1"/>
    <col min="4" max="4" width="13.08203125" customWidth="1"/>
    <col min="5" max="5" width="15.25" customWidth="1"/>
    <col min="6" max="6" width="12.6640625" customWidth="1"/>
    <col min="9" max="9" width="13" customWidth="1"/>
  </cols>
  <sheetData>
    <row r="1" spans="1:22" ht="18">
      <c r="A1" s="216" t="s">
        <v>79</v>
      </c>
      <c r="B1" s="216"/>
      <c r="C1" s="216"/>
      <c r="D1" s="216"/>
      <c r="E1" s="216"/>
      <c r="F1" s="216"/>
      <c r="G1" s="216"/>
      <c r="H1" s="216"/>
      <c r="I1" s="33"/>
    </row>
    <row r="2" spans="1:22" ht="18.5" thickBot="1">
      <c r="A2" s="217" t="s">
        <v>80</v>
      </c>
      <c r="B2" s="217"/>
      <c r="C2" s="217"/>
      <c r="D2" s="217"/>
      <c r="E2" s="217"/>
      <c r="F2" s="217"/>
      <c r="G2" s="217"/>
      <c r="H2" s="217"/>
      <c r="I2" s="33"/>
    </row>
    <row r="4" spans="1:22">
      <c r="A4" t="s">
        <v>81</v>
      </c>
      <c r="C4" t="s">
        <v>82</v>
      </c>
      <c r="E4" t="s">
        <v>83</v>
      </c>
      <c r="F4" t="s">
        <v>273</v>
      </c>
    </row>
    <row r="5" spans="1:22">
      <c r="A5" t="s">
        <v>41</v>
      </c>
      <c r="C5" s="34" t="s">
        <v>303</v>
      </c>
      <c r="E5" t="s">
        <v>85</v>
      </c>
      <c r="F5" t="s">
        <v>275</v>
      </c>
    </row>
    <row r="6" spans="1:22">
      <c r="A6" t="s">
        <v>42</v>
      </c>
      <c r="C6" t="s">
        <v>304</v>
      </c>
    </row>
    <row r="7" spans="1:22">
      <c r="A7" t="s">
        <v>87</v>
      </c>
      <c r="C7" t="s">
        <v>88</v>
      </c>
    </row>
    <row r="8" spans="1:22">
      <c r="A8" t="s">
        <v>89</v>
      </c>
      <c r="C8" t="s">
        <v>90</v>
      </c>
    </row>
    <row r="9" spans="1:22">
      <c r="A9" t="s">
        <v>91</v>
      </c>
      <c r="C9" t="s">
        <v>311</v>
      </c>
    </row>
    <row r="10" spans="1:22">
      <c r="C10" t="s">
        <v>312</v>
      </c>
    </row>
    <row r="11" spans="1:22">
      <c r="C11" s="35" t="s">
        <v>313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1:22">
      <c r="C12" s="35"/>
      <c r="D12" s="233" t="s">
        <v>65</v>
      </c>
      <c r="E12" s="234"/>
      <c r="F12" s="226" t="s">
        <v>92</v>
      </c>
      <c r="G12" s="226" t="s">
        <v>93</v>
      </c>
    </row>
    <row r="13" spans="1:22">
      <c r="C13" s="35"/>
      <c r="D13" s="229" t="str">
        <f>TRIM(MID(C5,2,20))</f>
        <v>U.24.05.52.1.01</v>
      </c>
      <c r="E13" s="229"/>
      <c r="F13" s="227"/>
      <c r="G13" s="227"/>
    </row>
    <row r="14" spans="1:22">
      <c r="C14" s="35"/>
      <c r="D14" s="229" t="str">
        <f>TRIM(MID(C6,2,100))</f>
        <v>Agama</v>
      </c>
      <c r="E14" s="229"/>
      <c r="F14" s="227"/>
      <c r="G14" s="227"/>
    </row>
    <row r="15" spans="1:22">
      <c r="C15" s="35"/>
      <c r="D15" s="37" t="s">
        <v>94</v>
      </c>
      <c r="E15" s="37" t="s">
        <v>316</v>
      </c>
      <c r="F15" s="227"/>
      <c r="G15" s="227"/>
    </row>
    <row r="16" spans="1:22">
      <c r="C16" s="35"/>
      <c r="D16" s="37" t="s">
        <v>321</v>
      </c>
      <c r="E16" s="37" t="s">
        <v>318</v>
      </c>
      <c r="F16" s="227"/>
      <c r="G16" s="227"/>
    </row>
    <row r="17" spans="1:7">
      <c r="C17" s="35"/>
      <c r="D17" s="37">
        <v>50</v>
      </c>
      <c r="E17" s="37">
        <v>50</v>
      </c>
      <c r="F17" s="228"/>
      <c r="G17" s="228"/>
    </row>
    <row r="18" spans="1:7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</row>
    <row r="19" spans="1:7">
      <c r="A19" s="121">
        <v>1</v>
      </c>
      <c r="B19" s="122" t="s">
        <v>191</v>
      </c>
      <c r="C19" s="122" t="s">
        <v>192</v>
      </c>
      <c r="D19" s="38">
        <v>82.7</v>
      </c>
      <c r="E19" s="38">
        <v>91.7</v>
      </c>
      <c r="F19" s="38">
        <f>IFERROR((D19*($D$17/100))+(E19*($E$17/100)),"")</f>
        <v>87.2</v>
      </c>
      <c r="G19" s="38" t="str">
        <f>IFERROR(VLOOKUP(F21,[4]Sheet1!$AA$1:$AB$10,2),"")</f>
        <v>A-</v>
      </c>
    </row>
    <row r="20" spans="1:7">
      <c r="A20" s="121">
        <v>2</v>
      </c>
      <c r="B20" s="122" t="s">
        <v>193</v>
      </c>
      <c r="C20" s="122" t="s">
        <v>194</v>
      </c>
      <c r="D20" s="38">
        <v>84.35</v>
      </c>
      <c r="E20" s="38">
        <v>92.2</v>
      </c>
      <c r="F20" s="38">
        <f t="shared" ref="F20:F52" si="0">IFERROR((D20*($D$17/100))+(E20*($E$17/100)),"")</f>
        <v>88.275000000000006</v>
      </c>
      <c r="G20" s="38" t="str">
        <f>IFERROR(VLOOKUP(F20,[6]Sheet1!$AA$1:$AB$10,2),"")</f>
        <v>A-</v>
      </c>
    </row>
    <row r="21" spans="1:7">
      <c r="A21" s="121">
        <v>3</v>
      </c>
      <c r="B21" s="122" t="s">
        <v>195</v>
      </c>
      <c r="C21" s="122" t="s">
        <v>196</v>
      </c>
      <c r="D21" s="38">
        <v>81.05</v>
      </c>
      <c r="E21" s="38">
        <v>89.7</v>
      </c>
      <c r="F21" s="38">
        <f t="shared" si="0"/>
        <v>85.375</v>
      </c>
      <c r="G21" s="38" t="str">
        <f>IFERROR(VLOOKUP(F21,[6]Sheet1!$AA$1:$AB$10,2),"")</f>
        <v>A-</v>
      </c>
    </row>
    <row r="22" spans="1:7">
      <c r="A22" s="121">
        <v>4</v>
      </c>
      <c r="B22" s="122" t="s">
        <v>197</v>
      </c>
      <c r="C22" s="122" t="s">
        <v>198</v>
      </c>
      <c r="D22" s="38">
        <v>82.35</v>
      </c>
      <c r="E22" s="38">
        <v>91</v>
      </c>
      <c r="F22" s="38">
        <f t="shared" si="0"/>
        <v>86.674999999999997</v>
      </c>
      <c r="G22" s="38" t="str">
        <f>IFERROR(VLOOKUP(F22,[6]Sheet1!$AA$1:$AB$10,2),"")</f>
        <v>A-</v>
      </c>
    </row>
    <row r="23" spans="1:7">
      <c r="A23" s="121">
        <v>5</v>
      </c>
      <c r="B23" s="122" t="s">
        <v>199</v>
      </c>
      <c r="C23" s="122" t="s">
        <v>200</v>
      </c>
      <c r="D23" s="38">
        <v>85.5</v>
      </c>
      <c r="E23" s="38">
        <v>94.5</v>
      </c>
      <c r="F23" s="38">
        <f t="shared" si="0"/>
        <v>90</v>
      </c>
      <c r="G23" s="38" t="str">
        <f>IFERROR(VLOOKUP(F23,[6]Sheet1!$AA$1:$AB$10,2),"")</f>
        <v>A-</v>
      </c>
    </row>
    <row r="24" spans="1:7">
      <c r="A24" s="121">
        <v>6</v>
      </c>
      <c r="B24" s="122" t="s">
        <v>201</v>
      </c>
      <c r="C24" s="122" t="s">
        <v>202</v>
      </c>
      <c r="D24" s="38">
        <v>87.05</v>
      </c>
      <c r="E24" s="38">
        <v>95.5</v>
      </c>
      <c r="F24" s="38">
        <f t="shared" si="0"/>
        <v>91.275000000000006</v>
      </c>
      <c r="G24" s="38" t="str">
        <f>IFERROR(VLOOKUP(F24,[6]Sheet1!$AA$1:$AB$10,2),"")</f>
        <v>A</v>
      </c>
    </row>
    <row r="25" spans="1:7">
      <c r="A25" s="121">
        <v>7</v>
      </c>
      <c r="B25" s="122" t="s">
        <v>203</v>
      </c>
      <c r="C25" s="122" t="s">
        <v>204</v>
      </c>
      <c r="D25" s="38">
        <v>84.4</v>
      </c>
      <c r="E25" s="38">
        <v>94.4</v>
      </c>
      <c r="F25" s="38">
        <f t="shared" si="0"/>
        <v>89.4</v>
      </c>
      <c r="G25" s="38" t="str">
        <f>IFERROR(VLOOKUP(F25,[6]Sheet1!$AA$1:$AB$10,2),"")</f>
        <v>A-</v>
      </c>
    </row>
    <row r="26" spans="1:7">
      <c r="A26" s="121">
        <v>8</v>
      </c>
      <c r="B26" s="122" t="s">
        <v>205</v>
      </c>
      <c r="C26" s="122" t="s">
        <v>206</v>
      </c>
      <c r="D26" s="38">
        <v>81.900000000000006</v>
      </c>
      <c r="E26" s="38">
        <v>90.8</v>
      </c>
      <c r="F26" s="38">
        <f t="shared" si="0"/>
        <v>86.35</v>
      </c>
      <c r="G26" s="38" t="str">
        <f>IFERROR(VLOOKUP(F26,[6]Sheet1!$AA$1:$AB$10,2),"")</f>
        <v>A-</v>
      </c>
    </row>
    <row r="27" spans="1:7">
      <c r="A27" s="121">
        <v>9</v>
      </c>
      <c r="B27" s="122" t="s">
        <v>207</v>
      </c>
      <c r="C27" s="122" t="s">
        <v>208</v>
      </c>
      <c r="D27" s="38">
        <v>85.5</v>
      </c>
      <c r="E27" s="38">
        <v>85</v>
      </c>
      <c r="F27" s="38">
        <f t="shared" si="0"/>
        <v>85.25</v>
      </c>
      <c r="G27" s="38" t="str">
        <f>IFERROR(VLOOKUP(F27,[6]Sheet1!$AA$1:$AB$10,2),"")</f>
        <v>A-</v>
      </c>
    </row>
    <row r="28" spans="1:7">
      <c r="A28" s="121">
        <v>10</v>
      </c>
      <c r="B28" s="122" t="s">
        <v>209</v>
      </c>
      <c r="C28" s="122" t="s">
        <v>210</v>
      </c>
      <c r="D28" s="38">
        <v>84.85</v>
      </c>
      <c r="E28" s="38">
        <v>92.5</v>
      </c>
      <c r="F28" s="38">
        <f t="shared" si="0"/>
        <v>88.674999999999997</v>
      </c>
      <c r="G28" s="38" t="str">
        <f>IFERROR(VLOOKUP(F28,[6]Sheet1!$AA$1:$AB$10,2),"")</f>
        <v>A-</v>
      </c>
    </row>
    <row r="29" spans="1:7">
      <c r="A29" s="121">
        <v>11</v>
      </c>
      <c r="B29" s="122" t="s">
        <v>279</v>
      </c>
      <c r="C29" s="122" t="s">
        <v>280</v>
      </c>
      <c r="D29" s="38">
        <v>83.4</v>
      </c>
      <c r="E29" s="38">
        <v>93.8</v>
      </c>
      <c r="F29" s="38">
        <f t="shared" si="0"/>
        <v>88.6</v>
      </c>
      <c r="G29" s="38" t="str">
        <f>IFERROR(VLOOKUP(F29,[6]Sheet1!$AA$1:$AB$10,2),"")</f>
        <v>A-</v>
      </c>
    </row>
    <row r="30" spans="1:7">
      <c r="A30" s="121">
        <v>12</v>
      </c>
      <c r="B30" s="122" t="s">
        <v>211</v>
      </c>
      <c r="C30" s="122" t="s">
        <v>212</v>
      </c>
      <c r="D30" s="38">
        <v>85.95</v>
      </c>
      <c r="E30" s="38">
        <v>94</v>
      </c>
      <c r="F30" s="38">
        <f t="shared" si="0"/>
        <v>89.974999999999994</v>
      </c>
      <c r="G30" s="38" t="str">
        <f>IFERROR(VLOOKUP(F30,[6]Sheet1!$AA$1:$AB$10,2),"")</f>
        <v>A-</v>
      </c>
    </row>
    <row r="31" spans="1:7">
      <c r="A31" s="121">
        <v>13</v>
      </c>
      <c r="B31" s="122" t="s">
        <v>213</v>
      </c>
      <c r="C31" s="122" t="s">
        <v>214</v>
      </c>
      <c r="D31" s="38">
        <v>40</v>
      </c>
      <c r="E31" s="38">
        <v>40</v>
      </c>
      <c r="F31" s="38">
        <f t="shared" si="0"/>
        <v>40</v>
      </c>
      <c r="G31" s="38" t="str">
        <f>IFERROR(VLOOKUP(F31,[6]Sheet1!$AA$1:$AB$10,2),"")</f>
        <v>E</v>
      </c>
    </row>
    <row r="32" spans="1:7">
      <c r="A32" s="121">
        <v>14</v>
      </c>
      <c r="B32" s="122" t="s">
        <v>215</v>
      </c>
      <c r="C32" s="122" t="s">
        <v>216</v>
      </c>
      <c r="D32" s="38">
        <v>82.5</v>
      </c>
      <c r="E32" s="38">
        <v>92</v>
      </c>
      <c r="F32" s="38">
        <f t="shared" si="0"/>
        <v>87.25</v>
      </c>
      <c r="G32" s="38" t="str">
        <f>IFERROR(VLOOKUP(F32,[6]Sheet1!$AA$1:$AB$10,2),"")</f>
        <v>A-</v>
      </c>
    </row>
    <row r="33" spans="1:7">
      <c r="A33" s="121">
        <v>15</v>
      </c>
      <c r="B33" s="122" t="s">
        <v>217</v>
      </c>
      <c r="C33" s="122" t="s">
        <v>218</v>
      </c>
      <c r="D33" s="38">
        <v>85.3</v>
      </c>
      <c r="E33" s="38">
        <v>94.1</v>
      </c>
      <c r="F33" s="38">
        <f t="shared" si="0"/>
        <v>89.699999999999989</v>
      </c>
      <c r="G33" s="38" t="str">
        <f>IFERROR(VLOOKUP(F33,[6]Sheet1!$AA$1:$AB$10,2),"")</f>
        <v>A-</v>
      </c>
    </row>
    <row r="34" spans="1:7">
      <c r="A34" s="121">
        <v>16</v>
      </c>
      <c r="B34" s="122" t="s">
        <v>219</v>
      </c>
      <c r="C34" s="122" t="s">
        <v>220</v>
      </c>
      <c r="D34" s="38">
        <v>82.6</v>
      </c>
      <c r="E34" s="38">
        <v>91.5</v>
      </c>
      <c r="F34" s="38">
        <f t="shared" si="0"/>
        <v>87.05</v>
      </c>
      <c r="G34" s="38" t="str">
        <f>IFERROR(VLOOKUP(F34,[6]Sheet1!$AA$1:$AB$10,2),"")</f>
        <v>A-</v>
      </c>
    </row>
    <row r="35" spans="1:7">
      <c r="A35" s="121">
        <v>17</v>
      </c>
      <c r="B35" s="122" t="s">
        <v>221</v>
      </c>
      <c r="C35" s="122" t="s">
        <v>222</v>
      </c>
      <c r="D35" s="38">
        <v>83.85</v>
      </c>
      <c r="E35" s="38">
        <v>94</v>
      </c>
      <c r="F35" s="38">
        <f t="shared" si="0"/>
        <v>88.924999999999997</v>
      </c>
      <c r="G35" s="38" t="str">
        <f>IFERROR(VLOOKUP(F35,[6]Sheet1!$AA$1:$AB$10,2),"")</f>
        <v>A-</v>
      </c>
    </row>
    <row r="36" spans="1:7">
      <c r="A36" s="121">
        <v>18</v>
      </c>
      <c r="B36" s="122" t="s">
        <v>223</v>
      </c>
      <c r="C36" s="122" t="s">
        <v>224</v>
      </c>
      <c r="D36" s="38">
        <v>82.05</v>
      </c>
      <c r="E36" s="38">
        <v>91.7</v>
      </c>
      <c r="F36" s="38">
        <f t="shared" si="0"/>
        <v>86.875</v>
      </c>
      <c r="G36" s="38" t="str">
        <f>IFERROR(VLOOKUP(F36,[6]Sheet1!$AA$1:$AB$10,2),"")</f>
        <v>A-</v>
      </c>
    </row>
    <row r="37" spans="1:7">
      <c r="A37" s="121">
        <v>19</v>
      </c>
      <c r="B37" s="122" t="s">
        <v>225</v>
      </c>
      <c r="C37" s="122" t="s">
        <v>226</v>
      </c>
      <c r="D37" s="38">
        <v>85</v>
      </c>
      <c r="E37" s="38">
        <v>85</v>
      </c>
      <c r="F37" s="38">
        <f t="shared" si="0"/>
        <v>85</v>
      </c>
      <c r="G37" s="38" t="str">
        <f>IFERROR(VLOOKUP(F37,[6]Sheet1!$AA$1:$AB$10,2),"")</f>
        <v>A-</v>
      </c>
    </row>
    <row r="38" spans="1:7">
      <c r="A38" s="121">
        <v>20</v>
      </c>
      <c r="B38" s="122" t="s">
        <v>227</v>
      </c>
      <c r="C38" s="122" t="s">
        <v>228</v>
      </c>
      <c r="D38" s="38">
        <v>80.95</v>
      </c>
      <c r="E38" s="38">
        <v>90.8</v>
      </c>
      <c r="F38" s="38">
        <f t="shared" si="0"/>
        <v>85.875</v>
      </c>
      <c r="G38" s="38" t="str">
        <f>IFERROR(VLOOKUP(F38,[6]Sheet1!$AA$1:$AB$10,2),"")</f>
        <v>A-</v>
      </c>
    </row>
    <row r="39" spans="1:7">
      <c r="A39" s="121">
        <v>21</v>
      </c>
      <c r="B39" s="122" t="s">
        <v>229</v>
      </c>
      <c r="C39" s="122" t="s">
        <v>230</v>
      </c>
      <c r="D39" s="38">
        <v>84.15</v>
      </c>
      <c r="E39" s="38">
        <v>92.4</v>
      </c>
      <c r="F39" s="38">
        <f t="shared" si="0"/>
        <v>88.275000000000006</v>
      </c>
      <c r="G39" s="38" t="str">
        <f>IFERROR(VLOOKUP(F39,[6]Sheet1!$AA$1:$AB$10,2),"")</f>
        <v>A-</v>
      </c>
    </row>
    <row r="40" spans="1:7">
      <c r="A40" s="121">
        <v>22</v>
      </c>
      <c r="B40" s="122" t="s">
        <v>231</v>
      </c>
      <c r="C40" s="122" t="s">
        <v>232</v>
      </c>
      <c r="D40" s="38">
        <v>85.6</v>
      </c>
      <c r="E40" s="38">
        <v>94.7</v>
      </c>
      <c r="F40" s="38">
        <f t="shared" si="0"/>
        <v>90.15</v>
      </c>
      <c r="G40" s="38" t="str">
        <f>IFERROR(VLOOKUP(F40,[6]Sheet1!$AA$1:$AB$10,2),"")</f>
        <v>A-</v>
      </c>
    </row>
    <row r="41" spans="1:7">
      <c r="A41" s="121">
        <v>23</v>
      </c>
      <c r="B41" s="122" t="s">
        <v>233</v>
      </c>
      <c r="C41" s="122" t="s">
        <v>234</v>
      </c>
      <c r="D41" s="38">
        <v>87.25</v>
      </c>
      <c r="E41" s="38">
        <v>95.2</v>
      </c>
      <c r="F41" s="38">
        <f t="shared" si="0"/>
        <v>91.224999999999994</v>
      </c>
      <c r="G41" s="38" t="str">
        <f>IFERROR(VLOOKUP(F41,[6]Sheet1!$AA$1:$AB$10,2),"")</f>
        <v>A</v>
      </c>
    </row>
    <row r="42" spans="1:7">
      <c r="A42" s="121">
        <v>24</v>
      </c>
      <c r="B42" s="122" t="s">
        <v>235</v>
      </c>
      <c r="C42" s="122" t="s">
        <v>281</v>
      </c>
      <c r="D42" s="38">
        <v>91.15</v>
      </c>
      <c r="E42" s="38">
        <v>91.15</v>
      </c>
      <c r="F42" s="38">
        <f t="shared" si="0"/>
        <v>91.15</v>
      </c>
      <c r="G42" s="38" t="str">
        <f>IFERROR(VLOOKUP(F42,[6]Sheet1!$AA$1:$AB$10,2),"")</f>
        <v>A</v>
      </c>
    </row>
    <row r="43" spans="1:7">
      <c r="A43" s="121">
        <v>25</v>
      </c>
      <c r="B43" s="122" t="s">
        <v>237</v>
      </c>
      <c r="C43" s="122" t="s">
        <v>238</v>
      </c>
      <c r="D43" s="38">
        <v>88</v>
      </c>
      <c r="E43" s="38">
        <v>88</v>
      </c>
      <c r="F43" s="38">
        <f t="shared" si="0"/>
        <v>88</v>
      </c>
      <c r="G43" s="38" t="str">
        <f>IFERROR(VLOOKUP(F43,[6]Sheet1!$AA$1:$AB$10,2),"")</f>
        <v>A-</v>
      </c>
    </row>
    <row r="44" spans="1:7">
      <c r="A44" s="121">
        <v>26</v>
      </c>
      <c r="B44" s="122" t="s">
        <v>239</v>
      </c>
      <c r="C44" s="122" t="s">
        <v>240</v>
      </c>
      <c r="D44" s="38">
        <v>90.1</v>
      </c>
      <c r="E44" s="38">
        <v>90.1</v>
      </c>
      <c r="F44" s="38">
        <f t="shared" si="0"/>
        <v>90.1</v>
      </c>
      <c r="G44" s="38" t="str">
        <f>IFERROR(VLOOKUP(F44,[6]Sheet1!$AA$1:$AB$10,2),"")</f>
        <v>A-</v>
      </c>
    </row>
    <row r="45" spans="1:7">
      <c r="A45" s="121">
        <v>27</v>
      </c>
      <c r="B45" s="122" t="s">
        <v>241</v>
      </c>
      <c r="C45" s="122" t="s">
        <v>242</v>
      </c>
      <c r="D45" s="38">
        <v>93.2</v>
      </c>
      <c r="E45" s="38">
        <v>93.2</v>
      </c>
      <c r="F45" s="38">
        <f t="shared" si="0"/>
        <v>93.2</v>
      </c>
      <c r="G45" s="38" t="str">
        <f>IFERROR(VLOOKUP(F45,[6]Sheet1!$AA$1:$AB$10,2),"")</f>
        <v>A</v>
      </c>
    </row>
    <row r="46" spans="1:7">
      <c r="A46" s="121">
        <v>28</v>
      </c>
      <c r="B46" s="122" t="s">
        <v>243</v>
      </c>
      <c r="C46" s="122" t="s">
        <v>244</v>
      </c>
      <c r="D46" s="38">
        <v>90.45</v>
      </c>
      <c r="E46" s="38">
        <v>90.45</v>
      </c>
      <c r="F46" s="38">
        <f t="shared" si="0"/>
        <v>90.45</v>
      </c>
      <c r="G46" s="38" t="str">
        <f>IFERROR(VLOOKUP(F46,[6]Sheet1!$AA$1:$AB$10,2),"")</f>
        <v>A</v>
      </c>
    </row>
    <row r="47" spans="1:7">
      <c r="A47" s="121">
        <v>29</v>
      </c>
      <c r="B47" s="122" t="s">
        <v>245</v>
      </c>
      <c r="C47" s="122" t="s">
        <v>246</v>
      </c>
      <c r="D47" s="38">
        <v>91</v>
      </c>
      <c r="E47" s="38">
        <v>91</v>
      </c>
      <c r="F47" s="38">
        <f t="shared" si="0"/>
        <v>91</v>
      </c>
      <c r="G47" s="38" t="str">
        <f>IFERROR(VLOOKUP(F47,[6]Sheet1!$AA$1:$AB$10,2),"")</f>
        <v>A</v>
      </c>
    </row>
    <row r="48" spans="1:7">
      <c r="A48" s="121">
        <v>30</v>
      </c>
      <c r="B48" s="122" t="s">
        <v>247</v>
      </c>
      <c r="C48" s="122" t="s">
        <v>248</v>
      </c>
      <c r="D48" s="38">
        <v>85</v>
      </c>
      <c r="E48" s="38">
        <v>90</v>
      </c>
      <c r="F48" s="38">
        <f t="shared" si="0"/>
        <v>87.5</v>
      </c>
      <c r="G48" s="38" t="str">
        <f>IFERROR(VLOOKUP(F48,[6]Sheet1!$AA$1:$AB$10,2),"")</f>
        <v>A-</v>
      </c>
    </row>
    <row r="49" spans="1:7">
      <c r="A49" s="121">
        <v>31</v>
      </c>
      <c r="B49" s="122" t="s">
        <v>249</v>
      </c>
      <c r="C49" s="122" t="s">
        <v>250</v>
      </c>
      <c r="D49" s="38">
        <v>89.75</v>
      </c>
      <c r="E49" s="38">
        <v>89.75</v>
      </c>
      <c r="F49" s="38">
        <f t="shared" si="0"/>
        <v>89.75</v>
      </c>
      <c r="G49" s="38" t="str">
        <f>IFERROR(VLOOKUP(F49,[6]Sheet1!$AA$1:$AB$10,2),"")</f>
        <v>A-</v>
      </c>
    </row>
    <row r="50" spans="1:7">
      <c r="A50" s="121">
        <v>32</v>
      </c>
      <c r="B50" s="122" t="s">
        <v>251</v>
      </c>
      <c r="C50" s="122" t="s">
        <v>252</v>
      </c>
      <c r="D50" s="38">
        <v>85</v>
      </c>
      <c r="E50" s="38">
        <v>90</v>
      </c>
      <c r="F50" s="38">
        <f t="shared" si="0"/>
        <v>87.5</v>
      </c>
      <c r="G50" s="38" t="str">
        <f>IFERROR(VLOOKUP(F50,[6]Sheet1!$AA$1:$AB$10,2),"")</f>
        <v>A-</v>
      </c>
    </row>
    <row r="51" spans="1:7">
      <c r="A51" s="121">
        <v>33</v>
      </c>
      <c r="B51" s="122" t="s">
        <v>253</v>
      </c>
      <c r="C51" s="122" t="s">
        <v>254</v>
      </c>
      <c r="D51" s="38">
        <v>95.55</v>
      </c>
      <c r="E51" s="38">
        <v>95.55</v>
      </c>
      <c r="F51" s="38">
        <f t="shared" si="0"/>
        <v>95.55</v>
      </c>
      <c r="G51" s="38" t="str">
        <f>IFERROR(VLOOKUP(F51,[6]Sheet1!$AA$1:$AB$10,2),"")</f>
        <v>A</v>
      </c>
    </row>
    <row r="52" spans="1:7">
      <c r="A52" s="124">
        <v>34</v>
      </c>
      <c r="B52" s="122" t="s">
        <v>255</v>
      </c>
      <c r="C52" s="122" t="s">
        <v>256</v>
      </c>
      <c r="D52" s="38">
        <v>88</v>
      </c>
      <c r="E52" s="38">
        <v>88</v>
      </c>
      <c r="F52" s="38">
        <f t="shared" si="0"/>
        <v>88</v>
      </c>
      <c r="G52" s="38" t="str">
        <f>IFERROR(VLOOKUP(F52,[6]Sheet1!$AA$1:$AB$10,2),"")</f>
        <v>A-</v>
      </c>
    </row>
    <row r="53" spans="1:7">
      <c r="C53" s="35"/>
      <c r="D53" s="36"/>
      <c r="E53" s="36"/>
      <c r="F53" s="36"/>
    </row>
    <row r="54" spans="1:7" ht="14.5" thickBot="1">
      <c r="C54" s="35"/>
      <c r="D54" s="36" t="str">
        <f t="shared" ref="D54:E54" si="1">D16</f>
        <v>CPMK11</v>
      </c>
      <c r="E54" s="36" t="str">
        <f t="shared" si="1"/>
        <v>CPMK13</v>
      </c>
      <c r="F54" s="36" t="str">
        <f>F12</f>
        <v>Nilai Akhir MK</v>
      </c>
    </row>
    <row r="55" spans="1:7" ht="14.5" thickBot="1">
      <c r="C55" s="39" t="s">
        <v>106</v>
      </c>
      <c r="D55" s="40">
        <f>IFERROR(COUNTIF(D19:D52,""),"")</f>
        <v>0</v>
      </c>
      <c r="E55" s="40">
        <f>IFERROR(COUNTIF(E19:E52,""),"")</f>
        <v>0</v>
      </c>
      <c r="F55" s="40">
        <f>IFERROR(COUNTIF(F19:F52,""),"")</f>
        <v>0</v>
      </c>
    </row>
    <row r="56" spans="1:7" ht="14.5" thickBot="1">
      <c r="C56" s="41" t="s">
        <v>98</v>
      </c>
      <c r="D56" s="42">
        <f>IFERROR(COUNTIF(D19:D52,C56)+COUNTIF(D19:D52,""),"")-D55</f>
        <v>1</v>
      </c>
      <c r="E56" s="42">
        <f>COUNTIF(E19:E52,C56)+COUNTIF(E19:E52,"")-E55</f>
        <v>1</v>
      </c>
      <c r="F56" s="42">
        <f>IFERROR(COUNTIF(F19:F52,C56)+COUNTIF(F19:F52,""),"")</f>
        <v>1</v>
      </c>
    </row>
    <row r="57" spans="1:7" ht="14.5" thickBot="1">
      <c r="C57" s="43" t="s">
        <v>99</v>
      </c>
      <c r="D57" s="44">
        <f>IFERROR(COUNTIF(D19:D52,C57)-D56,"")</f>
        <v>14</v>
      </c>
      <c r="E57" s="44">
        <f>COUNTIF(E19:E52,C57)-E56</f>
        <v>0</v>
      </c>
      <c r="F57" s="45">
        <f>IFERROR(COUNTIF(F19:F52,C57)-F56,"")</f>
        <v>0</v>
      </c>
    </row>
    <row r="58" spans="1:7" ht="14.5" thickBot="1">
      <c r="C58" s="46" t="s">
        <v>100</v>
      </c>
      <c r="D58" s="47">
        <f>COUNTIF(D19:D52,C58)</f>
        <v>19</v>
      </c>
      <c r="E58" s="47">
        <f>COUNTIF(E19:E52,C58)</f>
        <v>33</v>
      </c>
      <c r="F58" s="47">
        <f>IFERROR(COUNTIF(F19:F52,C58),"")</f>
        <v>33</v>
      </c>
    </row>
    <row r="59" spans="1:7" ht="14.5" thickBot="1">
      <c r="C59" s="48" t="s">
        <v>78</v>
      </c>
      <c r="D59" s="49">
        <f>SUM(D55:D58)</f>
        <v>34</v>
      </c>
      <c r="E59" s="49">
        <f t="shared" ref="E59:F59" si="2">SUM(E55:E58)</f>
        <v>34</v>
      </c>
      <c r="F59" s="49">
        <f t="shared" si="2"/>
        <v>34</v>
      </c>
    </row>
    <row r="60" spans="1:7" ht="14.5" thickBot="1">
      <c r="C60" s="50"/>
      <c r="D60" s="36"/>
      <c r="E60" s="36"/>
      <c r="F60" s="36"/>
    </row>
    <row r="61" spans="1:7" ht="14.5" thickBot="1">
      <c r="C61" s="51" t="s">
        <v>101</v>
      </c>
      <c r="D61" s="52">
        <f>(D57+D58)/(D59-D55)</f>
        <v>0.97058823529411764</v>
      </c>
      <c r="E61" s="52">
        <f>(E57+E58)/(E59-E55)</f>
        <v>0.97058823529411764</v>
      </c>
      <c r="F61" s="52">
        <f>(F57+F58)/(F59-F55)</f>
        <v>0.97058823529411764</v>
      </c>
    </row>
    <row r="62" spans="1:7" ht="14.5" thickBot="1">
      <c r="C62" s="50"/>
      <c r="D62" s="36"/>
      <c r="E62" s="36"/>
      <c r="F62" s="36"/>
    </row>
    <row r="63" spans="1:7" ht="14.5" thickBot="1">
      <c r="C63" s="51" t="s">
        <v>102</v>
      </c>
      <c r="D63" s="22">
        <f>MIN(D19:D52)</f>
        <v>40</v>
      </c>
      <c r="E63" s="22">
        <f>MIN(E19:E52)</f>
        <v>40</v>
      </c>
      <c r="F63" s="53">
        <f>IFERROR(MIN(F19:F52),"")</f>
        <v>40</v>
      </c>
    </row>
    <row r="64" spans="1:7" ht="14.5" thickBot="1">
      <c r="C64" s="51" t="s">
        <v>103</v>
      </c>
      <c r="D64" s="22">
        <f>MAX(D19:D52)</f>
        <v>95.55</v>
      </c>
      <c r="E64" s="22">
        <f>MAX(E19:E52)</f>
        <v>95.55</v>
      </c>
      <c r="F64" s="53">
        <f>IFERROR(MAX(F19:F52),"")</f>
        <v>95.55</v>
      </c>
    </row>
    <row r="65" spans="3:6" ht="14.5" thickBot="1">
      <c r="C65" s="51" t="s">
        <v>104</v>
      </c>
      <c r="D65" s="53">
        <f>AVERAGE(D19:D52)</f>
        <v>84.572058823529389</v>
      </c>
      <c r="E65" s="53">
        <f>AVERAGE(E19:E52)</f>
        <v>90.108823529411765</v>
      </c>
      <c r="F65" s="53">
        <f>IFERROR(AVERAGE(F19:F52),"")</f>
        <v>87.340441176470577</v>
      </c>
    </row>
  </sheetData>
  <mergeCells count="7">
    <mergeCell ref="A1:H1"/>
    <mergeCell ref="A2:H2"/>
    <mergeCell ref="D12:E12"/>
    <mergeCell ref="F12:F17"/>
    <mergeCell ref="G12:G17"/>
    <mergeCell ref="D13:E13"/>
    <mergeCell ref="D14:E14"/>
  </mergeCells>
  <printOptions horizontalCentered="1"/>
  <pageMargins left="0.19685039370078741" right="0.11811023622047245" top="0.19685039370078741" bottom="0.15748031496062992" header="0" footer="0"/>
  <pageSetup paperSize="9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A19C-1C04-4ECB-95D4-7A70CD68868A}">
  <dimension ref="A1:V65"/>
  <sheetViews>
    <sheetView view="pageBreakPreview" topLeftCell="A4" zoomScale="90" zoomScaleNormal="100" zoomScaleSheetLayoutView="90" workbookViewId="0">
      <selection activeCell="E17" sqref="E17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4" width="13.08203125" customWidth="1"/>
    <col min="5" max="5" width="15.25" customWidth="1"/>
    <col min="6" max="6" width="12.6640625" customWidth="1"/>
    <col min="9" max="9" width="13" customWidth="1"/>
  </cols>
  <sheetData>
    <row r="1" spans="1:22" ht="18">
      <c r="A1" s="216" t="s">
        <v>79</v>
      </c>
      <c r="B1" s="216"/>
      <c r="C1" s="216"/>
      <c r="D1" s="216"/>
      <c r="E1" s="216"/>
      <c r="F1" s="216"/>
      <c r="G1" s="216"/>
      <c r="H1" s="216"/>
      <c r="I1" s="33"/>
    </row>
    <row r="2" spans="1:22" ht="18.5" thickBot="1">
      <c r="A2" s="217" t="s">
        <v>80</v>
      </c>
      <c r="B2" s="217"/>
      <c r="C2" s="217"/>
      <c r="D2" s="217"/>
      <c r="E2" s="217"/>
      <c r="F2" s="217"/>
      <c r="G2" s="217"/>
      <c r="H2" s="217"/>
      <c r="I2" s="33"/>
    </row>
    <row r="4" spans="1:22">
      <c r="A4" t="s">
        <v>81</v>
      </c>
      <c r="C4" t="s">
        <v>82</v>
      </c>
      <c r="E4" t="s">
        <v>83</v>
      </c>
      <c r="F4" t="s">
        <v>273</v>
      </c>
    </row>
    <row r="5" spans="1:22">
      <c r="A5" t="s">
        <v>41</v>
      </c>
      <c r="C5" s="34" t="s">
        <v>305</v>
      </c>
      <c r="E5" t="s">
        <v>85</v>
      </c>
      <c r="F5" t="s">
        <v>275</v>
      </c>
    </row>
    <row r="6" spans="1:22">
      <c r="A6" t="s">
        <v>42</v>
      </c>
      <c r="C6" t="s">
        <v>306</v>
      </c>
    </row>
    <row r="7" spans="1:22">
      <c r="A7" t="s">
        <v>87</v>
      </c>
      <c r="C7" t="s">
        <v>88</v>
      </c>
    </row>
    <row r="8" spans="1:22">
      <c r="A8" t="s">
        <v>89</v>
      </c>
      <c r="C8" t="s">
        <v>90</v>
      </c>
    </row>
    <row r="9" spans="1:22">
      <c r="A9" t="s">
        <v>91</v>
      </c>
      <c r="C9" t="s">
        <v>294</v>
      </c>
    </row>
    <row r="10" spans="1:22">
      <c r="C10" t="s">
        <v>113</v>
      </c>
    </row>
    <row r="11" spans="1:22">
      <c r="C11" s="35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1:22">
      <c r="C12" s="35"/>
      <c r="D12" s="229" t="s">
        <v>68</v>
      </c>
      <c r="E12" s="229"/>
      <c r="F12" s="232" t="s">
        <v>92</v>
      </c>
      <c r="G12" s="232" t="s">
        <v>93</v>
      </c>
    </row>
    <row r="13" spans="1:22">
      <c r="C13" s="35"/>
      <c r="D13" s="229" t="str">
        <f>TRIM(MID(C5,2,20))</f>
        <v>U.24.05.52.1.02</v>
      </c>
      <c r="E13" s="229"/>
      <c r="F13" s="232"/>
      <c r="G13" s="232"/>
    </row>
    <row r="14" spans="1:22">
      <c r="C14" s="35"/>
      <c r="D14" s="229" t="str">
        <f>TRIM(MID(C6,2,100))</f>
        <v>Kewarganegaraan</v>
      </c>
      <c r="E14" s="229"/>
      <c r="F14" s="232"/>
      <c r="G14" s="232"/>
    </row>
    <row r="15" spans="1:22">
      <c r="C15" s="35"/>
      <c r="D15" s="146" t="s">
        <v>94</v>
      </c>
      <c r="E15" s="146" t="s">
        <v>94</v>
      </c>
      <c r="F15" s="232"/>
      <c r="G15" s="232"/>
    </row>
    <row r="16" spans="1:22">
      <c r="C16" s="35"/>
      <c r="D16" s="146" t="s">
        <v>317</v>
      </c>
      <c r="E16" s="146" t="s">
        <v>318</v>
      </c>
      <c r="F16" s="232"/>
      <c r="G16" s="232"/>
    </row>
    <row r="17" spans="1:7">
      <c r="C17" s="35"/>
      <c r="D17" s="146">
        <v>50</v>
      </c>
      <c r="E17" s="146">
        <v>50</v>
      </c>
      <c r="F17" s="232"/>
      <c r="G17" s="232"/>
    </row>
    <row r="18" spans="1:7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</row>
    <row r="19" spans="1:7">
      <c r="A19" s="121">
        <v>1</v>
      </c>
      <c r="B19" s="122" t="s">
        <v>191</v>
      </c>
      <c r="C19" s="122" t="s">
        <v>192</v>
      </c>
      <c r="D19" s="38">
        <v>81.400000000000006</v>
      </c>
      <c r="E19" s="38">
        <v>81.400000000000006</v>
      </c>
      <c r="F19" s="38">
        <f>IFERROR((D19*($D$17/100))+(E19*($E$17/100)),"")</f>
        <v>81.400000000000006</v>
      </c>
      <c r="G19" s="38" t="str">
        <f>IFERROR(VLOOKUP(F20,[7]Sheet1!$AA$1:$AB$10,2),"")</f>
        <v>B+</v>
      </c>
    </row>
    <row r="20" spans="1:7">
      <c r="A20" s="121">
        <v>2</v>
      </c>
      <c r="B20" s="122" t="s">
        <v>193</v>
      </c>
      <c r="C20" s="122" t="s">
        <v>194</v>
      </c>
      <c r="D20" s="38">
        <v>76.900000000000006</v>
      </c>
      <c r="E20" s="38">
        <v>76.900000000000006</v>
      </c>
      <c r="F20" s="38">
        <f t="shared" ref="F20:F52" si="0">IFERROR((D20*($D$17/100))+(E20*($E$17/100)),"")</f>
        <v>76.900000000000006</v>
      </c>
      <c r="G20" s="38" t="str">
        <f>IFERROR(VLOOKUP(F20,[7]Sheet1!$AA$1:$AB$10,2),"")</f>
        <v>B+</v>
      </c>
    </row>
    <row r="21" spans="1:7">
      <c r="A21" s="121">
        <v>3</v>
      </c>
      <c r="B21" s="122" t="s">
        <v>195</v>
      </c>
      <c r="C21" s="122" t="s">
        <v>196</v>
      </c>
      <c r="D21" s="38">
        <v>76.900000000000006</v>
      </c>
      <c r="E21" s="38">
        <v>76.900000000000006</v>
      </c>
      <c r="F21" s="38">
        <f t="shared" si="0"/>
        <v>76.900000000000006</v>
      </c>
      <c r="G21" s="38" t="str">
        <f>IFERROR(VLOOKUP(F21,[7]Sheet1!$AA$1:$AB$10,2),"")</f>
        <v>B+</v>
      </c>
    </row>
    <row r="22" spans="1:7">
      <c r="A22" s="121">
        <v>4</v>
      </c>
      <c r="B22" s="122" t="s">
        <v>197</v>
      </c>
      <c r="C22" s="122" t="s">
        <v>198</v>
      </c>
      <c r="D22" s="38">
        <v>81.400000000000006</v>
      </c>
      <c r="E22" s="38">
        <v>81.400000000000006</v>
      </c>
      <c r="F22" s="38">
        <f t="shared" si="0"/>
        <v>81.400000000000006</v>
      </c>
      <c r="G22" s="38" t="str">
        <f>IFERROR(VLOOKUP(F22,[7]Sheet1!$AA$1:$AB$10,2),"")</f>
        <v>B+</v>
      </c>
    </row>
    <row r="23" spans="1:7">
      <c r="A23" s="121">
        <v>5</v>
      </c>
      <c r="B23" s="122" t="s">
        <v>199</v>
      </c>
      <c r="C23" s="122" t="s">
        <v>200</v>
      </c>
      <c r="D23" s="38">
        <v>76.900000000000006</v>
      </c>
      <c r="E23" s="38">
        <v>76.900000000000006</v>
      </c>
      <c r="F23" s="38">
        <f t="shared" si="0"/>
        <v>76.900000000000006</v>
      </c>
      <c r="G23" s="38" t="str">
        <f>IFERROR(VLOOKUP(F23,[7]Sheet1!$AA$1:$AB$10,2),"")</f>
        <v>B+</v>
      </c>
    </row>
    <row r="24" spans="1:7">
      <c r="A24" s="121">
        <v>6</v>
      </c>
      <c r="B24" s="122" t="s">
        <v>201</v>
      </c>
      <c r="C24" s="122" t="s">
        <v>202</v>
      </c>
      <c r="D24" s="38">
        <v>85.9</v>
      </c>
      <c r="E24" s="38">
        <v>85.9</v>
      </c>
      <c r="F24" s="38">
        <f t="shared" si="0"/>
        <v>85.9</v>
      </c>
      <c r="G24" s="38" t="str">
        <f>IFERROR(VLOOKUP(F24,[7]Sheet1!$AA$1:$AB$10,2),"")</f>
        <v>A-</v>
      </c>
    </row>
    <row r="25" spans="1:7">
      <c r="A25" s="121">
        <v>7</v>
      </c>
      <c r="B25" s="122" t="s">
        <v>203</v>
      </c>
      <c r="C25" s="122" t="s">
        <v>204</v>
      </c>
      <c r="D25" s="38">
        <v>90.15</v>
      </c>
      <c r="E25" s="38">
        <v>90.15</v>
      </c>
      <c r="F25" s="38">
        <f t="shared" si="0"/>
        <v>90.15</v>
      </c>
      <c r="G25" s="38" t="str">
        <f>IFERROR(VLOOKUP(F25,[7]Sheet1!$AA$1:$AB$10,2),"")</f>
        <v>A-</v>
      </c>
    </row>
    <row r="26" spans="1:7">
      <c r="A26" s="121">
        <v>8</v>
      </c>
      <c r="B26" s="122" t="s">
        <v>205</v>
      </c>
      <c r="C26" s="122" t="s">
        <v>206</v>
      </c>
      <c r="D26" s="38">
        <v>81.400000000000006</v>
      </c>
      <c r="E26" s="38">
        <v>81.400000000000006</v>
      </c>
      <c r="F26" s="38">
        <f t="shared" si="0"/>
        <v>81.400000000000006</v>
      </c>
      <c r="G26" s="38" t="str">
        <f>IFERROR(VLOOKUP(F26,[7]Sheet1!$AA$1:$AB$10,2),"")</f>
        <v>B+</v>
      </c>
    </row>
    <row r="27" spans="1:7">
      <c r="A27" s="121">
        <v>9</v>
      </c>
      <c r="B27" s="122" t="s">
        <v>207</v>
      </c>
      <c r="C27" s="122" t="s">
        <v>208</v>
      </c>
      <c r="D27" s="38">
        <v>81.400000000000006</v>
      </c>
      <c r="E27" s="38">
        <v>81.400000000000006</v>
      </c>
      <c r="F27" s="38">
        <f t="shared" si="0"/>
        <v>81.400000000000006</v>
      </c>
      <c r="G27" s="38" t="str">
        <f>IFERROR(VLOOKUP(F27,[7]Sheet1!$AA$1:$AB$10,2),"")</f>
        <v>B+</v>
      </c>
    </row>
    <row r="28" spans="1:7">
      <c r="A28" s="121">
        <v>10</v>
      </c>
      <c r="B28" s="122" t="s">
        <v>209</v>
      </c>
      <c r="C28" s="122" t="s">
        <v>210</v>
      </c>
      <c r="D28" s="38">
        <v>88.5</v>
      </c>
      <c r="E28" s="38">
        <v>88.5</v>
      </c>
      <c r="F28" s="38">
        <f t="shared" si="0"/>
        <v>88.5</v>
      </c>
      <c r="G28" s="38" t="str">
        <f>IFERROR(VLOOKUP(F28,[7]Sheet1!$AA$1:$AB$10,2),"")</f>
        <v>A-</v>
      </c>
    </row>
    <row r="29" spans="1:7">
      <c r="A29" s="121">
        <v>11</v>
      </c>
      <c r="B29" s="122" t="s">
        <v>279</v>
      </c>
      <c r="C29" s="122" t="s">
        <v>280</v>
      </c>
      <c r="D29" s="38">
        <v>81.400000000000006</v>
      </c>
      <c r="E29" s="38">
        <v>81.400000000000006</v>
      </c>
      <c r="F29" s="38">
        <f t="shared" si="0"/>
        <v>81.400000000000006</v>
      </c>
      <c r="G29" s="38" t="str">
        <f>IFERROR(VLOOKUP(F29,[7]Sheet1!$AA$1:$AB$10,2),"")</f>
        <v>B+</v>
      </c>
    </row>
    <row r="30" spans="1:7">
      <c r="A30" s="121">
        <v>12</v>
      </c>
      <c r="B30" s="122" t="s">
        <v>211</v>
      </c>
      <c r="C30" s="122" t="s">
        <v>212</v>
      </c>
      <c r="D30" s="38">
        <v>90.4</v>
      </c>
      <c r="E30" s="38">
        <v>90.4</v>
      </c>
      <c r="F30" s="38">
        <f t="shared" si="0"/>
        <v>90.4</v>
      </c>
      <c r="G30" s="38" t="str">
        <f>IFERROR(VLOOKUP(F30,[7]Sheet1!$AA$1:$AB$10,2),"")</f>
        <v>A</v>
      </c>
    </row>
    <row r="31" spans="1:7">
      <c r="A31" s="121">
        <v>13</v>
      </c>
      <c r="B31" s="122" t="s">
        <v>213</v>
      </c>
      <c r="C31" s="122" t="s">
        <v>214</v>
      </c>
      <c r="D31" s="38">
        <v>71.5</v>
      </c>
      <c r="E31" s="38">
        <v>71.5</v>
      </c>
      <c r="F31" s="38">
        <f t="shared" si="0"/>
        <v>71.5</v>
      </c>
      <c r="G31" s="38" t="str">
        <f>IFERROR(VLOOKUP(F31,[7]Sheet1!$AA$1:$AB$10,2),"")</f>
        <v>B</v>
      </c>
    </row>
    <row r="32" spans="1:7">
      <c r="A32" s="121">
        <v>14</v>
      </c>
      <c r="B32" s="122" t="s">
        <v>215</v>
      </c>
      <c r="C32" s="122" t="s">
        <v>216</v>
      </c>
      <c r="D32" s="38">
        <v>85.9</v>
      </c>
      <c r="E32" s="38">
        <v>85.9</v>
      </c>
      <c r="F32" s="38">
        <f t="shared" si="0"/>
        <v>85.9</v>
      </c>
      <c r="G32" s="38" t="str">
        <f>IFERROR(VLOOKUP(F32,[7]Sheet1!$AA$1:$AB$10,2),"")</f>
        <v>A-</v>
      </c>
    </row>
    <row r="33" spans="1:7">
      <c r="A33" s="121">
        <v>15</v>
      </c>
      <c r="B33" s="122" t="s">
        <v>217</v>
      </c>
      <c r="C33" s="122" t="s">
        <v>218</v>
      </c>
      <c r="D33" s="38">
        <v>81.400000000000006</v>
      </c>
      <c r="E33" s="38">
        <v>81.400000000000006</v>
      </c>
      <c r="F33" s="38">
        <f t="shared" si="0"/>
        <v>81.400000000000006</v>
      </c>
      <c r="G33" s="38" t="str">
        <f>IFERROR(VLOOKUP(F33,[7]Sheet1!$AA$1:$AB$10,2),"")</f>
        <v>B+</v>
      </c>
    </row>
    <row r="34" spans="1:7">
      <c r="A34" s="121">
        <v>16</v>
      </c>
      <c r="B34" s="122" t="s">
        <v>219</v>
      </c>
      <c r="C34" s="122" t="s">
        <v>220</v>
      </c>
      <c r="D34" s="38">
        <v>81.400000000000006</v>
      </c>
      <c r="E34" s="38">
        <v>81.400000000000006</v>
      </c>
      <c r="F34" s="38">
        <f t="shared" si="0"/>
        <v>81.400000000000006</v>
      </c>
      <c r="G34" s="38" t="str">
        <f>IFERROR(VLOOKUP(F34,[7]Sheet1!$AA$1:$AB$10,2),"")</f>
        <v>B+</v>
      </c>
    </row>
    <row r="35" spans="1:7">
      <c r="A35" s="121">
        <v>17</v>
      </c>
      <c r="B35" s="122" t="s">
        <v>221</v>
      </c>
      <c r="C35" s="122" t="s">
        <v>222</v>
      </c>
      <c r="D35" s="38">
        <v>81.400000000000006</v>
      </c>
      <c r="E35" s="38">
        <v>81.400000000000006</v>
      </c>
      <c r="F35" s="38">
        <f t="shared" si="0"/>
        <v>81.400000000000006</v>
      </c>
      <c r="G35" s="38" t="str">
        <f>IFERROR(VLOOKUP(F35,[7]Sheet1!$AA$1:$AB$10,2),"")</f>
        <v>B+</v>
      </c>
    </row>
    <row r="36" spans="1:7">
      <c r="A36" s="121">
        <v>18</v>
      </c>
      <c r="B36" s="122" t="s">
        <v>223</v>
      </c>
      <c r="C36" s="122" t="s">
        <v>224</v>
      </c>
      <c r="D36" s="38">
        <v>85.55</v>
      </c>
      <c r="E36" s="38">
        <v>85.55</v>
      </c>
      <c r="F36" s="38">
        <f t="shared" si="0"/>
        <v>85.55</v>
      </c>
      <c r="G36" s="38" t="str">
        <f>IFERROR(VLOOKUP(F36,[7]Sheet1!$AA$1:$AB$10,2),"")</f>
        <v>A-</v>
      </c>
    </row>
    <row r="37" spans="1:7">
      <c r="A37" s="121">
        <v>19</v>
      </c>
      <c r="B37" s="122" t="s">
        <v>225</v>
      </c>
      <c r="C37" s="122" t="s">
        <v>226</v>
      </c>
      <c r="D37" s="38">
        <v>86.95</v>
      </c>
      <c r="E37" s="38">
        <v>86.95</v>
      </c>
      <c r="F37" s="38">
        <f t="shared" si="0"/>
        <v>86.95</v>
      </c>
      <c r="G37" s="38" t="str">
        <f>IFERROR(VLOOKUP(F37,[7]Sheet1!$AA$1:$AB$10,2),"")</f>
        <v>A-</v>
      </c>
    </row>
    <row r="38" spans="1:7">
      <c r="A38" s="121">
        <v>20</v>
      </c>
      <c r="B38" s="122" t="s">
        <v>227</v>
      </c>
      <c r="C38" s="122" t="s">
        <v>228</v>
      </c>
      <c r="D38" s="38">
        <v>81.400000000000006</v>
      </c>
      <c r="E38" s="38">
        <v>81.400000000000006</v>
      </c>
      <c r="F38" s="38">
        <f t="shared" si="0"/>
        <v>81.400000000000006</v>
      </c>
      <c r="G38" s="38" t="str">
        <f>IFERROR(VLOOKUP(F38,[7]Sheet1!$AA$1:$AB$10,2),"")</f>
        <v>B+</v>
      </c>
    </row>
    <row r="39" spans="1:7">
      <c r="A39" s="121">
        <v>21</v>
      </c>
      <c r="B39" s="122" t="s">
        <v>229</v>
      </c>
      <c r="C39" s="122" t="s">
        <v>230</v>
      </c>
      <c r="D39" s="38">
        <v>81.400000000000006</v>
      </c>
      <c r="E39" s="38">
        <v>81.400000000000006</v>
      </c>
      <c r="F39" s="38">
        <f t="shared" si="0"/>
        <v>81.400000000000006</v>
      </c>
      <c r="G39" s="38" t="str">
        <f>IFERROR(VLOOKUP(F39,[7]Sheet1!$AA$1:$AB$10,2),"")</f>
        <v>B+</v>
      </c>
    </row>
    <row r="40" spans="1:7">
      <c r="A40" s="121">
        <v>22</v>
      </c>
      <c r="B40" s="122" t="s">
        <v>231</v>
      </c>
      <c r="C40" s="122" t="s">
        <v>232</v>
      </c>
      <c r="D40" s="38">
        <v>83</v>
      </c>
      <c r="E40" s="38">
        <v>83</v>
      </c>
      <c r="F40" s="38">
        <f t="shared" si="0"/>
        <v>83</v>
      </c>
      <c r="G40" s="38" t="str">
        <f>IFERROR(VLOOKUP(F40,[7]Sheet1!$AA$1:$AB$10,2),"")</f>
        <v>B+</v>
      </c>
    </row>
    <row r="41" spans="1:7">
      <c r="A41" s="121">
        <v>23</v>
      </c>
      <c r="B41" s="122" t="s">
        <v>233</v>
      </c>
      <c r="C41" s="122" t="s">
        <v>234</v>
      </c>
      <c r="D41" s="38">
        <v>81.400000000000006</v>
      </c>
      <c r="E41" s="38">
        <v>81.400000000000006</v>
      </c>
      <c r="F41" s="38">
        <f t="shared" si="0"/>
        <v>81.400000000000006</v>
      </c>
      <c r="G41" s="38" t="str">
        <f>IFERROR(VLOOKUP(F41,[7]Sheet1!$AA$1:$AB$10,2),"")</f>
        <v>B+</v>
      </c>
    </row>
    <row r="42" spans="1:7">
      <c r="A42" s="121">
        <v>24</v>
      </c>
      <c r="B42" s="122" t="s">
        <v>235</v>
      </c>
      <c r="C42" s="122" t="s">
        <v>281</v>
      </c>
      <c r="D42" s="38">
        <v>80.900000000000006</v>
      </c>
      <c r="E42" s="38">
        <v>80.900000000000006</v>
      </c>
      <c r="F42" s="38">
        <f t="shared" si="0"/>
        <v>80.900000000000006</v>
      </c>
      <c r="G42" s="38" t="str">
        <f>IFERROR(VLOOKUP(F42,[7]Sheet1!$AA$1:$AB$10,2),"")</f>
        <v>B+</v>
      </c>
    </row>
    <row r="43" spans="1:7">
      <c r="A43" s="121">
        <v>25</v>
      </c>
      <c r="B43" s="122" t="s">
        <v>237</v>
      </c>
      <c r="C43" s="122" t="s">
        <v>238</v>
      </c>
      <c r="D43" s="38">
        <v>88.65</v>
      </c>
      <c r="E43" s="38">
        <v>88.65</v>
      </c>
      <c r="F43" s="38">
        <f t="shared" si="0"/>
        <v>88.65</v>
      </c>
      <c r="G43" s="38" t="str">
        <f>IFERROR(VLOOKUP(F43,[7]Sheet1!$AA$1:$AB$10,2),"")</f>
        <v>A-</v>
      </c>
    </row>
    <row r="44" spans="1:7">
      <c r="A44" s="121">
        <v>26</v>
      </c>
      <c r="B44" s="122" t="s">
        <v>239</v>
      </c>
      <c r="C44" s="122" t="s">
        <v>240</v>
      </c>
      <c r="D44" s="38">
        <v>83</v>
      </c>
      <c r="E44" s="38">
        <v>83</v>
      </c>
      <c r="F44" s="38">
        <f t="shared" si="0"/>
        <v>83</v>
      </c>
      <c r="G44" s="38" t="str">
        <f>IFERROR(VLOOKUP(F44,[7]Sheet1!$AA$1:$AB$10,2),"")</f>
        <v>B+</v>
      </c>
    </row>
    <row r="45" spans="1:7">
      <c r="A45" s="121">
        <v>27</v>
      </c>
      <c r="B45" s="122" t="s">
        <v>241</v>
      </c>
      <c r="C45" s="122" t="s">
        <v>242</v>
      </c>
      <c r="D45" s="38">
        <v>66.2</v>
      </c>
      <c r="E45" s="38">
        <v>66.2</v>
      </c>
      <c r="F45" s="38">
        <f t="shared" si="0"/>
        <v>66.2</v>
      </c>
      <c r="G45" s="38" t="str">
        <f>IFERROR(VLOOKUP(F45,[7]Sheet1!$AA$1:$AB$10,2),"")</f>
        <v>B-</v>
      </c>
    </row>
    <row r="46" spans="1:7">
      <c r="A46" s="121">
        <v>28</v>
      </c>
      <c r="B46" s="122" t="s">
        <v>243</v>
      </c>
      <c r="C46" s="122" t="s">
        <v>244</v>
      </c>
      <c r="D46" s="38">
        <v>55.8</v>
      </c>
      <c r="E46" s="38">
        <v>55.8</v>
      </c>
      <c r="F46" s="38">
        <f t="shared" si="0"/>
        <v>55.8</v>
      </c>
      <c r="G46" s="38" t="str">
        <f>IFERROR(VLOOKUP(F46,[7]Sheet1!$AA$1:$AB$10,2),"")</f>
        <v>C</v>
      </c>
    </row>
    <row r="47" spans="1:7">
      <c r="A47" s="121">
        <v>29</v>
      </c>
      <c r="B47" s="122" t="s">
        <v>245</v>
      </c>
      <c r="C47" s="122" t="s">
        <v>246</v>
      </c>
      <c r="D47" s="38">
        <v>89</v>
      </c>
      <c r="E47" s="38">
        <v>89</v>
      </c>
      <c r="F47" s="38">
        <f t="shared" si="0"/>
        <v>89</v>
      </c>
      <c r="G47" s="38" t="str">
        <f>IFERROR(VLOOKUP(F47,[7]Sheet1!$AA$1:$AB$10,2),"")</f>
        <v>A-</v>
      </c>
    </row>
    <row r="48" spans="1:7">
      <c r="A48" s="121">
        <v>30</v>
      </c>
      <c r="B48" s="122" t="s">
        <v>247</v>
      </c>
      <c r="C48" s="122" t="s">
        <v>248</v>
      </c>
      <c r="D48" s="38">
        <v>89.7</v>
      </c>
      <c r="E48" s="38">
        <v>89.7</v>
      </c>
      <c r="F48" s="38">
        <f t="shared" si="0"/>
        <v>89.7</v>
      </c>
      <c r="G48" s="38" t="str">
        <f>IFERROR(VLOOKUP(F48,[7]Sheet1!$AA$1:$AB$10,2),"")</f>
        <v>A-</v>
      </c>
    </row>
    <row r="49" spans="1:7">
      <c r="A49" s="121">
        <v>31</v>
      </c>
      <c r="B49" s="122" t="s">
        <v>249</v>
      </c>
      <c r="C49" s="122" t="s">
        <v>250</v>
      </c>
      <c r="D49" s="38">
        <v>89.7</v>
      </c>
      <c r="E49" s="38">
        <v>89.7</v>
      </c>
      <c r="F49" s="38">
        <f t="shared" si="0"/>
        <v>89.7</v>
      </c>
      <c r="G49" s="38" t="str">
        <f>IFERROR(VLOOKUP(F49,[7]Sheet1!$AA$1:$AB$10,2),"")</f>
        <v>A-</v>
      </c>
    </row>
    <row r="50" spans="1:7">
      <c r="A50" s="121">
        <v>32</v>
      </c>
      <c r="B50" s="122" t="s">
        <v>251</v>
      </c>
      <c r="C50" s="122" t="s">
        <v>252</v>
      </c>
      <c r="D50" s="38">
        <v>89.7</v>
      </c>
      <c r="E50" s="38">
        <v>89.7</v>
      </c>
      <c r="F50" s="38">
        <f t="shared" si="0"/>
        <v>89.7</v>
      </c>
      <c r="G50" s="38" t="str">
        <f>IFERROR(VLOOKUP(F50,[7]Sheet1!$AA$1:$AB$10,2),"")</f>
        <v>A-</v>
      </c>
    </row>
    <row r="51" spans="1:7">
      <c r="A51" s="121">
        <v>33</v>
      </c>
      <c r="B51" s="122" t="s">
        <v>253</v>
      </c>
      <c r="C51" s="122" t="s">
        <v>254</v>
      </c>
      <c r="D51" s="38">
        <v>87.95</v>
      </c>
      <c r="E51" s="38">
        <v>87.95</v>
      </c>
      <c r="F51" s="38">
        <f t="shared" si="0"/>
        <v>87.95</v>
      </c>
      <c r="G51" s="38" t="str">
        <f>IFERROR(VLOOKUP(F51,[7]Sheet1!$AA$1:$AB$10,2),"")</f>
        <v>A-</v>
      </c>
    </row>
    <row r="52" spans="1:7">
      <c r="A52" s="124">
        <v>34</v>
      </c>
      <c r="B52" s="122" t="s">
        <v>255</v>
      </c>
      <c r="C52" s="122" t="s">
        <v>256</v>
      </c>
      <c r="D52" s="38">
        <v>47.1</v>
      </c>
      <c r="E52" s="38">
        <v>47.1</v>
      </c>
      <c r="F52" s="38">
        <f t="shared" si="0"/>
        <v>47.1</v>
      </c>
      <c r="G52" s="38" t="str">
        <f>IFERROR(VLOOKUP(F52,[7]Sheet1!$AA$1:$AB$10,2),"")</f>
        <v>D</v>
      </c>
    </row>
    <row r="53" spans="1:7">
      <c r="C53" s="35"/>
      <c r="D53" s="36"/>
      <c r="E53" s="36"/>
      <c r="F53" s="36"/>
    </row>
    <row r="54" spans="1:7" ht="14.5" thickBot="1">
      <c r="C54" s="35"/>
      <c r="D54" s="36" t="str">
        <f>D16</f>
        <v>CPMK12</v>
      </c>
      <c r="E54" s="36" t="str">
        <f>E16</f>
        <v>CPMK13</v>
      </c>
      <c r="F54" s="36" t="str">
        <f>F12</f>
        <v>Nilai Akhir MK</v>
      </c>
    </row>
    <row r="55" spans="1:7" ht="14.5" thickBot="1">
      <c r="C55" s="39" t="s">
        <v>106</v>
      </c>
      <c r="D55" s="40">
        <f>IFERROR(COUNTIF(D19:D52,""),"")</f>
        <v>0</v>
      </c>
      <c r="E55" s="40">
        <f>IFERROR(COUNTIF(E19:E52,""),"")</f>
        <v>0</v>
      </c>
      <c r="F55" s="40">
        <f>IFERROR(COUNTIF(F19:F52,""),"")</f>
        <v>0</v>
      </c>
    </row>
    <row r="56" spans="1:7" ht="14.5" thickBot="1">
      <c r="C56" s="41" t="s">
        <v>98</v>
      </c>
      <c r="D56" s="42">
        <f>IFERROR(COUNTIF(D19:D52,C56)+COUNTIF(D19:D52,""),"")-D55</f>
        <v>2</v>
      </c>
      <c r="E56" s="42">
        <f>COUNTIF(E19:E52,C56)+COUNTIF(E19:E52,"")-E55</f>
        <v>2</v>
      </c>
      <c r="F56" s="42">
        <f>IFERROR(COUNTIF(F19:F52,C56)+COUNTIF(F19:F52,""),"")</f>
        <v>2</v>
      </c>
    </row>
    <row r="57" spans="1:7" ht="14.5" thickBot="1">
      <c r="C57" s="43" t="s">
        <v>99</v>
      </c>
      <c r="D57" s="44">
        <f>IFERROR(COUNTIF(D19:D52,C57)-D56,"")</f>
        <v>19</v>
      </c>
      <c r="E57" s="44">
        <f>COUNTIF(E19:E52,C57)-E56</f>
        <v>19</v>
      </c>
      <c r="F57" s="45">
        <f>IFERROR(COUNTIF(F19:F52,C57)-F56,"")</f>
        <v>19</v>
      </c>
    </row>
    <row r="58" spans="1:7" ht="14.5" thickBot="1">
      <c r="C58" s="46" t="s">
        <v>100</v>
      </c>
      <c r="D58" s="47">
        <f>COUNTIF(D19:D52,C58)</f>
        <v>13</v>
      </c>
      <c r="E58" s="47">
        <f>COUNTIF(E19:E52,C58)</f>
        <v>13</v>
      </c>
      <c r="F58" s="47">
        <f>IFERROR(COUNTIF(F19:F52,C58),"")</f>
        <v>13</v>
      </c>
    </row>
    <row r="59" spans="1:7" ht="14.5" thickBot="1">
      <c r="C59" s="48" t="s">
        <v>78</v>
      </c>
      <c r="D59" s="49">
        <f>SUM(D55:D58)</f>
        <v>34</v>
      </c>
      <c r="E59" s="49">
        <f t="shared" ref="E59:F59" si="1">SUM(E55:E58)</f>
        <v>34</v>
      </c>
      <c r="F59" s="49">
        <f t="shared" si="1"/>
        <v>34</v>
      </c>
    </row>
    <row r="60" spans="1:7" ht="14.5" thickBot="1">
      <c r="C60" s="50"/>
      <c r="D60" s="36"/>
      <c r="E60" s="36"/>
      <c r="F60" s="36"/>
    </row>
    <row r="61" spans="1:7" ht="14.5" thickBot="1">
      <c r="C61" s="51" t="s">
        <v>101</v>
      </c>
      <c r="D61" s="52">
        <f>(D57+D58)/(D59-D55)</f>
        <v>0.94117647058823528</v>
      </c>
      <c r="E61" s="52">
        <f>(E57+E58)/(E59-E55)</f>
        <v>0.94117647058823528</v>
      </c>
      <c r="F61" s="52">
        <f>(F57+F58)/(F59-F55)</f>
        <v>0.94117647058823528</v>
      </c>
    </row>
    <row r="62" spans="1:7" ht="14.5" thickBot="1">
      <c r="C62" s="50"/>
      <c r="D62" s="36"/>
      <c r="E62" s="36"/>
      <c r="F62" s="36"/>
    </row>
    <row r="63" spans="1:7" ht="14.5" thickBot="1">
      <c r="C63" s="51" t="s">
        <v>102</v>
      </c>
      <c r="D63" s="22">
        <f>MIN(D19:D52)</f>
        <v>47.1</v>
      </c>
      <c r="E63" s="22">
        <f>MIN(E19:E52)</f>
        <v>47.1</v>
      </c>
      <c r="F63" s="53">
        <f>IFERROR(MIN(F19:F52),"")</f>
        <v>47.1</v>
      </c>
    </row>
    <row r="64" spans="1:7" ht="14.5" thickBot="1">
      <c r="C64" s="51" t="s">
        <v>103</v>
      </c>
      <c r="D64" s="22">
        <f>MAX(D19:D52)</f>
        <v>90.4</v>
      </c>
      <c r="E64" s="22">
        <f>MAX(E19:E52)</f>
        <v>90.4</v>
      </c>
      <c r="F64" s="53">
        <f>IFERROR(MAX(F19:F52),"")</f>
        <v>90.4</v>
      </c>
    </row>
    <row r="65" spans="3:6" ht="14.5" thickBot="1">
      <c r="C65" s="51" t="s">
        <v>104</v>
      </c>
      <c r="D65" s="53">
        <f>AVERAGE(D19:D52)</f>
        <v>81.224999999999994</v>
      </c>
      <c r="E65" s="53">
        <f>AVERAGE(E19:E52)</f>
        <v>81.224999999999994</v>
      </c>
      <c r="F65" s="53">
        <f>IFERROR(AVERAGE(F19:F52),"")</f>
        <v>81.224999999999994</v>
      </c>
    </row>
  </sheetData>
  <mergeCells count="7">
    <mergeCell ref="A1:H1"/>
    <mergeCell ref="A2:H2"/>
    <mergeCell ref="F12:F17"/>
    <mergeCell ref="G12:G17"/>
    <mergeCell ref="D13:E13"/>
    <mergeCell ref="D14:E14"/>
    <mergeCell ref="D12:E12"/>
  </mergeCells>
  <printOptions horizontalCentered="1"/>
  <pageMargins left="0.19685039370078741" right="0.11811023622047245" top="0.19685039370078741" bottom="0.15748031496062992" header="0" footer="0"/>
  <pageSetup paperSize="9" scale="8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04DD-9707-45AE-97F6-1CE0CA08D6FF}">
  <dimension ref="A1:V65"/>
  <sheetViews>
    <sheetView view="pageBreakPreview" zoomScaleNormal="100" zoomScaleSheetLayoutView="100" workbookViewId="0">
      <selection activeCell="C10" sqref="C10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4" width="13.08203125" customWidth="1"/>
    <col min="5" max="5" width="15.25" customWidth="1"/>
    <col min="6" max="6" width="12.6640625" customWidth="1"/>
    <col min="9" max="9" width="13" customWidth="1"/>
  </cols>
  <sheetData>
    <row r="1" spans="1:22" ht="18">
      <c r="A1" s="216" t="s">
        <v>79</v>
      </c>
      <c r="B1" s="216"/>
      <c r="C1" s="216"/>
      <c r="D1" s="216"/>
      <c r="E1" s="216"/>
      <c r="F1" s="216"/>
      <c r="G1" s="216"/>
      <c r="H1" s="216"/>
      <c r="I1" s="33"/>
    </row>
    <row r="2" spans="1:22" ht="18.5" thickBot="1">
      <c r="A2" s="217" t="s">
        <v>80</v>
      </c>
      <c r="B2" s="217"/>
      <c r="C2" s="217"/>
      <c r="D2" s="217"/>
      <c r="E2" s="217"/>
      <c r="F2" s="217"/>
      <c r="G2" s="217"/>
      <c r="H2" s="217"/>
      <c r="I2" s="33"/>
    </row>
    <row r="4" spans="1:22">
      <c r="A4" t="s">
        <v>81</v>
      </c>
      <c r="C4" t="s">
        <v>82</v>
      </c>
      <c r="E4" t="s">
        <v>83</v>
      </c>
      <c r="F4" t="s">
        <v>273</v>
      </c>
    </row>
    <row r="5" spans="1:22">
      <c r="A5" t="s">
        <v>41</v>
      </c>
      <c r="C5" s="34" t="s">
        <v>308</v>
      </c>
      <c r="E5" t="s">
        <v>85</v>
      </c>
      <c r="F5" t="s">
        <v>275</v>
      </c>
    </row>
    <row r="6" spans="1:22">
      <c r="A6" t="s">
        <v>42</v>
      </c>
      <c r="C6" t="s">
        <v>307</v>
      </c>
    </row>
    <row r="7" spans="1:22">
      <c r="A7" t="s">
        <v>87</v>
      </c>
      <c r="C7" t="s">
        <v>88</v>
      </c>
    </row>
    <row r="8" spans="1:22">
      <c r="A8" t="s">
        <v>89</v>
      </c>
      <c r="C8" t="s">
        <v>90</v>
      </c>
    </row>
    <row r="9" spans="1:22">
      <c r="A9" t="s">
        <v>91</v>
      </c>
      <c r="C9" t="s">
        <v>320</v>
      </c>
    </row>
    <row r="10" spans="1:22">
      <c r="C10" t="s">
        <v>113</v>
      </c>
    </row>
    <row r="11" spans="1:22">
      <c r="C11" s="35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1:22">
      <c r="C12" s="35"/>
      <c r="D12" s="233" t="s">
        <v>71</v>
      </c>
      <c r="E12" s="234"/>
      <c r="F12" s="226" t="str">
        <f>CONCATENATE("Nilai Akhir MK","     ",D17+E17)</f>
        <v>Nilai Akhir MK     100</v>
      </c>
      <c r="G12" s="226" t="s">
        <v>93</v>
      </c>
    </row>
    <row r="13" spans="1:22">
      <c r="C13" s="35"/>
      <c r="D13" s="229" t="str">
        <f>TRIM(MID(C5,3,100))</f>
        <v>UU.24.05.52.1.03</v>
      </c>
      <c r="E13" s="229"/>
      <c r="F13" s="227"/>
      <c r="G13" s="227"/>
    </row>
    <row r="14" spans="1:22">
      <c r="C14" s="35"/>
      <c r="D14" s="229" t="str">
        <f>TRIM(MID(C6,3,100))</f>
        <v>English for Business</v>
      </c>
      <c r="E14" s="229"/>
      <c r="F14" s="227"/>
      <c r="G14" s="227"/>
    </row>
    <row r="15" spans="1:22">
      <c r="C15" s="35"/>
      <c r="D15" s="37" t="s">
        <v>122</v>
      </c>
      <c r="E15" s="37" t="s">
        <v>122</v>
      </c>
      <c r="F15" s="227"/>
      <c r="G15" s="227"/>
    </row>
    <row r="16" spans="1:22">
      <c r="C16" s="35"/>
      <c r="D16" s="37" t="s">
        <v>130</v>
      </c>
      <c r="E16" s="37" t="s">
        <v>319</v>
      </c>
      <c r="F16" s="227"/>
      <c r="G16" s="227"/>
    </row>
    <row r="17" spans="1:7">
      <c r="C17" s="35"/>
      <c r="D17" s="37">
        <v>50</v>
      </c>
      <c r="E17" s="37">
        <v>50</v>
      </c>
      <c r="F17" s="228"/>
      <c r="G17" s="228"/>
    </row>
    <row r="18" spans="1:7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</row>
    <row r="19" spans="1:7">
      <c r="A19" s="121">
        <v>1</v>
      </c>
      <c r="B19" s="122" t="s">
        <v>191</v>
      </c>
      <c r="C19" s="122" t="s">
        <v>192</v>
      </c>
      <c r="D19" s="38">
        <v>93.2</v>
      </c>
      <c r="E19" s="38">
        <v>97.5</v>
      </c>
      <c r="F19" s="38">
        <f>IFERROR((D19*($D$17/100))+(E19*($E$17/100)),"")</f>
        <v>95.35</v>
      </c>
      <c r="G19" s="38" t="str">
        <f>IFERROR(VLOOKUP(F20,[7]Sheet1!$AA$1:$AB$10,2),"")</f>
        <v>A</v>
      </c>
    </row>
    <row r="20" spans="1:7">
      <c r="A20" s="121">
        <v>2</v>
      </c>
      <c r="B20" s="122" t="s">
        <v>193</v>
      </c>
      <c r="C20" s="122" t="s">
        <v>194</v>
      </c>
      <c r="D20" s="38">
        <v>95.5</v>
      </c>
      <c r="E20" s="38">
        <v>93.4</v>
      </c>
      <c r="F20" s="38">
        <f t="shared" ref="F20:F52" si="0">IFERROR((D20*($D$17/100))+(E20*($E$17/100)),"")</f>
        <v>94.45</v>
      </c>
      <c r="G20" s="38" t="str">
        <f>IFERROR(VLOOKUP(F20,[8]Sheet1!$AA$1:$AB$10,2),"")</f>
        <v>A</v>
      </c>
    </row>
    <row r="21" spans="1:7">
      <c r="A21" s="121">
        <v>3</v>
      </c>
      <c r="B21" s="122" t="s">
        <v>195</v>
      </c>
      <c r="C21" s="122" t="s">
        <v>196</v>
      </c>
      <c r="D21" s="38">
        <v>94.7</v>
      </c>
      <c r="E21" s="38">
        <v>95.9</v>
      </c>
      <c r="F21" s="38">
        <f t="shared" si="0"/>
        <v>95.300000000000011</v>
      </c>
      <c r="G21" s="38" t="str">
        <f>IFERROR(VLOOKUP(F21,[8]Sheet1!$AA$1:$AB$10,2),"")</f>
        <v>A</v>
      </c>
    </row>
    <row r="22" spans="1:7">
      <c r="A22" s="121">
        <v>4</v>
      </c>
      <c r="B22" s="122" t="s">
        <v>197</v>
      </c>
      <c r="C22" s="122" t="s">
        <v>198</v>
      </c>
      <c r="D22" s="38">
        <v>70.5</v>
      </c>
      <c r="E22" s="38">
        <v>89</v>
      </c>
      <c r="F22" s="38">
        <f t="shared" si="0"/>
        <v>79.75</v>
      </c>
      <c r="G22" s="38" t="str">
        <f>IFERROR(VLOOKUP(F22,[8]Sheet1!$AA$1:$AB$10,2),"")</f>
        <v>B+</v>
      </c>
    </row>
    <row r="23" spans="1:7">
      <c r="A23" s="121">
        <v>5</v>
      </c>
      <c r="B23" s="122" t="s">
        <v>199</v>
      </c>
      <c r="C23" s="122" t="s">
        <v>200</v>
      </c>
      <c r="D23" s="38">
        <v>70.5</v>
      </c>
      <c r="E23" s="38">
        <v>89</v>
      </c>
      <c r="F23" s="38">
        <f t="shared" si="0"/>
        <v>79.75</v>
      </c>
      <c r="G23" s="38" t="str">
        <f>IFERROR(VLOOKUP(F23,[8]Sheet1!$AA$1:$AB$10,2),"")</f>
        <v>B+</v>
      </c>
    </row>
    <row r="24" spans="1:7">
      <c r="A24" s="121">
        <v>6</v>
      </c>
      <c r="B24" s="122" t="s">
        <v>201</v>
      </c>
      <c r="C24" s="122" t="s">
        <v>202</v>
      </c>
      <c r="D24" s="38">
        <v>90.4</v>
      </c>
      <c r="E24" s="38">
        <v>97.5</v>
      </c>
      <c r="F24" s="38">
        <f t="shared" si="0"/>
        <v>93.95</v>
      </c>
      <c r="G24" s="38" t="str">
        <f>IFERROR(VLOOKUP(F24,[8]Sheet1!$AA$1:$AB$10,2),"")</f>
        <v>A</v>
      </c>
    </row>
    <row r="25" spans="1:7">
      <c r="A25" s="121">
        <v>7</v>
      </c>
      <c r="B25" s="122" t="s">
        <v>203</v>
      </c>
      <c r="C25" s="122" t="s">
        <v>204</v>
      </c>
      <c r="D25" s="38">
        <v>80.5</v>
      </c>
      <c r="E25" s="38">
        <v>82.6</v>
      </c>
      <c r="F25" s="38">
        <f t="shared" si="0"/>
        <v>81.55</v>
      </c>
      <c r="G25" s="38" t="str">
        <f>IFERROR(VLOOKUP(F25,[8]Sheet1!$AA$1:$AB$10,2),"")</f>
        <v>B+</v>
      </c>
    </row>
    <row r="26" spans="1:7">
      <c r="A26" s="121">
        <v>8</v>
      </c>
      <c r="B26" s="122" t="s">
        <v>205</v>
      </c>
      <c r="C26" s="122" t="s">
        <v>206</v>
      </c>
      <c r="D26" s="38">
        <v>93.2</v>
      </c>
      <c r="E26" s="38">
        <v>91</v>
      </c>
      <c r="F26" s="38">
        <f t="shared" si="0"/>
        <v>92.1</v>
      </c>
      <c r="G26" s="38" t="str">
        <f>IFERROR(VLOOKUP(F26,[8]Sheet1!$AA$1:$AB$10,2),"")</f>
        <v>A</v>
      </c>
    </row>
    <row r="27" spans="1:7">
      <c r="A27" s="121">
        <v>9</v>
      </c>
      <c r="B27" s="122" t="s">
        <v>207</v>
      </c>
      <c r="C27" s="122" t="s">
        <v>208</v>
      </c>
      <c r="D27" s="38">
        <v>91.4</v>
      </c>
      <c r="E27" s="38">
        <v>91</v>
      </c>
      <c r="F27" s="38">
        <f t="shared" si="0"/>
        <v>91.2</v>
      </c>
      <c r="G27" s="38" t="str">
        <f>IFERROR(VLOOKUP(F27,[8]Sheet1!$AA$1:$AB$10,2),"")</f>
        <v>A</v>
      </c>
    </row>
    <row r="28" spans="1:7">
      <c r="A28" s="121">
        <v>10</v>
      </c>
      <c r="B28" s="122" t="s">
        <v>209</v>
      </c>
      <c r="C28" s="122" t="s">
        <v>210</v>
      </c>
      <c r="D28" s="38">
        <v>79.2</v>
      </c>
      <c r="E28" s="38">
        <v>82.6</v>
      </c>
      <c r="F28" s="38">
        <f t="shared" si="0"/>
        <v>80.900000000000006</v>
      </c>
      <c r="G28" s="38" t="str">
        <f>IFERROR(VLOOKUP(F28,[8]Sheet1!$AA$1:$AB$10,2),"")</f>
        <v>B+</v>
      </c>
    </row>
    <row r="29" spans="1:7">
      <c r="A29" s="121">
        <v>11</v>
      </c>
      <c r="B29" s="122" t="s">
        <v>279</v>
      </c>
      <c r="C29" s="122" t="s">
        <v>280</v>
      </c>
      <c r="D29" s="38">
        <v>92.2</v>
      </c>
      <c r="E29" s="38">
        <v>95.5</v>
      </c>
      <c r="F29" s="38">
        <f t="shared" si="0"/>
        <v>93.85</v>
      </c>
      <c r="G29" s="38" t="str">
        <f>IFERROR(VLOOKUP(F29,[8]Sheet1!$AA$1:$AB$10,2),"")</f>
        <v>A</v>
      </c>
    </row>
    <row r="30" spans="1:7">
      <c r="A30" s="121">
        <v>12</v>
      </c>
      <c r="B30" s="122" t="s">
        <v>211</v>
      </c>
      <c r="C30" s="122" t="s">
        <v>212</v>
      </c>
      <c r="D30" s="38">
        <v>90.9</v>
      </c>
      <c r="E30" s="38">
        <v>95.9</v>
      </c>
      <c r="F30" s="38">
        <f t="shared" si="0"/>
        <v>93.4</v>
      </c>
      <c r="G30" s="38" t="str">
        <f>IFERROR(VLOOKUP(F30,[8]Sheet1!$AA$1:$AB$10,2),"")</f>
        <v>A</v>
      </c>
    </row>
    <row r="31" spans="1:7">
      <c r="A31" s="121">
        <v>13</v>
      </c>
      <c r="B31" s="122" t="s">
        <v>213</v>
      </c>
      <c r="C31" s="122" t="s">
        <v>214</v>
      </c>
      <c r="D31" s="38">
        <v>67</v>
      </c>
      <c r="E31" s="38">
        <v>96</v>
      </c>
      <c r="F31" s="38">
        <f t="shared" si="0"/>
        <v>81.5</v>
      </c>
      <c r="G31" s="38" t="str">
        <f>IFERROR(VLOOKUP(F31,[8]Sheet1!$AA$1:$AB$10,2),"")</f>
        <v>B+</v>
      </c>
    </row>
    <row r="32" spans="1:7">
      <c r="A32" s="121">
        <v>14</v>
      </c>
      <c r="B32" s="122" t="s">
        <v>215</v>
      </c>
      <c r="C32" s="122" t="s">
        <v>216</v>
      </c>
      <c r="D32" s="38">
        <v>93.2</v>
      </c>
      <c r="E32" s="38">
        <v>94.9</v>
      </c>
      <c r="F32" s="38">
        <f t="shared" si="0"/>
        <v>94.050000000000011</v>
      </c>
      <c r="G32" s="38" t="str">
        <f>IFERROR(VLOOKUP(F32,[8]Sheet1!$AA$1:$AB$10,2),"")</f>
        <v>A</v>
      </c>
    </row>
    <row r="33" spans="1:7">
      <c r="A33" s="121">
        <v>15</v>
      </c>
      <c r="B33" s="122" t="s">
        <v>217</v>
      </c>
      <c r="C33" s="122" t="s">
        <v>218</v>
      </c>
      <c r="D33" s="38">
        <v>91.4</v>
      </c>
      <c r="E33" s="38">
        <v>98</v>
      </c>
      <c r="F33" s="38">
        <f t="shared" si="0"/>
        <v>94.7</v>
      </c>
      <c r="G33" s="38" t="str">
        <f>IFERROR(VLOOKUP(F33,[8]Sheet1!$AA$1:$AB$10,2),"")</f>
        <v>A</v>
      </c>
    </row>
    <row r="34" spans="1:7">
      <c r="A34" s="121">
        <v>16</v>
      </c>
      <c r="B34" s="122" t="s">
        <v>219</v>
      </c>
      <c r="C34" s="122" t="s">
        <v>220</v>
      </c>
      <c r="D34" s="38">
        <v>91.4</v>
      </c>
      <c r="E34" s="38">
        <v>98</v>
      </c>
      <c r="F34" s="38">
        <f t="shared" si="0"/>
        <v>94.7</v>
      </c>
      <c r="G34" s="38" t="str">
        <f>IFERROR(VLOOKUP(F34,[8]Sheet1!$AA$1:$AB$10,2),"")</f>
        <v>A</v>
      </c>
    </row>
    <row r="35" spans="1:7">
      <c r="A35" s="121">
        <v>17</v>
      </c>
      <c r="B35" s="122" t="s">
        <v>221</v>
      </c>
      <c r="C35" s="122" t="s">
        <v>222</v>
      </c>
      <c r="D35" s="38">
        <v>71.5</v>
      </c>
      <c r="E35" s="38">
        <v>80.900000000000006</v>
      </c>
      <c r="F35" s="38">
        <f t="shared" si="0"/>
        <v>76.2</v>
      </c>
      <c r="G35" s="38" t="str">
        <f>IFERROR(VLOOKUP(F35,[8]Sheet1!$AA$1:$AB$10,2),"")</f>
        <v>B+</v>
      </c>
    </row>
    <row r="36" spans="1:7">
      <c r="A36" s="121">
        <v>18</v>
      </c>
      <c r="B36" s="122" t="s">
        <v>223</v>
      </c>
      <c r="C36" s="122" t="s">
        <v>224</v>
      </c>
      <c r="D36" s="38">
        <v>81</v>
      </c>
      <c r="E36" s="38">
        <v>87.6</v>
      </c>
      <c r="F36" s="38">
        <f t="shared" si="0"/>
        <v>84.3</v>
      </c>
      <c r="G36" s="38" t="str">
        <f>IFERROR(VLOOKUP(F36,[8]Sheet1!$AA$1:$AB$10,2),"")</f>
        <v>B+</v>
      </c>
    </row>
    <row r="37" spans="1:7">
      <c r="A37" s="121">
        <v>19</v>
      </c>
      <c r="B37" s="122" t="s">
        <v>225</v>
      </c>
      <c r="C37" s="122" t="s">
        <v>226</v>
      </c>
      <c r="D37" s="38">
        <v>85.8</v>
      </c>
      <c r="E37" s="38">
        <v>88.9</v>
      </c>
      <c r="F37" s="38">
        <f t="shared" si="0"/>
        <v>87.35</v>
      </c>
      <c r="G37" s="38" t="str">
        <f>IFERROR(VLOOKUP(F37,[8]Sheet1!$AA$1:$AB$10,2),"")</f>
        <v>A-</v>
      </c>
    </row>
    <row r="38" spans="1:7">
      <c r="A38" s="121">
        <v>20</v>
      </c>
      <c r="B38" s="122" t="s">
        <v>227</v>
      </c>
      <c r="C38" s="122" t="s">
        <v>228</v>
      </c>
      <c r="D38" s="38">
        <v>92.2</v>
      </c>
      <c r="E38" s="38">
        <v>91.1</v>
      </c>
      <c r="F38" s="38">
        <f t="shared" si="0"/>
        <v>91.65</v>
      </c>
      <c r="G38" s="38" t="str">
        <f>IFERROR(VLOOKUP(F38,[8]Sheet1!$AA$1:$AB$10,2),"")</f>
        <v>A</v>
      </c>
    </row>
    <row r="39" spans="1:7">
      <c r="A39" s="121">
        <v>21</v>
      </c>
      <c r="B39" s="122" t="s">
        <v>229</v>
      </c>
      <c r="C39" s="122" t="s">
        <v>230</v>
      </c>
      <c r="D39" s="38">
        <v>70.5</v>
      </c>
      <c r="E39" s="38">
        <v>82</v>
      </c>
      <c r="F39" s="38">
        <f t="shared" si="0"/>
        <v>76.25</v>
      </c>
      <c r="G39" s="38" t="str">
        <f>IFERROR(VLOOKUP(F39,[8]Sheet1!$AA$1:$AB$10,2),"")</f>
        <v>B+</v>
      </c>
    </row>
    <row r="40" spans="1:7">
      <c r="A40" s="121">
        <v>22</v>
      </c>
      <c r="B40" s="122" t="s">
        <v>231</v>
      </c>
      <c r="C40" s="122" t="s">
        <v>232</v>
      </c>
      <c r="D40" s="38">
        <v>85.8</v>
      </c>
      <c r="E40" s="38">
        <v>95.4</v>
      </c>
      <c r="F40" s="38">
        <f t="shared" si="0"/>
        <v>90.6</v>
      </c>
      <c r="G40" s="38" t="str">
        <f>IFERROR(VLOOKUP(F40,[8]Sheet1!$AA$1:$AB$10,2),"")</f>
        <v>A</v>
      </c>
    </row>
    <row r="41" spans="1:7">
      <c r="A41" s="121">
        <v>23</v>
      </c>
      <c r="B41" s="122" t="s">
        <v>233</v>
      </c>
      <c r="C41" s="122" t="s">
        <v>234</v>
      </c>
      <c r="D41" s="38">
        <v>87.6</v>
      </c>
      <c r="E41" s="38">
        <v>76</v>
      </c>
      <c r="F41" s="38">
        <f t="shared" si="0"/>
        <v>81.8</v>
      </c>
      <c r="G41" s="38" t="str">
        <f>IFERROR(VLOOKUP(F41,[8]Sheet1!$AA$1:$AB$10,2),"")</f>
        <v>B+</v>
      </c>
    </row>
    <row r="42" spans="1:7">
      <c r="A42" s="121">
        <v>24</v>
      </c>
      <c r="B42" s="122" t="s">
        <v>235</v>
      </c>
      <c r="C42" s="122" t="s">
        <v>281</v>
      </c>
      <c r="D42" s="38">
        <v>77</v>
      </c>
      <c r="E42" s="38">
        <v>91</v>
      </c>
      <c r="F42" s="38">
        <f t="shared" si="0"/>
        <v>84</v>
      </c>
      <c r="G42" s="38" t="str">
        <f>IFERROR(VLOOKUP(F42,[8]Sheet1!$AA$1:$AB$10,2),"")</f>
        <v>B+</v>
      </c>
    </row>
    <row r="43" spans="1:7">
      <c r="A43" s="121">
        <v>25</v>
      </c>
      <c r="B43" s="122" t="s">
        <v>237</v>
      </c>
      <c r="C43" s="122" t="s">
        <v>238</v>
      </c>
      <c r="D43" s="38">
        <v>91</v>
      </c>
      <c r="E43" s="38">
        <v>91</v>
      </c>
      <c r="F43" s="38">
        <f t="shared" si="0"/>
        <v>91</v>
      </c>
      <c r="G43" s="38" t="str">
        <f>IFERROR(VLOOKUP(F43,[8]Sheet1!$AA$1:$AB$10,2),"")</f>
        <v>A</v>
      </c>
    </row>
    <row r="44" spans="1:7">
      <c r="A44" s="121">
        <v>26</v>
      </c>
      <c r="B44" s="122" t="s">
        <v>239</v>
      </c>
      <c r="C44" s="122" t="s">
        <v>240</v>
      </c>
      <c r="D44" s="38">
        <v>93.5</v>
      </c>
      <c r="E44" s="38">
        <v>92</v>
      </c>
      <c r="F44" s="38">
        <f t="shared" si="0"/>
        <v>92.75</v>
      </c>
      <c r="G44" s="38" t="str">
        <f>IFERROR(VLOOKUP(F44,[8]Sheet1!$AA$1:$AB$10,2),"")</f>
        <v>A</v>
      </c>
    </row>
    <row r="45" spans="1:7">
      <c r="A45" s="121">
        <v>27</v>
      </c>
      <c r="B45" s="122" t="s">
        <v>241</v>
      </c>
      <c r="C45" s="122" t="s">
        <v>242</v>
      </c>
      <c r="D45" s="38">
        <v>91</v>
      </c>
      <c r="E45" s="38">
        <v>91</v>
      </c>
      <c r="F45" s="38">
        <f t="shared" si="0"/>
        <v>91</v>
      </c>
      <c r="G45" s="38" t="str">
        <f>IFERROR(VLOOKUP(F45,[8]Sheet1!$AA$1:$AB$10,2),"")</f>
        <v>A</v>
      </c>
    </row>
    <row r="46" spans="1:7">
      <c r="A46" s="121">
        <v>28</v>
      </c>
      <c r="B46" s="122" t="s">
        <v>243</v>
      </c>
      <c r="C46" s="122" t="s">
        <v>244</v>
      </c>
      <c r="D46" s="38">
        <v>82</v>
      </c>
      <c r="E46" s="38">
        <v>82</v>
      </c>
      <c r="F46" s="38">
        <f t="shared" si="0"/>
        <v>82</v>
      </c>
      <c r="G46" s="38" t="str">
        <f>IFERROR(VLOOKUP(F46,[8]Sheet1!$AA$1:$AB$10,2),"")</f>
        <v>B+</v>
      </c>
    </row>
    <row r="47" spans="1:7">
      <c r="A47" s="121">
        <v>29</v>
      </c>
      <c r="B47" s="122" t="s">
        <v>245</v>
      </c>
      <c r="C47" s="122" t="s">
        <v>246</v>
      </c>
      <c r="D47" s="38">
        <v>92</v>
      </c>
      <c r="E47" s="38">
        <v>92</v>
      </c>
      <c r="F47" s="38">
        <f t="shared" si="0"/>
        <v>92</v>
      </c>
      <c r="G47" s="38" t="str">
        <f>IFERROR(VLOOKUP(F47,[8]Sheet1!$AA$1:$AB$10,2),"")</f>
        <v>A</v>
      </c>
    </row>
    <row r="48" spans="1:7">
      <c r="A48" s="121">
        <v>30</v>
      </c>
      <c r="B48" s="122" t="s">
        <v>247</v>
      </c>
      <c r="C48" s="122" t="s">
        <v>248</v>
      </c>
      <c r="D48" s="38">
        <v>91</v>
      </c>
      <c r="E48" s="38">
        <v>96.5</v>
      </c>
      <c r="F48" s="38">
        <f t="shared" si="0"/>
        <v>93.75</v>
      </c>
      <c r="G48" s="38" t="str">
        <f>IFERROR(VLOOKUP(F48,[8]Sheet1!$AA$1:$AB$10,2),"")</f>
        <v>A</v>
      </c>
    </row>
    <row r="49" spans="1:7">
      <c r="A49" s="121">
        <v>31</v>
      </c>
      <c r="B49" s="122" t="s">
        <v>249</v>
      </c>
      <c r="C49" s="122" t="s">
        <v>250</v>
      </c>
      <c r="D49" s="38">
        <v>92</v>
      </c>
      <c r="E49" s="38">
        <v>94.5</v>
      </c>
      <c r="F49" s="38">
        <f t="shared" si="0"/>
        <v>93.25</v>
      </c>
      <c r="G49" s="38" t="str">
        <f>IFERROR(VLOOKUP(F49,[8]Sheet1!$AA$1:$AB$10,2),"")</f>
        <v>A</v>
      </c>
    </row>
    <row r="50" spans="1:7">
      <c r="A50" s="121">
        <v>32</v>
      </c>
      <c r="B50" s="122" t="s">
        <v>251</v>
      </c>
      <c r="C50" s="122" t="s">
        <v>252</v>
      </c>
      <c r="D50" s="38">
        <v>91</v>
      </c>
      <c r="E50" s="38">
        <v>100</v>
      </c>
      <c r="F50" s="38">
        <f t="shared" si="0"/>
        <v>95.5</v>
      </c>
      <c r="G50" s="38" t="str">
        <f>IFERROR(VLOOKUP(F50,[8]Sheet1!$AA$1:$AB$10,2),"")</f>
        <v>A</v>
      </c>
    </row>
    <row r="51" spans="1:7">
      <c r="A51" s="121">
        <v>33</v>
      </c>
      <c r="B51" s="122" t="s">
        <v>253</v>
      </c>
      <c r="C51" s="122" t="s">
        <v>254</v>
      </c>
      <c r="D51" s="38">
        <v>91</v>
      </c>
      <c r="E51" s="38">
        <v>91</v>
      </c>
      <c r="F51" s="38">
        <f t="shared" si="0"/>
        <v>91</v>
      </c>
      <c r="G51" s="38" t="str">
        <f>IFERROR(VLOOKUP(F51,[8]Sheet1!$AA$1:$AB$10,2),"")</f>
        <v>A</v>
      </c>
    </row>
    <row r="52" spans="1:7">
      <c r="A52" s="124">
        <v>34</v>
      </c>
      <c r="B52" s="122" t="s">
        <v>255</v>
      </c>
      <c r="C52" s="122" t="s">
        <v>256</v>
      </c>
      <c r="D52" s="38">
        <v>67.5</v>
      </c>
      <c r="E52" s="38">
        <v>64</v>
      </c>
      <c r="F52" s="38">
        <f t="shared" si="0"/>
        <v>65.75</v>
      </c>
      <c r="G52" s="38" t="str">
        <f>IFERROR(VLOOKUP(F52,[8]Sheet1!$AA$1:$AB$10,2),"")</f>
        <v>B-</v>
      </c>
    </row>
    <row r="53" spans="1:7">
      <c r="C53" s="35"/>
      <c r="D53" s="36"/>
      <c r="E53" s="36"/>
      <c r="F53" s="36"/>
    </row>
    <row r="54" spans="1:7" ht="28.5" thickBot="1">
      <c r="C54" s="35"/>
      <c r="D54" s="36" t="str">
        <f t="shared" ref="D54:E54" si="1">D16</f>
        <v>CPMK122</v>
      </c>
      <c r="E54" s="36" t="str">
        <f t="shared" si="1"/>
        <v>CPMK123</v>
      </c>
      <c r="F54" s="21" t="str">
        <f>F12</f>
        <v>Nilai Akhir MK     100</v>
      </c>
    </row>
    <row r="55" spans="1:7" ht="14.5" thickBot="1">
      <c r="C55" s="39" t="s">
        <v>106</v>
      </c>
      <c r="D55" s="40">
        <f>IFERROR(COUNTIF(D19:D52,""),"")</f>
        <v>0</v>
      </c>
      <c r="E55" s="40">
        <f>IFERROR(COUNTIF(E19:E52,""),"")</f>
        <v>0</v>
      </c>
      <c r="F55" s="40">
        <f>IFERROR(COUNTIF(F19:F52,""),"")</f>
        <v>0</v>
      </c>
    </row>
    <row r="56" spans="1:7" ht="14.5" thickBot="1">
      <c r="C56" s="41" t="s">
        <v>98</v>
      </c>
      <c r="D56" s="42">
        <f>IFERROR(COUNTIF(D19:D52,C56)+COUNTIF(D19:D52,""),"")-D55</f>
        <v>0</v>
      </c>
      <c r="E56" s="42">
        <f>COUNTIF(E19:E52,C56)+COUNTIF(E19:E52,"")-E55</f>
        <v>1</v>
      </c>
      <c r="F56" s="42">
        <f>IFERROR(COUNTIF(F19:F52,C56)+COUNTIF(F19:F52,""),"")</f>
        <v>0</v>
      </c>
    </row>
    <row r="57" spans="1:7" ht="14.5" thickBot="1">
      <c r="C57" s="43" t="s">
        <v>99</v>
      </c>
      <c r="D57" s="44">
        <f>IFERROR(COUNTIF(D19:D52,C57)-D56,"")</f>
        <v>11</v>
      </c>
      <c r="E57" s="44">
        <f>COUNTIF(E19:E52,C57)-E56</f>
        <v>6</v>
      </c>
      <c r="F57" s="45">
        <f>IFERROR(COUNTIF(F19:F52,C57)-F56,"")</f>
        <v>12</v>
      </c>
    </row>
    <row r="58" spans="1:7" ht="14.5" thickBot="1">
      <c r="C58" s="46" t="s">
        <v>100</v>
      </c>
      <c r="D58" s="47">
        <f>COUNTIF(D19:D52,C58)</f>
        <v>23</v>
      </c>
      <c r="E58" s="47">
        <f>COUNTIF(E19:E52,C58)</f>
        <v>27</v>
      </c>
      <c r="F58" s="47">
        <f>IFERROR(COUNTIF(F19:F52,C58),"")</f>
        <v>22</v>
      </c>
    </row>
    <row r="59" spans="1:7" ht="14.5" thickBot="1">
      <c r="C59" s="48" t="s">
        <v>78</v>
      </c>
      <c r="D59" s="49">
        <f>SUM(D55:D58)</f>
        <v>34</v>
      </c>
      <c r="E59" s="49">
        <f t="shared" ref="E59:F59" si="2">SUM(E55:E58)</f>
        <v>34</v>
      </c>
      <c r="F59" s="49">
        <f t="shared" si="2"/>
        <v>34</v>
      </c>
    </row>
    <row r="60" spans="1:7">
      <c r="C60" s="54"/>
      <c r="D60" s="36"/>
      <c r="E60" s="36"/>
      <c r="F60" s="36"/>
    </row>
    <row r="61" spans="1:7">
      <c r="C61" s="55" t="s">
        <v>101</v>
      </c>
      <c r="D61" s="56">
        <f>(D57+D58)/(D59-D55)</f>
        <v>1</v>
      </c>
      <c r="E61" s="56">
        <f>(E57+E58)/(E59-E55)</f>
        <v>0.97058823529411764</v>
      </c>
      <c r="F61" s="56">
        <f>(F57+F58)/(F59-F55)</f>
        <v>1</v>
      </c>
    </row>
    <row r="62" spans="1:7">
      <c r="C62" s="34"/>
      <c r="D62" s="36"/>
      <c r="E62" s="36"/>
      <c r="F62" s="36"/>
    </row>
    <row r="63" spans="1:7">
      <c r="C63" s="55" t="s">
        <v>102</v>
      </c>
      <c r="D63" s="57">
        <f>MIN(D19:D52)</f>
        <v>67</v>
      </c>
      <c r="E63" s="57">
        <f>MIN(E19:E52)</f>
        <v>64</v>
      </c>
      <c r="F63" s="58">
        <f>IFERROR(MIN(F19:F52),"")</f>
        <v>65.75</v>
      </c>
    </row>
    <row r="64" spans="1:7">
      <c r="C64" s="55" t="s">
        <v>103</v>
      </c>
      <c r="D64" s="57">
        <f>MAX(D19:D52)</f>
        <v>95.5</v>
      </c>
      <c r="E64" s="57">
        <f>MAX(E19:E52)</f>
        <v>100</v>
      </c>
      <c r="F64" s="58">
        <f>IFERROR(MAX(F19:F52),"")</f>
        <v>95.5</v>
      </c>
    </row>
    <row r="65" spans="3:6">
      <c r="C65" s="55" t="s">
        <v>104</v>
      </c>
      <c r="D65" s="58">
        <f>AVERAGE(D19:D52)</f>
        <v>85.841176470588252</v>
      </c>
      <c r="E65" s="58">
        <f>AVERAGE(E19:E52)</f>
        <v>90.432352941176475</v>
      </c>
      <c r="F65" s="58">
        <f>IFERROR(AVERAGE(F19:F52),"")</f>
        <v>88.136764705882356</v>
      </c>
    </row>
  </sheetData>
  <mergeCells count="7">
    <mergeCell ref="A1:H1"/>
    <mergeCell ref="A2:H2"/>
    <mergeCell ref="D12:E12"/>
    <mergeCell ref="F12:F17"/>
    <mergeCell ref="G12:G17"/>
    <mergeCell ref="D13:E13"/>
    <mergeCell ref="D14:E14"/>
  </mergeCells>
  <printOptions horizontalCentered="1"/>
  <pageMargins left="0.19685039370078741" right="0.11811023622047245" top="0.19685039370078741" bottom="0.15748031496062992" header="0" footer="0"/>
  <pageSetup paperSize="9" scale="8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36A7-6292-42D8-896D-D7C99B257EF7}">
  <dimension ref="A1:W50"/>
  <sheetViews>
    <sheetView view="pageBreakPreview" topLeftCell="A43" zoomScaleNormal="100" zoomScaleSheetLayoutView="100" workbookViewId="0">
      <selection activeCell="D47" sqref="D47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4" width="13.08203125" customWidth="1"/>
    <col min="5" max="6" width="15.25" customWidth="1"/>
    <col min="7" max="7" width="12.6640625" customWidth="1"/>
    <col min="10" max="10" width="13" customWidth="1"/>
  </cols>
  <sheetData>
    <row r="1" spans="1:23" ht="18">
      <c r="A1" s="235" t="s">
        <v>79</v>
      </c>
      <c r="B1" s="235"/>
      <c r="C1" s="235"/>
      <c r="D1" s="235"/>
      <c r="E1" s="235"/>
      <c r="F1" s="235"/>
      <c r="G1" s="235"/>
      <c r="H1" s="235"/>
      <c r="I1" s="235"/>
      <c r="J1" s="33"/>
    </row>
    <row r="2" spans="1:23" ht="18.5" thickBot="1">
      <c r="A2" s="236" t="s">
        <v>80</v>
      </c>
      <c r="B2" s="236"/>
      <c r="C2" s="236"/>
      <c r="D2" s="236"/>
      <c r="E2" s="236"/>
      <c r="F2" s="236"/>
      <c r="G2" s="236"/>
      <c r="H2" s="236"/>
      <c r="I2" s="236"/>
      <c r="J2" s="33"/>
    </row>
    <row r="3" spans="1:23">
      <c r="A3" s="159"/>
      <c r="B3" s="159"/>
      <c r="C3" s="159"/>
      <c r="D3" s="159"/>
      <c r="E3" s="159"/>
      <c r="F3" s="159"/>
      <c r="G3" s="159"/>
      <c r="H3" s="159"/>
      <c r="I3" s="159"/>
    </row>
    <row r="4" spans="1:23">
      <c r="A4" s="159" t="s">
        <v>81</v>
      </c>
      <c r="B4" s="159"/>
      <c r="C4" s="159" t="s">
        <v>82</v>
      </c>
      <c r="D4" s="159"/>
      <c r="E4" s="159" t="s">
        <v>83</v>
      </c>
      <c r="F4" s="159" t="s">
        <v>84</v>
      </c>
      <c r="G4" s="159"/>
      <c r="H4" s="159"/>
      <c r="I4" s="159"/>
    </row>
    <row r="5" spans="1:23">
      <c r="A5" s="159" t="s">
        <v>41</v>
      </c>
      <c r="B5" s="159"/>
      <c r="C5" s="160" t="s">
        <v>127</v>
      </c>
      <c r="D5" s="159"/>
      <c r="E5" s="159" t="s">
        <v>85</v>
      </c>
      <c r="F5" s="159" t="s">
        <v>86</v>
      </c>
      <c r="G5" s="159"/>
      <c r="H5" s="159"/>
      <c r="I5" s="159"/>
    </row>
    <row r="6" spans="1:23">
      <c r="A6" s="159" t="s">
        <v>42</v>
      </c>
      <c r="B6" s="159"/>
      <c r="C6" s="159" t="s">
        <v>128</v>
      </c>
      <c r="D6" s="159"/>
      <c r="E6" s="159"/>
      <c r="F6" s="159"/>
      <c r="G6" s="159"/>
      <c r="H6" s="159"/>
      <c r="I6" s="159"/>
    </row>
    <row r="7" spans="1:23">
      <c r="A7" s="159" t="s">
        <v>87</v>
      </c>
      <c r="B7" s="159"/>
      <c r="C7" s="159" t="s">
        <v>88</v>
      </c>
      <c r="D7" s="159"/>
      <c r="E7" s="159"/>
      <c r="F7" s="159"/>
      <c r="G7" s="159"/>
      <c r="H7" s="159"/>
      <c r="I7" s="159"/>
    </row>
    <row r="8" spans="1:23">
      <c r="A8" s="159" t="s">
        <v>89</v>
      </c>
      <c r="B8" s="159"/>
      <c r="C8" s="159" t="s">
        <v>90</v>
      </c>
      <c r="D8" s="159"/>
      <c r="E8" s="159"/>
      <c r="F8" s="159"/>
      <c r="G8" s="159"/>
      <c r="H8" s="159"/>
      <c r="I8" s="159"/>
    </row>
    <row r="9" spans="1:23">
      <c r="A9" s="159" t="s">
        <v>91</v>
      </c>
      <c r="B9" s="159"/>
      <c r="C9" s="159" t="s">
        <v>129</v>
      </c>
      <c r="D9" s="159"/>
      <c r="E9" s="159"/>
      <c r="F9" s="159"/>
      <c r="G9" s="159"/>
      <c r="H9" s="159"/>
      <c r="I9" s="159"/>
    </row>
    <row r="10" spans="1:23">
      <c r="A10" s="159"/>
      <c r="B10" s="159"/>
      <c r="C10" s="159" t="s">
        <v>113</v>
      </c>
      <c r="D10" s="159"/>
      <c r="E10" s="159"/>
      <c r="F10" s="159"/>
      <c r="G10" s="159"/>
      <c r="H10" s="159"/>
      <c r="I10" s="159"/>
    </row>
    <row r="11" spans="1:23">
      <c r="A11" s="159"/>
      <c r="B11" s="159"/>
      <c r="C11" s="161"/>
      <c r="D11" s="162"/>
      <c r="E11" s="162"/>
      <c r="F11" s="162"/>
      <c r="G11" s="162"/>
      <c r="H11" s="162"/>
      <c r="I11" s="162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</row>
    <row r="12" spans="1:23">
      <c r="A12" s="159"/>
      <c r="B12" s="159"/>
      <c r="C12" s="161"/>
      <c r="D12" s="237" t="s">
        <v>74</v>
      </c>
      <c r="E12" s="238"/>
      <c r="F12" s="239"/>
      <c r="G12" s="240" t="str">
        <f>CONCATENATE("Nilai Akhir MK","     ",D17+E17+F17)</f>
        <v>Nilai Akhir MK     100</v>
      </c>
      <c r="H12" s="240" t="s">
        <v>93</v>
      </c>
      <c r="I12" s="159"/>
    </row>
    <row r="13" spans="1:23">
      <c r="A13" s="159"/>
      <c r="B13" s="159"/>
      <c r="C13" s="161"/>
      <c r="D13" s="243" t="str">
        <f>TRIM(MID(C5,3,100))</f>
        <v>U.24.01.55.1.03</v>
      </c>
      <c r="E13" s="243"/>
      <c r="F13" s="243"/>
      <c r="G13" s="241"/>
      <c r="H13" s="241"/>
      <c r="I13" s="159"/>
    </row>
    <row r="14" spans="1:23">
      <c r="A14" s="159"/>
      <c r="B14" s="159"/>
      <c r="C14" s="161"/>
      <c r="D14" s="243" t="str">
        <f>TRIM(MID(C6,3,100))</f>
        <v>KEWARGANEGARAAN</v>
      </c>
      <c r="E14" s="243"/>
      <c r="F14" s="243"/>
      <c r="G14" s="241"/>
      <c r="H14" s="241"/>
      <c r="I14" s="159"/>
    </row>
    <row r="15" spans="1:23">
      <c r="A15" s="159"/>
      <c r="B15" s="159"/>
      <c r="C15" s="161"/>
      <c r="D15" s="99" t="s">
        <v>121</v>
      </c>
      <c r="E15" s="99" t="s">
        <v>122</v>
      </c>
      <c r="F15" s="99" t="s">
        <v>123</v>
      </c>
      <c r="G15" s="241"/>
      <c r="H15" s="241"/>
      <c r="I15" s="159"/>
    </row>
    <row r="16" spans="1:23">
      <c r="A16" s="159"/>
      <c r="B16" s="159"/>
      <c r="C16" s="161"/>
      <c r="D16" s="99" t="s">
        <v>124</v>
      </c>
      <c r="E16" s="99" t="s">
        <v>130</v>
      </c>
      <c r="F16" s="99" t="s">
        <v>126</v>
      </c>
      <c r="G16" s="241"/>
      <c r="H16" s="241"/>
      <c r="I16" s="159"/>
    </row>
    <row r="17" spans="1:9">
      <c r="A17" s="159"/>
      <c r="B17" s="159"/>
      <c r="C17" s="161"/>
      <c r="D17" s="99">
        <v>25</v>
      </c>
      <c r="E17" s="99">
        <v>45</v>
      </c>
      <c r="F17" s="99">
        <v>30</v>
      </c>
      <c r="G17" s="242"/>
      <c r="H17" s="242"/>
      <c r="I17" s="159"/>
    </row>
    <row r="18" spans="1:9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  <c r="H18" s="1"/>
      <c r="I18" s="159"/>
    </row>
    <row r="19" spans="1:9">
      <c r="A19" s="99">
        <v>1</v>
      </c>
      <c r="B19" s="99" t="s">
        <v>3</v>
      </c>
      <c r="C19" s="163" t="s">
        <v>4</v>
      </c>
      <c r="D19" s="164"/>
      <c r="E19" s="164"/>
      <c r="F19" s="164"/>
      <c r="G19" s="164"/>
      <c r="H19" s="164"/>
      <c r="I19" s="159"/>
    </row>
    <row r="20" spans="1:9">
      <c r="A20" s="99">
        <v>2</v>
      </c>
      <c r="B20" s="99" t="s">
        <v>5</v>
      </c>
      <c r="C20" s="163" t="s">
        <v>6</v>
      </c>
      <c r="D20" s="164">
        <v>93.86</v>
      </c>
      <c r="E20" s="164">
        <v>88.75</v>
      </c>
      <c r="F20" s="164">
        <v>85</v>
      </c>
      <c r="G20" s="164">
        <f t="shared" ref="G20:G37" si="0">IFERROR((D20*($D$17/100))+(E20*($E$17/100))+(F20*($F$17/100)),"")</f>
        <v>88.902500000000003</v>
      </c>
      <c r="H20" s="164" t="str">
        <f>IFERROR(VLOOKUP(G20,[9]Sheet1!$AA$1:$AB$10,2),"")</f>
        <v>A-</v>
      </c>
      <c r="I20" s="159"/>
    </row>
    <row r="21" spans="1:9">
      <c r="A21" s="99">
        <v>3</v>
      </c>
      <c r="B21" s="99" t="s">
        <v>7</v>
      </c>
      <c r="C21" s="163" t="s">
        <v>8</v>
      </c>
      <c r="D21" s="164">
        <v>88.21</v>
      </c>
      <c r="E21" s="164">
        <v>55</v>
      </c>
      <c r="F21" s="164">
        <v>70</v>
      </c>
      <c r="G21" s="164">
        <f t="shared" si="0"/>
        <v>67.802499999999995</v>
      </c>
      <c r="H21" s="164" t="str">
        <f>IFERROR(VLOOKUP(G21,[9]Sheet1!$AA$1:$AB$10,2),"")</f>
        <v>B-</v>
      </c>
      <c r="I21" s="159"/>
    </row>
    <row r="22" spans="1:9">
      <c r="A22" s="99">
        <v>4</v>
      </c>
      <c r="B22" s="99" t="s">
        <v>9</v>
      </c>
      <c r="C22" s="163" t="s">
        <v>10</v>
      </c>
      <c r="D22" s="164">
        <v>87.64</v>
      </c>
      <c r="E22" s="164">
        <v>69.25</v>
      </c>
      <c r="F22" s="164">
        <v>59</v>
      </c>
      <c r="G22" s="164">
        <f t="shared" si="0"/>
        <v>70.772500000000008</v>
      </c>
      <c r="H22" s="164" t="str">
        <f>IFERROR(VLOOKUP(G22,[9]Sheet1!$AA$1:$AB$10,2),"")</f>
        <v>B</v>
      </c>
      <c r="I22" s="159"/>
    </row>
    <row r="23" spans="1:9">
      <c r="A23" s="99">
        <v>5</v>
      </c>
      <c r="B23" s="99" t="s">
        <v>11</v>
      </c>
      <c r="C23" s="163" t="s">
        <v>12</v>
      </c>
      <c r="D23" s="164">
        <v>91</v>
      </c>
      <c r="E23" s="164">
        <v>79</v>
      </c>
      <c r="F23" s="164">
        <v>72</v>
      </c>
      <c r="G23" s="164">
        <f t="shared" si="0"/>
        <v>79.900000000000006</v>
      </c>
      <c r="H23" s="164" t="str">
        <f>IFERROR(VLOOKUP(G23,[9]Sheet1!$AA$1:$AB$10,2),"")</f>
        <v>B+</v>
      </c>
      <c r="I23" s="159"/>
    </row>
    <row r="24" spans="1:9">
      <c r="A24" s="99">
        <v>6</v>
      </c>
      <c r="B24" s="99" t="s">
        <v>13</v>
      </c>
      <c r="C24" s="163" t="s">
        <v>14</v>
      </c>
      <c r="D24" s="164">
        <v>84.64</v>
      </c>
      <c r="E24" s="164">
        <v>85</v>
      </c>
      <c r="F24" s="164">
        <v>80</v>
      </c>
      <c r="G24" s="164">
        <f t="shared" si="0"/>
        <v>83.41</v>
      </c>
      <c r="H24" s="164" t="str">
        <f>IFERROR(VLOOKUP(G24,[9]Sheet1!$AA$1:$AB$10,2),"")</f>
        <v>B+</v>
      </c>
      <c r="I24" s="159"/>
    </row>
    <row r="25" spans="1:9">
      <c r="A25" s="99">
        <v>7</v>
      </c>
      <c r="B25" s="99" t="s">
        <v>15</v>
      </c>
      <c r="C25" s="163" t="s">
        <v>16</v>
      </c>
      <c r="D25" s="164">
        <v>53.86</v>
      </c>
      <c r="E25" s="164">
        <v>12.5</v>
      </c>
      <c r="F25" s="164">
        <v>0</v>
      </c>
      <c r="G25" s="164">
        <f t="shared" si="0"/>
        <v>19.09</v>
      </c>
      <c r="H25" s="164" t="str">
        <f>IFERROR(VLOOKUP(G25,[9]Sheet1!$AA$1:$AB$10,2),"")</f>
        <v>E</v>
      </c>
      <c r="I25" s="159"/>
    </row>
    <row r="26" spans="1:9">
      <c r="A26" s="99">
        <v>8</v>
      </c>
      <c r="B26" s="99" t="s">
        <v>17</v>
      </c>
      <c r="C26" s="163" t="s">
        <v>18</v>
      </c>
      <c r="D26" s="164">
        <v>67.069999999999993</v>
      </c>
      <c r="E26" s="164">
        <v>62.75</v>
      </c>
      <c r="F26" s="164">
        <v>67</v>
      </c>
      <c r="G26" s="164">
        <f t="shared" si="0"/>
        <v>65.10499999999999</v>
      </c>
      <c r="H26" s="164" t="str">
        <f>IFERROR(VLOOKUP(G26,[9]Sheet1!$AA$1:$AB$10,2),"")</f>
        <v>C+</v>
      </c>
      <c r="I26" s="159"/>
    </row>
    <row r="27" spans="1:9">
      <c r="A27" s="99">
        <v>9</v>
      </c>
      <c r="B27" s="99" t="s">
        <v>19</v>
      </c>
      <c r="C27" s="163" t="s">
        <v>20</v>
      </c>
      <c r="D27" s="164">
        <v>85.5</v>
      </c>
      <c r="E27" s="164">
        <v>86.5</v>
      </c>
      <c r="F27" s="164">
        <v>82</v>
      </c>
      <c r="G27" s="164">
        <f t="shared" si="0"/>
        <v>84.9</v>
      </c>
      <c r="H27" s="164" t="str">
        <f>IFERROR(VLOOKUP(G27,[9]Sheet1!$AA$1:$AB$10,2),"")</f>
        <v>A-</v>
      </c>
      <c r="I27" s="159"/>
    </row>
    <row r="28" spans="1:9">
      <c r="A28" s="99">
        <v>10</v>
      </c>
      <c r="B28" s="99" t="s">
        <v>21</v>
      </c>
      <c r="C28" s="163" t="s">
        <v>22</v>
      </c>
      <c r="D28" s="164">
        <v>78.86</v>
      </c>
      <c r="E28" s="164">
        <v>86.25</v>
      </c>
      <c r="F28" s="164">
        <v>85</v>
      </c>
      <c r="G28" s="164">
        <f t="shared" si="0"/>
        <v>84.027500000000003</v>
      </c>
      <c r="H28" s="164" t="str">
        <f>IFERROR(VLOOKUP(G28,[9]Sheet1!$AA$1:$AB$10,2),"")</f>
        <v>B+</v>
      </c>
      <c r="I28" s="159"/>
    </row>
    <row r="29" spans="1:9">
      <c r="A29" s="99">
        <v>11</v>
      </c>
      <c r="B29" s="99" t="s">
        <v>23</v>
      </c>
      <c r="C29" s="163" t="s">
        <v>24</v>
      </c>
      <c r="D29" s="164">
        <v>82.64</v>
      </c>
      <c r="E29" s="164">
        <v>82.5</v>
      </c>
      <c r="F29" s="164">
        <v>80</v>
      </c>
      <c r="G29" s="164">
        <f t="shared" si="0"/>
        <v>81.784999999999997</v>
      </c>
      <c r="H29" s="164" t="str">
        <f>IFERROR(VLOOKUP(G29,[9]Sheet1!$AA$1:$AB$10,2),"")</f>
        <v>B+</v>
      </c>
      <c r="I29" s="159"/>
    </row>
    <row r="30" spans="1:9">
      <c r="A30" s="99">
        <v>12</v>
      </c>
      <c r="B30" s="99" t="s">
        <v>25</v>
      </c>
      <c r="C30" s="163" t="s">
        <v>26</v>
      </c>
      <c r="D30" s="164">
        <v>75.5</v>
      </c>
      <c r="E30" s="164">
        <v>79</v>
      </c>
      <c r="F30" s="164">
        <v>82</v>
      </c>
      <c r="G30" s="164">
        <f t="shared" si="0"/>
        <v>79.025000000000006</v>
      </c>
      <c r="H30" s="164" t="str">
        <f>IFERROR(VLOOKUP(G30,[9]Sheet1!$AA$1:$AB$10,2),"")</f>
        <v>B+</v>
      </c>
      <c r="I30" s="159"/>
    </row>
    <row r="31" spans="1:9">
      <c r="A31" s="99">
        <v>13</v>
      </c>
      <c r="B31" s="99" t="s">
        <v>27</v>
      </c>
      <c r="C31" s="163" t="s">
        <v>28</v>
      </c>
      <c r="D31" s="164">
        <v>89.93</v>
      </c>
      <c r="E31" s="164">
        <v>86.5</v>
      </c>
      <c r="F31" s="164">
        <v>82</v>
      </c>
      <c r="G31" s="164">
        <f t="shared" si="0"/>
        <v>86.007500000000007</v>
      </c>
      <c r="H31" s="164" t="str">
        <f>IFERROR(VLOOKUP(G31,[9]Sheet1!$AA$1:$AB$10,2),"")</f>
        <v>A-</v>
      </c>
      <c r="I31" s="159"/>
    </row>
    <row r="32" spans="1:9">
      <c r="A32" s="99">
        <v>14</v>
      </c>
      <c r="B32" s="99" t="s">
        <v>29</v>
      </c>
      <c r="C32" s="163" t="s">
        <v>30</v>
      </c>
      <c r="D32" s="164">
        <v>76.290000000000006</v>
      </c>
      <c r="E32" s="164">
        <v>84</v>
      </c>
      <c r="F32" s="164">
        <v>82</v>
      </c>
      <c r="G32" s="164">
        <f t="shared" si="0"/>
        <v>81.472499999999997</v>
      </c>
      <c r="H32" s="164" t="str">
        <f>IFERROR(VLOOKUP(G32,[9]Sheet1!$AA$1:$AB$10,2),"")</f>
        <v>B+</v>
      </c>
      <c r="I32" s="159"/>
    </row>
    <row r="33" spans="1:9">
      <c r="A33" s="99">
        <v>15</v>
      </c>
      <c r="B33" s="99" t="s">
        <v>31</v>
      </c>
      <c r="C33" s="163" t="s">
        <v>32</v>
      </c>
      <c r="D33" s="164">
        <v>71.64</v>
      </c>
      <c r="E33" s="164">
        <v>70</v>
      </c>
      <c r="F33" s="164">
        <v>70</v>
      </c>
      <c r="G33" s="164">
        <f t="shared" si="0"/>
        <v>70.41</v>
      </c>
      <c r="H33" s="164" t="str">
        <f>IFERROR(VLOOKUP(G33,[9]Sheet1!$AA$1:$AB$10,2),"")</f>
        <v>B</v>
      </c>
      <c r="I33" s="159"/>
    </row>
    <row r="34" spans="1:9">
      <c r="A34" s="99">
        <v>16</v>
      </c>
      <c r="B34" s="99" t="s">
        <v>33</v>
      </c>
      <c r="C34" s="163" t="s">
        <v>34</v>
      </c>
      <c r="D34" s="164">
        <v>83.29</v>
      </c>
      <c r="E34" s="164">
        <v>77.5</v>
      </c>
      <c r="F34" s="164">
        <v>70</v>
      </c>
      <c r="G34" s="164">
        <f t="shared" si="0"/>
        <v>76.697500000000005</v>
      </c>
      <c r="H34" s="164" t="str">
        <f>IFERROR(VLOOKUP(G34,[9]Sheet1!$AA$1:$AB$10,2),"")</f>
        <v>B+</v>
      </c>
      <c r="I34" s="159"/>
    </row>
    <row r="35" spans="1:9">
      <c r="A35" s="99">
        <v>17</v>
      </c>
      <c r="B35" s="99" t="s">
        <v>35</v>
      </c>
      <c r="C35" s="163" t="s">
        <v>36</v>
      </c>
      <c r="D35" s="164">
        <v>82.57</v>
      </c>
      <c r="E35" s="164">
        <v>78</v>
      </c>
      <c r="F35" s="164">
        <v>74</v>
      </c>
      <c r="G35" s="164">
        <f t="shared" si="0"/>
        <v>77.942499999999995</v>
      </c>
      <c r="H35" s="164" t="str">
        <f>IFERROR(VLOOKUP(G35,[9]Sheet1!$AA$1:$AB$10,2),"")</f>
        <v>B+</v>
      </c>
      <c r="I35" s="159"/>
    </row>
    <row r="36" spans="1:9">
      <c r="A36" s="99">
        <v>18</v>
      </c>
      <c r="B36" s="99" t="s">
        <v>37</v>
      </c>
      <c r="C36" s="163" t="s">
        <v>38</v>
      </c>
      <c r="D36" s="164">
        <v>77.430000000000007</v>
      </c>
      <c r="E36" s="164">
        <v>72.75</v>
      </c>
      <c r="F36" s="164">
        <v>77</v>
      </c>
      <c r="G36" s="164">
        <f t="shared" si="0"/>
        <v>75.195000000000007</v>
      </c>
      <c r="H36" s="164" t="str">
        <f>IFERROR(VLOOKUP(G36,[9]Sheet1!$AA$1:$AB$10,2),"")</f>
        <v>B</v>
      </c>
      <c r="I36" s="159"/>
    </row>
    <row r="37" spans="1:9">
      <c r="A37" s="99">
        <v>19</v>
      </c>
      <c r="B37" s="99" t="s">
        <v>39</v>
      </c>
      <c r="C37" s="163" t="s">
        <v>40</v>
      </c>
      <c r="D37" s="164">
        <v>77.5</v>
      </c>
      <c r="E37" s="164">
        <v>70.5</v>
      </c>
      <c r="F37" s="164">
        <v>74</v>
      </c>
      <c r="G37" s="164">
        <f t="shared" si="0"/>
        <v>73.3</v>
      </c>
      <c r="H37" s="164" t="str">
        <f>IFERROR(VLOOKUP(G37,[9]Sheet1!$AA$1:$AB$10,2),"")</f>
        <v>B</v>
      </c>
      <c r="I37" s="159"/>
    </row>
    <row r="38" spans="1:9">
      <c r="A38" s="159"/>
      <c r="B38" s="159"/>
      <c r="C38" s="161"/>
      <c r="D38" s="162"/>
      <c r="E38" s="162"/>
      <c r="F38" s="162"/>
      <c r="G38" s="162"/>
      <c r="H38" s="159"/>
      <c r="I38" s="159"/>
    </row>
    <row r="39" spans="1:9" ht="28.5" thickBot="1">
      <c r="A39" s="159"/>
      <c r="B39" s="159"/>
      <c r="C39" s="161"/>
      <c r="D39" s="162" t="str">
        <f t="shared" ref="D39:F39" si="1">D16</f>
        <v>CPMK101</v>
      </c>
      <c r="E39" s="162" t="str">
        <f t="shared" si="1"/>
        <v>CPMK122</v>
      </c>
      <c r="F39" s="162" t="str">
        <f t="shared" si="1"/>
        <v>CPMK141</v>
      </c>
      <c r="G39" s="165" t="str">
        <f>G12</f>
        <v>Nilai Akhir MK     100</v>
      </c>
      <c r="H39" s="159"/>
      <c r="I39" s="159"/>
    </row>
    <row r="40" spans="1:9" ht="14.5" thickBot="1">
      <c r="A40" s="159"/>
      <c r="B40" s="159"/>
      <c r="C40" s="166" t="s">
        <v>106</v>
      </c>
      <c r="D40" s="167">
        <f>IFERROR(COUNTIF(D19:D37,""),"")</f>
        <v>1</v>
      </c>
      <c r="E40" s="167">
        <f>IFERROR(COUNTIF(E19:E37,""),"")</f>
        <v>1</v>
      </c>
      <c r="F40" s="167">
        <f>IFERROR(COUNTIF(F19:F37,""),"")</f>
        <v>1</v>
      </c>
      <c r="G40" s="167">
        <f>IFERROR(COUNTIF(G19:G37,""),"")</f>
        <v>1</v>
      </c>
      <c r="H40" s="159"/>
      <c r="I40" s="159"/>
    </row>
    <row r="41" spans="1:9" ht="14.5" thickBot="1">
      <c r="A41" s="159"/>
      <c r="B41" s="159"/>
      <c r="C41" s="166" t="s">
        <v>98</v>
      </c>
      <c r="D41" s="167">
        <f>IFERROR(COUNTIF(D19:D37,C41)+COUNTIF(D19:D37,""),"")-D40</f>
        <v>1</v>
      </c>
      <c r="E41" s="167">
        <f>COUNTIF(E19:E37,C41)+COUNTIF(E19:E37,"")-E40</f>
        <v>3</v>
      </c>
      <c r="F41" s="167">
        <f>COUNTIF(F19:F37,C41)+COUNTIF(F19:F37,"")-F40</f>
        <v>2</v>
      </c>
      <c r="G41" s="167">
        <f>IFERROR(COUNTIF(G19:G37,C41)+COUNTIF(G19:G37,""),"")</f>
        <v>2</v>
      </c>
      <c r="H41" s="159"/>
      <c r="I41" s="159"/>
    </row>
    <row r="42" spans="1:9" ht="14.5" thickBot="1">
      <c r="A42" s="159"/>
      <c r="B42" s="159"/>
      <c r="C42" s="168" t="s">
        <v>99</v>
      </c>
      <c r="D42" s="169">
        <f>IFERROR(COUNTIF(D19:D37,C42)-D41,"")</f>
        <v>11</v>
      </c>
      <c r="E42" s="169">
        <f>COUNTIF(E19:E37,C42)-E41</f>
        <v>10</v>
      </c>
      <c r="F42" s="169">
        <f>COUNTIF(F19:F37,C42)-F41</f>
        <v>14</v>
      </c>
      <c r="G42" s="170">
        <f>IFERROR(COUNTIF(G19:G37,C42)-G41,"")</f>
        <v>14</v>
      </c>
      <c r="H42" s="159"/>
      <c r="I42" s="159"/>
    </row>
    <row r="43" spans="1:9" ht="14.5" thickBot="1">
      <c r="A43" s="159"/>
      <c r="B43" s="159"/>
      <c r="C43" s="168" t="s">
        <v>100</v>
      </c>
      <c r="D43" s="169">
        <f>COUNTIF(D19:D37,C43)</f>
        <v>6</v>
      </c>
      <c r="E43" s="169">
        <f>COUNTIF(E19:E37,C43)</f>
        <v>5</v>
      </c>
      <c r="F43" s="169">
        <f>COUNTIF(F19:F37,C43)</f>
        <v>2</v>
      </c>
      <c r="G43" s="169">
        <f>IFERROR(COUNTIF(G19:G37,C43),"")</f>
        <v>2</v>
      </c>
      <c r="H43" s="159"/>
      <c r="I43" s="159"/>
    </row>
    <row r="44" spans="1:9" ht="14.5" thickBot="1">
      <c r="A44" s="159"/>
      <c r="B44" s="159"/>
      <c r="C44" s="168" t="s">
        <v>78</v>
      </c>
      <c r="D44" s="169">
        <f>SUM(D40:D43)</f>
        <v>19</v>
      </c>
      <c r="E44" s="169">
        <f t="shared" ref="E44:G44" si="2">SUM(E40:E43)</f>
        <v>19</v>
      </c>
      <c r="F44" s="169">
        <f t="shared" si="2"/>
        <v>19</v>
      </c>
      <c r="G44" s="169">
        <f t="shared" si="2"/>
        <v>19</v>
      </c>
      <c r="H44" s="159"/>
      <c r="I44" s="159"/>
    </row>
    <row r="45" spans="1:9" ht="14.5" thickBot="1">
      <c r="A45" s="159"/>
      <c r="B45" s="159"/>
      <c r="C45" s="171"/>
      <c r="D45" s="162"/>
      <c r="E45" s="162"/>
      <c r="F45" s="162"/>
      <c r="G45" s="162"/>
      <c r="H45" s="159"/>
      <c r="I45" s="159"/>
    </row>
    <row r="46" spans="1:9" ht="14.5" thickBot="1">
      <c r="A46" s="159"/>
      <c r="B46" s="159"/>
      <c r="C46" s="172" t="s">
        <v>101</v>
      </c>
      <c r="D46" s="173">
        <f>(D42+D43)/(D44-D40)</f>
        <v>0.94444444444444442</v>
      </c>
      <c r="E46" s="173">
        <f>(E42+E43)/(E44-E40)</f>
        <v>0.83333333333333337</v>
      </c>
      <c r="F46" s="173">
        <f>(F42+F43)/(F44-F40)</f>
        <v>0.88888888888888884</v>
      </c>
      <c r="G46" s="173">
        <f>(G42+G43)/(G44-G40)</f>
        <v>0.88888888888888884</v>
      </c>
      <c r="H46" s="159"/>
      <c r="I46" s="159"/>
    </row>
    <row r="47" spans="1:9" ht="14.5" thickBot="1">
      <c r="A47" s="159"/>
      <c r="B47" s="159"/>
      <c r="C47" s="171"/>
      <c r="D47" s="162"/>
      <c r="E47" s="162"/>
      <c r="F47" s="162"/>
      <c r="G47" s="162"/>
      <c r="H47" s="159"/>
      <c r="I47" s="159"/>
    </row>
    <row r="48" spans="1:9" ht="14.5" thickBot="1">
      <c r="A48" s="159"/>
      <c r="B48" s="159"/>
      <c r="C48" s="172" t="s">
        <v>102</v>
      </c>
      <c r="D48" s="174">
        <f>MIN(D19:D37)</f>
        <v>53.86</v>
      </c>
      <c r="E48" s="174">
        <f>MIN(E19:E37)</f>
        <v>12.5</v>
      </c>
      <c r="F48" s="174">
        <f>MIN(F19:F37)</f>
        <v>0</v>
      </c>
      <c r="G48" s="175">
        <f>IFERROR(MIN(G19:G37),"")</f>
        <v>19.09</v>
      </c>
      <c r="H48" s="159"/>
      <c r="I48" s="159"/>
    </row>
    <row r="49" spans="1:9" ht="14.5" thickBot="1">
      <c r="A49" s="159"/>
      <c r="B49" s="159"/>
      <c r="C49" s="172" t="s">
        <v>103</v>
      </c>
      <c r="D49" s="174">
        <f>MAX(D19:D37)</f>
        <v>93.86</v>
      </c>
      <c r="E49" s="174">
        <f>MAX(E19:E37)</f>
        <v>88.75</v>
      </c>
      <c r="F49" s="174">
        <f>MAX(F19:F37)</f>
        <v>85</v>
      </c>
      <c r="G49" s="175">
        <f>IFERROR(MAX(G19:G37),"")</f>
        <v>88.902500000000003</v>
      </c>
      <c r="H49" s="159"/>
      <c r="I49" s="159"/>
    </row>
    <row r="50" spans="1:9" ht="14.5" thickBot="1">
      <c r="A50" s="159"/>
      <c r="B50" s="159"/>
      <c r="C50" s="172" t="s">
        <v>104</v>
      </c>
      <c r="D50" s="175">
        <f>AVERAGE(D19:D37)</f>
        <v>80.412777777777777</v>
      </c>
      <c r="E50" s="175">
        <f>AVERAGE(E19:E37)</f>
        <v>73.652777777777771</v>
      </c>
      <c r="F50" s="175">
        <f>AVERAGE(F19:F37)</f>
        <v>71.722222222222229</v>
      </c>
      <c r="G50" s="175">
        <f>IFERROR(AVERAGE(G19:G37),"")</f>
        <v>74.763611111111103</v>
      </c>
      <c r="H50" s="159"/>
      <c r="I50" s="159"/>
    </row>
  </sheetData>
  <mergeCells count="7">
    <mergeCell ref="A1:I1"/>
    <mergeCell ref="A2:I2"/>
    <mergeCell ref="D12:F12"/>
    <mergeCell ref="G12:G17"/>
    <mergeCell ref="H12:H17"/>
    <mergeCell ref="D13:F13"/>
    <mergeCell ref="D14:F14"/>
  </mergeCells>
  <printOptions horizontalCentered="1"/>
  <pageMargins left="0.19685039370078741" right="0.11811023622047245" top="0.19685039370078741" bottom="0.15748031496062992" header="0" footer="0"/>
  <pageSetup paperSize="9" scale="8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1D97-2DE8-4EF7-A949-7C9B002CF8A6}">
  <dimension ref="A1:FO118"/>
  <sheetViews>
    <sheetView tabSelected="1" view="pageBreakPreview" topLeftCell="G83" zoomScale="69" zoomScaleNormal="82" zoomScaleSheetLayoutView="69" workbookViewId="0">
      <selection activeCell="BJ7" sqref="BJ7:BO7"/>
    </sheetView>
  </sheetViews>
  <sheetFormatPr defaultRowHeight="14"/>
  <cols>
    <col min="1" max="1" width="6" customWidth="1"/>
    <col min="2" max="2" width="13.1640625" customWidth="1"/>
    <col min="3" max="3" width="27" style="35" customWidth="1"/>
    <col min="4" max="6" width="12.6640625" style="36" customWidth="1"/>
    <col min="7" max="11" width="10.1640625" style="36" customWidth="1"/>
    <col min="12" max="30" width="12.6640625" style="36" customWidth="1"/>
    <col min="31" max="31" width="8.75" style="36"/>
    <col min="32" max="32" width="10.6640625" style="36" hidden="1" customWidth="1"/>
    <col min="33" max="33" width="11.33203125" style="36" hidden="1" customWidth="1"/>
    <col min="34" max="34" width="0" style="36" hidden="1" customWidth="1"/>
    <col min="35" max="35" width="10.33203125" style="36" hidden="1" customWidth="1"/>
    <col min="36" max="36" width="0" hidden="1" customWidth="1"/>
    <col min="37" max="37" width="11.33203125" hidden="1" customWidth="1"/>
    <col min="38" max="38" width="0" hidden="1" customWidth="1"/>
    <col min="39" max="47" width="11.33203125" hidden="1" customWidth="1"/>
    <col min="48" max="48" width="0" hidden="1" customWidth="1"/>
    <col min="49" max="49" width="11.33203125" hidden="1" customWidth="1"/>
    <col min="50" max="50" width="0" hidden="1" customWidth="1"/>
    <col min="51" max="53" width="11.33203125" hidden="1" customWidth="1"/>
    <col min="54" max="54" width="0" hidden="1" customWidth="1"/>
    <col min="55" max="55" width="11.33203125" hidden="1" customWidth="1"/>
    <col min="56" max="56" width="0" hidden="1" customWidth="1"/>
    <col min="57" max="57" width="11.33203125" hidden="1" customWidth="1"/>
    <col min="58" max="58" width="0" hidden="1" customWidth="1"/>
    <col min="59" max="59" width="11.33203125" hidden="1" customWidth="1"/>
    <col min="60" max="61" width="0" hidden="1" customWidth="1"/>
    <col min="63" max="63" width="5.6640625" style="36" customWidth="1"/>
    <col min="65" max="65" width="5.6640625" customWidth="1"/>
    <col min="67" max="67" width="5.6640625" customWidth="1"/>
    <col min="69" max="69" width="7.08203125" customWidth="1"/>
    <col min="79" max="79" width="5.6640625" customWidth="1"/>
    <col min="81" max="81" width="5.6640625" customWidth="1"/>
    <col min="83" max="83" width="5.6640625" customWidth="1"/>
    <col min="94" max="94" width="8.6640625" style="82"/>
    <col min="95" max="95" width="7.1640625" customWidth="1"/>
    <col min="123" max="123" width="8.6640625" style="102"/>
    <col min="129" max="129" width="5.6640625" customWidth="1"/>
    <col min="131" max="131" width="5.6640625" customWidth="1"/>
    <col min="133" max="133" width="5.6640625" customWidth="1"/>
    <col min="134" max="134" width="8.58203125" style="202" customWidth="1"/>
    <col min="135" max="135" width="5.6640625" customWidth="1"/>
    <col min="136" max="136" width="9.08203125" customWidth="1"/>
    <col min="137" max="137" width="5.6640625" customWidth="1"/>
    <col min="138" max="138" width="7.83203125" customWidth="1"/>
    <col min="139" max="139" width="5.6640625" customWidth="1"/>
    <col min="153" max="153" width="5.6640625" customWidth="1"/>
    <col min="154" max="154" width="8.6640625" customWidth="1"/>
    <col min="155" max="155" width="5.6640625" customWidth="1"/>
    <col min="156" max="156" width="8.5" customWidth="1"/>
    <col min="157" max="157" width="5.6640625" customWidth="1"/>
    <col min="158" max="158" width="8.08203125" customWidth="1"/>
    <col min="159" max="159" width="5.6640625" customWidth="1"/>
    <col min="161" max="161" width="5.6640625" customWidth="1"/>
    <col min="162" max="162" width="8.6640625" style="159"/>
    <col min="163" max="163" width="5.6640625" style="159" customWidth="1"/>
    <col min="164" max="166" width="8.6640625" style="159"/>
    <col min="167" max="167" width="5.6640625" style="159" customWidth="1"/>
    <col min="168" max="168" width="8.6640625" style="159"/>
    <col min="169" max="169" width="5.6640625" style="159" customWidth="1"/>
    <col min="170" max="170" width="8.75" style="190"/>
    <col min="171" max="171" width="8.75" style="100"/>
  </cols>
  <sheetData>
    <row r="1" spans="1:171" ht="20">
      <c r="A1" s="59" t="s">
        <v>186</v>
      </c>
    </row>
    <row r="2" spans="1:171" ht="15.5">
      <c r="A2" s="60" t="s">
        <v>131</v>
      </c>
      <c r="AF2" s="61"/>
    </row>
    <row r="4" spans="1:171" ht="14.5" customHeight="1">
      <c r="D4" s="244" t="s">
        <v>47</v>
      </c>
      <c r="E4" s="245"/>
      <c r="F4" s="246" t="s">
        <v>132</v>
      </c>
      <c r="G4" s="249" t="s">
        <v>53</v>
      </c>
      <c r="H4" s="250"/>
      <c r="I4" s="250"/>
      <c r="J4" s="250"/>
      <c r="K4" s="251"/>
      <c r="L4" s="252" t="s">
        <v>132</v>
      </c>
      <c r="M4" s="255" t="s">
        <v>56</v>
      </c>
      <c r="N4" s="256"/>
      <c r="O4" s="257" t="s">
        <v>132</v>
      </c>
      <c r="P4" s="272" t="s">
        <v>59</v>
      </c>
      <c r="Q4" s="273"/>
      <c r="R4" s="274" t="s">
        <v>132</v>
      </c>
      <c r="S4" s="277" t="s">
        <v>62</v>
      </c>
      <c r="T4" s="278"/>
      <c r="U4" s="279" t="s">
        <v>132</v>
      </c>
      <c r="V4" s="233" t="s">
        <v>65</v>
      </c>
      <c r="W4" s="234"/>
      <c r="X4" s="226" t="s">
        <v>132</v>
      </c>
      <c r="Y4" s="262" t="s">
        <v>68</v>
      </c>
      <c r="Z4" s="263"/>
      <c r="AA4" s="264" t="s">
        <v>132</v>
      </c>
      <c r="AB4" s="267" t="s">
        <v>71</v>
      </c>
      <c r="AC4" s="268"/>
      <c r="AD4" s="269" t="s">
        <v>132</v>
      </c>
      <c r="AF4" s="286" t="s">
        <v>133</v>
      </c>
      <c r="AG4" s="287"/>
      <c r="AH4" s="286" t="s">
        <v>133</v>
      </c>
      <c r="AI4" s="287"/>
      <c r="AJ4" s="286" t="s">
        <v>133</v>
      </c>
      <c r="AK4" s="287"/>
      <c r="AL4" s="286" t="s">
        <v>133</v>
      </c>
      <c r="AM4" s="287"/>
      <c r="AN4" s="286" t="s">
        <v>133</v>
      </c>
      <c r="AO4" s="287"/>
      <c r="AP4" s="286" t="s">
        <v>133</v>
      </c>
      <c r="AQ4" s="287"/>
      <c r="AR4" s="286" t="s">
        <v>133</v>
      </c>
      <c r="AS4" s="287"/>
      <c r="AT4" s="286" t="s">
        <v>133</v>
      </c>
      <c r="AU4" s="287"/>
      <c r="AV4" s="286" t="s">
        <v>133</v>
      </c>
      <c r="AW4" s="287"/>
      <c r="AX4" s="286" t="s">
        <v>133</v>
      </c>
      <c r="AY4" s="287"/>
      <c r="AZ4" s="286" t="s">
        <v>133</v>
      </c>
      <c r="BA4" s="287"/>
      <c r="BB4" s="286" t="s">
        <v>133</v>
      </c>
      <c r="BC4" s="287"/>
      <c r="BD4" s="286" t="s">
        <v>133</v>
      </c>
      <c r="BE4" s="287"/>
      <c r="BF4" s="286" t="s">
        <v>133</v>
      </c>
      <c r="BG4" s="287"/>
    </row>
    <row r="5" spans="1:171">
      <c r="D5" s="244" t="s">
        <v>257</v>
      </c>
      <c r="E5" s="245"/>
      <c r="F5" s="247"/>
      <c r="G5" s="249" t="s">
        <v>259</v>
      </c>
      <c r="H5" s="250"/>
      <c r="I5" s="250"/>
      <c r="J5" s="250"/>
      <c r="K5" s="251"/>
      <c r="L5" s="253"/>
      <c r="M5" s="290" t="str">
        <f>'ListMKSmt-1'!D4</f>
        <v>P.24.05.52.1.03</v>
      </c>
      <c r="N5" s="290"/>
      <c r="O5" s="258"/>
      <c r="P5" s="272" t="str">
        <f>'ListMKSmt-1'!D5</f>
        <v>P.24.05.52.1.04</v>
      </c>
      <c r="Q5" s="273"/>
      <c r="R5" s="275"/>
      <c r="S5" s="277" t="str">
        <f>'ListMKSmt-1'!D6</f>
        <v>P.24.05.52.1.05</v>
      </c>
      <c r="T5" s="278"/>
      <c r="U5" s="280"/>
      <c r="V5" s="233" t="str">
        <f>'ListMKSmt-1'!D7</f>
        <v>U.24.05.52.1.01</v>
      </c>
      <c r="W5" s="234"/>
      <c r="X5" s="227"/>
      <c r="Y5" s="262" t="str">
        <f>'ListMKSmt-1'!D8</f>
        <v>U.24.05.52.1.02</v>
      </c>
      <c r="Z5" s="263"/>
      <c r="AA5" s="265"/>
      <c r="AB5" s="267" t="str">
        <f>'ListMKSmt-1'!D9</f>
        <v>U.24.05.52.1.03</v>
      </c>
      <c r="AC5" s="268"/>
      <c r="AD5" s="270"/>
      <c r="AF5" s="288"/>
      <c r="AG5" s="289"/>
      <c r="AH5" s="288"/>
      <c r="AI5" s="289"/>
      <c r="AJ5" s="288"/>
      <c r="AK5" s="289"/>
      <c r="AL5" s="288"/>
      <c r="AM5" s="289"/>
      <c r="AN5" s="288"/>
      <c r="AO5" s="289"/>
      <c r="AP5" s="288"/>
      <c r="AQ5" s="289"/>
      <c r="AR5" s="288"/>
      <c r="AS5" s="289"/>
      <c r="AT5" s="288"/>
      <c r="AU5" s="289"/>
      <c r="AV5" s="288"/>
      <c r="AW5" s="289"/>
      <c r="AX5" s="288"/>
      <c r="AY5" s="289"/>
      <c r="AZ5" s="288"/>
      <c r="BA5" s="289"/>
      <c r="BB5" s="288"/>
      <c r="BC5" s="289"/>
      <c r="BD5" s="288"/>
      <c r="BE5" s="289"/>
      <c r="BF5" s="288"/>
      <c r="BG5" s="289"/>
    </row>
    <row r="6" spans="1:171">
      <c r="D6" s="244" t="s">
        <v>258</v>
      </c>
      <c r="E6" s="245"/>
      <c r="F6" s="247"/>
      <c r="G6" s="249" t="s">
        <v>260</v>
      </c>
      <c r="H6" s="250"/>
      <c r="I6" s="250"/>
      <c r="J6" s="250"/>
      <c r="K6" s="251"/>
      <c r="L6" s="253"/>
      <c r="M6" s="260" t="str">
        <f>'ListMKSmt-1'!E4</f>
        <v>Etika Bisnis dan Profesi</v>
      </c>
      <c r="N6" s="261"/>
      <c r="O6" s="258"/>
      <c r="P6" s="272" t="str">
        <f>'ListMKSmt-1'!E5</f>
        <v>Teori Ekonomi</v>
      </c>
      <c r="Q6" s="273"/>
      <c r="R6" s="275"/>
      <c r="S6" s="277" t="str">
        <f>'ListMKSmt-1'!E6</f>
        <v>Hukum Bisnis dan Perikatan</v>
      </c>
      <c r="T6" s="278"/>
      <c r="U6" s="280"/>
      <c r="V6" s="233" t="str">
        <f>'ListMKSmt-1'!E7</f>
        <v>Agama</v>
      </c>
      <c r="W6" s="234"/>
      <c r="X6" s="227"/>
      <c r="Y6" s="262" t="str">
        <f>'ListMKSmt-1'!E8</f>
        <v>Kewarganegaraan</v>
      </c>
      <c r="Z6" s="263"/>
      <c r="AA6" s="265"/>
      <c r="AB6" s="267" t="str">
        <f>'ListMKSmt-1'!E9</f>
        <v>English for Business</v>
      </c>
      <c r="AC6" s="268"/>
      <c r="AD6" s="270"/>
      <c r="AF6" s="61" t="s">
        <v>134</v>
      </c>
      <c r="AG6" s="61"/>
      <c r="AH6" s="61" t="s">
        <v>135</v>
      </c>
      <c r="AI6" s="61"/>
      <c r="AJ6" s="61" t="s">
        <v>136</v>
      </c>
      <c r="AK6" s="61"/>
      <c r="AL6" s="61" t="s">
        <v>137</v>
      </c>
      <c r="AM6" s="61"/>
      <c r="AN6" s="61"/>
      <c r="AO6" s="61"/>
      <c r="AP6" s="61"/>
      <c r="AQ6" s="61"/>
      <c r="AR6" s="61"/>
      <c r="AS6" s="61"/>
      <c r="AT6" s="61"/>
      <c r="AU6" s="61"/>
      <c r="AV6" s="61" t="s">
        <v>138</v>
      </c>
      <c r="AW6" s="61"/>
      <c r="AX6" s="61" t="s">
        <v>139</v>
      </c>
      <c r="AY6" s="61"/>
      <c r="AZ6" s="61"/>
      <c r="BA6" s="61"/>
      <c r="BB6" s="61" t="s">
        <v>140</v>
      </c>
      <c r="BC6" s="61"/>
      <c r="BD6" s="61" t="s">
        <v>141</v>
      </c>
      <c r="BE6" s="61"/>
      <c r="BF6" s="61" t="s">
        <v>142</v>
      </c>
      <c r="BG6" s="61"/>
      <c r="BJ6" s="292" t="s">
        <v>342</v>
      </c>
      <c r="BK6" s="293"/>
      <c r="BL6" s="293"/>
      <c r="BM6" s="293"/>
      <c r="BN6" s="293"/>
      <c r="BO6" s="293"/>
      <c r="BP6" s="292" t="s">
        <v>135</v>
      </c>
      <c r="BQ6" s="293"/>
      <c r="BR6" s="293"/>
      <c r="BS6" s="293"/>
      <c r="BT6" s="293"/>
      <c r="BU6" s="293"/>
      <c r="BV6" s="293"/>
      <c r="BW6" s="294"/>
      <c r="BX6" s="292" t="s">
        <v>136</v>
      </c>
      <c r="BY6" s="293"/>
      <c r="BZ6" s="293"/>
      <c r="CA6" s="293"/>
      <c r="CB6" s="293"/>
      <c r="CC6" s="294"/>
      <c r="CD6" s="292" t="s">
        <v>137</v>
      </c>
      <c r="CE6" s="293"/>
      <c r="CF6" s="293"/>
      <c r="CG6" s="294"/>
      <c r="CH6" s="292"/>
      <c r="CI6" s="293"/>
      <c r="CJ6" s="293"/>
      <c r="CK6" s="293"/>
      <c r="CL6" s="293"/>
      <c r="CM6" s="293"/>
      <c r="CN6" s="293"/>
      <c r="CO6" s="293"/>
      <c r="CP6" s="293"/>
      <c r="CQ6" s="293"/>
      <c r="CR6" s="293"/>
      <c r="CS6" s="293"/>
      <c r="CT6" s="293"/>
      <c r="CU6" s="293"/>
      <c r="CV6" s="293"/>
      <c r="CW6" s="294"/>
      <c r="CX6" s="292"/>
      <c r="CY6" s="293"/>
      <c r="CZ6" s="293"/>
      <c r="DA6" s="293"/>
      <c r="DB6" s="293"/>
      <c r="DC6" s="293"/>
      <c r="DD6" s="293"/>
      <c r="DE6" s="294"/>
      <c r="DF6" s="292"/>
      <c r="DG6" s="293"/>
      <c r="DH6" s="293"/>
      <c r="DI6" s="293"/>
      <c r="DJ6" s="293"/>
      <c r="DK6" s="293"/>
      <c r="DL6" s="293"/>
      <c r="DM6" s="293"/>
      <c r="DN6" s="293"/>
      <c r="DO6" s="293"/>
      <c r="DP6" s="293"/>
      <c r="DQ6" s="294"/>
      <c r="DR6" s="292"/>
      <c r="DS6" s="293"/>
      <c r="DT6" s="293"/>
      <c r="DU6" s="293"/>
      <c r="DV6" s="293"/>
      <c r="DW6" s="294"/>
      <c r="DX6" s="292" t="s">
        <v>138</v>
      </c>
      <c r="DY6" s="293"/>
      <c r="DZ6" s="293"/>
      <c r="EA6" s="294"/>
      <c r="EB6" s="292" t="s">
        <v>139</v>
      </c>
      <c r="EC6" s="293"/>
      <c r="ED6" s="293"/>
      <c r="EE6" s="293"/>
      <c r="EF6" s="293"/>
      <c r="EG6" s="293"/>
      <c r="EH6" s="293"/>
      <c r="EI6" s="293"/>
      <c r="EJ6" s="293"/>
      <c r="EK6" s="294"/>
      <c r="EL6" s="292"/>
      <c r="EM6" s="293"/>
      <c r="EN6" s="293"/>
      <c r="EO6" s="293"/>
      <c r="EP6" s="293"/>
      <c r="EQ6" s="293"/>
      <c r="ER6" s="293"/>
      <c r="ES6" s="293"/>
      <c r="ET6" s="293"/>
      <c r="EU6" s="294"/>
      <c r="EV6" s="292" t="s">
        <v>140</v>
      </c>
      <c r="EW6" s="293"/>
      <c r="EX6" s="293"/>
      <c r="EY6" s="293"/>
      <c r="EZ6" s="293"/>
      <c r="FA6" s="293"/>
      <c r="FB6" s="293"/>
      <c r="FC6" s="293"/>
      <c r="FD6" s="293"/>
      <c r="FE6" s="294"/>
      <c r="FF6" s="237" t="s">
        <v>143</v>
      </c>
      <c r="FG6" s="238"/>
      <c r="FH6" s="238"/>
      <c r="FI6" s="239"/>
      <c r="FJ6" s="243" t="s">
        <v>142</v>
      </c>
      <c r="FK6" s="243"/>
      <c r="FL6" s="243"/>
      <c r="FM6" s="243"/>
    </row>
    <row r="7" spans="1:171" ht="14.5" customHeight="1">
      <c r="D7" s="180" t="s">
        <v>118</v>
      </c>
      <c r="E7" s="180" t="s">
        <v>118</v>
      </c>
      <c r="F7" s="247"/>
      <c r="G7" s="181" t="s">
        <v>121</v>
      </c>
      <c r="H7" s="181" t="s">
        <v>121</v>
      </c>
      <c r="I7" s="181" t="s">
        <v>121</v>
      </c>
      <c r="J7" s="182" t="s">
        <v>121</v>
      </c>
      <c r="K7" s="182" t="s">
        <v>149</v>
      </c>
      <c r="L7" s="253"/>
      <c r="M7" s="64" t="s">
        <v>148</v>
      </c>
      <c r="N7" s="64" t="s">
        <v>114</v>
      </c>
      <c r="O7" s="258"/>
      <c r="P7" s="65" t="s">
        <v>145</v>
      </c>
      <c r="Q7" s="65" t="s">
        <v>145</v>
      </c>
      <c r="R7" s="275"/>
      <c r="S7" s="66" t="str">
        <f>'MK5-BP'!D15</f>
        <v>CPL11</v>
      </c>
      <c r="T7" s="66" t="str">
        <f>'MK5-BP'!E15</f>
        <v>CPL11</v>
      </c>
      <c r="U7" s="280"/>
      <c r="V7" s="37" t="str">
        <f>'MK7-MBD'!D15</f>
        <v>CPL01</v>
      </c>
      <c r="W7" s="157" t="str">
        <f>'MK7-MBD'!E15</f>
        <v>CPL1</v>
      </c>
      <c r="X7" s="227"/>
      <c r="Y7" s="67" t="str">
        <f>MK8_BID!D15</f>
        <v>CPL01</v>
      </c>
      <c r="Z7" s="67" t="str">
        <f>MK8_BID!E15</f>
        <v>CPL01</v>
      </c>
      <c r="AA7" s="265"/>
      <c r="AB7" s="68" t="str">
        <f>'MK16-AGM'!D15</f>
        <v>CPL12</v>
      </c>
      <c r="AC7" s="68" t="str">
        <f>'MK16-AGM'!E15</f>
        <v>CPL12</v>
      </c>
      <c r="AD7" s="270"/>
      <c r="AF7" s="69" t="s">
        <v>94</v>
      </c>
      <c r="AG7" s="298" t="s">
        <v>144</v>
      </c>
      <c r="AH7" s="69" t="s">
        <v>118</v>
      </c>
      <c r="AI7" s="291" t="s">
        <v>144</v>
      </c>
      <c r="AJ7" s="69" t="s">
        <v>108</v>
      </c>
      <c r="AK7" s="291" t="s">
        <v>144</v>
      </c>
      <c r="AL7" s="69" t="s">
        <v>107</v>
      </c>
      <c r="AM7" s="291" t="s">
        <v>144</v>
      </c>
      <c r="AN7" s="69" t="s">
        <v>145</v>
      </c>
      <c r="AO7" s="291" t="s">
        <v>144</v>
      </c>
      <c r="AP7" s="69" t="s">
        <v>146</v>
      </c>
      <c r="AQ7" s="291" t="s">
        <v>144</v>
      </c>
      <c r="AR7" s="69" t="s">
        <v>147</v>
      </c>
      <c r="AS7" s="291" t="s">
        <v>144</v>
      </c>
      <c r="AT7" s="69" t="s">
        <v>148</v>
      </c>
      <c r="AU7" s="291" t="s">
        <v>144</v>
      </c>
      <c r="AV7" s="69" t="s">
        <v>114</v>
      </c>
      <c r="AW7" s="291" t="s">
        <v>144</v>
      </c>
      <c r="AX7" s="69" t="s">
        <v>121</v>
      </c>
      <c r="AY7" s="291" t="s">
        <v>144</v>
      </c>
      <c r="AZ7" s="69" t="s">
        <v>149</v>
      </c>
      <c r="BA7" s="291" t="s">
        <v>144</v>
      </c>
      <c r="BB7" s="69" t="s">
        <v>122</v>
      </c>
      <c r="BC7" s="291" t="s">
        <v>144</v>
      </c>
      <c r="BD7" s="69" t="s">
        <v>95</v>
      </c>
      <c r="BE7" s="291" t="s">
        <v>144</v>
      </c>
      <c r="BF7" s="69" t="s">
        <v>123</v>
      </c>
      <c r="BG7" s="298" t="s">
        <v>144</v>
      </c>
      <c r="BJ7" s="292" t="s">
        <v>94</v>
      </c>
      <c r="BK7" s="293"/>
      <c r="BL7" s="293"/>
      <c r="BM7" s="293"/>
      <c r="BN7" s="293"/>
      <c r="BO7" s="293"/>
      <c r="BP7" s="292" t="s">
        <v>118</v>
      </c>
      <c r="BQ7" s="293"/>
      <c r="BR7" s="293"/>
      <c r="BS7" s="293"/>
      <c r="BT7" s="293"/>
      <c r="BU7" s="293"/>
      <c r="BV7" s="293"/>
      <c r="BW7" s="294"/>
      <c r="BX7" s="292" t="s">
        <v>108</v>
      </c>
      <c r="BY7" s="293"/>
      <c r="BZ7" s="293"/>
      <c r="CA7" s="293"/>
      <c r="CB7" s="293"/>
      <c r="CC7" s="294"/>
      <c r="CD7" s="292" t="s">
        <v>107</v>
      </c>
      <c r="CE7" s="293"/>
      <c r="CF7" s="293"/>
      <c r="CG7" s="294"/>
      <c r="CH7" s="292" t="s">
        <v>145</v>
      </c>
      <c r="CI7" s="293"/>
      <c r="CJ7" s="293"/>
      <c r="CK7" s="293"/>
      <c r="CL7" s="293"/>
      <c r="CM7" s="293"/>
      <c r="CN7" s="293"/>
      <c r="CO7" s="293"/>
      <c r="CP7" s="293"/>
      <c r="CQ7" s="293"/>
      <c r="CR7" s="293"/>
      <c r="CS7" s="293"/>
      <c r="CT7" s="293"/>
      <c r="CU7" s="293"/>
      <c r="CV7" s="293"/>
      <c r="CW7" s="294"/>
      <c r="CX7" s="292" t="s">
        <v>146</v>
      </c>
      <c r="CY7" s="293"/>
      <c r="CZ7" s="293"/>
      <c r="DA7" s="293"/>
      <c r="DB7" s="293"/>
      <c r="DC7" s="293"/>
      <c r="DD7" s="293"/>
      <c r="DE7" s="294"/>
      <c r="DF7" s="292" t="s">
        <v>147</v>
      </c>
      <c r="DG7" s="293"/>
      <c r="DH7" s="293"/>
      <c r="DI7" s="293"/>
      <c r="DJ7" s="293"/>
      <c r="DK7" s="293"/>
      <c r="DL7" s="293"/>
      <c r="DM7" s="293"/>
      <c r="DN7" s="293"/>
      <c r="DO7" s="293"/>
      <c r="DP7" s="293"/>
      <c r="DQ7" s="294"/>
      <c r="DR7" s="292" t="s">
        <v>148</v>
      </c>
      <c r="DS7" s="293"/>
      <c r="DT7" s="293"/>
      <c r="DU7" s="293"/>
      <c r="DV7" s="293"/>
      <c r="DW7" s="294"/>
      <c r="DX7" s="292" t="s">
        <v>114</v>
      </c>
      <c r="DY7" s="293"/>
      <c r="DZ7" s="293"/>
      <c r="EA7" s="294"/>
      <c r="EB7" s="292" t="s">
        <v>121</v>
      </c>
      <c r="EC7" s="293"/>
      <c r="ED7" s="293"/>
      <c r="EE7" s="293"/>
      <c r="EF7" s="293"/>
      <c r="EG7" s="293"/>
      <c r="EH7" s="293"/>
      <c r="EI7" s="293"/>
      <c r="EJ7" s="293"/>
      <c r="EK7" s="294"/>
      <c r="EL7" s="292" t="s">
        <v>149</v>
      </c>
      <c r="EM7" s="293"/>
      <c r="EN7" s="293"/>
      <c r="EO7" s="293"/>
      <c r="EP7" s="293"/>
      <c r="EQ7" s="293"/>
      <c r="ER7" s="293"/>
      <c r="ES7" s="293"/>
      <c r="ET7" s="293"/>
      <c r="EU7" s="294"/>
      <c r="EV7" s="292" t="s">
        <v>122</v>
      </c>
      <c r="EW7" s="293"/>
      <c r="EX7" s="293"/>
      <c r="EY7" s="293"/>
      <c r="EZ7" s="293"/>
      <c r="FA7" s="293"/>
      <c r="FB7" s="293"/>
      <c r="FC7" s="293"/>
      <c r="FD7" s="293"/>
      <c r="FE7" s="294"/>
      <c r="FF7" s="237" t="s">
        <v>95</v>
      </c>
      <c r="FG7" s="238"/>
      <c r="FH7" s="238"/>
      <c r="FI7" s="239"/>
      <c r="FJ7" s="243" t="s">
        <v>123</v>
      </c>
      <c r="FK7" s="243"/>
      <c r="FL7" s="243"/>
      <c r="FM7" s="243"/>
    </row>
    <row r="8" spans="1:171">
      <c r="D8" s="180" t="s">
        <v>120</v>
      </c>
      <c r="E8" s="180" t="s">
        <v>154</v>
      </c>
      <c r="F8" s="247"/>
      <c r="G8" s="181" t="s">
        <v>124</v>
      </c>
      <c r="H8" s="181" t="s">
        <v>168</v>
      </c>
      <c r="I8" s="181" t="s">
        <v>286</v>
      </c>
      <c r="J8" s="182" t="s">
        <v>287</v>
      </c>
      <c r="K8" s="182" t="s">
        <v>169</v>
      </c>
      <c r="L8" s="253"/>
      <c r="M8" s="64" t="s">
        <v>295</v>
      </c>
      <c r="N8" s="64" t="s">
        <v>296</v>
      </c>
      <c r="O8" s="258"/>
      <c r="P8" s="65" t="s">
        <v>297</v>
      </c>
      <c r="Q8" s="65" t="s">
        <v>298</v>
      </c>
      <c r="R8" s="275"/>
      <c r="S8" s="66" t="str">
        <f>'MK5-BP'!D16</f>
        <v>CPMK114</v>
      </c>
      <c r="T8" s="66" t="str">
        <f>'MK5-BP'!E16</f>
        <v>CPMK115</v>
      </c>
      <c r="U8" s="280"/>
      <c r="V8" s="157" t="str">
        <f>'MK7-MBD'!D16</f>
        <v>CPMK11</v>
      </c>
      <c r="W8" s="157" t="str">
        <f>'MK7-MBD'!E16</f>
        <v>CPMK13</v>
      </c>
      <c r="X8" s="227"/>
      <c r="Y8" s="67" t="str">
        <f>MK8_BID!D16</f>
        <v>CPMK12</v>
      </c>
      <c r="Z8" s="67" t="str">
        <f>MK8_BID!E16</f>
        <v>CPMK13</v>
      </c>
      <c r="AA8" s="265"/>
      <c r="AB8" s="68" t="str">
        <f>'MK16-AGM'!D16</f>
        <v>CPMK122</v>
      </c>
      <c r="AC8" s="68" t="str">
        <f>'MK16-AGM'!E16</f>
        <v>CPMK123</v>
      </c>
      <c r="AD8" s="270"/>
      <c r="AE8" s="36" t="s">
        <v>152</v>
      </c>
      <c r="AF8" s="70">
        <v>215</v>
      </c>
      <c r="AG8" s="299"/>
      <c r="AH8" s="70" t="e">
        <f>#REF!</f>
        <v>#REF!</v>
      </c>
      <c r="AI8" s="291"/>
      <c r="AJ8" s="70">
        <f>P9+S9</f>
        <v>100</v>
      </c>
      <c r="AK8" s="291"/>
      <c r="AL8" s="70" t="e">
        <f>#REF!</f>
        <v>#REF!</v>
      </c>
      <c r="AM8" s="291"/>
      <c r="AN8" s="70"/>
      <c r="AO8" s="291"/>
      <c r="AP8" s="70"/>
      <c r="AQ8" s="291"/>
      <c r="AR8" s="70"/>
      <c r="AS8" s="291"/>
      <c r="AT8" s="70"/>
      <c r="AU8" s="291"/>
      <c r="AV8" s="70">
        <f>Q9+T9</f>
        <v>100</v>
      </c>
      <c r="AW8" s="291"/>
      <c r="AX8" s="70" t="e">
        <f>Y9+AB9+#REF!</f>
        <v>#REF!</v>
      </c>
      <c r="AY8" s="291"/>
      <c r="AZ8" s="70"/>
      <c r="BA8" s="291"/>
      <c r="BB8" s="70" t="e">
        <f>#REF!+#REF!+#REF!</f>
        <v>#REF!</v>
      </c>
      <c r="BC8" s="291"/>
      <c r="BD8" s="70">
        <f>E9+K9+N9+W9</f>
        <v>171</v>
      </c>
      <c r="BE8" s="291"/>
      <c r="BF8" s="70" t="e">
        <f>Z9+AC9+#REF!</f>
        <v>#REF!</v>
      </c>
      <c r="BG8" s="299"/>
      <c r="BJ8" s="4" t="s">
        <v>109</v>
      </c>
      <c r="BK8" s="284" t="s">
        <v>177</v>
      </c>
      <c r="BL8" s="4" t="s">
        <v>105</v>
      </c>
      <c r="BM8" s="284" t="s">
        <v>177</v>
      </c>
      <c r="BN8" s="4" t="s">
        <v>119</v>
      </c>
      <c r="BO8" s="284" t="s">
        <v>177</v>
      </c>
      <c r="BP8" s="4" t="s">
        <v>120</v>
      </c>
      <c r="BQ8" s="284" t="s">
        <v>177</v>
      </c>
      <c r="BR8" s="4" t="s">
        <v>153</v>
      </c>
      <c r="BS8" s="284" t="s">
        <v>177</v>
      </c>
      <c r="BT8" s="4" t="s">
        <v>154</v>
      </c>
      <c r="BU8" s="284" t="s">
        <v>177</v>
      </c>
      <c r="BV8" s="4" t="s">
        <v>155</v>
      </c>
      <c r="BW8" s="284" t="s">
        <v>177</v>
      </c>
      <c r="BX8" s="4" t="s">
        <v>111</v>
      </c>
      <c r="BY8" s="284" t="s">
        <v>177</v>
      </c>
      <c r="BZ8" s="4" t="s">
        <v>117</v>
      </c>
      <c r="CA8" s="284" t="s">
        <v>177</v>
      </c>
      <c r="CB8" s="4" t="s">
        <v>115</v>
      </c>
      <c r="CC8" s="284" t="s">
        <v>177</v>
      </c>
      <c r="CD8" s="4" t="s">
        <v>110</v>
      </c>
      <c r="CE8" s="284" t="s">
        <v>177</v>
      </c>
      <c r="CF8" s="4" t="s">
        <v>156</v>
      </c>
      <c r="CG8" s="284" t="s">
        <v>177</v>
      </c>
      <c r="CH8" s="4" t="s">
        <v>157</v>
      </c>
      <c r="CI8" s="284" t="s">
        <v>177</v>
      </c>
      <c r="CJ8" s="183" t="s">
        <v>158</v>
      </c>
      <c r="CK8" s="284" t="s">
        <v>177</v>
      </c>
      <c r="CL8" s="183" t="s">
        <v>327</v>
      </c>
      <c r="CM8" s="284" t="s">
        <v>177</v>
      </c>
      <c r="CN8" s="183" t="s">
        <v>328</v>
      </c>
      <c r="CO8" s="284" t="s">
        <v>177</v>
      </c>
      <c r="CP8" s="208" t="s">
        <v>329</v>
      </c>
      <c r="CQ8" s="284" t="s">
        <v>177</v>
      </c>
      <c r="CR8" s="183" t="s">
        <v>330</v>
      </c>
      <c r="CS8" s="284" t="s">
        <v>177</v>
      </c>
      <c r="CT8" s="183" t="s">
        <v>331</v>
      </c>
      <c r="CU8" s="284" t="s">
        <v>177</v>
      </c>
      <c r="CV8" s="4" t="s">
        <v>332</v>
      </c>
      <c r="CW8" s="284" t="s">
        <v>177</v>
      </c>
      <c r="CX8" s="4" t="s">
        <v>159</v>
      </c>
      <c r="CY8" s="284" t="s">
        <v>177</v>
      </c>
      <c r="CZ8" s="4" t="s">
        <v>160</v>
      </c>
      <c r="DA8" s="284" t="s">
        <v>177</v>
      </c>
      <c r="DB8" s="4" t="s">
        <v>161</v>
      </c>
      <c r="DC8" s="284" t="s">
        <v>177</v>
      </c>
      <c r="DD8" s="4" t="s">
        <v>162</v>
      </c>
      <c r="DE8" s="284" t="s">
        <v>177</v>
      </c>
      <c r="DF8" s="4" t="s">
        <v>163</v>
      </c>
      <c r="DG8" s="284" t="s">
        <v>177</v>
      </c>
      <c r="DH8" s="4" t="s">
        <v>164</v>
      </c>
      <c r="DI8" s="284" t="s">
        <v>177</v>
      </c>
      <c r="DJ8" s="69" t="s">
        <v>165</v>
      </c>
      <c r="DK8" s="284" t="s">
        <v>177</v>
      </c>
      <c r="DL8" s="69" t="s">
        <v>333</v>
      </c>
      <c r="DM8" s="284" t="s">
        <v>177</v>
      </c>
      <c r="DN8" s="69" t="s">
        <v>334</v>
      </c>
      <c r="DO8" s="284" t="s">
        <v>177</v>
      </c>
      <c r="DP8" s="4" t="s">
        <v>335</v>
      </c>
      <c r="DQ8" s="284" t="s">
        <v>177</v>
      </c>
      <c r="DR8" s="4" t="s">
        <v>166</v>
      </c>
      <c r="DS8" s="282" t="s">
        <v>177</v>
      </c>
      <c r="DT8" s="69" t="s">
        <v>167</v>
      </c>
      <c r="DU8" s="185" t="s">
        <v>177</v>
      </c>
      <c r="DV8" s="4" t="s">
        <v>336</v>
      </c>
      <c r="DW8" s="284" t="s">
        <v>177</v>
      </c>
      <c r="DX8" s="4" t="s">
        <v>150</v>
      </c>
      <c r="DY8" s="284" t="s">
        <v>177</v>
      </c>
      <c r="DZ8" s="4" t="s">
        <v>116</v>
      </c>
      <c r="EA8" s="284" t="s">
        <v>177</v>
      </c>
      <c r="EB8" s="4" t="s">
        <v>124</v>
      </c>
      <c r="EC8" s="284" t="s">
        <v>177</v>
      </c>
      <c r="ED8" s="203" t="s">
        <v>168</v>
      </c>
      <c r="EE8" s="183" t="s">
        <v>177</v>
      </c>
      <c r="EF8" s="183" t="s">
        <v>286</v>
      </c>
      <c r="EG8" s="183" t="s">
        <v>177</v>
      </c>
      <c r="EH8" s="183" t="s">
        <v>287</v>
      </c>
      <c r="EI8" s="183" t="s">
        <v>177</v>
      </c>
      <c r="EJ8" s="4" t="s">
        <v>338</v>
      </c>
      <c r="EK8" s="284" t="s">
        <v>177</v>
      </c>
      <c r="EL8" s="4" t="s">
        <v>169</v>
      </c>
      <c r="EM8" s="284" t="s">
        <v>177</v>
      </c>
      <c r="EN8" s="183" t="s">
        <v>170</v>
      </c>
      <c r="EO8" s="183" t="s">
        <v>177</v>
      </c>
      <c r="EP8" s="183" t="s">
        <v>339</v>
      </c>
      <c r="EQ8" s="183" t="s">
        <v>177</v>
      </c>
      <c r="ER8" s="183" t="s">
        <v>301</v>
      </c>
      <c r="ES8" s="183" t="s">
        <v>177</v>
      </c>
      <c r="ET8" s="4" t="s">
        <v>302</v>
      </c>
      <c r="EU8" s="284" t="s">
        <v>177</v>
      </c>
      <c r="EV8" s="4" t="s">
        <v>125</v>
      </c>
      <c r="EW8" s="284" t="s">
        <v>177</v>
      </c>
      <c r="EX8" s="183" t="s">
        <v>130</v>
      </c>
      <c r="EY8" s="183" t="s">
        <v>177</v>
      </c>
      <c r="EZ8" s="183" t="s">
        <v>319</v>
      </c>
      <c r="FA8" s="183" t="s">
        <v>177</v>
      </c>
      <c r="FB8" s="183" t="s">
        <v>340</v>
      </c>
      <c r="FC8" s="183" t="s">
        <v>177</v>
      </c>
      <c r="FD8" s="4" t="s">
        <v>341</v>
      </c>
      <c r="FE8" s="284" t="s">
        <v>177</v>
      </c>
      <c r="FF8" s="92" t="s">
        <v>97</v>
      </c>
      <c r="FG8" s="295" t="s">
        <v>177</v>
      </c>
      <c r="FH8" s="92" t="s">
        <v>171</v>
      </c>
      <c r="FI8" s="295" t="s">
        <v>177</v>
      </c>
      <c r="FJ8" s="92" t="s">
        <v>126</v>
      </c>
      <c r="FK8" s="295" t="s">
        <v>177</v>
      </c>
      <c r="FL8" s="92" t="s">
        <v>151</v>
      </c>
      <c r="FM8" s="295" t="s">
        <v>177</v>
      </c>
    </row>
    <row r="9" spans="1:171">
      <c r="C9" s="71" t="e">
        <f>SUM(D9,E9,G9,K9,M9,#REF!,N9,P9,Q9,S9,T9,V9,#REF!,W9,Y9,#REF!,Z9,AB9,#REF!,AC9,#REF!,#REF!,#REF!)</f>
        <v>#REF!</v>
      </c>
      <c r="D9" s="180">
        <v>50</v>
      </c>
      <c r="E9" s="180">
        <v>50</v>
      </c>
      <c r="F9" s="248"/>
      <c r="G9" s="181">
        <v>16</v>
      </c>
      <c r="H9" s="181">
        <v>16</v>
      </c>
      <c r="I9" s="181">
        <v>26</v>
      </c>
      <c r="J9" s="182">
        <v>21</v>
      </c>
      <c r="K9" s="182">
        <v>21</v>
      </c>
      <c r="L9" s="254"/>
      <c r="M9" s="64">
        <v>50</v>
      </c>
      <c r="N9" s="64">
        <v>50</v>
      </c>
      <c r="O9" s="259"/>
      <c r="P9" s="65">
        <v>50</v>
      </c>
      <c r="Q9" s="65">
        <v>50</v>
      </c>
      <c r="R9" s="276"/>
      <c r="S9" s="66">
        <f>'MK5-BP'!D17</f>
        <v>50</v>
      </c>
      <c r="T9" s="66">
        <f>'MK5-BP'!E17</f>
        <v>50</v>
      </c>
      <c r="U9" s="281"/>
      <c r="V9" s="157">
        <f>'MK7-MBD'!D17</f>
        <v>50</v>
      </c>
      <c r="W9" s="157">
        <f>'MK7-MBD'!E17</f>
        <v>50</v>
      </c>
      <c r="X9" s="228"/>
      <c r="Y9" s="67">
        <f>MK8_BID!D17</f>
        <v>50</v>
      </c>
      <c r="Z9" s="67">
        <f>MK8_BID!E17</f>
        <v>50</v>
      </c>
      <c r="AA9" s="266"/>
      <c r="AB9" s="68">
        <f>'MK16-AGM'!D17</f>
        <v>50</v>
      </c>
      <c r="AC9" s="68">
        <f>'MK16-AGM'!E17</f>
        <v>50</v>
      </c>
      <c r="AD9" s="271"/>
      <c r="AF9" s="72"/>
      <c r="AG9" s="300"/>
      <c r="AH9" s="72"/>
      <c r="AI9" s="291"/>
      <c r="AJ9" s="72"/>
      <c r="AK9" s="291"/>
      <c r="AL9" s="72"/>
      <c r="AM9" s="291"/>
      <c r="AN9" s="72"/>
      <c r="AO9" s="291"/>
      <c r="AP9" s="72"/>
      <c r="AQ9" s="291"/>
      <c r="AR9" s="72"/>
      <c r="AS9" s="291"/>
      <c r="AT9" s="72"/>
      <c r="AU9" s="291"/>
      <c r="AV9" s="72"/>
      <c r="AW9" s="291"/>
      <c r="AX9" s="72"/>
      <c r="AY9" s="291"/>
      <c r="AZ9" s="72"/>
      <c r="BA9" s="291"/>
      <c r="BB9" s="72"/>
      <c r="BC9" s="291"/>
      <c r="BD9" s="72"/>
      <c r="BE9" s="291"/>
      <c r="BF9" s="72"/>
      <c r="BG9" s="300"/>
      <c r="BJ9" s="4">
        <f>V9</f>
        <v>50</v>
      </c>
      <c r="BK9" s="285"/>
      <c r="BL9" s="4">
        <f>Y9</f>
        <v>50</v>
      </c>
      <c r="BM9" s="285"/>
      <c r="BN9" s="4">
        <f>Z9</f>
        <v>50</v>
      </c>
      <c r="BO9" s="285"/>
      <c r="BP9" s="4">
        <f>D9</f>
        <v>50</v>
      </c>
      <c r="BQ9" s="285"/>
      <c r="BR9" s="4"/>
      <c r="BS9" s="285"/>
      <c r="BT9" s="4">
        <f>E9</f>
        <v>50</v>
      </c>
      <c r="BU9" s="285"/>
      <c r="BV9" s="4"/>
      <c r="BW9" s="285"/>
      <c r="BX9" s="4"/>
      <c r="BY9" s="285"/>
      <c r="BZ9" s="4"/>
      <c r="CA9" s="285"/>
      <c r="CB9" s="4"/>
      <c r="CC9" s="285"/>
      <c r="CD9" s="4"/>
      <c r="CE9" s="285"/>
      <c r="CF9" s="4"/>
      <c r="CG9" s="285"/>
      <c r="CH9" s="4"/>
      <c r="CI9" s="285"/>
      <c r="CJ9" s="184"/>
      <c r="CK9" s="285"/>
      <c r="CL9" s="184"/>
      <c r="CM9" s="285"/>
      <c r="CN9" s="184"/>
      <c r="CO9" s="285"/>
      <c r="CP9" s="209">
        <f>P9</f>
        <v>50</v>
      </c>
      <c r="CQ9" s="285"/>
      <c r="CR9" s="184">
        <v>50</v>
      </c>
      <c r="CS9" s="285"/>
      <c r="CT9" s="184"/>
      <c r="CU9" s="285"/>
      <c r="CV9" s="4"/>
      <c r="CW9" s="285"/>
      <c r="CX9" s="4"/>
      <c r="CY9" s="285"/>
      <c r="CZ9" s="4"/>
      <c r="DA9" s="285"/>
      <c r="DB9" s="4"/>
      <c r="DC9" s="285"/>
      <c r="DD9" s="4"/>
      <c r="DE9" s="285"/>
      <c r="DF9" s="4"/>
      <c r="DG9" s="285"/>
      <c r="DH9" s="4"/>
      <c r="DI9" s="285"/>
      <c r="DJ9" s="184"/>
      <c r="DK9" s="285"/>
      <c r="DL9" s="184"/>
      <c r="DM9" s="285"/>
      <c r="DN9" s="184"/>
      <c r="DO9" s="285"/>
      <c r="DP9" s="4"/>
      <c r="DQ9" s="285"/>
      <c r="DR9" s="4">
        <v>50</v>
      </c>
      <c r="DS9" s="283"/>
      <c r="DT9" s="184"/>
      <c r="DU9" s="186"/>
      <c r="DV9" s="4"/>
      <c r="DW9" s="285"/>
      <c r="DX9" s="4">
        <f>Q9</f>
        <v>50</v>
      </c>
      <c r="DY9" s="285"/>
      <c r="DZ9" s="4"/>
      <c r="EA9" s="285"/>
      <c r="EB9" s="4">
        <v>16</v>
      </c>
      <c r="EC9" s="285"/>
      <c r="ED9" s="204">
        <v>16</v>
      </c>
      <c r="EE9" s="184"/>
      <c r="EF9" s="184">
        <f>I9</f>
        <v>26</v>
      </c>
      <c r="EG9" s="184"/>
      <c r="EH9" s="184">
        <f>J9</f>
        <v>21</v>
      </c>
      <c r="EI9" s="184"/>
      <c r="EJ9" s="4"/>
      <c r="EK9" s="285"/>
      <c r="EL9" s="4">
        <f>K9</f>
        <v>21</v>
      </c>
      <c r="EM9" s="285"/>
      <c r="EN9" s="184"/>
      <c r="EO9" s="184"/>
      <c r="EP9" s="184"/>
      <c r="EQ9" s="184"/>
      <c r="ER9" s="69">
        <f>S9</f>
        <v>50</v>
      </c>
      <c r="ES9" s="184"/>
      <c r="ET9" s="4">
        <f>T9</f>
        <v>50</v>
      </c>
      <c r="EU9" s="285"/>
      <c r="EV9" s="4"/>
      <c r="EW9" s="285"/>
      <c r="EX9" s="184">
        <f>AB9</f>
        <v>50</v>
      </c>
      <c r="EY9" s="184"/>
      <c r="EZ9" s="184">
        <f>AC9</f>
        <v>50</v>
      </c>
      <c r="FA9" s="184"/>
      <c r="FB9" s="184"/>
      <c r="FC9" s="184"/>
      <c r="FD9" s="4"/>
      <c r="FE9" s="285"/>
      <c r="FF9" s="92">
        <f>E9+K9+N9+W9</f>
        <v>171</v>
      </c>
      <c r="FG9" s="296"/>
      <c r="FH9" s="92"/>
      <c r="FI9" s="296"/>
      <c r="FJ9" s="92" t="e">
        <f>AC9+#REF!</f>
        <v>#REF!</v>
      </c>
      <c r="FK9" s="296"/>
      <c r="FL9" s="92">
        <f>Z9</f>
        <v>50</v>
      </c>
      <c r="FM9" s="296"/>
      <c r="FN9" s="190" t="e">
        <f>SUM(BJ9:FL9)</f>
        <v>#REF!</v>
      </c>
    </row>
    <row r="10" spans="1:171">
      <c r="A10" s="1" t="s">
        <v>0</v>
      </c>
      <c r="B10" s="1" t="s">
        <v>1</v>
      </c>
      <c r="C10" s="1" t="s">
        <v>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J10" s="92"/>
      <c r="BK10" s="99"/>
      <c r="BL10" s="92"/>
      <c r="BM10" s="92"/>
      <c r="BN10" s="92"/>
      <c r="BO10" s="92"/>
      <c r="BP10" s="92"/>
      <c r="BQ10" s="92"/>
      <c r="BR10" s="92"/>
      <c r="BS10" s="92"/>
      <c r="BT10" s="92"/>
      <c r="BU10" s="92"/>
      <c r="BV10" s="92"/>
      <c r="BW10" s="92"/>
      <c r="BX10" s="92"/>
      <c r="BY10" s="92"/>
      <c r="BZ10" s="92"/>
      <c r="CA10" s="92"/>
      <c r="CB10" s="92"/>
      <c r="CC10" s="92"/>
      <c r="CD10" s="92"/>
      <c r="CE10" s="92"/>
      <c r="CF10" s="92"/>
      <c r="CG10" s="92"/>
      <c r="CH10" s="92"/>
      <c r="CI10" s="92"/>
      <c r="CJ10" s="92"/>
      <c r="CK10" s="92"/>
      <c r="CL10" s="92"/>
      <c r="CM10" s="92"/>
      <c r="CN10" s="92"/>
      <c r="CO10" s="92"/>
      <c r="CP10" s="191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2"/>
      <c r="DG10" s="92"/>
      <c r="DH10" s="92"/>
      <c r="DI10" s="92"/>
      <c r="DJ10" s="92"/>
      <c r="DK10" s="92"/>
      <c r="DL10" s="92"/>
      <c r="DM10" s="92"/>
      <c r="DN10" s="92"/>
      <c r="DO10" s="92"/>
      <c r="DP10" s="92"/>
      <c r="DQ10" s="92"/>
      <c r="DR10" s="92"/>
      <c r="DS10" s="187"/>
      <c r="DT10" s="92"/>
      <c r="DU10" s="92"/>
      <c r="DV10" s="92"/>
      <c r="DW10" s="92"/>
      <c r="DX10" s="92"/>
      <c r="DY10" s="92"/>
      <c r="DZ10" s="92"/>
      <c r="EA10" s="92"/>
      <c r="EB10" s="92"/>
      <c r="EC10" s="92"/>
      <c r="ED10" s="205"/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2"/>
      <c r="EW10" s="92"/>
      <c r="EX10" s="92"/>
      <c r="EY10" s="92"/>
      <c r="EZ10" s="92"/>
      <c r="FA10" s="92"/>
      <c r="FB10" s="92"/>
      <c r="FC10" s="92"/>
      <c r="FD10" s="92"/>
      <c r="FE10" s="92"/>
      <c r="FF10" s="92"/>
      <c r="FG10" s="92"/>
      <c r="FH10" s="92"/>
      <c r="FI10" s="92"/>
      <c r="FJ10" s="92"/>
      <c r="FK10" s="92"/>
      <c r="FL10" s="92"/>
      <c r="FM10" s="92"/>
    </row>
    <row r="11" spans="1:171">
      <c r="A11" s="121">
        <v>1</v>
      </c>
      <c r="B11" s="122" t="s">
        <v>191</v>
      </c>
      <c r="C11" s="122" t="s">
        <v>192</v>
      </c>
      <c r="D11" s="73">
        <f>'MK1-TM'!D19</f>
        <v>77.5</v>
      </c>
      <c r="E11" s="73">
        <f>'MK1-TM'!E19</f>
        <v>82</v>
      </c>
      <c r="F11" s="73">
        <f>IFERROR((D11*($D$9/100))+(E11*($E$9/100)),"")</f>
        <v>79.75</v>
      </c>
      <c r="G11" s="91">
        <f>'MK2-TO'!D19</f>
        <v>79.25</v>
      </c>
      <c r="H11" s="91">
        <f>'MK2-TO'!E19</f>
        <v>80.5</v>
      </c>
      <c r="I11" s="91">
        <v>83.38</v>
      </c>
      <c r="J11" s="91">
        <v>80.86</v>
      </c>
      <c r="K11" s="91">
        <f>'MK2-TO'!H19</f>
        <v>83</v>
      </c>
      <c r="L11" s="91">
        <f>IFERROR((G11*($G$9/100))+(H11*($H$9/100))+(I11*($I$9/100))+(J11*($J$9/100)+(K11*($K$9/100))),"")</f>
        <v>81.6494</v>
      </c>
      <c r="M11" s="74">
        <f>'MK3-PSTI'!D19</f>
        <v>79</v>
      </c>
      <c r="N11" s="74">
        <f>'MK3-PSTI'!E19</f>
        <v>82.5</v>
      </c>
      <c r="O11" s="74">
        <f>IFERROR((M11*($M$9/100))+(N11*($N$9/100)),"")</f>
        <v>80.75</v>
      </c>
      <c r="P11" s="75">
        <f>IF('MK4-L&amp;A'!D19="","",'MK4-L&amp;A'!D19)</f>
        <v>84.5</v>
      </c>
      <c r="Q11" s="75">
        <f>IF('MK4-L&amp;A'!E19="","",'MK4-L&amp;A'!E19)</f>
        <v>87</v>
      </c>
      <c r="R11" s="75">
        <f>IFERROR((P11*($P$9/100))+(Q11*($Q$9/100)),"")</f>
        <v>85.75</v>
      </c>
      <c r="S11" s="76">
        <f>IF('MK5-BP'!D19="","",'MK5-BP'!D19)</f>
        <v>75.599999999999994</v>
      </c>
      <c r="T11" s="76">
        <f>IF('MK5-BP'!E19="","",'MK5-BP'!E19)</f>
        <v>68.099999999999994</v>
      </c>
      <c r="U11" s="76">
        <f>IFERROR((S11*($S$9/100))+(T11*($T$9/100)),"")</f>
        <v>71.849999999999994</v>
      </c>
      <c r="V11" s="38">
        <f>IF('MK7-MBD'!D19="","",'MK7-MBD'!D19)</f>
        <v>82.7</v>
      </c>
      <c r="W11" s="38">
        <f>IF('MK7-MBD'!E19="","",'MK7-MBD'!E19)</f>
        <v>91.7</v>
      </c>
      <c r="X11" s="38">
        <f>IFERROR((V11*($S$9/100))+(W11*($T$9/100)),"")</f>
        <v>87.2</v>
      </c>
      <c r="Y11" s="77">
        <f>IF(MK8_BID!D19="","",MK8_BID!D19)</f>
        <v>81.400000000000006</v>
      </c>
      <c r="Z11" s="77">
        <f>IF(MK8_BID!E19="","",MK8_BID!E19)</f>
        <v>81.400000000000006</v>
      </c>
      <c r="AA11" s="77">
        <f>IFERROR((Y11*($S$9/100))+(Z11*($T$9/100)),"")</f>
        <v>81.400000000000006</v>
      </c>
      <c r="AB11" s="78">
        <f>IF('MK16-AGM'!D19="","",'MK16-AGM'!D19)</f>
        <v>93.2</v>
      </c>
      <c r="AC11" s="78">
        <f>IF('MK16-AGM'!E19="","",'MK16-AGM'!E19)</f>
        <v>97.5</v>
      </c>
      <c r="AD11" s="78">
        <f>IFERROR((AB11*($AB$9/100))+(AC11*($AC$9/100)),"")</f>
        <v>95.35</v>
      </c>
      <c r="AF11" s="79">
        <f t="shared" ref="AF11:AF19" si="0">IFERROR((D11*($D$9/100)+G11*($G$9/100)+M11*($M$9/100)+V11*($V$9/100)),"")</f>
        <v>132.28</v>
      </c>
      <c r="AG11" s="80">
        <f>IFERROR(AF11/$AF$8*100,"")</f>
        <v>61.525581395348837</v>
      </c>
      <c r="AH11" s="79"/>
      <c r="AI11" s="80"/>
      <c r="AJ11" s="79"/>
      <c r="AK11" s="80"/>
      <c r="AL11" s="79" t="str">
        <f>IFERROR((#REF!*(#REF!/100)),"")</f>
        <v/>
      </c>
      <c r="AM11" s="80" t="str">
        <f>IFERROR(AL11/$AL$8*100,"")</f>
        <v/>
      </c>
      <c r="AN11" s="80"/>
      <c r="AO11" s="80"/>
      <c r="AP11" s="80"/>
      <c r="AQ11" s="80"/>
      <c r="AR11" s="80"/>
      <c r="AS11" s="80"/>
      <c r="AT11" s="80"/>
      <c r="AU11" s="80"/>
      <c r="AV11" s="79"/>
      <c r="AW11" s="80"/>
      <c r="AX11" s="79"/>
      <c r="AY11" s="80"/>
      <c r="AZ11" s="80"/>
      <c r="BA11" s="80"/>
      <c r="BB11" s="79"/>
      <c r="BC11" s="80"/>
      <c r="BD11" s="79">
        <f t="shared" ref="BD11:BD19" si="1">IFERROR((E11*($E$9/100)+K11*($K$9/100)+N11*($N$9/100)+W11*($W$9/100)),"")</f>
        <v>145.53</v>
      </c>
      <c r="BE11" s="80">
        <f>IFERROR(BD11/$BD$8*100,"")</f>
        <v>85.10526315789474</v>
      </c>
      <c r="BF11" s="2"/>
      <c r="BG11" s="79"/>
      <c r="BJ11" s="4">
        <f>IF(V11="","",IFERROR(V11*($V$9/100),""))</f>
        <v>41.35</v>
      </c>
      <c r="BK11" s="89">
        <f>IF(BJ11="","",BJ11/$BJ$9)</f>
        <v>0.82700000000000007</v>
      </c>
      <c r="BL11" s="4">
        <f>IF(Y11="","",IFERROR(Y11*($BL$9/100),""))</f>
        <v>40.700000000000003</v>
      </c>
      <c r="BM11" s="89">
        <f>IF(BL11="","",BL11/$BL$9)</f>
        <v>0.81400000000000006</v>
      </c>
      <c r="BN11" s="81">
        <f>IF(Z11="","",IFERROR(Z11*($BN$9/100),""))</f>
        <v>40.700000000000003</v>
      </c>
      <c r="BO11" s="89">
        <f>IF(BN11="","",BN11/$BN$9)</f>
        <v>0.81400000000000006</v>
      </c>
      <c r="BP11" s="81">
        <f>IF(D11="","",IFERROR(D11*($D$9/100),""))</f>
        <v>38.75</v>
      </c>
      <c r="BQ11" s="89">
        <f>IF(BP11="","",BP11/$BP$9)</f>
        <v>0.77500000000000002</v>
      </c>
      <c r="BR11" s="4"/>
      <c r="BS11" s="4"/>
      <c r="BT11" s="81">
        <f>IF(E11="","",IFERROR(E11*($E$9/100),""))</f>
        <v>41</v>
      </c>
      <c r="BU11" s="87">
        <f>IF(BT11="","",BT11/$BT$9)</f>
        <v>0.82</v>
      </c>
      <c r="BV11" s="4"/>
      <c r="BW11" s="4"/>
      <c r="BX11" s="4"/>
      <c r="BY11" s="4"/>
      <c r="BZ11" s="81"/>
      <c r="CA11" s="89" t="str">
        <f>IF(BZ11="","",BZ11/$BZ$9)</f>
        <v/>
      </c>
      <c r="CB11" s="81"/>
      <c r="CC11" s="89"/>
      <c r="CD11" s="81"/>
      <c r="CE11" s="89" t="str">
        <f>IF(CD11="","",CD11/$CD$9)</f>
        <v/>
      </c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81">
        <f>IF(P11="","",IFERROR(P11*($P$9/100),""))</f>
        <v>42.25</v>
      </c>
      <c r="CQ11" s="87">
        <f>IF(CP11="","",CP11/$CP$9)</f>
        <v>0.84499999999999997</v>
      </c>
      <c r="CR11" s="4">
        <f>IF(Q11="","",IFERROR(Q11*($Q$9/100),""))</f>
        <v>43.5</v>
      </c>
      <c r="CS11" s="87">
        <f>IF(CR11="","",CR11/$CR$9)</f>
        <v>0.87</v>
      </c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81">
        <f>IF(M11="","",IFERROR(M11*($M$9/100),""))</f>
        <v>39.5</v>
      </c>
      <c r="DS11" s="87">
        <f>IF(DR11="","",DR11/$DR$9)</f>
        <v>0.79</v>
      </c>
      <c r="DT11" s="4"/>
      <c r="DU11" s="4"/>
      <c r="DV11" s="4"/>
      <c r="DW11" s="4"/>
      <c r="DX11" s="81">
        <f>IF(N11="","",IFERROR(N11*($N$9/100),""))</f>
        <v>41.25</v>
      </c>
      <c r="DY11" s="89">
        <f>IF(DX11="","",DX11/$DX$9)</f>
        <v>0.82499999999999996</v>
      </c>
      <c r="DZ11" s="81"/>
      <c r="EA11" s="89"/>
      <c r="EB11" s="81">
        <f>IF(G11="","",IFERROR(G11*($G$9/100),""))</f>
        <v>12.68</v>
      </c>
      <c r="EC11" s="89">
        <f>IF(EB11="","",EB11/$EB$9)</f>
        <v>0.79249999999999998</v>
      </c>
      <c r="ED11" s="80">
        <f>IF(H11="","",IFERROR(H11*($H$9/100),""))</f>
        <v>12.88</v>
      </c>
      <c r="EE11" s="89">
        <f>IF(ED11="","",ED11/$ED$9)</f>
        <v>0.80500000000000005</v>
      </c>
      <c r="EF11" s="206">
        <f>IF(I11="","",IFERROR(I11*($I$9/100),""))</f>
        <v>21.678799999999999</v>
      </c>
      <c r="EG11" s="89">
        <f>IF(EF11="","",EF11/$EF$9)</f>
        <v>0.83379999999999999</v>
      </c>
      <c r="EH11" s="80">
        <f>IF(J11="","",IFERROR(J11*($J$9/100),""))</f>
        <v>16.980599999999999</v>
      </c>
      <c r="EI11" s="89">
        <f>IF(EH11="","",EH11/$EH$9)</f>
        <v>0.80859999999999999</v>
      </c>
      <c r="EJ11" s="4"/>
      <c r="EK11" s="4"/>
      <c r="EL11" s="81">
        <f>IF(K11="","",IFERROR(K11*($K$9/100),""))</f>
        <v>17.43</v>
      </c>
      <c r="EM11" s="87">
        <f>IF(EF11="","",EF11/$EF$9)</f>
        <v>0.83379999999999999</v>
      </c>
      <c r="EN11" s="4"/>
      <c r="EO11" s="4"/>
      <c r="EP11" s="4"/>
      <c r="EQ11" s="4"/>
      <c r="ER11" s="4">
        <f>IF(S11="","",IFERROR(S11*($S$9/100),""))</f>
        <v>37.799999999999997</v>
      </c>
      <c r="ES11" s="87">
        <f>IF(ER11="","",ER11/$ER$9)</f>
        <v>0.75599999999999989</v>
      </c>
      <c r="ET11" s="4">
        <f>IF(T11="","",IFERROR(T11*($T$9/100),""))</f>
        <v>34.049999999999997</v>
      </c>
      <c r="EU11" s="87">
        <f>IF(ET11="","",ET11/$ET$9)</f>
        <v>0.68099999999999994</v>
      </c>
      <c r="EV11" s="81" t="str">
        <f>IFERROR(IF(#REF!="","",IFERROR(#REF!*(#REF!/100),"")),"")</f>
        <v/>
      </c>
      <c r="EW11" s="89" t="str">
        <f>IF(EV11="","",EV11/$EV$9)</f>
        <v/>
      </c>
      <c r="EX11" s="80">
        <f>IF(AB11="","",IFERROR(AB11*($AB$9/100),""))</f>
        <v>46.6</v>
      </c>
      <c r="EY11" s="89">
        <f>IF(EX11="","",EX11/$EX$9)</f>
        <v>0.93200000000000005</v>
      </c>
      <c r="EZ11" s="80">
        <f>IF(AC11="","",IFERROR(AC11*($AC$9/100),""))</f>
        <v>48.75</v>
      </c>
      <c r="FA11" s="89">
        <f>IF(EZ11="","",EZ11/$EZ$9)</f>
        <v>0.97499999999999998</v>
      </c>
      <c r="FB11" s="89"/>
      <c r="FC11" s="89"/>
      <c r="FD11" s="81" t="str">
        <f>IFERROR(IF(#REF!="","",IFERROR(#REF!*(#REF!/100),""))+IF(#REF!="","",IFERROR(#REF!*(#REF!/100),"")),"")</f>
        <v/>
      </c>
      <c r="FE11" s="89" t="str">
        <f>IF(FD11="","",FD11/$FD$9)</f>
        <v/>
      </c>
      <c r="FF11" s="191">
        <f t="shared" ref="FF11:FF19" si="2">IFERROR(IF(E11="","",IFERROR(E11*($E$9/100),""))+IF(K11="","",IFERROR(K11*($K$9/100),""))+IF(N11="","",IFERROR(N11*($N$9/100),""))+IF(W11="","",IFERROR(W11*($W$9/100),"")),"")</f>
        <v>145.53</v>
      </c>
      <c r="FG11" s="192">
        <f>IF(FF11="","",FF11/$FF$9)</f>
        <v>0.85105263157894739</v>
      </c>
      <c r="FH11" s="92"/>
      <c r="FI11" s="92"/>
      <c r="FJ11" s="191" t="str">
        <f>IFERROR(IF(AC11="","",IFERROR(AC11*($AC$9/100),""))+IF(#REF!="","",IFERROR(#REF!*(#REF!/100),"")),"")</f>
        <v/>
      </c>
      <c r="FK11" s="192" t="str">
        <f>IF(FJ11="","",FJ11/$FJ$9)</f>
        <v/>
      </c>
      <c r="FL11" s="191">
        <f t="shared" ref="FL11:FL19" si="3">IFERROR(IF(Z11="","",IFERROR(Z11*($Z$9/100),"")),"")</f>
        <v>40.700000000000003</v>
      </c>
      <c r="FM11" s="192">
        <f>IF(FL11="","",FL11/$FL$9)</f>
        <v>0.81400000000000006</v>
      </c>
      <c r="FN11" s="190">
        <f t="shared" ref="FN11:FN19" si="4">SUM(BJ11:FL11)</f>
        <v>819.72815263157906</v>
      </c>
      <c r="FO11" s="101" t="e">
        <f>FN11/$FN$9</f>
        <v>#REF!</v>
      </c>
    </row>
    <row r="12" spans="1:171">
      <c r="A12" s="121">
        <v>2</v>
      </c>
      <c r="B12" s="122" t="s">
        <v>193</v>
      </c>
      <c r="C12" s="122" t="s">
        <v>194</v>
      </c>
      <c r="D12" s="73">
        <f>'MK1-TM'!D20</f>
        <v>94</v>
      </c>
      <c r="E12" s="73">
        <f>'MK1-TM'!E20</f>
        <v>99.5</v>
      </c>
      <c r="F12" s="73">
        <f t="shared" ref="F12:F44" si="5">IFERROR((D12*($D$9/100))+(E12*($E$9/100)),"")</f>
        <v>96.75</v>
      </c>
      <c r="G12" s="91">
        <f>'MK2-TO'!D20</f>
        <v>76.13</v>
      </c>
      <c r="H12" s="91">
        <f>'MK2-TO'!E20</f>
        <v>78.63</v>
      </c>
      <c r="I12" s="91">
        <f>'MK2-TO'!F20</f>
        <v>86.46</v>
      </c>
      <c r="J12" s="91">
        <v>78.900000000000006</v>
      </c>
      <c r="K12" s="91">
        <f>'MK2-TO'!H20</f>
        <v>86.1</v>
      </c>
      <c r="L12" s="91">
        <f t="shared" ref="L12:L44" si="6">IFERROR((G12*($G$9/100))+(H12*($H$9/100))+(I12*($I$9/100))+(J12*($J$9/100)+(K12*($K$9/100))),"")</f>
        <v>81.891199999999998</v>
      </c>
      <c r="M12" s="74">
        <f>'MK3-PSTI'!D20</f>
        <v>86</v>
      </c>
      <c r="N12" s="74">
        <f>'MK3-PSTI'!E20</f>
        <v>86</v>
      </c>
      <c r="O12" s="74">
        <f t="shared" ref="O12:O44" si="7">IFERROR((M12*($M$9/100))+(N12*($N$9/100)),"")</f>
        <v>86</v>
      </c>
      <c r="P12" s="75">
        <f>IF('MK4-L&amp;A'!D20="","",'MK4-L&amp;A'!D20)</f>
        <v>88</v>
      </c>
      <c r="Q12" s="75">
        <f>IF('MK4-L&amp;A'!E20="","",'MK4-L&amp;A'!E20)</f>
        <v>87</v>
      </c>
      <c r="R12" s="75">
        <f t="shared" ref="R12:R44" si="8">IFERROR((P12*($P$9/100))+(Q12*($Q$9/100)),"")</f>
        <v>87.5</v>
      </c>
      <c r="S12" s="76">
        <f>IF('MK5-BP'!D20="","",'MK5-BP'!D20)</f>
        <v>75.599999999999994</v>
      </c>
      <c r="T12" s="76">
        <f>IF('MK5-BP'!E20="","",'MK5-BP'!E20)</f>
        <v>68.099999999999994</v>
      </c>
      <c r="U12" s="76">
        <f>IFERROR((S12*($S$9/100))+(T12*($T$9/100)),"")</f>
        <v>71.849999999999994</v>
      </c>
      <c r="V12" s="38">
        <f>IF('MK7-MBD'!D20="","",'MK7-MBD'!D20)</f>
        <v>84.35</v>
      </c>
      <c r="W12" s="38">
        <f>IF('MK7-MBD'!E20="","",'MK7-MBD'!E20)</f>
        <v>92.2</v>
      </c>
      <c r="X12" s="38">
        <f t="shared" ref="X12:X44" si="9">IFERROR((V12*($S$9/100))+(W12*($T$9/100)),"")</f>
        <v>88.275000000000006</v>
      </c>
      <c r="Y12" s="77">
        <f>IF(MK8_BID!D20="","",MK8_BID!D20)</f>
        <v>76.900000000000006</v>
      </c>
      <c r="Z12" s="77">
        <f>IF(MK8_BID!E20="","",MK8_BID!E20)</f>
        <v>76.900000000000006</v>
      </c>
      <c r="AA12" s="77">
        <f t="shared" ref="AA12:AA44" si="10">IFERROR((Y12*($S$9/100))+(Z12*($T$9/100)),"")</f>
        <v>76.900000000000006</v>
      </c>
      <c r="AB12" s="78">
        <f>IF('MK16-AGM'!D20="","",'MK16-AGM'!D20)</f>
        <v>95.5</v>
      </c>
      <c r="AC12" s="78">
        <f>IF('MK16-AGM'!E20="","",'MK16-AGM'!E20)</f>
        <v>93.4</v>
      </c>
      <c r="AD12" s="78">
        <f t="shared" ref="AD12:AD43" si="11">IFERROR((AB12*($AB$9/100))+(AC12*($AC$9/100)),"")</f>
        <v>94.45</v>
      </c>
      <c r="AF12" s="79">
        <f t="shared" si="0"/>
        <v>144.35579999999999</v>
      </c>
      <c r="AG12" s="80">
        <f>IFERROR(AF12/$AF$8*100,"")</f>
        <v>67.142232558139526</v>
      </c>
      <c r="AH12" s="79" t="str">
        <f>IFERROR((#REF!*(#REF!/100)),"")</f>
        <v/>
      </c>
      <c r="AI12" s="80" t="str">
        <f t="shared" ref="AI12:AI44" si="12">IFERROR(AH12/$AH$8*100,"")</f>
        <v/>
      </c>
      <c r="AJ12" s="79">
        <f t="shared" ref="AJ12:AJ19" si="13">IFERROR((P12*($P$9/100)+S12*($S$9/100)),"")</f>
        <v>81.8</v>
      </c>
      <c r="AK12" s="80">
        <f t="shared" ref="AK12:AK43" si="14">IFERROR(AJ12/$AJ$8*100,"")</f>
        <v>81.8</v>
      </c>
      <c r="AL12" s="79" t="str">
        <f>IFERROR((#REF!*(#REF!/100)),"")</f>
        <v/>
      </c>
      <c r="AM12" s="80" t="str">
        <f t="shared" ref="AM12:AM44" si="15">IFERROR(AL12/$AL$8*100,"")</f>
        <v/>
      </c>
      <c r="AN12" s="80"/>
      <c r="AO12" s="80"/>
      <c r="AP12" s="80"/>
      <c r="AQ12" s="80"/>
      <c r="AR12" s="80"/>
      <c r="AS12" s="80"/>
      <c r="AT12" s="80"/>
      <c r="AU12" s="80"/>
      <c r="AV12" s="79">
        <f t="shared" ref="AV12:AV19" si="16">IFERROR((Q12*($Q$9/100)+T12*($T$9/100)),"")</f>
        <v>77.55</v>
      </c>
      <c r="AW12" s="80">
        <f>IFERROR(AV12/$AV$8*100,"")</f>
        <v>77.55</v>
      </c>
      <c r="AX12" s="79" t="str">
        <f>IFERROR((Y12*($Y$9/100)+AB12*($AB$9/100)+#REF!*(#REF!/100)),"")</f>
        <v/>
      </c>
      <c r="AY12" s="80" t="str">
        <f t="shared" ref="AY12:AY44" si="17">IFERROR(AX12/$AX$8*100,"")</f>
        <v/>
      </c>
      <c r="AZ12" s="80"/>
      <c r="BA12" s="80"/>
      <c r="BB12" s="79" t="str">
        <f>IFERROR((#REF!*(#REF!/100)+#REF!*(#REF!/100)+#REF!*(#REF!/100)),"")</f>
        <v/>
      </c>
      <c r="BC12" s="80" t="str">
        <f>IFERROR(BB12/$BB$8*100,"")</f>
        <v/>
      </c>
      <c r="BD12" s="79">
        <f t="shared" si="1"/>
        <v>156.93100000000001</v>
      </c>
      <c r="BE12" s="80">
        <f>IFERROR(BD12/$BD$8*100,"")</f>
        <v>91.772514619883054</v>
      </c>
      <c r="BF12" s="2" t="str">
        <f>IFERROR((Z12*($Z$9/100)+(AC12*($AC$9/100))+(#REF!*(#REF!/100))),"")</f>
        <v/>
      </c>
      <c r="BG12" s="79" t="str">
        <f>IFERROR(BF12/$BF$8*100,"")</f>
        <v/>
      </c>
      <c r="BJ12" s="4">
        <f t="shared" ref="BJ12:BJ59" si="18">IF(V12="","",IFERROR(V12*($V$9/100),""))</f>
        <v>42.174999999999997</v>
      </c>
      <c r="BK12" s="89">
        <f>IF(BJ12="","",BJ12/$BJ$9)</f>
        <v>0.84349999999999992</v>
      </c>
      <c r="BL12" s="4">
        <f t="shared" ref="BL12:BL59" si="19">IF(Y12="","",IFERROR(Y12*($BL$9/100),""))</f>
        <v>38.450000000000003</v>
      </c>
      <c r="BM12" s="89">
        <f>IF(BL12="","",BL12/$BL$9)</f>
        <v>0.76900000000000002</v>
      </c>
      <c r="BN12" s="81">
        <f t="shared" ref="BN12:BN43" si="20">IF(Z12="","",IFERROR(Z12*($BN$9/100),""))</f>
        <v>38.450000000000003</v>
      </c>
      <c r="BO12" s="89">
        <f>IF(BN12="","",BN12/$BN$9)</f>
        <v>0.76900000000000002</v>
      </c>
      <c r="BP12" s="81">
        <f t="shared" ref="BP12:BP44" si="21">IF(D12="","",IFERROR(D12*($D$9/100),""))</f>
        <v>47</v>
      </c>
      <c r="BQ12" s="89">
        <f t="shared" ref="BQ12:BQ44" si="22">IF(BP12="","",BP12/$BP$9)</f>
        <v>0.94</v>
      </c>
      <c r="BR12" s="4"/>
      <c r="BS12" s="4"/>
      <c r="BT12" s="81">
        <f>IF(E12="","",IFERROR(E12*($E$9/100),""))</f>
        <v>49.75</v>
      </c>
      <c r="BU12" s="87">
        <f t="shared" ref="BU12:BU55" si="23">IF(BT12="","",BT12/$BT$9)</f>
        <v>0.995</v>
      </c>
      <c r="BV12" s="4"/>
      <c r="BW12" s="4"/>
      <c r="BX12" s="4"/>
      <c r="BY12" s="4"/>
      <c r="BZ12" s="81"/>
      <c r="CA12" s="89" t="str">
        <f t="shared" ref="CA12:CA44" si="24">IF(BZ12="","",BZ12/$BZ$9)</f>
        <v/>
      </c>
      <c r="CB12" s="81"/>
      <c r="CC12" s="89"/>
      <c r="CD12" s="81"/>
      <c r="CE12" s="89" t="str">
        <f t="shared" ref="CE12:CE44" si="25">IF(CD12="","",CD12/$CD$9)</f>
        <v/>
      </c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81">
        <f t="shared" ref="CP12:CP55" si="26">IF(P12="","",IFERROR(P12*($P$9/100),""))</f>
        <v>44</v>
      </c>
      <c r="CQ12" s="87">
        <f t="shared" ref="CQ12:CQ55" si="27">IF(CP12="","",CP12/$CP$9)</f>
        <v>0.88</v>
      </c>
      <c r="CR12" s="4">
        <f t="shared" ref="CR12:CR58" si="28">IF(Q12="","",IFERROR(Q12*($Q$9/100),""))</f>
        <v>43.5</v>
      </c>
      <c r="CS12" s="87">
        <f t="shared" ref="CS12:CS55" si="29">IF(CR12="","",CR12/$CR$9)</f>
        <v>0.87</v>
      </c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81">
        <f t="shared" ref="DR12:DR58" si="30">IF(M12="","",IFERROR(M12*($M$9/100),""))</f>
        <v>43</v>
      </c>
      <c r="DS12" s="87">
        <f t="shared" ref="DS12:DS56" si="31">IF(DR12="","",DR12/$DR$9)</f>
        <v>0.86</v>
      </c>
      <c r="DT12" s="4"/>
      <c r="DU12" s="4"/>
      <c r="DV12" s="4"/>
      <c r="DW12" s="4"/>
      <c r="DX12" s="81">
        <f t="shared" ref="DX12:DX58" si="32">IF(N12="","",IFERROR(N12*($N$9/100),""))</f>
        <v>43</v>
      </c>
      <c r="DY12" s="89">
        <f t="shared" ref="DY12:DY44" si="33">IF(DX12="","",DX12/$DX$9)</f>
        <v>0.86</v>
      </c>
      <c r="DZ12" s="81"/>
      <c r="EA12" s="89"/>
      <c r="EB12" s="81">
        <f t="shared" ref="EB12:EB58" si="34">IF(G12="","",IFERROR(G12*($G$9/100),""))</f>
        <v>12.1808</v>
      </c>
      <c r="EC12" s="89">
        <f t="shared" ref="EC12:EC44" si="35">IF(EB12="","",EB12/$EB$9)</f>
        <v>0.76129999999999998</v>
      </c>
      <c r="ED12" s="80">
        <f>IF(H12="","",IFERROR(H12*($H$9/100),""))</f>
        <v>12.5808</v>
      </c>
      <c r="EE12" s="89">
        <f t="shared" ref="EE12:EE56" si="36">IF(ED12="","",ED12/$ED$9)</f>
        <v>0.7863</v>
      </c>
      <c r="EF12" s="206">
        <f t="shared" ref="EF12:EF20" si="37">IF(I12="","",IFERROR(I12*($I$9/100),""))</f>
        <v>22.479599999999998</v>
      </c>
      <c r="EG12" s="89">
        <f t="shared" ref="EG12:EG55" si="38">IF(EF12="","",EF12/$EF$9)</f>
        <v>0.86459999999999992</v>
      </c>
      <c r="EH12" s="80">
        <f t="shared" ref="EH12:EH20" si="39">IF(J12="","",IFERROR(J12*($J$9/100),""))</f>
        <v>16.568999999999999</v>
      </c>
      <c r="EI12" s="89">
        <f t="shared" ref="EI12:EI44" si="40">IF(EH12="","",EH12/$EH$9)</f>
        <v>0.78899999999999992</v>
      </c>
      <c r="EJ12" s="4"/>
      <c r="EK12" s="4"/>
      <c r="EL12" s="81">
        <f t="shared" ref="EL12:EL20" si="41">IF(K12="","",IFERROR(K12*($K$9/100),""))</f>
        <v>18.081</v>
      </c>
      <c r="EM12" s="87">
        <f t="shared" ref="EM12:EM55" si="42">IF(EF12="","",EF12/$EF$9)</f>
        <v>0.86459999999999992</v>
      </c>
      <c r="EN12" s="4"/>
      <c r="EO12" s="4" t="str">
        <f t="shared" ref="EO12:EO58" si="43">IF(EN12="","",EN12/$EN$9)</f>
        <v/>
      </c>
      <c r="EP12" s="4"/>
      <c r="EQ12" s="4"/>
      <c r="ER12" s="4">
        <f t="shared" ref="ER12:ER58" si="44">IF(S12="","",IFERROR(S12*($S$9/100),""))</f>
        <v>37.799999999999997</v>
      </c>
      <c r="ES12" s="87">
        <f t="shared" ref="ES12:ES55" si="45">IF(ER12="","",ER12/$ER$9)</f>
        <v>0.75599999999999989</v>
      </c>
      <c r="ET12" s="4">
        <f t="shared" ref="ET12:ET58" si="46">IF(T12="","",IFERROR(T12*($T$9/100),""))</f>
        <v>34.049999999999997</v>
      </c>
      <c r="EU12" s="87">
        <f t="shared" ref="EU12:EU55" si="47">IF(ET12="","",ET12/$ET$9)</f>
        <v>0.68099999999999994</v>
      </c>
      <c r="EV12" s="81" t="str">
        <f>IFERROR(IF(#REF!="","",IFERROR(#REF!*(#REF!/100),"")),"")</f>
        <v/>
      </c>
      <c r="EW12" s="89" t="str">
        <f t="shared" ref="EW12:EW44" si="48">IF(EV12="","",EV12/$EV$9)</f>
        <v/>
      </c>
      <c r="EX12" s="80">
        <f t="shared" ref="EX12:EX58" si="49">IF(AB12="","",IFERROR(AB12*($AB$9/100),""))</f>
        <v>47.75</v>
      </c>
      <c r="EY12" s="89">
        <f t="shared" ref="EY12:EY55" si="50">IF(EX12="","",EX12/$EX$9)</f>
        <v>0.95499999999999996</v>
      </c>
      <c r="EZ12" s="80">
        <f t="shared" ref="EZ12:EZ58" si="51">IF(AC12="","",IFERROR(AC12*($AC$9/100),""))</f>
        <v>46.7</v>
      </c>
      <c r="FA12" s="89">
        <f t="shared" ref="FA12:FA55" si="52">IF(EZ12="","",EZ12/$EZ$9)</f>
        <v>0.93400000000000005</v>
      </c>
      <c r="FB12" s="89"/>
      <c r="FC12" s="89"/>
      <c r="FD12" s="81" t="str">
        <f>IFERROR(IF(#REF!="","",IFERROR(#REF!*(#REF!/100),""))+IF(#REF!="","",IFERROR(#REF!*(#REF!/100),"")),"")</f>
        <v/>
      </c>
      <c r="FE12" s="89" t="str">
        <f t="shared" ref="FE12:FE44" si="53">IF(FD12="","",FD12/$FD$9)</f>
        <v/>
      </c>
      <c r="FF12" s="191">
        <f t="shared" si="2"/>
        <v>156.93100000000001</v>
      </c>
      <c r="FG12" s="192">
        <f t="shared" ref="FG12:FG44" si="54">IF(FF12="","",FF12/$FF$9)</f>
        <v>0.9177251461988305</v>
      </c>
      <c r="FH12" s="92"/>
      <c r="FI12" s="92"/>
      <c r="FJ12" s="191" t="str">
        <f>IFERROR(IF(AC12="","",IFERROR(AC12*($AC$9/100),""))+IF(#REF!="","",IFERROR(#REF!*(#REF!/100),"")),"")</f>
        <v/>
      </c>
      <c r="FK12" s="192" t="str">
        <f t="shared" ref="FK12:FK44" si="55">IF(FJ12="","",FJ12/$FJ$9)</f>
        <v/>
      </c>
      <c r="FL12" s="191">
        <f t="shared" si="3"/>
        <v>38.450000000000003</v>
      </c>
      <c r="FM12" s="192">
        <f t="shared" ref="FM12:FM44" si="56">IF(FL12="","",FL12/$FL$9)</f>
        <v>0.76900000000000002</v>
      </c>
      <c r="FN12" s="190">
        <f t="shared" si="4"/>
        <v>848.99322514619894</v>
      </c>
      <c r="FO12" s="101" t="e">
        <f t="shared" ref="FO12:FO43" si="57">FN12/$FN$9</f>
        <v>#REF!</v>
      </c>
    </row>
    <row r="13" spans="1:171">
      <c r="A13" s="121">
        <v>3</v>
      </c>
      <c r="B13" s="122" t="s">
        <v>195</v>
      </c>
      <c r="C13" s="122" t="s">
        <v>196</v>
      </c>
      <c r="D13" s="73">
        <f>'MK1-TM'!D21</f>
        <v>93</v>
      </c>
      <c r="E13" s="73">
        <f>'MK1-TM'!E21</f>
        <v>98.5</v>
      </c>
      <c r="F13" s="73">
        <f t="shared" si="5"/>
        <v>95.75</v>
      </c>
      <c r="G13" s="91">
        <f>'MK2-TO'!D21</f>
        <v>78</v>
      </c>
      <c r="H13" s="91">
        <f>'MK2-TO'!E21</f>
        <v>80.5</v>
      </c>
      <c r="I13" s="91">
        <f>'MK2-TO'!F21</f>
        <v>84.15</v>
      </c>
      <c r="J13" s="91">
        <v>81.05</v>
      </c>
      <c r="K13" s="91">
        <f>'MK2-TO'!H21</f>
        <v>83.95</v>
      </c>
      <c r="L13" s="91">
        <f t="shared" si="6"/>
        <v>81.88900000000001</v>
      </c>
      <c r="M13" s="74">
        <f>'MK3-PSTI'!D21</f>
        <v>84</v>
      </c>
      <c r="N13" s="74">
        <f>'MK3-PSTI'!E21</f>
        <v>86</v>
      </c>
      <c r="O13" s="74">
        <f t="shared" si="7"/>
        <v>85</v>
      </c>
      <c r="P13" s="75">
        <f>IF('MK4-L&amp;A'!D21="","",'MK4-L&amp;A'!D21)</f>
        <v>88</v>
      </c>
      <c r="Q13" s="75">
        <f>IF('MK4-L&amp;A'!E21="","",'MK4-L&amp;A'!E21)</f>
        <v>87</v>
      </c>
      <c r="R13" s="75">
        <f t="shared" si="8"/>
        <v>87.5</v>
      </c>
      <c r="S13" s="76">
        <f>IF('MK5-BP'!D21="","",'MK5-BP'!D21)</f>
        <v>75.599999999999994</v>
      </c>
      <c r="T13" s="76">
        <f>IF('MK5-BP'!E21="","",'MK5-BP'!E21)</f>
        <v>68.099999999999994</v>
      </c>
      <c r="U13" s="76">
        <f t="shared" ref="U13:U43" si="58">IFERROR((S13*($S$9/100))+(T13*($T$9/100)),"")</f>
        <v>71.849999999999994</v>
      </c>
      <c r="V13" s="38">
        <f>IF('MK7-MBD'!D21="","",'MK7-MBD'!D21)</f>
        <v>81.05</v>
      </c>
      <c r="W13" s="38">
        <f>IF('MK7-MBD'!E21="","",'MK7-MBD'!E21)</f>
        <v>89.7</v>
      </c>
      <c r="X13" s="38">
        <f t="shared" si="9"/>
        <v>85.375</v>
      </c>
      <c r="Y13" s="77">
        <f>IF(MK8_BID!D21="","",MK8_BID!D21)</f>
        <v>76.900000000000006</v>
      </c>
      <c r="Z13" s="77">
        <f>IF(MK8_BID!E21="","",MK8_BID!E21)</f>
        <v>76.900000000000006</v>
      </c>
      <c r="AA13" s="77">
        <f t="shared" si="10"/>
        <v>76.900000000000006</v>
      </c>
      <c r="AB13" s="78">
        <f>IF('MK16-AGM'!D21="","",'MK16-AGM'!D21)</f>
        <v>94.7</v>
      </c>
      <c r="AC13" s="78">
        <f>IF('MK16-AGM'!E21="","",'MK16-AGM'!E21)</f>
        <v>95.9</v>
      </c>
      <c r="AD13" s="78">
        <f t="shared" si="11"/>
        <v>95.300000000000011</v>
      </c>
      <c r="AF13" s="79">
        <f t="shared" si="0"/>
        <v>141.505</v>
      </c>
      <c r="AG13" s="80">
        <f t="shared" ref="AG13:AG44" si="59">IFERROR(AF13/$AF$8*100,"")</f>
        <v>65.816279069767432</v>
      </c>
      <c r="AH13" s="79" t="str">
        <f>IFERROR((#REF!*(#REF!/100)),"")</f>
        <v/>
      </c>
      <c r="AI13" s="80" t="str">
        <f t="shared" si="12"/>
        <v/>
      </c>
      <c r="AJ13" s="79">
        <f t="shared" si="13"/>
        <v>81.8</v>
      </c>
      <c r="AK13" s="80">
        <f t="shared" si="14"/>
        <v>81.8</v>
      </c>
      <c r="AL13" s="79" t="str">
        <f>IFERROR((#REF!*(#REF!/100)),"")</f>
        <v/>
      </c>
      <c r="AM13" s="80" t="str">
        <f t="shared" si="15"/>
        <v/>
      </c>
      <c r="AN13" s="80"/>
      <c r="AO13" s="80"/>
      <c r="AP13" s="80"/>
      <c r="AQ13" s="80"/>
      <c r="AR13" s="80"/>
      <c r="AS13" s="80"/>
      <c r="AT13" s="80"/>
      <c r="AU13" s="80"/>
      <c r="AV13" s="79">
        <f t="shared" si="16"/>
        <v>77.55</v>
      </c>
      <c r="AW13" s="80">
        <f t="shared" ref="AW13:AW43" si="60">IFERROR(AV13/$AV$8*100,"")</f>
        <v>77.55</v>
      </c>
      <c r="AX13" s="79" t="str">
        <f>IFERROR((Y13*($Y$9/100)+AB13*($AB$9/100)+#REF!*(#REF!/100)),"")</f>
        <v/>
      </c>
      <c r="AY13" s="80" t="str">
        <f t="shared" si="17"/>
        <v/>
      </c>
      <c r="AZ13" s="80"/>
      <c r="BA13" s="80"/>
      <c r="BB13" s="79" t="str">
        <f>IFERROR((#REF!*(#REF!/100)+#REF!*(#REF!/100)+#REF!*(#REF!/100)),"")</f>
        <v/>
      </c>
      <c r="BC13" s="80" t="str">
        <f t="shared" ref="BC13:BC44" si="61">IFERROR(BB13/$BB$8*100,"")</f>
        <v/>
      </c>
      <c r="BD13" s="79">
        <f t="shared" si="1"/>
        <v>154.7295</v>
      </c>
      <c r="BE13" s="80">
        <f t="shared" ref="BE13:BE44" si="62">IFERROR(BD13/$BD$8*100,"")</f>
        <v>90.485087719298249</v>
      </c>
      <c r="BF13" s="2" t="str">
        <f>IFERROR((Z13*($Z$9/100)+(AC13*($AC$9/100))+(#REF!*(#REF!/100))),"")</f>
        <v/>
      </c>
      <c r="BG13" s="79" t="str">
        <f t="shared" ref="BG13:BG44" si="63">IFERROR(BF13/$BF$8*100,"")</f>
        <v/>
      </c>
      <c r="BJ13" s="4">
        <f t="shared" si="18"/>
        <v>40.524999999999999</v>
      </c>
      <c r="BK13" s="89">
        <f t="shared" ref="BK13:BK44" si="64">IF(BJ13="","",BJ13/$BJ$9)</f>
        <v>0.8105</v>
      </c>
      <c r="BL13" s="4">
        <f t="shared" si="19"/>
        <v>38.450000000000003</v>
      </c>
      <c r="BM13" s="89">
        <f t="shared" ref="BM13:BM44" si="65">IF(BL13="","",BL13/$BL$9)</f>
        <v>0.76900000000000002</v>
      </c>
      <c r="BN13" s="81">
        <f t="shared" si="20"/>
        <v>38.450000000000003</v>
      </c>
      <c r="BO13" s="89">
        <f t="shared" ref="BO13:BO44" si="66">IF(BN13="","",BN13/$BN$9)</f>
        <v>0.76900000000000002</v>
      </c>
      <c r="BP13" s="81">
        <f t="shared" si="21"/>
        <v>46.5</v>
      </c>
      <c r="BQ13" s="89">
        <f t="shared" si="22"/>
        <v>0.93</v>
      </c>
      <c r="BR13" s="4"/>
      <c r="BS13" s="4"/>
      <c r="BT13" s="81">
        <f t="shared" ref="BT13:BT55" si="67">IF(E13="","",IFERROR(E13*($E$9/100),""))</f>
        <v>49.25</v>
      </c>
      <c r="BU13" s="87">
        <f t="shared" si="23"/>
        <v>0.98499999999999999</v>
      </c>
      <c r="BV13" s="4"/>
      <c r="BW13" s="4"/>
      <c r="BX13" s="4"/>
      <c r="BY13" s="4"/>
      <c r="BZ13" s="81"/>
      <c r="CA13" s="89" t="str">
        <f t="shared" si="24"/>
        <v/>
      </c>
      <c r="CB13" s="81"/>
      <c r="CC13" s="89"/>
      <c r="CD13" s="81"/>
      <c r="CE13" s="89" t="str">
        <f t="shared" si="25"/>
        <v/>
      </c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81">
        <f t="shared" si="26"/>
        <v>44</v>
      </c>
      <c r="CQ13" s="87">
        <f t="shared" si="27"/>
        <v>0.88</v>
      </c>
      <c r="CR13" s="4">
        <f t="shared" si="28"/>
        <v>43.5</v>
      </c>
      <c r="CS13" s="87">
        <f t="shared" si="29"/>
        <v>0.87</v>
      </c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81">
        <f t="shared" si="30"/>
        <v>42</v>
      </c>
      <c r="DS13" s="87">
        <f t="shared" si="31"/>
        <v>0.84</v>
      </c>
      <c r="DT13" s="4"/>
      <c r="DU13" s="4"/>
      <c r="DV13" s="4"/>
      <c r="DW13" s="4"/>
      <c r="DX13" s="81">
        <f t="shared" si="32"/>
        <v>43</v>
      </c>
      <c r="DY13" s="89">
        <f t="shared" si="33"/>
        <v>0.86</v>
      </c>
      <c r="DZ13" s="81"/>
      <c r="EA13" s="89"/>
      <c r="EB13" s="81">
        <f t="shared" si="34"/>
        <v>12.48</v>
      </c>
      <c r="EC13" s="89">
        <f t="shared" si="35"/>
        <v>0.78</v>
      </c>
      <c r="ED13" s="80">
        <f>IF(H13="","",IFERROR(H13*($H$9/100),""))</f>
        <v>12.88</v>
      </c>
      <c r="EE13" s="89">
        <f t="shared" si="36"/>
        <v>0.80500000000000005</v>
      </c>
      <c r="EF13" s="206">
        <f t="shared" si="37"/>
        <v>21.879000000000001</v>
      </c>
      <c r="EG13" s="89">
        <f t="shared" si="38"/>
        <v>0.84150000000000003</v>
      </c>
      <c r="EH13" s="80">
        <f t="shared" si="39"/>
        <v>17.020499999999998</v>
      </c>
      <c r="EI13" s="89">
        <f t="shared" si="40"/>
        <v>0.81049999999999989</v>
      </c>
      <c r="EJ13" s="4"/>
      <c r="EK13" s="4"/>
      <c r="EL13" s="81">
        <f t="shared" si="41"/>
        <v>17.6295</v>
      </c>
      <c r="EM13" s="87">
        <f t="shared" si="42"/>
        <v>0.84150000000000003</v>
      </c>
      <c r="EN13" s="4"/>
      <c r="EO13" s="4" t="str">
        <f t="shared" si="43"/>
        <v/>
      </c>
      <c r="EP13" s="4"/>
      <c r="EQ13" s="4"/>
      <c r="ER13" s="4">
        <f t="shared" si="44"/>
        <v>37.799999999999997</v>
      </c>
      <c r="ES13" s="87">
        <f t="shared" si="45"/>
        <v>0.75599999999999989</v>
      </c>
      <c r="ET13" s="4">
        <f t="shared" si="46"/>
        <v>34.049999999999997</v>
      </c>
      <c r="EU13" s="87">
        <f t="shared" si="47"/>
        <v>0.68099999999999994</v>
      </c>
      <c r="EV13" s="81" t="str">
        <f>IFERROR(IF(#REF!="","",IFERROR(#REF!*(#REF!/100),"")),"")</f>
        <v/>
      </c>
      <c r="EW13" s="89" t="str">
        <f t="shared" si="48"/>
        <v/>
      </c>
      <c r="EX13" s="80">
        <f t="shared" si="49"/>
        <v>47.35</v>
      </c>
      <c r="EY13" s="89">
        <f t="shared" si="50"/>
        <v>0.94700000000000006</v>
      </c>
      <c r="EZ13" s="80">
        <f t="shared" si="51"/>
        <v>47.95</v>
      </c>
      <c r="FA13" s="89">
        <f t="shared" si="52"/>
        <v>0.95900000000000007</v>
      </c>
      <c r="FB13" s="89"/>
      <c r="FC13" s="89"/>
      <c r="FD13" s="81" t="str">
        <f>IFERROR(IF(#REF!="","",IFERROR(#REF!*(#REF!/100),""))+IF(#REF!="","",IFERROR(#REF!*(#REF!/100),"")),"")</f>
        <v/>
      </c>
      <c r="FE13" s="89" t="str">
        <f t="shared" si="53"/>
        <v/>
      </c>
      <c r="FF13" s="191">
        <f t="shared" si="2"/>
        <v>154.7295</v>
      </c>
      <c r="FG13" s="192">
        <f t="shared" si="54"/>
        <v>0.90485087719298252</v>
      </c>
      <c r="FH13" s="92"/>
      <c r="FI13" s="92"/>
      <c r="FJ13" s="191" t="str">
        <f>IFERROR(IF(AC13="","",IFERROR(AC13*($AC$9/100),""))+IF(#REF!="","",IFERROR(#REF!*(#REF!/100),"")),"")</f>
        <v/>
      </c>
      <c r="FK13" s="192" t="str">
        <f t="shared" si="55"/>
        <v/>
      </c>
      <c r="FL13" s="191">
        <f t="shared" si="3"/>
        <v>38.450000000000003</v>
      </c>
      <c r="FM13" s="192">
        <f t="shared" si="56"/>
        <v>0.76900000000000002</v>
      </c>
      <c r="FN13" s="190">
        <f t="shared" si="4"/>
        <v>843.93335087719311</v>
      </c>
      <c r="FO13" s="101" t="e">
        <f t="shared" si="57"/>
        <v>#REF!</v>
      </c>
    </row>
    <row r="14" spans="1:171">
      <c r="A14" s="121">
        <v>4</v>
      </c>
      <c r="B14" s="122" t="s">
        <v>197</v>
      </c>
      <c r="C14" s="122" t="s">
        <v>198</v>
      </c>
      <c r="D14" s="73">
        <f>'MK1-TM'!D22</f>
        <v>77.5</v>
      </c>
      <c r="E14" s="73">
        <f>'MK1-TM'!E22</f>
        <v>82</v>
      </c>
      <c r="F14" s="73">
        <f t="shared" si="5"/>
        <v>79.75</v>
      </c>
      <c r="G14" s="91">
        <f>'MK2-TO'!D22</f>
        <v>78</v>
      </c>
      <c r="H14" s="91">
        <f>'MK2-TO'!E22</f>
        <v>80.5</v>
      </c>
      <c r="I14" s="91">
        <f>'MK2-TO'!F22</f>
        <v>84.15</v>
      </c>
      <c r="J14" s="91">
        <v>80.86</v>
      </c>
      <c r="K14" s="91">
        <f>'MK2-TO'!H22</f>
        <v>83.95</v>
      </c>
      <c r="L14" s="91">
        <f t="shared" si="6"/>
        <v>81.849100000000007</v>
      </c>
      <c r="M14" s="74">
        <f>'MK3-PSTI'!D22</f>
        <v>78.400000000000006</v>
      </c>
      <c r="N14" s="74">
        <f>'MK3-PSTI'!E22</f>
        <v>81.900000000000006</v>
      </c>
      <c r="O14" s="74">
        <f t="shared" si="7"/>
        <v>80.150000000000006</v>
      </c>
      <c r="P14" s="75">
        <f>IF('MK4-L&amp;A'!D22="","",'MK4-L&amp;A'!D22)</f>
        <v>81</v>
      </c>
      <c r="Q14" s="75">
        <f>IF('MK4-L&amp;A'!E22="","",'MK4-L&amp;A'!E22)</f>
        <v>87</v>
      </c>
      <c r="R14" s="75">
        <f t="shared" si="8"/>
        <v>84</v>
      </c>
      <c r="S14" s="76">
        <f>IF('MK5-BP'!D22="","",'MK5-BP'!D22)</f>
        <v>75.599999999999994</v>
      </c>
      <c r="T14" s="76">
        <f>IF('MK5-BP'!E22="","",'MK5-BP'!E22)</f>
        <v>68.099999999999994</v>
      </c>
      <c r="U14" s="76">
        <f t="shared" si="58"/>
        <v>71.849999999999994</v>
      </c>
      <c r="V14" s="38">
        <f>IF('MK7-MBD'!D22="","",'MK7-MBD'!D22)</f>
        <v>82.35</v>
      </c>
      <c r="W14" s="38">
        <f>IF('MK7-MBD'!E22="","",'MK7-MBD'!E22)</f>
        <v>91</v>
      </c>
      <c r="X14" s="38">
        <f t="shared" si="9"/>
        <v>86.674999999999997</v>
      </c>
      <c r="Y14" s="77">
        <f>IF(MK8_BID!D22="","",MK8_BID!D22)</f>
        <v>81.400000000000006</v>
      </c>
      <c r="Z14" s="77">
        <f>IF(MK8_BID!E22="","",MK8_BID!E22)</f>
        <v>81.400000000000006</v>
      </c>
      <c r="AA14" s="77">
        <f t="shared" si="10"/>
        <v>81.400000000000006</v>
      </c>
      <c r="AB14" s="78">
        <f>IF('MK16-AGM'!D22="","",'MK16-AGM'!D22)</f>
        <v>70.5</v>
      </c>
      <c r="AC14" s="78">
        <f>IF('MK16-AGM'!E22="","",'MK16-AGM'!E22)</f>
        <v>89</v>
      </c>
      <c r="AD14" s="78">
        <f t="shared" si="11"/>
        <v>79.75</v>
      </c>
      <c r="AF14" s="79">
        <f t="shared" si="0"/>
        <v>131.60500000000002</v>
      </c>
      <c r="AG14" s="80">
        <f t="shared" si="59"/>
        <v>61.211627906976751</v>
      </c>
      <c r="AH14" s="79" t="str">
        <f>IFERROR((#REF!*(#REF!/100)),"")</f>
        <v/>
      </c>
      <c r="AI14" s="80" t="str">
        <f t="shared" si="12"/>
        <v/>
      </c>
      <c r="AJ14" s="79">
        <f t="shared" si="13"/>
        <v>78.3</v>
      </c>
      <c r="AK14" s="80">
        <f t="shared" si="14"/>
        <v>78.3</v>
      </c>
      <c r="AL14" s="79" t="str">
        <f>IFERROR((#REF!*(#REF!/100)),"")</f>
        <v/>
      </c>
      <c r="AM14" s="80" t="str">
        <f t="shared" si="15"/>
        <v/>
      </c>
      <c r="AN14" s="80"/>
      <c r="AO14" s="80"/>
      <c r="AP14" s="80"/>
      <c r="AQ14" s="80"/>
      <c r="AR14" s="80"/>
      <c r="AS14" s="80"/>
      <c r="AT14" s="80"/>
      <c r="AU14" s="80"/>
      <c r="AV14" s="79">
        <f t="shared" si="16"/>
        <v>77.55</v>
      </c>
      <c r="AW14" s="80">
        <f t="shared" si="60"/>
        <v>77.55</v>
      </c>
      <c r="AX14" s="79" t="str">
        <f>IFERROR((Y14*($Y$9/100)+AB14*($AB$9/100)+#REF!*(#REF!/100)),"")</f>
        <v/>
      </c>
      <c r="AY14" s="80" t="str">
        <f t="shared" si="17"/>
        <v/>
      </c>
      <c r="AZ14" s="80"/>
      <c r="BA14" s="80"/>
      <c r="BB14" s="79" t="str">
        <f>IFERROR((#REF!*(#REF!/100)+#REF!*(#REF!/100)+#REF!*(#REF!/100)),"")</f>
        <v/>
      </c>
      <c r="BC14" s="80" t="str">
        <f t="shared" si="61"/>
        <v/>
      </c>
      <c r="BD14" s="79">
        <f t="shared" si="1"/>
        <v>145.0795</v>
      </c>
      <c r="BE14" s="80">
        <f t="shared" si="62"/>
        <v>84.841812865497062</v>
      </c>
      <c r="BF14" s="2" t="str">
        <f>IFERROR((Z14*($Z$9/100)+AC14*($AC$9/100)+#REF!*(#REF!/100)),"")</f>
        <v/>
      </c>
      <c r="BG14" s="79" t="str">
        <f t="shared" si="63"/>
        <v/>
      </c>
      <c r="BJ14" s="4">
        <f t="shared" si="18"/>
        <v>41.174999999999997</v>
      </c>
      <c r="BK14" s="89">
        <f t="shared" si="64"/>
        <v>0.8234999999999999</v>
      </c>
      <c r="BL14" s="4">
        <f t="shared" si="19"/>
        <v>40.700000000000003</v>
      </c>
      <c r="BM14" s="89">
        <f t="shared" si="65"/>
        <v>0.81400000000000006</v>
      </c>
      <c r="BN14" s="81">
        <f t="shared" si="20"/>
        <v>40.700000000000003</v>
      </c>
      <c r="BO14" s="89">
        <f t="shared" si="66"/>
        <v>0.81400000000000006</v>
      </c>
      <c r="BP14" s="81">
        <f t="shared" si="21"/>
        <v>38.75</v>
      </c>
      <c r="BQ14" s="89">
        <f t="shared" si="22"/>
        <v>0.77500000000000002</v>
      </c>
      <c r="BR14" s="4"/>
      <c r="BS14" s="4"/>
      <c r="BT14" s="81">
        <f t="shared" si="67"/>
        <v>41</v>
      </c>
      <c r="BU14" s="87">
        <f t="shared" si="23"/>
        <v>0.82</v>
      </c>
      <c r="BV14" s="4"/>
      <c r="BW14" s="4"/>
      <c r="BX14" s="4"/>
      <c r="BY14" s="4"/>
      <c r="BZ14" s="81"/>
      <c r="CA14" s="89" t="str">
        <f t="shared" si="24"/>
        <v/>
      </c>
      <c r="CB14" s="81"/>
      <c r="CC14" s="89"/>
      <c r="CD14" s="81"/>
      <c r="CE14" s="89" t="str">
        <f t="shared" si="25"/>
        <v/>
      </c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81">
        <f t="shared" si="26"/>
        <v>40.5</v>
      </c>
      <c r="CQ14" s="87">
        <f t="shared" si="27"/>
        <v>0.81</v>
      </c>
      <c r="CR14" s="4">
        <f t="shared" si="28"/>
        <v>43.5</v>
      </c>
      <c r="CS14" s="87">
        <f t="shared" si="29"/>
        <v>0.87</v>
      </c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81">
        <f t="shared" si="30"/>
        <v>39.200000000000003</v>
      </c>
      <c r="DS14" s="87">
        <f t="shared" si="31"/>
        <v>0.78400000000000003</v>
      </c>
      <c r="DT14" s="4"/>
      <c r="DU14" s="4"/>
      <c r="DV14" s="4"/>
      <c r="DW14" s="4"/>
      <c r="DX14" s="81">
        <f t="shared" si="32"/>
        <v>40.950000000000003</v>
      </c>
      <c r="DY14" s="89">
        <f t="shared" si="33"/>
        <v>0.81900000000000006</v>
      </c>
      <c r="DZ14" s="81"/>
      <c r="EA14" s="89"/>
      <c r="EB14" s="81">
        <f t="shared" si="34"/>
        <v>12.48</v>
      </c>
      <c r="EC14" s="89">
        <f t="shared" si="35"/>
        <v>0.78</v>
      </c>
      <c r="ED14" s="80">
        <f t="shared" ref="ED14:ED58" si="68">IF(H14="","",IFERROR(H14*($H$9/100),""))</f>
        <v>12.88</v>
      </c>
      <c r="EE14" s="89">
        <f t="shared" si="36"/>
        <v>0.80500000000000005</v>
      </c>
      <c r="EF14" s="206">
        <f t="shared" si="37"/>
        <v>21.879000000000001</v>
      </c>
      <c r="EG14" s="89">
        <f t="shared" si="38"/>
        <v>0.84150000000000003</v>
      </c>
      <c r="EH14" s="80">
        <f t="shared" si="39"/>
        <v>16.980599999999999</v>
      </c>
      <c r="EI14" s="89">
        <f t="shared" si="40"/>
        <v>0.80859999999999999</v>
      </c>
      <c r="EJ14" s="4"/>
      <c r="EK14" s="4"/>
      <c r="EL14" s="81">
        <f t="shared" si="41"/>
        <v>17.6295</v>
      </c>
      <c r="EM14" s="87">
        <f t="shared" si="42"/>
        <v>0.84150000000000003</v>
      </c>
      <c r="EN14" s="4"/>
      <c r="EO14" s="4" t="str">
        <f t="shared" si="43"/>
        <v/>
      </c>
      <c r="EP14" s="4"/>
      <c r="EQ14" s="4"/>
      <c r="ER14" s="4">
        <f t="shared" si="44"/>
        <v>37.799999999999997</v>
      </c>
      <c r="ES14" s="87">
        <f t="shared" si="45"/>
        <v>0.75599999999999989</v>
      </c>
      <c r="ET14" s="4">
        <f t="shared" si="46"/>
        <v>34.049999999999997</v>
      </c>
      <c r="EU14" s="87">
        <f t="shared" si="47"/>
        <v>0.68099999999999994</v>
      </c>
      <c r="EV14" s="81" t="str">
        <f>IFERROR(IF(#REF!="","",IFERROR(#REF!*(#REF!/100),"")),"")</f>
        <v/>
      </c>
      <c r="EW14" s="89" t="str">
        <f t="shared" si="48"/>
        <v/>
      </c>
      <c r="EX14" s="80">
        <f t="shared" si="49"/>
        <v>35.25</v>
      </c>
      <c r="EY14" s="89">
        <f t="shared" si="50"/>
        <v>0.70499999999999996</v>
      </c>
      <c r="EZ14" s="80">
        <f t="shared" si="51"/>
        <v>44.5</v>
      </c>
      <c r="FA14" s="89">
        <f t="shared" si="52"/>
        <v>0.89</v>
      </c>
      <c r="FB14" s="89"/>
      <c r="FC14" s="89"/>
      <c r="FD14" s="81" t="str">
        <f>IFERROR(IF(#REF!="","",IFERROR(#REF!*(#REF!/100),""))+IF(#REF!="","",IFERROR(#REF!*(#REF!/100),"")),"")</f>
        <v/>
      </c>
      <c r="FE14" s="89" t="str">
        <f t="shared" si="53"/>
        <v/>
      </c>
      <c r="FF14" s="191">
        <f t="shared" si="2"/>
        <v>145.0795</v>
      </c>
      <c r="FG14" s="192">
        <f t="shared" si="54"/>
        <v>0.84841812865497068</v>
      </c>
      <c r="FH14" s="92"/>
      <c r="FI14" s="92"/>
      <c r="FJ14" s="191" t="str">
        <f>IFERROR(IF(AC14="","",IFERROR(AC14*($AC$9/100),""))+IF(#REF!="","",IFERROR(#REF!*(#REF!/100),"")),"")</f>
        <v/>
      </c>
      <c r="FK14" s="192" t="str">
        <f t="shared" si="55"/>
        <v/>
      </c>
      <c r="FL14" s="191">
        <f t="shared" si="3"/>
        <v>40.700000000000003</v>
      </c>
      <c r="FM14" s="192">
        <f t="shared" si="56"/>
        <v>0.81400000000000006</v>
      </c>
      <c r="FN14" s="190">
        <f t="shared" si="4"/>
        <v>800.99011812865513</v>
      </c>
      <c r="FO14" s="101" t="e">
        <f t="shared" si="57"/>
        <v>#REF!</v>
      </c>
    </row>
    <row r="15" spans="1:171">
      <c r="A15" s="121">
        <v>5</v>
      </c>
      <c r="B15" s="122" t="s">
        <v>199</v>
      </c>
      <c r="C15" s="122" t="s">
        <v>200</v>
      </c>
      <c r="D15" s="73">
        <f>'MK1-TM'!D23</f>
        <v>77.5</v>
      </c>
      <c r="E15" s="73">
        <f>'MK1-TM'!E23</f>
        <v>82.5</v>
      </c>
      <c r="F15" s="73">
        <f t="shared" si="5"/>
        <v>80</v>
      </c>
      <c r="G15" s="91">
        <f>'MK2-TO'!D23</f>
        <v>78.63</v>
      </c>
      <c r="H15" s="91">
        <f>'MK2-TO'!E23</f>
        <v>81.13</v>
      </c>
      <c r="I15" s="91">
        <f>'MK2-TO'!F23</f>
        <v>80.31</v>
      </c>
      <c r="J15" s="91">
        <v>81.569999999999993</v>
      </c>
      <c r="K15" s="91">
        <f>'MK2-TO'!H23</f>
        <v>80.38</v>
      </c>
      <c r="L15" s="91">
        <f t="shared" si="6"/>
        <v>80.451700000000002</v>
      </c>
      <c r="M15" s="74">
        <f>'MK3-PSTI'!D23</f>
        <v>77</v>
      </c>
      <c r="N15" s="74">
        <f>'MK3-PSTI'!E23</f>
        <v>82.5</v>
      </c>
      <c r="O15" s="74">
        <f t="shared" si="7"/>
        <v>79.75</v>
      </c>
      <c r="P15" s="75">
        <f>IF('MK4-L&amp;A'!D23="","",'MK4-L&amp;A'!D23)</f>
        <v>81</v>
      </c>
      <c r="Q15" s="75">
        <f>IF('MK4-L&amp;A'!E23="","",'MK4-L&amp;A'!E23)</f>
        <v>87</v>
      </c>
      <c r="R15" s="75">
        <f t="shared" si="8"/>
        <v>84</v>
      </c>
      <c r="S15" s="76">
        <f>IF('MK5-BP'!D23="","",'MK5-BP'!D23)</f>
        <v>78.400000000000006</v>
      </c>
      <c r="T15" s="76">
        <f>IF('MK5-BP'!E23="","",'MK5-BP'!E23)</f>
        <v>70.900000000000006</v>
      </c>
      <c r="U15" s="76">
        <f t="shared" si="58"/>
        <v>74.650000000000006</v>
      </c>
      <c r="V15" s="38">
        <f>IF('MK7-MBD'!D23="","",'MK7-MBD'!D23)</f>
        <v>85.5</v>
      </c>
      <c r="W15" s="38">
        <f>IF('MK7-MBD'!E23="","",'MK7-MBD'!E23)</f>
        <v>94.5</v>
      </c>
      <c r="X15" s="38">
        <f t="shared" si="9"/>
        <v>90</v>
      </c>
      <c r="Y15" s="77">
        <f>IF(MK8_BID!D23="","",MK8_BID!D23)</f>
        <v>76.900000000000006</v>
      </c>
      <c r="Z15" s="77">
        <f>IF(MK8_BID!E23="","",MK8_BID!E23)</f>
        <v>76.900000000000006</v>
      </c>
      <c r="AA15" s="77">
        <f t="shared" si="10"/>
        <v>76.900000000000006</v>
      </c>
      <c r="AB15" s="78">
        <f>IF('MK16-AGM'!D23="","",'MK16-AGM'!D23)</f>
        <v>70.5</v>
      </c>
      <c r="AC15" s="78">
        <f>IF('MK16-AGM'!E23="","",'MK16-AGM'!E23)</f>
        <v>89</v>
      </c>
      <c r="AD15" s="78">
        <f t="shared" si="11"/>
        <v>79.75</v>
      </c>
      <c r="AF15" s="79">
        <f t="shared" si="0"/>
        <v>132.58080000000001</v>
      </c>
      <c r="AG15" s="80">
        <f t="shared" si="59"/>
        <v>61.665488372093023</v>
      </c>
      <c r="AH15" s="79" t="str">
        <f>IFERROR((#REF!*(#REF!/100)),"")</f>
        <v/>
      </c>
      <c r="AI15" s="80" t="str">
        <f t="shared" si="12"/>
        <v/>
      </c>
      <c r="AJ15" s="79">
        <f t="shared" si="13"/>
        <v>79.7</v>
      </c>
      <c r="AK15" s="80">
        <f t="shared" si="14"/>
        <v>79.7</v>
      </c>
      <c r="AL15" s="79" t="str">
        <f>IFERROR((#REF!*(#REF!/100)),"")</f>
        <v/>
      </c>
      <c r="AM15" s="80" t="str">
        <f t="shared" si="15"/>
        <v/>
      </c>
      <c r="AN15" s="80"/>
      <c r="AO15" s="80"/>
      <c r="AP15" s="80"/>
      <c r="AQ15" s="80"/>
      <c r="AR15" s="80"/>
      <c r="AS15" s="80"/>
      <c r="AT15" s="80"/>
      <c r="AU15" s="80"/>
      <c r="AV15" s="79">
        <f t="shared" si="16"/>
        <v>78.95</v>
      </c>
      <c r="AW15" s="80">
        <f t="shared" si="60"/>
        <v>78.95</v>
      </c>
      <c r="AX15" s="79" t="str">
        <f>IFERROR((Y15*($Y$9/100)+AB15*($AB$9/100)+#REF!*(#REF!/100)),"")</f>
        <v/>
      </c>
      <c r="AY15" s="80" t="str">
        <f t="shared" si="17"/>
        <v/>
      </c>
      <c r="AZ15" s="80"/>
      <c r="BA15" s="80"/>
      <c r="BB15" s="79" t="str">
        <f>IFERROR((#REF!*(#REF!/100)+#REF!*(#REF!/100)+#REF!*(#REF!/100)),"")</f>
        <v/>
      </c>
      <c r="BC15" s="80" t="str">
        <f t="shared" si="61"/>
        <v/>
      </c>
      <c r="BD15" s="79">
        <f t="shared" si="1"/>
        <v>146.62979999999999</v>
      </c>
      <c r="BE15" s="80">
        <f t="shared" si="62"/>
        <v>85.748421052631571</v>
      </c>
      <c r="BF15" s="2" t="str">
        <f>IFERROR((Z15*($Z$9/100)+AC15*($AC$9/100)+#REF!*(#REF!/100)),"")</f>
        <v/>
      </c>
      <c r="BG15" s="79" t="str">
        <f t="shared" si="63"/>
        <v/>
      </c>
      <c r="BJ15" s="4">
        <f t="shared" si="18"/>
        <v>42.75</v>
      </c>
      <c r="BK15" s="89">
        <f t="shared" si="64"/>
        <v>0.85499999999999998</v>
      </c>
      <c r="BL15" s="4">
        <f t="shared" si="19"/>
        <v>38.450000000000003</v>
      </c>
      <c r="BM15" s="89">
        <f t="shared" si="65"/>
        <v>0.76900000000000002</v>
      </c>
      <c r="BN15" s="81">
        <f t="shared" si="20"/>
        <v>38.450000000000003</v>
      </c>
      <c r="BO15" s="89">
        <f t="shared" si="66"/>
        <v>0.76900000000000002</v>
      </c>
      <c r="BP15" s="81">
        <f t="shared" si="21"/>
        <v>38.75</v>
      </c>
      <c r="BQ15" s="89">
        <f t="shared" si="22"/>
        <v>0.77500000000000002</v>
      </c>
      <c r="BR15" s="4"/>
      <c r="BS15" s="4"/>
      <c r="BT15" s="81">
        <f t="shared" si="67"/>
        <v>41.25</v>
      </c>
      <c r="BU15" s="87">
        <f t="shared" si="23"/>
        <v>0.82499999999999996</v>
      </c>
      <c r="BV15" s="4"/>
      <c r="BW15" s="4"/>
      <c r="BX15" s="4"/>
      <c r="BY15" s="4"/>
      <c r="BZ15" s="81"/>
      <c r="CA15" s="89" t="str">
        <f t="shared" si="24"/>
        <v/>
      </c>
      <c r="CB15" s="81"/>
      <c r="CC15" s="89"/>
      <c r="CD15" s="81"/>
      <c r="CE15" s="89" t="str">
        <f t="shared" si="25"/>
        <v/>
      </c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81">
        <f t="shared" si="26"/>
        <v>40.5</v>
      </c>
      <c r="CQ15" s="87">
        <f t="shared" si="27"/>
        <v>0.81</v>
      </c>
      <c r="CR15" s="4">
        <f t="shared" si="28"/>
        <v>43.5</v>
      </c>
      <c r="CS15" s="87">
        <f t="shared" si="29"/>
        <v>0.87</v>
      </c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81">
        <f t="shared" si="30"/>
        <v>38.5</v>
      </c>
      <c r="DS15" s="87">
        <f t="shared" si="31"/>
        <v>0.77</v>
      </c>
      <c r="DT15" s="4"/>
      <c r="DU15" s="4"/>
      <c r="DV15" s="4"/>
      <c r="DW15" s="4"/>
      <c r="DX15" s="81">
        <f t="shared" si="32"/>
        <v>41.25</v>
      </c>
      <c r="DY15" s="89">
        <f t="shared" si="33"/>
        <v>0.82499999999999996</v>
      </c>
      <c r="DZ15" s="81"/>
      <c r="EA15" s="89"/>
      <c r="EB15" s="81">
        <f t="shared" si="34"/>
        <v>12.5808</v>
      </c>
      <c r="EC15" s="89">
        <f t="shared" si="35"/>
        <v>0.7863</v>
      </c>
      <c r="ED15" s="80">
        <f t="shared" si="68"/>
        <v>12.9808</v>
      </c>
      <c r="EE15" s="89">
        <f t="shared" si="36"/>
        <v>0.81130000000000002</v>
      </c>
      <c r="EF15" s="206">
        <f t="shared" si="37"/>
        <v>20.880600000000001</v>
      </c>
      <c r="EG15" s="89">
        <f t="shared" si="38"/>
        <v>0.80310000000000004</v>
      </c>
      <c r="EH15" s="80">
        <f t="shared" si="39"/>
        <v>17.1297</v>
      </c>
      <c r="EI15" s="89">
        <f t="shared" si="40"/>
        <v>0.81569999999999998</v>
      </c>
      <c r="EJ15" s="4"/>
      <c r="EK15" s="4"/>
      <c r="EL15" s="81">
        <f t="shared" si="41"/>
        <v>16.879799999999999</v>
      </c>
      <c r="EM15" s="87">
        <f t="shared" si="42"/>
        <v>0.80310000000000004</v>
      </c>
      <c r="EN15" s="4"/>
      <c r="EO15" s="4" t="str">
        <f t="shared" si="43"/>
        <v/>
      </c>
      <c r="EP15" s="4"/>
      <c r="EQ15" s="4"/>
      <c r="ER15" s="4">
        <f t="shared" si="44"/>
        <v>39.200000000000003</v>
      </c>
      <c r="ES15" s="87">
        <f t="shared" si="45"/>
        <v>0.78400000000000003</v>
      </c>
      <c r="ET15" s="4">
        <f t="shared" si="46"/>
        <v>35.450000000000003</v>
      </c>
      <c r="EU15" s="87">
        <f t="shared" si="47"/>
        <v>0.70900000000000007</v>
      </c>
      <c r="EV15" s="81" t="str">
        <f>IFERROR(IF(#REF!="","",IFERROR(#REF!*(#REF!/100),"")),"")</f>
        <v/>
      </c>
      <c r="EW15" s="89" t="str">
        <f t="shared" si="48"/>
        <v/>
      </c>
      <c r="EX15" s="80">
        <f t="shared" si="49"/>
        <v>35.25</v>
      </c>
      <c r="EY15" s="89">
        <f t="shared" si="50"/>
        <v>0.70499999999999996</v>
      </c>
      <c r="EZ15" s="80">
        <f t="shared" si="51"/>
        <v>44.5</v>
      </c>
      <c r="FA15" s="89">
        <f t="shared" si="52"/>
        <v>0.89</v>
      </c>
      <c r="FB15" s="89"/>
      <c r="FC15" s="89"/>
      <c r="FD15" s="81" t="str">
        <f>IFERROR(IF(#REF!="","",IFERROR(#REF!*(#REF!/100),""))+IF(#REF!="","",IFERROR(#REF!*(#REF!/100),"")),"")</f>
        <v/>
      </c>
      <c r="FE15" s="89" t="str">
        <f t="shared" si="53"/>
        <v/>
      </c>
      <c r="FF15" s="191">
        <f t="shared" si="2"/>
        <v>146.62979999999999</v>
      </c>
      <c r="FG15" s="192">
        <f t="shared" si="54"/>
        <v>0.85748421052631574</v>
      </c>
      <c r="FH15" s="92"/>
      <c r="FI15" s="92"/>
      <c r="FJ15" s="191" t="str">
        <f>IFERROR(IF(AC15="","",IFERROR(AC15*($AC$9/100),""))+IF(#REF!="","",IFERROR(#REF!*(#REF!/100),"")),"")</f>
        <v/>
      </c>
      <c r="FK15" s="192" t="str">
        <f t="shared" si="55"/>
        <v/>
      </c>
      <c r="FL15" s="191">
        <f t="shared" si="3"/>
        <v>38.450000000000003</v>
      </c>
      <c r="FM15" s="192">
        <f t="shared" si="56"/>
        <v>0.76900000000000002</v>
      </c>
      <c r="FN15" s="190">
        <f t="shared" si="4"/>
        <v>798.56448421052619</v>
      </c>
      <c r="FO15" s="101" t="e">
        <f t="shared" si="57"/>
        <v>#REF!</v>
      </c>
    </row>
    <row r="16" spans="1:171">
      <c r="A16" s="121">
        <v>6</v>
      </c>
      <c r="B16" s="122" t="s">
        <v>201</v>
      </c>
      <c r="C16" s="122" t="s">
        <v>202</v>
      </c>
      <c r="D16" s="73">
        <f>'MK1-TM'!D24</f>
        <v>76.3</v>
      </c>
      <c r="E16" s="73">
        <f>'MK1-TM'!E24</f>
        <v>80.8</v>
      </c>
      <c r="F16" s="73">
        <f t="shared" si="5"/>
        <v>78.55</v>
      </c>
      <c r="G16" s="91">
        <f>'MK2-TO'!D24</f>
        <v>76.75</v>
      </c>
      <c r="H16" s="91">
        <f>'MK2-TO'!E24</f>
        <v>78</v>
      </c>
      <c r="I16" s="91">
        <f>'MK2-TO'!F24</f>
        <v>83.38</v>
      </c>
      <c r="J16" s="91">
        <v>78</v>
      </c>
      <c r="K16" s="91">
        <f>'MK2-TO'!H24</f>
        <v>83</v>
      </c>
      <c r="L16" s="91">
        <f t="shared" si="6"/>
        <v>80.248800000000003</v>
      </c>
      <c r="M16" s="74">
        <f>'MK3-PSTI'!D24</f>
        <v>76.400000000000006</v>
      </c>
      <c r="N16" s="74">
        <f>'MK3-PSTI'!E24</f>
        <v>81.900000000000006</v>
      </c>
      <c r="O16" s="74">
        <f t="shared" si="7"/>
        <v>79.150000000000006</v>
      </c>
      <c r="P16" s="75">
        <f>IF('MK4-L&amp;A'!D24="","",'MK4-L&amp;A'!D24)</f>
        <v>85.9</v>
      </c>
      <c r="Q16" s="75">
        <f>IF('MK4-L&amp;A'!E24="","",'MK4-L&amp;A'!E24)</f>
        <v>87</v>
      </c>
      <c r="R16" s="75">
        <f t="shared" si="8"/>
        <v>86.45</v>
      </c>
      <c r="S16" s="76">
        <f>IF('MK5-BP'!D24="","",'MK5-BP'!D24)</f>
        <v>75.599999999999994</v>
      </c>
      <c r="T16" s="76">
        <f>IF('MK5-BP'!E24="","",'MK5-BP'!E24)</f>
        <v>68.099999999999994</v>
      </c>
      <c r="U16" s="76">
        <f t="shared" si="58"/>
        <v>71.849999999999994</v>
      </c>
      <c r="V16" s="38">
        <f>IF('MK7-MBD'!D24="","",'MK7-MBD'!D24)</f>
        <v>87.05</v>
      </c>
      <c r="W16" s="38">
        <f>IF('MK7-MBD'!E24="","",'MK7-MBD'!E24)</f>
        <v>95.5</v>
      </c>
      <c r="X16" s="38">
        <f t="shared" si="9"/>
        <v>91.275000000000006</v>
      </c>
      <c r="Y16" s="77">
        <f>IF(MK8_BID!D24="","",MK8_BID!D24)</f>
        <v>85.9</v>
      </c>
      <c r="Z16" s="77">
        <f>IF(MK8_BID!E24="","",MK8_BID!E24)</f>
        <v>85.9</v>
      </c>
      <c r="AA16" s="77">
        <f t="shared" si="10"/>
        <v>85.9</v>
      </c>
      <c r="AB16" s="78">
        <f>IF('MK16-AGM'!D24="","",'MK16-AGM'!D24)</f>
        <v>90.4</v>
      </c>
      <c r="AC16" s="78">
        <f>IF('MK16-AGM'!E24="","",'MK16-AGM'!E24)</f>
        <v>97.5</v>
      </c>
      <c r="AD16" s="78">
        <f t="shared" si="11"/>
        <v>93.95</v>
      </c>
      <c r="AF16" s="79">
        <f t="shared" si="0"/>
        <v>132.155</v>
      </c>
      <c r="AG16" s="80">
        <f t="shared" si="59"/>
        <v>61.467441860465122</v>
      </c>
      <c r="AH16" s="79" t="str">
        <f>IFERROR((#REF!*(#REF!/100)),"")</f>
        <v/>
      </c>
      <c r="AI16" s="80" t="str">
        <f t="shared" si="12"/>
        <v/>
      </c>
      <c r="AJ16" s="79">
        <f t="shared" si="13"/>
        <v>80.75</v>
      </c>
      <c r="AK16" s="80">
        <f t="shared" si="14"/>
        <v>80.75</v>
      </c>
      <c r="AL16" s="79" t="str">
        <f>IFERROR((#REF!*(#REF!/100)),"")</f>
        <v/>
      </c>
      <c r="AM16" s="80" t="str">
        <f t="shared" si="15"/>
        <v/>
      </c>
      <c r="AN16" s="80"/>
      <c r="AO16" s="80"/>
      <c r="AP16" s="80"/>
      <c r="AQ16" s="80"/>
      <c r="AR16" s="80"/>
      <c r="AS16" s="80"/>
      <c r="AT16" s="80"/>
      <c r="AU16" s="80"/>
      <c r="AV16" s="79">
        <f t="shared" si="16"/>
        <v>77.55</v>
      </c>
      <c r="AW16" s="80">
        <f t="shared" si="60"/>
        <v>77.55</v>
      </c>
      <c r="AX16" s="79" t="str">
        <f>IFERROR((Y16*($Y$9/100)+AB16*($AB$9/100)+#REF!*(#REF!/100)),"")</f>
        <v/>
      </c>
      <c r="AY16" s="80" t="str">
        <f t="shared" si="17"/>
        <v/>
      </c>
      <c r="AZ16" s="80"/>
      <c r="BA16" s="80"/>
      <c r="BB16" s="79" t="str">
        <f>IFERROR((#REF!*(#REF!/100)+#REF!*(#REF!/100)+#REF!*(#REF!/100)),"")</f>
        <v/>
      </c>
      <c r="BC16" s="80" t="str">
        <f t="shared" si="61"/>
        <v/>
      </c>
      <c r="BD16" s="79">
        <f t="shared" si="1"/>
        <v>146.53</v>
      </c>
      <c r="BE16" s="80">
        <f t="shared" si="62"/>
        <v>85.690058479532155</v>
      </c>
      <c r="BF16" s="2" t="str">
        <f>IFERROR((Z16*($Z$9/100)+AC16*($AC$9/100)+#REF!*(#REF!/100)),"")</f>
        <v/>
      </c>
      <c r="BG16" s="79" t="str">
        <f t="shared" si="63"/>
        <v/>
      </c>
      <c r="BJ16" s="4">
        <f t="shared" si="18"/>
        <v>43.524999999999999</v>
      </c>
      <c r="BK16" s="89">
        <f t="shared" si="64"/>
        <v>0.87049999999999994</v>
      </c>
      <c r="BL16" s="4">
        <f t="shared" si="19"/>
        <v>42.95</v>
      </c>
      <c r="BM16" s="89">
        <f t="shared" si="65"/>
        <v>0.8590000000000001</v>
      </c>
      <c r="BN16" s="81">
        <f t="shared" si="20"/>
        <v>42.95</v>
      </c>
      <c r="BO16" s="89">
        <f t="shared" si="66"/>
        <v>0.8590000000000001</v>
      </c>
      <c r="BP16" s="81">
        <f t="shared" si="21"/>
        <v>38.15</v>
      </c>
      <c r="BQ16" s="89">
        <f t="shared" si="22"/>
        <v>0.76300000000000001</v>
      </c>
      <c r="BR16" s="4"/>
      <c r="BS16" s="4"/>
      <c r="BT16" s="81">
        <f t="shared" si="67"/>
        <v>40.4</v>
      </c>
      <c r="BU16" s="87">
        <f t="shared" si="23"/>
        <v>0.80799999999999994</v>
      </c>
      <c r="BV16" s="4"/>
      <c r="BW16" s="4"/>
      <c r="BX16" s="4"/>
      <c r="BY16" s="4"/>
      <c r="BZ16" s="81"/>
      <c r="CA16" s="89" t="str">
        <f t="shared" si="24"/>
        <v/>
      </c>
      <c r="CB16" s="81"/>
      <c r="CC16" s="89"/>
      <c r="CD16" s="81"/>
      <c r="CE16" s="89" t="str">
        <f t="shared" si="25"/>
        <v/>
      </c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81">
        <f t="shared" si="26"/>
        <v>42.95</v>
      </c>
      <c r="CQ16" s="87">
        <f t="shared" si="27"/>
        <v>0.8590000000000001</v>
      </c>
      <c r="CR16" s="4">
        <f t="shared" si="28"/>
        <v>43.5</v>
      </c>
      <c r="CS16" s="87">
        <f t="shared" si="29"/>
        <v>0.87</v>
      </c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81">
        <f t="shared" si="30"/>
        <v>38.200000000000003</v>
      </c>
      <c r="DS16" s="87">
        <f t="shared" si="31"/>
        <v>0.76400000000000001</v>
      </c>
      <c r="DT16" s="4"/>
      <c r="DU16" s="4"/>
      <c r="DV16" s="4"/>
      <c r="DW16" s="4"/>
      <c r="DX16" s="81">
        <f t="shared" si="32"/>
        <v>40.950000000000003</v>
      </c>
      <c r="DY16" s="89">
        <f t="shared" si="33"/>
        <v>0.81900000000000006</v>
      </c>
      <c r="DZ16" s="81"/>
      <c r="EA16" s="89"/>
      <c r="EB16" s="81">
        <f t="shared" si="34"/>
        <v>12.280000000000001</v>
      </c>
      <c r="EC16" s="89">
        <f t="shared" si="35"/>
        <v>0.76750000000000007</v>
      </c>
      <c r="ED16" s="80">
        <f t="shared" si="68"/>
        <v>12.48</v>
      </c>
      <c r="EE16" s="89">
        <f t="shared" si="36"/>
        <v>0.78</v>
      </c>
      <c r="EF16" s="206">
        <f t="shared" si="37"/>
        <v>21.678799999999999</v>
      </c>
      <c r="EG16" s="89">
        <f t="shared" si="38"/>
        <v>0.83379999999999999</v>
      </c>
      <c r="EH16" s="80">
        <f t="shared" si="39"/>
        <v>16.38</v>
      </c>
      <c r="EI16" s="89">
        <f t="shared" si="40"/>
        <v>0.77999999999999992</v>
      </c>
      <c r="EJ16" s="4"/>
      <c r="EK16" s="4"/>
      <c r="EL16" s="81">
        <f t="shared" si="41"/>
        <v>17.43</v>
      </c>
      <c r="EM16" s="87">
        <f t="shared" si="42"/>
        <v>0.83379999999999999</v>
      </c>
      <c r="EN16" s="4"/>
      <c r="EO16" s="4" t="str">
        <f t="shared" si="43"/>
        <v/>
      </c>
      <c r="EP16" s="4"/>
      <c r="EQ16" s="4"/>
      <c r="ER16" s="4">
        <f t="shared" si="44"/>
        <v>37.799999999999997</v>
      </c>
      <c r="ES16" s="87">
        <f t="shared" si="45"/>
        <v>0.75599999999999989</v>
      </c>
      <c r="ET16" s="4">
        <f t="shared" si="46"/>
        <v>34.049999999999997</v>
      </c>
      <c r="EU16" s="87">
        <f t="shared" si="47"/>
        <v>0.68099999999999994</v>
      </c>
      <c r="EV16" s="81" t="str">
        <f>IFERROR(IF(#REF!="","",IFERROR(#REF!*(#REF!/100),"")),"")</f>
        <v/>
      </c>
      <c r="EW16" s="89" t="str">
        <f t="shared" si="48"/>
        <v/>
      </c>
      <c r="EX16" s="80">
        <f t="shared" si="49"/>
        <v>45.2</v>
      </c>
      <c r="EY16" s="89">
        <f t="shared" si="50"/>
        <v>0.90400000000000003</v>
      </c>
      <c r="EZ16" s="80">
        <f t="shared" si="51"/>
        <v>48.75</v>
      </c>
      <c r="FA16" s="89">
        <f t="shared" si="52"/>
        <v>0.97499999999999998</v>
      </c>
      <c r="FB16" s="89"/>
      <c r="FC16" s="89"/>
      <c r="FD16" s="81" t="str">
        <f>IFERROR(IF(#REF!="","",IFERROR(#REF!*(#REF!/100),""))+IF(#REF!="","",IFERROR(#REF!*(#REF!/100),"")),"")</f>
        <v/>
      </c>
      <c r="FE16" s="89" t="str">
        <f t="shared" si="53"/>
        <v/>
      </c>
      <c r="FF16" s="191">
        <f t="shared" si="2"/>
        <v>146.53</v>
      </c>
      <c r="FG16" s="192">
        <f t="shared" si="54"/>
        <v>0.85690058479532161</v>
      </c>
      <c r="FH16" s="92"/>
      <c r="FI16" s="92"/>
      <c r="FJ16" s="191" t="str">
        <f>IFERROR(IF(AC16="","",IFERROR(AC16*($AC$9/100),""))+IF(#REF!="","",IFERROR(#REF!*(#REF!/100),"")),"")</f>
        <v/>
      </c>
      <c r="FK16" s="192" t="str">
        <f t="shared" si="55"/>
        <v/>
      </c>
      <c r="FL16" s="191">
        <f t="shared" si="3"/>
        <v>42.95</v>
      </c>
      <c r="FM16" s="192">
        <f t="shared" si="56"/>
        <v>0.8590000000000001</v>
      </c>
      <c r="FN16" s="190">
        <f t="shared" si="4"/>
        <v>824.74330058479541</v>
      </c>
      <c r="FO16" s="101" t="e">
        <f t="shared" si="57"/>
        <v>#REF!</v>
      </c>
    </row>
    <row r="17" spans="1:171">
      <c r="A17" s="121">
        <v>7</v>
      </c>
      <c r="B17" s="122" t="s">
        <v>203</v>
      </c>
      <c r="C17" s="122" t="s">
        <v>204</v>
      </c>
      <c r="D17" s="73">
        <f>'MK1-TM'!D25</f>
        <v>93</v>
      </c>
      <c r="E17" s="73">
        <f>'MK1-TM'!E25</f>
        <v>99</v>
      </c>
      <c r="F17" s="73">
        <f t="shared" si="5"/>
        <v>96</v>
      </c>
      <c r="G17" s="91">
        <f>'MK2-TO'!D25</f>
        <v>76.13</v>
      </c>
      <c r="H17" s="91">
        <f>'MK2-TO'!E25</f>
        <v>77.38</v>
      </c>
      <c r="I17" s="91">
        <f>'MK2-TO'!F25</f>
        <v>84.15</v>
      </c>
      <c r="J17" s="91">
        <v>77.290000000000006</v>
      </c>
      <c r="K17" s="91">
        <f>'MK2-TO'!H25</f>
        <v>83.71</v>
      </c>
      <c r="L17" s="91">
        <f t="shared" si="6"/>
        <v>80.250600000000006</v>
      </c>
      <c r="M17" s="74">
        <f>'MK3-PSTI'!D25</f>
        <v>86</v>
      </c>
      <c r="N17" s="74">
        <f>'MK3-PSTI'!E25</f>
        <v>89.5</v>
      </c>
      <c r="O17" s="74">
        <f t="shared" si="7"/>
        <v>87.75</v>
      </c>
      <c r="P17" s="75">
        <f>IF('MK4-L&amp;A'!D25="","",'MK4-L&amp;A'!D25)</f>
        <v>84.5</v>
      </c>
      <c r="Q17" s="75">
        <f>IF('MK4-L&amp;A'!E25="","",'MK4-L&amp;A'!E25)</f>
        <v>90.5</v>
      </c>
      <c r="R17" s="75">
        <f t="shared" si="8"/>
        <v>87.5</v>
      </c>
      <c r="S17" s="76">
        <f>IF('MK5-BP'!D25="","",'MK5-BP'!D25)</f>
        <v>78.400000000000006</v>
      </c>
      <c r="T17" s="76">
        <f>IF('MK5-BP'!E25="","",'MK5-BP'!E25)</f>
        <v>70.900000000000006</v>
      </c>
      <c r="U17" s="76">
        <f t="shared" si="58"/>
        <v>74.650000000000006</v>
      </c>
      <c r="V17" s="38">
        <f>IF('MK7-MBD'!D25="","",'MK7-MBD'!D25)</f>
        <v>84.4</v>
      </c>
      <c r="W17" s="38">
        <f>IF('MK7-MBD'!E25="","",'MK7-MBD'!E25)</f>
        <v>94.4</v>
      </c>
      <c r="X17" s="38">
        <f t="shared" si="9"/>
        <v>89.4</v>
      </c>
      <c r="Y17" s="77">
        <f>IF(MK8_BID!D25="","",MK8_BID!D25)</f>
        <v>90.15</v>
      </c>
      <c r="Z17" s="77">
        <f>IF(MK8_BID!E25="","",MK8_BID!E25)</f>
        <v>90.15</v>
      </c>
      <c r="AA17" s="77">
        <f t="shared" si="10"/>
        <v>90.15</v>
      </c>
      <c r="AB17" s="78">
        <f>IF('MK16-AGM'!D25="","",'MK16-AGM'!D25)</f>
        <v>80.5</v>
      </c>
      <c r="AC17" s="78">
        <f>IF('MK16-AGM'!E25="","",'MK16-AGM'!E25)</f>
        <v>82.6</v>
      </c>
      <c r="AD17" s="78">
        <f t="shared" si="11"/>
        <v>81.55</v>
      </c>
      <c r="AF17" s="79">
        <f t="shared" si="0"/>
        <v>143.88080000000002</v>
      </c>
      <c r="AG17" s="80">
        <f t="shared" si="59"/>
        <v>66.921302325581408</v>
      </c>
      <c r="AH17" s="79"/>
      <c r="AI17" s="80"/>
      <c r="AJ17" s="79">
        <f t="shared" si="13"/>
        <v>81.45</v>
      </c>
      <c r="AK17" s="80">
        <f t="shared" si="14"/>
        <v>81.45</v>
      </c>
      <c r="AL17" s="79" t="str">
        <f>IFERROR((#REF!*(#REF!/100)),"")</f>
        <v/>
      </c>
      <c r="AM17" s="80" t="str">
        <f t="shared" si="15"/>
        <v/>
      </c>
      <c r="AN17" s="80"/>
      <c r="AO17" s="80"/>
      <c r="AP17" s="80"/>
      <c r="AQ17" s="80"/>
      <c r="AR17" s="80"/>
      <c r="AS17" s="80"/>
      <c r="AT17" s="80"/>
      <c r="AU17" s="80"/>
      <c r="AV17" s="79">
        <f t="shared" si="16"/>
        <v>80.7</v>
      </c>
      <c r="AW17" s="80">
        <f t="shared" si="60"/>
        <v>80.7</v>
      </c>
      <c r="AX17" s="79" t="str">
        <f>IFERROR((Y17*($Y$9/100)+AB17*($AB$9/100)+#REF!*(#REF!/100)),"")</f>
        <v/>
      </c>
      <c r="AY17" s="80" t="str">
        <f t="shared" si="17"/>
        <v/>
      </c>
      <c r="AZ17" s="80"/>
      <c r="BA17" s="80"/>
      <c r="BB17" s="79" t="str">
        <f>IFERROR((#REF!*(#REF!/100)+#REF!*(#REF!/100)+#REF!*(#REF!/100)),"")</f>
        <v/>
      </c>
      <c r="BC17" s="80" t="str">
        <f t="shared" si="61"/>
        <v/>
      </c>
      <c r="BD17" s="79">
        <f t="shared" si="1"/>
        <v>159.0291</v>
      </c>
      <c r="BE17" s="80">
        <f t="shared" si="62"/>
        <v>92.999473684210514</v>
      </c>
      <c r="BF17" s="2" t="str">
        <f>IFERROR((Z17*($Z$9/100)+AC17*($AC$9/100)+#REF!*(#REF!/100)),"")</f>
        <v/>
      </c>
      <c r="BG17" s="79" t="str">
        <f t="shared" si="63"/>
        <v/>
      </c>
      <c r="BJ17" s="4">
        <f t="shared" si="18"/>
        <v>42.2</v>
      </c>
      <c r="BK17" s="89">
        <f t="shared" si="64"/>
        <v>0.84400000000000008</v>
      </c>
      <c r="BL17" s="4">
        <f t="shared" si="19"/>
        <v>45.075000000000003</v>
      </c>
      <c r="BM17" s="89">
        <f t="shared" si="65"/>
        <v>0.90150000000000008</v>
      </c>
      <c r="BN17" s="81">
        <f t="shared" si="20"/>
        <v>45.075000000000003</v>
      </c>
      <c r="BO17" s="89">
        <f t="shared" si="66"/>
        <v>0.90150000000000008</v>
      </c>
      <c r="BP17" s="81">
        <f t="shared" si="21"/>
        <v>46.5</v>
      </c>
      <c r="BQ17" s="89">
        <f t="shared" si="22"/>
        <v>0.93</v>
      </c>
      <c r="BR17" s="4"/>
      <c r="BS17" s="4"/>
      <c r="BT17" s="81">
        <f t="shared" si="67"/>
        <v>49.5</v>
      </c>
      <c r="BU17" s="87">
        <f t="shared" si="23"/>
        <v>0.99</v>
      </c>
      <c r="BV17" s="4"/>
      <c r="BW17" s="4"/>
      <c r="BX17" s="4"/>
      <c r="BY17" s="4"/>
      <c r="BZ17" s="81"/>
      <c r="CA17" s="89" t="str">
        <f t="shared" si="24"/>
        <v/>
      </c>
      <c r="CB17" s="81"/>
      <c r="CC17" s="89"/>
      <c r="CD17" s="81"/>
      <c r="CE17" s="89" t="str">
        <f t="shared" si="25"/>
        <v/>
      </c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81">
        <f t="shared" si="26"/>
        <v>42.25</v>
      </c>
      <c r="CQ17" s="87">
        <f t="shared" si="27"/>
        <v>0.84499999999999997</v>
      </c>
      <c r="CR17" s="4">
        <f t="shared" si="28"/>
        <v>45.25</v>
      </c>
      <c r="CS17" s="87">
        <f t="shared" si="29"/>
        <v>0.90500000000000003</v>
      </c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81">
        <f t="shared" si="30"/>
        <v>43</v>
      </c>
      <c r="DS17" s="87">
        <f t="shared" si="31"/>
        <v>0.86</v>
      </c>
      <c r="DT17" s="4"/>
      <c r="DU17" s="4"/>
      <c r="DV17" s="4"/>
      <c r="DW17" s="4"/>
      <c r="DX17" s="81">
        <f t="shared" si="32"/>
        <v>44.75</v>
      </c>
      <c r="DY17" s="89">
        <f t="shared" si="33"/>
        <v>0.89500000000000002</v>
      </c>
      <c r="DZ17" s="81"/>
      <c r="EA17" s="89"/>
      <c r="EB17" s="81">
        <f t="shared" si="34"/>
        <v>12.1808</v>
      </c>
      <c r="EC17" s="89">
        <f t="shared" si="35"/>
        <v>0.76129999999999998</v>
      </c>
      <c r="ED17" s="80">
        <f t="shared" si="68"/>
        <v>12.380799999999999</v>
      </c>
      <c r="EE17" s="89">
        <f t="shared" si="36"/>
        <v>0.77379999999999993</v>
      </c>
      <c r="EF17" s="206">
        <f t="shared" si="37"/>
        <v>21.879000000000001</v>
      </c>
      <c r="EG17" s="89">
        <f t="shared" si="38"/>
        <v>0.84150000000000003</v>
      </c>
      <c r="EH17" s="80">
        <f t="shared" si="39"/>
        <v>16.230900000000002</v>
      </c>
      <c r="EI17" s="89">
        <f t="shared" si="40"/>
        <v>0.77290000000000014</v>
      </c>
      <c r="EJ17" s="4"/>
      <c r="EK17" s="4"/>
      <c r="EL17" s="81">
        <f t="shared" si="41"/>
        <v>17.579099999999997</v>
      </c>
      <c r="EM17" s="87">
        <f t="shared" si="42"/>
        <v>0.84150000000000003</v>
      </c>
      <c r="EN17" s="4"/>
      <c r="EO17" s="4" t="str">
        <f t="shared" si="43"/>
        <v/>
      </c>
      <c r="EP17" s="4"/>
      <c r="EQ17" s="4"/>
      <c r="ER17" s="4">
        <f t="shared" si="44"/>
        <v>39.200000000000003</v>
      </c>
      <c r="ES17" s="87">
        <f t="shared" si="45"/>
        <v>0.78400000000000003</v>
      </c>
      <c r="ET17" s="4">
        <f t="shared" si="46"/>
        <v>35.450000000000003</v>
      </c>
      <c r="EU17" s="87">
        <f t="shared" si="47"/>
        <v>0.70900000000000007</v>
      </c>
      <c r="EV17" s="81"/>
      <c r="EW17" s="89" t="str">
        <f t="shared" si="48"/>
        <v/>
      </c>
      <c r="EX17" s="80">
        <f t="shared" si="49"/>
        <v>40.25</v>
      </c>
      <c r="EY17" s="89">
        <f t="shared" si="50"/>
        <v>0.80500000000000005</v>
      </c>
      <c r="EZ17" s="80">
        <f t="shared" si="51"/>
        <v>41.3</v>
      </c>
      <c r="FA17" s="89">
        <f t="shared" si="52"/>
        <v>0.82599999999999996</v>
      </c>
      <c r="FB17" s="89"/>
      <c r="FC17" s="89"/>
      <c r="FD17" s="81"/>
      <c r="FE17" s="89" t="str">
        <f t="shared" si="53"/>
        <v/>
      </c>
      <c r="FF17" s="191">
        <f t="shared" si="2"/>
        <v>159.0291</v>
      </c>
      <c r="FG17" s="192">
        <f t="shared" si="54"/>
        <v>0.92999473684210521</v>
      </c>
      <c r="FH17" s="92"/>
      <c r="FI17" s="92"/>
      <c r="FJ17" s="191" t="str">
        <f>IFERROR(IF(AC17="","",IFERROR(AC17*($AC$9/100),""))+IF(#REF!="","",IFERROR(#REF!*(#REF!/100),"")),"")</f>
        <v/>
      </c>
      <c r="FK17" s="192" t="str">
        <f t="shared" si="55"/>
        <v/>
      </c>
      <c r="FL17" s="191">
        <f t="shared" si="3"/>
        <v>45.075000000000003</v>
      </c>
      <c r="FM17" s="192">
        <f t="shared" si="56"/>
        <v>0.90150000000000008</v>
      </c>
      <c r="FN17" s="190">
        <f t="shared" si="4"/>
        <v>860.27169473684205</v>
      </c>
      <c r="FO17" s="101" t="e">
        <f t="shared" si="57"/>
        <v>#REF!</v>
      </c>
    </row>
    <row r="18" spans="1:171">
      <c r="A18" s="121">
        <v>8</v>
      </c>
      <c r="B18" s="122" t="s">
        <v>205</v>
      </c>
      <c r="C18" s="122" t="s">
        <v>206</v>
      </c>
      <c r="D18" s="73">
        <f>'MK1-TM'!D26</f>
        <v>77.5</v>
      </c>
      <c r="E18" s="73">
        <f>'MK1-TM'!E26</f>
        <v>82</v>
      </c>
      <c r="F18" s="73">
        <f t="shared" si="5"/>
        <v>79.75</v>
      </c>
      <c r="G18" s="91">
        <f>'MK2-TO'!D26</f>
        <v>76.75</v>
      </c>
      <c r="H18" s="91">
        <f>'MK2-TO'!E26</f>
        <v>80.5</v>
      </c>
      <c r="I18" s="91">
        <f>'MK2-TO'!F26</f>
        <v>84.15</v>
      </c>
      <c r="J18" s="91">
        <v>79.430000000000007</v>
      </c>
      <c r="K18" s="91">
        <f>'MK2-TO'!H26</f>
        <v>83.95</v>
      </c>
      <c r="L18" s="91">
        <f t="shared" si="6"/>
        <v>81.348800000000011</v>
      </c>
      <c r="M18" s="74">
        <f>'MK3-PSTI'!D26</f>
        <v>79</v>
      </c>
      <c r="N18" s="74">
        <f>'MK3-PSTI'!E26</f>
        <v>82.5</v>
      </c>
      <c r="O18" s="74">
        <f t="shared" si="7"/>
        <v>80.75</v>
      </c>
      <c r="P18" s="75">
        <f>IF('MK4-L&amp;A'!D26="","",'MK4-L&amp;A'!D26)</f>
        <v>88</v>
      </c>
      <c r="Q18" s="75">
        <f>IF('MK4-L&amp;A'!E26="","",'MK4-L&amp;A'!E26)</f>
        <v>87</v>
      </c>
      <c r="R18" s="75">
        <f t="shared" si="8"/>
        <v>87.5</v>
      </c>
      <c r="S18" s="76">
        <f>IF('MK5-BP'!D26="","",'MK5-BP'!D26)</f>
        <v>75.599999999999994</v>
      </c>
      <c r="T18" s="76">
        <f>IF('MK5-BP'!E26="","",'MK5-BP'!E26)</f>
        <v>68.099999999999994</v>
      </c>
      <c r="U18" s="76">
        <f t="shared" si="58"/>
        <v>71.849999999999994</v>
      </c>
      <c r="V18" s="38">
        <f>IF('MK7-MBD'!D26="","",'MK7-MBD'!D26)</f>
        <v>81.900000000000006</v>
      </c>
      <c r="W18" s="38">
        <f>IF('MK7-MBD'!E26="","",'MK7-MBD'!E26)</f>
        <v>90.8</v>
      </c>
      <c r="X18" s="38">
        <f t="shared" si="9"/>
        <v>86.35</v>
      </c>
      <c r="Y18" s="77">
        <f>IF(MK8_BID!D26="","",MK8_BID!D26)</f>
        <v>81.400000000000006</v>
      </c>
      <c r="Z18" s="77">
        <f>IF(MK8_BID!E26="","",MK8_BID!E26)</f>
        <v>81.400000000000006</v>
      </c>
      <c r="AA18" s="77">
        <f t="shared" si="10"/>
        <v>81.400000000000006</v>
      </c>
      <c r="AB18" s="78">
        <f>IF('MK16-AGM'!D26="","",'MK16-AGM'!D26)</f>
        <v>93.2</v>
      </c>
      <c r="AC18" s="78">
        <f>IF('MK16-AGM'!E26="","",'MK16-AGM'!E26)</f>
        <v>91</v>
      </c>
      <c r="AD18" s="78">
        <f t="shared" si="11"/>
        <v>92.1</v>
      </c>
      <c r="AF18" s="79">
        <f t="shared" si="0"/>
        <v>131.48000000000002</v>
      </c>
      <c r="AG18" s="80">
        <f t="shared" si="59"/>
        <v>61.153488372093037</v>
      </c>
      <c r="AH18" s="79" t="str">
        <f>IFERROR((#REF!*(#REF!/100)),"")</f>
        <v/>
      </c>
      <c r="AI18" s="80" t="str">
        <f t="shared" si="12"/>
        <v/>
      </c>
      <c r="AJ18" s="79">
        <f t="shared" si="13"/>
        <v>81.8</v>
      </c>
      <c r="AK18" s="80">
        <f t="shared" si="14"/>
        <v>81.8</v>
      </c>
      <c r="AL18" s="79" t="str">
        <f>IFERROR((#REF!*(#REF!/100)),"")</f>
        <v/>
      </c>
      <c r="AM18" s="80" t="str">
        <f t="shared" si="15"/>
        <v/>
      </c>
      <c r="AN18" s="80"/>
      <c r="AO18" s="80"/>
      <c r="AP18" s="80"/>
      <c r="AQ18" s="80"/>
      <c r="AR18" s="80"/>
      <c r="AS18" s="80"/>
      <c r="AT18" s="80"/>
      <c r="AU18" s="80"/>
      <c r="AV18" s="79">
        <f t="shared" si="16"/>
        <v>77.55</v>
      </c>
      <c r="AW18" s="80">
        <f t="shared" si="60"/>
        <v>77.55</v>
      </c>
      <c r="AX18" s="79" t="str">
        <f>IFERROR((Y18*($Y$9/100)+AB18*($AB$9/100)+#REF!*(#REF!/100)),"")</f>
        <v/>
      </c>
      <c r="AY18" s="80" t="str">
        <f t="shared" si="17"/>
        <v/>
      </c>
      <c r="AZ18" s="80"/>
      <c r="BA18" s="80"/>
      <c r="BB18" s="79" t="str">
        <f>IFERROR((#REF!*(#REF!/100)+#REF!*(#REF!/100)+#REF!*(#REF!/100)),"")</f>
        <v/>
      </c>
      <c r="BC18" s="80" t="str">
        <f t="shared" si="61"/>
        <v/>
      </c>
      <c r="BD18" s="79">
        <f t="shared" si="1"/>
        <v>145.27950000000001</v>
      </c>
      <c r="BE18" s="80">
        <f t="shared" si="62"/>
        <v>84.958771929824579</v>
      </c>
      <c r="BF18" s="2" t="str">
        <f>IFERROR((Z18*($Z$9/100)+AC18*($AC$9/100)+#REF!*(#REF!/100)),"")</f>
        <v/>
      </c>
      <c r="BG18" s="79" t="str">
        <f t="shared" si="63"/>
        <v/>
      </c>
      <c r="BJ18" s="4">
        <f t="shared" si="18"/>
        <v>40.950000000000003</v>
      </c>
      <c r="BK18" s="89">
        <f t="shared" si="64"/>
        <v>0.81900000000000006</v>
      </c>
      <c r="BL18" s="4">
        <f t="shared" si="19"/>
        <v>40.700000000000003</v>
      </c>
      <c r="BM18" s="89">
        <f t="shared" si="65"/>
        <v>0.81400000000000006</v>
      </c>
      <c r="BN18" s="81">
        <f t="shared" si="20"/>
        <v>40.700000000000003</v>
      </c>
      <c r="BO18" s="89">
        <f t="shared" si="66"/>
        <v>0.81400000000000006</v>
      </c>
      <c r="BP18" s="81">
        <f t="shared" si="21"/>
        <v>38.75</v>
      </c>
      <c r="BQ18" s="89">
        <f t="shared" si="22"/>
        <v>0.77500000000000002</v>
      </c>
      <c r="BR18" s="4"/>
      <c r="BS18" s="4"/>
      <c r="BT18" s="81">
        <f t="shared" si="67"/>
        <v>41</v>
      </c>
      <c r="BU18" s="87">
        <f t="shared" si="23"/>
        <v>0.82</v>
      </c>
      <c r="BV18" s="4"/>
      <c r="BW18" s="4"/>
      <c r="BX18" s="4"/>
      <c r="BY18" s="4"/>
      <c r="BZ18" s="81"/>
      <c r="CA18" s="89" t="str">
        <f t="shared" si="24"/>
        <v/>
      </c>
      <c r="CB18" s="81"/>
      <c r="CC18" s="89"/>
      <c r="CD18" s="81"/>
      <c r="CE18" s="89" t="str">
        <f t="shared" si="25"/>
        <v/>
      </c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81">
        <f t="shared" si="26"/>
        <v>44</v>
      </c>
      <c r="CQ18" s="87">
        <f t="shared" si="27"/>
        <v>0.88</v>
      </c>
      <c r="CR18" s="4">
        <f t="shared" si="28"/>
        <v>43.5</v>
      </c>
      <c r="CS18" s="87">
        <f t="shared" si="29"/>
        <v>0.87</v>
      </c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81">
        <f t="shared" si="30"/>
        <v>39.5</v>
      </c>
      <c r="DS18" s="87">
        <f t="shared" si="31"/>
        <v>0.79</v>
      </c>
      <c r="DT18" s="4"/>
      <c r="DU18" s="4"/>
      <c r="DV18" s="4"/>
      <c r="DW18" s="4"/>
      <c r="DX18" s="81">
        <f t="shared" si="32"/>
        <v>41.25</v>
      </c>
      <c r="DY18" s="89">
        <f t="shared" si="33"/>
        <v>0.82499999999999996</v>
      </c>
      <c r="DZ18" s="81"/>
      <c r="EA18" s="89"/>
      <c r="EB18" s="81">
        <f t="shared" si="34"/>
        <v>12.280000000000001</v>
      </c>
      <c r="EC18" s="89">
        <f t="shared" si="35"/>
        <v>0.76750000000000007</v>
      </c>
      <c r="ED18" s="80">
        <f t="shared" si="68"/>
        <v>12.88</v>
      </c>
      <c r="EE18" s="89">
        <f t="shared" si="36"/>
        <v>0.80500000000000005</v>
      </c>
      <c r="EF18" s="206">
        <f t="shared" si="37"/>
        <v>21.879000000000001</v>
      </c>
      <c r="EG18" s="89">
        <f t="shared" si="38"/>
        <v>0.84150000000000003</v>
      </c>
      <c r="EH18" s="80">
        <f t="shared" si="39"/>
        <v>16.680300000000003</v>
      </c>
      <c r="EI18" s="89">
        <f t="shared" si="40"/>
        <v>0.79430000000000012</v>
      </c>
      <c r="EJ18" s="4"/>
      <c r="EK18" s="4"/>
      <c r="EL18" s="81">
        <f t="shared" si="41"/>
        <v>17.6295</v>
      </c>
      <c r="EM18" s="87">
        <f t="shared" si="42"/>
        <v>0.84150000000000003</v>
      </c>
      <c r="EN18" s="4"/>
      <c r="EO18" s="4" t="str">
        <f t="shared" si="43"/>
        <v/>
      </c>
      <c r="EP18" s="4"/>
      <c r="EQ18" s="4"/>
      <c r="ER18" s="4">
        <f t="shared" si="44"/>
        <v>37.799999999999997</v>
      </c>
      <c r="ES18" s="87">
        <f t="shared" si="45"/>
        <v>0.75599999999999989</v>
      </c>
      <c r="ET18" s="4">
        <f t="shared" si="46"/>
        <v>34.049999999999997</v>
      </c>
      <c r="EU18" s="87">
        <f t="shared" si="47"/>
        <v>0.68099999999999994</v>
      </c>
      <c r="EV18" s="81" t="str">
        <f>IFERROR(IF(#REF!="","",IFERROR(#REF!*(#REF!/100),"")),"")</f>
        <v/>
      </c>
      <c r="EW18" s="89" t="str">
        <f t="shared" si="48"/>
        <v/>
      </c>
      <c r="EX18" s="80">
        <f t="shared" si="49"/>
        <v>46.6</v>
      </c>
      <c r="EY18" s="89">
        <f t="shared" si="50"/>
        <v>0.93200000000000005</v>
      </c>
      <c r="EZ18" s="80">
        <f t="shared" si="51"/>
        <v>45.5</v>
      </c>
      <c r="FA18" s="89">
        <f t="shared" si="52"/>
        <v>0.91</v>
      </c>
      <c r="FB18" s="89"/>
      <c r="FC18" s="89"/>
      <c r="FD18" s="81" t="str">
        <f>IFERROR(IF(#REF!="","",IFERROR(#REF!*(#REF!/100),""))+IF(#REF!="","",IFERROR(#REF!*(#REF!/100),"")),"")</f>
        <v/>
      </c>
      <c r="FE18" s="89" t="str">
        <f t="shared" si="53"/>
        <v/>
      </c>
      <c r="FF18" s="191">
        <f t="shared" si="2"/>
        <v>145.27950000000001</v>
      </c>
      <c r="FG18" s="192">
        <f t="shared" si="54"/>
        <v>0.84958771929824572</v>
      </c>
      <c r="FH18" s="92"/>
      <c r="FI18" s="92"/>
      <c r="FJ18" s="191" t="str">
        <f>IFERROR(IF(AC18="","",IFERROR(AC18*($AC$9/100),""))+IF(#REF!="","",IFERROR(#REF!*(#REF!/100),"")),"")</f>
        <v/>
      </c>
      <c r="FK18" s="192" t="str">
        <f t="shared" si="55"/>
        <v/>
      </c>
      <c r="FL18" s="191">
        <f t="shared" si="3"/>
        <v>40.700000000000003</v>
      </c>
      <c r="FM18" s="192">
        <f t="shared" si="56"/>
        <v>0.81400000000000006</v>
      </c>
      <c r="FN18" s="190">
        <f t="shared" si="4"/>
        <v>817.21368771929838</v>
      </c>
      <c r="FO18" s="101" t="e">
        <f t="shared" si="57"/>
        <v>#REF!</v>
      </c>
    </row>
    <row r="19" spans="1:171">
      <c r="A19" s="121">
        <v>9</v>
      </c>
      <c r="B19" s="122" t="s">
        <v>207</v>
      </c>
      <c r="C19" s="122" t="s">
        <v>208</v>
      </c>
      <c r="D19" s="73">
        <f>'MK1-TM'!D27</f>
        <v>77.5</v>
      </c>
      <c r="E19" s="73">
        <f>'MK1-TM'!E27</f>
        <v>81.5</v>
      </c>
      <c r="F19" s="73">
        <f t="shared" si="5"/>
        <v>79.5</v>
      </c>
      <c r="G19" s="91">
        <f>'MK2-TO'!D27</f>
        <v>78</v>
      </c>
      <c r="H19" s="91">
        <f>'MK2-TO'!E27</f>
        <v>81.75</v>
      </c>
      <c r="I19" s="91">
        <f>'MK2-TO'!F27</f>
        <v>80.31</v>
      </c>
      <c r="J19" s="91">
        <v>81.05</v>
      </c>
      <c r="K19" s="91">
        <f>'MK2-TO'!H27</f>
        <v>80.38</v>
      </c>
      <c r="L19" s="91">
        <f t="shared" si="6"/>
        <v>80.340900000000005</v>
      </c>
      <c r="M19" s="74">
        <f>'MK3-PSTI'!D27</f>
        <v>82.5</v>
      </c>
      <c r="N19" s="74">
        <f>'MK3-PSTI'!E27</f>
        <v>82.5</v>
      </c>
      <c r="O19" s="74">
        <f t="shared" si="7"/>
        <v>82.5</v>
      </c>
      <c r="P19" s="75">
        <f>IF('MK4-L&amp;A'!D27="","",'MK4-L&amp;A'!D27)</f>
        <v>84.5</v>
      </c>
      <c r="Q19" s="75">
        <f>IF('MK4-L&amp;A'!E27="","",'MK4-L&amp;A'!E27)</f>
        <v>83.5</v>
      </c>
      <c r="R19" s="75">
        <f t="shared" si="8"/>
        <v>84</v>
      </c>
      <c r="S19" s="76">
        <f>IF('MK5-BP'!D27="","",'MK5-BP'!D27)</f>
        <v>75.599999999999994</v>
      </c>
      <c r="T19" s="76">
        <f>IF('MK5-BP'!E27="","",'MK5-BP'!E27)</f>
        <v>68.099999999999994</v>
      </c>
      <c r="U19" s="76">
        <f t="shared" si="58"/>
        <v>71.849999999999994</v>
      </c>
      <c r="V19" s="38">
        <f>IF('MK7-MBD'!D27="","",'MK7-MBD'!D27)</f>
        <v>85.5</v>
      </c>
      <c r="W19" s="38">
        <f>IF('MK7-MBD'!E27="","",'MK7-MBD'!E27)</f>
        <v>85</v>
      </c>
      <c r="X19" s="38">
        <f t="shared" si="9"/>
        <v>85.25</v>
      </c>
      <c r="Y19" s="77">
        <f>IF(MK8_BID!D27="","",MK8_BID!D27)</f>
        <v>81.400000000000006</v>
      </c>
      <c r="Z19" s="77">
        <f>IF(MK8_BID!E27="","",MK8_BID!E27)</f>
        <v>81.400000000000006</v>
      </c>
      <c r="AA19" s="77">
        <f t="shared" si="10"/>
        <v>81.400000000000006</v>
      </c>
      <c r="AB19" s="78">
        <f>IF('MK16-AGM'!D27="","",'MK16-AGM'!D27)</f>
        <v>91.4</v>
      </c>
      <c r="AC19" s="78">
        <f>IF('MK16-AGM'!E27="","",'MK16-AGM'!E27)</f>
        <v>91</v>
      </c>
      <c r="AD19" s="78">
        <f t="shared" si="11"/>
        <v>91.2</v>
      </c>
      <c r="AF19" s="79">
        <f t="shared" si="0"/>
        <v>135.23000000000002</v>
      </c>
      <c r="AG19" s="80">
        <f t="shared" si="59"/>
        <v>62.897674418604652</v>
      </c>
      <c r="AH19" s="79" t="str">
        <f>IFERROR((#REF!*(#REF!/100)),"")</f>
        <v/>
      </c>
      <c r="AI19" s="80" t="str">
        <f t="shared" si="12"/>
        <v/>
      </c>
      <c r="AJ19" s="79">
        <f t="shared" si="13"/>
        <v>80.05</v>
      </c>
      <c r="AK19" s="80">
        <f t="shared" si="14"/>
        <v>80.05</v>
      </c>
      <c r="AL19" s="79" t="str">
        <f>IFERROR((#REF!*(#REF!/100)),"")</f>
        <v/>
      </c>
      <c r="AM19" s="80" t="str">
        <f t="shared" si="15"/>
        <v/>
      </c>
      <c r="AN19" s="80"/>
      <c r="AO19" s="80"/>
      <c r="AP19" s="80"/>
      <c r="AQ19" s="80"/>
      <c r="AR19" s="80"/>
      <c r="AS19" s="80"/>
      <c r="AT19" s="80"/>
      <c r="AU19" s="80"/>
      <c r="AV19" s="79">
        <f t="shared" si="16"/>
        <v>75.8</v>
      </c>
      <c r="AW19" s="80">
        <f t="shared" si="60"/>
        <v>75.8</v>
      </c>
      <c r="AX19" s="79" t="str">
        <f>IFERROR((Y19*($Y$9/100)+AB19*($AB$9/100)+#REF!*(#REF!/100)),"")</f>
        <v/>
      </c>
      <c r="AY19" s="80" t="str">
        <f t="shared" si="17"/>
        <v/>
      </c>
      <c r="AZ19" s="80"/>
      <c r="BA19" s="80"/>
      <c r="BB19" s="79" t="str">
        <f>IFERROR((#REF!*(#REF!/100)+#REF!*(#REF!/100)+#REF!*(#REF!/100)),"")</f>
        <v/>
      </c>
      <c r="BC19" s="80" t="str">
        <f t="shared" si="61"/>
        <v/>
      </c>
      <c r="BD19" s="79">
        <f t="shared" si="1"/>
        <v>141.37979999999999</v>
      </c>
      <c r="BE19" s="80">
        <f t="shared" si="62"/>
        <v>82.678245614035077</v>
      </c>
      <c r="BF19" s="2" t="str">
        <f>IFERROR((Z19*($Z$9/100)+AC19*($AC$9/100)+#REF!*(#REF!/100)),"")</f>
        <v/>
      </c>
      <c r="BG19" s="79" t="str">
        <f t="shared" si="63"/>
        <v/>
      </c>
      <c r="BJ19" s="4">
        <f t="shared" si="18"/>
        <v>42.75</v>
      </c>
      <c r="BK19" s="89">
        <f t="shared" si="64"/>
        <v>0.85499999999999998</v>
      </c>
      <c r="BL19" s="4">
        <f t="shared" si="19"/>
        <v>40.700000000000003</v>
      </c>
      <c r="BM19" s="89">
        <f t="shared" si="65"/>
        <v>0.81400000000000006</v>
      </c>
      <c r="BN19" s="81">
        <f t="shared" si="20"/>
        <v>40.700000000000003</v>
      </c>
      <c r="BO19" s="89">
        <f t="shared" si="66"/>
        <v>0.81400000000000006</v>
      </c>
      <c r="BP19" s="81">
        <f t="shared" si="21"/>
        <v>38.75</v>
      </c>
      <c r="BQ19" s="89">
        <f t="shared" si="22"/>
        <v>0.77500000000000002</v>
      </c>
      <c r="BR19" s="4"/>
      <c r="BS19" s="4"/>
      <c r="BT19" s="81">
        <f t="shared" si="67"/>
        <v>40.75</v>
      </c>
      <c r="BU19" s="87">
        <f t="shared" si="23"/>
        <v>0.81499999999999995</v>
      </c>
      <c r="BV19" s="4"/>
      <c r="BW19" s="4"/>
      <c r="BX19" s="4"/>
      <c r="BY19" s="4"/>
      <c r="BZ19" s="81"/>
      <c r="CA19" s="89" t="str">
        <f t="shared" si="24"/>
        <v/>
      </c>
      <c r="CB19" s="81"/>
      <c r="CC19" s="89"/>
      <c r="CD19" s="81"/>
      <c r="CE19" s="89" t="str">
        <f t="shared" si="25"/>
        <v/>
      </c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81">
        <f t="shared" si="26"/>
        <v>42.25</v>
      </c>
      <c r="CQ19" s="87">
        <f t="shared" si="27"/>
        <v>0.84499999999999997</v>
      </c>
      <c r="CR19" s="4">
        <f t="shared" si="28"/>
        <v>41.75</v>
      </c>
      <c r="CS19" s="87">
        <f t="shared" si="29"/>
        <v>0.83499999999999996</v>
      </c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81">
        <f t="shared" si="30"/>
        <v>41.25</v>
      </c>
      <c r="DS19" s="87">
        <f t="shared" si="31"/>
        <v>0.82499999999999996</v>
      </c>
      <c r="DT19" s="4"/>
      <c r="DU19" s="4"/>
      <c r="DV19" s="4"/>
      <c r="DW19" s="4"/>
      <c r="DX19" s="81">
        <f t="shared" si="32"/>
        <v>41.25</v>
      </c>
      <c r="DY19" s="89">
        <f t="shared" si="33"/>
        <v>0.82499999999999996</v>
      </c>
      <c r="DZ19" s="81"/>
      <c r="EA19" s="89"/>
      <c r="EB19" s="81">
        <f t="shared" si="34"/>
        <v>12.48</v>
      </c>
      <c r="EC19" s="89">
        <f t="shared" si="35"/>
        <v>0.78</v>
      </c>
      <c r="ED19" s="80">
        <f t="shared" si="68"/>
        <v>13.08</v>
      </c>
      <c r="EE19" s="89">
        <f t="shared" si="36"/>
        <v>0.8175</v>
      </c>
      <c r="EF19" s="206">
        <f t="shared" si="37"/>
        <v>20.880600000000001</v>
      </c>
      <c r="EG19" s="89">
        <f t="shared" si="38"/>
        <v>0.80310000000000004</v>
      </c>
      <c r="EH19" s="80">
        <f t="shared" si="39"/>
        <v>17.020499999999998</v>
      </c>
      <c r="EI19" s="89">
        <f t="shared" si="40"/>
        <v>0.81049999999999989</v>
      </c>
      <c r="EJ19" s="4"/>
      <c r="EK19" s="4"/>
      <c r="EL19" s="81">
        <f t="shared" si="41"/>
        <v>16.879799999999999</v>
      </c>
      <c r="EM19" s="87">
        <f t="shared" si="42"/>
        <v>0.80310000000000004</v>
      </c>
      <c r="EN19" s="4"/>
      <c r="EO19" s="4" t="str">
        <f t="shared" si="43"/>
        <v/>
      </c>
      <c r="EP19" s="4"/>
      <c r="EQ19" s="4"/>
      <c r="ER19" s="4">
        <f t="shared" si="44"/>
        <v>37.799999999999997</v>
      </c>
      <c r="ES19" s="87">
        <f t="shared" si="45"/>
        <v>0.75599999999999989</v>
      </c>
      <c r="ET19" s="4">
        <f t="shared" si="46"/>
        <v>34.049999999999997</v>
      </c>
      <c r="EU19" s="87">
        <f t="shared" si="47"/>
        <v>0.68099999999999994</v>
      </c>
      <c r="EV19" s="81" t="str">
        <f>IFERROR(IF(#REF!="","",IFERROR(#REF!*(#REF!/100),"")),"")</f>
        <v/>
      </c>
      <c r="EW19" s="89" t="str">
        <f t="shared" si="48"/>
        <v/>
      </c>
      <c r="EX19" s="80">
        <f t="shared" si="49"/>
        <v>45.7</v>
      </c>
      <c r="EY19" s="89">
        <f t="shared" si="50"/>
        <v>0.91400000000000003</v>
      </c>
      <c r="EZ19" s="80">
        <f t="shared" si="51"/>
        <v>45.5</v>
      </c>
      <c r="FA19" s="89">
        <f t="shared" si="52"/>
        <v>0.91</v>
      </c>
      <c r="FB19" s="89"/>
      <c r="FC19" s="89"/>
      <c r="FD19" s="81" t="str">
        <f>IFERROR(IF(#REF!="","",IFERROR(#REF!*(#REF!/100),""))+IF(#REF!="","",IFERROR(#REF!*(#REF!/100),"")),"")</f>
        <v/>
      </c>
      <c r="FE19" s="89" t="str">
        <f t="shared" si="53"/>
        <v/>
      </c>
      <c r="FF19" s="191">
        <f t="shared" si="2"/>
        <v>141.37979999999999</v>
      </c>
      <c r="FG19" s="192">
        <f t="shared" si="54"/>
        <v>0.82678245614035084</v>
      </c>
      <c r="FH19" s="92"/>
      <c r="FI19" s="92"/>
      <c r="FJ19" s="191" t="str">
        <f>IFERROR(IF(AC19="","",IFERROR(AC19*($AC$9/100),""))+IF(#REF!="","",IFERROR(#REF!*(#REF!/100),"")),"")</f>
        <v/>
      </c>
      <c r="FK19" s="192" t="str">
        <f t="shared" si="55"/>
        <v/>
      </c>
      <c r="FL19" s="191">
        <f t="shared" si="3"/>
        <v>40.700000000000003</v>
      </c>
      <c r="FM19" s="192">
        <f t="shared" si="56"/>
        <v>0.81400000000000006</v>
      </c>
      <c r="FN19" s="190">
        <f t="shared" si="4"/>
        <v>811.12568245614034</v>
      </c>
      <c r="FO19" s="101" t="e">
        <f t="shared" si="57"/>
        <v>#REF!</v>
      </c>
    </row>
    <row r="20" spans="1:171">
      <c r="A20" s="121">
        <v>10</v>
      </c>
      <c r="B20" s="122" t="s">
        <v>209</v>
      </c>
      <c r="C20" s="122" t="s">
        <v>210</v>
      </c>
      <c r="D20" s="73">
        <f>'MK1-TM'!D28</f>
        <v>94</v>
      </c>
      <c r="E20" s="73">
        <f>'MK1-TM'!E28</f>
        <v>99.5</v>
      </c>
      <c r="F20" s="73">
        <f t="shared" si="5"/>
        <v>96.75</v>
      </c>
      <c r="G20" s="91">
        <f>'MK2-TO'!D28</f>
        <v>78</v>
      </c>
      <c r="H20" s="91">
        <f>'MK2-TO'!E28</f>
        <v>80.5</v>
      </c>
      <c r="I20" s="91">
        <f>'MK2-TO'!F28</f>
        <v>84.15</v>
      </c>
      <c r="J20" s="91">
        <f>'MK2-TO'!G28</f>
        <v>80.86</v>
      </c>
      <c r="K20" s="91">
        <f>'MK2-TO'!H28</f>
        <v>83.95</v>
      </c>
      <c r="L20" s="91">
        <f t="shared" si="6"/>
        <v>81.849100000000007</v>
      </c>
      <c r="M20" s="74">
        <f>'MK3-PSTI'!D28</f>
        <v>86</v>
      </c>
      <c r="N20" s="74">
        <f>'MK3-PSTI'!E28</f>
        <v>86</v>
      </c>
      <c r="O20" s="74">
        <f t="shared" si="7"/>
        <v>86</v>
      </c>
      <c r="P20" s="75">
        <f>IF('MK4-L&amp;A'!D28="","",'MK4-L&amp;A'!D28)</f>
        <v>88</v>
      </c>
      <c r="Q20" s="75">
        <f>IF('MK4-L&amp;A'!E28="","",'MK4-L&amp;A'!E28)</f>
        <v>87</v>
      </c>
      <c r="R20" s="75">
        <f t="shared" si="8"/>
        <v>87.5</v>
      </c>
      <c r="S20" s="76">
        <f>IF('MK5-BP'!D28="","",'MK5-BP'!D28)</f>
        <v>78.400000000000006</v>
      </c>
      <c r="T20" s="76">
        <f>IF('MK5-BP'!E28="","",'MK5-BP'!E28)</f>
        <v>70.900000000000006</v>
      </c>
      <c r="U20" s="76">
        <f t="shared" si="58"/>
        <v>74.650000000000006</v>
      </c>
      <c r="V20" s="38">
        <f>IF('MK7-MBD'!D28="","",'MK7-MBD'!D28)</f>
        <v>84.85</v>
      </c>
      <c r="W20" s="38">
        <f>IF('MK7-MBD'!E28="","",'MK7-MBD'!E28)</f>
        <v>92.5</v>
      </c>
      <c r="X20" s="38">
        <f t="shared" si="9"/>
        <v>88.674999999999997</v>
      </c>
      <c r="Y20" s="77">
        <f>IF(MK8_BID!D28="","",MK8_BID!D28)</f>
        <v>88.5</v>
      </c>
      <c r="Z20" s="77">
        <f>IF(MK8_BID!E28="","",MK8_BID!E28)</f>
        <v>88.5</v>
      </c>
      <c r="AA20" s="77">
        <f t="shared" si="10"/>
        <v>88.5</v>
      </c>
      <c r="AB20" s="78">
        <f>IF('MK16-AGM'!D28="","",'MK16-AGM'!D28)</f>
        <v>79.2</v>
      </c>
      <c r="AC20" s="78">
        <f>IF('MK16-AGM'!E28="","",'MK16-AGM'!E28)</f>
        <v>82.6</v>
      </c>
      <c r="AD20" s="78">
        <f t="shared" si="11"/>
        <v>80.900000000000006</v>
      </c>
      <c r="AF20" s="79"/>
      <c r="AG20" s="80"/>
      <c r="AH20" s="79"/>
      <c r="AI20" s="80"/>
      <c r="AJ20" s="79"/>
      <c r="AK20" s="80"/>
      <c r="AL20" s="79"/>
      <c r="AM20" s="80"/>
      <c r="AN20" s="80"/>
      <c r="AO20" s="80"/>
      <c r="AP20" s="80"/>
      <c r="AQ20" s="80"/>
      <c r="AR20" s="80"/>
      <c r="AS20" s="80"/>
      <c r="AT20" s="80"/>
      <c r="AU20" s="80"/>
      <c r="AV20" s="79"/>
      <c r="AW20" s="80"/>
      <c r="AX20" s="79"/>
      <c r="AY20" s="80"/>
      <c r="AZ20" s="80"/>
      <c r="BA20" s="80"/>
      <c r="BB20" s="79"/>
      <c r="BC20" s="80"/>
      <c r="BD20" s="79"/>
      <c r="BE20" s="80"/>
      <c r="BF20" s="147"/>
      <c r="BG20" s="79"/>
      <c r="BJ20" s="4">
        <f t="shared" si="18"/>
        <v>42.424999999999997</v>
      </c>
      <c r="BK20" s="89">
        <f t="shared" si="64"/>
        <v>0.84849999999999992</v>
      </c>
      <c r="BL20" s="4">
        <f t="shared" si="19"/>
        <v>44.25</v>
      </c>
      <c r="BM20" s="89">
        <f t="shared" si="65"/>
        <v>0.88500000000000001</v>
      </c>
      <c r="BN20" s="81">
        <f t="shared" si="20"/>
        <v>44.25</v>
      </c>
      <c r="BO20" s="89">
        <f t="shared" si="66"/>
        <v>0.88500000000000001</v>
      </c>
      <c r="BP20" s="81">
        <f t="shared" si="21"/>
        <v>47</v>
      </c>
      <c r="BQ20" s="89">
        <f t="shared" si="22"/>
        <v>0.94</v>
      </c>
      <c r="BR20" s="4"/>
      <c r="BS20" s="4"/>
      <c r="BT20" s="81">
        <f t="shared" si="67"/>
        <v>49.75</v>
      </c>
      <c r="BU20" s="87">
        <f t="shared" si="23"/>
        <v>0.995</v>
      </c>
      <c r="BV20" s="4"/>
      <c r="BW20" s="4"/>
      <c r="BX20" s="4"/>
      <c r="BY20" s="4"/>
      <c r="BZ20" s="81"/>
      <c r="CA20" s="89"/>
      <c r="CB20" s="81"/>
      <c r="CC20" s="89"/>
      <c r="CD20" s="81"/>
      <c r="CE20" s="89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81">
        <f t="shared" si="26"/>
        <v>44</v>
      </c>
      <c r="CQ20" s="87">
        <f t="shared" si="27"/>
        <v>0.88</v>
      </c>
      <c r="CR20" s="4">
        <f t="shared" si="28"/>
        <v>43.5</v>
      </c>
      <c r="CS20" s="87">
        <f t="shared" si="29"/>
        <v>0.87</v>
      </c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81">
        <f t="shared" si="30"/>
        <v>43</v>
      </c>
      <c r="DS20" s="87">
        <f t="shared" si="31"/>
        <v>0.86</v>
      </c>
      <c r="DT20" s="4"/>
      <c r="DU20" s="4"/>
      <c r="DV20" s="4"/>
      <c r="DW20" s="4"/>
      <c r="DX20" s="81">
        <f t="shared" si="32"/>
        <v>43</v>
      </c>
      <c r="DY20" s="89">
        <f t="shared" si="33"/>
        <v>0.86</v>
      </c>
      <c r="DZ20" s="81"/>
      <c r="EA20" s="89"/>
      <c r="EB20" s="81">
        <f t="shared" si="34"/>
        <v>12.48</v>
      </c>
      <c r="EC20" s="89">
        <f t="shared" si="35"/>
        <v>0.78</v>
      </c>
      <c r="ED20" s="80">
        <f t="shared" si="68"/>
        <v>12.88</v>
      </c>
      <c r="EE20" s="89">
        <f t="shared" si="36"/>
        <v>0.80500000000000005</v>
      </c>
      <c r="EF20" s="206">
        <f t="shared" si="37"/>
        <v>21.879000000000001</v>
      </c>
      <c r="EG20" s="89">
        <f t="shared" si="38"/>
        <v>0.84150000000000003</v>
      </c>
      <c r="EH20" s="80">
        <f t="shared" si="39"/>
        <v>16.980599999999999</v>
      </c>
      <c r="EI20" s="89">
        <f t="shared" si="40"/>
        <v>0.80859999999999999</v>
      </c>
      <c r="EJ20" s="4"/>
      <c r="EK20" s="4"/>
      <c r="EL20" s="81">
        <f t="shared" si="41"/>
        <v>17.6295</v>
      </c>
      <c r="EM20" s="87">
        <f t="shared" si="42"/>
        <v>0.84150000000000003</v>
      </c>
      <c r="EN20" s="4"/>
      <c r="EO20" s="4" t="str">
        <f t="shared" si="43"/>
        <v/>
      </c>
      <c r="EP20" s="4"/>
      <c r="EQ20" s="4"/>
      <c r="ER20" s="4">
        <f t="shared" si="44"/>
        <v>39.200000000000003</v>
      </c>
      <c r="ES20" s="87">
        <f t="shared" si="45"/>
        <v>0.78400000000000003</v>
      </c>
      <c r="ET20" s="4">
        <f t="shared" si="46"/>
        <v>35.450000000000003</v>
      </c>
      <c r="EU20" s="87">
        <f t="shared" si="47"/>
        <v>0.70900000000000007</v>
      </c>
      <c r="EV20" s="81"/>
      <c r="EW20" s="89"/>
      <c r="EX20" s="80">
        <f t="shared" si="49"/>
        <v>39.6</v>
      </c>
      <c r="EY20" s="89">
        <f t="shared" si="50"/>
        <v>0.79200000000000004</v>
      </c>
      <c r="EZ20" s="80">
        <f t="shared" si="51"/>
        <v>41.3</v>
      </c>
      <c r="FA20" s="89">
        <f t="shared" si="52"/>
        <v>0.82599999999999996</v>
      </c>
      <c r="FB20" s="89"/>
      <c r="FC20" s="89"/>
      <c r="FD20" s="81"/>
      <c r="FE20" s="89"/>
      <c r="FF20" s="191"/>
      <c r="FG20" s="192"/>
      <c r="FH20" s="92"/>
      <c r="FI20" s="92"/>
      <c r="FJ20" s="191"/>
      <c r="FK20" s="192"/>
      <c r="FL20" s="191"/>
      <c r="FM20" s="192"/>
      <c r="FO20" s="101"/>
    </row>
    <row r="21" spans="1:171">
      <c r="A21" s="121">
        <v>11</v>
      </c>
      <c r="B21" s="122" t="s">
        <v>279</v>
      </c>
      <c r="C21" s="122" t="s">
        <v>280</v>
      </c>
      <c r="D21" s="73">
        <f>'MK1-TM'!D29</f>
        <v>82</v>
      </c>
      <c r="E21" s="73">
        <f>'MK1-TM'!E29</f>
        <v>86.5</v>
      </c>
      <c r="F21" s="73">
        <f t="shared" si="5"/>
        <v>84.25</v>
      </c>
      <c r="G21" s="91">
        <f>'MK2-TO'!D29</f>
        <v>76.13</v>
      </c>
      <c r="H21" s="91">
        <f>'MK2-TO'!E29</f>
        <v>78.63</v>
      </c>
      <c r="I21" s="91">
        <f>'MK2-TO'!F29</f>
        <v>84.15</v>
      </c>
      <c r="J21" s="91">
        <f>'MK2-TO'!G29</f>
        <v>78.709999999999994</v>
      </c>
      <c r="K21" s="91">
        <f>'MK2-TO'!H29</f>
        <v>83.95</v>
      </c>
      <c r="L21" s="91">
        <f t="shared" si="6"/>
        <v>80.799200000000013</v>
      </c>
      <c r="M21" s="74">
        <f>'MK3-PSTI'!D29</f>
        <v>86</v>
      </c>
      <c r="N21" s="74">
        <f>'MK3-PSTI'!E29</f>
        <v>86</v>
      </c>
      <c r="O21" s="74">
        <f t="shared" si="7"/>
        <v>86</v>
      </c>
      <c r="P21" s="75">
        <f>IF('MK4-L&amp;A'!D29="","",'MK4-L&amp;A'!D29)</f>
        <v>84.5</v>
      </c>
      <c r="Q21" s="75">
        <f>IF('MK4-L&amp;A'!E29="","",'MK4-L&amp;A'!E29)</f>
        <v>83.5</v>
      </c>
      <c r="R21" s="75">
        <f t="shared" si="8"/>
        <v>84</v>
      </c>
      <c r="S21" s="76">
        <f>IF('MK5-BP'!D29="","",'MK5-BP'!D29)</f>
        <v>75.599999999999994</v>
      </c>
      <c r="T21" s="76">
        <f>IF('MK5-BP'!E29="","",'MK5-BP'!E29)</f>
        <v>68.099999999999994</v>
      </c>
      <c r="U21" s="76">
        <f t="shared" si="58"/>
        <v>71.849999999999994</v>
      </c>
      <c r="V21" s="38">
        <f>IF('MK7-MBD'!D29="","",'MK7-MBD'!D29)</f>
        <v>83.4</v>
      </c>
      <c r="W21" s="38">
        <f>IF('MK7-MBD'!E29="","",'MK7-MBD'!E29)</f>
        <v>93.8</v>
      </c>
      <c r="X21" s="38">
        <f t="shared" si="9"/>
        <v>88.6</v>
      </c>
      <c r="Y21" s="77">
        <f>IF(MK8_BID!D29="","",MK8_BID!D29)</f>
        <v>81.400000000000006</v>
      </c>
      <c r="Z21" s="77">
        <f>IF(MK8_BID!E29="","",MK8_BID!E29)</f>
        <v>81.400000000000006</v>
      </c>
      <c r="AA21" s="77">
        <f t="shared" si="10"/>
        <v>81.400000000000006</v>
      </c>
      <c r="AB21" s="78">
        <f>IF('MK16-AGM'!D29="","",'MK16-AGM'!D29)</f>
        <v>92.2</v>
      </c>
      <c r="AC21" s="78">
        <f>IF('MK16-AGM'!E29="","",'MK16-AGM'!E29)</f>
        <v>95.5</v>
      </c>
      <c r="AD21" s="78">
        <f t="shared" si="11"/>
        <v>93.85</v>
      </c>
      <c r="AF21" s="79"/>
      <c r="AG21" s="80"/>
      <c r="AH21" s="79"/>
      <c r="AI21" s="80"/>
      <c r="AJ21" s="79"/>
      <c r="AK21" s="80"/>
      <c r="AL21" s="79"/>
      <c r="AM21" s="80"/>
      <c r="AN21" s="80"/>
      <c r="AO21" s="80"/>
      <c r="AP21" s="80"/>
      <c r="AQ21" s="80"/>
      <c r="AR21" s="80"/>
      <c r="AS21" s="80"/>
      <c r="AT21" s="80"/>
      <c r="AU21" s="80"/>
      <c r="AV21" s="79"/>
      <c r="AW21" s="80"/>
      <c r="AX21" s="79"/>
      <c r="AY21" s="80"/>
      <c r="AZ21" s="80"/>
      <c r="BA21" s="80"/>
      <c r="BB21" s="79"/>
      <c r="BC21" s="80"/>
      <c r="BD21" s="79"/>
      <c r="BE21" s="80"/>
      <c r="BF21" s="147"/>
      <c r="BG21" s="79"/>
      <c r="BJ21" s="4">
        <f t="shared" si="18"/>
        <v>41.7</v>
      </c>
      <c r="BK21" s="89">
        <f t="shared" si="64"/>
        <v>0.83400000000000007</v>
      </c>
      <c r="BL21" s="4">
        <f t="shared" si="19"/>
        <v>40.700000000000003</v>
      </c>
      <c r="BM21" s="89">
        <f t="shared" si="65"/>
        <v>0.81400000000000006</v>
      </c>
      <c r="BN21" s="81">
        <f t="shared" si="20"/>
        <v>40.700000000000003</v>
      </c>
      <c r="BO21" s="89">
        <f t="shared" si="66"/>
        <v>0.81400000000000006</v>
      </c>
      <c r="BP21" s="81">
        <f t="shared" si="21"/>
        <v>41</v>
      </c>
      <c r="BQ21" s="89">
        <f t="shared" si="22"/>
        <v>0.82</v>
      </c>
      <c r="BR21" s="4"/>
      <c r="BS21" s="4"/>
      <c r="BT21" s="81">
        <f t="shared" si="67"/>
        <v>43.25</v>
      </c>
      <c r="BU21" s="87">
        <f t="shared" si="23"/>
        <v>0.86499999999999999</v>
      </c>
      <c r="BV21" s="4"/>
      <c r="BW21" s="4"/>
      <c r="BX21" s="4"/>
      <c r="BY21" s="4"/>
      <c r="BZ21" s="81"/>
      <c r="CA21" s="89"/>
      <c r="CB21" s="81"/>
      <c r="CC21" s="89"/>
      <c r="CD21" s="81"/>
      <c r="CE21" s="89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81">
        <f t="shared" si="26"/>
        <v>42.25</v>
      </c>
      <c r="CQ21" s="87">
        <f t="shared" si="27"/>
        <v>0.84499999999999997</v>
      </c>
      <c r="CR21" s="4">
        <f t="shared" si="28"/>
        <v>41.75</v>
      </c>
      <c r="CS21" s="87">
        <f t="shared" si="29"/>
        <v>0.83499999999999996</v>
      </c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81">
        <f t="shared" si="30"/>
        <v>43</v>
      </c>
      <c r="DS21" s="87">
        <f t="shared" si="31"/>
        <v>0.86</v>
      </c>
      <c r="DT21" s="4"/>
      <c r="DU21" s="4"/>
      <c r="DV21" s="4"/>
      <c r="DW21" s="4"/>
      <c r="DX21" s="81">
        <f t="shared" si="32"/>
        <v>43</v>
      </c>
      <c r="DY21" s="89">
        <f t="shared" si="33"/>
        <v>0.86</v>
      </c>
      <c r="DZ21" s="81"/>
      <c r="EA21" s="89"/>
      <c r="EB21" s="81">
        <f t="shared" si="34"/>
        <v>12.1808</v>
      </c>
      <c r="EC21" s="89">
        <f t="shared" si="35"/>
        <v>0.76129999999999998</v>
      </c>
      <c r="ED21" s="80">
        <f t="shared" si="68"/>
        <v>12.5808</v>
      </c>
      <c r="EE21" s="89">
        <f t="shared" si="36"/>
        <v>0.7863</v>
      </c>
      <c r="EF21" s="206">
        <f t="shared" ref="EF21:EF58" si="69">IF(I11="","",IFERROR(I21*($I$9/100),""))</f>
        <v>21.879000000000001</v>
      </c>
      <c r="EG21" s="89">
        <f t="shared" si="38"/>
        <v>0.84150000000000003</v>
      </c>
      <c r="EH21" s="80">
        <f t="shared" ref="EH21:EH58" si="70">IF(J11="","",IFERROR(J21*($J$9/100),""))</f>
        <v>16.5291</v>
      </c>
      <c r="EI21" s="89">
        <f t="shared" si="40"/>
        <v>0.78710000000000002</v>
      </c>
      <c r="EJ21" s="4"/>
      <c r="EK21" s="4"/>
      <c r="EL21" s="81">
        <f t="shared" ref="EL21:EL55" si="71">IF(K11="","",IFERROR(K21*($K$9/100),""))</f>
        <v>17.6295</v>
      </c>
      <c r="EM21" s="87">
        <f t="shared" si="42"/>
        <v>0.84150000000000003</v>
      </c>
      <c r="EN21" s="4"/>
      <c r="EO21" s="4" t="str">
        <f t="shared" si="43"/>
        <v/>
      </c>
      <c r="EP21" s="4"/>
      <c r="EQ21" s="4"/>
      <c r="ER21" s="4">
        <f t="shared" si="44"/>
        <v>37.799999999999997</v>
      </c>
      <c r="ES21" s="87">
        <f t="shared" si="45"/>
        <v>0.75599999999999989</v>
      </c>
      <c r="ET21" s="4">
        <f t="shared" si="46"/>
        <v>34.049999999999997</v>
      </c>
      <c r="EU21" s="87">
        <f t="shared" si="47"/>
        <v>0.68099999999999994</v>
      </c>
      <c r="EV21" s="81"/>
      <c r="EW21" s="89"/>
      <c r="EX21" s="80">
        <f t="shared" si="49"/>
        <v>46.1</v>
      </c>
      <c r="EY21" s="89">
        <f t="shared" si="50"/>
        <v>0.92200000000000004</v>
      </c>
      <c r="EZ21" s="80">
        <f t="shared" si="51"/>
        <v>47.75</v>
      </c>
      <c r="FA21" s="89">
        <f t="shared" si="52"/>
        <v>0.95499999999999996</v>
      </c>
      <c r="FB21" s="89"/>
      <c r="FC21" s="89"/>
      <c r="FD21" s="81"/>
      <c r="FE21" s="89"/>
      <c r="FF21" s="191"/>
      <c r="FG21" s="192"/>
      <c r="FH21" s="92"/>
      <c r="FI21" s="92"/>
      <c r="FJ21" s="191"/>
      <c r="FK21" s="192"/>
      <c r="FL21" s="191"/>
      <c r="FM21" s="192"/>
      <c r="FO21" s="101"/>
    </row>
    <row r="22" spans="1:171">
      <c r="A22" s="121">
        <v>12</v>
      </c>
      <c r="B22" s="122" t="s">
        <v>211</v>
      </c>
      <c r="C22" s="122" t="s">
        <v>212</v>
      </c>
      <c r="D22" s="73">
        <f>'MK1-TM'!D30</f>
        <v>94</v>
      </c>
      <c r="E22" s="73">
        <f>'MK1-TM'!E30</f>
        <v>99.5</v>
      </c>
      <c r="F22" s="73">
        <f t="shared" si="5"/>
        <v>96.75</v>
      </c>
      <c r="G22" s="91">
        <f>'MK2-TO'!D30</f>
        <v>78</v>
      </c>
      <c r="H22" s="91">
        <f>'MK2-TO'!E30</f>
        <v>80.5</v>
      </c>
      <c r="I22" s="91">
        <f>'MK2-TO'!F30</f>
        <v>84.15</v>
      </c>
      <c r="J22" s="91">
        <f>'MK2-TO'!G30</f>
        <v>81.62</v>
      </c>
      <c r="K22" s="91">
        <f>'MK2-TO'!H30</f>
        <v>83.95</v>
      </c>
      <c r="L22" s="91">
        <f t="shared" si="6"/>
        <v>82.008700000000005</v>
      </c>
      <c r="M22" s="74">
        <f>'MK3-PSTI'!D30</f>
        <v>89.5</v>
      </c>
      <c r="N22" s="74">
        <f>'MK3-PSTI'!E30</f>
        <v>89.5</v>
      </c>
      <c r="O22" s="74">
        <f t="shared" si="7"/>
        <v>89.5</v>
      </c>
      <c r="P22" s="75">
        <f>IF('MK4-L&amp;A'!D30="","",'MK4-L&amp;A'!D30)</f>
        <v>88</v>
      </c>
      <c r="Q22" s="75">
        <f>IF('MK4-L&amp;A'!E30="","",'MK4-L&amp;A'!E30)</f>
        <v>87</v>
      </c>
      <c r="R22" s="75">
        <f t="shared" si="8"/>
        <v>87.5</v>
      </c>
      <c r="S22" s="76">
        <f>IF('MK5-BP'!D30="","",'MK5-BP'!D30)</f>
        <v>78.400000000000006</v>
      </c>
      <c r="T22" s="76">
        <f>IF('MK5-BP'!E30="","",'MK5-BP'!E30)</f>
        <v>70.900000000000006</v>
      </c>
      <c r="U22" s="76">
        <f t="shared" si="58"/>
        <v>74.650000000000006</v>
      </c>
      <c r="V22" s="38">
        <f>IF('MK7-MBD'!D30="","",'MK7-MBD'!D30)</f>
        <v>85.95</v>
      </c>
      <c r="W22" s="38">
        <f>IF('MK7-MBD'!E30="","",'MK7-MBD'!E30)</f>
        <v>94</v>
      </c>
      <c r="X22" s="38">
        <f t="shared" si="9"/>
        <v>89.974999999999994</v>
      </c>
      <c r="Y22" s="77">
        <f>IF(MK8_BID!D30="","",MK8_BID!D30)</f>
        <v>90.4</v>
      </c>
      <c r="Z22" s="77">
        <f>IF(MK8_BID!E30="","",MK8_BID!E30)</f>
        <v>90.4</v>
      </c>
      <c r="AA22" s="77">
        <f t="shared" si="10"/>
        <v>90.4</v>
      </c>
      <c r="AB22" s="78">
        <f>IF('MK16-AGM'!D30="","",'MK16-AGM'!D30)</f>
        <v>90.9</v>
      </c>
      <c r="AC22" s="78">
        <f>IF('MK16-AGM'!E30="","",'MK16-AGM'!E30)</f>
        <v>95.9</v>
      </c>
      <c r="AD22" s="78">
        <f t="shared" si="11"/>
        <v>93.4</v>
      </c>
      <c r="AF22" s="79"/>
      <c r="AG22" s="80"/>
      <c r="AH22" s="79"/>
      <c r="AI22" s="80"/>
      <c r="AJ22" s="79"/>
      <c r="AK22" s="80"/>
      <c r="AL22" s="79"/>
      <c r="AM22" s="80"/>
      <c r="AN22" s="80"/>
      <c r="AO22" s="80"/>
      <c r="AP22" s="80"/>
      <c r="AQ22" s="80"/>
      <c r="AR22" s="80"/>
      <c r="AS22" s="80"/>
      <c r="AT22" s="80"/>
      <c r="AU22" s="80"/>
      <c r="AV22" s="79"/>
      <c r="AW22" s="80"/>
      <c r="AX22" s="79"/>
      <c r="AY22" s="80"/>
      <c r="AZ22" s="80"/>
      <c r="BA22" s="80"/>
      <c r="BB22" s="79"/>
      <c r="BC22" s="80"/>
      <c r="BD22" s="79"/>
      <c r="BE22" s="80"/>
      <c r="BF22" s="147"/>
      <c r="BG22" s="79"/>
      <c r="BJ22" s="4">
        <f t="shared" si="18"/>
        <v>42.975000000000001</v>
      </c>
      <c r="BK22" s="89">
        <f t="shared" si="64"/>
        <v>0.85950000000000004</v>
      </c>
      <c r="BL22" s="4">
        <f t="shared" si="19"/>
        <v>45.2</v>
      </c>
      <c r="BM22" s="89">
        <f t="shared" si="65"/>
        <v>0.90400000000000003</v>
      </c>
      <c r="BN22" s="81">
        <f t="shared" si="20"/>
        <v>45.2</v>
      </c>
      <c r="BO22" s="89">
        <f t="shared" si="66"/>
        <v>0.90400000000000003</v>
      </c>
      <c r="BP22" s="81">
        <f t="shared" si="21"/>
        <v>47</v>
      </c>
      <c r="BQ22" s="89">
        <f t="shared" si="22"/>
        <v>0.94</v>
      </c>
      <c r="BR22" s="4"/>
      <c r="BS22" s="4"/>
      <c r="BT22" s="81">
        <f t="shared" si="67"/>
        <v>49.75</v>
      </c>
      <c r="BU22" s="87">
        <f t="shared" si="23"/>
        <v>0.995</v>
      </c>
      <c r="BV22" s="4"/>
      <c r="BW22" s="4"/>
      <c r="BX22" s="4"/>
      <c r="BY22" s="4"/>
      <c r="BZ22" s="81"/>
      <c r="CA22" s="89"/>
      <c r="CB22" s="81"/>
      <c r="CC22" s="89"/>
      <c r="CD22" s="81"/>
      <c r="CE22" s="89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81">
        <f t="shared" si="26"/>
        <v>44</v>
      </c>
      <c r="CQ22" s="87">
        <f t="shared" si="27"/>
        <v>0.88</v>
      </c>
      <c r="CR22" s="4">
        <f t="shared" si="28"/>
        <v>43.5</v>
      </c>
      <c r="CS22" s="87">
        <f t="shared" si="29"/>
        <v>0.87</v>
      </c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81">
        <f t="shared" si="30"/>
        <v>44.75</v>
      </c>
      <c r="DS22" s="87">
        <f t="shared" si="31"/>
        <v>0.89500000000000002</v>
      </c>
      <c r="DT22" s="4"/>
      <c r="DU22" s="4"/>
      <c r="DV22" s="4"/>
      <c r="DW22" s="4"/>
      <c r="DX22" s="81">
        <f t="shared" si="32"/>
        <v>44.75</v>
      </c>
      <c r="DY22" s="89">
        <f t="shared" si="33"/>
        <v>0.89500000000000002</v>
      </c>
      <c r="DZ22" s="81"/>
      <c r="EA22" s="89"/>
      <c r="EB22" s="81">
        <f t="shared" si="34"/>
        <v>12.48</v>
      </c>
      <c r="EC22" s="89">
        <f t="shared" si="35"/>
        <v>0.78</v>
      </c>
      <c r="ED22" s="80">
        <f t="shared" si="68"/>
        <v>12.88</v>
      </c>
      <c r="EE22" s="89">
        <f t="shared" si="36"/>
        <v>0.80500000000000005</v>
      </c>
      <c r="EF22" s="206">
        <f t="shared" si="69"/>
        <v>21.879000000000001</v>
      </c>
      <c r="EG22" s="89">
        <f t="shared" si="38"/>
        <v>0.84150000000000003</v>
      </c>
      <c r="EH22" s="80">
        <f t="shared" si="70"/>
        <v>17.1402</v>
      </c>
      <c r="EI22" s="89">
        <f t="shared" si="40"/>
        <v>0.81620000000000004</v>
      </c>
      <c r="EJ22" s="4"/>
      <c r="EK22" s="4"/>
      <c r="EL22" s="81">
        <f t="shared" si="71"/>
        <v>17.6295</v>
      </c>
      <c r="EM22" s="87">
        <f t="shared" si="42"/>
        <v>0.84150000000000003</v>
      </c>
      <c r="EN22" s="4"/>
      <c r="EO22" s="4" t="str">
        <f t="shared" si="43"/>
        <v/>
      </c>
      <c r="EP22" s="4"/>
      <c r="EQ22" s="4"/>
      <c r="ER22" s="4">
        <f t="shared" si="44"/>
        <v>39.200000000000003</v>
      </c>
      <c r="ES22" s="87">
        <f t="shared" si="45"/>
        <v>0.78400000000000003</v>
      </c>
      <c r="ET22" s="4">
        <f t="shared" si="46"/>
        <v>35.450000000000003</v>
      </c>
      <c r="EU22" s="87">
        <f t="shared" si="47"/>
        <v>0.70900000000000007</v>
      </c>
      <c r="EV22" s="81"/>
      <c r="EW22" s="89"/>
      <c r="EX22" s="80">
        <f t="shared" si="49"/>
        <v>45.45</v>
      </c>
      <c r="EY22" s="89">
        <f t="shared" si="50"/>
        <v>0.90900000000000003</v>
      </c>
      <c r="EZ22" s="80">
        <f t="shared" si="51"/>
        <v>47.95</v>
      </c>
      <c r="FA22" s="89">
        <f t="shared" si="52"/>
        <v>0.95900000000000007</v>
      </c>
      <c r="FB22" s="89"/>
      <c r="FC22" s="89"/>
      <c r="FD22" s="81"/>
      <c r="FE22" s="89"/>
      <c r="FF22" s="191"/>
      <c r="FG22" s="192"/>
      <c r="FH22" s="92"/>
      <c r="FI22" s="92"/>
      <c r="FJ22" s="191"/>
      <c r="FK22" s="192"/>
      <c r="FL22" s="191"/>
      <c r="FM22" s="192"/>
      <c r="FO22" s="101"/>
    </row>
    <row r="23" spans="1:171">
      <c r="A23" s="121">
        <v>13</v>
      </c>
      <c r="B23" s="122" t="s">
        <v>213</v>
      </c>
      <c r="C23" s="122" t="s">
        <v>214</v>
      </c>
      <c r="D23" s="73">
        <f>'MK1-TM'!D31</f>
        <v>75.599999999999994</v>
      </c>
      <c r="E23" s="73">
        <f>'MK1-TM'!E31</f>
        <v>76.599999999999994</v>
      </c>
      <c r="F23" s="73">
        <f t="shared" si="5"/>
        <v>76.099999999999994</v>
      </c>
      <c r="G23" s="91">
        <f>'MK2-TO'!D31</f>
        <v>77.25</v>
      </c>
      <c r="H23" s="91">
        <f>'MK2-TO'!E31</f>
        <v>79.75</v>
      </c>
      <c r="I23" s="91">
        <f>'MK2-TO'!F31</f>
        <v>86</v>
      </c>
      <c r="J23" s="91">
        <f>'MK2-TO'!G31</f>
        <v>79.33</v>
      </c>
      <c r="K23" s="91">
        <f>'MK2-TO'!H31</f>
        <v>85.52</v>
      </c>
      <c r="L23" s="91">
        <f t="shared" si="6"/>
        <v>82.098500000000001</v>
      </c>
      <c r="M23" s="74">
        <f>'MK3-PSTI'!D31</f>
        <v>67.400000000000006</v>
      </c>
      <c r="N23" s="74">
        <f>'MK3-PSTI'!E31</f>
        <v>74.400000000000006</v>
      </c>
      <c r="O23" s="74">
        <f t="shared" si="7"/>
        <v>70.900000000000006</v>
      </c>
      <c r="P23" s="75">
        <f>IF('MK4-L&amp;A'!D31="","",'MK4-L&amp;A'!D31)</f>
        <v>81</v>
      </c>
      <c r="Q23" s="75">
        <f>IF('MK4-L&amp;A'!E31="","",'MK4-L&amp;A'!E31)</f>
        <v>80</v>
      </c>
      <c r="R23" s="75">
        <f t="shared" si="8"/>
        <v>80.5</v>
      </c>
      <c r="S23" s="76">
        <f>IF('MK5-BP'!D31="","",'MK5-BP'!D31)</f>
        <v>75.599999999999994</v>
      </c>
      <c r="T23" s="76">
        <f>IF('MK5-BP'!E31="","",'MK5-BP'!E31)</f>
        <v>68.099999999999994</v>
      </c>
      <c r="U23" s="76">
        <f t="shared" si="58"/>
        <v>71.849999999999994</v>
      </c>
      <c r="V23" s="38">
        <f>IF('MK7-MBD'!D31="","",'MK7-MBD'!D31)</f>
        <v>40</v>
      </c>
      <c r="W23" s="38">
        <f>IF('MK7-MBD'!E31="","",'MK7-MBD'!E31)</f>
        <v>40</v>
      </c>
      <c r="X23" s="38">
        <f t="shared" si="9"/>
        <v>40</v>
      </c>
      <c r="Y23" s="77">
        <f>IF(MK8_BID!D31="","",MK8_BID!D31)</f>
        <v>71.5</v>
      </c>
      <c r="Z23" s="77">
        <f>IF(MK8_BID!E31="","",MK8_BID!E31)</f>
        <v>71.5</v>
      </c>
      <c r="AA23" s="77">
        <f t="shared" si="10"/>
        <v>71.5</v>
      </c>
      <c r="AB23" s="78">
        <f>IF('MK16-AGM'!D31="","",'MK16-AGM'!D31)</f>
        <v>67</v>
      </c>
      <c r="AC23" s="78">
        <f>IF('MK16-AGM'!E31="","",'MK16-AGM'!E31)</f>
        <v>96</v>
      </c>
      <c r="AD23" s="78">
        <f t="shared" si="11"/>
        <v>81.5</v>
      </c>
      <c r="AF23" s="79"/>
      <c r="AG23" s="80"/>
      <c r="AH23" s="79"/>
      <c r="AI23" s="80"/>
      <c r="AJ23" s="79"/>
      <c r="AK23" s="80"/>
      <c r="AL23" s="79"/>
      <c r="AM23" s="80"/>
      <c r="AN23" s="80"/>
      <c r="AO23" s="80"/>
      <c r="AP23" s="80"/>
      <c r="AQ23" s="80"/>
      <c r="AR23" s="80"/>
      <c r="AS23" s="80"/>
      <c r="AT23" s="80"/>
      <c r="AU23" s="80"/>
      <c r="AV23" s="79"/>
      <c r="AW23" s="80"/>
      <c r="AX23" s="79"/>
      <c r="AY23" s="80"/>
      <c r="AZ23" s="80"/>
      <c r="BA23" s="80"/>
      <c r="BB23" s="79"/>
      <c r="BC23" s="80"/>
      <c r="BD23" s="79"/>
      <c r="BE23" s="80"/>
      <c r="BF23" s="147"/>
      <c r="BG23" s="79"/>
      <c r="BJ23" s="4">
        <f t="shared" si="18"/>
        <v>20</v>
      </c>
      <c r="BK23" s="89">
        <f t="shared" si="64"/>
        <v>0.4</v>
      </c>
      <c r="BL23" s="4">
        <f t="shared" si="19"/>
        <v>35.75</v>
      </c>
      <c r="BM23" s="89">
        <f t="shared" si="65"/>
        <v>0.71499999999999997</v>
      </c>
      <c r="BN23" s="81">
        <f t="shared" si="20"/>
        <v>35.75</v>
      </c>
      <c r="BO23" s="89">
        <f t="shared" si="66"/>
        <v>0.71499999999999997</v>
      </c>
      <c r="BP23" s="81">
        <f t="shared" si="21"/>
        <v>37.799999999999997</v>
      </c>
      <c r="BQ23" s="89">
        <f t="shared" si="22"/>
        <v>0.75599999999999989</v>
      </c>
      <c r="BR23" s="4"/>
      <c r="BS23" s="4"/>
      <c r="BT23" s="81">
        <f t="shared" si="67"/>
        <v>38.299999999999997</v>
      </c>
      <c r="BU23" s="87">
        <f t="shared" si="23"/>
        <v>0.7659999999999999</v>
      </c>
      <c r="BV23" s="4"/>
      <c r="BW23" s="4"/>
      <c r="BX23" s="4"/>
      <c r="BY23" s="4"/>
      <c r="BZ23" s="81"/>
      <c r="CA23" s="89"/>
      <c r="CB23" s="81"/>
      <c r="CC23" s="89"/>
      <c r="CD23" s="81"/>
      <c r="CE23" s="89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81">
        <f t="shared" si="26"/>
        <v>40.5</v>
      </c>
      <c r="CQ23" s="87">
        <f t="shared" si="27"/>
        <v>0.81</v>
      </c>
      <c r="CR23" s="4">
        <f t="shared" si="28"/>
        <v>40</v>
      </c>
      <c r="CS23" s="87">
        <f t="shared" si="29"/>
        <v>0.8</v>
      </c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81">
        <f t="shared" si="30"/>
        <v>33.700000000000003</v>
      </c>
      <c r="DS23" s="87">
        <f t="shared" si="31"/>
        <v>0.67400000000000004</v>
      </c>
      <c r="DT23" s="4"/>
      <c r="DU23" s="4"/>
      <c r="DV23" s="4"/>
      <c r="DW23" s="4"/>
      <c r="DX23" s="81">
        <f t="shared" si="32"/>
        <v>37.200000000000003</v>
      </c>
      <c r="DY23" s="89">
        <f t="shared" si="33"/>
        <v>0.74400000000000011</v>
      </c>
      <c r="DZ23" s="81"/>
      <c r="EA23" s="89"/>
      <c r="EB23" s="81">
        <f t="shared" si="34"/>
        <v>12.36</v>
      </c>
      <c r="EC23" s="89">
        <f t="shared" si="35"/>
        <v>0.77249999999999996</v>
      </c>
      <c r="ED23" s="80">
        <f t="shared" si="68"/>
        <v>12.76</v>
      </c>
      <c r="EE23" s="89">
        <f t="shared" si="36"/>
        <v>0.79749999999999999</v>
      </c>
      <c r="EF23" s="206">
        <f t="shared" si="69"/>
        <v>22.36</v>
      </c>
      <c r="EG23" s="89">
        <f t="shared" si="38"/>
        <v>0.86</v>
      </c>
      <c r="EH23" s="80">
        <f t="shared" si="70"/>
        <v>16.659299999999998</v>
      </c>
      <c r="EI23" s="89">
        <f t="shared" si="40"/>
        <v>0.79329999999999989</v>
      </c>
      <c r="EJ23" s="4"/>
      <c r="EK23" s="4"/>
      <c r="EL23" s="81">
        <f t="shared" si="71"/>
        <v>17.959199999999999</v>
      </c>
      <c r="EM23" s="87">
        <f t="shared" si="42"/>
        <v>0.86</v>
      </c>
      <c r="EN23" s="4"/>
      <c r="EO23" s="4" t="str">
        <f t="shared" si="43"/>
        <v/>
      </c>
      <c r="EP23" s="4"/>
      <c r="EQ23" s="4"/>
      <c r="ER23" s="4">
        <f t="shared" si="44"/>
        <v>37.799999999999997</v>
      </c>
      <c r="ES23" s="87">
        <f t="shared" si="45"/>
        <v>0.75599999999999989</v>
      </c>
      <c r="ET23" s="4">
        <f t="shared" si="46"/>
        <v>34.049999999999997</v>
      </c>
      <c r="EU23" s="87">
        <f t="shared" si="47"/>
        <v>0.68099999999999994</v>
      </c>
      <c r="EV23" s="81"/>
      <c r="EW23" s="89"/>
      <c r="EX23" s="80">
        <f t="shared" si="49"/>
        <v>33.5</v>
      </c>
      <c r="EY23" s="89">
        <f t="shared" si="50"/>
        <v>0.67</v>
      </c>
      <c r="EZ23" s="80">
        <f t="shared" si="51"/>
        <v>48</v>
      </c>
      <c r="FA23" s="89">
        <f t="shared" si="52"/>
        <v>0.96</v>
      </c>
      <c r="FB23" s="89"/>
      <c r="FC23" s="89"/>
      <c r="FD23" s="81"/>
      <c r="FE23" s="89"/>
      <c r="FF23" s="191"/>
      <c r="FG23" s="192"/>
      <c r="FH23" s="92"/>
      <c r="FI23" s="92"/>
      <c r="FJ23" s="191"/>
      <c r="FK23" s="192"/>
      <c r="FL23" s="191"/>
      <c r="FM23" s="192"/>
      <c r="FO23" s="101"/>
    </row>
    <row r="24" spans="1:171">
      <c r="A24" s="121">
        <v>14</v>
      </c>
      <c r="B24" s="122" t="s">
        <v>215</v>
      </c>
      <c r="C24" s="122" t="s">
        <v>216</v>
      </c>
      <c r="D24" s="73">
        <f>'MK1-TM'!D32</f>
        <v>82</v>
      </c>
      <c r="E24" s="73">
        <f>'MK1-TM'!E32</f>
        <v>86.5</v>
      </c>
      <c r="F24" s="73">
        <f t="shared" si="5"/>
        <v>84.25</v>
      </c>
      <c r="G24" s="91">
        <f>'MK2-TO'!D32</f>
        <v>77.38</v>
      </c>
      <c r="H24" s="91">
        <f>'MK2-TO'!E32</f>
        <v>79.88</v>
      </c>
      <c r="I24" s="91">
        <f>'MK2-TO'!F32</f>
        <v>83.38</v>
      </c>
      <c r="J24" s="91">
        <f>'MK2-TO'!G32</f>
        <v>79.19</v>
      </c>
      <c r="K24" s="91">
        <f>'MK2-TO'!H32</f>
        <v>83.24</v>
      </c>
      <c r="L24" s="91">
        <f t="shared" si="6"/>
        <v>80.950699999999998</v>
      </c>
      <c r="M24" s="74">
        <f>'MK3-PSTI'!D32</f>
        <v>86</v>
      </c>
      <c r="N24" s="74">
        <f>'MK3-PSTI'!E32</f>
        <v>86</v>
      </c>
      <c r="O24" s="74">
        <f t="shared" si="7"/>
        <v>86</v>
      </c>
      <c r="P24" s="75">
        <f>IF('MK4-L&amp;A'!D32="","",'MK4-L&amp;A'!D32)</f>
        <v>81</v>
      </c>
      <c r="Q24" s="75">
        <f>IF('MK4-L&amp;A'!E32="","",'MK4-L&amp;A'!E32)</f>
        <v>80</v>
      </c>
      <c r="R24" s="75">
        <f t="shared" si="8"/>
        <v>80.5</v>
      </c>
      <c r="S24" s="76">
        <f>IF('MK5-BP'!D32="","",'MK5-BP'!D32)</f>
        <v>75.599999999999994</v>
      </c>
      <c r="T24" s="76">
        <f>IF('MK5-BP'!E32="","",'MK5-BP'!E32)</f>
        <v>68.099999999999994</v>
      </c>
      <c r="U24" s="76">
        <f t="shared" si="58"/>
        <v>71.849999999999994</v>
      </c>
      <c r="V24" s="38">
        <f>IF('MK7-MBD'!D32="","",'MK7-MBD'!D32)</f>
        <v>82.5</v>
      </c>
      <c r="W24" s="38">
        <f>IF('MK7-MBD'!E32="","",'MK7-MBD'!E32)</f>
        <v>92</v>
      </c>
      <c r="X24" s="38">
        <f t="shared" si="9"/>
        <v>87.25</v>
      </c>
      <c r="Y24" s="77">
        <f>IF(MK8_BID!D32="","",MK8_BID!D32)</f>
        <v>85.9</v>
      </c>
      <c r="Z24" s="77">
        <f>IF(MK8_BID!E32="","",MK8_BID!E32)</f>
        <v>85.9</v>
      </c>
      <c r="AA24" s="77">
        <f t="shared" si="10"/>
        <v>85.9</v>
      </c>
      <c r="AB24" s="78">
        <f>IF('MK16-AGM'!D32="","",'MK16-AGM'!D32)</f>
        <v>93.2</v>
      </c>
      <c r="AC24" s="78">
        <f>IF('MK16-AGM'!E32="","",'MK16-AGM'!E32)</f>
        <v>94.9</v>
      </c>
      <c r="AD24" s="78">
        <f t="shared" si="11"/>
        <v>94.050000000000011</v>
      </c>
      <c r="AF24" s="79"/>
      <c r="AG24" s="80"/>
      <c r="AH24" s="79"/>
      <c r="AI24" s="80"/>
      <c r="AJ24" s="79"/>
      <c r="AK24" s="80"/>
      <c r="AL24" s="79"/>
      <c r="AM24" s="80"/>
      <c r="AN24" s="80"/>
      <c r="AO24" s="80"/>
      <c r="AP24" s="80"/>
      <c r="AQ24" s="80"/>
      <c r="AR24" s="80"/>
      <c r="AS24" s="80"/>
      <c r="AT24" s="80"/>
      <c r="AU24" s="80"/>
      <c r="AV24" s="79"/>
      <c r="AW24" s="80"/>
      <c r="AX24" s="79"/>
      <c r="AY24" s="80"/>
      <c r="AZ24" s="80"/>
      <c r="BA24" s="80"/>
      <c r="BB24" s="79"/>
      <c r="BC24" s="80"/>
      <c r="BD24" s="79"/>
      <c r="BE24" s="80"/>
      <c r="BF24" s="147"/>
      <c r="BG24" s="79"/>
      <c r="BJ24" s="4">
        <f t="shared" si="18"/>
        <v>41.25</v>
      </c>
      <c r="BK24" s="89">
        <f t="shared" si="64"/>
        <v>0.82499999999999996</v>
      </c>
      <c r="BL24" s="4">
        <f t="shared" si="19"/>
        <v>42.95</v>
      </c>
      <c r="BM24" s="89">
        <f t="shared" si="65"/>
        <v>0.8590000000000001</v>
      </c>
      <c r="BN24" s="81">
        <f t="shared" si="20"/>
        <v>42.95</v>
      </c>
      <c r="BO24" s="89">
        <f t="shared" si="66"/>
        <v>0.8590000000000001</v>
      </c>
      <c r="BP24" s="81">
        <f t="shared" si="21"/>
        <v>41</v>
      </c>
      <c r="BQ24" s="89">
        <f t="shared" si="22"/>
        <v>0.82</v>
      </c>
      <c r="BR24" s="4"/>
      <c r="BS24" s="4"/>
      <c r="BT24" s="81">
        <f t="shared" si="67"/>
        <v>43.25</v>
      </c>
      <c r="BU24" s="87">
        <f t="shared" si="23"/>
        <v>0.86499999999999999</v>
      </c>
      <c r="BV24" s="4"/>
      <c r="BW24" s="4"/>
      <c r="BX24" s="4"/>
      <c r="BY24" s="4"/>
      <c r="BZ24" s="81"/>
      <c r="CA24" s="89"/>
      <c r="CB24" s="81"/>
      <c r="CC24" s="89"/>
      <c r="CD24" s="81"/>
      <c r="CE24" s="89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81">
        <f t="shared" si="26"/>
        <v>40.5</v>
      </c>
      <c r="CQ24" s="87">
        <f t="shared" si="27"/>
        <v>0.81</v>
      </c>
      <c r="CR24" s="4">
        <f t="shared" si="28"/>
        <v>40</v>
      </c>
      <c r="CS24" s="87">
        <f t="shared" si="29"/>
        <v>0.8</v>
      </c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81">
        <f t="shared" si="30"/>
        <v>43</v>
      </c>
      <c r="DS24" s="87">
        <f t="shared" si="31"/>
        <v>0.86</v>
      </c>
      <c r="DT24" s="4"/>
      <c r="DU24" s="4"/>
      <c r="DV24" s="4"/>
      <c r="DW24" s="4"/>
      <c r="DX24" s="81">
        <f t="shared" si="32"/>
        <v>43</v>
      </c>
      <c r="DY24" s="89">
        <f t="shared" si="33"/>
        <v>0.86</v>
      </c>
      <c r="DZ24" s="81"/>
      <c r="EA24" s="89"/>
      <c r="EB24" s="81">
        <f t="shared" si="34"/>
        <v>12.380799999999999</v>
      </c>
      <c r="EC24" s="89">
        <f t="shared" si="35"/>
        <v>0.77379999999999993</v>
      </c>
      <c r="ED24" s="80">
        <f t="shared" si="68"/>
        <v>12.780799999999999</v>
      </c>
      <c r="EE24" s="89">
        <f t="shared" si="36"/>
        <v>0.79879999999999995</v>
      </c>
      <c r="EF24" s="206">
        <f t="shared" si="69"/>
        <v>21.678799999999999</v>
      </c>
      <c r="EG24" s="89">
        <f t="shared" si="38"/>
        <v>0.83379999999999999</v>
      </c>
      <c r="EH24" s="80">
        <f t="shared" si="70"/>
        <v>16.629899999999999</v>
      </c>
      <c r="EI24" s="89">
        <f t="shared" si="40"/>
        <v>0.79189999999999994</v>
      </c>
      <c r="EJ24" s="4"/>
      <c r="EK24" s="4"/>
      <c r="EL24" s="81">
        <f t="shared" si="71"/>
        <v>17.480399999999999</v>
      </c>
      <c r="EM24" s="87">
        <f t="shared" si="42"/>
        <v>0.83379999999999999</v>
      </c>
      <c r="EN24" s="4"/>
      <c r="EO24" s="4" t="str">
        <f t="shared" si="43"/>
        <v/>
      </c>
      <c r="EP24" s="4"/>
      <c r="EQ24" s="4"/>
      <c r="ER24" s="4">
        <f t="shared" si="44"/>
        <v>37.799999999999997</v>
      </c>
      <c r="ES24" s="87">
        <f t="shared" si="45"/>
        <v>0.75599999999999989</v>
      </c>
      <c r="ET24" s="4">
        <f t="shared" si="46"/>
        <v>34.049999999999997</v>
      </c>
      <c r="EU24" s="87">
        <f t="shared" si="47"/>
        <v>0.68099999999999994</v>
      </c>
      <c r="EV24" s="81"/>
      <c r="EW24" s="89"/>
      <c r="EX24" s="80">
        <f t="shared" si="49"/>
        <v>46.6</v>
      </c>
      <c r="EY24" s="89">
        <f t="shared" si="50"/>
        <v>0.93200000000000005</v>
      </c>
      <c r="EZ24" s="80">
        <f t="shared" si="51"/>
        <v>47.45</v>
      </c>
      <c r="FA24" s="89">
        <f t="shared" si="52"/>
        <v>0.94900000000000007</v>
      </c>
      <c r="FB24" s="89"/>
      <c r="FC24" s="89"/>
      <c r="FD24" s="81"/>
      <c r="FE24" s="89"/>
      <c r="FF24" s="191"/>
      <c r="FG24" s="192"/>
      <c r="FH24" s="92"/>
      <c r="FI24" s="92"/>
      <c r="FJ24" s="191"/>
      <c r="FK24" s="192"/>
      <c r="FL24" s="191"/>
      <c r="FM24" s="192"/>
      <c r="FO24" s="101"/>
    </row>
    <row r="25" spans="1:171">
      <c r="A25" s="121">
        <v>15</v>
      </c>
      <c r="B25" s="122" t="s">
        <v>217</v>
      </c>
      <c r="C25" s="122" t="s">
        <v>218</v>
      </c>
      <c r="D25" s="73">
        <f>'MK1-TM'!D33</f>
        <v>94</v>
      </c>
      <c r="E25" s="73">
        <f>'MK1-TM'!E33</f>
        <v>99.5</v>
      </c>
      <c r="F25" s="73">
        <f t="shared" si="5"/>
        <v>96.75</v>
      </c>
      <c r="G25" s="91">
        <f>'MK2-TO'!D33</f>
        <v>76.13</v>
      </c>
      <c r="H25" s="91">
        <f>'MK2-TO'!E33</f>
        <v>78.63</v>
      </c>
      <c r="I25" s="91">
        <f>'MK2-TO'!F33</f>
        <v>84.92</v>
      </c>
      <c r="J25" s="91">
        <f>'MK2-TO'!G33</f>
        <v>77.760000000000005</v>
      </c>
      <c r="K25" s="91">
        <f>'MK2-TO'!H33</f>
        <v>84.67</v>
      </c>
      <c r="L25" s="91">
        <f t="shared" si="6"/>
        <v>80.951099999999997</v>
      </c>
      <c r="M25" s="74">
        <f>'MK3-PSTI'!D33</f>
        <v>86</v>
      </c>
      <c r="N25" s="74">
        <f>'MK3-PSTI'!E33</f>
        <v>86</v>
      </c>
      <c r="O25" s="74">
        <f t="shared" si="7"/>
        <v>86</v>
      </c>
      <c r="P25" s="75">
        <f>IF('MK4-L&amp;A'!D33="","",'MK4-L&amp;A'!D33)</f>
        <v>88</v>
      </c>
      <c r="Q25" s="75">
        <f>IF('MK4-L&amp;A'!E33="","",'MK4-L&amp;A'!E33)</f>
        <v>87</v>
      </c>
      <c r="R25" s="75">
        <f t="shared" si="8"/>
        <v>87.5</v>
      </c>
      <c r="S25" s="76">
        <f>IF('MK5-BP'!D33="","",'MK5-BP'!D33)</f>
        <v>78.400000000000006</v>
      </c>
      <c r="T25" s="76">
        <f>IF('MK5-BP'!E33="","",'MK5-BP'!E33)</f>
        <v>70.900000000000006</v>
      </c>
      <c r="U25" s="76">
        <f t="shared" si="58"/>
        <v>74.650000000000006</v>
      </c>
      <c r="V25" s="38">
        <f>IF('MK7-MBD'!D33="","",'MK7-MBD'!D33)</f>
        <v>85.3</v>
      </c>
      <c r="W25" s="38">
        <f>IF('MK7-MBD'!E33="","",'MK7-MBD'!E33)</f>
        <v>94.1</v>
      </c>
      <c r="X25" s="38">
        <f t="shared" si="9"/>
        <v>89.699999999999989</v>
      </c>
      <c r="Y25" s="77">
        <f>IF(MK8_BID!D33="","",MK8_BID!D33)</f>
        <v>81.400000000000006</v>
      </c>
      <c r="Z25" s="77">
        <f>IF(MK8_BID!E33="","",MK8_BID!E33)</f>
        <v>81.400000000000006</v>
      </c>
      <c r="AA25" s="77">
        <f t="shared" si="10"/>
        <v>81.400000000000006</v>
      </c>
      <c r="AB25" s="78">
        <f>IF('MK16-AGM'!D33="","",'MK16-AGM'!D33)</f>
        <v>91.4</v>
      </c>
      <c r="AC25" s="78">
        <f>IF('MK16-AGM'!E33="","",'MK16-AGM'!E33)</f>
        <v>98</v>
      </c>
      <c r="AD25" s="78">
        <f t="shared" si="11"/>
        <v>94.7</v>
      </c>
      <c r="AF25" s="79"/>
      <c r="AG25" s="80"/>
      <c r="AH25" s="79"/>
      <c r="AI25" s="80"/>
      <c r="AJ25" s="79"/>
      <c r="AK25" s="80"/>
      <c r="AL25" s="79"/>
      <c r="AM25" s="80"/>
      <c r="AN25" s="80"/>
      <c r="AO25" s="80"/>
      <c r="AP25" s="80"/>
      <c r="AQ25" s="80"/>
      <c r="AR25" s="80"/>
      <c r="AS25" s="80"/>
      <c r="AT25" s="80"/>
      <c r="AU25" s="80"/>
      <c r="AV25" s="79"/>
      <c r="AW25" s="80"/>
      <c r="AX25" s="79"/>
      <c r="AY25" s="80"/>
      <c r="AZ25" s="80"/>
      <c r="BA25" s="80"/>
      <c r="BB25" s="79"/>
      <c r="BC25" s="80"/>
      <c r="BD25" s="79"/>
      <c r="BE25" s="80"/>
      <c r="BF25" s="147"/>
      <c r="BG25" s="79"/>
      <c r="BJ25" s="4">
        <f t="shared" si="18"/>
        <v>42.65</v>
      </c>
      <c r="BK25" s="89">
        <f t="shared" si="64"/>
        <v>0.85299999999999998</v>
      </c>
      <c r="BL25" s="4">
        <f t="shared" si="19"/>
        <v>40.700000000000003</v>
      </c>
      <c r="BM25" s="89">
        <f t="shared" si="65"/>
        <v>0.81400000000000006</v>
      </c>
      <c r="BN25" s="81">
        <f t="shared" si="20"/>
        <v>40.700000000000003</v>
      </c>
      <c r="BO25" s="89">
        <f t="shared" si="66"/>
        <v>0.81400000000000006</v>
      </c>
      <c r="BP25" s="81">
        <f t="shared" si="21"/>
        <v>47</v>
      </c>
      <c r="BQ25" s="89">
        <f t="shared" si="22"/>
        <v>0.94</v>
      </c>
      <c r="BR25" s="4"/>
      <c r="BS25" s="4"/>
      <c r="BT25" s="81">
        <f t="shared" si="67"/>
        <v>49.75</v>
      </c>
      <c r="BU25" s="87">
        <f t="shared" si="23"/>
        <v>0.995</v>
      </c>
      <c r="BV25" s="4"/>
      <c r="BW25" s="4"/>
      <c r="BX25" s="4"/>
      <c r="BY25" s="4"/>
      <c r="BZ25" s="81"/>
      <c r="CA25" s="89"/>
      <c r="CB25" s="81"/>
      <c r="CC25" s="89"/>
      <c r="CD25" s="81"/>
      <c r="CE25" s="89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81">
        <f t="shared" si="26"/>
        <v>44</v>
      </c>
      <c r="CQ25" s="87">
        <f t="shared" si="27"/>
        <v>0.88</v>
      </c>
      <c r="CR25" s="4">
        <f t="shared" si="28"/>
        <v>43.5</v>
      </c>
      <c r="CS25" s="87">
        <f t="shared" si="29"/>
        <v>0.87</v>
      </c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81">
        <f t="shared" si="30"/>
        <v>43</v>
      </c>
      <c r="DS25" s="87">
        <f t="shared" si="31"/>
        <v>0.86</v>
      </c>
      <c r="DT25" s="4"/>
      <c r="DU25" s="4"/>
      <c r="DV25" s="4"/>
      <c r="DW25" s="4"/>
      <c r="DX25" s="81">
        <f t="shared" si="32"/>
        <v>43</v>
      </c>
      <c r="DY25" s="89">
        <f t="shared" si="33"/>
        <v>0.86</v>
      </c>
      <c r="DZ25" s="81"/>
      <c r="EA25" s="89"/>
      <c r="EB25" s="81">
        <f t="shared" si="34"/>
        <v>12.1808</v>
      </c>
      <c r="EC25" s="89">
        <f t="shared" si="35"/>
        <v>0.76129999999999998</v>
      </c>
      <c r="ED25" s="80">
        <f t="shared" si="68"/>
        <v>12.5808</v>
      </c>
      <c r="EE25" s="89">
        <f t="shared" si="36"/>
        <v>0.7863</v>
      </c>
      <c r="EF25" s="206">
        <f t="shared" si="69"/>
        <v>22.0792</v>
      </c>
      <c r="EG25" s="89">
        <f t="shared" si="38"/>
        <v>0.84919999999999995</v>
      </c>
      <c r="EH25" s="80">
        <f t="shared" si="70"/>
        <v>16.329599999999999</v>
      </c>
      <c r="EI25" s="89">
        <f t="shared" si="40"/>
        <v>0.77759999999999996</v>
      </c>
      <c r="EJ25" s="4"/>
      <c r="EK25" s="4"/>
      <c r="EL25" s="81">
        <f t="shared" si="71"/>
        <v>17.7807</v>
      </c>
      <c r="EM25" s="87">
        <f t="shared" si="42"/>
        <v>0.84919999999999995</v>
      </c>
      <c r="EN25" s="4"/>
      <c r="EO25" s="4" t="str">
        <f t="shared" si="43"/>
        <v/>
      </c>
      <c r="EP25" s="4"/>
      <c r="EQ25" s="4"/>
      <c r="ER25" s="4">
        <f t="shared" si="44"/>
        <v>39.200000000000003</v>
      </c>
      <c r="ES25" s="87">
        <f t="shared" si="45"/>
        <v>0.78400000000000003</v>
      </c>
      <c r="ET25" s="4">
        <f t="shared" si="46"/>
        <v>35.450000000000003</v>
      </c>
      <c r="EU25" s="87">
        <f t="shared" si="47"/>
        <v>0.70900000000000007</v>
      </c>
      <c r="EV25" s="81"/>
      <c r="EW25" s="89"/>
      <c r="EX25" s="80">
        <f t="shared" si="49"/>
        <v>45.7</v>
      </c>
      <c r="EY25" s="89">
        <f t="shared" si="50"/>
        <v>0.91400000000000003</v>
      </c>
      <c r="EZ25" s="80">
        <f t="shared" si="51"/>
        <v>49</v>
      </c>
      <c r="FA25" s="89">
        <f t="shared" si="52"/>
        <v>0.98</v>
      </c>
      <c r="FB25" s="89"/>
      <c r="FC25" s="89"/>
      <c r="FD25" s="81"/>
      <c r="FE25" s="89"/>
      <c r="FF25" s="191"/>
      <c r="FG25" s="192"/>
      <c r="FH25" s="92"/>
      <c r="FI25" s="92"/>
      <c r="FJ25" s="191"/>
      <c r="FK25" s="192"/>
      <c r="FL25" s="191"/>
      <c r="FM25" s="192"/>
      <c r="FO25" s="101"/>
    </row>
    <row r="26" spans="1:171">
      <c r="A26" s="121">
        <v>16</v>
      </c>
      <c r="B26" s="122" t="s">
        <v>219</v>
      </c>
      <c r="C26" s="122" t="s">
        <v>220</v>
      </c>
      <c r="D26" s="73">
        <f>'MK1-TM'!D34</f>
        <v>82</v>
      </c>
      <c r="E26" s="73">
        <f>'MK1-TM'!E34</f>
        <v>87</v>
      </c>
      <c r="F26" s="73">
        <f t="shared" si="5"/>
        <v>84.5</v>
      </c>
      <c r="G26" s="91">
        <f>'MK2-TO'!D34</f>
        <v>78.63</v>
      </c>
      <c r="H26" s="91">
        <f>'MK2-TO'!E34</f>
        <v>81.13</v>
      </c>
      <c r="I26" s="91">
        <f>'MK2-TO'!F34</f>
        <v>84.92</v>
      </c>
      <c r="J26" s="91">
        <f>'MK2-TO'!G34</f>
        <v>81.569999999999993</v>
      </c>
      <c r="K26" s="91">
        <f>'MK2-TO'!H34</f>
        <v>84.67</v>
      </c>
      <c r="L26" s="91">
        <f t="shared" si="6"/>
        <v>82.551199999999994</v>
      </c>
      <c r="M26" s="74">
        <f>'MK3-PSTI'!D34</f>
        <v>86</v>
      </c>
      <c r="N26" s="74">
        <f>'MK3-PSTI'!E34</f>
        <v>86</v>
      </c>
      <c r="O26" s="74">
        <f t="shared" si="7"/>
        <v>86</v>
      </c>
      <c r="P26" s="75">
        <f>IF('MK4-L&amp;A'!D34="","",'MK4-L&amp;A'!D34)</f>
        <v>88</v>
      </c>
      <c r="Q26" s="75">
        <f>IF('MK4-L&amp;A'!E34="","",'MK4-L&amp;A'!E34)</f>
        <v>87</v>
      </c>
      <c r="R26" s="75">
        <f t="shared" si="8"/>
        <v>87.5</v>
      </c>
      <c r="S26" s="76">
        <f>IF('MK5-BP'!D34="","",'MK5-BP'!D34)</f>
        <v>78.400000000000006</v>
      </c>
      <c r="T26" s="76">
        <f>IF('MK5-BP'!E34="","",'MK5-BP'!E34)</f>
        <v>70.900000000000006</v>
      </c>
      <c r="U26" s="76">
        <f t="shared" si="58"/>
        <v>74.650000000000006</v>
      </c>
      <c r="V26" s="38">
        <f>IF('MK7-MBD'!D34="","",'MK7-MBD'!D34)</f>
        <v>82.6</v>
      </c>
      <c r="W26" s="38">
        <f>IF('MK7-MBD'!E34="","",'MK7-MBD'!E34)</f>
        <v>91.5</v>
      </c>
      <c r="X26" s="38">
        <f t="shared" si="9"/>
        <v>87.05</v>
      </c>
      <c r="Y26" s="77">
        <f>IF(MK8_BID!D34="","",MK8_BID!D34)</f>
        <v>81.400000000000006</v>
      </c>
      <c r="Z26" s="77">
        <f>IF(MK8_BID!E34="","",MK8_BID!E34)</f>
        <v>81.400000000000006</v>
      </c>
      <c r="AA26" s="77">
        <f t="shared" si="10"/>
        <v>81.400000000000006</v>
      </c>
      <c r="AB26" s="78">
        <f>IF('MK16-AGM'!D34="","",'MK16-AGM'!D34)</f>
        <v>91.4</v>
      </c>
      <c r="AC26" s="78">
        <f>IF('MK16-AGM'!E34="","",'MK16-AGM'!E34)</f>
        <v>98</v>
      </c>
      <c r="AD26" s="78">
        <f t="shared" si="11"/>
        <v>94.7</v>
      </c>
      <c r="AF26" s="79"/>
      <c r="AG26" s="80"/>
      <c r="AH26" s="79"/>
      <c r="AI26" s="80"/>
      <c r="AJ26" s="79"/>
      <c r="AK26" s="80"/>
      <c r="AL26" s="79"/>
      <c r="AM26" s="80"/>
      <c r="AN26" s="80"/>
      <c r="AO26" s="80"/>
      <c r="AP26" s="80"/>
      <c r="AQ26" s="80"/>
      <c r="AR26" s="80"/>
      <c r="AS26" s="80"/>
      <c r="AT26" s="80"/>
      <c r="AU26" s="80"/>
      <c r="AV26" s="79"/>
      <c r="AW26" s="80"/>
      <c r="AX26" s="79"/>
      <c r="AY26" s="80"/>
      <c r="AZ26" s="80"/>
      <c r="BA26" s="80"/>
      <c r="BB26" s="79"/>
      <c r="BC26" s="80"/>
      <c r="BD26" s="79"/>
      <c r="BE26" s="80"/>
      <c r="BF26" s="147"/>
      <c r="BG26" s="79"/>
      <c r="BJ26" s="4">
        <f t="shared" si="18"/>
        <v>41.3</v>
      </c>
      <c r="BK26" s="89">
        <f t="shared" si="64"/>
        <v>0.82599999999999996</v>
      </c>
      <c r="BL26" s="4">
        <f t="shared" si="19"/>
        <v>40.700000000000003</v>
      </c>
      <c r="BM26" s="89">
        <f t="shared" si="65"/>
        <v>0.81400000000000006</v>
      </c>
      <c r="BN26" s="81">
        <f t="shared" si="20"/>
        <v>40.700000000000003</v>
      </c>
      <c r="BO26" s="89">
        <f t="shared" si="66"/>
        <v>0.81400000000000006</v>
      </c>
      <c r="BP26" s="81">
        <f t="shared" si="21"/>
        <v>41</v>
      </c>
      <c r="BQ26" s="89">
        <f t="shared" si="22"/>
        <v>0.82</v>
      </c>
      <c r="BR26" s="4"/>
      <c r="BS26" s="4"/>
      <c r="BT26" s="81">
        <f t="shared" si="67"/>
        <v>43.5</v>
      </c>
      <c r="BU26" s="87">
        <f t="shared" si="23"/>
        <v>0.87</v>
      </c>
      <c r="BV26" s="4"/>
      <c r="BW26" s="4"/>
      <c r="BX26" s="4"/>
      <c r="BY26" s="4"/>
      <c r="BZ26" s="81"/>
      <c r="CA26" s="89"/>
      <c r="CB26" s="81"/>
      <c r="CC26" s="89"/>
      <c r="CD26" s="81"/>
      <c r="CE26" s="89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81">
        <f t="shared" si="26"/>
        <v>44</v>
      </c>
      <c r="CQ26" s="87">
        <f t="shared" si="27"/>
        <v>0.88</v>
      </c>
      <c r="CR26" s="4">
        <f t="shared" si="28"/>
        <v>43.5</v>
      </c>
      <c r="CS26" s="87">
        <f t="shared" si="29"/>
        <v>0.87</v>
      </c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81">
        <f t="shared" si="30"/>
        <v>43</v>
      </c>
      <c r="DS26" s="87">
        <f t="shared" si="31"/>
        <v>0.86</v>
      </c>
      <c r="DT26" s="4"/>
      <c r="DU26" s="4"/>
      <c r="DV26" s="4"/>
      <c r="DW26" s="4"/>
      <c r="DX26" s="81">
        <f t="shared" si="32"/>
        <v>43</v>
      </c>
      <c r="DY26" s="89">
        <f t="shared" si="33"/>
        <v>0.86</v>
      </c>
      <c r="DZ26" s="81"/>
      <c r="EA26" s="89"/>
      <c r="EB26" s="81">
        <f t="shared" si="34"/>
        <v>12.5808</v>
      </c>
      <c r="EC26" s="89">
        <f t="shared" si="35"/>
        <v>0.7863</v>
      </c>
      <c r="ED26" s="80">
        <f t="shared" si="68"/>
        <v>12.9808</v>
      </c>
      <c r="EE26" s="89">
        <f t="shared" si="36"/>
        <v>0.81130000000000002</v>
      </c>
      <c r="EF26" s="206">
        <f t="shared" si="69"/>
        <v>22.0792</v>
      </c>
      <c r="EG26" s="89">
        <f t="shared" si="38"/>
        <v>0.84919999999999995</v>
      </c>
      <c r="EH26" s="80">
        <f t="shared" si="70"/>
        <v>17.1297</v>
      </c>
      <c r="EI26" s="89">
        <f t="shared" si="40"/>
        <v>0.81569999999999998</v>
      </c>
      <c r="EJ26" s="4"/>
      <c r="EK26" s="4"/>
      <c r="EL26" s="81">
        <f t="shared" si="71"/>
        <v>17.7807</v>
      </c>
      <c r="EM26" s="87">
        <f t="shared" si="42"/>
        <v>0.84919999999999995</v>
      </c>
      <c r="EN26" s="4"/>
      <c r="EO26" s="4" t="str">
        <f t="shared" si="43"/>
        <v/>
      </c>
      <c r="EP26" s="4"/>
      <c r="EQ26" s="4"/>
      <c r="ER26" s="4">
        <f t="shared" si="44"/>
        <v>39.200000000000003</v>
      </c>
      <c r="ES26" s="87">
        <f t="shared" si="45"/>
        <v>0.78400000000000003</v>
      </c>
      <c r="ET26" s="4">
        <f t="shared" si="46"/>
        <v>35.450000000000003</v>
      </c>
      <c r="EU26" s="87">
        <f t="shared" si="47"/>
        <v>0.70900000000000007</v>
      </c>
      <c r="EV26" s="81"/>
      <c r="EW26" s="89"/>
      <c r="EX26" s="80">
        <f t="shared" si="49"/>
        <v>45.7</v>
      </c>
      <c r="EY26" s="89">
        <f t="shared" si="50"/>
        <v>0.91400000000000003</v>
      </c>
      <c r="EZ26" s="80">
        <f t="shared" si="51"/>
        <v>49</v>
      </c>
      <c r="FA26" s="89">
        <f t="shared" si="52"/>
        <v>0.98</v>
      </c>
      <c r="FB26" s="89"/>
      <c r="FC26" s="89"/>
      <c r="FD26" s="81"/>
      <c r="FE26" s="89"/>
      <c r="FF26" s="191"/>
      <c r="FG26" s="192"/>
      <c r="FH26" s="92"/>
      <c r="FI26" s="92"/>
      <c r="FJ26" s="191"/>
      <c r="FK26" s="192"/>
      <c r="FL26" s="191"/>
      <c r="FM26" s="192"/>
      <c r="FO26" s="101"/>
    </row>
    <row r="27" spans="1:171">
      <c r="A27" s="121">
        <v>17</v>
      </c>
      <c r="B27" s="122" t="s">
        <v>221</v>
      </c>
      <c r="C27" s="122" t="s">
        <v>222</v>
      </c>
      <c r="D27" s="73">
        <f>'MK1-TM'!D35</f>
        <v>82</v>
      </c>
      <c r="E27" s="73">
        <f>'MK1-TM'!E35</f>
        <v>87</v>
      </c>
      <c r="F27" s="73">
        <f t="shared" si="5"/>
        <v>84.5</v>
      </c>
      <c r="G27" s="91">
        <f>'MK2-TO'!D35</f>
        <v>78</v>
      </c>
      <c r="H27" s="91">
        <f>'MK2-TO'!E35</f>
        <v>81.75</v>
      </c>
      <c r="I27" s="91">
        <f>'MK2-TO'!F35</f>
        <v>84.15</v>
      </c>
      <c r="J27" s="91">
        <f>'MK2-TO'!G35</f>
        <v>81.05</v>
      </c>
      <c r="K27" s="91">
        <f>'MK2-TO'!H35</f>
        <v>83.95</v>
      </c>
      <c r="L27" s="91">
        <f t="shared" si="6"/>
        <v>82.088999999999999</v>
      </c>
      <c r="M27" s="74">
        <f>'MK3-PSTI'!D35</f>
        <v>85.4</v>
      </c>
      <c r="N27" s="74">
        <f>'MK3-PSTI'!E35</f>
        <v>88.9</v>
      </c>
      <c r="O27" s="74">
        <f t="shared" si="7"/>
        <v>87.15</v>
      </c>
      <c r="P27" s="75">
        <f>IF('MK4-L&amp;A'!D35="","",'MK4-L&amp;A'!D35)</f>
        <v>88</v>
      </c>
      <c r="Q27" s="75">
        <f>IF('MK4-L&amp;A'!E35="","",'MK4-L&amp;A'!E35)</f>
        <v>87</v>
      </c>
      <c r="R27" s="75">
        <f t="shared" si="8"/>
        <v>87.5</v>
      </c>
      <c r="S27" s="76">
        <f>IF('MK5-BP'!D35="","",'MK5-BP'!D35)</f>
        <v>78.400000000000006</v>
      </c>
      <c r="T27" s="76">
        <f>IF('MK5-BP'!E35="","",'MK5-BP'!E35)</f>
        <v>70.900000000000006</v>
      </c>
      <c r="U27" s="76">
        <f t="shared" si="58"/>
        <v>74.650000000000006</v>
      </c>
      <c r="V27" s="38">
        <f>IF('MK7-MBD'!D35="","",'MK7-MBD'!D35)</f>
        <v>83.85</v>
      </c>
      <c r="W27" s="38">
        <f>IF('MK7-MBD'!E35="","",'MK7-MBD'!E35)</f>
        <v>94</v>
      </c>
      <c r="X27" s="38">
        <f t="shared" si="9"/>
        <v>88.924999999999997</v>
      </c>
      <c r="Y27" s="77">
        <f>IF(MK8_BID!D35="","",MK8_BID!D35)</f>
        <v>81.400000000000006</v>
      </c>
      <c r="Z27" s="77">
        <f>IF(MK8_BID!E35="","",MK8_BID!E35)</f>
        <v>81.400000000000006</v>
      </c>
      <c r="AA27" s="77">
        <f t="shared" si="10"/>
        <v>81.400000000000006</v>
      </c>
      <c r="AB27" s="78">
        <f>IF('MK16-AGM'!D35="","",'MK16-AGM'!D35)</f>
        <v>71.5</v>
      </c>
      <c r="AC27" s="78">
        <f>IF('MK16-AGM'!E35="","",'MK16-AGM'!E35)</f>
        <v>80.900000000000006</v>
      </c>
      <c r="AD27" s="78">
        <f t="shared" si="11"/>
        <v>76.2</v>
      </c>
      <c r="AF27" s="79"/>
      <c r="AG27" s="80"/>
      <c r="AH27" s="79"/>
      <c r="AI27" s="80"/>
      <c r="AJ27" s="79"/>
      <c r="AK27" s="80"/>
      <c r="AL27" s="79"/>
      <c r="AM27" s="80"/>
      <c r="AN27" s="80"/>
      <c r="AO27" s="80"/>
      <c r="AP27" s="80"/>
      <c r="AQ27" s="80"/>
      <c r="AR27" s="80"/>
      <c r="AS27" s="80"/>
      <c r="AT27" s="80"/>
      <c r="AU27" s="80"/>
      <c r="AV27" s="79"/>
      <c r="AW27" s="80"/>
      <c r="AX27" s="79"/>
      <c r="AY27" s="80"/>
      <c r="AZ27" s="80"/>
      <c r="BA27" s="80"/>
      <c r="BB27" s="79"/>
      <c r="BC27" s="80"/>
      <c r="BD27" s="79"/>
      <c r="BE27" s="80"/>
      <c r="BF27" s="147"/>
      <c r="BG27" s="79"/>
      <c r="BJ27" s="4">
        <f t="shared" si="18"/>
        <v>41.924999999999997</v>
      </c>
      <c r="BK27" s="89">
        <f t="shared" si="64"/>
        <v>0.83849999999999991</v>
      </c>
      <c r="BL27" s="4">
        <f t="shared" si="19"/>
        <v>40.700000000000003</v>
      </c>
      <c r="BM27" s="89">
        <f t="shared" si="65"/>
        <v>0.81400000000000006</v>
      </c>
      <c r="BN27" s="81">
        <f t="shared" si="20"/>
        <v>40.700000000000003</v>
      </c>
      <c r="BO27" s="89">
        <f t="shared" si="66"/>
        <v>0.81400000000000006</v>
      </c>
      <c r="BP27" s="81">
        <f t="shared" si="21"/>
        <v>41</v>
      </c>
      <c r="BQ27" s="89">
        <f t="shared" si="22"/>
        <v>0.82</v>
      </c>
      <c r="BR27" s="4"/>
      <c r="BS27" s="4"/>
      <c r="BT27" s="81">
        <f t="shared" si="67"/>
        <v>43.5</v>
      </c>
      <c r="BU27" s="87">
        <f t="shared" si="23"/>
        <v>0.87</v>
      </c>
      <c r="BV27" s="4"/>
      <c r="BW27" s="4"/>
      <c r="BX27" s="4"/>
      <c r="BY27" s="4"/>
      <c r="BZ27" s="81"/>
      <c r="CA27" s="89"/>
      <c r="CB27" s="81"/>
      <c r="CC27" s="89"/>
      <c r="CD27" s="81"/>
      <c r="CE27" s="89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81">
        <f t="shared" si="26"/>
        <v>44</v>
      </c>
      <c r="CQ27" s="87">
        <f t="shared" si="27"/>
        <v>0.88</v>
      </c>
      <c r="CR27" s="4">
        <f t="shared" si="28"/>
        <v>43.5</v>
      </c>
      <c r="CS27" s="87">
        <f t="shared" si="29"/>
        <v>0.87</v>
      </c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81">
        <f t="shared" si="30"/>
        <v>42.7</v>
      </c>
      <c r="DS27" s="87">
        <f t="shared" si="31"/>
        <v>0.85400000000000009</v>
      </c>
      <c r="DT27" s="4"/>
      <c r="DU27" s="4"/>
      <c r="DV27" s="4"/>
      <c r="DW27" s="4"/>
      <c r="DX27" s="81">
        <f t="shared" si="32"/>
        <v>44.45</v>
      </c>
      <c r="DY27" s="89">
        <f t="shared" si="33"/>
        <v>0.88900000000000001</v>
      </c>
      <c r="DZ27" s="81"/>
      <c r="EA27" s="89"/>
      <c r="EB27" s="81">
        <f t="shared" si="34"/>
        <v>12.48</v>
      </c>
      <c r="EC27" s="89">
        <f t="shared" si="35"/>
        <v>0.78</v>
      </c>
      <c r="ED27" s="80">
        <f t="shared" si="68"/>
        <v>13.08</v>
      </c>
      <c r="EE27" s="89">
        <f t="shared" si="36"/>
        <v>0.8175</v>
      </c>
      <c r="EF27" s="206">
        <f t="shared" si="69"/>
        <v>21.879000000000001</v>
      </c>
      <c r="EG27" s="89">
        <f t="shared" si="38"/>
        <v>0.84150000000000003</v>
      </c>
      <c r="EH27" s="80">
        <f t="shared" si="70"/>
        <v>17.020499999999998</v>
      </c>
      <c r="EI27" s="89">
        <f t="shared" si="40"/>
        <v>0.81049999999999989</v>
      </c>
      <c r="EJ27" s="4"/>
      <c r="EK27" s="4"/>
      <c r="EL27" s="81">
        <f t="shared" si="71"/>
        <v>17.6295</v>
      </c>
      <c r="EM27" s="87">
        <f t="shared" si="42"/>
        <v>0.84150000000000003</v>
      </c>
      <c r="EN27" s="4"/>
      <c r="EO27" s="4" t="str">
        <f t="shared" si="43"/>
        <v/>
      </c>
      <c r="EP27" s="4"/>
      <c r="EQ27" s="4"/>
      <c r="ER27" s="4">
        <f t="shared" si="44"/>
        <v>39.200000000000003</v>
      </c>
      <c r="ES27" s="87">
        <f t="shared" si="45"/>
        <v>0.78400000000000003</v>
      </c>
      <c r="ET27" s="4">
        <f t="shared" si="46"/>
        <v>35.450000000000003</v>
      </c>
      <c r="EU27" s="87">
        <f t="shared" si="47"/>
        <v>0.70900000000000007</v>
      </c>
      <c r="EV27" s="81"/>
      <c r="EW27" s="89"/>
      <c r="EX27" s="80">
        <f t="shared" si="49"/>
        <v>35.75</v>
      </c>
      <c r="EY27" s="89">
        <f t="shared" si="50"/>
        <v>0.71499999999999997</v>
      </c>
      <c r="EZ27" s="80">
        <f t="shared" si="51"/>
        <v>40.450000000000003</v>
      </c>
      <c r="FA27" s="89">
        <f t="shared" si="52"/>
        <v>0.80900000000000005</v>
      </c>
      <c r="FB27" s="89"/>
      <c r="FC27" s="89"/>
      <c r="FD27" s="81"/>
      <c r="FE27" s="89"/>
      <c r="FF27" s="191"/>
      <c r="FG27" s="192"/>
      <c r="FH27" s="92"/>
      <c r="FI27" s="92"/>
      <c r="FJ27" s="191"/>
      <c r="FK27" s="192"/>
      <c r="FL27" s="191"/>
      <c r="FM27" s="192"/>
      <c r="FO27" s="101"/>
    </row>
    <row r="28" spans="1:171">
      <c r="A28" s="121">
        <v>18</v>
      </c>
      <c r="B28" s="122" t="s">
        <v>223</v>
      </c>
      <c r="C28" s="122" t="s">
        <v>224</v>
      </c>
      <c r="D28" s="73">
        <f>'MK1-TM'!D36</f>
        <v>77.400000000000006</v>
      </c>
      <c r="E28" s="73">
        <f>'MK1-TM'!E36</f>
        <v>81.900000000000006</v>
      </c>
      <c r="F28" s="73">
        <f t="shared" si="5"/>
        <v>79.650000000000006</v>
      </c>
      <c r="G28" s="91">
        <f>'MK2-TO'!D36</f>
        <v>76.75</v>
      </c>
      <c r="H28" s="91">
        <f>'MK2-TO'!E36</f>
        <v>79.25</v>
      </c>
      <c r="I28" s="91">
        <f>'MK2-TO'!F36</f>
        <v>84.15</v>
      </c>
      <c r="J28" s="91">
        <f>'MK2-TO'!G36</f>
        <v>78.48</v>
      </c>
      <c r="K28" s="91">
        <f>'MK2-TO'!H36</f>
        <v>83.95</v>
      </c>
      <c r="L28" s="91">
        <f t="shared" si="6"/>
        <v>80.949299999999994</v>
      </c>
      <c r="M28" s="74">
        <f>'MK3-PSTI'!D36</f>
        <v>85.4</v>
      </c>
      <c r="N28" s="74">
        <f>'MK3-PSTI'!E36</f>
        <v>88.9</v>
      </c>
      <c r="O28" s="74">
        <f t="shared" si="7"/>
        <v>87.15</v>
      </c>
      <c r="P28" s="75">
        <f>IF('MK4-L&amp;A'!D36="","",'MK4-L&amp;A'!D36)</f>
        <v>87.4</v>
      </c>
      <c r="Q28" s="75">
        <f>IF('MK4-L&amp;A'!E36="","",'MK4-L&amp;A'!E36)</f>
        <v>86.4</v>
      </c>
      <c r="R28" s="75">
        <f t="shared" si="8"/>
        <v>86.9</v>
      </c>
      <c r="S28" s="76">
        <f>IF('MK5-BP'!D36="","",'MK5-BP'!D36)</f>
        <v>75.599999999999994</v>
      </c>
      <c r="T28" s="76">
        <f>IF('MK5-BP'!E36="","",'MK5-BP'!E36)</f>
        <v>68.099999999999994</v>
      </c>
      <c r="U28" s="76">
        <f t="shared" si="58"/>
        <v>71.849999999999994</v>
      </c>
      <c r="V28" s="38">
        <f>IF('MK7-MBD'!D36="","",'MK7-MBD'!D36)</f>
        <v>82.05</v>
      </c>
      <c r="W28" s="38">
        <f>IF('MK7-MBD'!E36="","",'MK7-MBD'!E36)</f>
        <v>91.7</v>
      </c>
      <c r="X28" s="38">
        <f t="shared" si="9"/>
        <v>86.875</v>
      </c>
      <c r="Y28" s="77">
        <f>IF(MK8_BID!D36="","",MK8_BID!D36)</f>
        <v>85.55</v>
      </c>
      <c r="Z28" s="77">
        <f>IF(MK8_BID!E36="","",MK8_BID!E36)</f>
        <v>85.55</v>
      </c>
      <c r="AA28" s="77">
        <f t="shared" si="10"/>
        <v>85.55</v>
      </c>
      <c r="AB28" s="78">
        <f>IF('MK16-AGM'!D36="","",'MK16-AGM'!D36)</f>
        <v>81</v>
      </c>
      <c r="AC28" s="78">
        <f>IF('MK16-AGM'!E36="","",'MK16-AGM'!E36)</f>
        <v>87.6</v>
      </c>
      <c r="AD28" s="78">
        <f t="shared" si="11"/>
        <v>84.3</v>
      </c>
      <c r="AF28" s="79"/>
      <c r="AG28" s="80"/>
      <c r="AH28" s="79"/>
      <c r="AI28" s="80"/>
      <c r="AJ28" s="79"/>
      <c r="AK28" s="80"/>
      <c r="AL28" s="79"/>
      <c r="AM28" s="80"/>
      <c r="AN28" s="80"/>
      <c r="AO28" s="80"/>
      <c r="AP28" s="80"/>
      <c r="AQ28" s="80"/>
      <c r="AR28" s="80"/>
      <c r="AS28" s="80"/>
      <c r="AT28" s="80"/>
      <c r="AU28" s="80"/>
      <c r="AV28" s="79"/>
      <c r="AW28" s="80"/>
      <c r="AX28" s="79"/>
      <c r="AY28" s="80"/>
      <c r="AZ28" s="80"/>
      <c r="BA28" s="80"/>
      <c r="BB28" s="79"/>
      <c r="BC28" s="80"/>
      <c r="BD28" s="79"/>
      <c r="BE28" s="80"/>
      <c r="BF28" s="147"/>
      <c r="BG28" s="79"/>
      <c r="BJ28" s="4">
        <f t="shared" si="18"/>
        <v>41.024999999999999</v>
      </c>
      <c r="BK28" s="89">
        <f t="shared" si="64"/>
        <v>0.82050000000000001</v>
      </c>
      <c r="BL28" s="4">
        <f t="shared" si="19"/>
        <v>42.774999999999999</v>
      </c>
      <c r="BM28" s="89">
        <f t="shared" si="65"/>
        <v>0.85549999999999993</v>
      </c>
      <c r="BN28" s="81">
        <f t="shared" si="20"/>
        <v>42.774999999999999</v>
      </c>
      <c r="BO28" s="89">
        <f t="shared" si="66"/>
        <v>0.85549999999999993</v>
      </c>
      <c r="BP28" s="81">
        <f t="shared" si="21"/>
        <v>38.700000000000003</v>
      </c>
      <c r="BQ28" s="89">
        <f t="shared" si="22"/>
        <v>0.77400000000000002</v>
      </c>
      <c r="BR28" s="4"/>
      <c r="BS28" s="4"/>
      <c r="BT28" s="81">
        <f t="shared" si="67"/>
        <v>40.950000000000003</v>
      </c>
      <c r="BU28" s="87">
        <f t="shared" si="23"/>
        <v>0.81900000000000006</v>
      </c>
      <c r="BV28" s="4"/>
      <c r="BW28" s="4"/>
      <c r="BX28" s="4"/>
      <c r="BY28" s="4"/>
      <c r="BZ28" s="81"/>
      <c r="CA28" s="89"/>
      <c r="CB28" s="81"/>
      <c r="CC28" s="89"/>
      <c r="CD28" s="81"/>
      <c r="CE28" s="89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81">
        <f t="shared" si="26"/>
        <v>43.7</v>
      </c>
      <c r="CQ28" s="87">
        <f t="shared" si="27"/>
        <v>0.87400000000000011</v>
      </c>
      <c r="CR28" s="4">
        <f t="shared" si="28"/>
        <v>43.2</v>
      </c>
      <c r="CS28" s="87">
        <f t="shared" si="29"/>
        <v>0.8640000000000001</v>
      </c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81">
        <f t="shared" si="30"/>
        <v>42.7</v>
      </c>
      <c r="DS28" s="87">
        <f t="shared" si="31"/>
        <v>0.85400000000000009</v>
      </c>
      <c r="DT28" s="4"/>
      <c r="DU28" s="4"/>
      <c r="DV28" s="4"/>
      <c r="DW28" s="4"/>
      <c r="DX28" s="81">
        <f t="shared" si="32"/>
        <v>44.45</v>
      </c>
      <c r="DY28" s="89">
        <f t="shared" si="33"/>
        <v>0.88900000000000001</v>
      </c>
      <c r="DZ28" s="81"/>
      <c r="EA28" s="89"/>
      <c r="EB28" s="81">
        <f t="shared" si="34"/>
        <v>12.280000000000001</v>
      </c>
      <c r="EC28" s="89">
        <f t="shared" si="35"/>
        <v>0.76750000000000007</v>
      </c>
      <c r="ED28" s="80">
        <f t="shared" si="68"/>
        <v>12.68</v>
      </c>
      <c r="EE28" s="89">
        <f t="shared" si="36"/>
        <v>0.79249999999999998</v>
      </c>
      <c r="EF28" s="206">
        <f t="shared" si="69"/>
        <v>21.879000000000001</v>
      </c>
      <c r="EG28" s="89">
        <f t="shared" si="38"/>
        <v>0.84150000000000003</v>
      </c>
      <c r="EH28" s="80">
        <f t="shared" si="70"/>
        <v>16.480799999999999</v>
      </c>
      <c r="EI28" s="89">
        <f t="shared" si="40"/>
        <v>0.78479999999999994</v>
      </c>
      <c r="EJ28" s="4"/>
      <c r="EK28" s="4"/>
      <c r="EL28" s="81">
        <f t="shared" si="71"/>
        <v>17.6295</v>
      </c>
      <c r="EM28" s="87">
        <f t="shared" si="42"/>
        <v>0.84150000000000003</v>
      </c>
      <c r="EN28" s="4"/>
      <c r="EO28" s="4" t="str">
        <f t="shared" si="43"/>
        <v/>
      </c>
      <c r="EP28" s="4"/>
      <c r="EQ28" s="4"/>
      <c r="ER28" s="4">
        <f t="shared" si="44"/>
        <v>37.799999999999997</v>
      </c>
      <c r="ES28" s="87">
        <f t="shared" si="45"/>
        <v>0.75599999999999989</v>
      </c>
      <c r="ET28" s="4">
        <f t="shared" si="46"/>
        <v>34.049999999999997</v>
      </c>
      <c r="EU28" s="87">
        <f t="shared" si="47"/>
        <v>0.68099999999999994</v>
      </c>
      <c r="EV28" s="81"/>
      <c r="EW28" s="89"/>
      <c r="EX28" s="80">
        <f t="shared" si="49"/>
        <v>40.5</v>
      </c>
      <c r="EY28" s="89">
        <f t="shared" si="50"/>
        <v>0.81</v>
      </c>
      <c r="EZ28" s="80">
        <f t="shared" si="51"/>
        <v>43.8</v>
      </c>
      <c r="FA28" s="89">
        <f t="shared" si="52"/>
        <v>0.87599999999999989</v>
      </c>
      <c r="FB28" s="89"/>
      <c r="FC28" s="89"/>
      <c r="FD28" s="81"/>
      <c r="FE28" s="89"/>
      <c r="FF28" s="191"/>
      <c r="FG28" s="192"/>
      <c r="FH28" s="92"/>
      <c r="FI28" s="92"/>
      <c r="FJ28" s="191"/>
      <c r="FK28" s="192"/>
      <c r="FL28" s="191"/>
      <c r="FM28" s="192"/>
      <c r="FO28" s="101"/>
    </row>
    <row r="29" spans="1:171">
      <c r="A29" s="121">
        <v>19</v>
      </c>
      <c r="B29" s="122" t="s">
        <v>225</v>
      </c>
      <c r="C29" s="122" t="s">
        <v>226</v>
      </c>
      <c r="D29" s="73">
        <f>'MK1-TM'!D37</f>
        <v>77.5</v>
      </c>
      <c r="E29" s="73">
        <f>'MK1-TM'!E37</f>
        <v>82</v>
      </c>
      <c r="F29" s="73">
        <f t="shared" si="5"/>
        <v>79.75</v>
      </c>
      <c r="G29" s="91">
        <f>'MK2-TO'!D37</f>
        <v>78</v>
      </c>
      <c r="H29" s="91">
        <f>'MK2-TO'!E37</f>
        <v>80.5</v>
      </c>
      <c r="I29" s="91">
        <f>'MK2-TO'!F37</f>
        <v>84.92</v>
      </c>
      <c r="J29" s="91">
        <f>'MK2-TO'!G37</f>
        <v>80.86</v>
      </c>
      <c r="K29" s="91">
        <f>'MK2-TO'!H37</f>
        <v>84.67</v>
      </c>
      <c r="L29" s="91">
        <f t="shared" si="6"/>
        <v>82.200500000000005</v>
      </c>
      <c r="M29" s="74">
        <f>'MK3-PSTI'!D37</f>
        <v>85.4</v>
      </c>
      <c r="N29" s="74">
        <f>'MK3-PSTI'!E37</f>
        <v>88.9</v>
      </c>
      <c r="O29" s="74">
        <f t="shared" si="7"/>
        <v>87.15</v>
      </c>
      <c r="P29" s="75">
        <f>IF('MK4-L&amp;A'!D37="","",'MK4-L&amp;A'!D37)</f>
        <v>88</v>
      </c>
      <c r="Q29" s="75">
        <f>IF('MK4-L&amp;A'!E37="","",'MK4-L&amp;A'!E37)</f>
        <v>87</v>
      </c>
      <c r="R29" s="75">
        <f t="shared" si="8"/>
        <v>87.5</v>
      </c>
      <c r="S29" s="76">
        <f>IF('MK5-BP'!D37="","",'MK5-BP'!D37)</f>
        <v>78.400000000000006</v>
      </c>
      <c r="T29" s="76">
        <f>IF('MK5-BP'!E37="","",'MK5-BP'!E37)</f>
        <v>70.900000000000006</v>
      </c>
      <c r="U29" s="76">
        <f t="shared" si="58"/>
        <v>74.650000000000006</v>
      </c>
      <c r="V29" s="38">
        <f>IF('MK7-MBD'!D37="","",'MK7-MBD'!D37)</f>
        <v>85</v>
      </c>
      <c r="W29" s="38">
        <f>IF('MK7-MBD'!E37="","",'MK7-MBD'!E37)</f>
        <v>85</v>
      </c>
      <c r="X29" s="38">
        <f t="shared" si="9"/>
        <v>85</v>
      </c>
      <c r="Y29" s="77">
        <f>IF(MK8_BID!D37="","",MK8_BID!D37)</f>
        <v>86.95</v>
      </c>
      <c r="Z29" s="77">
        <f>IF(MK8_BID!E37="","",MK8_BID!E37)</f>
        <v>86.95</v>
      </c>
      <c r="AA29" s="77">
        <f t="shared" si="10"/>
        <v>86.95</v>
      </c>
      <c r="AB29" s="78">
        <f>IF('MK16-AGM'!D37="","",'MK16-AGM'!D37)</f>
        <v>85.8</v>
      </c>
      <c r="AC29" s="78">
        <f>IF('MK16-AGM'!E37="","",'MK16-AGM'!E37)</f>
        <v>88.9</v>
      </c>
      <c r="AD29" s="78">
        <f t="shared" si="11"/>
        <v>87.35</v>
      </c>
      <c r="AF29" s="79"/>
      <c r="AG29" s="80"/>
      <c r="AH29" s="79"/>
      <c r="AI29" s="80"/>
      <c r="AJ29" s="79"/>
      <c r="AK29" s="80"/>
      <c r="AL29" s="79"/>
      <c r="AM29" s="80"/>
      <c r="AN29" s="80"/>
      <c r="AO29" s="80"/>
      <c r="AP29" s="80"/>
      <c r="AQ29" s="80"/>
      <c r="AR29" s="80"/>
      <c r="AS29" s="80"/>
      <c r="AT29" s="80"/>
      <c r="AU29" s="80"/>
      <c r="AV29" s="79"/>
      <c r="AW29" s="80"/>
      <c r="AX29" s="79"/>
      <c r="AY29" s="80"/>
      <c r="AZ29" s="80"/>
      <c r="BA29" s="80"/>
      <c r="BB29" s="79"/>
      <c r="BC29" s="80"/>
      <c r="BD29" s="79"/>
      <c r="BE29" s="80"/>
      <c r="BF29" s="147"/>
      <c r="BG29" s="79"/>
      <c r="BJ29" s="4">
        <f t="shared" si="18"/>
        <v>42.5</v>
      </c>
      <c r="BK29" s="89">
        <f t="shared" si="64"/>
        <v>0.85</v>
      </c>
      <c r="BL29" s="4">
        <f t="shared" si="19"/>
        <v>43.475000000000001</v>
      </c>
      <c r="BM29" s="89">
        <f t="shared" si="65"/>
        <v>0.86950000000000005</v>
      </c>
      <c r="BN29" s="81">
        <f t="shared" si="20"/>
        <v>43.475000000000001</v>
      </c>
      <c r="BO29" s="89">
        <f t="shared" si="66"/>
        <v>0.86950000000000005</v>
      </c>
      <c r="BP29" s="81">
        <f t="shared" si="21"/>
        <v>38.75</v>
      </c>
      <c r="BQ29" s="89">
        <f t="shared" si="22"/>
        <v>0.77500000000000002</v>
      </c>
      <c r="BR29" s="4"/>
      <c r="BS29" s="4"/>
      <c r="BT29" s="81">
        <f t="shared" si="67"/>
        <v>41</v>
      </c>
      <c r="BU29" s="87">
        <f t="shared" si="23"/>
        <v>0.82</v>
      </c>
      <c r="BV29" s="4"/>
      <c r="BW29" s="4"/>
      <c r="BX29" s="4"/>
      <c r="BY29" s="4"/>
      <c r="BZ29" s="81"/>
      <c r="CA29" s="89"/>
      <c r="CB29" s="81"/>
      <c r="CC29" s="89"/>
      <c r="CD29" s="81"/>
      <c r="CE29" s="89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81">
        <f t="shared" si="26"/>
        <v>44</v>
      </c>
      <c r="CQ29" s="87">
        <f t="shared" si="27"/>
        <v>0.88</v>
      </c>
      <c r="CR29" s="4">
        <f t="shared" si="28"/>
        <v>43.5</v>
      </c>
      <c r="CS29" s="87">
        <f t="shared" si="29"/>
        <v>0.87</v>
      </c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81">
        <f t="shared" si="30"/>
        <v>42.7</v>
      </c>
      <c r="DS29" s="87">
        <f t="shared" si="31"/>
        <v>0.85400000000000009</v>
      </c>
      <c r="DT29" s="4"/>
      <c r="DU29" s="4"/>
      <c r="DV29" s="4"/>
      <c r="DW29" s="4"/>
      <c r="DX29" s="81">
        <f t="shared" si="32"/>
        <v>44.45</v>
      </c>
      <c r="DY29" s="89">
        <f t="shared" si="33"/>
        <v>0.88900000000000001</v>
      </c>
      <c r="DZ29" s="81"/>
      <c r="EA29" s="89"/>
      <c r="EB29" s="81">
        <f t="shared" si="34"/>
        <v>12.48</v>
      </c>
      <c r="EC29" s="89">
        <f t="shared" si="35"/>
        <v>0.78</v>
      </c>
      <c r="ED29" s="80">
        <f t="shared" si="68"/>
        <v>12.88</v>
      </c>
      <c r="EE29" s="89">
        <f t="shared" si="36"/>
        <v>0.80500000000000005</v>
      </c>
      <c r="EF29" s="206">
        <f t="shared" si="69"/>
        <v>22.0792</v>
      </c>
      <c r="EG29" s="89">
        <f t="shared" si="38"/>
        <v>0.84919999999999995</v>
      </c>
      <c r="EH29" s="80">
        <f t="shared" si="70"/>
        <v>16.980599999999999</v>
      </c>
      <c r="EI29" s="89">
        <f t="shared" si="40"/>
        <v>0.80859999999999999</v>
      </c>
      <c r="EJ29" s="4"/>
      <c r="EK29" s="4"/>
      <c r="EL29" s="81">
        <f t="shared" si="71"/>
        <v>17.7807</v>
      </c>
      <c r="EM29" s="87">
        <f t="shared" si="42"/>
        <v>0.84919999999999995</v>
      </c>
      <c r="EN29" s="4"/>
      <c r="EO29" s="4" t="str">
        <f t="shared" si="43"/>
        <v/>
      </c>
      <c r="EP29" s="4"/>
      <c r="EQ29" s="4"/>
      <c r="ER29" s="4">
        <f t="shared" si="44"/>
        <v>39.200000000000003</v>
      </c>
      <c r="ES29" s="87">
        <f t="shared" si="45"/>
        <v>0.78400000000000003</v>
      </c>
      <c r="ET29" s="4">
        <f t="shared" si="46"/>
        <v>35.450000000000003</v>
      </c>
      <c r="EU29" s="87">
        <f t="shared" si="47"/>
        <v>0.70900000000000007</v>
      </c>
      <c r="EV29" s="81"/>
      <c r="EW29" s="89"/>
      <c r="EX29" s="80">
        <f t="shared" si="49"/>
        <v>42.9</v>
      </c>
      <c r="EY29" s="89">
        <f t="shared" si="50"/>
        <v>0.85799999999999998</v>
      </c>
      <c r="EZ29" s="80">
        <f t="shared" si="51"/>
        <v>44.45</v>
      </c>
      <c r="FA29" s="89">
        <f t="shared" si="52"/>
        <v>0.88900000000000001</v>
      </c>
      <c r="FB29" s="89"/>
      <c r="FC29" s="89"/>
      <c r="FD29" s="81"/>
      <c r="FE29" s="89"/>
      <c r="FF29" s="191"/>
      <c r="FG29" s="192"/>
      <c r="FH29" s="92"/>
      <c r="FI29" s="92"/>
      <c r="FJ29" s="191"/>
      <c r="FK29" s="192"/>
      <c r="FL29" s="191"/>
      <c r="FM29" s="192"/>
      <c r="FO29" s="101"/>
    </row>
    <row r="30" spans="1:171">
      <c r="A30" s="121">
        <v>20</v>
      </c>
      <c r="B30" s="122" t="s">
        <v>227</v>
      </c>
      <c r="C30" s="122" t="s">
        <v>228</v>
      </c>
      <c r="D30" s="73">
        <f>'MK1-TM'!D38</f>
        <v>81</v>
      </c>
      <c r="E30" s="73">
        <f>'MK1-TM'!E38</f>
        <v>78</v>
      </c>
      <c r="F30" s="73">
        <f t="shared" si="5"/>
        <v>79.5</v>
      </c>
      <c r="G30" s="91">
        <f>'MK2-TO'!D38</f>
        <v>76.13</v>
      </c>
      <c r="H30" s="91">
        <f>'MK2-TO'!E38</f>
        <v>78.63</v>
      </c>
      <c r="I30" s="91">
        <f>'MK2-TO'!F38</f>
        <v>86.46</v>
      </c>
      <c r="J30" s="91">
        <f>'MK2-TO'!G38</f>
        <v>78.900000000000006</v>
      </c>
      <c r="K30" s="91">
        <f>'MK2-TO'!H38</f>
        <v>86.1</v>
      </c>
      <c r="L30" s="91">
        <f t="shared" si="6"/>
        <v>81.891199999999998</v>
      </c>
      <c r="M30" s="74">
        <f>'MK3-PSTI'!D38</f>
        <v>85.4</v>
      </c>
      <c r="N30" s="74">
        <f>'MK3-PSTI'!E38</f>
        <v>88.2</v>
      </c>
      <c r="O30" s="74">
        <f t="shared" si="7"/>
        <v>86.800000000000011</v>
      </c>
      <c r="P30" s="75">
        <f>IF('MK4-L&amp;A'!D38="","",'MK4-L&amp;A'!D38)</f>
        <v>88</v>
      </c>
      <c r="Q30" s="75">
        <f>IF('MK4-L&amp;A'!E38="","",'MK4-L&amp;A'!E38)</f>
        <v>87</v>
      </c>
      <c r="R30" s="75">
        <f t="shared" si="8"/>
        <v>87.5</v>
      </c>
      <c r="S30" s="76">
        <f>IF('MK5-BP'!D38="","",'MK5-BP'!D38)</f>
        <v>75.599999999999994</v>
      </c>
      <c r="T30" s="76">
        <f>IF('MK5-BP'!E38="","",'MK5-BP'!E38)</f>
        <v>68.099999999999994</v>
      </c>
      <c r="U30" s="76">
        <f t="shared" si="58"/>
        <v>71.849999999999994</v>
      </c>
      <c r="V30" s="38">
        <f>IF('MK7-MBD'!D38="","",'MK7-MBD'!D38)</f>
        <v>80.95</v>
      </c>
      <c r="W30" s="38">
        <f>IF('MK7-MBD'!E38="","",'MK7-MBD'!E38)</f>
        <v>90.8</v>
      </c>
      <c r="X30" s="38">
        <f t="shared" si="9"/>
        <v>85.875</v>
      </c>
      <c r="Y30" s="77">
        <f>IF(MK8_BID!D38="","",MK8_BID!D38)</f>
        <v>81.400000000000006</v>
      </c>
      <c r="Z30" s="77">
        <f>IF(MK8_BID!E38="","",MK8_BID!E38)</f>
        <v>81.400000000000006</v>
      </c>
      <c r="AA30" s="77">
        <f t="shared" si="10"/>
        <v>81.400000000000006</v>
      </c>
      <c r="AB30" s="78">
        <f>IF('MK16-AGM'!D38="","",'MK16-AGM'!D38)</f>
        <v>92.2</v>
      </c>
      <c r="AC30" s="78">
        <f>IF('MK16-AGM'!E38="","",'MK16-AGM'!E38)</f>
        <v>91.1</v>
      </c>
      <c r="AD30" s="78">
        <f t="shared" si="11"/>
        <v>91.65</v>
      </c>
      <c r="AF30" s="79"/>
      <c r="AG30" s="80"/>
      <c r="AH30" s="79"/>
      <c r="AI30" s="80"/>
      <c r="AJ30" s="79"/>
      <c r="AK30" s="80"/>
      <c r="AL30" s="79"/>
      <c r="AM30" s="80"/>
      <c r="AN30" s="80"/>
      <c r="AO30" s="80"/>
      <c r="AP30" s="80"/>
      <c r="AQ30" s="80"/>
      <c r="AR30" s="80"/>
      <c r="AS30" s="80"/>
      <c r="AT30" s="80"/>
      <c r="AU30" s="80"/>
      <c r="AV30" s="79"/>
      <c r="AW30" s="80"/>
      <c r="AX30" s="79"/>
      <c r="AY30" s="80"/>
      <c r="AZ30" s="80"/>
      <c r="BA30" s="80"/>
      <c r="BB30" s="79"/>
      <c r="BC30" s="80"/>
      <c r="BD30" s="79"/>
      <c r="BE30" s="80"/>
      <c r="BF30" s="147"/>
      <c r="BG30" s="79"/>
      <c r="BJ30" s="4">
        <f t="shared" si="18"/>
        <v>40.475000000000001</v>
      </c>
      <c r="BK30" s="89">
        <f t="shared" si="64"/>
        <v>0.8095</v>
      </c>
      <c r="BL30" s="4">
        <f t="shared" si="19"/>
        <v>40.700000000000003</v>
      </c>
      <c r="BM30" s="89">
        <f t="shared" si="65"/>
        <v>0.81400000000000006</v>
      </c>
      <c r="BN30" s="81">
        <f t="shared" si="20"/>
        <v>40.700000000000003</v>
      </c>
      <c r="BO30" s="89">
        <f t="shared" si="66"/>
        <v>0.81400000000000006</v>
      </c>
      <c r="BP30" s="81">
        <f t="shared" si="21"/>
        <v>40.5</v>
      </c>
      <c r="BQ30" s="89">
        <f t="shared" si="22"/>
        <v>0.81</v>
      </c>
      <c r="BR30" s="4"/>
      <c r="BS30" s="4"/>
      <c r="BT30" s="81">
        <f t="shared" si="67"/>
        <v>39</v>
      </c>
      <c r="BU30" s="87">
        <f t="shared" si="23"/>
        <v>0.78</v>
      </c>
      <c r="BV30" s="4"/>
      <c r="BW30" s="4"/>
      <c r="BX30" s="4"/>
      <c r="BY30" s="4"/>
      <c r="BZ30" s="81"/>
      <c r="CA30" s="89"/>
      <c r="CB30" s="81"/>
      <c r="CC30" s="89"/>
      <c r="CD30" s="81"/>
      <c r="CE30" s="89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81">
        <f t="shared" si="26"/>
        <v>44</v>
      </c>
      <c r="CQ30" s="87">
        <f t="shared" si="27"/>
        <v>0.88</v>
      </c>
      <c r="CR30" s="4">
        <f t="shared" si="28"/>
        <v>43.5</v>
      </c>
      <c r="CS30" s="87">
        <f t="shared" si="29"/>
        <v>0.87</v>
      </c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81">
        <f t="shared" si="30"/>
        <v>42.7</v>
      </c>
      <c r="DS30" s="87">
        <f t="shared" si="31"/>
        <v>0.85400000000000009</v>
      </c>
      <c r="DT30" s="4"/>
      <c r="DU30" s="4"/>
      <c r="DV30" s="4"/>
      <c r="DW30" s="4"/>
      <c r="DX30" s="81">
        <f t="shared" si="32"/>
        <v>44.1</v>
      </c>
      <c r="DY30" s="89">
        <f t="shared" si="33"/>
        <v>0.88200000000000001</v>
      </c>
      <c r="DZ30" s="81"/>
      <c r="EA30" s="89"/>
      <c r="EB30" s="81">
        <f t="shared" si="34"/>
        <v>12.1808</v>
      </c>
      <c r="EC30" s="89">
        <f t="shared" si="35"/>
        <v>0.76129999999999998</v>
      </c>
      <c r="ED30" s="80">
        <f t="shared" si="68"/>
        <v>12.5808</v>
      </c>
      <c r="EE30" s="89">
        <f t="shared" si="36"/>
        <v>0.7863</v>
      </c>
      <c r="EF30" s="206">
        <f t="shared" si="69"/>
        <v>22.479599999999998</v>
      </c>
      <c r="EG30" s="89">
        <f t="shared" si="38"/>
        <v>0.86459999999999992</v>
      </c>
      <c r="EH30" s="80">
        <f t="shared" si="70"/>
        <v>16.568999999999999</v>
      </c>
      <c r="EI30" s="89">
        <f t="shared" si="40"/>
        <v>0.78899999999999992</v>
      </c>
      <c r="EJ30" s="4"/>
      <c r="EK30" s="4"/>
      <c r="EL30" s="81">
        <f t="shared" si="71"/>
        <v>18.081</v>
      </c>
      <c r="EM30" s="87">
        <f t="shared" si="42"/>
        <v>0.86459999999999992</v>
      </c>
      <c r="EN30" s="4"/>
      <c r="EO30" s="4" t="str">
        <f t="shared" si="43"/>
        <v/>
      </c>
      <c r="EP30" s="4"/>
      <c r="EQ30" s="4"/>
      <c r="ER30" s="4">
        <f t="shared" si="44"/>
        <v>37.799999999999997</v>
      </c>
      <c r="ES30" s="87">
        <f t="shared" si="45"/>
        <v>0.75599999999999989</v>
      </c>
      <c r="ET30" s="4">
        <f t="shared" si="46"/>
        <v>34.049999999999997</v>
      </c>
      <c r="EU30" s="87">
        <f t="shared" si="47"/>
        <v>0.68099999999999994</v>
      </c>
      <c r="EV30" s="81"/>
      <c r="EW30" s="89"/>
      <c r="EX30" s="80">
        <f t="shared" si="49"/>
        <v>46.1</v>
      </c>
      <c r="EY30" s="89">
        <f t="shared" si="50"/>
        <v>0.92200000000000004</v>
      </c>
      <c r="EZ30" s="80">
        <f t="shared" si="51"/>
        <v>45.55</v>
      </c>
      <c r="FA30" s="89">
        <f t="shared" si="52"/>
        <v>0.91099999999999992</v>
      </c>
      <c r="FB30" s="89"/>
      <c r="FC30" s="89"/>
      <c r="FD30" s="81"/>
      <c r="FE30" s="89"/>
      <c r="FF30" s="191"/>
      <c r="FG30" s="192"/>
      <c r="FH30" s="92"/>
      <c r="FI30" s="92"/>
      <c r="FJ30" s="191"/>
      <c r="FK30" s="192"/>
      <c r="FL30" s="191"/>
      <c r="FM30" s="192"/>
      <c r="FO30" s="101"/>
    </row>
    <row r="31" spans="1:171" ht="13.5" customHeight="1">
      <c r="A31" s="121">
        <v>21</v>
      </c>
      <c r="B31" s="122" t="s">
        <v>229</v>
      </c>
      <c r="C31" s="122" t="s">
        <v>230</v>
      </c>
      <c r="D31" s="73">
        <f>'MK1-TM'!D39</f>
        <v>76.900000000000006</v>
      </c>
      <c r="E31" s="73">
        <f>'MK1-TM'!E39</f>
        <v>81.400000000000006</v>
      </c>
      <c r="F31" s="73">
        <f t="shared" si="5"/>
        <v>79.150000000000006</v>
      </c>
      <c r="G31" s="91">
        <f>'MK2-TO'!D39</f>
        <v>79.25</v>
      </c>
      <c r="H31" s="91">
        <f>'MK2-TO'!E39</f>
        <v>80.5</v>
      </c>
      <c r="I31" s="91">
        <f>'MK2-TO'!F39</f>
        <v>82.62</v>
      </c>
      <c r="J31" s="91">
        <f>'MK2-TO'!G39</f>
        <v>79.900000000000006</v>
      </c>
      <c r="K31" s="91">
        <f>'MK2-TO'!H39</f>
        <v>82.29</v>
      </c>
      <c r="L31" s="91">
        <f t="shared" si="6"/>
        <v>81.101100000000002</v>
      </c>
      <c r="M31" s="74">
        <f>'MK3-PSTI'!D39</f>
        <v>75.8</v>
      </c>
      <c r="N31" s="74">
        <f>'MK3-PSTI'!E39</f>
        <v>81.3</v>
      </c>
      <c r="O31" s="74">
        <f t="shared" si="7"/>
        <v>78.55</v>
      </c>
      <c r="P31" s="75">
        <f>IF('MK4-L&amp;A'!D39="","",'MK4-L&amp;A'!D39)</f>
        <v>88</v>
      </c>
      <c r="Q31" s="75">
        <f>IF('MK4-L&amp;A'!E39="","",'MK4-L&amp;A'!E39)</f>
        <v>87</v>
      </c>
      <c r="R31" s="75">
        <f t="shared" si="8"/>
        <v>87.5</v>
      </c>
      <c r="S31" s="76">
        <f>IF('MK5-BP'!D39="","",'MK5-BP'!D39)</f>
        <v>75.599999999999994</v>
      </c>
      <c r="T31" s="76">
        <f>IF('MK5-BP'!E39="","",'MK5-BP'!E39)</f>
        <v>68.099999999999994</v>
      </c>
      <c r="U31" s="76">
        <f t="shared" si="58"/>
        <v>71.849999999999994</v>
      </c>
      <c r="V31" s="38">
        <f>IF('MK7-MBD'!D39="","",'MK7-MBD'!D39)</f>
        <v>84.15</v>
      </c>
      <c r="W31" s="38">
        <f>IF('MK7-MBD'!E39="","",'MK7-MBD'!E39)</f>
        <v>92.4</v>
      </c>
      <c r="X31" s="38">
        <f t="shared" si="9"/>
        <v>88.275000000000006</v>
      </c>
      <c r="Y31" s="77">
        <f>IF(MK8_BID!D39="","",MK8_BID!D39)</f>
        <v>81.400000000000006</v>
      </c>
      <c r="Z31" s="77">
        <f>IF(MK8_BID!E39="","",MK8_BID!E39)</f>
        <v>81.400000000000006</v>
      </c>
      <c r="AA31" s="77">
        <f t="shared" si="10"/>
        <v>81.400000000000006</v>
      </c>
      <c r="AB31" s="78">
        <f>IF('MK16-AGM'!D39="","",'MK16-AGM'!D39)</f>
        <v>70.5</v>
      </c>
      <c r="AC31" s="78">
        <f>IF('MK16-AGM'!E39="","",'MK16-AGM'!E39)</f>
        <v>82</v>
      </c>
      <c r="AD31" s="78">
        <f t="shared" si="11"/>
        <v>76.25</v>
      </c>
      <c r="AF31" s="79"/>
      <c r="AG31" s="80"/>
      <c r="AH31" s="79"/>
      <c r="AI31" s="80"/>
      <c r="AJ31" s="79"/>
      <c r="AK31" s="80"/>
      <c r="AL31" s="79"/>
      <c r="AM31" s="80"/>
      <c r="AN31" s="80"/>
      <c r="AO31" s="80"/>
      <c r="AP31" s="80"/>
      <c r="AQ31" s="80"/>
      <c r="AR31" s="80"/>
      <c r="AS31" s="80"/>
      <c r="AT31" s="80"/>
      <c r="AU31" s="80"/>
      <c r="AV31" s="79"/>
      <c r="AW31" s="80"/>
      <c r="AX31" s="79"/>
      <c r="AY31" s="80"/>
      <c r="AZ31" s="80"/>
      <c r="BA31" s="80"/>
      <c r="BB31" s="79"/>
      <c r="BC31" s="80"/>
      <c r="BD31" s="79"/>
      <c r="BE31" s="80"/>
      <c r="BF31" s="147"/>
      <c r="BG31" s="79"/>
      <c r="BJ31" s="4">
        <f t="shared" si="18"/>
        <v>42.075000000000003</v>
      </c>
      <c r="BK31" s="89">
        <f t="shared" si="64"/>
        <v>0.84150000000000003</v>
      </c>
      <c r="BL31" s="4">
        <f t="shared" si="19"/>
        <v>40.700000000000003</v>
      </c>
      <c r="BM31" s="89">
        <f t="shared" si="65"/>
        <v>0.81400000000000006</v>
      </c>
      <c r="BN31" s="81">
        <f t="shared" si="20"/>
        <v>40.700000000000003</v>
      </c>
      <c r="BO31" s="89">
        <f t="shared" si="66"/>
        <v>0.81400000000000006</v>
      </c>
      <c r="BP31" s="81">
        <f t="shared" si="21"/>
        <v>38.450000000000003</v>
      </c>
      <c r="BQ31" s="89">
        <f t="shared" si="22"/>
        <v>0.76900000000000002</v>
      </c>
      <c r="BR31" s="4"/>
      <c r="BS31" s="4"/>
      <c r="BT31" s="81">
        <f t="shared" si="67"/>
        <v>40.700000000000003</v>
      </c>
      <c r="BU31" s="87">
        <f t="shared" si="23"/>
        <v>0.81400000000000006</v>
      </c>
      <c r="BV31" s="4"/>
      <c r="BW31" s="4"/>
      <c r="BX31" s="4"/>
      <c r="BY31" s="4"/>
      <c r="BZ31" s="81"/>
      <c r="CA31" s="89"/>
      <c r="CB31" s="81"/>
      <c r="CC31" s="89"/>
      <c r="CD31" s="81"/>
      <c r="CE31" s="89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81">
        <f t="shared" si="26"/>
        <v>44</v>
      </c>
      <c r="CQ31" s="87">
        <f t="shared" si="27"/>
        <v>0.88</v>
      </c>
      <c r="CR31" s="4">
        <f t="shared" si="28"/>
        <v>43.5</v>
      </c>
      <c r="CS31" s="87">
        <f t="shared" si="29"/>
        <v>0.87</v>
      </c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81">
        <f t="shared" si="30"/>
        <v>37.9</v>
      </c>
      <c r="DS31" s="87">
        <f t="shared" si="31"/>
        <v>0.75800000000000001</v>
      </c>
      <c r="DT31" s="4"/>
      <c r="DU31" s="4"/>
      <c r="DV31" s="4"/>
      <c r="DW31" s="4"/>
      <c r="DX31" s="81">
        <f t="shared" si="32"/>
        <v>40.65</v>
      </c>
      <c r="DY31" s="89">
        <f t="shared" si="33"/>
        <v>0.81299999999999994</v>
      </c>
      <c r="DZ31" s="81"/>
      <c r="EA31" s="89"/>
      <c r="EB31" s="81">
        <f t="shared" si="34"/>
        <v>12.68</v>
      </c>
      <c r="EC31" s="89">
        <f t="shared" si="35"/>
        <v>0.79249999999999998</v>
      </c>
      <c r="ED31" s="80">
        <f t="shared" si="68"/>
        <v>12.88</v>
      </c>
      <c r="EE31" s="89">
        <f t="shared" si="36"/>
        <v>0.80500000000000005</v>
      </c>
      <c r="EF31" s="206">
        <f t="shared" si="69"/>
        <v>21.481200000000001</v>
      </c>
      <c r="EG31" s="89">
        <f t="shared" si="38"/>
        <v>0.82620000000000005</v>
      </c>
      <c r="EH31" s="80">
        <f t="shared" si="70"/>
        <v>16.779</v>
      </c>
      <c r="EI31" s="89">
        <f t="shared" si="40"/>
        <v>0.79900000000000004</v>
      </c>
      <c r="EJ31" s="4"/>
      <c r="EK31" s="4"/>
      <c r="EL31" s="81">
        <f t="shared" si="71"/>
        <v>17.280899999999999</v>
      </c>
      <c r="EM31" s="87">
        <f t="shared" si="42"/>
        <v>0.82620000000000005</v>
      </c>
      <c r="EN31" s="4"/>
      <c r="EO31" s="4" t="str">
        <f t="shared" si="43"/>
        <v/>
      </c>
      <c r="EP31" s="4"/>
      <c r="EQ31" s="4"/>
      <c r="ER31" s="4">
        <f t="shared" si="44"/>
        <v>37.799999999999997</v>
      </c>
      <c r="ES31" s="87">
        <f t="shared" si="45"/>
        <v>0.75599999999999989</v>
      </c>
      <c r="ET31" s="4">
        <f t="shared" si="46"/>
        <v>34.049999999999997</v>
      </c>
      <c r="EU31" s="87">
        <f t="shared" si="47"/>
        <v>0.68099999999999994</v>
      </c>
      <c r="EV31" s="81"/>
      <c r="EW31" s="89"/>
      <c r="EX31" s="80">
        <f t="shared" si="49"/>
        <v>35.25</v>
      </c>
      <c r="EY31" s="89">
        <f t="shared" si="50"/>
        <v>0.70499999999999996</v>
      </c>
      <c r="EZ31" s="80">
        <f t="shared" si="51"/>
        <v>41</v>
      </c>
      <c r="FA31" s="89">
        <f t="shared" si="52"/>
        <v>0.82</v>
      </c>
      <c r="FB31" s="89"/>
      <c r="FC31" s="89"/>
      <c r="FD31" s="81"/>
      <c r="FE31" s="89"/>
      <c r="FF31" s="191"/>
      <c r="FG31" s="192"/>
      <c r="FH31" s="92"/>
      <c r="FI31" s="92"/>
      <c r="FJ31" s="191"/>
      <c r="FK31" s="192"/>
      <c r="FL31" s="191"/>
      <c r="FM31" s="192"/>
      <c r="FO31" s="101"/>
    </row>
    <row r="32" spans="1:171">
      <c r="A32" s="121">
        <v>22</v>
      </c>
      <c r="B32" s="122" t="s">
        <v>231</v>
      </c>
      <c r="C32" s="122" t="s">
        <v>232</v>
      </c>
      <c r="D32" s="73">
        <f>'MK1-TM'!D40</f>
        <v>82</v>
      </c>
      <c r="E32" s="73">
        <f>'MK1-TM'!E40</f>
        <v>83.5</v>
      </c>
      <c r="F32" s="73">
        <f t="shared" si="5"/>
        <v>82.75</v>
      </c>
      <c r="G32" s="91">
        <f>'MK2-TO'!D40</f>
        <v>76.13</v>
      </c>
      <c r="H32" s="91">
        <f>'MK2-TO'!E40</f>
        <v>78.63</v>
      </c>
      <c r="I32" s="91">
        <f>'MK2-TO'!F40</f>
        <v>84.15</v>
      </c>
      <c r="J32" s="91">
        <f>'MK2-TO'!G40</f>
        <v>77.760000000000005</v>
      </c>
      <c r="K32" s="91">
        <f>'MK2-TO'!H40</f>
        <v>83.95</v>
      </c>
      <c r="L32" s="91">
        <f t="shared" si="6"/>
        <v>80.599700000000013</v>
      </c>
      <c r="M32" s="74">
        <f>'MK3-PSTI'!D40</f>
        <v>86</v>
      </c>
      <c r="N32" s="74">
        <f>'MK3-PSTI'!E40</f>
        <v>86</v>
      </c>
      <c r="O32" s="74">
        <f t="shared" si="7"/>
        <v>86</v>
      </c>
      <c r="P32" s="75">
        <f>IF('MK4-L&amp;A'!D40="","",'MK4-L&amp;A'!D40)</f>
        <v>88</v>
      </c>
      <c r="Q32" s="75">
        <f>IF('MK4-L&amp;A'!E40="","",'MK4-L&amp;A'!E40)</f>
        <v>87</v>
      </c>
      <c r="R32" s="75">
        <f t="shared" si="8"/>
        <v>87.5</v>
      </c>
      <c r="S32" s="76">
        <f>IF('MK5-BP'!D40="","",'MK5-BP'!D40)</f>
        <v>75.599999999999994</v>
      </c>
      <c r="T32" s="76">
        <f>IF('MK5-BP'!E40="","",'MK5-BP'!E40)</f>
        <v>68.099999999999994</v>
      </c>
      <c r="U32" s="76">
        <f t="shared" si="58"/>
        <v>71.849999999999994</v>
      </c>
      <c r="V32" s="38">
        <f>IF('MK7-MBD'!D40="","",'MK7-MBD'!D40)</f>
        <v>85.6</v>
      </c>
      <c r="W32" s="38">
        <f>IF('MK7-MBD'!E40="","",'MK7-MBD'!E40)</f>
        <v>94.7</v>
      </c>
      <c r="X32" s="38">
        <f t="shared" si="9"/>
        <v>90.15</v>
      </c>
      <c r="Y32" s="77">
        <f>IF(MK8_BID!D40="","",MK8_BID!D40)</f>
        <v>83</v>
      </c>
      <c r="Z32" s="77">
        <f>IF(MK8_BID!E40="","",MK8_BID!E40)</f>
        <v>83</v>
      </c>
      <c r="AA32" s="77">
        <f t="shared" si="10"/>
        <v>83</v>
      </c>
      <c r="AB32" s="78">
        <f>IF('MK16-AGM'!D40="","",'MK16-AGM'!D40)</f>
        <v>85.8</v>
      </c>
      <c r="AC32" s="78">
        <f>IF('MK16-AGM'!E40="","",'MK16-AGM'!E40)</f>
        <v>95.4</v>
      </c>
      <c r="AD32" s="78">
        <f t="shared" si="11"/>
        <v>90.6</v>
      </c>
      <c r="AF32" s="79"/>
      <c r="AG32" s="80"/>
      <c r="AH32" s="79"/>
      <c r="AI32" s="80"/>
      <c r="AJ32" s="79"/>
      <c r="AK32" s="80"/>
      <c r="AL32" s="79"/>
      <c r="AM32" s="80"/>
      <c r="AN32" s="80"/>
      <c r="AO32" s="80"/>
      <c r="AP32" s="80"/>
      <c r="AQ32" s="80"/>
      <c r="AR32" s="80"/>
      <c r="AS32" s="80"/>
      <c r="AT32" s="80"/>
      <c r="AU32" s="80"/>
      <c r="AV32" s="79"/>
      <c r="AW32" s="80"/>
      <c r="AX32" s="79"/>
      <c r="AY32" s="80"/>
      <c r="AZ32" s="80"/>
      <c r="BA32" s="80"/>
      <c r="BB32" s="79"/>
      <c r="BC32" s="80"/>
      <c r="BD32" s="79"/>
      <c r="BE32" s="80"/>
      <c r="BF32" s="147"/>
      <c r="BG32" s="79"/>
      <c r="BJ32" s="4">
        <f t="shared" si="18"/>
        <v>42.8</v>
      </c>
      <c r="BK32" s="89">
        <f t="shared" si="64"/>
        <v>0.85599999999999998</v>
      </c>
      <c r="BL32" s="4">
        <f t="shared" si="19"/>
        <v>41.5</v>
      </c>
      <c r="BM32" s="89">
        <f t="shared" si="65"/>
        <v>0.83</v>
      </c>
      <c r="BN32" s="81">
        <f t="shared" si="20"/>
        <v>41.5</v>
      </c>
      <c r="BO32" s="89">
        <f t="shared" si="66"/>
        <v>0.83</v>
      </c>
      <c r="BP32" s="81">
        <f t="shared" si="21"/>
        <v>41</v>
      </c>
      <c r="BQ32" s="89">
        <f t="shared" si="22"/>
        <v>0.82</v>
      </c>
      <c r="BR32" s="4"/>
      <c r="BS32" s="4"/>
      <c r="BT32" s="81">
        <f t="shared" si="67"/>
        <v>41.75</v>
      </c>
      <c r="BU32" s="87">
        <f t="shared" si="23"/>
        <v>0.83499999999999996</v>
      </c>
      <c r="BV32" s="4"/>
      <c r="BW32" s="4"/>
      <c r="BX32" s="4"/>
      <c r="BY32" s="4"/>
      <c r="BZ32" s="81"/>
      <c r="CA32" s="89"/>
      <c r="CB32" s="81"/>
      <c r="CC32" s="89"/>
      <c r="CD32" s="81"/>
      <c r="CE32" s="89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81">
        <f t="shared" si="26"/>
        <v>44</v>
      </c>
      <c r="CQ32" s="87">
        <f t="shared" si="27"/>
        <v>0.88</v>
      </c>
      <c r="CR32" s="4">
        <f t="shared" si="28"/>
        <v>43.5</v>
      </c>
      <c r="CS32" s="87">
        <f t="shared" si="29"/>
        <v>0.87</v>
      </c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81">
        <f t="shared" si="30"/>
        <v>43</v>
      </c>
      <c r="DS32" s="87">
        <f t="shared" si="31"/>
        <v>0.86</v>
      </c>
      <c r="DT32" s="4"/>
      <c r="DU32" s="4"/>
      <c r="DV32" s="4"/>
      <c r="DW32" s="4"/>
      <c r="DX32" s="81">
        <f t="shared" si="32"/>
        <v>43</v>
      </c>
      <c r="DY32" s="89">
        <f t="shared" si="33"/>
        <v>0.86</v>
      </c>
      <c r="DZ32" s="81"/>
      <c r="EA32" s="89"/>
      <c r="EB32" s="81">
        <f t="shared" si="34"/>
        <v>12.1808</v>
      </c>
      <c r="EC32" s="89">
        <f t="shared" si="35"/>
        <v>0.76129999999999998</v>
      </c>
      <c r="ED32" s="80">
        <f t="shared" si="68"/>
        <v>12.5808</v>
      </c>
      <c r="EE32" s="89">
        <f t="shared" si="36"/>
        <v>0.7863</v>
      </c>
      <c r="EF32" s="206">
        <f t="shared" si="69"/>
        <v>21.879000000000001</v>
      </c>
      <c r="EG32" s="89">
        <f t="shared" si="38"/>
        <v>0.84150000000000003</v>
      </c>
      <c r="EH32" s="80">
        <f t="shared" si="70"/>
        <v>16.329599999999999</v>
      </c>
      <c r="EI32" s="89">
        <f t="shared" si="40"/>
        <v>0.77759999999999996</v>
      </c>
      <c r="EJ32" s="4"/>
      <c r="EK32" s="4"/>
      <c r="EL32" s="81">
        <f t="shared" si="71"/>
        <v>17.6295</v>
      </c>
      <c r="EM32" s="87">
        <f t="shared" si="42"/>
        <v>0.84150000000000003</v>
      </c>
      <c r="EN32" s="4"/>
      <c r="EO32" s="4" t="str">
        <f t="shared" si="43"/>
        <v/>
      </c>
      <c r="EP32" s="4"/>
      <c r="EQ32" s="4"/>
      <c r="ER32" s="4">
        <f t="shared" si="44"/>
        <v>37.799999999999997</v>
      </c>
      <c r="ES32" s="87">
        <f t="shared" si="45"/>
        <v>0.75599999999999989</v>
      </c>
      <c r="ET32" s="4">
        <f t="shared" si="46"/>
        <v>34.049999999999997</v>
      </c>
      <c r="EU32" s="87">
        <f t="shared" si="47"/>
        <v>0.68099999999999994</v>
      </c>
      <c r="EV32" s="81"/>
      <c r="EW32" s="89"/>
      <c r="EX32" s="80">
        <f t="shared" si="49"/>
        <v>42.9</v>
      </c>
      <c r="EY32" s="89">
        <f t="shared" si="50"/>
        <v>0.85799999999999998</v>
      </c>
      <c r="EZ32" s="80">
        <f t="shared" si="51"/>
        <v>47.7</v>
      </c>
      <c r="FA32" s="89">
        <f t="shared" si="52"/>
        <v>0.95400000000000007</v>
      </c>
      <c r="FB32" s="89"/>
      <c r="FC32" s="89"/>
      <c r="FD32" s="81"/>
      <c r="FE32" s="89"/>
      <c r="FF32" s="191"/>
      <c r="FG32" s="192"/>
      <c r="FH32" s="92"/>
      <c r="FI32" s="92"/>
      <c r="FJ32" s="191"/>
      <c r="FK32" s="192"/>
      <c r="FL32" s="191"/>
      <c r="FM32" s="192"/>
      <c r="FO32" s="101"/>
    </row>
    <row r="33" spans="1:171">
      <c r="A33" s="121">
        <v>23</v>
      </c>
      <c r="B33" s="122" t="s">
        <v>233</v>
      </c>
      <c r="C33" s="122" t="s">
        <v>234</v>
      </c>
      <c r="D33" s="73">
        <f>'MK1-TM'!D41</f>
        <v>82.5</v>
      </c>
      <c r="E33" s="73">
        <f>'MK1-TM'!E41</f>
        <v>87.5</v>
      </c>
      <c r="F33" s="73">
        <f t="shared" si="5"/>
        <v>85</v>
      </c>
      <c r="G33" s="91">
        <f>'MK2-TO'!D41</f>
        <v>76.75</v>
      </c>
      <c r="H33" s="91">
        <f>'MK2-TO'!E41</f>
        <v>79.25</v>
      </c>
      <c r="I33" s="91">
        <f>'MK2-TO'!F41</f>
        <v>84.92</v>
      </c>
      <c r="J33" s="91">
        <f>'MK2-TO'!G41</f>
        <v>78.48</v>
      </c>
      <c r="K33" s="91">
        <f>'MK2-TO'!H41</f>
        <v>84.67</v>
      </c>
      <c r="L33" s="91">
        <f t="shared" si="6"/>
        <v>81.300700000000006</v>
      </c>
      <c r="M33" s="74">
        <f>'MK3-PSTI'!D41</f>
        <v>85.4</v>
      </c>
      <c r="N33" s="74">
        <f>'MK3-PSTI'!E41</f>
        <v>88.2</v>
      </c>
      <c r="O33" s="74">
        <f t="shared" si="7"/>
        <v>86.800000000000011</v>
      </c>
      <c r="P33" s="75">
        <f>IF('MK4-L&amp;A'!D41="","",'MK4-L&amp;A'!D41)</f>
        <v>87.4</v>
      </c>
      <c r="Q33" s="75">
        <f>IF('MK4-L&amp;A'!E41="","",'MK4-L&amp;A'!E41)</f>
        <v>86.4</v>
      </c>
      <c r="R33" s="75">
        <f t="shared" si="8"/>
        <v>86.9</v>
      </c>
      <c r="S33" s="76">
        <f>IF('MK5-BP'!D41="","",'MK5-BP'!D41)</f>
        <v>75.599999999999994</v>
      </c>
      <c r="T33" s="76">
        <f>IF('MK5-BP'!E41="","",'MK5-BP'!E41)</f>
        <v>68.099999999999994</v>
      </c>
      <c r="U33" s="76">
        <f t="shared" si="58"/>
        <v>71.849999999999994</v>
      </c>
      <c r="V33" s="38">
        <f>IF('MK7-MBD'!D41="","",'MK7-MBD'!D41)</f>
        <v>87.25</v>
      </c>
      <c r="W33" s="38">
        <f>IF('MK7-MBD'!E41="","",'MK7-MBD'!E41)</f>
        <v>95.2</v>
      </c>
      <c r="X33" s="38">
        <f t="shared" si="9"/>
        <v>91.224999999999994</v>
      </c>
      <c r="Y33" s="77">
        <f>IF(MK8_BID!D41="","",MK8_BID!D41)</f>
        <v>81.400000000000006</v>
      </c>
      <c r="Z33" s="77">
        <f>IF(MK8_BID!E41="","",MK8_BID!E41)</f>
        <v>81.400000000000006</v>
      </c>
      <c r="AA33" s="77">
        <f t="shared" si="10"/>
        <v>81.400000000000006</v>
      </c>
      <c r="AB33" s="78">
        <f>IF('MK16-AGM'!D41="","",'MK16-AGM'!D41)</f>
        <v>87.6</v>
      </c>
      <c r="AC33" s="78">
        <f>IF('MK16-AGM'!E41="","",'MK16-AGM'!E41)</f>
        <v>76</v>
      </c>
      <c r="AD33" s="78">
        <f t="shared" si="11"/>
        <v>81.8</v>
      </c>
      <c r="AF33" s="79"/>
      <c r="AG33" s="80"/>
      <c r="AH33" s="79"/>
      <c r="AI33" s="80"/>
      <c r="AJ33" s="79"/>
      <c r="AK33" s="80"/>
      <c r="AL33" s="79"/>
      <c r="AM33" s="80"/>
      <c r="AN33" s="80"/>
      <c r="AO33" s="80"/>
      <c r="AP33" s="80"/>
      <c r="AQ33" s="80"/>
      <c r="AR33" s="80"/>
      <c r="AS33" s="80"/>
      <c r="AT33" s="80"/>
      <c r="AU33" s="80"/>
      <c r="AV33" s="79"/>
      <c r="AW33" s="80"/>
      <c r="AX33" s="79"/>
      <c r="AY33" s="80"/>
      <c r="AZ33" s="80"/>
      <c r="BA33" s="80"/>
      <c r="BB33" s="79"/>
      <c r="BC33" s="80"/>
      <c r="BD33" s="79"/>
      <c r="BE33" s="80"/>
      <c r="BF33" s="147"/>
      <c r="BG33" s="79"/>
      <c r="BJ33" s="4">
        <f t="shared" si="18"/>
        <v>43.625</v>
      </c>
      <c r="BK33" s="89">
        <f t="shared" si="64"/>
        <v>0.87250000000000005</v>
      </c>
      <c r="BL33" s="4">
        <f t="shared" si="19"/>
        <v>40.700000000000003</v>
      </c>
      <c r="BM33" s="89">
        <f t="shared" si="65"/>
        <v>0.81400000000000006</v>
      </c>
      <c r="BN33" s="81">
        <f t="shared" si="20"/>
        <v>40.700000000000003</v>
      </c>
      <c r="BO33" s="89">
        <f t="shared" si="66"/>
        <v>0.81400000000000006</v>
      </c>
      <c r="BP33" s="81">
        <f t="shared" si="21"/>
        <v>41.25</v>
      </c>
      <c r="BQ33" s="89">
        <f t="shared" si="22"/>
        <v>0.82499999999999996</v>
      </c>
      <c r="BR33" s="4"/>
      <c r="BS33" s="4"/>
      <c r="BT33" s="81">
        <f t="shared" si="67"/>
        <v>43.75</v>
      </c>
      <c r="BU33" s="87">
        <f t="shared" si="23"/>
        <v>0.875</v>
      </c>
      <c r="BV33" s="4"/>
      <c r="BW33" s="4"/>
      <c r="BX33" s="4"/>
      <c r="BY33" s="4"/>
      <c r="BZ33" s="81"/>
      <c r="CA33" s="89"/>
      <c r="CB33" s="81"/>
      <c r="CC33" s="89"/>
      <c r="CD33" s="81"/>
      <c r="CE33" s="89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81">
        <f t="shared" si="26"/>
        <v>43.7</v>
      </c>
      <c r="CQ33" s="87">
        <f t="shared" si="27"/>
        <v>0.87400000000000011</v>
      </c>
      <c r="CR33" s="4">
        <f t="shared" si="28"/>
        <v>43.2</v>
      </c>
      <c r="CS33" s="87">
        <f t="shared" si="29"/>
        <v>0.8640000000000001</v>
      </c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81">
        <f t="shared" si="30"/>
        <v>42.7</v>
      </c>
      <c r="DS33" s="87">
        <f t="shared" si="31"/>
        <v>0.85400000000000009</v>
      </c>
      <c r="DT33" s="4"/>
      <c r="DU33" s="4"/>
      <c r="DV33" s="4"/>
      <c r="DW33" s="4"/>
      <c r="DX33" s="81">
        <f t="shared" si="32"/>
        <v>44.1</v>
      </c>
      <c r="DY33" s="89">
        <f t="shared" si="33"/>
        <v>0.88200000000000001</v>
      </c>
      <c r="DZ33" s="81"/>
      <c r="EA33" s="89"/>
      <c r="EB33" s="81">
        <f t="shared" si="34"/>
        <v>12.280000000000001</v>
      </c>
      <c r="EC33" s="89">
        <f t="shared" si="35"/>
        <v>0.76750000000000007</v>
      </c>
      <c r="ED33" s="80">
        <f t="shared" si="68"/>
        <v>12.68</v>
      </c>
      <c r="EE33" s="89">
        <f t="shared" si="36"/>
        <v>0.79249999999999998</v>
      </c>
      <c r="EF33" s="206">
        <f t="shared" si="69"/>
        <v>22.0792</v>
      </c>
      <c r="EG33" s="89">
        <f t="shared" si="38"/>
        <v>0.84919999999999995</v>
      </c>
      <c r="EH33" s="80">
        <f t="shared" si="70"/>
        <v>16.480799999999999</v>
      </c>
      <c r="EI33" s="89">
        <f t="shared" si="40"/>
        <v>0.78479999999999994</v>
      </c>
      <c r="EJ33" s="4"/>
      <c r="EK33" s="4"/>
      <c r="EL33" s="81">
        <f t="shared" si="71"/>
        <v>17.7807</v>
      </c>
      <c r="EM33" s="87">
        <f t="shared" si="42"/>
        <v>0.84919999999999995</v>
      </c>
      <c r="EN33" s="4"/>
      <c r="EO33" s="4" t="str">
        <f t="shared" si="43"/>
        <v/>
      </c>
      <c r="EP33" s="4"/>
      <c r="EQ33" s="4"/>
      <c r="ER33" s="4">
        <f t="shared" si="44"/>
        <v>37.799999999999997</v>
      </c>
      <c r="ES33" s="87">
        <f t="shared" si="45"/>
        <v>0.75599999999999989</v>
      </c>
      <c r="ET33" s="4">
        <f t="shared" si="46"/>
        <v>34.049999999999997</v>
      </c>
      <c r="EU33" s="87">
        <f t="shared" si="47"/>
        <v>0.68099999999999994</v>
      </c>
      <c r="EV33" s="81"/>
      <c r="EW33" s="89"/>
      <c r="EX33" s="80">
        <f t="shared" si="49"/>
        <v>43.8</v>
      </c>
      <c r="EY33" s="89">
        <f t="shared" si="50"/>
        <v>0.87599999999999989</v>
      </c>
      <c r="EZ33" s="80">
        <f t="shared" si="51"/>
        <v>38</v>
      </c>
      <c r="FA33" s="89">
        <f t="shared" si="52"/>
        <v>0.76</v>
      </c>
      <c r="FB33" s="89"/>
      <c r="FC33" s="89"/>
      <c r="FD33" s="81"/>
      <c r="FE33" s="89"/>
      <c r="FF33" s="191"/>
      <c r="FG33" s="192"/>
      <c r="FH33" s="92"/>
      <c r="FI33" s="92"/>
      <c r="FJ33" s="191"/>
      <c r="FK33" s="192"/>
      <c r="FL33" s="191"/>
      <c r="FM33" s="192"/>
      <c r="FO33" s="101"/>
    </row>
    <row r="34" spans="1:171">
      <c r="A34" s="121">
        <v>24</v>
      </c>
      <c r="B34" s="122" t="s">
        <v>235</v>
      </c>
      <c r="C34" s="122" t="s">
        <v>281</v>
      </c>
      <c r="D34" s="73">
        <f>'MK1-TM'!D42</f>
        <v>85.5</v>
      </c>
      <c r="E34" s="73">
        <f>'MK1-TM'!E42</f>
        <v>85.5</v>
      </c>
      <c r="F34" s="73">
        <f t="shared" si="5"/>
        <v>85.5</v>
      </c>
      <c r="G34" s="91">
        <f>'MK2-TO'!D42</f>
        <v>69.25</v>
      </c>
      <c r="H34" s="91">
        <f>'MK2-TO'!E42</f>
        <v>68.75</v>
      </c>
      <c r="I34" s="91">
        <f>'MK2-TO'!F42</f>
        <v>71.849999999999994</v>
      </c>
      <c r="J34" s="91">
        <f>'MK2-TO'!G42</f>
        <v>63.24</v>
      </c>
      <c r="K34" s="91">
        <f>'MK2-TO'!H42</f>
        <v>72.290000000000006</v>
      </c>
      <c r="L34" s="91">
        <f t="shared" si="6"/>
        <v>69.22229999999999</v>
      </c>
      <c r="M34" s="74">
        <f>'MK3-PSTI'!D42</f>
        <v>75.5</v>
      </c>
      <c r="N34" s="74">
        <f>'MK3-PSTI'!E42</f>
        <v>51</v>
      </c>
      <c r="O34" s="74">
        <f t="shared" si="7"/>
        <v>63.25</v>
      </c>
      <c r="P34" s="75">
        <f>IF('MK4-L&amp;A'!D42="","",'MK4-L&amp;A'!D42)</f>
        <v>78.5</v>
      </c>
      <c r="Q34" s="75">
        <f>IF('MK4-L&amp;A'!E42="","",'MK4-L&amp;A'!E42)</f>
        <v>94.5</v>
      </c>
      <c r="R34" s="75">
        <f t="shared" si="8"/>
        <v>86.5</v>
      </c>
      <c r="S34" s="76">
        <f>IF('MK5-BP'!D42="","",'MK5-BP'!D42)</f>
        <v>91</v>
      </c>
      <c r="T34" s="76">
        <f>IF('MK5-BP'!E42="","",'MK5-BP'!E42)</f>
        <v>91</v>
      </c>
      <c r="U34" s="76">
        <f t="shared" si="58"/>
        <v>91</v>
      </c>
      <c r="V34" s="38">
        <f>IF('MK7-MBD'!D42="","",'MK7-MBD'!D42)</f>
        <v>91.15</v>
      </c>
      <c r="W34" s="38">
        <f>IF('MK7-MBD'!E42="","",'MK7-MBD'!E42)</f>
        <v>91.15</v>
      </c>
      <c r="X34" s="38">
        <f t="shared" si="9"/>
        <v>91.15</v>
      </c>
      <c r="Y34" s="77">
        <f>IF(MK8_BID!D42="","",MK8_BID!D42)</f>
        <v>80.900000000000006</v>
      </c>
      <c r="Z34" s="77">
        <f>IF(MK8_BID!E42="","",MK8_BID!E42)</f>
        <v>80.900000000000006</v>
      </c>
      <c r="AA34" s="77">
        <f t="shared" si="10"/>
        <v>80.900000000000006</v>
      </c>
      <c r="AB34" s="78">
        <f>IF('MK16-AGM'!D42="","",'MK16-AGM'!D42)</f>
        <v>77</v>
      </c>
      <c r="AC34" s="78">
        <f>IF('MK16-AGM'!E42="","",'MK16-AGM'!E42)</f>
        <v>91</v>
      </c>
      <c r="AD34" s="78">
        <f t="shared" si="11"/>
        <v>84</v>
      </c>
      <c r="AF34" s="79"/>
      <c r="AG34" s="80"/>
      <c r="AH34" s="79"/>
      <c r="AI34" s="80"/>
      <c r="AJ34" s="79"/>
      <c r="AK34" s="80"/>
      <c r="AL34" s="79"/>
      <c r="AM34" s="80"/>
      <c r="AN34" s="80"/>
      <c r="AO34" s="80"/>
      <c r="AP34" s="80"/>
      <c r="AQ34" s="80"/>
      <c r="AR34" s="80"/>
      <c r="AS34" s="80"/>
      <c r="AT34" s="80"/>
      <c r="AU34" s="80"/>
      <c r="AV34" s="79"/>
      <c r="AW34" s="80"/>
      <c r="AX34" s="79"/>
      <c r="AY34" s="80"/>
      <c r="AZ34" s="80"/>
      <c r="BA34" s="80"/>
      <c r="BB34" s="79"/>
      <c r="BC34" s="80"/>
      <c r="BD34" s="79"/>
      <c r="BE34" s="80"/>
      <c r="BF34" s="147"/>
      <c r="BG34" s="79"/>
      <c r="BJ34" s="4">
        <f t="shared" si="18"/>
        <v>45.575000000000003</v>
      </c>
      <c r="BK34" s="89">
        <f t="shared" si="64"/>
        <v>0.91150000000000009</v>
      </c>
      <c r="BL34" s="4">
        <f t="shared" si="19"/>
        <v>40.450000000000003</v>
      </c>
      <c r="BM34" s="89">
        <f t="shared" si="65"/>
        <v>0.80900000000000005</v>
      </c>
      <c r="BN34" s="81">
        <f t="shared" si="20"/>
        <v>40.450000000000003</v>
      </c>
      <c r="BO34" s="89">
        <f t="shared" si="66"/>
        <v>0.80900000000000005</v>
      </c>
      <c r="BP34" s="81">
        <f t="shared" si="21"/>
        <v>42.75</v>
      </c>
      <c r="BQ34" s="89">
        <f t="shared" si="22"/>
        <v>0.85499999999999998</v>
      </c>
      <c r="BR34" s="4"/>
      <c r="BS34" s="4"/>
      <c r="BT34" s="81">
        <f t="shared" si="67"/>
        <v>42.75</v>
      </c>
      <c r="BU34" s="87">
        <f t="shared" si="23"/>
        <v>0.85499999999999998</v>
      </c>
      <c r="BV34" s="4"/>
      <c r="BW34" s="4"/>
      <c r="BX34" s="4"/>
      <c r="BY34" s="4"/>
      <c r="BZ34" s="81"/>
      <c r="CA34" s="89"/>
      <c r="CB34" s="81"/>
      <c r="CC34" s="89"/>
      <c r="CD34" s="81"/>
      <c r="CE34" s="89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81">
        <f t="shared" si="26"/>
        <v>39.25</v>
      </c>
      <c r="CQ34" s="87">
        <f t="shared" si="27"/>
        <v>0.78500000000000003</v>
      </c>
      <c r="CR34" s="4">
        <f t="shared" si="28"/>
        <v>47.25</v>
      </c>
      <c r="CS34" s="87">
        <f t="shared" si="29"/>
        <v>0.94499999999999995</v>
      </c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81">
        <f t="shared" si="30"/>
        <v>37.75</v>
      </c>
      <c r="DS34" s="87">
        <f t="shared" si="31"/>
        <v>0.755</v>
      </c>
      <c r="DT34" s="4"/>
      <c r="DU34" s="4"/>
      <c r="DV34" s="4"/>
      <c r="DW34" s="4"/>
      <c r="DX34" s="81">
        <f t="shared" si="32"/>
        <v>25.5</v>
      </c>
      <c r="DY34" s="89">
        <f t="shared" si="33"/>
        <v>0.51</v>
      </c>
      <c r="DZ34" s="81"/>
      <c r="EA34" s="89"/>
      <c r="EB34" s="81">
        <f t="shared" si="34"/>
        <v>11.08</v>
      </c>
      <c r="EC34" s="89">
        <f t="shared" si="35"/>
        <v>0.6925</v>
      </c>
      <c r="ED34" s="80">
        <f t="shared" si="68"/>
        <v>11</v>
      </c>
      <c r="EE34" s="89">
        <f t="shared" si="36"/>
        <v>0.6875</v>
      </c>
      <c r="EF34" s="206">
        <f t="shared" si="69"/>
        <v>18.680999999999997</v>
      </c>
      <c r="EG34" s="89">
        <f t="shared" si="38"/>
        <v>0.71849999999999992</v>
      </c>
      <c r="EH34" s="80">
        <f t="shared" si="70"/>
        <v>13.2804</v>
      </c>
      <c r="EI34" s="89">
        <f t="shared" si="40"/>
        <v>0.63239999999999996</v>
      </c>
      <c r="EJ34" s="4"/>
      <c r="EK34" s="4"/>
      <c r="EL34" s="81">
        <f t="shared" si="71"/>
        <v>15.180900000000001</v>
      </c>
      <c r="EM34" s="87">
        <f t="shared" si="42"/>
        <v>0.71849999999999992</v>
      </c>
      <c r="EN34" s="4"/>
      <c r="EO34" s="4" t="str">
        <f t="shared" si="43"/>
        <v/>
      </c>
      <c r="EP34" s="4"/>
      <c r="EQ34" s="4"/>
      <c r="ER34" s="4">
        <f t="shared" si="44"/>
        <v>45.5</v>
      </c>
      <c r="ES34" s="87">
        <f t="shared" si="45"/>
        <v>0.91</v>
      </c>
      <c r="ET34" s="4">
        <f t="shared" si="46"/>
        <v>45.5</v>
      </c>
      <c r="EU34" s="87">
        <f t="shared" si="47"/>
        <v>0.91</v>
      </c>
      <c r="EV34" s="81"/>
      <c r="EW34" s="89"/>
      <c r="EX34" s="80">
        <f t="shared" si="49"/>
        <v>38.5</v>
      </c>
      <c r="EY34" s="89">
        <f t="shared" si="50"/>
        <v>0.77</v>
      </c>
      <c r="EZ34" s="80">
        <f t="shared" si="51"/>
        <v>45.5</v>
      </c>
      <c r="FA34" s="89">
        <f t="shared" si="52"/>
        <v>0.91</v>
      </c>
      <c r="FB34" s="89"/>
      <c r="FC34" s="89"/>
      <c r="FD34" s="81"/>
      <c r="FE34" s="89"/>
      <c r="FF34" s="191"/>
      <c r="FG34" s="192"/>
      <c r="FH34" s="92"/>
      <c r="FI34" s="92"/>
      <c r="FJ34" s="191"/>
      <c r="FK34" s="192"/>
      <c r="FL34" s="191"/>
      <c r="FM34" s="192"/>
      <c r="FO34" s="101"/>
    </row>
    <row r="35" spans="1:171">
      <c r="A35" s="121">
        <v>25</v>
      </c>
      <c r="B35" s="122" t="s">
        <v>237</v>
      </c>
      <c r="C35" s="122" t="s">
        <v>238</v>
      </c>
      <c r="D35" s="73">
        <f>'MK1-TM'!D43</f>
        <v>83.75</v>
      </c>
      <c r="E35" s="73">
        <f>'MK1-TM'!E43</f>
        <v>83.75</v>
      </c>
      <c r="F35" s="73">
        <f t="shared" si="5"/>
        <v>83.75</v>
      </c>
      <c r="G35" s="91">
        <f>'MK2-TO'!D43</f>
        <v>82.5</v>
      </c>
      <c r="H35" s="91">
        <f>'MK2-TO'!E43</f>
        <v>84.5</v>
      </c>
      <c r="I35" s="91">
        <f>'MK2-TO'!F43</f>
        <v>85.38</v>
      </c>
      <c r="J35" s="91">
        <f>'MK2-TO'!G43</f>
        <v>81.900000000000006</v>
      </c>
      <c r="K35" s="91">
        <f>'MK2-TO'!H43</f>
        <v>85.48</v>
      </c>
      <c r="L35" s="91">
        <f t="shared" si="6"/>
        <v>84.068600000000004</v>
      </c>
      <c r="M35" s="74">
        <f>'MK3-PSTI'!D43</f>
        <v>75.5</v>
      </c>
      <c r="N35" s="74">
        <f>'MK3-PSTI'!E43</f>
        <v>51</v>
      </c>
      <c r="O35" s="74">
        <f t="shared" si="7"/>
        <v>63.25</v>
      </c>
      <c r="P35" s="75">
        <f>IF('MK4-L&amp;A'!D43="","",'MK4-L&amp;A'!D43)</f>
        <v>84.5</v>
      </c>
      <c r="Q35" s="75">
        <f>IF('MK4-L&amp;A'!E43="","",'MK4-L&amp;A'!E43)</f>
        <v>91</v>
      </c>
      <c r="R35" s="75">
        <f t="shared" si="8"/>
        <v>87.75</v>
      </c>
      <c r="S35" s="76">
        <f>IF('MK5-BP'!D43="","",'MK5-BP'!D43)</f>
        <v>95.5</v>
      </c>
      <c r="T35" s="76">
        <f>IF('MK5-BP'!E41="","",'MK5-BP'!E41)</f>
        <v>68.099999999999994</v>
      </c>
      <c r="U35" s="76">
        <f t="shared" si="58"/>
        <v>81.8</v>
      </c>
      <c r="V35" s="38">
        <f>IF('MK7-MBD'!D43="","",'MK7-MBD'!D43)</f>
        <v>88</v>
      </c>
      <c r="W35" s="38">
        <f>IF('MK7-MBD'!E43="","",'MK7-MBD'!E43)</f>
        <v>88</v>
      </c>
      <c r="X35" s="38">
        <f t="shared" si="9"/>
        <v>88</v>
      </c>
      <c r="Y35" s="77">
        <f>IF(MK8_BID!D43="","",MK8_BID!D43)</f>
        <v>88.65</v>
      </c>
      <c r="Z35" s="77">
        <f>IF(MK8_BID!E43="","",MK8_BID!E43)</f>
        <v>88.65</v>
      </c>
      <c r="AA35" s="77">
        <f t="shared" si="10"/>
        <v>88.65</v>
      </c>
      <c r="AB35" s="78">
        <f>IF('MK16-AGM'!D43="","",'MK16-AGM'!D43)</f>
        <v>91</v>
      </c>
      <c r="AC35" s="78">
        <f>IF('MK16-AGM'!E43="","",'MK16-AGM'!E43)</f>
        <v>91</v>
      </c>
      <c r="AD35" s="78">
        <f t="shared" si="11"/>
        <v>91</v>
      </c>
      <c r="AF35" s="79">
        <f t="shared" ref="AF35:AF44" si="72">IFERROR((D35*($D$9/100)+G35*($G$9/100)+M35*($M$9/100)+V35*($V$9/100)),"")</f>
        <v>136.82499999999999</v>
      </c>
      <c r="AG35" s="80">
        <f t="shared" si="59"/>
        <v>63.639534883720927</v>
      </c>
      <c r="AH35" s="79" t="str">
        <f>IFERROR((#REF!*(#REF!/100)),"")</f>
        <v/>
      </c>
      <c r="AI35" s="80" t="str">
        <f t="shared" si="12"/>
        <v/>
      </c>
      <c r="AJ35" s="79">
        <f t="shared" ref="AJ35:AJ43" si="73">IFERROR((P35*($P$9/100)+S35*($S$9/100)),"")</f>
        <v>90</v>
      </c>
      <c r="AK35" s="80">
        <f t="shared" si="14"/>
        <v>90</v>
      </c>
      <c r="AL35" s="79" t="str">
        <f>IFERROR((#REF!*(#REF!/100)),"")</f>
        <v/>
      </c>
      <c r="AM35" s="80" t="str">
        <f t="shared" si="15"/>
        <v/>
      </c>
      <c r="AN35" s="80"/>
      <c r="AO35" s="80"/>
      <c r="AP35" s="80"/>
      <c r="AQ35" s="80"/>
      <c r="AR35" s="80"/>
      <c r="AS35" s="80"/>
      <c r="AT35" s="80"/>
      <c r="AU35" s="80"/>
      <c r="AV35" s="79">
        <f t="shared" ref="AV35:AV43" si="74">IFERROR((Q35*($Q$9/100)+T35*($T$9/100)),"")</f>
        <v>79.55</v>
      </c>
      <c r="AW35" s="80">
        <f t="shared" si="60"/>
        <v>79.55</v>
      </c>
      <c r="AX35" s="79" t="str">
        <f>IFERROR((Y35*($Y$9/100)+AB35*($AB$9/100)+#REF!*(#REF!/100)),"")</f>
        <v/>
      </c>
      <c r="AY35" s="80" t="str">
        <f t="shared" si="17"/>
        <v/>
      </c>
      <c r="AZ35" s="80"/>
      <c r="BA35" s="80"/>
      <c r="BB35" s="79" t="str">
        <f>IFERROR((#REF!*(#REF!/100)+#REF!*(#REF!/100)+#REF!*(#REF!/100)),"")</f>
        <v/>
      </c>
      <c r="BC35" s="80" t="str">
        <f t="shared" si="61"/>
        <v/>
      </c>
      <c r="BD35" s="79">
        <f t="shared" ref="BD35:BD44" si="75">IFERROR((E35*($E$9/100)+K35*($K$9/100)+N35*($N$9/100)+W35*($W$9/100)),"")</f>
        <v>129.32580000000002</v>
      </c>
      <c r="BE35" s="80">
        <f t="shared" si="62"/>
        <v>75.629122807017552</v>
      </c>
      <c r="BF35" s="2" t="str">
        <f>IFERROR((Z35*($Z$9/100)+AC35*($AC$9/100)+#REF!*(#REF!/100)),"")</f>
        <v/>
      </c>
      <c r="BG35" s="79" t="str">
        <f t="shared" si="63"/>
        <v/>
      </c>
      <c r="BJ35" s="4">
        <f t="shared" si="18"/>
        <v>44</v>
      </c>
      <c r="BK35" s="89">
        <f t="shared" si="64"/>
        <v>0.88</v>
      </c>
      <c r="BL35" s="4">
        <f t="shared" si="19"/>
        <v>44.325000000000003</v>
      </c>
      <c r="BM35" s="89">
        <f t="shared" si="65"/>
        <v>0.88650000000000007</v>
      </c>
      <c r="BN35" s="81">
        <f t="shared" si="20"/>
        <v>44.325000000000003</v>
      </c>
      <c r="BO35" s="89">
        <f t="shared" si="66"/>
        <v>0.88650000000000007</v>
      </c>
      <c r="BP35" s="81">
        <f t="shared" si="21"/>
        <v>41.875</v>
      </c>
      <c r="BQ35" s="89">
        <f t="shared" si="22"/>
        <v>0.83750000000000002</v>
      </c>
      <c r="BR35" s="4"/>
      <c r="BS35" s="4"/>
      <c r="BT35" s="81">
        <f t="shared" si="67"/>
        <v>41.875</v>
      </c>
      <c r="BU35" s="87">
        <f t="shared" si="23"/>
        <v>0.83750000000000002</v>
      </c>
      <c r="BV35" s="4"/>
      <c r="BW35" s="4"/>
      <c r="BX35" s="4"/>
      <c r="BY35" s="4"/>
      <c r="BZ35" s="81"/>
      <c r="CA35" s="89" t="str">
        <f t="shared" si="24"/>
        <v/>
      </c>
      <c r="CB35" s="81"/>
      <c r="CC35" s="89"/>
      <c r="CD35" s="81"/>
      <c r="CE35" s="89" t="str">
        <f t="shared" si="25"/>
        <v/>
      </c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81">
        <f t="shared" si="26"/>
        <v>42.25</v>
      </c>
      <c r="CQ35" s="87">
        <f t="shared" si="27"/>
        <v>0.84499999999999997</v>
      </c>
      <c r="CR35" s="4">
        <f t="shared" si="28"/>
        <v>45.5</v>
      </c>
      <c r="CS35" s="87">
        <f t="shared" si="29"/>
        <v>0.91</v>
      </c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81">
        <f t="shared" si="30"/>
        <v>37.75</v>
      </c>
      <c r="DS35" s="87">
        <f t="shared" si="31"/>
        <v>0.755</v>
      </c>
      <c r="DT35" s="4"/>
      <c r="DU35" s="4"/>
      <c r="DV35" s="4"/>
      <c r="DW35" s="4"/>
      <c r="DX35" s="81">
        <f t="shared" si="32"/>
        <v>25.5</v>
      </c>
      <c r="DY35" s="89">
        <f t="shared" si="33"/>
        <v>0.51</v>
      </c>
      <c r="DZ35" s="81"/>
      <c r="EA35" s="89"/>
      <c r="EB35" s="81">
        <f t="shared" si="34"/>
        <v>13.200000000000001</v>
      </c>
      <c r="EC35" s="89">
        <f t="shared" si="35"/>
        <v>0.82500000000000007</v>
      </c>
      <c r="ED35" s="80">
        <f t="shared" si="68"/>
        <v>13.52</v>
      </c>
      <c r="EE35" s="89">
        <f t="shared" si="36"/>
        <v>0.84499999999999997</v>
      </c>
      <c r="EF35" s="206">
        <f t="shared" si="69"/>
        <v>22.198799999999999</v>
      </c>
      <c r="EG35" s="89">
        <f t="shared" si="38"/>
        <v>0.85379999999999989</v>
      </c>
      <c r="EH35" s="80">
        <f t="shared" si="70"/>
        <v>17.199000000000002</v>
      </c>
      <c r="EI35" s="89">
        <f t="shared" si="40"/>
        <v>0.81900000000000006</v>
      </c>
      <c r="EJ35" s="4"/>
      <c r="EK35" s="4"/>
      <c r="EL35" s="81">
        <f t="shared" si="71"/>
        <v>17.950800000000001</v>
      </c>
      <c r="EM35" s="87">
        <f t="shared" si="42"/>
        <v>0.85379999999999989</v>
      </c>
      <c r="EN35" s="4"/>
      <c r="EO35" s="4" t="str">
        <f t="shared" si="43"/>
        <v/>
      </c>
      <c r="EP35" s="4"/>
      <c r="EQ35" s="4"/>
      <c r="ER35" s="4">
        <f t="shared" si="44"/>
        <v>47.75</v>
      </c>
      <c r="ES35" s="87">
        <f t="shared" si="45"/>
        <v>0.95499999999999996</v>
      </c>
      <c r="ET35" s="4">
        <f t="shared" si="46"/>
        <v>34.049999999999997</v>
      </c>
      <c r="EU35" s="87">
        <f t="shared" si="47"/>
        <v>0.68099999999999994</v>
      </c>
      <c r="EV35" s="81" t="str">
        <f>IFERROR(IF(#REF!="","",IFERROR(#REF!*(#REF!/100),"")),"")</f>
        <v/>
      </c>
      <c r="EW35" s="89" t="str">
        <f t="shared" si="48"/>
        <v/>
      </c>
      <c r="EX35" s="80">
        <f t="shared" si="49"/>
        <v>45.5</v>
      </c>
      <c r="EY35" s="89">
        <f t="shared" si="50"/>
        <v>0.91</v>
      </c>
      <c r="EZ35" s="80">
        <f t="shared" si="51"/>
        <v>45.5</v>
      </c>
      <c r="FA35" s="89">
        <f t="shared" si="52"/>
        <v>0.91</v>
      </c>
      <c r="FB35" s="89"/>
      <c r="FC35" s="89"/>
      <c r="FD35" s="81" t="str">
        <f>IFERROR(IF(#REF!="","",IFERROR(#REF!*(#REF!/100),""))+IF(#REF!="","",IFERROR(#REF!*(#REF!/100),"")),"")</f>
        <v/>
      </c>
      <c r="FE35" s="89" t="str">
        <f t="shared" si="53"/>
        <v/>
      </c>
      <c r="FF35" s="191">
        <f t="shared" ref="FF35:FF43" si="76">IFERROR(IF(E35="","",IFERROR(E35*($E$9/100),""))+IF(K35="","",IFERROR(K35*($K$9/100),""))+IF(N35="","",IFERROR(N35*($N$9/100),""))+IF(W35="","",IFERROR(W35*($W$9/100),"")),"")</f>
        <v>129.32580000000002</v>
      </c>
      <c r="FG35" s="192">
        <f t="shared" si="54"/>
        <v>0.75629122807017557</v>
      </c>
      <c r="FH35" s="92"/>
      <c r="FI35" s="92"/>
      <c r="FJ35" s="191" t="str">
        <f>IFERROR(IF(AC35="","",IFERROR(AC35*($AC$9/100),""))+IF(#REF!="","",IFERROR(#REF!*(#REF!/100),"")),"")</f>
        <v/>
      </c>
      <c r="FK35" s="192" t="str">
        <f t="shared" si="55"/>
        <v/>
      </c>
      <c r="FL35" s="191">
        <f t="shared" ref="FL35:FL43" si="77">IFERROR(IF(Z35="","",IFERROR(Z35*($Z$9/100),"")),"")</f>
        <v>44.325000000000003</v>
      </c>
      <c r="FM35" s="192">
        <f t="shared" si="56"/>
        <v>0.88650000000000007</v>
      </c>
      <c r="FN35" s="190">
        <f t="shared" ref="FN35:FN43" si="78">SUM(BJ35:FL35)</f>
        <v>813.67629122807023</v>
      </c>
      <c r="FO35" s="101" t="e">
        <f t="shared" si="57"/>
        <v>#REF!</v>
      </c>
    </row>
    <row r="36" spans="1:171">
      <c r="A36" s="121">
        <v>26</v>
      </c>
      <c r="B36" s="122" t="s">
        <v>239</v>
      </c>
      <c r="C36" s="122" t="s">
        <v>240</v>
      </c>
      <c r="D36" s="73">
        <f>'MK1-TM'!D44</f>
        <v>80.25</v>
      </c>
      <c r="E36" s="73">
        <f>'MK1-TM'!E44</f>
        <v>80.25</v>
      </c>
      <c r="F36" s="73">
        <f t="shared" si="5"/>
        <v>80.25</v>
      </c>
      <c r="G36" s="91">
        <f>'MK2-TO'!D44</f>
        <v>76.25</v>
      </c>
      <c r="H36" s="91">
        <f>'MK2-TO'!E44</f>
        <v>75</v>
      </c>
      <c r="I36" s="91">
        <f>'MK2-TO'!F44</f>
        <v>64.62</v>
      </c>
      <c r="J36" s="91">
        <f>'MK2-TO'!G44</f>
        <v>72.86</v>
      </c>
      <c r="K36" s="91">
        <f>'MK2-TO'!H44</f>
        <v>66.709999999999994</v>
      </c>
      <c r="L36" s="91">
        <f t="shared" si="6"/>
        <v>70.310900000000004</v>
      </c>
      <c r="M36" s="74">
        <f>'MK3-PSTI'!D44</f>
        <v>75.5</v>
      </c>
      <c r="N36" s="74">
        <f>'MK3-PSTI'!E44</f>
        <v>51</v>
      </c>
      <c r="O36" s="74">
        <f t="shared" si="7"/>
        <v>63.25</v>
      </c>
      <c r="P36" s="75">
        <f>IF('MK4-L&amp;A'!D44="","",'MK4-L&amp;A'!D44)</f>
        <v>74</v>
      </c>
      <c r="Q36" s="75">
        <f>IF('MK4-L&amp;A'!E44="","",'MK4-L&amp;A'!E44)</f>
        <v>82</v>
      </c>
      <c r="R36" s="75">
        <f t="shared" si="8"/>
        <v>78</v>
      </c>
      <c r="S36" s="76">
        <f>IF('MK5-BP'!D44="","",'MK5-BP'!D44)</f>
        <v>95.5</v>
      </c>
      <c r="T36" s="76">
        <f>IF('MK5-BP'!E42="","",'MK5-BP'!E42)</f>
        <v>91</v>
      </c>
      <c r="U36" s="76">
        <f t="shared" si="58"/>
        <v>93.25</v>
      </c>
      <c r="V36" s="38">
        <f>IF('MK7-MBD'!D44="","",'MK7-MBD'!D44)</f>
        <v>90.1</v>
      </c>
      <c r="W36" s="38">
        <f>IF('MK7-MBD'!E44="","",'MK7-MBD'!E44)</f>
        <v>90.1</v>
      </c>
      <c r="X36" s="38">
        <f t="shared" si="9"/>
        <v>90.1</v>
      </c>
      <c r="Y36" s="77">
        <f>IF(MK8_BID!D41="","",MK8_BID!D41)</f>
        <v>81.400000000000006</v>
      </c>
      <c r="Z36" s="77">
        <f>IF(MK8_BID!E41="","",MK8_BID!E41)</f>
        <v>81.400000000000006</v>
      </c>
      <c r="AA36" s="77">
        <f t="shared" si="10"/>
        <v>81.400000000000006</v>
      </c>
      <c r="AB36" s="78">
        <f>IF('MK16-AGM'!D44="","",'MK16-AGM'!D44)</f>
        <v>93.5</v>
      </c>
      <c r="AC36" s="78">
        <f>IF('MK16-AGM'!E44="","",'MK16-AGM'!E44)</f>
        <v>92</v>
      </c>
      <c r="AD36" s="78">
        <f t="shared" si="11"/>
        <v>92.75</v>
      </c>
      <c r="AF36" s="79">
        <f t="shared" si="72"/>
        <v>135.125</v>
      </c>
      <c r="AG36" s="80">
        <f t="shared" si="59"/>
        <v>62.848837209302324</v>
      </c>
      <c r="AH36" s="79" t="str">
        <f>IFERROR((#REF!*(#REF!/100)),"")</f>
        <v/>
      </c>
      <c r="AI36" s="80" t="str">
        <f t="shared" si="12"/>
        <v/>
      </c>
      <c r="AJ36" s="79">
        <f t="shared" si="73"/>
        <v>84.75</v>
      </c>
      <c r="AK36" s="80">
        <f t="shared" si="14"/>
        <v>84.75</v>
      </c>
      <c r="AL36" s="79" t="str">
        <f>IFERROR((#REF!*(#REF!/100)),"")</f>
        <v/>
      </c>
      <c r="AM36" s="80" t="str">
        <f t="shared" si="15"/>
        <v/>
      </c>
      <c r="AN36" s="80"/>
      <c r="AO36" s="80"/>
      <c r="AP36" s="80"/>
      <c r="AQ36" s="80"/>
      <c r="AR36" s="80"/>
      <c r="AS36" s="80"/>
      <c r="AT36" s="80"/>
      <c r="AU36" s="80"/>
      <c r="AV36" s="79">
        <f t="shared" si="74"/>
        <v>86.5</v>
      </c>
      <c r="AW36" s="80">
        <f t="shared" si="60"/>
        <v>86.5</v>
      </c>
      <c r="AX36" s="79" t="str">
        <f>IFERROR((Y36*($Y$9/100)+AB36*($AB$9/100)+#REF!*(#REF!/100)),"")</f>
        <v/>
      </c>
      <c r="AY36" s="80" t="str">
        <f t="shared" si="17"/>
        <v/>
      </c>
      <c r="AZ36" s="80"/>
      <c r="BA36" s="80"/>
      <c r="BB36" s="79" t="str">
        <f>IFERROR((#REF!*(#REF!/100)+#REF!*(#REF!/100)+#REF!*(#REF!/100)),"")</f>
        <v/>
      </c>
      <c r="BC36" s="80" t="str">
        <f t="shared" si="61"/>
        <v/>
      </c>
      <c r="BD36" s="79">
        <f t="shared" si="75"/>
        <v>124.68409999999999</v>
      </c>
      <c r="BE36" s="80">
        <f t="shared" si="62"/>
        <v>72.914678362573099</v>
      </c>
      <c r="BF36" s="2" t="str">
        <f>IFERROR((Z36*($Z$9/100)+AC36*($AC$9/100)+#REF!*(#REF!/100)),"")</f>
        <v/>
      </c>
      <c r="BG36" s="79" t="str">
        <f t="shared" si="63"/>
        <v/>
      </c>
      <c r="BJ36" s="4">
        <f t="shared" si="18"/>
        <v>45.05</v>
      </c>
      <c r="BK36" s="89">
        <f t="shared" si="64"/>
        <v>0.90099999999999991</v>
      </c>
      <c r="BL36" s="4">
        <f t="shared" si="19"/>
        <v>40.700000000000003</v>
      </c>
      <c r="BM36" s="89">
        <f t="shared" si="65"/>
        <v>0.81400000000000006</v>
      </c>
      <c r="BN36" s="81">
        <f t="shared" si="20"/>
        <v>40.700000000000003</v>
      </c>
      <c r="BO36" s="89">
        <f t="shared" si="66"/>
        <v>0.81400000000000006</v>
      </c>
      <c r="BP36" s="81">
        <f t="shared" si="21"/>
        <v>40.125</v>
      </c>
      <c r="BQ36" s="89">
        <f t="shared" si="22"/>
        <v>0.80249999999999999</v>
      </c>
      <c r="BR36" s="4"/>
      <c r="BS36" s="4"/>
      <c r="BT36" s="81">
        <f t="shared" si="67"/>
        <v>40.125</v>
      </c>
      <c r="BU36" s="87">
        <f t="shared" si="23"/>
        <v>0.80249999999999999</v>
      </c>
      <c r="BV36" s="4"/>
      <c r="BW36" s="4"/>
      <c r="BX36" s="4"/>
      <c r="BY36" s="4"/>
      <c r="BZ36" s="81"/>
      <c r="CA36" s="89" t="str">
        <f t="shared" si="24"/>
        <v/>
      </c>
      <c r="CB36" s="81"/>
      <c r="CC36" s="89"/>
      <c r="CD36" s="81"/>
      <c r="CE36" s="89" t="str">
        <f t="shared" si="25"/>
        <v/>
      </c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81">
        <f t="shared" si="26"/>
        <v>37</v>
      </c>
      <c r="CQ36" s="87">
        <f t="shared" si="27"/>
        <v>0.74</v>
      </c>
      <c r="CR36" s="4">
        <f t="shared" si="28"/>
        <v>41</v>
      </c>
      <c r="CS36" s="87">
        <f t="shared" si="29"/>
        <v>0.82</v>
      </c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81">
        <f t="shared" si="30"/>
        <v>37.75</v>
      </c>
      <c r="DS36" s="87">
        <f t="shared" si="31"/>
        <v>0.755</v>
      </c>
      <c r="DT36" s="4"/>
      <c r="DU36" s="4"/>
      <c r="DV36" s="4"/>
      <c r="DW36" s="4"/>
      <c r="DX36" s="81">
        <f t="shared" si="32"/>
        <v>25.5</v>
      </c>
      <c r="DY36" s="89">
        <f t="shared" si="33"/>
        <v>0.51</v>
      </c>
      <c r="DZ36" s="81"/>
      <c r="EA36" s="89"/>
      <c r="EB36" s="81">
        <f t="shared" si="34"/>
        <v>12.200000000000001</v>
      </c>
      <c r="EC36" s="89">
        <f t="shared" si="35"/>
        <v>0.76250000000000007</v>
      </c>
      <c r="ED36" s="80">
        <f t="shared" si="68"/>
        <v>12</v>
      </c>
      <c r="EE36" s="89">
        <f t="shared" si="36"/>
        <v>0.75</v>
      </c>
      <c r="EF36" s="206">
        <f t="shared" si="69"/>
        <v>16.801200000000001</v>
      </c>
      <c r="EG36" s="89">
        <f t="shared" si="38"/>
        <v>0.64620000000000011</v>
      </c>
      <c r="EH36" s="80">
        <f t="shared" si="70"/>
        <v>15.300599999999999</v>
      </c>
      <c r="EI36" s="89">
        <f t="shared" si="40"/>
        <v>0.72859999999999991</v>
      </c>
      <c r="EJ36" s="4"/>
      <c r="EK36" s="4"/>
      <c r="EL36" s="81">
        <f t="shared" si="71"/>
        <v>14.009099999999998</v>
      </c>
      <c r="EM36" s="87">
        <f t="shared" si="42"/>
        <v>0.64620000000000011</v>
      </c>
      <c r="EN36" s="4"/>
      <c r="EO36" s="4" t="str">
        <f t="shared" si="43"/>
        <v/>
      </c>
      <c r="EP36" s="4"/>
      <c r="EQ36" s="4"/>
      <c r="ER36" s="4">
        <f t="shared" si="44"/>
        <v>47.75</v>
      </c>
      <c r="ES36" s="87">
        <f t="shared" si="45"/>
        <v>0.95499999999999996</v>
      </c>
      <c r="ET36" s="4">
        <f t="shared" si="46"/>
        <v>45.5</v>
      </c>
      <c r="EU36" s="87">
        <f t="shared" si="47"/>
        <v>0.91</v>
      </c>
      <c r="EV36" s="81" t="str">
        <f>IFERROR(IF(#REF!="","",IFERROR(#REF!*(#REF!/100),"")),"")</f>
        <v/>
      </c>
      <c r="EW36" s="89" t="str">
        <f t="shared" si="48"/>
        <v/>
      </c>
      <c r="EX36" s="80">
        <f t="shared" si="49"/>
        <v>46.75</v>
      </c>
      <c r="EY36" s="89">
        <f t="shared" si="50"/>
        <v>0.93500000000000005</v>
      </c>
      <c r="EZ36" s="80">
        <f t="shared" si="51"/>
        <v>46</v>
      </c>
      <c r="FA36" s="89">
        <f t="shared" si="52"/>
        <v>0.92</v>
      </c>
      <c r="FB36" s="89"/>
      <c r="FC36" s="89"/>
      <c r="FD36" s="81" t="str">
        <f>IFERROR(IF(#REF!="","",IFERROR(#REF!*(#REF!/100),""))+IF(#REF!="","",IFERROR(#REF!*(#REF!/100),"")),"")</f>
        <v/>
      </c>
      <c r="FE36" s="89" t="str">
        <f t="shared" si="53"/>
        <v/>
      </c>
      <c r="FF36" s="191">
        <f t="shared" si="76"/>
        <v>124.68409999999999</v>
      </c>
      <c r="FG36" s="192">
        <f t="shared" si="54"/>
        <v>0.72914678362573093</v>
      </c>
      <c r="FH36" s="92"/>
      <c r="FI36" s="92"/>
      <c r="FJ36" s="191" t="str">
        <f>IFERROR(IF(AC36="","",IFERROR(AC36*($AC$9/100),""))+IF(#REF!="","",IFERROR(#REF!*(#REF!/100),"")),"")</f>
        <v/>
      </c>
      <c r="FK36" s="192" t="str">
        <f t="shared" si="55"/>
        <v/>
      </c>
      <c r="FL36" s="191">
        <f t="shared" si="77"/>
        <v>40.700000000000003</v>
      </c>
      <c r="FM36" s="192">
        <f t="shared" si="56"/>
        <v>0.81400000000000006</v>
      </c>
      <c r="FN36" s="190">
        <f t="shared" si="78"/>
        <v>784.58664678362561</v>
      </c>
      <c r="FO36" s="101" t="e">
        <f t="shared" si="57"/>
        <v>#REF!</v>
      </c>
    </row>
    <row r="37" spans="1:171">
      <c r="A37" s="121">
        <v>27</v>
      </c>
      <c r="B37" s="122" t="s">
        <v>241</v>
      </c>
      <c r="C37" s="122" t="s">
        <v>242</v>
      </c>
      <c r="D37" s="73">
        <f>'MK1-TM'!D45</f>
        <v>83.75</v>
      </c>
      <c r="E37" s="73">
        <f>'MK1-TM'!E45</f>
        <v>83.75</v>
      </c>
      <c r="F37" s="73">
        <f t="shared" si="5"/>
        <v>83.75</v>
      </c>
      <c r="G37" s="91">
        <f>'MK2-TO'!D45</f>
        <v>76.25</v>
      </c>
      <c r="H37" s="91">
        <f>'MK2-TO'!E45</f>
        <v>73.75</v>
      </c>
      <c r="I37" s="91">
        <f>'MK2-TO'!F45</f>
        <v>72.31</v>
      </c>
      <c r="J37" s="91">
        <f>'MK2-TO'!G45</f>
        <v>73.81</v>
      </c>
      <c r="K37" s="91">
        <f>'MK2-TO'!H45</f>
        <v>72.86</v>
      </c>
      <c r="L37" s="91">
        <f t="shared" si="6"/>
        <v>73.601300000000009</v>
      </c>
      <c r="M37" s="74">
        <f>'MK3-PSTI'!D45</f>
        <v>82.5</v>
      </c>
      <c r="N37" s="74">
        <f>'MK3-PSTI'!E45</f>
        <v>72</v>
      </c>
      <c r="O37" s="74">
        <f t="shared" si="7"/>
        <v>77.25</v>
      </c>
      <c r="P37" s="75">
        <f>IF('MK4-L&amp;A'!D45="","",'MK4-L&amp;A'!D45)</f>
        <v>81</v>
      </c>
      <c r="Q37" s="75">
        <f>IF('MK4-L&amp;A'!E45="","",'MK4-L&amp;A'!E45)</f>
        <v>91</v>
      </c>
      <c r="R37" s="75">
        <f t="shared" si="8"/>
        <v>86</v>
      </c>
      <c r="S37" s="76">
        <f>IF('MK5-BP'!D45="","",'MK5-BP'!D45)</f>
        <v>91</v>
      </c>
      <c r="T37" s="76">
        <f>IF('MK5-BP'!E43="","",'MK5-BP'!E43)</f>
        <v>95.5</v>
      </c>
      <c r="U37" s="76">
        <f t="shared" si="58"/>
        <v>93.25</v>
      </c>
      <c r="V37" s="38">
        <f>IF('MK7-MBD'!D45="","",'MK7-MBD'!D45)</f>
        <v>93.2</v>
      </c>
      <c r="W37" s="38">
        <f>IF('MK7-MBD'!E45="","",'MK7-MBD'!E45)</f>
        <v>93.2</v>
      </c>
      <c r="X37" s="38">
        <f t="shared" si="9"/>
        <v>93.2</v>
      </c>
      <c r="Y37" s="77">
        <f>IF(MK8_BID!D42="","",MK8_BID!D42)</f>
        <v>80.900000000000006</v>
      </c>
      <c r="Z37" s="77">
        <f>IF(MK8_BID!E42="","",MK8_BID!E42)</f>
        <v>80.900000000000006</v>
      </c>
      <c r="AA37" s="77">
        <f t="shared" si="10"/>
        <v>80.900000000000006</v>
      </c>
      <c r="AB37" s="78">
        <f>IF('MK16-AGM'!D45="","",'MK16-AGM'!D45)</f>
        <v>91</v>
      </c>
      <c r="AC37" s="78">
        <f>IF('MK16-AGM'!E45="","",'MK16-AGM'!E45)</f>
        <v>91</v>
      </c>
      <c r="AD37" s="78">
        <f t="shared" si="11"/>
        <v>91</v>
      </c>
      <c r="AF37" s="79">
        <f t="shared" si="72"/>
        <v>141.92500000000001</v>
      </c>
      <c r="AG37" s="80">
        <f t="shared" si="59"/>
        <v>66.011627906976742</v>
      </c>
      <c r="AH37" s="79" t="str">
        <f>IFERROR((#REF!*(#REF!/100)),"")</f>
        <v/>
      </c>
      <c r="AI37" s="80" t="str">
        <f t="shared" si="12"/>
        <v/>
      </c>
      <c r="AJ37" s="79">
        <f t="shared" si="73"/>
        <v>86</v>
      </c>
      <c r="AK37" s="80">
        <f t="shared" si="14"/>
        <v>86</v>
      </c>
      <c r="AL37" s="79" t="str">
        <f>IFERROR((#REF!*(#REF!/100)),"")</f>
        <v/>
      </c>
      <c r="AM37" s="80" t="str">
        <f t="shared" si="15"/>
        <v/>
      </c>
      <c r="AN37" s="80"/>
      <c r="AO37" s="80"/>
      <c r="AP37" s="80"/>
      <c r="AQ37" s="80"/>
      <c r="AR37" s="80"/>
      <c r="AS37" s="80"/>
      <c r="AT37" s="80"/>
      <c r="AU37" s="80"/>
      <c r="AV37" s="79">
        <f t="shared" si="74"/>
        <v>93.25</v>
      </c>
      <c r="AW37" s="80">
        <f t="shared" si="60"/>
        <v>93.25</v>
      </c>
      <c r="AX37" s="79" t="str">
        <f>IFERROR((Y37*($Y$9/100)+AB37*($AB$9/100)+#REF!*(#REF!/100)),"")</f>
        <v/>
      </c>
      <c r="AY37" s="80" t="str">
        <f t="shared" si="17"/>
        <v/>
      </c>
      <c r="AZ37" s="80"/>
      <c r="BA37" s="80"/>
      <c r="BB37" s="79" t="str">
        <f>IFERROR((#REF!*(#REF!/100)+#REF!*(#REF!/100)+#REF!*(#REF!/100)),"")</f>
        <v/>
      </c>
      <c r="BC37" s="80" t="str">
        <f t="shared" si="61"/>
        <v/>
      </c>
      <c r="BD37" s="79">
        <f t="shared" si="75"/>
        <v>139.7756</v>
      </c>
      <c r="BE37" s="80">
        <f t="shared" si="62"/>
        <v>81.740116959064324</v>
      </c>
      <c r="BF37" s="2" t="str">
        <f>IFERROR((Z37*($Z$9/100)+AC37*($AC$9/100)+#REF!*(#REF!/100)),"")</f>
        <v/>
      </c>
      <c r="BG37" s="79" t="str">
        <f t="shared" si="63"/>
        <v/>
      </c>
      <c r="BJ37" s="4">
        <f t="shared" si="18"/>
        <v>46.6</v>
      </c>
      <c r="BK37" s="89">
        <f t="shared" si="64"/>
        <v>0.93200000000000005</v>
      </c>
      <c r="BL37" s="4">
        <f t="shared" si="19"/>
        <v>40.450000000000003</v>
      </c>
      <c r="BM37" s="89">
        <f t="shared" si="65"/>
        <v>0.80900000000000005</v>
      </c>
      <c r="BN37" s="81">
        <f t="shared" si="20"/>
        <v>40.450000000000003</v>
      </c>
      <c r="BO37" s="89">
        <f t="shared" si="66"/>
        <v>0.80900000000000005</v>
      </c>
      <c r="BP37" s="81">
        <f t="shared" si="21"/>
        <v>41.875</v>
      </c>
      <c r="BQ37" s="89">
        <f t="shared" si="22"/>
        <v>0.83750000000000002</v>
      </c>
      <c r="BR37" s="4"/>
      <c r="BS37" s="4"/>
      <c r="BT37" s="81">
        <f t="shared" si="67"/>
        <v>41.875</v>
      </c>
      <c r="BU37" s="87">
        <f t="shared" si="23"/>
        <v>0.83750000000000002</v>
      </c>
      <c r="BV37" s="4"/>
      <c r="BW37" s="4"/>
      <c r="BX37" s="4"/>
      <c r="BY37" s="4"/>
      <c r="BZ37" s="81"/>
      <c r="CA37" s="89" t="str">
        <f t="shared" si="24"/>
        <v/>
      </c>
      <c r="CB37" s="81"/>
      <c r="CC37" s="89"/>
      <c r="CD37" s="81"/>
      <c r="CE37" s="89" t="str">
        <f t="shared" si="25"/>
        <v/>
      </c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81">
        <f t="shared" si="26"/>
        <v>40.5</v>
      </c>
      <c r="CQ37" s="87">
        <f t="shared" si="27"/>
        <v>0.81</v>
      </c>
      <c r="CR37" s="4">
        <f t="shared" si="28"/>
        <v>45.5</v>
      </c>
      <c r="CS37" s="87">
        <f t="shared" si="29"/>
        <v>0.91</v>
      </c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81">
        <f t="shared" si="30"/>
        <v>41.25</v>
      </c>
      <c r="DS37" s="87">
        <f t="shared" si="31"/>
        <v>0.82499999999999996</v>
      </c>
      <c r="DT37" s="4"/>
      <c r="DU37" s="4"/>
      <c r="DV37" s="4"/>
      <c r="DW37" s="4"/>
      <c r="DX37" s="81">
        <f t="shared" si="32"/>
        <v>36</v>
      </c>
      <c r="DY37" s="89">
        <f t="shared" si="33"/>
        <v>0.72</v>
      </c>
      <c r="DZ37" s="81"/>
      <c r="EA37" s="89"/>
      <c r="EB37" s="81">
        <f t="shared" si="34"/>
        <v>12.200000000000001</v>
      </c>
      <c r="EC37" s="89">
        <f t="shared" si="35"/>
        <v>0.76250000000000007</v>
      </c>
      <c r="ED37" s="80">
        <f t="shared" si="68"/>
        <v>11.8</v>
      </c>
      <c r="EE37" s="89">
        <f t="shared" si="36"/>
        <v>0.73750000000000004</v>
      </c>
      <c r="EF37" s="206">
        <f t="shared" si="69"/>
        <v>18.800600000000003</v>
      </c>
      <c r="EG37" s="89">
        <f t="shared" si="38"/>
        <v>0.72310000000000008</v>
      </c>
      <c r="EH37" s="80">
        <f t="shared" si="70"/>
        <v>15.5001</v>
      </c>
      <c r="EI37" s="89">
        <f t="shared" si="40"/>
        <v>0.73809999999999998</v>
      </c>
      <c r="EJ37" s="4"/>
      <c r="EK37" s="4"/>
      <c r="EL37" s="81">
        <f t="shared" si="71"/>
        <v>15.300599999999999</v>
      </c>
      <c r="EM37" s="87">
        <f t="shared" si="42"/>
        <v>0.72310000000000008</v>
      </c>
      <c r="EN37" s="4"/>
      <c r="EO37" s="4" t="str">
        <f t="shared" si="43"/>
        <v/>
      </c>
      <c r="EP37" s="4"/>
      <c r="EQ37" s="4"/>
      <c r="ER37" s="4">
        <f t="shared" si="44"/>
        <v>45.5</v>
      </c>
      <c r="ES37" s="87">
        <f t="shared" si="45"/>
        <v>0.91</v>
      </c>
      <c r="ET37" s="4">
        <f t="shared" si="46"/>
        <v>47.75</v>
      </c>
      <c r="EU37" s="87">
        <f t="shared" si="47"/>
        <v>0.95499999999999996</v>
      </c>
      <c r="EV37" s="81" t="str">
        <f>IFERROR(IF(#REF!="","",IFERROR(#REF!*(#REF!/100),"")),"")</f>
        <v/>
      </c>
      <c r="EW37" s="89" t="str">
        <f t="shared" si="48"/>
        <v/>
      </c>
      <c r="EX37" s="80">
        <f t="shared" si="49"/>
        <v>45.5</v>
      </c>
      <c r="EY37" s="89">
        <f t="shared" si="50"/>
        <v>0.91</v>
      </c>
      <c r="EZ37" s="80">
        <f t="shared" si="51"/>
        <v>45.5</v>
      </c>
      <c r="FA37" s="89">
        <f t="shared" si="52"/>
        <v>0.91</v>
      </c>
      <c r="FB37" s="89"/>
      <c r="FC37" s="89"/>
      <c r="FD37" s="81" t="str">
        <f>IFERROR(IF(#REF!="","",IFERROR(#REF!*(#REF!/100),""))+IF(#REF!="","",IFERROR(#REF!*(#REF!/100),"")),"")</f>
        <v/>
      </c>
      <c r="FE37" s="89" t="str">
        <f t="shared" si="53"/>
        <v/>
      </c>
      <c r="FF37" s="191">
        <f t="shared" si="76"/>
        <v>139.7756</v>
      </c>
      <c r="FG37" s="192">
        <f t="shared" si="54"/>
        <v>0.81740116959064324</v>
      </c>
      <c r="FH37" s="92"/>
      <c r="FI37" s="92"/>
      <c r="FJ37" s="191" t="str">
        <f>IFERROR(IF(AC37="","",IFERROR(AC37*($AC$9/100),""))+IF(#REF!="","",IFERROR(#REF!*(#REF!/100),"")),"")</f>
        <v/>
      </c>
      <c r="FK37" s="192" t="str">
        <f t="shared" si="55"/>
        <v/>
      </c>
      <c r="FL37" s="191">
        <f t="shared" si="77"/>
        <v>40.450000000000003</v>
      </c>
      <c r="FM37" s="192">
        <f t="shared" si="56"/>
        <v>0.80900000000000005</v>
      </c>
      <c r="FN37" s="190">
        <f t="shared" si="78"/>
        <v>828.25360116959075</v>
      </c>
      <c r="FO37" s="101" t="e">
        <f t="shared" si="57"/>
        <v>#REF!</v>
      </c>
    </row>
    <row r="38" spans="1:171">
      <c r="A38" s="121">
        <v>28</v>
      </c>
      <c r="B38" s="122" t="s">
        <v>243</v>
      </c>
      <c r="C38" s="122" t="s">
        <v>244</v>
      </c>
      <c r="D38" s="73">
        <f>'MK1-TM'!D46</f>
        <v>83.75</v>
      </c>
      <c r="E38" s="73">
        <f>'MK1-TM'!E46</f>
        <v>83.75</v>
      </c>
      <c r="F38" s="73">
        <f t="shared" si="5"/>
        <v>83.75</v>
      </c>
      <c r="G38" s="91">
        <f>'MK2-TO'!D46</f>
        <v>72.25</v>
      </c>
      <c r="H38" s="91">
        <f>'MK2-TO'!E46</f>
        <v>72.25</v>
      </c>
      <c r="I38" s="91">
        <f>'MK2-TO'!F46</f>
        <v>72.150000000000006</v>
      </c>
      <c r="J38" s="91">
        <f>'MK2-TO'!G46</f>
        <v>72.67</v>
      </c>
      <c r="K38" s="91">
        <f>'MK2-TO'!H46</f>
        <v>71.95</v>
      </c>
      <c r="L38" s="91">
        <f t="shared" si="6"/>
        <v>72.249200000000002</v>
      </c>
      <c r="M38" s="74">
        <f>'MK3-PSTI'!D46</f>
        <v>10</v>
      </c>
      <c r="N38" s="74">
        <f>'MK3-PSTI'!E46</f>
        <v>10</v>
      </c>
      <c r="O38" s="74">
        <f t="shared" si="7"/>
        <v>10</v>
      </c>
      <c r="P38" s="75">
        <f>IF('MK4-L&amp;A'!D46="","",'MK4-L&amp;A'!D46)</f>
        <v>10</v>
      </c>
      <c r="Q38" s="75">
        <f>IF('MK4-L&amp;A'!E46="","",'MK4-L&amp;A'!E46)</f>
        <v>61</v>
      </c>
      <c r="R38" s="75">
        <f t="shared" si="8"/>
        <v>35.5</v>
      </c>
      <c r="S38" s="76">
        <f>IF('MK5-BP'!D46="","",'MK5-BP'!D46)</f>
        <v>95.5</v>
      </c>
      <c r="T38" s="76">
        <f>IF('MK5-BP'!E44="","",'MK5-BP'!E44)</f>
        <v>95.5</v>
      </c>
      <c r="U38" s="76">
        <f t="shared" si="58"/>
        <v>95.5</v>
      </c>
      <c r="V38" s="38">
        <f>IF('MK7-MBD'!D46="","",'MK7-MBD'!D46)</f>
        <v>90.45</v>
      </c>
      <c r="W38" s="38">
        <f>IF('MK7-MBD'!E46="","",'MK7-MBD'!E46)</f>
        <v>90.45</v>
      </c>
      <c r="X38" s="38">
        <f t="shared" si="9"/>
        <v>90.45</v>
      </c>
      <c r="Y38" s="77">
        <f>IF(MK8_BID!D43="","",MK8_BID!D43)</f>
        <v>88.65</v>
      </c>
      <c r="Z38" s="77">
        <f>IF(MK8_BID!E43="","",MK8_BID!E43)</f>
        <v>88.65</v>
      </c>
      <c r="AA38" s="77">
        <f t="shared" si="10"/>
        <v>88.65</v>
      </c>
      <c r="AB38" s="78">
        <f>IF('MK16-AGM'!D46="","",'MK16-AGM'!D46)</f>
        <v>82</v>
      </c>
      <c r="AC38" s="78">
        <f>IF('MK16-AGM'!E46="","",'MK16-AGM'!E46)</f>
        <v>82</v>
      </c>
      <c r="AD38" s="78">
        <f t="shared" si="11"/>
        <v>82</v>
      </c>
      <c r="AF38" s="79">
        <f t="shared" si="72"/>
        <v>103.66</v>
      </c>
      <c r="AG38" s="80">
        <f t="shared" si="59"/>
        <v>48.213953488372091</v>
      </c>
      <c r="AH38" s="79" t="str">
        <f>IFERROR((#REF!*(#REF!/100)),"")</f>
        <v/>
      </c>
      <c r="AI38" s="80" t="str">
        <f t="shared" si="12"/>
        <v/>
      </c>
      <c r="AJ38" s="79">
        <f t="shared" si="73"/>
        <v>52.75</v>
      </c>
      <c r="AK38" s="80">
        <f t="shared" si="14"/>
        <v>52.75</v>
      </c>
      <c r="AL38" s="79" t="str">
        <f>IFERROR((#REF!*(#REF!/100)),"")</f>
        <v/>
      </c>
      <c r="AM38" s="80" t="str">
        <f t="shared" si="15"/>
        <v/>
      </c>
      <c r="AN38" s="80"/>
      <c r="AO38" s="80"/>
      <c r="AP38" s="80"/>
      <c r="AQ38" s="80"/>
      <c r="AR38" s="80"/>
      <c r="AS38" s="80"/>
      <c r="AT38" s="80"/>
      <c r="AU38" s="80"/>
      <c r="AV38" s="79">
        <f t="shared" si="74"/>
        <v>78.25</v>
      </c>
      <c r="AW38" s="80">
        <f t="shared" si="60"/>
        <v>78.25</v>
      </c>
      <c r="AX38" s="79" t="str">
        <f>IFERROR((Y38*($Y$9/100)+AB38*($AB$9/100)+#REF!*(#REF!/100)),"")</f>
        <v/>
      </c>
      <c r="AY38" s="80" t="str">
        <f t="shared" si="17"/>
        <v/>
      </c>
      <c r="AZ38" s="80"/>
      <c r="BA38" s="80"/>
      <c r="BB38" s="79" t="str">
        <f>IFERROR((#REF!*(#REF!/100)+#REF!*(#REF!/100)+#REF!*(#REF!/100)),"")</f>
        <v/>
      </c>
      <c r="BC38" s="80" t="str">
        <f t="shared" si="61"/>
        <v/>
      </c>
      <c r="BD38" s="79">
        <f t="shared" si="75"/>
        <v>107.20949999999999</v>
      </c>
      <c r="BE38" s="80">
        <f t="shared" si="62"/>
        <v>62.695614035087708</v>
      </c>
      <c r="BF38" s="2" t="str">
        <f>IFERROR((Z38*($Z$9/100)+AC38*($AC$9/100)+#REF!*(#REF!/100)),"")</f>
        <v/>
      </c>
      <c r="BG38" s="79" t="str">
        <f t="shared" si="63"/>
        <v/>
      </c>
      <c r="BJ38" s="4">
        <f t="shared" si="18"/>
        <v>45.225000000000001</v>
      </c>
      <c r="BK38" s="89">
        <f t="shared" si="64"/>
        <v>0.90450000000000008</v>
      </c>
      <c r="BL38" s="4">
        <f t="shared" si="19"/>
        <v>44.325000000000003</v>
      </c>
      <c r="BM38" s="89">
        <f t="shared" si="65"/>
        <v>0.88650000000000007</v>
      </c>
      <c r="BN38" s="81">
        <f t="shared" si="20"/>
        <v>44.325000000000003</v>
      </c>
      <c r="BO38" s="89">
        <f t="shared" si="66"/>
        <v>0.88650000000000007</v>
      </c>
      <c r="BP38" s="81">
        <f t="shared" si="21"/>
        <v>41.875</v>
      </c>
      <c r="BQ38" s="89">
        <f t="shared" si="22"/>
        <v>0.83750000000000002</v>
      </c>
      <c r="BR38" s="4"/>
      <c r="BS38" s="4"/>
      <c r="BT38" s="81">
        <f t="shared" si="67"/>
        <v>41.875</v>
      </c>
      <c r="BU38" s="87">
        <f t="shared" si="23"/>
        <v>0.83750000000000002</v>
      </c>
      <c r="BV38" s="4"/>
      <c r="BW38" s="4"/>
      <c r="BX38" s="4"/>
      <c r="BY38" s="4"/>
      <c r="BZ38" s="81"/>
      <c r="CA38" s="89" t="str">
        <f t="shared" si="24"/>
        <v/>
      </c>
      <c r="CB38" s="81"/>
      <c r="CC38" s="89"/>
      <c r="CD38" s="81"/>
      <c r="CE38" s="89" t="str">
        <f t="shared" si="25"/>
        <v/>
      </c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81">
        <f t="shared" si="26"/>
        <v>5</v>
      </c>
      <c r="CQ38" s="87">
        <f t="shared" si="27"/>
        <v>0.1</v>
      </c>
      <c r="CR38" s="4">
        <f t="shared" si="28"/>
        <v>30.5</v>
      </c>
      <c r="CS38" s="87">
        <f t="shared" si="29"/>
        <v>0.61</v>
      </c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81">
        <f t="shared" si="30"/>
        <v>5</v>
      </c>
      <c r="DS38" s="87">
        <f t="shared" si="31"/>
        <v>0.1</v>
      </c>
      <c r="DT38" s="4"/>
      <c r="DU38" s="4"/>
      <c r="DV38" s="4"/>
      <c r="DW38" s="4"/>
      <c r="DX38" s="81">
        <f t="shared" si="32"/>
        <v>5</v>
      </c>
      <c r="DY38" s="89">
        <f t="shared" si="33"/>
        <v>0.1</v>
      </c>
      <c r="DZ38" s="81"/>
      <c r="EA38" s="89"/>
      <c r="EB38" s="81">
        <f t="shared" si="34"/>
        <v>11.56</v>
      </c>
      <c r="EC38" s="89">
        <f t="shared" si="35"/>
        <v>0.72250000000000003</v>
      </c>
      <c r="ED38" s="80">
        <f t="shared" si="68"/>
        <v>11.56</v>
      </c>
      <c r="EE38" s="89">
        <f t="shared" si="36"/>
        <v>0.72250000000000003</v>
      </c>
      <c r="EF38" s="206">
        <f t="shared" si="69"/>
        <v>18.759000000000004</v>
      </c>
      <c r="EG38" s="89">
        <f t="shared" si="38"/>
        <v>0.72150000000000014</v>
      </c>
      <c r="EH38" s="80">
        <f t="shared" si="70"/>
        <v>15.2607</v>
      </c>
      <c r="EI38" s="89">
        <f t="shared" si="40"/>
        <v>0.72670000000000001</v>
      </c>
      <c r="EJ38" s="4"/>
      <c r="EK38" s="4"/>
      <c r="EL38" s="81">
        <f t="shared" si="71"/>
        <v>15.109500000000001</v>
      </c>
      <c r="EM38" s="87">
        <f t="shared" si="42"/>
        <v>0.72150000000000014</v>
      </c>
      <c r="EN38" s="4"/>
      <c r="EO38" s="4" t="str">
        <f t="shared" si="43"/>
        <v/>
      </c>
      <c r="EP38" s="4"/>
      <c r="EQ38" s="4"/>
      <c r="ER38" s="4">
        <f t="shared" si="44"/>
        <v>47.75</v>
      </c>
      <c r="ES38" s="87">
        <f t="shared" si="45"/>
        <v>0.95499999999999996</v>
      </c>
      <c r="ET38" s="4">
        <f t="shared" si="46"/>
        <v>47.75</v>
      </c>
      <c r="EU38" s="87">
        <f t="shared" si="47"/>
        <v>0.95499999999999996</v>
      </c>
      <c r="EV38" s="81" t="str">
        <f>IFERROR(IF(#REF!="","",IFERROR(#REF!*(#REF!/100),"")),"")</f>
        <v/>
      </c>
      <c r="EW38" s="89" t="str">
        <f t="shared" si="48"/>
        <v/>
      </c>
      <c r="EX38" s="80">
        <f t="shared" si="49"/>
        <v>41</v>
      </c>
      <c r="EY38" s="89">
        <f t="shared" si="50"/>
        <v>0.82</v>
      </c>
      <c r="EZ38" s="80">
        <f t="shared" si="51"/>
        <v>41</v>
      </c>
      <c r="FA38" s="89">
        <f t="shared" si="52"/>
        <v>0.82</v>
      </c>
      <c r="FB38" s="89"/>
      <c r="FC38" s="89"/>
      <c r="FD38" s="81" t="str">
        <f>IFERROR(IF(#REF!="","",IFERROR(#REF!*(#REF!/100),""))+IF(#REF!="","",IFERROR(#REF!*(#REF!/100),"")),"")</f>
        <v/>
      </c>
      <c r="FE38" s="89" t="str">
        <f t="shared" si="53"/>
        <v/>
      </c>
      <c r="FF38" s="191">
        <f t="shared" si="76"/>
        <v>107.20949999999999</v>
      </c>
      <c r="FG38" s="192">
        <f t="shared" si="54"/>
        <v>0.6269561403508771</v>
      </c>
      <c r="FH38" s="92"/>
      <c r="FI38" s="92"/>
      <c r="FJ38" s="191" t="str">
        <f>IFERROR(IF(AC38="","",IFERROR(AC38*($AC$9/100),""))+IF(#REF!="","",IFERROR(#REF!*(#REF!/100),"")),"")</f>
        <v/>
      </c>
      <c r="FK38" s="192" t="str">
        <f t="shared" si="55"/>
        <v/>
      </c>
      <c r="FL38" s="191">
        <f t="shared" si="77"/>
        <v>44.325000000000003</v>
      </c>
      <c r="FM38" s="192">
        <f t="shared" si="56"/>
        <v>0.88650000000000007</v>
      </c>
      <c r="FN38" s="190">
        <f t="shared" si="78"/>
        <v>677.46285614035116</v>
      </c>
      <c r="FO38" s="101" t="e">
        <f t="shared" si="57"/>
        <v>#REF!</v>
      </c>
    </row>
    <row r="39" spans="1:171">
      <c r="A39" s="121">
        <v>29</v>
      </c>
      <c r="B39" s="122" t="s">
        <v>245</v>
      </c>
      <c r="C39" s="122" t="s">
        <v>246</v>
      </c>
      <c r="D39" s="73">
        <f>'MK1-TM'!D47</f>
        <v>85.5</v>
      </c>
      <c r="E39" s="73">
        <f>'MK1-TM'!E47</f>
        <v>85.5</v>
      </c>
      <c r="F39" s="73">
        <f t="shared" si="5"/>
        <v>85.5</v>
      </c>
      <c r="G39" s="91">
        <f>'MK2-TO'!D47</f>
        <v>79.38</v>
      </c>
      <c r="H39" s="91">
        <f>'MK2-TO'!E47</f>
        <v>79.38</v>
      </c>
      <c r="I39" s="91">
        <f>'MK2-TO'!F47</f>
        <v>81.23</v>
      </c>
      <c r="J39" s="91">
        <f>'MK2-TO'!G47</f>
        <v>76.430000000000007</v>
      </c>
      <c r="K39" s="91">
        <f>'MK2-TO'!H47</f>
        <v>81.52</v>
      </c>
      <c r="L39" s="91">
        <f t="shared" si="6"/>
        <v>79.690899999999999</v>
      </c>
      <c r="M39" s="74">
        <f>'MK3-PSTI'!D47</f>
        <v>86</v>
      </c>
      <c r="N39" s="74">
        <f>'MK3-PSTI'!E47</f>
        <v>96.5</v>
      </c>
      <c r="O39" s="74">
        <f t="shared" si="7"/>
        <v>91.25</v>
      </c>
      <c r="P39" s="75">
        <f>IF('MK4-L&amp;A'!D47="","",'MK4-L&amp;A'!D47)</f>
        <v>67</v>
      </c>
      <c r="Q39" s="75">
        <f>IF('MK4-L&amp;A'!E47="","",'MK4-L&amp;A'!E47)</f>
        <v>82</v>
      </c>
      <c r="R39" s="75">
        <f t="shared" si="8"/>
        <v>74.5</v>
      </c>
      <c r="S39" s="76">
        <f>IF('MK5-BP'!D47="","",'MK5-BP'!D47)</f>
        <v>91</v>
      </c>
      <c r="T39" s="76">
        <f>IF('MK5-BP'!E45="","",'MK5-BP'!E45)</f>
        <v>91</v>
      </c>
      <c r="U39" s="76">
        <f t="shared" si="58"/>
        <v>91</v>
      </c>
      <c r="V39" s="38">
        <f>IF('MK7-MBD'!D47="","",'MK7-MBD'!D47)</f>
        <v>91</v>
      </c>
      <c r="W39" s="38">
        <f>IF('MK7-MBD'!E47="","",'MK7-MBD'!E47)</f>
        <v>91</v>
      </c>
      <c r="X39" s="38">
        <f t="shared" si="9"/>
        <v>91</v>
      </c>
      <c r="Y39" s="77">
        <f>IF(MK8_BID!D44="","",MK8_BID!D44)</f>
        <v>83</v>
      </c>
      <c r="Z39" s="77">
        <f>IF(MK8_BID!E44="","",MK8_BID!E44)</f>
        <v>83</v>
      </c>
      <c r="AA39" s="77">
        <f t="shared" si="10"/>
        <v>83</v>
      </c>
      <c r="AB39" s="78">
        <f>IF('MK16-AGM'!D47="","",'MK16-AGM'!D47)</f>
        <v>92</v>
      </c>
      <c r="AC39" s="78">
        <f>IF('MK16-AGM'!E47="","",'MK16-AGM'!E47)</f>
        <v>92</v>
      </c>
      <c r="AD39" s="78">
        <f t="shared" si="11"/>
        <v>92</v>
      </c>
      <c r="AF39" s="79">
        <f t="shared" si="72"/>
        <v>143.95080000000002</v>
      </c>
      <c r="AG39" s="80">
        <f t="shared" si="59"/>
        <v>66.953860465116293</v>
      </c>
      <c r="AH39" s="79" t="str">
        <f>IFERROR((#REF!*(#REF!/100)),"")</f>
        <v/>
      </c>
      <c r="AI39" s="80" t="str">
        <f t="shared" si="12"/>
        <v/>
      </c>
      <c r="AJ39" s="79">
        <f t="shared" si="73"/>
        <v>79</v>
      </c>
      <c r="AK39" s="80">
        <f t="shared" si="14"/>
        <v>79</v>
      </c>
      <c r="AL39" s="79" t="str">
        <f>IFERROR((#REF!*(#REF!/100)),"")</f>
        <v/>
      </c>
      <c r="AM39" s="80" t="str">
        <f t="shared" si="15"/>
        <v/>
      </c>
      <c r="AN39" s="80"/>
      <c r="AO39" s="80"/>
      <c r="AP39" s="80"/>
      <c r="AQ39" s="80"/>
      <c r="AR39" s="80"/>
      <c r="AS39" s="80"/>
      <c r="AT39" s="80"/>
      <c r="AU39" s="80"/>
      <c r="AV39" s="79">
        <f t="shared" si="74"/>
        <v>86.5</v>
      </c>
      <c r="AW39" s="80">
        <f t="shared" si="60"/>
        <v>86.5</v>
      </c>
      <c r="AX39" s="79" t="str">
        <f>IFERROR((Y39*($Y$9/100)+AB39*($AB$9/100)+#REF!*(#REF!/100)),"")</f>
        <v/>
      </c>
      <c r="AY39" s="80" t="str">
        <f t="shared" si="17"/>
        <v/>
      </c>
      <c r="AZ39" s="80"/>
      <c r="BA39" s="80"/>
      <c r="BB39" s="79" t="str">
        <f>IFERROR((#REF!*(#REF!/100)+#REF!*(#REF!/100)+#REF!*(#REF!/100)),"")</f>
        <v/>
      </c>
      <c r="BC39" s="80" t="str">
        <f t="shared" si="61"/>
        <v/>
      </c>
      <c r="BD39" s="79">
        <f t="shared" si="75"/>
        <v>153.61920000000001</v>
      </c>
      <c r="BE39" s="80">
        <f t="shared" si="62"/>
        <v>89.835789473684216</v>
      </c>
      <c r="BF39" s="2" t="str">
        <f>IFERROR((Z39*($Z$9/100)+AC39*($AC$9/100)+#REF!*(#REF!/100)),"")</f>
        <v/>
      </c>
      <c r="BG39" s="79" t="str">
        <f t="shared" si="63"/>
        <v/>
      </c>
      <c r="BJ39" s="4">
        <f t="shared" si="18"/>
        <v>45.5</v>
      </c>
      <c r="BK39" s="89">
        <f t="shared" si="64"/>
        <v>0.91</v>
      </c>
      <c r="BL39" s="4">
        <f t="shared" si="19"/>
        <v>41.5</v>
      </c>
      <c r="BM39" s="89">
        <f t="shared" si="65"/>
        <v>0.83</v>
      </c>
      <c r="BN39" s="81">
        <f t="shared" si="20"/>
        <v>41.5</v>
      </c>
      <c r="BO39" s="89">
        <f t="shared" si="66"/>
        <v>0.83</v>
      </c>
      <c r="BP39" s="81">
        <f t="shared" si="21"/>
        <v>42.75</v>
      </c>
      <c r="BQ39" s="89">
        <f t="shared" si="22"/>
        <v>0.85499999999999998</v>
      </c>
      <c r="BR39" s="4"/>
      <c r="BS39" s="4"/>
      <c r="BT39" s="81">
        <f t="shared" si="67"/>
        <v>42.75</v>
      </c>
      <c r="BU39" s="87">
        <f t="shared" si="23"/>
        <v>0.85499999999999998</v>
      </c>
      <c r="BV39" s="4"/>
      <c r="BW39" s="4"/>
      <c r="BX39" s="4"/>
      <c r="BY39" s="4"/>
      <c r="BZ39" s="81"/>
      <c r="CA39" s="89" t="str">
        <f t="shared" si="24"/>
        <v/>
      </c>
      <c r="CB39" s="81"/>
      <c r="CC39" s="89"/>
      <c r="CD39" s="81"/>
      <c r="CE39" s="89" t="str">
        <f t="shared" si="25"/>
        <v/>
      </c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81">
        <f t="shared" si="26"/>
        <v>33.5</v>
      </c>
      <c r="CQ39" s="87">
        <f t="shared" si="27"/>
        <v>0.67</v>
      </c>
      <c r="CR39" s="4">
        <f t="shared" si="28"/>
        <v>41</v>
      </c>
      <c r="CS39" s="87">
        <f t="shared" si="29"/>
        <v>0.82</v>
      </c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81">
        <f t="shared" si="30"/>
        <v>43</v>
      </c>
      <c r="DS39" s="87">
        <f t="shared" si="31"/>
        <v>0.86</v>
      </c>
      <c r="DT39" s="4"/>
      <c r="DU39" s="4"/>
      <c r="DV39" s="4"/>
      <c r="DW39" s="4"/>
      <c r="DX39" s="81">
        <f t="shared" si="32"/>
        <v>48.25</v>
      </c>
      <c r="DY39" s="89">
        <f t="shared" si="33"/>
        <v>0.96499999999999997</v>
      </c>
      <c r="DZ39" s="81"/>
      <c r="EA39" s="89"/>
      <c r="EB39" s="81">
        <f t="shared" si="34"/>
        <v>12.700799999999999</v>
      </c>
      <c r="EC39" s="89">
        <f t="shared" si="35"/>
        <v>0.79379999999999995</v>
      </c>
      <c r="ED39" s="80">
        <f t="shared" si="68"/>
        <v>12.700799999999999</v>
      </c>
      <c r="EE39" s="89">
        <f t="shared" si="36"/>
        <v>0.79379999999999995</v>
      </c>
      <c r="EF39" s="206">
        <f t="shared" si="69"/>
        <v>21.119800000000001</v>
      </c>
      <c r="EG39" s="89">
        <f t="shared" si="38"/>
        <v>0.81230000000000002</v>
      </c>
      <c r="EH39" s="80">
        <f t="shared" si="70"/>
        <v>16.0503</v>
      </c>
      <c r="EI39" s="89">
        <f t="shared" si="40"/>
        <v>0.76429999999999998</v>
      </c>
      <c r="EJ39" s="4"/>
      <c r="EK39" s="4"/>
      <c r="EL39" s="81">
        <f t="shared" si="71"/>
        <v>17.119199999999999</v>
      </c>
      <c r="EM39" s="87">
        <f t="shared" si="42"/>
        <v>0.81230000000000002</v>
      </c>
      <c r="EN39" s="4"/>
      <c r="EO39" s="4" t="str">
        <f t="shared" si="43"/>
        <v/>
      </c>
      <c r="EP39" s="4"/>
      <c r="EQ39" s="4"/>
      <c r="ER39" s="4">
        <f t="shared" si="44"/>
        <v>45.5</v>
      </c>
      <c r="ES39" s="87">
        <f t="shared" si="45"/>
        <v>0.91</v>
      </c>
      <c r="ET39" s="4">
        <f t="shared" si="46"/>
        <v>45.5</v>
      </c>
      <c r="EU39" s="87">
        <f t="shared" si="47"/>
        <v>0.91</v>
      </c>
      <c r="EV39" s="81" t="str">
        <f>IFERROR(IF(#REF!="","",IFERROR(#REF!*(#REF!/100),"")),"")</f>
        <v/>
      </c>
      <c r="EW39" s="89" t="str">
        <f t="shared" si="48"/>
        <v/>
      </c>
      <c r="EX39" s="80">
        <f t="shared" si="49"/>
        <v>46</v>
      </c>
      <c r="EY39" s="89">
        <f t="shared" si="50"/>
        <v>0.92</v>
      </c>
      <c r="EZ39" s="80">
        <f t="shared" si="51"/>
        <v>46</v>
      </c>
      <c r="FA39" s="89">
        <f t="shared" si="52"/>
        <v>0.92</v>
      </c>
      <c r="FB39" s="89"/>
      <c r="FC39" s="89"/>
      <c r="FD39" s="81" t="str">
        <f>IFERROR(IF(#REF!="","",IFERROR(#REF!*(#REF!/100),""))+IF(#REF!="","",IFERROR(#REF!*(#REF!/100),"")),"")</f>
        <v/>
      </c>
      <c r="FE39" s="89" t="str">
        <f t="shared" si="53"/>
        <v/>
      </c>
      <c r="FF39" s="191">
        <f t="shared" si="76"/>
        <v>153.61920000000001</v>
      </c>
      <c r="FG39" s="192">
        <f t="shared" si="54"/>
        <v>0.89835789473684213</v>
      </c>
      <c r="FH39" s="92"/>
      <c r="FI39" s="92"/>
      <c r="FJ39" s="191" t="str">
        <f>IFERROR(IF(AC39="","",IFERROR(AC39*($AC$9/100),""))+IF(#REF!="","",IFERROR(#REF!*(#REF!/100),"")),"")</f>
        <v/>
      </c>
      <c r="FK39" s="192" t="str">
        <f t="shared" si="55"/>
        <v/>
      </c>
      <c r="FL39" s="191">
        <f t="shared" si="77"/>
        <v>41.5</v>
      </c>
      <c r="FM39" s="192">
        <f t="shared" si="56"/>
        <v>0.83</v>
      </c>
      <c r="FN39" s="190">
        <f t="shared" si="78"/>
        <v>853.68995789473649</v>
      </c>
      <c r="FO39" s="101" t="e">
        <f t="shared" si="57"/>
        <v>#REF!</v>
      </c>
    </row>
    <row r="40" spans="1:171">
      <c r="A40" s="121">
        <v>30</v>
      </c>
      <c r="B40" s="122" t="s">
        <v>247</v>
      </c>
      <c r="C40" s="122" t="s">
        <v>248</v>
      </c>
      <c r="D40" s="73">
        <f>'MK1-TM'!D48</f>
        <v>85.5</v>
      </c>
      <c r="E40" s="73">
        <f>'MK1-TM'!E48</f>
        <v>85.5</v>
      </c>
      <c r="F40" s="73">
        <f t="shared" si="5"/>
        <v>85.5</v>
      </c>
      <c r="G40" s="91">
        <f>'MK2-TO'!D48</f>
        <v>82.5</v>
      </c>
      <c r="H40" s="91">
        <f>'MK2-TO'!E48</f>
        <v>83.75</v>
      </c>
      <c r="I40" s="91">
        <f>'MK2-TO'!F48</f>
        <v>85.38</v>
      </c>
      <c r="J40" s="91">
        <f>'MK2-TO'!G48</f>
        <v>83.81</v>
      </c>
      <c r="K40" s="91">
        <f>'MK2-TO'!H48</f>
        <v>86.48</v>
      </c>
      <c r="L40" s="91">
        <f t="shared" si="6"/>
        <v>84.559700000000007</v>
      </c>
      <c r="M40" s="74">
        <f>'MK3-PSTI'!D48</f>
        <v>86</v>
      </c>
      <c r="N40" s="74">
        <f>'MK3-PSTI'!E48</f>
        <v>91.6</v>
      </c>
      <c r="O40" s="74">
        <f t="shared" si="7"/>
        <v>88.8</v>
      </c>
      <c r="P40" s="75">
        <f>IF('MK4-L&amp;A'!D48="","",'MK4-L&amp;A'!D48)</f>
        <v>85.5</v>
      </c>
      <c r="Q40" s="75">
        <f>IF('MK4-L&amp;A'!E48="","",'MK4-L&amp;A'!E48)</f>
        <v>87.5</v>
      </c>
      <c r="R40" s="75">
        <f t="shared" si="8"/>
        <v>86.5</v>
      </c>
      <c r="S40" s="76">
        <f>IF('MK5-BP'!D48="","",'MK5-BP'!D48)</f>
        <v>91</v>
      </c>
      <c r="T40" s="76">
        <f>IF('MK5-BP'!E46="","",'MK5-BP'!E46)</f>
        <v>95.5</v>
      </c>
      <c r="U40" s="76">
        <f t="shared" si="58"/>
        <v>93.25</v>
      </c>
      <c r="V40" s="38">
        <f>IF('MK7-MBD'!D48="","",'MK7-MBD'!D48)</f>
        <v>85</v>
      </c>
      <c r="W40" s="38">
        <f>IF('MK7-MBD'!E48="","",'MK7-MBD'!E48)</f>
        <v>90</v>
      </c>
      <c r="X40" s="38">
        <f t="shared" si="9"/>
        <v>87.5</v>
      </c>
      <c r="Y40" s="77">
        <f>IF(MK8_BID!D45="","",MK8_BID!D45)</f>
        <v>66.2</v>
      </c>
      <c r="Z40" s="77">
        <f>IF(MK8_BID!E45="","",MK8_BID!E45)</f>
        <v>66.2</v>
      </c>
      <c r="AA40" s="77">
        <f t="shared" si="10"/>
        <v>66.2</v>
      </c>
      <c r="AB40" s="78">
        <f>IF('MK16-AGM'!D48="","",'MK16-AGM'!D48)</f>
        <v>91</v>
      </c>
      <c r="AC40" s="78">
        <f>IF('MK16-AGM'!E48="","",'MK16-AGM'!E48)</f>
        <v>96.5</v>
      </c>
      <c r="AD40" s="78">
        <f t="shared" si="11"/>
        <v>93.75</v>
      </c>
      <c r="AF40" s="79">
        <f t="shared" si="72"/>
        <v>141.44999999999999</v>
      </c>
      <c r="AG40" s="80">
        <f t="shared" si="59"/>
        <v>65.790697674418595</v>
      </c>
      <c r="AH40" s="79" t="str">
        <f>IFERROR((#REF!*(#REF!/100)),"")</f>
        <v/>
      </c>
      <c r="AI40" s="80" t="str">
        <f t="shared" si="12"/>
        <v/>
      </c>
      <c r="AJ40" s="79">
        <f t="shared" si="73"/>
        <v>88.25</v>
      </c>
      <c r="AK40" s="80">
        <f t="shared" si="14"/>
        <v>88.25</v>
      </c>
      <c r="AL40" s="79" t="str">
        <f>IFERROR((#REF!*(#REF!/100)),"")</f>
        <v/>
      </c>
      <c r="AM40" s="80" t="str">
        <f t="shared" si="15"/>
        <v/>
      </c>
      <c r="AN40" s="80"/>
      <c r="AO40" s="80"/>
      <c r="AP40" s="80"/>
      <c r="AQ40" s="80"/>
      <c r="AR40" s="80"/>
      <c r="AS40" s="80"/>
      <c r="AT40" s="80"/>
      <c r="AU40" s="80"/>
      <c r="AV40" s="79">
        <f t="shared" si="74"/>
        <v>91.5</v>
      </c>
      <c r="AW40" s="80">
        <f t="shared" si="60"/>
        <v>91.5</v>
      </c>
      <c r="AX40" s="79" t="str">
        <f>IFERROR((Y40*($Y$9/100)+AB40*($AB$9/100)+#REF!*(#REF!/100)),"")</f>
        <v/>
      </c>
      <c r="AY40" s="80" t="str">
        <f t="shared" si="17"/>
        <v/>
      </c>
      <c r="AZ40" s="80"/>
      <c r="BA40" s="80"/>
      <c r="BB40" s="79" t="str">
        <f>IFERROR((#REF!*(#REF!/100)+#REF!*(#REF!/100)+#REF!*(#REF!/100)),"")</f>
        <v/>
      </c>
      <c r="BC40" s="80" t="str">
        <f t="shared" si="61"/>
        <v/>
      </c>
      <c r="BD40" s="79">
        <f t="shared" si="75"/>
        <v>151.71080000000001</v>
      </c>
      <c r="BE40" s="80">
        <f t="shared" si="62"/>
        <v>88.719766081871356</v>
      </c>
      <c r="BF40" s="2" t="str">
        <f>IFERROR((Z40*($Z$9/100)+AC40*($AC$9/100)+#REF!*(#REF!/100)),"")</f>
        <v/>
      </c>
      <c r="BG40" s="79" t="str">
        <f t="shared" si="63"/>
        <v/>
      </c>
      <c r="BJ40" s="4">
        <f t="shared" si="18"/>
        <v>42.5</v>
      </c>
      <c r="BK40" s="89">
        <f t="shared" si="64"/>
        <v>0.85</v>
      </c>
      <c r="BL40" s="4">
        <f t="shared" si="19"/>
        <v>33.1</v>
      </c>
      <c r="BM40" s="89">
        <f t="shared" si="65"/>
        <v>0.66200000000000003</v>
      </c>
      <c r="BN40" s="81">
        <f t="shared" si="20"/>
        <v>33.1</v>
      </c>
      <c r="BO40" s="89">
        <f t="shared" si="66"/>
        <v>0.66200000000000003</v>
      </c>
      <c r="BP40" s="81">
        <f t="shared" si="21"/>
        <v>42.75</v>
      </c>
      <c r="BQ40" s="89">
        <f t="shared" si="22"/>
        <v>0.85499999999999998</v>
      </c>
      <c r="BR40" s="4"/>
      <c r="BS40" s="4"/>
      <c r="BT40" s="81">
        <f t="shared" si="67"/>
        <v>42.75</v>
      </c>
      <c r="BU40" s="87">
        <f t="shared" si="23"/>
        <v>0.85499999999999998</v>
      </c>
      <c r="BV40" s="4"/>
      <c r="BW40" s="4"/>
      <c r="BX40" s="4"/>
      <c r="BY40" s="4"/>
      <c r="BZ40" s="81"/>
      <c r="CA40" s="89" t="str">
        <f t="shared" si="24"/>
        <v/>
      </c>
      <c r="CB40" s="81"/>
      <c r="CC40" s="89"/>
      <c r="CD40" s="81"/>
      <c r="CE40" s="89" t="str">
        <f t="shared" si="25"/>
        <v/>
      </c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81">
        <f t="shared" si="26"/>
        <v>42.75</v>
      </c>
      <c r="CQ40" s="87">
        <f t="shared" si="27"/>
        <v>0.85499999999999998</v>
      </c>
      <c r="CR40" s="4">
        <f t="shared" si="28"/>
        <v>43.75</v>
      </c>
      <c r="CS40" s="87">
        <f t="shared" si="29"/>
        <v>0.875</v>
      </c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81">
        <f t="shared" si="30"/>
        <v>43</v>
      </c>
      <c r="DS40" s="87">
        <f t="shared" si="31"/>
        <v>0.86</v>
      </c>
      <c r="DT40" s="4"/>
      <c r="DU40" s="4"/>
      <c r="DV40" s="4"/>
      <c r="DW40" s="4"/>
      <c r="DX40" s="81">
        <f t="shared" si="32"/>
        <v>45.8</v>
      </c>
      <c r="DY40" s="89">
        <f t="shared" si="33"/>
        <v>0.91599999999999993</v>
      </c>
      <c r="DZ40" s="81"/>
      <c r="EA40" s="89"/>
      <c r="EB40" s="81">
        <f t="shared" si="34"/>
        <v>13.200000000000001</v>
      </c>
      <c r="EC40" s="89">
        <f t="shared" si="35"/>
        <v>0.82500000000000007</v>
      </c>
      <c r="ED40" s="80">
        <f t="shared" si="68"/>
        <v>13.4</v>
      </c>
      <c r="EE40" s="89">
        <f t="shared" si="36"/>
        <v>0.83750000000000002</v>
      </c>
      <c r="EF40" s="206">
        <f t="shared" si="69"/>
        <v>22.198799999999999</v>
      </c>
      <c r="EG40" s="89">
        <f t="shared" si="38"/>
        <v>0.85379999999999989</v>
      </c>
      <c r="EH40" s="80">
        <f t="shared" si="70"/>
        <v>17.600100000000001</v>
      </c>
      <c r="EI40" s="89">
        <f t="shared" si="40"/>
        <v>0.83810000000000007</v>
      </c>
      <c r="EJ40" s="4"/>
      <c r="EK40" s="4"/>
      <c r="EL40" s="81">
        <f t="shared" si="71"/>
        <v>18.160800000000002</v>
      </c>
      <c r="EM40" s="87">
        <f t="shared" si="42"/>
        <v>0.85379999999999989</v>
      </c>
      <c r="EN40" s="4"/>
      <c r="EO40" s="4" t="str">
        <f t="shared" si="43"/>
        <v/>
      </c>
      <c r="EP40" s="4"/>
      <c r="EQ40" s="4"/>
      <c r="ER40" s="4">
        <f t="shared" si="44"/>
        <v>45.5</v>
      </c>
      <c r="ES40" s="87">
        <f t="shared" si="45"/>
        <v>0.91</v>
      </c>
      <c r="ET40" s="4">
        <f t="shared" si="46"/>
        <v>47.75</v>
      </c>
      <c r="EU40" s="87">
        <f t="shared" si="47"/>
        <v>0.95499999999999996</v>
      </c>
      <c r="EV40" s="81" t="str">
        <f>IFERROR(IF(#REF!="","",IFERROR(#REF!*(#REF!/100),"")),"")</f>
        <v/>
      </c>
      <c r="EW40" s="89" t="str">
        <f t="shared" si="48"/>
        <v/>
      </c>
      <c r="EX40" s="80">
        <f t="shared" si="49"/>
        <v>45.5</v>
      </c>
      <c r="EY40" s="89">
        <f t="shared" si="50"/>
        <v>0.91</v>
      </c>
      <c r="EZ40" s="80">
        <f t="shared" si="51"/>
        <v>48.25</v>
      </c>
      <c r="FA40" s="89">
        <f t="shared" si="52"/>
        <v>0.96499999999999997</v>
      </c>
      <c r="FB40" s="89"/>
      <c r="FC40" s="89"/>
      <c r="FD40" s="81" t="str">
        <f>IFERROR(IF(#REF!="","",IFERROR(#REF!*(#REF!/100),""))+IF(#REF!="","",IFERROR(#REF!*(#REF!/100),"")),"")</f>
        <v/>
      </c>
      <c r="FE40" s="89" t="str">
        <f t="shared" si="53"/>
        <v/>
      </c>
      <c r="FF40" s="191">
        <f t="shared" si="76"/>
        <v>151.71080000000001</v>
      </c>
      <c r="FG40" s="192">
        <f t="shared" si="54"/>
        <v>0.88719766081871354</v>
      </c>
      <c r="FH40" s="92"/>
      <c r="FI40" s="92"/>
      <c r="FJ40" s="191" t="str">
        <f>IFERROR(IF(AC40="","",IFERROR(AC40*($AC$9/100),""))+IF(#REF!="","",IFERROR(#REF!*(#REF!/100),"")),"")</f>
        <v/>
      </c>
      <c r="FK40" s="192" t="str">
        <f t="shared" si="55"/>
        <v/>
      </c>
      <c r="FL40" s="191">
        <f t="shared" si="77"/>
        <v>33.1</v>
      </c>
      <c r="FM40" s="192">
        <f t="shared" si="56"/>
        <v>0.66200000000000003</v>
      </c>
      <c r="FN40" s="190">
        <f t="shared" si="78"/>
        <v>842.09589766081876</v>
      </c>
      <c r="FO40" s="101" t="e">
        <f t="shared" si="57"/>
        <v>#REF!</v>
      </c>
    </row>
    <row r="41" spans="1:171">
      <c r="A41" s="121">
        <v>31</v>
      </c>
      <c r="B41" s="122" t="s">
        <v>249</v>
      </c>
      <c r="C41" s="122" t="s">
        <v>250</v>
      </c>
      <c r="D41" s="73">
        <f>'MK1-TM'!D49</f>
        <v>85.5</v>
      </c>
      <c r="E41" s="73">
        <f>'MK1-TM'!E49</f>
        <v>85.5</v>
      </c>
      <c r="F41" s="73">
        <f t="shared" si="5"/>
        <v>85.5</v>
      </c>
      <c r="G41" s="91">
        <f>'MK2-TO'!D49</f>
        <v>82.5</v>
      </c>
      <c r="H41" s="91">
        <f>'MK2-TO'!E49</f>
        <v>82.5</v>
      </c>
      <c r="I41" s="91">
        <f>'MK2-TO'!F49</f>
        <v>81.23</v>
      </c>
      <c r="J41" s="91">
        <f>'MK2-TO'!G49</f>
        <v>80</v>
      </c>
      <c r="K41" s="91">
        <f>'MK2-TO'!H49</f>
        <v>81.52</v>
      </c>
      <c r="L41" s="91">
        <f t="shared" si="6"/>
        <v>81.439000000000007</v>
      </c>
      <c r="M41" s="74">
        <f>'MK3-PSTI'!D49</f>
        <v>89.5</v>
      </c>
      <c r="N41" s="74">
        <f>'MK3-PSTI'!E49</f>
        <v>93</v>
      </c>
      <c r="O41" s="74">
        <f t="shared" si="7"/>
        <v>91.25</v>
      </c>
      <c r="P41" s="75">
        <f>IF('MK4-L&amp;A'!D49="","",'MK4-L&amp;A'!D49)</f>
        <v>73</v>
      </c>
      <c r="Q41" s="75">
        <f>IF('MK4-L&amp;A'!E49="","",'MK4-L&amp;A'!E49)</f>
        <v>82</v>
      </c>
      <c r="R41" s="75">
        <f t="shared" si="8"/>
        <v>77.5</v>
      </c>
      <c r="S41" s="76">
        <f>IF('MK5-BP'!D49="","",'MK5-BP'!D49)</f>
        <v>95.5</v>
      </c>
      <c r="T41" s="76">
        <f>IF('MK5-BP'!E47="","",'MK5-BP'!E47)</f>
        <v>91</v>
      </c>
      <c r="U41" s="76">
        <f t="shared" si="58"/>
        <v>93.25</v>
      </c>
      <c r="V41" s="38">
        <f>IF('MK7-MBD'!D49="","",'MK7-MBD'!D49)</f>
        <v>89.75</v>
      </c>
      <c r="W41" s="38">
        <f>IF('MK7-MBD'!E49="","",'MK7-MBD'!E49)</f>
        <v>89.75</v>
      </c>
      <c r="X41" s="38">
        <f t="shared" si="9"/>
        <v>89.75</v>
      </c>
      <c r="Y41" s="77">
        <f>IF(MK8_BID!D49="","",MK8_BID!D49)</f>
        <v>89.7</v>
      </c>
      <c r="Z41" s="77">
        <f>IF(MK8_BID!E49="","",MK8_BID!E49)</f>
        <v>89.7</v>
      </c>
      <c r="AA41" s="77">
        <f t="shared" si="10"/>
        <v>89.7</v>
      </c>
      <c r="AB41" s="78">
        <f>IF('MK16-AGM'!D49="","",'MK16-AGM'!D49)</f>
        <v>92</v>
      </c>
      <c r="AC41" s="78">
        <f>IF('MK16-AGM'!E49="","",'MK16-AGM'!E49)</f>
        <v>94.5</v>
      </c>
      <c r="AD41" s="78">
        <f t="shared" si="11"/>
        <v>93.25</v>
      </c>
      <c r="AF41" s="79">
        <f t="shared" si="72"/>
        <v>145.57499999999999</v>
      </c>
      <c r="AG41" s="80">
        <f t="shared" si="59"/>
        <v>67.70930232558139</v>
      </c>
      <c r="AH41" s="79" t="str">
        <f>IFERROR((#REF!*(#REF!/100)),"")</f>
        <v/>
      </c>
      <c r="AI41" s="80" t="str">
        <f t="shared" si="12"/>
        <v/>
      </c>
      <c r="AJ41" s="79">
        <f t="shared" si="73"/>
        <v>84.25</v>
      </c>
      <c r="AK41" s="80">
        <f t="shared" si="14"/>
        <v>84.25</v>
      </c>
      <c r="AL41" s="79" t="str">
        <f>IFERROR((#REF!*(#REF!/100)),"")</f>
        <v/>
      </c>
      <c r="AM41" s="80" t="str">
        <f t="shared" si="15"/>
        <v/>
      </c>
      <c r="AN41" s="80"/>
      <c r="AO41" s="80"/>
      <c r="AP41" s="80"/>
      <c r="AQ41" s="80"/>
      <c r="AR41" s="80"/>
      <c r="AS41" s="80"/>
      <c r="AT41" s="80"/>
      <c r="AU41" s="80"/>
      <c r="AV41" s="79">
        <f t="shared" si="74"/>
        <v>86.5</v>
      </c>
      <c r="AW41" s="80">
        <f t="shared" si="60"/>
        <v>86.5</v>
      </c>
      <c r="AX41" s="79" t="str">
        <f>IFERROR((Y41*($Y$9/100)+AB41*($AB$9/100)+#REF!*(#REF!/100)),"")</f>
        <v/>
      </c>
      <c r="AY41" s="80" t="str">
        <f t="shared" si="17"/>
        <v/>
      </c>
      <c r="AZ41" s="80"/>
      <c r="BA41" s="80"/>
      <c r="BB41" s="79" t="str">
        <f>IFERROR((#REF!*(#REF!/100)+#REF!*(#REF!/100)+#REF!*(#REF!/100)),"")</f>
        <v/>
      </c>
      <c r="BC41" s="80" t="str">
        <f t="shared" si="61"/>
        <v/>
      </c>
      <c r="BD41" s="79">
        <f t="shared" si="75"/>
        <v>151.24420000000001</v>
      </c>
      <c r="BE41" s="80">
        <f t="shared" si="62"/>
        <v>88.44690058479533</v>
      </c>
      <c r="BF41" s="2" t="str">
        <f>IFERROR((Z41*($Z$9/100)+AC41*($AC$9/100)+#REF!*(#REF!/100)),"")</f>
        <v/>
      </c>
      <c r="BG41" s="79" t="str">
        <f t="shared" si="63"/>
        <v/>
      </c>
      <c r="BJ41" s="4">
        <f t="shared" si="18"/>
        <v>44.875</v>
      </c>
      <c r="BK41" s="89">
        <f t="shared" si="64"/>
        <v>0.89749999999999996</v>
      </c>
      <c r="BL41" s="4">
        <f t="shared" si="19"/>
        <v>44.85</v>
      </c>
      <c r="BM41" s="89">
        <f t="shared" si="65"/>
        <v>0.89700000000000002</v>
      </c>
      <c r="BN41" s="81">
        <f t="shared" si="20"/>
        <v>44.85</v>
      </c>
      <c r="BO41" s="89">
        <f t="shared" si="66"/>
        <v>0.89700000000000002</v>
      </c>
      <c r="BP41" s="81">
        <f t="shared" si="21"/>
        <v>42.75</v>
      </c>
      <c r="BQ41" s="89">
        <f t="shared" si="22"/>
        <v>0.85499999999999998</v>
      </c>
      <c r="BR41" s="4"/>
      <c r="BS41" s="4"/>
      <c r="BT41" s="81">
        <f t="shared" si="67"/>
        <v>42.75</v>
      </c>
      <c r="BU41" s="87">
        <f t="shared" si="23"/>
        <v>0.85499999999999998</v>
      </c>
      <c r="BV41" s="4"/>
      <c r="BW41" s="4"/>
      <c r="BX41" s="4"/>
      <c r="BY41" s="4"/>
      <c r="BZ41" s="81"/>
      <c r="CA41" s="89" t="str">
        <f t="shared" si="24"/>
        <v/>
      </c>
      <c r="CB41" s="81"/>
      <c r="CC41" s="89"/>
      <c r="CD41" s="81"/>
      <c r="CE41" s="89" t="str">
        <f t="shared" si="25"/>
        <v/>
      </c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81">
        <f t="shared" si="26"/>
        <v>36.5</v>
      </c>
      <c r="CQ41" s="87">
        <f t="shared" si="27"/>
        <v>0.73</v>
      </c>
      <c r="CR41" s="4">
        <f t="shared" si="28"/>
        <v>41</v>
      </c>
      <c r="CS41" s="87">
        <f t="shared" si="29"/>
        <v>0.82</v>
      </c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81">
        <f t="shared" si="30"/>
        <v>44.75</v>
      </c>
      <c r="DS41" s="87">
        <f t="shared" si="31"/>
        <v>0.89500000000000002</v>
      </c>
      <c r="DT41" s="4"/>
      <c r="DU41" s="4"/>
      <c r="DV41" s="4"/>
      <c r="DW41" s="4"/>
      <c r="DX41" s="81">
        <f t="shared" si="32"/>
        <v>46.5</v>
      </c>
      <c r="DY41" s="89">
        <f t="shared" si="33"/>
        <v>0.93</v>
      </c>
      <c r="DZ41" s="81"/>
      <c r="EA41" s="89"/>
      <c r="EB41" s="81">
        <f t="shared" si="34"/>
        <v>13.200000000000001</v>
      </c>
      <c r="EC41" s="89">
        <f t="shared" si="35"/>
        <v>0.82500000000000007</v>
      </c>
      <c r="ED41" s="80">
        <f t="shared" si="68"/>
        <v>13.200000000000001</v>
      </c>
      <c r="EE41" s="89">
        <f t="shared" si="36"/>
        <v>0.82500000000000007</v>
      </c>
      <c r="EF41" s="206">
        <f t="shared" si="69"/>
        <v>21.119800000000001</v>
      </c>
      <c r="EG41" s="89">
        <f t="shared" si="38"/>
        <v>0.81230000000000002</v>
      </c>
      <c r="EH41" s="80">
        <f t="shared" si="70"/>
        <v>16.8</v>
      </c>
      <c r="EI41" s="89">
        <f t="shared" si="40"/>
        <v>0.8</v>
      </c>
      <c r="EJ41" s="4"/>
      <c r="EK41" s="4"/>
      <c r="EL41" s="81">
        <f t="shared" si="71"/>
        <v>17.119199999999999</v>
      </c>
      <c r="EM41" s="87">
        <f t="shared" si="42"/>
        <v>0.81230000000000002</v>
      </c>
      <c r="EN41" s="4"/>
      <c r="EO41" s="4" t="str">
        <f t="shared" si="43"/>
        <v/>
      </c>
      <c r="EP41" s="4"/>
      <c r="EQ41" s="4"/>
      <c r="ER41" s="4">
        <f t="shared" si="44"/>
        <v>47.75</v>
      </c>
      <c r="ES41" s="87">
        <f t="shared" si="45"/>
        <v>0.95499999999999996</v>
      </c>
      <c r="ET41" s="4">
        <f t="shared" si="46"/>
        <v>45.5</v>
      </c>
      <c r="EU41" s="87">
        <f t="shared" si="47"/>
        <v>0.91</v>
      </c>
      <c r="EV41" s="81" t="str">
        <f>IFERROR(IF(#REF!="","",IFERROR(#REF!*(#REF!/100),"")),"")</f>
        <v/>
      </c>
      <c r="EW41" s="89" t="str">
        <f t="shared" si="48"/>
        <v/>
      </c>
      <c r="EX41" s="80">
        <f t="shared" si="49"/>
        <v>46</v>
      </c>
      <c r="EY41" s="89">
        <f t="shared" si="50"/>
        <v>0.92</v>
      </c>
      <c r="EZ41" s="80">
        <f t="shared" si="51"/>
        <v>47.25</v>
      </c>
      <c r="FA41" s="89">
        <f t="shared" si="52"/>
        <v>0.94499999999999995</v>
      </c>
      <c r="FB41" s="89"/>
      <c r="FC41" s="89"/>
      <c r="FD41" s="81" t="str">
        <f>IFERROR(IF(#REF!="","",IFERROR(#REF!*(#REF!/100),""))+IF(#REF!="","",IFERROR(#REF!*(#REF!/100),"")),"")</f>
        <v/>
      </c>
      <c r="FE41" s="89" t="str">
        <f t="shared" si="53"/>
        <v/>
      </c>
      <c r="FF41" s="191">
        <f t="shared" si="76"/>
        <v>151.24420000000001</v>
      </c>
      <c r="FG41" s="192">
        <f t="shared" si="54"/>
        <v>0.88446900584795329</v>
      </c>
      <c r="FH41" s="92"/>
      <c r="FI41" s="92"/>
      <c r="FJ41" s="191" t="str">
        <f>IFERROR(IF(AC41="","",IFERROR(AC41*($AC$9/100),""))+IF(#REF!="","",IFERROR(#REF!*(#REF!/100),"")),"")</f>
        <v/>
      </c>
      <c r="FK41" s="192" t="str">
        <f t="shared" si="55"/>
        <v/>
      </c>
      <c r="FL41" s="191">
        <f t="shared" si="77"/>
        <v>44.85</v>
      </c>
      <c r="FM41" s="192">
        <f t="shared" si="56"/>
        <v>0.89700000000000002</v>
      </c>
      <c r="FN41" s="190">
        <f t="shared" si="78"/>
        <v>869.32376900584791</v>
      </c>
      <c r="FO41" s="101" t="e">
        <f t="shared" si="57"/>
        <v>#REF!</v>
      </c>
    </row>
    <row r="42" spans="1:171">
      <c r="A42" s="121">
        <v>32</v>
      </c>
      <c r="B42" s="122" t="s">
        <v>251</v>
      </c>
      <c r="C42" s="122" t="s">
        <v>252</v>
      </c>
      <c r="D42" s="73">
        <f>'MK1-TM'!D50</f>
        <v>80.25</v>
      </c>
      <c r="E42" s="73">
        <f>'MK1-TM'!E50</f>
        <v>80.25</v>
      </c>
      <c r="F42" s="73">
        <f t="shared" si="5"/>
        <v>80.25</v>
      </c>
      <c r="G42" s="91">
        <f>'MK2-TO'!D50</f>
        <v>79.38</v>
      </c>
      <c r="H42" s="91">
        <f>'MK2-TO'!E50</f>
        <v>81.38</v>
      </c>
      <c r="I42" s="91">
        <f>'MK2-TO'!F50</f>
        <v>72.31</v>
      </c>
      <c r="J42" s="91">
        <f>'MK2-TO'!G50</f>
        <v>76.430000000000007</v>
      </c>
      <c r="K42" s="91">
        <f>'MK2-TO'!H50</f>
        <v>72.86</v>
      </c>
      <c r="L42" s="91">
        <f t="shared" si="6"/>
        <v>75.873099999999994</v>
      </c>
      <c r="M42" s="74">
        <f>'MK3-PSTI'!D50</f>
        <v>82.5</v>
      </c>
      <c r="N42" s="74">
        <f>'MK3-PSTI'!E50</f>
        <v>72</v>
      </c>
      <c r="O42" s="74">
        <f t="shared" si="7"/>
        <v>77.25</v>
      </c>
      <c r="P42" s="75">
        <f>IF('MK4-L&amp;A'!D50="","",'MK4-L&amp;A'!D50)</f>
        <v>74</v>
      </c>
      <c r="Q42" s="75">
        <f>IF('MK4-L&amp;A'!E50="","",'MK4-L&amp;A'!E50)</f>
        <v>74</v>
      </c>
      <c r="R42" s="75">
        <f t="shared" si="8"/>
        <v>74</v>
      </c>
      <c r="S42" s="76">
        <f>IF('MK5-BP'!D50="","",'MK5-BP'!D50)</f>
        <v>91</v>
      </c>
      <c r="T42" s="76">
        <f>IF('MK5-BP'!E48="","",'MK5-BP'!E48)</f>
        <v>91</v>
      </c>
      <c r="U42" s="76">
        <f t="shared" si="58"/>
        <v>91</v>
      </c>
      <c r="V42" s="38">
        <f>IF('MK7-MBD'!D50="","",'MK7-MBD'!D50)</f>
        <v>85</v>
      </c>
      <c r="W42" s="38">
        <f>IF('MK7-MBD'!E50="","",'MK7-MBD'!E50)</f>
        <v>90</v>
      </c>
      <c r="X42" s="38">
        <f t="shared" si="9"/>
        <v>87.5</v>
      </c>
      <c r="Y42" s="77">
        <f>IF(MK8_BID!D50="","",MK8_BID!D50)</f>
        <v>89.7</v>
      </c>
      <c r="Z42" s="77">
        <f>IF(MK8_BID!E50="","",MK8_BID!E50)</f>
        <v>89.7</v>
      </c>
      <c r="AA42" s="77">
        <f t="shared" si="10"/>
        <v>89.7</v>
      </c>
      <c r="AB42" s="78">
        <f>IF('MK16-AGM'!D50="","",'MK16-AGM'!D50)</f>
        <v>91</v>
      </c>
      <c r="AC42" s="78">
        <f>IF('MK16-AGM'!E50="","",'MK16-AGM'!E50)</f>
        <v>100</v>
      </c>
      <c r="AD42" s="78">
        <f t="shared" si="11"/>
        <v>95.5</v>
      </c>
      <c r="AF42" s="79">
        <f t="shared" si="72"/>
        <v>136.57580000000002</v>
      </c>
      <c r="AG42" s="80">
        <f t="shared" si="59"/>
        <v>63.523627906976756</v>
      </c>
      <c r="AH42" s="79" t="str">
        <f>IFERROR((#REF!*(#REF!/100)),"")</f>
        <v/>
      </c>
      <c r="AI42" s="80" t="str">
        <f t="shared" si="12"/>
        <v/>
      </c>
      <c r="AJ42" s="79">
        <f t="shared" si="73"/>
        <v>82.5</v>
      </c>
      <c r="AK42" s="80">
        <f t="shared" si="14"/>
        <v>82.5</v>
      </c>
      <c r="AL42" s="79" t="str">
        <f>IFERROR((#REF!*(#REF!/100)),"")</f>
        <v/>
      </c>
      <c r="AM42" s="80" t="str">
        <f t="shared" si="15"/>
        <v/>
      </c>
      <c r="AN42" s="80"/>
      <c r="AO42" s="80"/>
      <c r="AP42" s="80"/>
      <c r="AQ42" s="80"/>
      <c r="AR42" s="80"/>
      <c r="AS42" s="80"/>
      <c r="AT42" s="80"/>
      <c r="AU42" s="80"/>
      <c r="AV42" s="79">
        <f t="shared" si="74"/>
        <v>82.5</v>
      </c>
      <c r="AW42" s="80">
        <f t="shared" si="60"/>
        <v>82.5</v>
      </c>
      <c r="AX42" s="79" t="str">
        <f>IFERROR((Y42*($Y$9/100)+AB42*($AB$9/100)+#REF!*(#REF!/100)),"")</f>
        <v/>
      </c>
      <c r="AY42" s="80" t="str">
        <f t="shared" si="17"/>
        <v/>
      </c>
      <c r="AZ42" s="80"/>
      <c r="BA42" s="80"/>
      <c r="BB42" s="79" t="str">
        <f>IFERROR((#REF!*(#REF!/100)+#REF!*(#REF!/100)+#REF!*(#REF!/100)),"")</f>
        <v/>
      </c>
      <c r="BC42" s="80" t="str">
        <f t="shared" si="61"/>
        <v/>
      </c>
      <c r="BD42" s="79">
        <f t="shared" si="75"/>
        <v>136.4256</v>
      </c>
      <c r="BE42" s="80">
        <f t="shared" si="62"/>
        <v>79.781052631578959</v>
      </c>
      <c r="BF42" s="2" t="str">
        <f>IFERROR((Z42*($Z$9/100)+AC42*($AC$9/100)+#REF!*(#REF!/100)),"")</f>
        <v/>
      </c>
      <c r="BG42" s="79" t="str">
        <f t="shared" si="63"/>
        <v/>
      </c>
      <c r="BJ42" s="4">
        <f t="shared" si="18"/>
        <v>42.5</v>
      </c>
      <c r="BK42" s="89">
        <f t="shared" si="64"/>
        <v>0.85</v>
      </c>
      <c r="BL42" s="4">
        <f t="shared" si="19"/>
        <v>44.85</v>
      </c>
      <c r="BM42" s="89">
        <f t="shared" si="65"/>
        <v>0.89700000000000002</v>
      </c>
      <c r="BN42" s="81">
        <f t="shared" si="20"/>
        <v>44.85</v>
      </c>
      <c r="BO42" s="89">
        <f t="shared" si="66"/>
        <v>0.89700000000000002</v>
      </c>
      <c r="BP42" s="81">
        <f t="shared" si="21"/>
        <v>40.125</v>
      </c>
      <c r="BQ42" s="89">
        <f t="shared" si="22"/>
        <v>0.80249999999999999</v>
      </c>
      <c r="BR42" s="4"/>
      <c r="BS42" s="4"/>
      <c r="BT42" s="81">
        <f t="shared" si="67"/>
        <v>40.125</v>
      </c>
      <c r="BU42" s="87">
        <f t="shared" si="23"/>
        <v>0.80249999999999999</v>
      </c>
      <c r="BV42" s="4"/>
      <c r="BW42" s="4"/>
      <c r="BX42" s="4"/>
      <c r="BY42" s="4"/>
      <c r="BZ42" s="81"/>
      <c r="CA42" s="89" t="str">
        <f t="shared" si="24"/>
        <v/>
      </c>
      <c r="CB42" s="81"/>
      <c r="CC42" s="89"/>
      <c r="CD42" s="81"/>
      <c r="CE42" s="89" t="str">
        <f t="shared" si="25"/>
        <v/>
      </c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81">
        <f t="shared" si="26"/>
        <v>37</v>
      </c>
      <c r="CQ42" s="87">
        <f t="shared" si="27"/>
        <v>0.74</v>
      </c>
      <c r="CR42" s="4">
        <f t="shared" si="28"/>
        <v>37</v>
      </c>
      <c r="CS42" s="87">
        <f t="shared" si="29"/>
        <v>0.74</v>
      </c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81">
        <f t="shared" si="30"/>
        <v>41.25</v>
      </c>
      <c r="DS42" s="87">
        <f t="shared" si="31"/>
        <v>0.82499999999999996</v>
      </c>
      <c r="DT42" s="4"/>
      <c r="DU42" s="4"/>
      <c r="DV42" s="4"/>
      <c r="DW42" s="4"/>
      <c r="DX42" s="81">
        <f t="shared" si="32"/>
        <v>36</v>
      </c>
      <c r="DY42" s="89">
        <f t="shared" si="33"/>
        <v>0.72</v>
      </c>
      <c r="DZ42" s="81"/>
      <c r="EA42" s="89"/>
      <c r="EB42" s="81">
        <f t="shared" si="34"/>
        <v>12.700799999999999</v>
      </c>
      <c r="EC42" s="89">
        <f t="shared" si="35"/>
        <v>0.79379999999999995</v>
      </c>
      <c r="ED42" s="80">
        <f t="shared" si="68"/>
        <v>13.020799999999999</v>
      </c>
      <c r="EE42" s="89">
        <f t="shared" si="36"/>
        <v>0.81379999999999997</v>
      </c>
      <c r="EF42" s="206">
        <f t="shared" si="69"/>
        <v>18.800600000000003</v>
      </c>
      <c r="EG42" s="89">
        <f t="shared" si="38"/>
        <v>0.72310000000000008</v>
      </c>
      <c r="EH42" s="80">
        <f t="shared" si="70"/>
        <v>16.0503</v>
      </c>
      <c r="EI42" s="89">
        <f t="shared" si="40"/>
        <v>0.76429999999999998</v>
      </c>
      <c r="EJ42" s="4"/>
      <c r="EK42" s="4"/>
      <c r="EL42" s="81">
        <f t="shared" si="71"/>
        <v>15.300599999999999</v>
      </c>
      <c r="EM42" s="87">
        <f t="shared" si="42"/>
        <v>0.72310000000000008</v>
      </c>
      <c r="EN42" s="4"/>
      <c r="EO42" s="4" t="str">
        <f t="shared" si="43"/>
        <v/>
      </c>
      <c r="EP42" s="4"/>
      <c r="EQ42" s="4"/>
      <c r="ER42" s="4">
        <f t="shared" si="44"/>
        <v>45.5</v>
      </c>
      <c r="ES42" s="87">
        <f t="shared" si="45"/>
        <v>0.91</v>
      </c>
      <c r="ET42" s="4">
        <f t="shared" si="46"/>
        <v>45.5</v>
      </c>
      <c r="EU42" s="87">
        <f t="shared" si="47"/>
        <v>0.91</v>
      </c>
      <c r="EV42" s="81" t="str">
        <f>IFERROR(IF(#REF!="","",IFERROR(#REF!*(#REF!/100),"")),"")</f>
        <v/>
      </c>
      <c r="EW42" s="89" t="str">
        <f t="shared" si="48"/>
        <v/>
      </c>
      <c r="EX42" s="80">
        <f t="shared" si="49"/>
        <v>45.5</v>
      </c>
      <c r="EY42" s="89">
        <f t="shared" si="50"/>
        <v>0.91</v>
      </c>
      <c r="EZ42" s="80">
        <f t="shared" si="51"/>
        <v>50</v>
      </c>
      <c r="FA42" s="89">
        <f t="shared" si="52"/>
        <v>1</v>
      </c>
      <c r="FB42" s="89"/>
      <c r="FC42" s="89"/>
      <c r="FD42" s="81" t="str">
        <f>IFERROR(IF(#REF!="","",IFERROR(#REF!*(#REF!/100),""))+IF(#REF!="","",IFERROR(#REF!*(#REF!/100),"")),"")</f>
        <v/>
      </c>
      <c r="FE42" s="89" t="str">
        <f t="shared" si="53"/>
        <v/>
      </c>
      <c r="FF42" s="191">
        <f t="shared" si="76"/>
        <v>136.4256</v>
      </c>
      <c r="FG42" s="192">
        <f t="shared" si="54"/>
        <v>0.79781052631578953</v>
      </c>
      <c r="FH42" s="92"/>
      <c r="FI42" s="92"/>
      <c r="FJ42" s="191" t="str">
        <f>IFERROR(IF(AC42="","",IFERROR(AC42*($AC$9/100),""))+IF(#REF!="","",IFERROR(#REF!*(#REF!/100),"")),"")</f>
        <v/>
      </c>
      <c r="FK42" s="192" t="str">
        <f t="shared" si="55"/>
        <v/>
      </c>
      <c r="FL42" s="191">
        <f t="shared" si="77"/>
        <v>44.85</v>
      </c>
      <c r="FM42" s="192">
        <f t="shared" si="56"/>
        <v>0.89700000000000002</v>
      </c>
      <c r="FN42" s="190">
        <f t="shared" si="78"/>
        <v>822.96861052631573</v>
      </c>
      <c r="FO42" s="101" t="e">
        <f t="shared" si="57"/>
        <v>#REF!</v>
      </c>
    </row>
    <row r="43" spans="1:171">
      <c r="A43" s="121">
        <v>33</v>
      </c>
      <c r="B43" s="122" t="s">
        <v>253</v>
      </c>
      <c r="C43" s="122" t="s">
        <v>254</v>
      </c>
      <c r="D43" s="73">
        <f>'MK1-TM'!D51</f>
        <v>83.75</v>
      </c>
      <c r="E43" s="73">
        <f>'MK1-TM'!E51</f>
        <v>83.75</v>
      </c>
      <c r="F43" s="73">
        <f t="shared" si="5"/>
        <v>83.75</v>
      </c>
      <c r="G43" s="91">
        <f>'MK2-TO'!D51</f>
        <v>76.25</v>
      </c>
      <c r="H43" s="91">
        <f>'MK2-TO'!E51</f>
        <v>76.25</v>
      </c>
      <c r="I43" s="91">
        <f>'MK2-TO'!F51</f>
        <v>80</v>
      </c>
      <c r="J43" s="91">
        <f>'MK2-TO'!G51</f>
        <v>72.86</v>
      </c>
      <c r="K43" s="91">
        <f>'MK2-TO'!H51</f>
        <v>80</v>
      </c>
      <c r="L43" s="91">
        <f t="shared" si="6"/>
        <v>77.300600000000003</v>
      </c>
      <c r="M43" s="74">
        <f>'MK3-PSTI'!D51</f>
        <v>72</v>
      </c>
      <c r="N43" s="74">
        <f>'MK3-PSTI'!E51</f>
        <v>51</v>
      </c>
      <c r="O43" s="74">
        <f t="shared" si="7"/>
        <v>61.5</v>
      </c>
      <c r="P43" s="75">
        <f>IF('MK4-L&amp;A'!D51="","",'MK4-L&amp;A'!D51)</f>
        <v>74</v>
      </c>
      <c r="Q43" s="75">
        <f>IF('MK4-L&amp;A'!E51="","",'MK4-L&amp;A'!E51)</f>
        <v>82</v>
      </c>
      <c r="R43" s="75">
        <f t="shared" si="8"/>
        <v>78</v>
      </c>
      <c r="S43" s="76">
        <f>IF('MK5-BP'!D51="","",'MK5-BP'!D51)</f>
        <v>95.5</v>
      </c>
      <c r="T43" s="76">
        <f>IF('MK5-BP'!E51="","",'MK5-BP'!E51)</f>
        <v>95.5</v>
      </c>
      <c r="U43" s="76">
        <f t="shared" si="58"/>
        <v>95.5</v>
      </c>
      <c r="V43" s="38">
        <f>IF('MK7-MBD'!D51="","",'MK7-MBD'!D51)</f>
        <v>95.55</v>
      </c>
      <c r="W43" s="38">
        <f>IF('MK7-MBD'!E51="","",'MK7-MBD'!E51)</f>
        <v>95.55</v>
      </c>
      <c r="X43" s="38">
        <f t="shared" si="9"/>
        <v>95.55</v>
      </c>
      <c r="Y43" s="77">
        <f>IF(MK8_BID!D51="","",MK8_BID!D51)</f>
        <v>87.95</v>
      </c>
      <c r="Z43" s="77">
        <f>IF(MK8_BID!E51="","",MK8_BID!E51)</f>
        <v>87.95</v>
      </c>
      <c r="AA43" s="77">
        <f t="shared" si="10"/>
        <v>87.95</v>
      </c>
      <c r="AB43" s="78">
        <f>IF('MK16-AGM'!D51="","",'MK16-AGM'!D51)</f>
        <v>91</v>
      </c>
      <c r="AC43" s="78">
        <f>IF('MK16-AGM'!E51="","",'MK16-AGM'!E51)</f>
        <v>91</v>
      </c>
      <c r="AD43" s="78">
        <f t="shared" si="11"/>
        <v>91</v>
      </c>
      <c r="AF43" s="79">
        <f t="shared" si="72"/>
        <v>137.85</v>
      </c>
      <c r="AG43" s="80">
        <f t="shared" si="59"/>
        <v>64.11627906976743</v>
      </c>
      <c r="AH43" s="79" t="str">
        <f>IFERROR((#REF!*(#REF!/100)),"")</f>
        <v/>
      </c>
      <c r="AI43" s="80" t="str">
        <f t="shared" si="12"/>
        <v/>
      </c>
      <c r="AJ43" s="79">
        <f t="shared" si="73"/>
        <v>84.75</v>
      </c>
      <c r="AK43" s="80">
        <f t="shared" si="14"/>
        <v>84.75</v>
      </c>
      <c r="AL43" s="79" t="str">
        <f>IFERROR((#REF!*(#REF!/100)),"")</f>
        <v/>
      </c>
      <c r="AM43" s="80" t="str">
        <f t="shared" si="15"/>
        <v/>
      </c>
      <c r="AN43" s="80"/>
      <c r="AO43" s="80"/>
      <c r="AP43" s="80"/>
      <c r="AQ43" s="80"/>
      <c r="AR43" s="80"/>
      <c r="AS43" s="80"/>
      <c r="AT43" s="80"/>
      <c r="AU43" s="80"/>
      <c r="AV43" s="79">
        <f t="shared" si="74"/>
        <v>88.75</v>
      </c>
      <c r="AW43" s="80">
        <f t="shared" si="60"/>
        <v>88.75</v>
      </c>
      <c r="AX43" s="79" t="str">
        <f>IFERROR((Y43*($Y$9/100)+AB43*($AB$9/100)+#REF!*(#REF!/100)),"")</f>
        <v/>
      </c>
      <c r="AY43" s="80" t="str">
        <f t="shared" si="17"/>
        <v/>
      </c>
      <c r="AZ43" s="80"/>
      <c r="BA43" s="80"/>
      <c r="BB43" s="79" t="str">
        <f>IFERROR((#REF!*(#REF!/100)+#REF!*(#REF!/100)+#REF!*(#REF!/100)),"")</f>
        <v/>
      </c>
      <c r="BC43" s="80" t="str">
        <f t="shared" si="61"/>
        <v/>
      </c>
      <c r="BD43" s="79">
        <f t="shared" si="75"/>
        <v>131.94999999999999</v>
      </c>
      <c r="BE43" s="80">
        <f t="shared" si="62"/>
        <v>77.16374269005847</v>
      </c>
      <c r="BF43" s="2" t="str">
        <f>IFERROR((Z43*($Z$9/100)+AC43*($AC$9/100)+#REF!*(#REF!/100)),"")</f>
        <v/>
      </c>
      <c r="BG43" s="79" t="str">
        <f t="shared" si="63"/>
        <v/>
      </c>
      <c r="BJ43" s="4">
        <f t="shared" si="18"/>
        <v>47.774999999999999</v>
      </c>
      <c r="BK43" s="89">
        <f t="shared" si="64"/>
        <v>0.95550000000000002</v>
      </c>
      <c r="BL43" s="4">
        <f t="shared" si="19"/>
        <v>43.975000000000001</v>
      </c>
      <c r="BM43" s="89">
        <f t="shared" si="65"/>
        <v>0.87950000000000006</v>
      </c>
      <c r="BN43" s="81">
        <f t="shared" si="20"/>
        <v>43.975000000000001</v>
      </c>
      <c r="BO43" s="89">
        <f t="shared" si="66"/>
        <v>0.87950000000000006</v>
      </c>
      <c r="BP43" s="81">
        <f t="shared" si="21"/>
        <v>41.875</v>
      </c>
      <c r="BQ43" s="89">
        <f t="shared" si="22"/>
        <v>0.83750000000000002</v>
      </c>
      <c r="BR43" s="4"/>
      <c r="BS43" s="4"/>
      <c r="BT43" s="81">
        <f t="shared" si="67"/>
        <v>41.875</v>
      </c>
      <c r="BU43" s="87">
        <f t="shared" si="23"/>
        <v>0.83750000000000002</v>
      </c>
      <c r="BV43" s="4"/>
      <c r="BW43" s="4"/>
      <c r="BX43" s="4"/>
      <c r="BY43" s="4"/>
      <c r="BZ43" s="81"/>
      <c r="CA43" s="89" t="str">
        <f t="shared" si="24"/>
        <v/>
      </c>
      <c r="CB43" s="81"/>
      <c r="CC43" s="89"/>
      <c r="CD43" s="81"/>
      <c r="CE43" s="89" t="str">
        <f t="shared" si="25"/>
        <v/>
      </c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81">
        <f t="shared" si="26"/>
        <v>37</v>
      </c>
      <c r="CQ43" s="87">
        <f t="shared" si="27"/>
        <v>0.74</v>
      </c>
      <c r="CR43" s="4">
        <f t="shared" si="28"/>
        <v>41</v>
      </c>
      <c r="CS43" s="87">
        <f t="shared" si="29"/>
        <v>0.82</v>
      </c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81">
        <f t="shared" si="30"/>
        <v>36</v>
      </c>
      <c r="DS43" s="87">
        <f t="shared" si="31"/>
        <v>0.72</v>
      </c>
      <c r="DT43" s="4"/>
      <c r="DU43" s="4"/>
      <c r="DV43" s="4"/>
      <c r="DW43" s="4"/>
      <c r="DX43" s="81">
        <f t="shared" si="32"/>
        <v>25.5</v>
      </c>
      <c r="DY43" s="89">
        <f t="shared" si="33"/>
        <v>0.51</v>
      </c>
      <c r="DZ43" s="81"/>
      <c r="EA43" s="89"/>
      <c r="EB43" s="81">
        <f t="shared" si="34"/>
        <v>12.200000000000001</v>
      </c>
      <c r="EC43" s="89">
        <f t="shared" si="35"/>
        <v>0.76250000000000007</v>
      </c>
      <c r="ED43" s="80">
        <f t="shared" si="68"/>
        <v>12.200000000000001</v>
      </c>
      <c r="EE43" s="89">
        <f t="shared" si="36"/>
        <v>0.76250000000000007</v>
      </c>
      <c r="EF43" s="206">
        <f t="shared" si="69"/>
        <v>20.8</v>
      </c>
      <c r="EG43" s="89">
        <f t="shared" si="38"/>
        <v>0.8</v>
      </c>
      <c r="EH43" s="80">
        <f t="shared" si="70"/>
        <v>15.300599999999999</v>
      </c>
      <c r="EI43" s="89">
        <f t="shared" si="40"/>
        <v>0.72859999999999991</v>
      </c>
      <c r="EJ43" s="4"/>
      <c r="EK43" s="4"/>
      <c r="EL43" s="81">
        <f t="shared" si="71"/>
        <v>16.8</v>
      </c>
      <c r="EM43" s="87">
        <f t="shared" si="42"/>
        <v>0.8</v>
      </c>
      <c r="EN43" s="4"/>
      <c r="EO43" s="4" t="str">
        <f t="shared" si="43"/>
        <v/>
      </c>
      <c r="EP43" s="4"/>
      <c r="EQ43" s="4"/>
      <c r="ER43" s="4">
        <f t="shared" si="44"/>
        <v>47.75</v>
      </c>
      <c r="ES43" s="87">
        <f t="shared" si="45"/>
        <v>0.95499999999999996</v>
      </c>
      <c r="ET43" s="4">
        <f t="shared" si="46"/>
        <v>47.75</v>
      </c>
      <c r="EU43" s="87">
        <f t="shared" si="47"/>
        <v>0.95499999999999996</v>
      </c>
      <c r="EV43" s="81" t="str">
        <f>IFERROR(IF(#REF!="","",IFERROR(#REF!*(#REF!/100),"")),"")</f>
        <v/>
      </c>
      <c r="EW43" s="89" t="str">
        <f t="shared" si="48"/>
        <v/>
      </c>
      <c r="EX43" s="80">
        <f t="shared" si="49"/>
        <v>45.5</v>
      </c>
      <c r="EY43" s="89">
        <f t="shared" si="50"/>
        <v>0.91</v>
      </c>
      <c r="EZ43" s="80">
        <f t="shared" si="51"/>
        <v>45.5</v>
      </c>
      <c r="FA43" s="89">
        <f t="shared" si="52"/>
        <v>0.91</v>
      </c>
      <c r="FB43" s="89"/>
      <c r="FC43" s="89"/>
      <c r="FD43" s="81" t="str">
        <f>IFERROR(IF(#REF!="","",IFERROR(#REF!*(#REF!/100),""))+IF(#REF!="","",IFERROR(#REF!*(#REF!/100),"")),"")</f>
        <v/>
      </c>
      <c r="FE43" s="89" t="str">
        <f t="shared" si="53"/>
        <v/>
      </c>
      <c r="FF43" s="191">
        <f t="shared" si="76"/>
        <v>131.94999999999999</v>
      </c>
      <c r="FG43" s="192">
        <f t="shared" si="54"/>
        <v>0.77163742690058468</v>
      </c>
      <c r="FH43" s="92"/>
      <c r="FI43" s="92"/>
      <c r="FJ43" s="191" t="str">
        <f>IFERROR(IF(AC43="","",IFERROR(AC43*($AC$9/100),""))+IF(#REF!="","",IFERROR(#REF!*(#REF!/100),"")),"")</f>
        <v/>
      </c>
      <c r="FK43" s="192" t="str">
        <f t="shared" si="55"/>
        <v/>
      </c>
      <c r="FL43" s="191">
        <f t="shared" si="77"/>
        <v>43.975000000000001</v>
      </c>
      <c r="FM43" s="192">
        <f t="shared" si="56"/>
        <v>0.87950000000000006</v>
      </c>
      <c r="FN43" s="190">
        <f t="shared" si="78"/>
        <v>814.23533742690051</v>
      </c>
      <c r="FO43" s="101" t="e">
        <f t="shared" si="57"/>
        <v>#REF!</v>
      </c>
    </row>
    <row r="44" spans="1:171">
      <c r="A44" s="124">
        <v>34</v>
      </c>
      <c r="B44" s="122" t="s">
        <v>255</v>
      </c>
      <c r="C44" s="122" t="s">
        <v>256</v>
      </c>
      <c r="D44" s="73">
        <f>'MK1-TM'!D52</f>
        <v>80.25</v>
      </c>
      <c r="E44" s="73">
        <f>'MK1-TM'!E52</f>
        <v>80.25</v>
      </c>
      <c r="F44" s="73">
        <f t="shared" si="5"/>
        <v>80.25</v>
      </c>
      <c r="G44" s="91">
        <f>'MK2-TO'!D52</f>
        <v>70.63</v>
      </c>
      <c r="H44" s="91">
        <f>'MK2-TO'!E52</f>
        <v>53.13</v>
      </c>
      <c r="I44" s="91">
        <f>'MK2-TO'!F52</f>
        <v>44.23</v>
      </c>
      <c r="J44" s="91">
        <f>'MK2-TO'!G52</f>
        <v>70.48</v>
      </c>
      <c r="K44" s="91">
        <f>'MK2-TO'!H52</f>
        <v>42.86</v>
      </c>
      <c r="L44" s="91">
        <f t="shared" si="6"/>
        <v>55.102800000000002</v>
      </c>
      <c r="M44" s="74">
        <f>'MK3-PSTI'!D52</f>
        <v>10</v>
      </c>
      <c r="N44" s="74">
        <f>'MK3-PSTI'!E52</f>
        <v>10</v>
      </c>
      <c r="O44" s="74">
        <f t="shared" si="7"/>
        <v>10</v>
      </c>
      <c r="P44" s="75">
        <f>IF('MK4-L&amp;A'!D52="","",'MK4-L&amp;A'!D52)</f>
        <v>10</v>
      </c>
      <c r="Q44" s="75">
        <f>IF('MK4-L&amp;A'!E52="","",'MK4-L&amp;A'!E52)</f>
        <v>59</v>
      </c>
      <c r="R44" s="75">
        <f t="shared" si="8"/>
        <v>34.5</v>
      </c>
      <c r="S44" s="76">
        <f>IF('MK5-BP'!D52="","",'MK5-BP'!D52)</f>
        <v>95.5</v>
      </c>
      <c r="T44" s="76">
        <f>IF('MK5-BP'!E52="","",'MK5-BP'!E52)</f>
        <v>95.5</v>
      </c>
      <c r="U44" s="76"/>
      <c r="V44" s="38">
        <f>IF('MK7-MBD'!D52="","",'MK7-MBD'!D52)</f>
        <v>88</v>
      </c>
      <c r="W44" s="38">
        <f>IF('MK7-MBD'!E52="","",'MK7-MBD'!E52)</f>
        <v>88</v>
      </c>
      <c r="X44" s="38">
        <f t="shared" si="9"/>
        <v>88</v>
      </c>
      <c r="Y44" s="77">
        <f>IF(MK8_BID!D52="","",MK8_BID!D52)</f>
        <v>47.1</v>
      </c>
      <c r="Z44" s="77">
        <f>IF(MK8_BID!E52="","",MK8_BID!E52)</f>
        <v>47.1</v>
      </c>
      <c r="AA44" s="77">
        <f t="shared" si="10"/>
        <v>47.1</v>
      </c>
      <c r="AB44" s="78">
        <f>IF('MK16-AGM'!D52="","",'MK16-AGM'!D52)</f>
        <v>67.5</v>
      </c>
      <c r="AC44" s="78">
        <f>IF('MK16-AGM'!E52="","",'MK16-AGM'!E52)</f>
        <v>64</v>
      </c>
      <c r="AD44" s="78">
        <f>IFERROR((AB44*($AB$9/100))+(AC44*($AC$9/100)),"")</f>
        <v>65.75</v>
      </c>
      <c r="AF44" s="79">
        <f t="shared" si="72"/>
        <v>100.4258</v>
      </c>
      <c r="AG44" s="80">
        <f t="shared" si="59"/>
        <v>46.709674418604649</v>
      </c>
      <c r="AH44" s="79" t="str">
        <f>IFERROR((#REF!*(#REF!/100)),"")</f>
        <v/>
      </c>
      <c r="AI44" s="80" t="str">
        <f t="shared" si="12"/>
        <v/>
      </c>
      <c r="AJ44" s="79"/>
      <c r="AK44" s="80"/>
      <c r="AL44" s="79" t="str">
        <f>IFERROR((#REF!*(#REF!/100)),"")</f>
        <v/>
      </c>
      <c r="AM44" s="80" t="str">
        <f t="shared" si="15"/>
        <v/>
      </c>
      <c r="AN44" s="80"/>
      <c r="AO44" s="80"/>
      <c r="AP44" s="80"/>
      <c r="AQ44" s="80"/>
      <c r="AR44" s="80"/>
      <c r="AS44" s="80"/>
      <c r="AT44" s="80"/>
      <c r="AU44" s="80"/>
      <c r="AV44" s="79"/>
      <c r="AW44" s="80"/>
      <c r="AX44" s="79" t="str">
        <f>IFERROR((Y44*($Y$9/100)+AB44*($AB$9/100)+#REF!*(#REF!/100)),"")</f>
        <v/>
      </c>
      <c r="AY44" s="80" t="str">
        <f t="shared" si="17"/>
        <v/>
      </c>
      <c r="AZ44" s="80"/>
      <c r="BA44" s="80"/>
      <c r="BB44" s="79" t="str">
        <f>IFERROR((#REF!*(#REF!/100)+#REF!*(#REF!/100)+#REF!*(#REF!/100)),"")</f>
        <v/>
      </c>
      <c r="BC44" s="80" t="str">
        <f t="shared" si="61"/>
        <v/>
      </c>
      <c r="BD44" s="79">
        <f t="shared" si="75"/>
        <v>98.125599999999991</v>
      </c>
      <c r="BE44" s="80">
        <f t="shared" si="62"/>
        <v>57.38339181286549</v>
      </c>
      <c r="BF44" s="2" t="str">
        <f>IFERROR((Z44*($Z$9/100)+AC44*($AC$9/100)+#REF!*(#REF!/100)),"")</f>
        <v/>
      </c>
      <c r="BG44" s="79" t="str">
        <f t="shared" si="63"/>
        <v/>
      </c>
      <c r="BJ44" s="4">
        <f t="shared" si="18"/>
        <v>44</v>
      </c>
      <c r="BK44" s="89">
        <f t="shared" si="64"/>
        <v>0.88</v>
      </c>
      <c r="BL44" s="4">
        <f t="shared" si="19"/>
        <v>23.55</v>
      </c>
      <c r="BM44" s="89">
        <f t="shared" si="65"/>
        <v>0.47100000000000003</v>
      </c>
      <c r="BN44" s="81">
        <f t="shared" ref="BN44" si="79">IF(V44="","",IFERROR(V44*($BN$9/100),""))</f>
        <v>44</v>
      </c>
      <c r="BO44" s="89">
        <f t="shared" si="66"/>
        <v>0.88</v>
      </c>
      <c r="BP44" s="81">
        <f t="shared" si="21"/>
        <v>40.125</v>
      </c>
      <c r="BQ44" s="89">
        <f t="shared" si="22"/>
        <v>0.80249999999999999</v>
      </c>
      <c r="BR44" s="4"/>
      <c r="BS44" s="4"/>
      <c r="BT44" s="81">
        <f t="shared" si="67"/>
        <v>40.125</v>
      </c>
      <c r="BU44" s="87">
        <f t="shared" si="23"/>
        <v>0.80249999999999999</v>
      </c>
      <c r="BV44" s="4"/>
      <c r="BW44" s="4"/>
      <c r="BX44" s="4"/>
      <c r="BY44" s="4"/>
      <c r="BZ44" s="81"/>
      <c r="CA44" s="89" t="str">
        <f t="shared" si="24"/>
        <v/>
      </c>
      <c r="CB44" s="81"/>
      <c r="CC44" s="89"/>
      <c r="CD44" s="4"/>
      <c r="CE44" s="89" t="str">
        <f t="shared" si="25"/>
        <v/>
      </c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81">
        <f t="shared" si="26"/>
        <v>5</v>
      </c>
      <c r="CQ44" s="87">
        <f t="shared" si="27"/>
        <v>0.1</v>
      </c>
      <c r="CR44" s="4">
        <f t="shared" si="28"/>
        <v>29.5</v>
      </c>
      <c r="CS44" s="87">
        <f t="shared" si="29"/>
        <v>0.59</v>
      </c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81">
        <f t="shared" si="30"/>
        <v>5</v>
      </c>
      <c r="DS44" s="87">
        <f t="shared" si="31"/>
        <v>0.1</v>
      </c>
      <c r="DT44" s="4"/>
      <c r="DU44" s="4"/>
      <c r="DV44" s="4"/>
      <c r="DW44" s="4"/>
      <c r="DX44" s="81">
        <f t="shared" si="32"/>
        <v>5</v>
      </c>
      <c r="DY44" s="89">
        <f t="shared" si="33"/>
        <v>0.1</v>
      </c>
      <c r="DZ44" s="4"/>
      <c r="EA44" s="89"/>
      <c r="EB44" s="81">
        <f t="shared" si="34"/>
        <v>11.300799999999999</v>
      </c>
      <c r="EC44" s="89">
        <f t="shared" si="35"/>
        <v>0.70629999999999993</v>
      </c>
      <c r="ED44" s="80">
        <f t="shared" si="68"/>
        <v>8.5007999999999999</v>
      </c>
      <c r="EE44" s="89">
        <f t="shared" si="36"/>
        <v>0.53129999999999999</v>
      </c>
      <c r="EF44" s="206">
        <f t="shared" si="69"/>
        <v>11.4998</v>
      </c>
      <c r="EG44" s="89">
        <f t="shared" si="38"/>
        <v>0.44230000000000003</v>
      </c>
      <c r="EH44" s="80">
        <f t="shared" si="70"/>
        <v>14.800800000000001</v>
      </c>
      <c r="EI44" s="89">
        <f t="shared" si="40"/>
        <v>0.70479999999999998</v>
      </c>
      <c r="EJ44" s="4"/>
      <c r="EK44" s="4"/>
      <c r="EL44" s="81">
        <f t="shared" si="71"/>
        <v>9.0006000000000004</v>
      </c>
      <c r="EM44" s="87">
        <f t="shared" si="42"/>
        <v>0.44230000000000003</v>
      </c>
      <c r="EN44" s="4"/>
      <c r="EO44" s="4" t="str">
        <f t="shared" si="43"/>
        <v/>
      </c>
      <c r="EP44" s="4"/>
      <c r="EQ44" s="4"/>
      <c r="ER44" s="4">
        <f t="shared" si="44"/>
        <v>47.75</v>
      </c>
      <c r="ES44" s="87">
        <f t="shared" si="45"/>
        <v>0.95499999999999996</v>
      </c>
      <c r="ET44" s="4">
        <f t="shared" si="46"/>
        <v>47.75</v>
      </c>
      <c r="EU44" s="87">
        <f t="shared" si="47"/>
        <v>0.95499999999999996</v>
      </c>
      <c r="EV44" s="4"/>
      <c r="EW44" s="89" t="str">
        <f t="shared" si="48"/>
        <v/>
      </c>
      <c r="EX44" s="80">
        <f t="shared" si="49"/>
        <v>33.75</v>
      </c>
      <c r="EY44" s="89">
        <f t="shared" si="50"/>
        <v>0.67500000000000004</v>
      </c>
      <c r="EZ44" s="80">
        <f t="shared" si="51"/>
        <v>32</v>
      </c>
      <c r="FA44" s="89">
        <f t="shared" si="52"/>
        <v>0.64</v>
      </c>
      <c r="FB44" s="89"/>
      <c r="FC44" s="89"/>
      <c r="FD44" s="4"/>
      <c r="FE44" s="89" t="str">
        <f t="shared" si="53"/>
        <v/>
      </c>
      <c r="FF44" s="92"/>
      <c r="FG44" s="192" t="str">
        <f t="shared" si="54"/>
        <v/>
      </c>
      <c r="FH44" s="92"/>
      <c r="FI44" s="92"/>
      <c r="FJ44" s="92"/>
      <c r="FK44" s="192" t="str">
        <f t="shared" si="55"/>
        <v/>
      </c>
      <c r="FL44" s="92"/>
      <c r="FM44" s="192" t="str">
        <f t="shared" si="56"/>
        <v/>
      </c>
    </row>
    <row r="45" spans="1:171" ht="14.5" thickBot="1">
      <c r="BJ45" s="4" t="str">
        <f t="shared" si="18"/>
        <v/>
      </c>
      <c r="BL45" s="4" t="str">
        <f t="shared" si="19"/>
        <v/>
      </c>
      <c r="BT45" s="4" t="str">
        <f t="shared" si="67"/>
        <v/>
      </c>
      <c r="BU45" s="87" t="str">
        <f t="shared" si="23"/>
        <v/>
      </c>
      <c r="CP45" s="81" t="str">
        <f t="shared" si="26"/>
        <v/>
      </c>
      <c r="CQ45" s="87" t="str">
        <f t="shared" si="27"/>
        <v/>
      </c>
      <c r="CR45" s="4" t="str">
        <f t="shared" si="28"/>
        <v/>
      </c>
      <c r="CS45" s="87" t="str">
        <f t="shared" si="29"/>
        <v/>
      </c>
      <c r="DR45" s="81" t="str">
        <f t="shared" si="30"/>
        <v/>
      </c>
      <c r="DS45" s="87" t="str">
        <f t="shared" si="31"/>
        <v/>
      </c>
      <c r="DX45" s="81" t="str">
        <f t="shared" si="32"/>
        <v/>
      </c>
      <c r="EB45" s="81" t="str">
        <f t="shared" si="34"/>
        <v/>
      </c>
      <c r="ED45" s="80" t="str">
        <f t="shared" si="68"/>
        <v/>
      </c>
      <c r="EE45" s="89" t="str">
        <f t="shared" si="36"/>
        <v/>
      </c>
      <c r="EF45" s="206"/>
      <c r="EG45" s="89" t="str">
        <f t="shared" si="38"/>
        <v/>
      </c>
      <c r="EH45" s="80"/>
      <c r="EL45" s="81"/>
      <c r="EM45" s="87" t="str">
        <f t="shared" si="42"/>
        <v/>
      </c>
      <c r="EO45" s="4" t="str">
        <f t="shared" si="43"/>
        <v/>
      </c>
      <c r="ER45" s="4" t="str">
        <f t="shared" si="44"/>
        <v/>
      </c>
      <c r="ES45" s="87" t="str">
        <f t="shared" si="45"/>
        <v/>
      </c>
      <c r="ET45" s="4" t="str">
        <f t="shared" si="46"/>
        <v/>
      </c>
      <c r="EU45" s="87" t="str">
        <f t="shared" si="47"/>
        <v/>
      </c>
      <c r="EX45" s="80" t="str">
        <f t="shared" si="49"/>
        <v/>
      </c>
      <c r="EY45" s="89" t="str">
        <f t="shared" si="50"/>
        <v/>
      </c>
      <c r="EZ45" s="80" t="str">
        <f t="shared" si="51"/>
        <v/>
      </c>
      <c r="FA45" s="89" t="str">
        <f t="shared" si="52"/>
        <v/>
      </c>
    </row>
    <row r="46" spans="1:171" ht="14.5" hidden="1" thickBot="1">
      <c r="D46" s="36" t="str">
        <f>D8</f>
        <v>CPMK021</v>
      </c>
      <c r="E46" s="36" t="str">
        <f>E8</f>
        <v>CPMK023</v>
      </c>
      <c r="G46" s="36" t="str">
        <f>G8</f>
        <v>CPMK101</v>
      </c>
      <c r="K46" s="36" t="str">
        <f>K8</f>
        <v>CPMK111</v>
      </c>
      <c r="M46" s="36" t="str">
        <f>M8</f>
        <v>CPMK81</v>
      </c>
      <c r="N46" s="36" t="str">
        <f>N8</f>
        <v>CPMK91</v>
      </c>
      <c r="P46" s="36" t="str">
        <f>P8</f>
        <v>CPMK55</v>
      </c>
      <c r="Q46" s="36" t="str">
        <f>Q8</f>
        <v>CPMK56</v>
      </c>
      <c r="S46" s="36" t="str">
        <f>S8</f>
        <v>CPMK114</v>
      </c>
      <c r="T46" s="36" t="str">
        <f>T8</f>
        <v>CPMK115</v>
      </c>
      <c r="V46" s="36" t="str">
        <f>V8</f>
        <v>CPMK11</v>
      </c>
      <c r="W46" s="36" t="str">
        <f>W8</f>
        <v>CPMK13</v>
      </c>
      <c r="Y46" s="36" t="str">
        <f>Y8</f>
        <v>CPMK12</v>
      </c>
      <c r="Z46" s="36" t="str">
        <f>Z8</f>
        <v>CPMK13</v>
      </c>
      <c r="AB46" s="36" t="str">
        <f>AB8</f>
        <v>CPMK122</v>
      </c>
      <c r="AC46" s="36" t="str">
        <f>AC8</f>
        <v>CPMK123</v>
      </c>
      <c r="BJ46" s="4" t="str">
        <f t="shared" si="18"/>
        <v/>
      </c>
      <c r="BL46" s="4" t="str">
        <f t="shared" si="19"/>
        <v/>
      </c>
      <c r="BT46" s="4" t="str">
        <f t="shared" si="67"/>
        <v/>
      </c>
      <c r="BU46" s="87" t="str">
        <f t="shared" si="23"/>
        <v/>
      </c>
      <c r="CP46" s="81" t="str">
        <f t="shared" si="26"/>
        <v/>
      </c>
      <c r="CQ46" s="87" t="str">
        <f t="shared" si="27"/>
        <v/>
      </c>
      <c r="CR46" s="4" t="str">
        <f t="shared" si="28"/>
        <v/>
      </c>
      <c r="CS46" s="87" t="str">
        <f t="shared" si="29"/>
        <v/>
      </c>
      <c r="DR46" s="81" t="str">
        <f t="shared" si="30"/>
        <v/>
      </c>
      <c r="DS46" s="87" t="str">
        <f t="shared" si="31"/>
        <v/>
      </c>
      <c r="DX46" s="81" t="str">
        <f t="shared" si="32"/>
        <v/>
      </c>
      <c r="EB46" s="81" t="str">
        <f t="shared" si="34"/>
        <v/>
      </c>
      <c r="ED46" s="80" t="str">
        <f t="shared" si="68"/>
        <v/>
      </c>
      <c r="EE46" s="89" t="str">
        <f t="shared" si="36"/>
        <v/>
      </c>
      <c r="EF46" s="206">
        <f t="shared" si="69"/>
        <v>0</v>
      </c>
      <c r="EG46" s="89">
        <f t="shared" si="38"/>
        <v>0</v>
      </c>
      <c r="EH46" s="98">
        <f t="shared" si="70"/>
        <v>0</v>
      </c>
      <c r="EL46" s="81" t="str">
        <f t="shared" si="71"/>
        <v/>
      </c>
      <c r="EM46" s="87">
        <f t="shared" si="42"/>
        <v>0</v>
      </c>
      <c r="EO46" s="4" t="str">
        <f t="shared" si="43"/>
        <v/>
      </c>
      <c r="ER46" s="4" t="str">
        <f t="shared" si="44"/>
        <v/>
      </c>
      <c r="ES46" s="87" t="str">
        <f t="shared" si="45"/>
        <v/>
      </c>
      <c r="ET46" s="4" t="str">
        <f t="shared" si="46"/>
        <v/>
      </c>
      <c r="EU46" s="87" t="str">
        <f t="shared" si="47"/>
        <v/>
      </c>
      <c r="EX46" s="80" t="str">
        <f t="shared" si="49"/>
        <v/>
      </c>
      <c r="EY46" s="89" t="str">
        <f t="shared" si="50"/>
        <v/>
      </c>
      <c r="EZ46" s="80" t="str">
        <f t="shared" si="51"/>
        <v/>
      </c>
      <c r="FA46" s="89" t="str">
        <f t="shared" si="52"/>
        <v/>
      </c>
    </row>
    <row r="47" spans="1:171" ht="14.5" hidden="1" thickBot="1">
      <c r="C47" s="41" t="s">
        <v>172</v>
      </c>
      <c r="D47" s="42">
        <f t="shared" ref="D47:AD47" si="80">COUNTIF(D11:D40,$C$47)</f>
        <v>0</v>
      </c>
      <c r="E47" s="42">
        <f t="shared" si="80"/>
        <v>0</v>
      </c>
      <c r="F47" s="42">
        <f t="shared" si="80"/>
        <v>0</v>
      </c>
      <c r="G47" s="42">
        <f t="shared" si="80"/>
        <v>0</v>
      </c>
      <c r="H47" s="42"/>
      <c r="I47" s="42"/>
      <c r="J47" s="42"/>
      <c r="K47" s="42">
        <f t="shared" si="80"/>
        <v>0</v>
      </c>
      <c r="L47" s="42">
        <f t="shared" si="80"/>
        <v>0</v>
      </c>
      <c r="M47" s="42">
        <f t="shared" si="80"/>
        <v>1</v>
      </c>
      <c r="N47" s="42">
        <f t="shared" si="80"/>
        <v>4</v>
      </c>
      <c r="O47" s="42">
        <f t="shared" si="80"/>
        <v>4</v>
      </c>
      <c r="P47" s="42">
        <f t="shared" si="80"/>
        <v>1</v>
      </c>
      <c r="Q47" s="42">
        <f t="shared" si="80"/>
        <v>1</v>
      </c>
      <c r="R47" s="42">
        <f t="shared" si="80"/>
        <v>1</v>
      </c>
      <c r="S47" s="42">
        <f t="shared" si="80"/>
        <v>0</v>
      </c>
      <c r="T47" s="42">
        <f t="shared" si="80"/>
        <v>0</v>
      </c>
      <c r="U47" s="42">
        <f t="shared" si="80"/>
        <v>0</v>
      </c>
      <c r="V47" s="42">
        <f t="shared" si="80"/>
        <v>1</v>
      </c>
      <c r="W47" s="42">
        <f t="shared" si="80"/>
        <v>1</v>
      </c>
      <c r="X47" s="42">
        <f t="shared" si="80"/>
        <v>1</v>
      </c>
      <c r="Y47" s="42">
        <f t="shared" si="80"/>
        <v>0</v>
      </c>
      <c r="Z47" s="42">
        <f t="shared" si="80"/>
        <v>0</v>
      </c>
      <c r="AA47" s="42">
        <f t="shared" si="80"/>
        <v>0</v>
      </c>
      <c r="AB47" s="42">
        <f t="shared" si="80"/>
        <v>0</v>
      </c>
      <c r="AC47" s="42">
        <f t="shared" si="80"/>
        <v>0</v>
      </c>
      <c r="AD47" s="42">
        <f t="shared" si="80"/>
        <v>0</v>
      </c>
      <c r="BJ47" s="4">
        <f t="shared" si="18"/>
        <v>0.5</v>
      </c>
      <c r="BL47" s="4">
        <f t="shared" si="19"/>
        <v>0</v>
      </c>
      <c r="BT47" s="4">
        <f t="shared" si="67"/>
        <v>0</v>
      </c>
      <c r="BU47" s="87">
        <f t="shared" si="23"/>
        <v>0</v>
      </c>
      <c r="CP47" s="81">
        <f t="shared" si="26"/>
        <v>0.5</v>
      </c>
      <c r="CQ47" s="87">
        <f t="shared" si="27"/>
        <v>0.01</v>
      </c>
      <c r="CR47" s="4">
        <f t="shared" si="28"/>
        <v>0.5</v>
      </c>
      <c r="CS47" s="87">
        <f t="shared" si="29"/>
        <v>0.01</v>
      </c>
      <c r="DR47" s="81">
        <f t="shared" si="30"/>
        <v>0.5</v>
      </c>
      <c r="DS47" s="87">
        <f t="shared" si="31"/>
        <v>0.01</v>
      </c>
      <c r="DX47" s="81">
        <f t="shared" si="32"/>
        <v>2</v>
      </c>
      <c r="EB47" s="81">
        <f t="shared" si="34"/>
        <v>0</v>
      </c>
      <c r="ED47" s="80" t="str">
        <f t="shared" si="68"/>
        <v/>
      </c>
      <c r="EE47" s="89" t="str">
        <f t="shared" si="36"/>
        <v/>
      </c>
      <c r="EF47" s="206">
        <f t="shared" si="69"/>
        <v>0</v>
      </c>
      <c r="EG47" s="89">
        <f t="shared" si="38"/>
        <v>0</v>
      </c>
      <c r="EH47" s="98">
        <f t="shared" si="70"/>
        <v>0</v>
      </c>
      <c r="EL47" s="81">
        <f t="shared" si="71"/>
        <v>0</v>
      </c>
      <c r="EM47" s="87">
        <f t="shared" si="42"/>
        <v>0</v>
      </c>
      <c r="EO47" s="4" t="str">
        <f t="shared" si="43"/>
        <v/>
      </c>
      <c r="ER47" s="4">
        <f t="shared" si="44"/>
        <v>0</v>
      </c>
      <c r="ES47" s="87">
        <f t="shared" si="45"/>
        <v>0</v>
      </c>
      <c r="ET47" s="4">
        <f t="shared" si="46"/>
        <v>0</v>
      </c>
      <c r="EU47" s="87">
        <f t="shared" si="47"/>
        <v>0</v>
      </c>
      <c r="EX47" s="80">
        <f t="shared" si="49"/>
        <v>0</v>
      </c>
      <c r="EY47" s="89">
        <f t="shared" si="50"/>
        <v>0</v>
      </c>
      <c r="EZ47" s="80">
        <f t="shared" si="51"/>
        <v>0</v>
      </c>
      <c r="FA47" s="89">
        <f t="shared" si="52"/>
        <v>0</v>
      </c>
    </row>
    <row r="48" spans="1:171" ht="14.5" hidden="1" thickBot="1">
      <c r="C48" s="43" t="s">
        <v>99</v>
      </c>
      <c r="D48" s="44">
        <f t="shared" ref="D48:AD48" si="81">COUNTIF(D11:D40,$C$48)-D47</f>
        <v>21</v>
      </c>
      <c r="E48" s="44">
        <f t="shared" si="81"/>
        <v>16</v>
      </c>
      <c r="F48" s="44">
        <f t="shared" si="81"/>
        <v>20</v>
      </c>
      <c r="G48" s="44">
        <f t="shared" si="81"/>
        <v>30</v>
      </c>
      <c r="H48" s="44"/>
      <c r="I48" s="44"/>
      <c r="J48" s="44"/>
      <c r="K48" s="44">
        <f t="shared" si="81"/>
        <v>25</v>
      </c>
      <c r="L48" s="44">
        <f t="shared" si="81"/>
        <v>30</v>
      </c>
      <c r="M48" s="44">
        <f t="shared" si="81"/>
        <v>13</v>
      </c>
      <c r="N48" s="44">
        <f t="shared" si="81"/>
        <v>9</v>
      </c>
      <c r="O48" s="44">
        <f t="shared" si="81"/>
        <v>9</v>
      </c>
      <c r="P48" s="44">
        <f t="shared" si="81"/>
        <v>13</v>
      </c>
      <c r="Q48" s="44">
        <f t="shared" si="81"/>
        <v>6</v>
      </c>
      <c r="R48" s="44">
        <f t="shared" si="81"/>
        <v>8</v>
      </c>
      <c r="S48" s="44">
        <f t="shared" si="81"/>
        <v>23</v>
      </c>
      <c r="T48" s="44">
        <f t="shared" si="81"/>
        <v>24</v>
      </c>
      <c r="U48" s="44">
        <f t="shared" si="81"/>
        <v>24</v>
      </c>
      <c r="V48" s="44">
        <f t="shared" si="81"/>
        <v>14</v>
      </c>
      <c r="W48" s="44">
        <f t="shared" si="81"/>
        <v>0</v>
      </c>
      <c r="X48" s="44">
        <f t="shared" si="81"/>
        <v>0</v>
      </c>
      <c r="Y48" s="44">
        <f t="shared" si="81"/>
        <v>21</v>
      </c>
      <c r="Z48" s="44">
        <f t="shared" si="81"/>
        <v>21</v>
      </c>
      <c r="AA48" s="44">
        <f t="shared" si="81"/>
        <v>21</v>
      </c>
      <c r="AB48" s="44">
        <f t="shared" si="81"/>
        <v>10</v>
      </c>
      <c r="AC48" s="44">
        <f t="shared" si="81"/>
        <v>6</v>
      </c>
      <c r="AD48" s="44">
        <f t="shared" si="81"/>
        <v>11</v>
      </c>
      <c r="BJ48" s="4">
        <f t="shared" si="18"/>
        <v>7</v>
      </c>
      <c r="BL48" s="4">
        <f t="shared" si="19"/>
        <v>10.5</v>
      </c>
      <c r="BT48" s="4">
        <f t="shared" si="67"/>
        <v>8</v>
      </c>
      <c r="BU48" s="87">
        <f t="shared" si="23"/>
        <v>0.16</v>
      </c>
      <c r="CP48" s="81">
        <f t="shared" si="26"/>
        <v>6.5</v>
      </c>
      <c r="CQ48" s="87">
        <f t="shared" si="27"/>
        <v>0.13</v>
      </c>
      <c r="CR48" s="4">
        <f t="shared" si="28"/>
        <v>3</v>
      </c>
      <c r="CS48" s="87">
        <f t="shared" si="29"/>
        <v>0.06</v>
      </c>
      <c r="DR48" s="81">
        <f t="shared" si="30"/>
        <v>6.5</v>
      </c>
      <c r="DS48" s="87">
        <f t="shared" si="31"/>
        <v>0.13</v>
      </c>
      <c r="DX48" s="81">
        <f t="shared" si="32"/>
        <v>4.5</v>
      </c>
      <c r="EB48" s="81">
        <f t="shared" si="34"/>
        <v>4.8</v>
      </c>
      <c r="ED48" s="80" t="str">
        <f t="shared" si="68"/>
        <v/>
      </c>
      <c r="EE48" s="89" t="str">
        <f t="shared" si="36"/>
        <v/>
      </c>
      <c r="EF48" s="206">
        <f t="shared" si="69"/>
        <v>0</v>
      </c>
      <c r="EG48" s="89">
        <f t="shared" si="38"/>
        <v>0</v>
      </c>
      <c r="EH48" s="98">
        <f t="shared" si="70"/>
        <v>0</v>
      </c>
      <c r="EL48" s="81">
        <f t="shared" si="71"/>
        <v>5.25</v>
      </c>
      <c r="EM48" s="87">
        <f t="shared" si="42"/>
        <v>0</v>
      </c>
      <c r="EO48" s="4" t="str">
        <f t="shared" si="43"/>
        <v/>
      </c>
      <c r="ER48" s="4">
        <f t="shared" si="44"/>
        <v>11.5</v>
      </c>
      <c r="ES48" s="87">
        <f t="shared" si="45"/>
        <v>0.23</v>
      </c>
      <c r="ET48" s="4">
        <f t="shared" si="46"/>
        <v>12</v>
      </c>
      <c r="EU48" s="87">
        <f t="shared" si="47"/>
        <v>0.24</v>
      </c>
      <c r="EX48" s="80">
        <f t="shared" si="49"/>
        <v>5</v>
      </c>
      <c r="EY48" s="89">
        <f t="shared" si="50"/>
        <v>0.1</v>
      </c>
      <c r="EZ48" s="80">
        <f t="shared" si="51"/>
        <v>3</v>
      </c>
      <c r="FA48" s="89">
        <f t="shared" si="52"/>
        <v>0.06</v>
      </c>
    </row>
    <row r="49" spans="3:171" ht="14.5" hidden="1" thickBot="1">
      <c r="C49" s="46" t="s">
        <v>100</v>
      </c>
      <c r="D49" s="47">
        <f t="shared" ref="D49:AD49" si="82">COUNTIF(D11:D40,$C$49)</f>
        <v>9</v>
      </c>
      <c r="E49" s="47">
        <f t="shared" si="82"/>
        <v>14</v>
      </c>
      <c r="F49" s="47">
        <f t="shared" si="82"/>
        <v>10</v>
      </c>
      <c r="G49" s="47">
        <f t="shared" si="82"/>
        <v>0</v>
      </c>
      <c r="H49" s="47"/>
      <c r="I49" s="47"/>
      <c r="J49" s="47"/>
      <c r="K49" s="47">
        <f t="shared" si="82"/>
        <v>5</v>
      </c>
      <c r="L49" s="47">
        <f t="shared" si="82"/>
        <v>0</v>
      </c>
      <c r="M49" s="47">
        <f t="shared" si="82"/>
        <v>16</v>
      </c>
      <c r="N49" s="47">
        <f t="shared" si="82"/>
        <v>17</v>
      </c>
      <c r="O49" s="47">
        <f t="shared" si="82"/>
        <v>17</v>
      </c>
      <c r="P49" s="47">
        <f t="shared" si="82"/>
        <v>16</v>
      </c>
      <c r="Q49" s="47">
        <f t="shared" si="82"/>
        <v>23</v>
      </c>
      <c r="R49" s="47">
        <f t="shared" si="82"/>
        <v>21</v>
      </c>
      <c r="S49" s="47">
        <f t="shared" si="82"/>
        <v>7</v>
      </c>
      <c r="T49" s="47">
        <f t="shared" si="82"/>
        <v>6</v>
      </c>
      <c r="U49" s="47">
        <f t="shared" si="82"/>
        <v>6</v>
      </c>
      <c r="V49" s="47">
        <f t="shared" si="82"/>
        <v>15</v>
      </c>
      <c r="W49" s="47">
        <f t="shared" si="82"/>
        <v>29</v>
      </c>
      <c r="X49" s="47">
        <f t="shared" si="82"/>
        <v>29</v>
      </c>
      <c r="Y49" s="47">
        <f t="shared" si="82"/>
        <v>9</v>
      </c>
      <c r="Z49" s="47">
        <f t="shared" si="82"/>
        <v>9</v>
      </c>
      <c r="AA49" s="47">
        <f t="shared" si="82"/>
        <v>9</v>
      </c>
      <c r="AB49" s="47">
        <f t="shared" si="82"/>
        <v>20</v>
      </c>
      <c r="AC49" s="47">
        <f t="shared" si="82"/>
        <v>24</v>
      </c>
      <c r="AD49" s="47">
        <f t="shared" si="82"/>
        <v>19</v>
      </c>
      <c r="BJ49" s="4">
        <f t="shared" si="18"/>
        <v>7.5</v>
      </c>
      <c r="BL49" s="4">
        <f t="shared" si="19"/>
        <v>4.5</v>
      </c>
      <c r="BT49" s="4">
        <f t="shared" si="67"/>
        <v>7</v>
      </c>
      <c r="BU49" s="87">
        <f t="shared" si="23"/>
        <v>0.14000000000000001</v>
      </c>
      <c r="CP49" s="81">
        <f t="shared" si="26"/>
        <v>8</v>
      </c>
      <c r="CQ49" s="87">
        <f t="shared" si="27"/>
        <v>0.16</v>
      </c>
      <c r="CR49" s="4">
        <f t="shared" si="28"/>
        <v>11.5</v>
      </c>
      <c r="CS49" s="87">
        <f t="shared" si="29"/>
        <v>0.23</v>
      </c>
      <c r="DR49" s="81">
        <f t="shared" si="30"/>
        <v>8</v>
      </c>
      <c r="DS49" s="87">
        <f t="shared" si="31"/>
        <v>0.16</v>
      </c>
      <c r="DX49" s="81">
        <f t="shared" si="32"/>
        <v>8.5</v>
      </c>
      <c r="EB49" s="81">
        <f t="shared" si="34"/>
        <v>0</v>
      </c>
      <c r="ED49" s="80" t="str">
        <f t="shared" si="68"/>
        <v/>
      </c>
      <c r="EE49" s="89" t="str">
        <f t="shared" si="36"/>
        <v/>
      </c>
      <c r="EF49" s="206">
        <f t="shared" si="69"/>
        <v>0</v>
      </c>
      <c r="EG49" s="89">
        <f t="shared" si="38"/>
        <v>0</v>
      </c>
      <c r="EH49" s="98">
        <f t="shared" si="70"/>
        <v>0</v>
      </c>
      <c r="EL49" s="81">
        <f t="shared" si="71"/>
        <v>1.05</v>
      </c>
      <c r="EM49" s="87">
        <f t="shared" si="42"/>
        <v>0</v>
      </c>
      <c r="EO49" s="4" t="str">
        <f t="shared" si="43"/>
        <v/>
      </c>
      <c r="ER49" s="4">
        <f t="shared" si="44"/>
        <v>3.5</v>
      </c>
      <c r="ES49" s="87">
        <f t="shared" si="45"/>
        <v>7.0000000000000007E-2</v>
      </c>
      <c r="ET49" s="4">
        <f t="shared" si="46"/>
        <v>3</v>
      </c>
      <c r="EU49" s="87">
        <f t="shared" si="47"/>
        <v>0.06</v>
      </c>
      <c r="EX49" s="80">
        <f t="shared" si="49"/>
        <v>10</v>
      </c>
      <c r="EY49" s="89">
        <f t="shared" si="50"/>
        <v>0.2</v>
      </c>
      <c r="EZ49" s="80">
        <f t="shared" si="51"/>
        <v>12</v>
      </c>
      <c r="FA49" s="89">
        <f t="shared" si="52"/>
        <v>0.24</v>
      </c>
    </row>
    <row r="50" spans="3:171" ht="14.5" hidden="1" thickBot="1">
      <c r="C50" s="48" t="s">
        <v>78</v>
      </c>
      <c r="D50" s="49">
        <f t="shared" ref="D50:AD50" si="83">SUM(D47:D49)</f>
        <v>30</v>
      </c>
      <c r="E50" s="49">
        <f t="shared" si="83"/>
        <v>30</v>
      </c>
      <c r="F50" s="49">
        <f t="shared" si="83"/>
        <v>30</v>
      </c>
      <c r="G50" s="49">
        <f t="shared" si="83"/>
        <v>30</v>
      </c>
      <c r="H50" s="49"/>
      <c r="I50" s="49"/>
      <c r="J50" s="49"/>
      <c r="K50" s="49">
        <f t="shared" si="83"/>
        <v>30</v>
      </c>
      <c r="L50" s="49">
        <f t="shared" si="83"/>
        <v>30</v>
      </c>
      <c r="M50" s="49">
        <f t="shared" si="83"/>
        <v>30</v>
      </c>
      <c r="N50" s="49">
        <f t="shared" si="83"/>
        <v>30</v>
      </c>
      <c r="O50" s="49">
        <f t="shared" si="83"/>
        <v>30</v>
      </c>
      <c r="P50" s="49">
        <f t="shared" si="83"/>
        <v>30</v>
      </c>
      <c r="Q50" s="49">
        <f t="shared" si="83"/>
        <v>30</v>
      </c>
      <c r="R50" s="49">
        <f t="shared" si="83"/>
        <v>30</v>
      </c>
      <c r="S50" s="49">
        <f t="shared" si="83"/>
        <v>30</v>
      </c>
      <c r="T50" s="49">
        <f t="shared" si="83"/>
        <v>30</v>
      </c>
      <c r="U50" s="49">
        <f t="shared" si="83"/>
        <v>30</v>
      </c>
      <c r="V50" s="49">
        <f t="shared" si="83"/>
        <v>30</v>
      </c>
      <c r="W50" s="49">
        <f t="shared" si="83"/>
        <v>30</v>
      </c>
      <c r="X50" s="49">
        <f t="shared" si="83"/>
        <v>30</v>
      </c>
      <c r="Y50" s="49">
        <f t="shared" si="83"/>
        <v>30</v>
      </c>
      <c r="Z50" s="49">
        <f t="shared" si="83"/>
        <v>30</v>
      </c>
      <c r="AA50" s="49">
        <f t="shared" si="83"/>
        <v>30</v>
      </c>
      <c r="AB50" s="49">
        <f t="shared" si="83"/>
        <v>30</v>
      </c>
      <c r="AC50" s="49">
        <f t="shared" si="83"/>
        <v>30</v>
      </c>
      <c r="AD50" s="49">
        <f t="shared" si="83"/>
        <v>30</v>
      </c>
      <c r="BJ50" s="4">
        <f t="shared" si="18"/>
        <v>15</v>
      </c>
      <c r="BL50" s="4">
        <f t="shared" si="19"/>
        <v>15</v>
      </c>
      <c r="BT50" s="4">
        <f t="shared" si="67"/>
        <v>15</v>
      </c>
      <c r="BU50" s="87">
        <f t="shared" si="23"/>
        <v>0.3</v>
      </c>
      <c r="CP50" s="81">
        <f t="shared" si="26"/>
        <v>15</v>
      </c>
      <c r="CQ50" s="87">
        <f t="shared" si="27"/>
        <v>0.3</v>
      </c>
      <c r="CR50" s="4">
        <f t="shared" si="28"/>
        <v>15</v>
      </c>
      <c r="CS50" s="87">
        <f t="shared" si="29"/>
        <v>0.3</v>
      </c>
      <c r="DR50" s="81">
        <f t="shared" si="30"/>
        <v>15</v>
      </c>
      <c r="DS50" s="87">
        <f t="shared" si="31"/>
        <v>0.3</v>
      </c>
      <c r="DX50" s="81">
        <f t="shared" si="32"/>
        <v>15</v>
      </c>
      <c r="EB50" s="81">
        <f t="shared" si="34"/>
        <v>4.8</v>
      </c>
      <c r="ED50" s="80" t="str">
        <f t="shared" si="68"/>
        <v/>
      </c>
      <c r="EE50" s="89" t="str">
        <f t="shared" si="36"/>
        <v/>
      </c>
      <c r="EF50" s="206">
        <f t="shared" si="69"/>
        <v>0</v>
      </c>
      <c r="EG50" s="89">
        <f t="shared" si="38"/>
        <v>0</v>
      </c>
      <c r="EH50" s="98">
        <f t="shared" si="70"/>
        <v>0</v>
      </c>
      <c r="EL50" s="81">
        <f t="shared" si="71"/>
        <v>6.3</v>
      </c>
      <c r="EM50" s="87">
        <f t="shared" si="42"/>
        <v>0</v>
      </c>
      <c r="EO50" s="4" t="str">
        <f t="shared" si="43"/>
        <v/>
      </c>
      <c r="ER50" s="4">
        <f t="shared" si="44"/>
        <v>15</v>
      </c>
      <c r="ES50" s="87">
        <f t="shared" si="45"/>
        <v>0.3</v>
      </c>
      <c r="ET50" s="4">
        <f t="shared" si="46"/>
        <v>15</v>
      </c>
      <c r="EU50" s="87">
        <f t="shared" si="47"/>
        <v>0.3</v>
      </c>
      <c r="EX50" s="80">
        <f t="shared" si="49"/>
        <v>15</v>
      </c>
      <c r="EY50" s="89">
        <f t="shared" si="50"/>
        <v>0.3</v>
      </c>
      <c r="EZ50" s="80">
        <f t="shared" si="51"/>
        <v>15</v>
      </c>
      <c r="FA50" s="89">
        <f t="shared" si="52"/>
        <v>0.3</v>
      </c>
    </row>
    <row r="51" spans="3:171" ht="14.5" hidden="1" thickBot="1">
      <c r="C51" s="50"/>
      <c r="D51" s="50"/>
      <c r="E51" s="50"/>
      <c r="F51" s="50"/>
      <c r="BJ51" s="4" t="str">
        <f t="shared" si="18"/>
        <v/>
      </c>
      <c r="BL51" s="4" t="str">
        <f t="shared" si="19"/>
        <v/>
      </c>
      <c r="BT51" s="4" t="str">
        <f t="shared" si="67"/>
        <v/>
      </c>
      <c r="BU51" s="87" t="str">
        <f t="shared" si="23"/>
        <v/>
      </c>
      <c r="CP51" s="81" t="str">
        <f t="shared" si="26"/>
        <v/>
      </c>
      <c r="CQ51" s="87" t="str">
        <f t="shared" si="27"/>
        <v/>
      </c>
      <c r="CR51" s="4" t="str">
        <f t="shared" si="28"/>
        <v/>
      </c>
      <c r="CS51" s="87" t="str">
        <f t="shared" si="29"/>
        <v/>
      </c>
      <c r="DR51" s="81" t="str">
        <f t="shared" si="30"/>
        <v/>
      </c>
      <c r="DS51" s="87" t="str">
        <f t="shared" si="31"/>
        <v/>
      </c>
      <c r="DX51" s="81" t="str">
        <f t="shared" si="32"/>
        <v/>
      </c>
      <c r="EB51" s="81" t="str">
        <f t="shared" si="34"/>
        <v/>
      </c>
      <c r="ED51" s="80" t="str">
        <f t="shared" si="68"/>
        <v/>
      </c>
      <c r="EE51" s="89" t="str">
        <f t="shared" si="36"/>
        <v/>
      </c>
      <c r="EF51" s="206">
        <f t="shared" si="69"/>
        <v>0</v>
      </c>
      <c r="EG51" s="89">
        <f t="shared" si="38"/>
        <v>0</v>
      </c>
      <c r="EH51" s="98">
        <f t="shared" si="70"/>
        <v>0</v>
      </c>
      <c r="EL51" s="81">
        <f t="shared" si="71"/>
        <v>0</v>
      </c>
      <c r="EM51" s="87">
        <f t="shared" si="42"/>
        <v>0</v>
      </c>
      <c r="EO51" s="4" t="str">
        <f t="shared" si="43"/>
        <v/>
      </c>
      <c r="ER51" s="4" t="str">
        <f t="shared" si="44"/>
        <v/>
      </c>
      <c r="ES51" s="87" t="str">
        <f t="shared" si="45"/>
        <v/>
      </c>
      <c r="ET51" s="4" t="str">
        <f t="shared" si="46"/>
        <v/>
      </c>
      <c r="EU51" s="87" t="str">
        <f t="shared" si="47"/>
        <v/>
      </c>
      <c r="EX51" s="80" t="str">
        <f t="shared" si="49"/>
        <v/>
      </c>
      <c r="EY51" s="89" t="str">
        <f t="shared" si="50"/>
        <v/>
      </c>
      <c r="EZ51" s="80" t="str">
        <f t="shared" si="51"/>
        <v/>
      </c>
      <c r="FA51" s="89" t="str">
        <f t="shared" si="52"/>
        <v/>
      </c>
    </row>
    <row r="52" spans="3:171" ht="14.5" hidden="1" thickBot="1">
      <c r="C52" s="51" t="s">
        <v>101</v>
      </c>
      <c r="D52" s="52">
        <f>(D48+D49)/D50</f>
        <v>1</v>
      </c>
      <c r="E52" s="52">
        <f t="shared" ref="E52:AD52" si="84">(E48+E49)/E50</f>
        <v>1</v>
      </c>
      <c r="F52" s="52">
        <f t="shared" si="84"/>
        <v>1</v>
      </c>
      <c r="G52" s="52">
        <f t="shared" si="84"/>
        <v>1</v>
      </c>
      <c r="H52" s="52"/>
      <c r="I52" s="52"/>
      <c r="J52" s="52"/>
      <c r="K52" s="52">
        <f t="shared" si="84"/>
        <v>1</v>
      </c>
      <c r="L52" s="52">
        <f t="shared" si="84"/>
        <v>1</v>
      </c>
      <c r="M52" s="52">
        <f t="shared" si="84"/>
        <v>0.96666666666666667</v>
      </c>
      <c r="N52" s="52">
        <f t="shared" si="84"/>
        <v>0.8666666666666667</v>
      </c>
      <c r="O52" s="52">
        <f t="shared" si="84"/>
        <v>0.8666666666666667</v>
      </c>
      <c r="P52" s="52">
        <f t="shared" si="84"/>
        <v>0.96666666666666667</v>
      </c>
      <c r="Q52" s="52">
        <f t="shared" si="84"/>
        <v>0.96666666666666667</v>
      </c>
      <c r="R52" s="52">
        <f t="shared" si="84"/>
        <v>0.96666666666666667</v>
      </c>
      <c r="S52" s="52">
        <f t="shared" si="84"/>
        <v>1</v>
      </c>
      <c r="T52" s="52">
        <f t="shared" si="84"/>
        <v>1</v>
      </c>
      <c r="U52" s="52">
        <f t="shared" si="84"/>
        <v>1</v>
      </c>
      <c r="V52" s="52">
        <f t="shared" si="84"/>
        <v>0.96666666666666667</v>
      </c>
      <c r="W52" s="52">
        <f t="shared" si="84"/>
        <v>0.96666666666666667</v>
      </c>
      <c r="X52" s="52">
        <f t="shared" si="84"/>
        <v>0.96666666666666667</v>
      </c>
      <c r="Y52" s="52">
        <f t="shared" si="84"/>
        <v>1</v>
      </c>
      <c r="Z52" s="52">
        <f t="shared" si="84"/>
        <v>1</v>
      </c>
      <c r="AA52" s="52">
        <f t="shared" si="84"/>
        <v>1</v>
      </c>
      <c r="AB52" s="52">
        <f t="shared" si="84"/>
        <v>1</v>
      </c>
      <c r="AC52" s="52">
        <f t="shared" si="84"/>
        <v>1</v>
      </c>
      <c r="AD52" s="52">
        <f t="shared" si="84"/>
        <v>1</v>
      </c>
      <c r="BJ52" s="4">
        <f t="shared" si="18"/>
        <v>0.48333333333333334</v>
      </c>
      <c r="BL52" s="4">
        <f t="shared" si="19"/>
        <v>0.5</v>
      </c>
      <c r="BT52" s="4">
        <f t="shared" si="67"/>
        <v>0.5</v>
      </c>
      <c r="BU52" s="87">
        <f t="shared" si="23"/>
        <v>0.01</v>
      </c>
      <c r="CP52" s="81">
        <f t="shared" si="26"/>
        <v>0.48333333333333334</v>
      </c>
      <c r="CQ52" s="87">
        <f t="shared" si="27"/>
        <v>9.6666666666666672E-3</v>
      </c>
      <c r="CR52" s="4">
        <f t="shared" si="28"/>
        <v>0.48333333333333334</v>
      </c>
      <c r="CS52" s="87">
        <f t="shared" si="29"/>
        <v>9.6666666666666672E-3</v>
      </c>
      <c r="DR52" s="81">
        <f t="shared" si="30"/>
        <v>0.48333333333333334</v>
      </c>
      <c r="DS52" s="87">
        <f t="shared" si="31"/>
        <v>9.6666666666666672E-3</v>
      </c>
      <c r="DX52" s="81">
        <f t="shared" si="32"/>
        <v>0.43333333333333335</v>
      </c>
      <c r="EB52" s="81">
        <f t="shared" si="34"/>
        <v>0.16</v>
      </c>
      <c r="ED52" s="80" t="str">
        <f t="shared" si="68"/>
        <v/>
      </c>
      <c r="EE52" s="89" t="str">
        <f t="shared" si="36"/>
        <v/>
      </c>
      <c r="EF52" s="206">
        <f t="shared" si="69"/>
        <v>0</v>
      </c>
      <c r="EG52" s="89">
        <f t="shared" si="38"/>
        <v>0</v>
      </c>
      <c r="EH52" s="98">
        <f t="shared" si="70"/>
        <v>0</v>
      </c>
      <c r="EL52" s="81">
        <f t="shared" si="71"/>
        <v>0.21</v>
      </c>
      <c r="EM52" s="87">
        <f t="shared" si="42"/>
        <v>0</v>
      </c>
      <c r="EO52" s="4" t="str">
        <f t="shared" si="43"/>
        <v/>
      </c>
      <c r="ER52" s="4">
        <f t="shared" si="44"/>
        <v>0.5</v>
      </c>
      <c r="ES52" s="87">
        <f t="shared" si="45"/>
        <v>0.01</v>
      </c>
      <c r="ET52" s="4">
        <f t="shared" si="46"/>
        <v>0.5</v>
      </c>
      <c r="EU52" s="87">
        <f t="shared" si="47"/>
        <v>0.01</v>
      </c>
      <c r="EX52" s="80">
        <f t="shared" si="49"/>
        <v>0.5</v>
      </c>
      <c r="EY52" s="89">
        <f t="shared" si="50"/>
        <v>0.01</v>
      </c>
      <c r="EZ52" s="80">
        <f t="shared" si="51"/>
        <v>0.5</v>
      </c>
      <c r="FA52" s="89">
        <f t="shared" si="52"/>
        <v>0.01</v>
      </c>
    </row>
    <row r="53" spans="3:171" ht="14.5" hidden="1" thickBot="1">
      <c r="C53" s="50"/>
      <c r="D53" s="50"/>
      <c r="E53" s="50"/>
      <c r="F53" s="50"/>
      <c r="BJ53" s="4" t="str">
        <f t="shared" si="18"/>
        <v/>
      </c>
      <c r="BL53" s="4" t="str">
        <f t="shared" si="19"/>
        <v/>
      </c>
      <c r="BT53" s="4" t="str">
        <f t="shared" si="67"/>
        <v/>
      </c>
      <c r="BU53" s="87" t="str">
        <f t="shared" si="23"/>
        <v/>
      </c>
      <c r="CP53" s="81" t="str">
        <f t="shared" si="26"/>
        <v/>
      </c>
      <c r="CQ53" s="87" t="str">
        <f t="shared" si="27"/>
        <v/>
      </c>
      <c r="CR53" s="4" t="str">
        <f t="shared" si="28"/>
        <v/>
      </c>
      <c r="CS53" s="87" t="str">
        <f t="shared" si="29"/>
        <v/>
      </c>
      <c r="DR53" s="81" t="str">
        <f t="shared" si="30"/>
        <v/>
      </c>
      <c r="DS53" s="87" t="str">
        <f t="shared" si="31"/>
        <v/>
      </c>
      <c r="DX53" s="81" t="str">
        <f t="shared" si="32"/>
        <v/>
      </c>
      <c r="EB53" s="81" t="str">
        <f t="shared" si="34"/>
        <v/>
      </c>
      <c r="ED53" s="80" t="str">
        <f t="shared" si="68"/>
        <v/>
      </c>
      <c r="EE53" s="89" t="str">
        <f t="shared" si="36"/>
        <v/>
      </c>
      <c r="EF53" s="206">
        <f t="shared" si="69"/>
        <v>0</v>
      </c>
      <c r="EG53" s="89">
        <f t="shared" si="38"/>
        <v>0</v>
      </c>
      <c r="EH53" s="98">
        <f t="shared" si="70"/>
        <v>0</v>
      </c>
      <c r="EL53" s="81">
        <f t="shared" si="71"/>
        <v>0</v>
      </c>
      <c r="EM53" s="87">
        <f t="shared" si="42"/>
        <v>0</v>
      </c>
      <c r="EO53" s="4" t="str">
        <f t="shared" si="43"/>
        <v/>
      </c>
      <c r="ER53" s="4" t="str">
        <f t="shared" si="44"/>
        <v/>
      </c>
      <c r="ES53" s="87" t="str">
        <f t="shared" si="45"/>
        <v/>
      </c>
      <c r="ET53" s="4" t="str">
        <f t="shared" si="46"/>
        <v/>
      </c>
      <c r="EU53" s="87" t="str">
        <f t="shared" si="47"/>
        <v/>
      </c>
      <c r="EX53" s="80" t="str">
        <f t="shared" si="49"/>
        <v/>
      </c>
      <c r="EY53" s="89" t="str">
        <f t="shared" si="50"/>
        <v/>
      </c>
      <c r="EZ53" s="80" t="str">
        <f t="shared" si="51"/>
        <v/>
      </c>
      <c r="FA53" s="89" t="str">
        <f t="shared" si="52"/>
        <v/>
      </c>
    </row>
    <row r="54" spans="3:171" ht="14.5" hidden="1" thickBot="1">
      <c r="C54" s="51" t="s">
        <v>102</v>
      </c>
      <c r="D54" s="20">
        <f t="shared" ref="D54:AD54" si="85">MIN(D11:D40)</f>
        <v>75.599999999999994</v>
      </c>
      <c r="E54" s="20">
        <f t="shared" si="85"/>
        <v>76.599999999999994</v>
      </c>
      <c r="F54" s="20">
        <f t="shared" si="85"/>
        <v>76.099999999999994</v>
      </c>
      <c r="G54" s="20">
        <f t="shared" si="85"/>
        <v>69.25</v>
      </c>
      <c r="H54" s="20"/>
      <c r="I54" s="20"/>
      <c r="J54" s="20"/>
      <c r="K54" s="20">
        <f t="shared" si="85"/>
        <v>66.709999999999994</v>
      </c>
      <c r="L54" s="20">
        <f t="shared" si="85"/>
        <v>69.22229999999999</v>
      </c>
      <c r="M54" s="20">
        <f t="shared" si="85"/>
        <v>10</v>
      </c>
      <c r="N54" s="20">
        <f t="shared" si="85"/>
        <v>10</v>
      </c>
      <c r="O54" s="20">
        <f t="shared" si="85"/>
        <v>10</v>
      </c>
      <c r="P54" s="20">
        <f t="shared" si="85"/>
        <v>10</v>
      </c>
      <c r="Q54" s="20">
        <f t="shared" si="85"/>
        <v>61</v>
      </c>
      <c r="R54" s="20">
        <f t="shared" si="85"/>
        <v>35.5</v>
      </c>
      <c r="S54" s="20">
        <f t="shared" si="85"/>
        <v>75.599999999999994</v>
      </c>
      <c r="T54" s="20">
        <f t="shared" si="85"/>
        <v>68.099999999999994</v>
      </c>
      <c r="U54" s="20">
        <f t="shared" si="85"/>
        <v>71.849999999999994</v>
      </c>
      <c r="V54" s="20">
        <f t="shared" si="85"/>
        <v>40</v>
      </c>
      <c r="W54" s="20">
        <f t="shared" si="85"/>
        <v>40</v>
      </c>
      <c r="X54" s="20">
        <f t="shared" si="85"/>
        <v>40</v>
      </c>
      <c r="Y54" s="20">
        <f t="shared" si="85"/>
        <v>66.2</v>
      </c>
      <c r="Z54" s="20">
        <f t="shared" si="85"/>
        <v>66.2</v>
      </c>
      <c r="AA54" s="20">
        <f t="shared" si="85"/>
        <v>66.2</v>
      </c>
      <c r="AB54" s="20">
        <f t="shared" si="85"/>
        <v>67</v>
      </c>
      <c r="AC54" s="20">
        <f t="shared" si="85"/>
        <v>76</v>
      </c>
      <c r="AD54" s="20">
        <f t="shared" si="85"/>
        <v>76.2</v>
      </c>
      <c r="AF54" s="83">
        <f t="shared" ref="AF54:AM54" si="86">MIN(AF11:AF40)</f>
        <v>103.66</v>
      </c>
      <c r="AG54" s="84">
        <f t="shared" si="86"/>
        <v>48.213953488372091</v>
      </c>
      <c r="AH54" s="83">
        <f t="shared" si="86"/>
        <v>0</v>
      </c>
      <c r="AI54" s="84">
        <f t="shared" si="86"/>
        <v>0</v>
      </c>
      <c r="AJ54" s="83">
        <f t="shared" si="86"/>
        <v>52.75</v>
      </c>
      <c r="AK54" s="84">
        <f t="shared" si="86"/>
        <v>52.75</v>
      </c>
      <c r="AL54" s="83">
        <f t="shared" si="86"/>
        <v>0</v>
      </c>
      <c r="AM54" s="84">
        <f t="shared" si="86"/>
        <v>0</v>
      </c>
      <c r="AN54" s="84"/>
      <c r="AO54" s="84"/>
      <c r="AP54" s="84"/>
      <c r="AQ54" s="84"/>
      <c r="AR54" s="84"/>
      <c r="AS54" s="84"/>
      <c r="AT54" s="84"/>
      <c r="AU54" s="84"/>
      <c r="AV54" s="83">
        <f>MIN(AV11:AV40)</f>
        <v>75.8</v>
      </c>
      <c r="AW54" s="84">
        <f>MIN(AW11:AW40)</f>
        <v>75.8</v>
      </c>
      <c r="AX54" s="83">
        <f>MIN(AX11:AX40)</f>
        <v>0</v>
      </c>
      <c r="AY54" s="84">
        <f>MIN(AY11:AY40)</f>
        <v>0</v>
      </c>
      <c r="AZ54" s="84"/>
      <c r="BA54" s="84"/>
      <c r="BB54" s="83">
        <f t="shared" ref="BB54:BG54" si="87">MIN(BB11:BB40)</f>
        <v>0</v>
      </c>
      <c r="BC54" s="84">
        <f t="shared" si="87"/>
        <v>0</v>
      </c>
      <c r="BD54" s="83">
        <f t="shared" si="87"/>
        <v>107.20949999999999</v>
      </c>
      <c r="BE54" s="84">
        <f t="shared" si="87"/>
        <v>62.695614035087708</v>
      </c>
      <c r="BF54" s="83">
        <f t="shared" si="87"/>
        <v>0</v>
      </c>
      <c r="BG54" s="84">
        <f t="shared" si="87"/>
        <v>0</v>
      </c>
      <c r="BJ54" s="4">
        <f t="shared" si="18"/>
        <v>20</v>
      </c>
      <c r="BL54" s="4">
        <f t="shared" si="19"/>
        <v>33.1</v>
      </c>
      <c r="BT54" s="4">
        <f t="shared" si="67"/>
        <v>38.299999999999997</v>
      </c>
      <c r="BU54" s="87">
        <f t="shared" si="23"/>
        <v>0.7659999999999999</v>
      </c>
      <c r="CP54" s="81">
        <f t="shared" si="26"/>
        <v>5</v>
      </c>
      <c r="CQ54" s="87">
        <f t="shared" si="27"/>
        <v>0.1</v>
      </c>
      <c r="CR54" s="4">
        <f t="shared" si="28"/>
        <v>30.5</v>
      </c>
      <c r="CS54" s="87">
        <f t="shared" si="29"/>
        <v>0.61</v>
      </c>
      <c r="DR54" s="81">
        <f t="shared" si="30"/>
        <v>5</v>
      </c>
      <c r="DS54" s="87">
        <f t="shared" si="31"/>
        <v>0.1</v>
      </c>
      <c r="DX54" s="81">
        <f t="shared" si="32"/>
        <v>5</v>
      </c>
      <c r="EB54" s="81">
        <f t="shared" si="34"/>
        <v>11.08</v>
      </c>
      <c r="ED54" s="80" t="str">
        <f t="shared" si="68"/>
        <v/>
      </c>
      <c r="EE54" s="89" t="str">
        <f t="shared" si="36"/>
        <v/>
      </c>
      <c r="EF54" s="206">
        <f t="shared" si="69"/>
        <v>0</v>
      </c>
      <c r="EG54" s="89">
        <f t="shared" si="38"/>
        <v>0</v>
      </c>
      <c r="EH54" s="98">
        <f t="shared" si="70"/>
        <v>0</v>
      </c>
      <c r="EL54" s="81">
        <f t="shared" si="71"/>
        <v>14.009099999999998</v>
      </c>
      <c r="EM54" s="87">
        <f t="shared" si="42"/>
        <v>0</v>
      </c>
      <c r="EO54" s="4" t="str">
        <f t="shared" si="43"/>
        <v/>
      </c>
      <c r="ER54" s="4">
        <f t="shared" si="44"/>
        <v>37.799999999999997</v>
      </c>
      <c r="ES54" s="87">
        <f t="shared" si="45"/>
        <v>0.75599999999999989</v>
      </c>
      <c r="ET54" s="4">
        <f t="shared" si="46"/>
        <v>34.049999999999997</v>
      </c>
      <c r="EU54" s="87">
        <f t="shared" si="47"/>
        <v>0.68099999999999994</v>
      </c>
      <c r="EX54" s="80">
        <f t="shared" si="49"/>
        <v>33.5</v>
      </c>
      <c r="EY54" s="89">
        <f t="shared" si="50"/>
        <v>0.67</v>
      </c>
      <c r="EZ54" s="80">
        <f t="shared" si="51"/>
        <v>38</v>
      </c>
      <c r="FA54" s="89">
        <f t="shared" si="52"/>
        <v>0.76</v>
      </c>
    </row>
    <row r="55" spans="3:171" ht="14.5" hidden="1" thickBot="1">
      <c r="C55" s="85" t="s">
        <v>103</v>
      </c>
      <c r="D55" s="86">
        <f t="shared" ref="D55:AD55" si="88">MAX(D11:D40)</f>
        <v>94</v>
      </c>
      <c r="E55" s="86">
        <f t="shared" si="88"/>
        <v>99.5</v>
      </c>
      <c r="F55" s="86">
        <f t="shared" si="88"/>
        <v>96.75</v>
      </c>
      <c r="G55" s="86">
        <f t="shared" si="88"/>
        <v>82.5</v>
      </c>
      <c r="H55" s="86"/>
      <c r="I55" s="86"/>
      <c r="J55" s="86"/>
      <c r="K55" s="86">
        <f t="shared" si="88"/>
        <v>86.48</v>
      </c>
      <c r="L55" s="86">
        <f t="shared" si="88"/>
        <v>84.559700000000007</v>
      </c>
      <c r="M55" s="86">
        <f t="shared" si="88"/>
        <v>89.5</v>
      </c>
      <c r="N55" s="86">
        <f t="shared" si="88"/>
        <v>96.5</v>
      </c>
      <c r="O55" s="86">
        <f t="shared" si="88"/>
        <v>91.25</v>
      </c>
      <c r="P55" s="86">
        <f t="shared" si="88"/>
        <v>88</v>
      </c>
      <c r="Q55" s="86">
        <f t="shared" si="88"/>
        <v>94.5</v>
      </c>
      <c r="R55" s="86">
        <f t="shared" si="88"/>
        <v>87.75</v>
      </c>
      <c r="S55" s="86">
        <f t="shared" si="88"/>
        <v>95.5</v>
      </c>
      <c r="T55" s="86">
        <f t="shared" si="88"/>
        <v>95.5</v>
      </c>
      <c r="U55" s="86">
        <f t="shared" si="88"/>
        <v>95.5</v>
      </c>
      <c r="V55" s="86">
        <f t="shared" si="88"/>
        <v>93.2</v>
      </c>
      <c r="W55" s="86">
        <f t="shared" si="88"/>
        <v>95.5</v>
      </c>
      <c r="X55" s="86">
        <f t="shared" si="88"/>
        <v>93.2</v>
      </c>
      <c r="Y55" s="86">
        <f t="shared" si="88"/>
        <v>90.4</v>
      </c>
      <c r="Z55" s="86">
        <f t="shared" si="88"/>
        <v>90.4</v>
      </c>
      <c r="AA55" s="86">
        <f t="shared" si="88"/>
        <v>90.4</v>
      </c>
      <c r="AB55" s="86">
        <f t="shared" si="88"/>
        <v>95.5</v>
      </c>
      <c r="AC55" s="86">
        <f t="shared" si="88"/>
        <v>98</v>
      </c>
      <c r="AD55" s="86">
        <f t="shared" si="88"/>
        <v>95.35</v>
      </c>
      <c r="AF55" s="83">
        <f t="shared" ref="AF55:AM55" si="89">MAX(AF11:AF40)</f>
        <v>144.35579999999999</v>
      </c>
      <c r="AG55" s="84">
        <f t="shared" si="89"/>
        <v>67.142232558139526</v>
      </c>
      <c r="AH55" s="83">
        <f t="shared" si="89"/>
        <v>0</v>
      </c>
      <c r="AI55" s="84">
        <f t="shared" si="89"/>
        <v>0</v>
      </c>
      <c r="AJ55" s="83">
        <f t="shared" si="89"/>
        <v>90</v>
      </c>
      <c r="AK55" s="84">
        <f t="shared" si="89"/>
        <v>90</v>
      </c>
      <c r="AL55" s="83">
        <f t="shared" si="89"/>
        <v>0</v>
      </c>
      <c r="AM55" s="84">
        <f t="shared" si="89"/>
        <v>0</v>
      </c>
      <c r="AN55" s="84"/>
      <c r="AO55" s="84"/>
      <c r="AP55" s="84"/>
      <c r="AQ55" s="84"/>
      <c r="AR55" s="84"/>
      <c r="AS55" s="84"/>
      <c r="AT55" s="84"/>
      <c r="AU55" s="84"/>
      <c r="AV55" s="83">
        <f>MAX(AV11:AV40)</f>
        <v>93.25</v>
      </c>
      <c r="AW55" s="84">
        <f>MAX(AW11:AW40)</f>
        <v>93.25</v>
      </c>
      <c r="AX55" s="83">
        <f>MAX(AX11:AX40)</f>
        <v>0</v>
      </c>
      <c r="AY55" s="84">
        <f>MAX(AY11:AY40)</f>
        <v>0</v>
      </c>
      <c r="AZ55" s="84"/>
      <c r="BA55" s="84"/>
      <c r="BB55" s="83">
        <f t="shared" ref="BB55:BG55" si="90">MAX(BB11:BB40)</f>
        <v>0</v>
      </c>
      <c r="BC55" s="84">
        <f t="shared" si="90"/>
        <v>0</v>
      </c>
      <c r="BD55" s="83">
        <f t="shared" si="90"/>
        <v>159.0291</v>
      </c>
      <c r="BE55" s="84">
        <f t="shared" si="90"/>
        <v>92.999473684210514</v>
      </c>
      <c r="BF55" s="83">
        <f t="shared" si="90"/>
        <v>0</v>
      </c>
      <c r="BG55" s="84">
        <f t="shared" si="90"/>
        <v>0</v>
      </c>
      <c r="BJ55" s="4">
        <f t="shared" si="18"/>
        <v>46.6</v>
      </c>
      <c r="BL55" s="4">
        <f t="shared" si="19"/>
        <v>45.2</v>
      </c>
      <c r="BT55" s="4">
        <f t="shared" si="67"/>
        <v>49.75</v>
      </c>
      <c r="BU55" s="87">
        <f t="shared" si="23"/>
        <v>0.995</v>
      </c>
      <c r="CP55" s="81">
        <f t="shared" si="26"/>
        <v>44</v>
      </c>
      <c r="CQ55" s="87">
        <f t="shared" si="27"/>
        <v>0.88</v>
      </c>
      <c r="CR55" s="4">
        <f t="shared" si="28"/>
        <v>47.25</v>
      </c>
      <c r="CS55" s="87">
        <f t="shared" si="29"/>
        <v>0.94499999999999995</v>
      </c>
      <c r="DR55" s="81">
        <f t="shared" si="30"/>
        <v>44.75</v>
      </c>
      <c r="DS55" s="87">
        <f t="shared" si="31"/>
        <v>0.89500000000000002</v>
      </c>
      <c r="DX55" s="81">
        <f t="shared" si="32"/>
        <v>48.25</v>
      </c>
      <c r="EB55" s="81">
        <f t="shared" si="34"/>
        <v>13.200000000000001</v>
      </c>
      <c r="ED55" s="80" t="str">
        <f t="shared" si="68"/>
        <v/>
      </c>
      <c r="EE55" s="89" t="str">
        <f t="shared" si="36"/>
        <v/>
      </c>
      <c r="EF55" s="206" t="str">
        <f t="shared" si="69"/>
        <v/>
      </c>
      <c r="EG55" s="89" t="str">
        <f t="shared" si="38"/>
        <v/>
      </c>
      <c r="EH55" s="98" t="str">
        <f t="shared" si="70"/>
        <v/>
      </c>
      <c r="EL55" s="81" t="str">
        <f t="shared" si="71"/>
        <v/>
      </c>
      <c r="EM55" s="87" t="str">
        <f t="shared" si="42"/>
        <v/>
      </c>
      <c r="EO55" s="4" t="str">
        <f t="shared" si="43"/>
        <v/>
      </c>
      <c r="ER55" s="4">
        <f t="shared" si="44"/>
        <v>47.75</v>
      </c>
      <c r="ES55" s="87">
        <f t="shared" si="45"/>
        <v>0.95499999999999996</v>
      </c>
      <c r="ET55" s="4">
        <f t="shared" si="46"/>
        <v>47.75</v>
      </c>
      <c r="EU55" s="87">
        <f t="shared" si="47"/>
        <v>0.95499999999999996</v>
      </c>
      <c r="EX55" s="80">
        <f t="shared" si="49"/>
        <v>47.75</v>
      </c>
      <c r="EY55" s="89">
        <f t="shared" si="50"/>
        <v>0.95499999999999996</v>
      </c>
      <c r="EZ55" s="80">
        <f t="shared" si="51"/>
        <v>49</v>
      </c>
      <c r="FA55" s="89">
        <f t="shared" si="52"/>
        <v>0.98</v>
      </c>
    </row>
    <row r="56" spans="3:171" ht="14.5" thickBot="1">
      <c r="C56" s="55" t="s">
        <v>183</v>
      </c>
      <c r="D56" s="58">
        <f t="shared" ref="D56:AD56" si="91">AVERAGE(D11:D40)</f>
        <v>83.156666666666666</v>
      </c>
      <c r="E56" s="58">
        <f t="shared" si="91"/>
        <v>86.406666666666666</v>
      </c>
      <c r="F56" s="58">
        <f t="shared" si="91"/>
        <v>84.781666666666666</v>
      </c>
      <c r="G56" s="58">
        <f t="shared" si="91"/>
        <v>77.285000000000025</v>
      </c>
      <c r="H56" s="58">
        <f t="shared" si="91"/>
        <v>79.126666666666694</v>
      </c>
      <c r="I56" s="58">
        <f t="shared" si="91"/>
        <v>82.213333333333352</v>
      </c>
      <c r="J56" s="58">
        <f t="shared" si="91"/>
        <v>78.606666666666655</v>
      </c>
      <c r="K56" s="58">
        <f t="shared" si="91"/>
        <v>82.174666666666681</v>
      </c>
      <c r="L56" s="58">
        <f t="shared" si="91"/>
        <v>80.165413333333333</v>
      </c>
      <c r="M56" s="58">
        <f t="shared" si="91"/>
        <v>79.833333333333343</v>
      </c>
      <c r="N56" s="58">
        <f t="shared" si="91"/>
        <v>79.423333333333346</v>
      </c>
      <c r="O56" s="58">
        <f t="shared" si="91"/>
        <v>79.628333333333345</v>
      </c>
      <c r="P56" s="58">
        <f t="shared" si="91"/>
        <v>81.973333333333343</v>
      </c>
      <c r="Q56" s="58">
        <f t="shared" si="91"/>
        <v>85.710000000000008</v>
      </c>
      <c r="R56" s="58">
        <f t="shared" si="91"/>
        <v>83.841666666666669</v>
      </c>
      <c r="S56" s="58">
        <f t="shared" si="91"/>
        <v>80.39</v>
      </c>
      <c r="T56" s="58">
        <f t="shared" si="91"/>
        <v>73.876666666666651</v>
      </c>
      <c r="U56" s="58">
        <f t="shared" si="91"/>
        <v>77.13333333333334</v>
      </c>
      <c r="V56" s="58">
        <f t="shared" si="91"/>
        <v>83.904999999999973</v>
      </c>
      <c r="W56" s="58">
        <f>AVERAGE(W11:W40)</f>
        <v>90.013333333333321</v>
      </c>
      <c r="X56" s="58">
        <f t="shared" si="91"/>
        <v>86.959166666666661</v>
      </c>
      <c r="Y56" s="58">
        <f t="shared" si="91"/>
        <v>82.121666666666684</v>
      </c>
      <c r="Z56" s="58">
        <f t="shared" si="91"/>
        <v>82.121666666666684</v>
      </c>
      <c r="AA56" s="58">
        <f t="shared" si="91"/>
        <v>82.121666666666684</v>
      </c>
      <c r="AB56" s="58">
        <f t="shared" si="91"/>
        <v>85.90333333333335</v>
      </c>
      <c r="AC56" s="58">
        <f t="shared" si="91"/>
        <v>90.84</v>
      </c>
      <c r="AD56" s="58">
        <f t="shared" si="91"/>
        <v>88.37166666666667</v>
      </c>
      <c r="AF56" s="53">
        <f>IFERROR(AVERAGE(AF11:AF44),"")</f>
        <v>134.12814736842105</v>
      </c>
      <c r="AG56" s="53">
        <f t="shared" ref="AG56:BG56" si="92">IFERROR(AVERAGE(AG11:AG44),"")</f>
        <v>62.385184822521417</v>
      </c>
      <c r="AH56" s="53" t="str">
        <f t="shared" si="92"/>
        <v/>
      </c>
      <c r="AI56" s="53" t="str">
        <f t="shared" si="92"/>
        <v/>
      </c>
      <c r="AJ56" s="53">
        <f t="shared" si="92"/>
        <v>81.052941176470583</v>
      </c>
      <c r="AK56" s="53">
        <f t="shared" si="92"/>
        <v>81.052941176470583</v>
      </c>
      <c r="AL56" s="53" t="str">
        <f t="shared" si="92"/>
        <v/>
      </c>
      <c r="AM56" s="53" t="str">
        <f t="shared" si="92"/>
        <v/>
      </c>
      <c r="AN56" s="53" t="str">
        <f t="shared" si="92"/>
        <v/>
      </c>
      <c r="AO56" s="53" t="str">
        <f t="shared" si="92"/>
        <v/>
      </c>
      <c r="AP56" s="53" t="str">
        <f t="shared" si="92"/>
        <v/>
      </c>
      <c r="AQ56" s="53" t="str">
        <f t="shared" si="92"/>
        <v/>
      </c>
      <c r="AR56" s="53" t="str">
        <f t="shared" si="92"/>
        <v/>
      </c>
      <c r="AS56" s="53" t="str">
        <f t="shared" si="92"/>
        <v/>
      </c>
      <c r="AT56" s="53" t="str">
        <f t="shared" si="92"/>
        <v/>
      </c>
      <c r="AU56" s="53" t="str">
        <f t="shared" si="92"/>
        <v/>
      </c>
      <c r="AV56" s="53">
        <f t="shared" si="92"/>
        <v>82.147058823529406</v>
      </c>
      <c r="AW56" s="53">
        <f t="shared" si="92"/>
        <v>82.147058823529406</v>
      </c>
      <c r="AX56" s="53" t="str">
        <f t="shared" si="92"/>
        <v/>
      </c>
      <c r="AY56" s="53" t="str">
        <f t="shared" si="92"/>
        <v/>
      </c>
      <c r="AZ56" s="53" t="str">
        <f t="shared" si="92"/>
        <v/>
      </c>
      <c r="BA56" s="53" t="str">
        <f t="shared" si="92"/>
        <v/>
      </c>
      <c r="BB56" s="53" t="str">
        <f t="shared" si="92"/>
        <v/>
      </c>
      <c r="BC56" s="53" t="str">
        <f t="shared" si="92"/>
        <v/>
      </c>
      <c r="BD56" s="53">
        <f t="shared" si="92"/>
        <v>140.27308421052629</v>
      </c>
      <c r="BE56" s="53">
        <f t="shared" si="92"/>
        <v>82.031043397968574</v>
      </c>
      <c r="BF56" s="53" t="str">
        <f t="shared" si="92"/>
        <v/>
      </c>
      <c r="BG56" s="53" t="str">
        <f t="shared" si="92"/>
        <v/>
      </c>
      <c r="BJ56" s="4">
        <f t="shared" si="18"/>
        <v>41.952499999999986</v>
      </c>
      <c r="BK56" s="97">
        <f>AVERAGE(BK11:BK44)</f>
        <v>0.84572058823529417</v>
      </c>
      <c r="BL56" s="4">
        <f t="shared" si="19"/>
        <v>41.060833333333342</v>
      </c>
      <c r="BM56" s="97">
        <f>AVERAGE(BM11:BM44)</f>
        <v>0.81708823529411756</v>
      </c>
      <c r="BN56" s="81">
        <f t="shared" ref="BN56" si="93">AVERAGE(BN11:BN44)</f>
        <v>41.455882352941174</v>
      </c>
      <c r="BO56" s="97">
        <f>AVERAGE(BO11:BO44)</f>
        <v>0.82911764705882351</v>
      </c>
      <c r="BP56" s="81">
        <f>AVERAGE(BP11:BP44)</f>
        <v>41.536029411764702</v>
      </c>
      <c r="BQ56" s="97">
        <f>AVERAGE(BQ11:BQ44)</f>
        <v>0.83072058823529382</v>
      </c>
      <c r="BR56" s="81"/>
      <c r="BS56" s="81"/>
      <c r="BT56" s="81">
        <f>AVERAGE(BT11:BT44)</f>
        <v>42.96985294117647</v>
      </c>
      <c r="BU56" s="87">
        <f>AVERAGE(BU11:BU44)</f>
        <v>0.85939705882352913</v>
      </c>
      <c r="BV56" s="81"/>
      <c r="BW56" s="81"/>
      <c r="BX56" s="81"/>
      <c r="BY56" s="81"/>
      <c r="BZ56" s="81"/>
      <c r="CA56" s="97"/>
      <c r="CB56" s="81"/>
      <c r="CC56" s="97"/>
      <c r="CD56" s="81"/>
      <c r="CE56" s="97"/>
      <c r="CF56" s="81"/>
      <c r="CG56" s="81"/>
      <c r="CH56" s="81"/>
      <c r="CI56" s="81"/>
      <c r="CJ56" s="81"/>
      <c r="CK56" s="81"/>
      <c r="CL56" s="81"/>
      <c r="CM56" s="81"/>
      <c r="CN56" s="81"/>
      <c r="CO56" s="81"/>
      <c r="CP56" s="207">
        <f>AVERAGE(CP11:CP44)</f>
        <v>39.561764705882354</v>
      </c>
      <c r="CQ56" s="87">
        <f>AVERAGE(CQ11:CQ44)</f>
        <v>0.79123529411764704</v>
      </c>
      <c r="CR56" s="81">
        <f>AVERAGE(CR11:CR44)</f>
        <v>42.180882352941182</v>
      </c>
      <c r="CS56" s="87">
        <f>AVERAGE(CS11:CS44)</f>
        <v>0.84361764705882358</v>
      </c>
      <c r="CT56" s="81"/>
      <c r="CU56" s="81"/>
      <c r="CV56" s="81"/>
      <c r="CW56" s="81"/>
      <c r="CX56" s="81"/>
      <c r="CY56" s="81"/>
      <c r="CZ56" s="81"/>
      <c r="DA56" s="81"/>
      <c r="DB56" s="81"/>
      <c r="DC56" s="81"/>
      <c r="DD56" s="81"/>
      <c r="DE56" s="81"/>
      <c r="DF56" s="81"/>
      <c r="DG56" s="81"/>
      <c r="DH56" s="81"/>
      <c r="DI56" s="81"/>
      <c r="DJ56" s="81"/>
      <c r="DK56" s="81"/>
      <c r="DL56" s="81"/>
      <c r="DM56" s="81"/>
      <c r="DN56" s="81"/>
      <c r="DO56" s="81"/>
      <c r="DP56" s="81"/>
      <c r="DQ56" s="81"/>
      <c r="DR56" s="81">
        <f>AVERAGE(DR11:DR44)</f>
        <v>38.955882352941181</v>
      </c>
      <c r="DS56" s="87">
        <f t="shared" si="31"/>
        <v>0.77911764705882358</v>
      </c>
      <c r="DT56" s="81"/>
      <c r="DU56" s="81"/>
      <c r="DV56" s="81"/>
      <c r="DW56" s="81"/>
      <c r="DX56" s="81">
        <f>AVERAGE(DX11:DX44)</f>
        <v>38.363235294117651</v>
      </c>
      <c r="DY56" s="97">
        <f>AVERAGE(DY11:DY44)</f>
        <v>0.76726470588235307</v>
      </c>
      <c r="DZ56" s="81"/>
      <c r="EA56" s="97"/>
      <c r="EB56" s="81">
        <f>AVERAGE(EB11:EB44)</f>
        <v>12.363811764705879</v>
      </c>
      <c r="EC56" s="97">
        <f>AVERAGE(EC11:EC44)</f>
        <v>0.77273823529411745</v>
      </c>
      <c r="ED56" s="80">
        <f>AVERAGE(ED11:ED44)</f>
        <v>12.550870588235295</v>
      </c>
      <c r="EE56" s="89">
        <f t="shared" si="36"/>
        <v>0.78442941176470593</v>
      </c>
      <c r="EF56" s="206">
        <f>AVERAGE(EF11:EF44)</f>
        <v>20.984829411764714</v>
      </c>
      <c r="EG56" s="210">
        <f>AVERAGE(EG11:EG44)</f>
        <v>0.8071088235294116</v>
      </c>
      <c r="EH56" s="80">
        <f>AVERAGE(EH11:EH44)</f>
        <v>16.41687352941176</v>
      </c>
      <c r="EI56" s="89">
        <f>AVERAGE(EI11:EI44)</f>
        <v>0.78175588235294113</v>
      </c>
      <c r="EJ56" s="81"/>
      <c r="EK56" s="81"/>
      <c r="EL56" s="81">
        <f>AVERAGE(EL11:EL44)</f>
        <v>16.938847058823534</v>
      </c>
      <c r="EM56" s="87">
        <f>AVERAGE(EM11:EM44)</f>
        <v>0.8071088235294116</v>
      </c>
      <c r="EN56" s="81"/>
      <c r="EO56" s="4" t="str">
        <f t="shared" si="43"/>
        <v/>
      </c>
      <c r="EP56" s="81"/>
      <c r="EQ56" s="81"/>
      <c r="ER56" s="4">
        <f>AVERAGE(ER11:ER44)</f>
        <v>41.017647058823528</v>
      </c>
      <c r="ES56" s="87">
        <f>AVERAGE(ES11:ES44)</f>
        <v>0.82035294117647051</v>
      </c>
      <c r="ET56" s="4">
        <f>AVERAGE(ET11:ET44)</f>
        <v>38.077941176470581</v>
      </c>
      <c r="EU56" s="87">
        <f>AVERAGE(EU11:EU44)</f>
        <v>0.7615588235294114</v>
      </c>
      <c r="EV56" s="81"/>
      <c r="EW56" s="97"/>
      <c r="EX56" s="80">
        <f>AVERAGE(EX11:EX44)</f>
        <v>42.920588235294126</v>
      </c>
      <c r="EY56" s="89">
        <f>AVERAGE(EY11:EY44)</f>
        <v>0.85841176470588243</v>
      </c>
      <c r="EZ56" s="80">
        <f>AVERAGE(EZ11:EZ44)</f>
        <v>45.216176470588238</v>
      </c>
      <c r="FA56" s="89">
        <f>AVERAGE(FA11:FA44)</f>
        <v>0.90432352941176497</v>
      </c>
      <c r="FB56" s="188"/>
      <c r="FC56" s="188"/>
      <c r="FD56" s="81"/>
      <c r="FE56" s="97"/>
      <c r="FF56" s="191">
        <f t="shared" ref="FF56" si="94">AVERAGE(FF11:FF44)</f>
        <v>142.61461111111109</v>
      </c>
      <c r="FG56" s="193">
        <f>AVERAGE(FG11:FG44)</f>
        <v>0.83400357374918788</v>
      </c>
      <c r="FH56" s="191"/>
      <c r="FI56" s="191"/>
      <c r="FJ56" s="191" t="e">
        <f t="shared" ref="FJ56:FN56" si="95">AVERAGE(FJ11:FJ44)</f>
        <v>#DIV/0!</v>
      </c>
      <c r="FK56" s="193" t="e">
        <f>AVERAGE(FK11:FK44)</f>
        <v>#DIV/0!</v>
      </c>
      <c r="FL56" s="191">
        <f t="shared" si="95"/>
        <v>41.347222222222221</v>
      </c>
      <c r="FM56" s="193">
        <f>AVERAGE(FM11:FM44)</f>
        <v>0.82694444444444448</v>
      </c>
      <c r="FN56" s="194">
        <f t="shared" si="95"/>
        <v>818.43648135152694</v>
      </c>
      <c r="FO56" s="101"/>
    </row>
    <row r="57" spans="3:171">
      <c r="BJ57" s="87">
        <f>BJ56/BJ9</f>
        <v>0.83904999999999974</v>
      </c>
      <c r="BK57" s="58">
        <f>COUNTIF($BK$11:$BK$44,"&gt;=65%")</f>
        <v>33</v>
      </c>
      <c r="BL57" s="87">
        <f>BL56/BL9</f>
        <v>0.82121666666666682</v>
      </c>
      <c r="BM57" s="58">
        <f>COUNTIF($BM$11:$BM$44,"&gt;=65%")</f>
        <v>33</v>
      </c>
      <c r="BN57" s="87">
        <f>BN56/BN9</f>
        <v>0.82911764705882351</v>
      </c>
      <c r="BO57" s="58">
        <f>COUNTIF($BO$11:$BO$44,"&gt;=65%")</f>
        <v>34</v>
      </c>
      <c r="BP57" s="87">
        <f t="shared" ref="BP57" si="96">BP56/BP9</f>
        <v>0.83072058823529404</v>
      </c>
      <c r="BQ57" s="58">
        <f>COUNTIF($BQ$11:$BQ$44,"&gt;=65%")</f>
        <v>34</v>
      </c>
      <c r="BR57" s="58"/>
      <c r="BS57" s="58"/>
      <c r="BT57" s="87">
        <f>BT56/BT9</f>
        <v>0.85939705882352935</v>
      </c>
      <c r="BU57" s="207">
        <f>COUNTIF($BU$11:$BU$44,"&gt;=65%")</f>
        <v>34</v>
      </c>
      <c r="BV57" s="87"/>
      <c r="BW57" s="87"/>
      <c r="BX57" s="87"/>
      <c r="BY57" s="87"/>
      <c r="BZ57" s="87"/>
      <c r="CA57" s="58"/>
      <c r="CB57" s="87"/>
      <c r="CC57" s="58"/>
      <c r="CD57" s="87"/>
      <c r="CE57" s="58"/>
      <c r="CF57" s="87"/>
      <c r="CG57" s="87"/>
      <c r="CH57" s="87"/>
      <c r="CI57" s="87"/>
      <c r="CJ57" s="87"/>
      <c r="CK57" s="87"/>
      <c r="CL57" s="87"/>
      <c r="CM57" s="87"/>
      <c r="CN57" s="87"/>
      <c r="CO57" s="87"/>
      <c r="CP57" s="87">
        <f>CP56/CP9</f>
        <v>0.79123529411764704</v>
      </c>
      <c r="CQ57" s="207">
        <f>COUNTIF($CQ$11:$CQ$44,"&gt;=65%")</f>
        <v>32</v>
      </c>
      <c r="CR57" s="87">
        <f>CR56/CR9</f>
        <v>0.84361764705882369</v>
      </c>
      <c r="CS57" s="207">
        <f>COUNTIF($CS$11:$CS$44,"&gt;=65%")</f>
        <v>32</v>
      </c>
      <c r="CT57" s="87"/>
      <c r="CU57" s="87"/>
      <c r="CV57" s="87"/>
      <c r="CW57" s="87"/>
      <c r="CX57" s="87"/>
      <c r="CY57" s="87"/>
      <c r="CZ57" s="87"/>
      <c r="DA57" s="87"/>
      <c r="DB57" s="87"/>
      <c r="DC57" s="87"/>
      <c r="DD57" s="87"/>
      <c r="DE57" s="87"/>
      <c r="DF57" s="87"/>
      <c r="DG57" s="87"/>
      <c r="DH57" s="87"/>
      <c r="DI57" s="87"/>
      <c r="DJ57" s="87"/>
      <c r="DK57" s="87"/>
      <c r="DL57" s="87"/>
      <c r="DM57" s="87"/>
      <c r="DN57" s="87"/>
      <c r="DO57" s="87"/>
      <c r="DP57" s="87"/>
      <c r="DQ57" s="87"/>
      <c r="DR57" s="87">
        <f>DR56/DR9</f>
        <v>0.77911764705882358</v>
      </c>
      <c r="DS57" s="207">
        <f>COUNTIF($DS11:$DS$44,"&gt;=65%")</f>
        <v>32</v>
      </c>
      <c r="DT57" s="87"/>
      <c r="DU57" s="87"/>
      <c r="DV57" s="87"/>
      <c r="DW57" s="87"/>
      <c r="DX57" s="87">
        <f>DX56/DX9</f>
        <v>0.76726470588235296</v>
      </c>
      <c r="DY57" s="58">
        <f>COUNTIF($DY$11:$DY$44,"&gt;=65%")</f>
        <v>28</v>
      </c>
      <c r="DZ57" s="87"/>
      <c r="EA57" s="58"/>
      <c r="EB57" s="87">
        <f>EB56/EB9</f>
        <v>0.77273823529411745</v>
      </c>
      <c r="EC57" s="58">
        <f>COUNTIF($EC$11:$EC$44,"&gt;=65%")</f>
        <v>34</v>
      </c>
      <c r="ED57" s="89">
        <f>ED56/ED9</f>
        <v>0.78442941176470593</v>
      </c>
      <c r="EE57" s="80">
        <f>COUNTIF($EE$11:$EE$44,"&gt;=65%")</f>
        <v>33</v>
      </c>
      <c r="EF57" s="210">
        <f>EF56/EF9</f>
        <v>0.80710882352941204</v>
      </c>
      <c r="EG57" s="80">
        <f>COUNTIF($EG$11:$EG$44,"&gt;=65%")</f>
        <v>32</v>
      </c>
      <c r="EH57" s="98">
        <f>EH56/EH9</f>
        <v>0.78175588235294091</v>
      </c>
      <c r="EI57" s="58">
        <f>COUNTIF($EI$11:$EI$44,"&gt;=65%")</f>
        <v>33</v>
      </c>
      <c r="EJ57" s="87"/>
      <c r="EK57" s="87"/>
      <c r="EL57" s="87">
        <f>BT56/BT9</f>
        <v>0.85939705882352935</v>
      </c>
      <c r="EM57" s="207">
        <f>COUNTIF($EM$11:$EM$44,"&gt;=65%")</f>
        <v>32</v>
      </c>
      <c r="EN57" s="87"/>
      <c r="EO57" s="4" t="str">
        <f t="shared" si="43"/>
        <v/>
      </c>
      <c r="EP57" s="87"/>
      <c r="EQ57" s="87"/>
      <c r="ER57" s="87">
        <f>BT56/BT9</f>
        <v>0.85939705882352935</v>
      </c>
      <c r="ES57" s="207">
        <f>COUNTIF($ES$11:$ES$44,"&gt;=65%")</f>
        <v>34</v>
      </c>
      <c r="ET57" s="87">
        <f>BT56/BT9</f>
        <v>0.85939705882352935</v>
      </c>
      <c r="EU57" s="207">
        <f>COUNTIF($EU$11:$EU$44,"&gt;=65%")</f>
        <v>34</v>
      </c>
      <c r="EV57" s="87"/>
      <c r="EW57" s="58"/>
      <c r="EX57" s="89">
        <f>BT56/BT9</f>
        <v>0.85939705882352935</v>
      </c>
      <c r="EY57" s="80">
        <f>COUNTIF($EY$11:$EY$44,"&gt;=65%")</f>
        <v>34</v>
      </c>
      <c r="EZ57" s="89">
        <f>BT56/BT9</f>
        <v>0.85939705882352935</v>
      </c>
      <c r="FA57" s="80">
        <f>COUNTIF($FA$11:$FA$44,"&gt;=65%")</f>
        <v>33</v>
      </c>
      <c r="FB57" s="58"/>
      <c r="FC57" s="58"/>
      <c r="FD57" s="87"/>
      <c r="FE57" s="58"/>
      <c r="FF57" s="187">
        <f t="shared" ref="FF57" si="97">FF56/FF9</f>
        <v>0.83400357374918765</v>
      </c>
      <c r="FG57" s="195">
        <f>COUNTIF($FG$11:$FG$44,"&gt;=65%")</f>
        <v>17</v>
      </c>
      <c r="FH57" s="187"/>
      <c r="FI57" s="187"/>
      <c r="FJ57" s="187" t="e">
        <f t="shared" ref="FJ57:FN57" si="98">FJ56/FJ9</f>
        <v>#DIV/0!</v>
      </c>
      <c r="FK57" s="195">
        <f>COUNTIF($FK$11:$FK$44,"&gt;=65%")</f>
        <v>0</v>
      </c>
      <c r="FL57" s="187">
        <f t="shared" si="98"/>
        <v>0.82694444444444448</v>
      </c>
      <c r="FM57" s="195">
        <f>COUNTIF($FM$11:$FM$44,"&gt;=65%")</f>
        <v>18</v>
      </c>
      <c r="FN57" s="194" t="e">
        <f t="shared" si="98"/>
        <v>#REF!</v>
      </c>
      <c r="FO57" s="101"/>
    </row>
    <row r="58" spans="3:171">
      <c r="BJ58" s="4" t="str">
        <f t="shared" si="18"/>
        <v/>
      </c>
      <c r="BK58" s="90">
        <f>BK57/BK59</f>
        <v>0.97058823529411764</v>
      </c>
      <c r="BL58" s="4" t="str">
        <f t="shared" si="19"/>
        <v/>
      </c>
      <c r="BM58" s="90">
        <f>BM57/BM59</f>
        <v>0.97058823529411764</v>
      </c>
      <c r="BO58" s="90">
        <f>BO57/BO59</f>
        <v>1</v>
      </c>
      <c r="BQ58" s="90">
        <f>BQ57/BQ59</f>
        <v>1</v>
      </c>
      <c r="BU58" s="87">
        <f>BU57/BU59</f>
        <v>1</v>
      </c>
      <c r="BZ58" s="102"/>
      <c r="CA58" s="90"/>
      <c r="CC58" s="90"/>
      <c r="CE58" s="90"/>
      <c r="CQ58" s="87">
        <f>CQ57/CQ59</f>
        <v>0.94117647058823528</v>
      </c>
      <c r="CR58" s="4" t="str">
        <f t="shared" si="28"/>
        <v/>
      </c>
      <c r="CS58" s="87">
        <f>CS57/CS59</f>
        <v>0.94117647058823528</v>
      </c>
      <c r="DR58" s="4" t="str">
        <f t="shared" si="30"/>
        <v/>
      </c>
      <c r="DS58" s="87">
        <f>DS57/DS59</f>
        <v>0.94117647058823528</v>
      </c>
      <c r="DX58" s="81" t="str">
        <f t="shared" si="32"/>
        <v/>
      </c>
      <c r="DY58" s="90">
        <f>DY57/DY59</f>
        <v>0.82352941176470584</v>
      </c>
      <c r="EA58" s="90"/>
      <c r="EB58" s="81" t="str">
        <f t="shared" si="34"/>
        <v/>
      </c>
      <c r="EC58" s="90">
        <f>EC57/EC59</f>
        <v>1</v>
      </c>
      <c r="ED58" s="80" t="str">
        <f t="shared" si="68"/>
        <v/>
      </c>
      <c r="EE58" s="89">
        <f>EE57/EE59</f>
        <v>0.97058823529411764</v>
      </c>
      <c r="EF58" s="206" t="str">
        <f t="shared" si="69"/>
        <v/>
      </c>
      <c r="EG58" s="89">
        <f>EG57/EG59</f>
        <v>0.94117647058823528</v>
      </c>
      <c r="EH58" s="98" t="str">
        <f t="shared" si="70"/>
        <v/>
      </c>
      <c r="EI58" s="189">
        <f>EI57/EI59</f>
        <v>0.97058823529411764</v>
      </c>
      <c r="EL58" s="81"/>
      <c r="EM58" s="87">
        <f>EM57/EM59</f>
        <v>0.94117647058823528</v>
      </c>
      <c r="EO58" s="4" t="str">
        <f t="shared" si="43"/>
        <v/>
      </c>
      <c r="ER58" s="4" t="str">
        <f t="shared" si="44"/>
        <v/>
      </c>
      <c r="ES58" s="87">
        <f>ES57/ES59</f>
        <v>1</v>
      </c>
      <c r="ET58" s="4" t="str">
        <f t="shared" si="46"/>
        <v/>
      </c>
      <c r="EU58" s="87">
        <f>EU57/EU59</f>
        <v>1</v>
      </c>
      <c r="EW58" s="90"/>
      <c r="EX58" s="80" t="str">
        <f t="shared" si="49"/>
        <v/>
      </c>
      <c r="EY58" s="89">
        <f>EY57/EY59</f>
        <v>1</v>
      </c>
      <c r="EZ58" s="80" t="str">
        <f t="shared" si="51"/>
        <v/>
      </c>
      <c r="FA58" s="89">
        <f>FA57/FA59</f>
        <v>0.97058823529411764</v>
      </c>
      <c r="FB58" s="189"/>
      <c r="FC58" s="189"/>
      <c r="FE58" s="90"/>
      <c r="FG58" s="196">
        <f>FG57/FG59</f>
        <v>0.94444444444444442</v>
      </c>
      <c r="FK58" s="196" t="e">
        <f>FK57/FK59</f>
        <v>#DIV/0!</v>
      </c>
      <c r="FM58" s="196">
        <f>FM57/FM59</f>
        <v>1</v>
      </c>
    </row>
    <row r="59" spans="3:171">
      <c r="BJ59" s="4" t="str">
        <f t="shared" si="18"/>
        <v/>
      </c>
      <c r="BK59" s="69">
        <f>COUNT(BK11:BK44)</f>
        <v>34</v>
      </c>
      <c r="BL59" s="4" t="str">
        <f t="shared" si="19"/>
        <v/>
      </c>
      <c r="BM59" s="69">
        <f>COUNT(BM11:BM44)</f>
        <v>34</v>
      </c>
      <c r="BO59" s="69">
        <f>COUNT(BO11:BO44)</f>
        <v>34</v>
      </c>
      <c r="BQ59" s="69">
        <f>COUNT(BQ11:BQ44)</f>
        <v>34</v>
      </c>
      <c r="BR59" s="69"/>
      <c r="BS59" s="69"/>
      <c r="BT59" s="69"/>
      <c r="BU59" s="69">
        <f t="shared" ref="BU59:EC59" si="99">COUNT(BU11:BU44)</f>
        <v>34</v>
      </c>
      <c r="BV59" s="69"/>
      <c r="BW59" s="69"/>
      <c r="BX59" s="69"/>
      <c r="BY59" s="69"/>
      <c r="BZ59" s="69"/>
      <c r="CA59" s="69"/>
      <c r="CB59" s="69"/>
      <c r="CC59" s="69"/>
      <c r="CD59" s="69"/>
      <c r="CE59" s="69"/>
      <c r="CF59" s="69"/>
      <c r="CG59" s="69"/>
      <c r="CH59" s="69"/>
      <c r="CI59" s="69"/>
      <c r="CJ59" s="69"/>
      <c r="CK59" s="69"/>
      <c r="CL59" s="69"/>
      <c r="CM59" s="69"/>
      <c r="CN59" s="69"/>
      <c r="CO59" s="69"/>
      <c r="CP59" s="211">
        <f>COUNT(CP11:CP44)</f>
        <v>34</v>
      </c>
      <c r="CQ59" s="69">
        <f>COUNT(CQ11:CQ44)</f>
        <v>34</v>
      </c>
      <c r="CR59" s="69">
        <f t="shared" si="99"/>
        <v>34</v>
      </c>
      <c r="CS59" s="69">
        <f t="shared" si="99"/>
        <v>34</v>
      </c>
      <c r="CT59" s="69">
        <f t="shared" si="99"/>
        <v>0</v>
      </c>
      <c r="CU59" s="69">
        <f t="shared" si="99"/>
        <v>0</v>
      </c>
      <c r="CV59" s="69">
        <f t="shared" si="99"/>
        <v>0</v>
      </c>
      <c r="CW59" s="69">
        <f t="shared" si="99"/>
        <v>0</v>
      </c>
      <c r="CX59" s="69">
        <f t="shared" si="99"/>
        <v>0</v>
      </c>
      <c r="CY59" s="69">
        <f t="shared" si="99"/>
        <v>0</v>
      </c>
      <c r="CZ59" s="69">
        <f t="shared" si="99"/>
        <v>0</v>
      </c>
      <c r="DA59" s="69">
        <f t="shared" si="99"/>
        <v>0</v>
      </c>
      <c r="DB59" s="69">
        <f t="shared" si="99"/>
        <v>0</v>
      </c>
      <c r="DC59" s="69">
        <f t="shared" si="99"/>
        <v>0</v>
      </c>
      <c r="DD59" s="69">
        <f t="shared" si="99"/>
        <v>0</v>
      </c>
      <c r="DE59" s="69">
        <f t="shared" si="99"/>
        <v>0</v>
      </c>
      <c r="DF59" s="69">
        <f t="shared" si="99"/>
        <v>0</v>
      </c>
      <c r="DG59" s="69">
        <f t="shared" si="99"/>
        <v>0</v>
      </c>
      <c r="DH59" s="69">
        <f t="shared" si="99"/>
        <v>0</v>
      </c>
      <c r="DI59" s="69">
        <f t="shared" si="99"/>
        <v>0</v>
      </c>
      <c r="DJ59" s="69">
        <f t="shared" si="99"/>
        <v>0</v>
      </c>
      <c r="DK59" s="69">
        <f t="shared" si="99"/>
        <v>0</v>
      </c>
      <c r="DL59" s="69">
        <f t="shared" si="99"/>
        <v>0</v>
      </c>
      <c r="DM59" s="69">
        <f t="shared" si="99"/>
        <v>0</v>
      </c>
      <c r="DN59" s="69">
        <f t="shared" si="99"/>
        <v>0</v>
      </c>
      <c r="DO59" s="69">
        <f t="shared" si="99"/>
        <v>0</v>
      </c>
      <c r="DP59" s="69">
        <f t="shared" si="99"/>
        <v>0</v>
      </c>
      <c r="DQ59" s="69">
        <f t="shared" si="99"/>
        <v>0</v>
      </c>
      <c r="DR59" s="69">
        <f t="shared" si="99"/>
        <v>34</v>
      </c>
      <c r="DS59" s="69">
        <f t="shared" si="99"/>
        <v>34</v>
      </c>
      <c r="DT59" s="69">
        <f t="shared" si="99"/>
        <v>0</v>
      </c>
      <c r="DU59" s="69">
        <f t="shared" si="99"/>
        <v>0</v>
      </c>
      <c r="DV59" s="69">
        <f t="shared" si="99"/>
        <v>0</v>
      </c>
      <c r="DW59" s="69">
        <f t="shared" si="99"/>
        <v>0</v>
      </c>
      <c r="DX59" s="69">
        <f t="shared" si="99"/>
        <v>34</v>
      </c>
      <c r="DY59" s="69">
        <f t="shared" si="99"/>
        <v>34</v>
      </c>
      <c r="DZ59" s="69"/>
      <c r="EA59" s="69"/>
      <c r="EB59" s="69">
        <f t="shared" si="99"/>
        <v>34</v>
      </c>
      <c r="EC59" s="69">
        <f t="shared" si="99"/>
        <v>34</v>
      </c>
      <c r="ED59" s="69">
        <f t="shared" ref="ED59:FE59" si="100">COUNT(ED11:ED44)</f>
        <v>34</v>
      </c>
      <c r="EE59" s="69">
        <f t="shared" si="100"/>
        <v>34</v>
      </c>
      <c r="EF59" s="69">
        <f t="shared" si="100"/>
        <v>34</v>
      </c>
      <c r="EG59" s="69">
        <f t="shared" si="100"/>
        <v>34</v>
      </c>
      <c r="EH59" s="69">
        <f t="shared" si="100"/>
        <v>34</v>
      </c>
      <c r="EI59" s="69">
        <f t="shared" si="100"/>
        <v>34</v>
      </c>
      <c r="EJ59" s="69"/>
      <c r="EK59" s="69"/>
      <c r="EL59" s="69">
        <f t="shared" si="100"/>
        <v>34</v>
      </c>
      <c r="EM59" s="69">
        <f t="shared" si="100"/>
        <v>34</v>
      </c>
      <c r="EN59" s="69"/>
      <c r="EO59" s="69"/>
      <c r="EP59" s="69"/>
      <c r="EQ59" s="69"/>
      <c r="ER59" s="69">
        <f t="shared" si="100"/>
        <v>34</v>
      </c>
      <c r="ES59" s="69">
        <f t="shared" si="100"/>
        <v>34</v>
      </c>
      <c r="ET59" s="69">
        <f t="shared" si="100"/>
        <v>34</v>
      </c>
      <c r="EU59" s="69">
        <f t="shared" si="100"/>
        <v>34</v>
      </c>
      <c r="EV59" s="69">
        <f t="shared" si="100"/>
        <v>0</v>
      </c>
      <c r="EW59" s="69">
        <f t="shared" si="100"/>
        <v>0</v>
      </c>
      <c r="EX59" s="69">
        <f t="shared" si="100"/>
        <v>34</v>
      </c>
      <c r="EY59" s="69">
        <f t="shared" si="100"/>
        <v>34</v>
      </c>
      <c r="EZ59" s="69">
        <f t="shared" si="100"/>
        <v>34</v>
      </c>
      <c r="FA59" s="69">
        <f t="shared" si="100"/>
        <v>34</v>
      </c>
      <c r="FB59" s="69">
        <f t="shared" si="100"/>
        <v>0</v>
      </c>
      <c r="FC59" s="69">
        <f t="shared" si="100"/>
        <v>0</v>
      </c>
      <c r="FD59" s="69">
        <f t="shared" si="100"/>
        <v>0</v>
      </c>
      <c r="FE59" s="69">
        <f t="shared" si="100"/>
        <v>0</v>
      </c>
      <c r="FG59" s="197">
        <f>COUNT(FG11:FG44)</f>
        <v>18</v>
      </c>
      <c r="FK59" s="197">
        <f>COUNT(FK11:FK44)</f>
        <v>0</v>
      </c>
      <c r="FM59" s="197">
        <f>COUNT(FM11:FM44)</f>
        <v>18</v>
      </c>
    </row>
    <row r="60" spans="3:171">
      <c r="C60" s="35" t="s">
        <v>181</v>
      </c>
      <c r="ED60" s="80" t="str">
        <f>IF(I60="","",IFERROR(I60*($I$9/100),""))</f>
        <v/>
      </c>
    </row>
    <row r="61" spans="3:171">
      <c r="C61" s="88" t="s">
        <v>174</v>
      </c>
      <c r="D61" s="88" t="s">
        <v>182</v>
      </c>
      <c r="E61" s="88" t="s">
        <v>78</v>
      </c>
      <c r="F61" s="88" t="s">
        <v>190</v>
      </c>
      <c r="G61" s="88" t="s">
        <v>177</v>
      </c>
      <c r="H61" s="88" t="s">
        <v>178</v>
      </c>
      <c r="I61" s="1" t="s">
        <v>184</v>
      </c>
      <c r="J61" s="1" t="s">
        <v>185</v>
      </c>
      <c r="K61" s="88" t="s">
        <v>177</v>
      </c>
      <c r="L61" s="1" t="s">
        <v>178</v>
      </c>
      <c r="AJ61" s="36"/>
      <c r="AK61" s="36"/>
      <c r="AL61" s="36"/>
      <c r="AM61" s="36"/>
      <c r="BK61"/>
      <c r="BO61" s="36"/>
      <c r="ED61" s="80" t="e">
        <f>IF(#REF!="","",IFERROR(#REF!*($I$9/100),""))</f>
        <v>#REF!</v>
      </c>
    </row>
    <row r="62" spans="3:171">
      <c r="C62" s="284" t="s">
        <v>94</v>
      </c>
      <c r="D62" s="69" t="s">
        <v>109</v>
      </c>
      <c r="E62" s="95">
        <f>IF(BJ9="","",BJ9)</f>
        <v>50</v>
      </c>
      <c r="F62" s="79">
        <f>IF(BJ56="","",BJ56)</f>
        <v>41.952499999999986</v>
      </c>
      <c r="G62" s="89">
        <f>IF(BJ57="","",BJ57)</f>
        <v>0.83904999999999974</v>
      </c>
      <c r="H62" s="198" t="str">
        <f t="shared" ref="H62:H67" si="101">IF(G62="","",IF(G62&gt;=70%,"Tercapai","Belum Tercapai"))</f>
        <v>Tercapai</v>
      </c>
      <c r="I62" s="98">
        <f>IF(BK59="","",BK59)</f>
        <v>34</v>
      </c>
      <c r="J62" s="98">
        <f>IF(BK57="","",BK57)</f>
        <v>33</v>
      </c>
      <c r="K62" s="89">
        <f>IFERROR(J62/I62,"")</f>
        <v>0.97058823529411764</v>
      </c>
      <c r="L62" s="2" t="str">
        <f>IF(K62="","",(IF(K62&gt;=70%,"Tercapai","Belum Tercapai")))</f>
        <v>Tercapai</v>
      </c>
      <c r="AJ62" s="36"/>
      <c r="AK62" s="36"/>
      <c r="AL62" s="36"/>
      <c r="AM62" s="36"/>
      <c r="BK62"/>
      <c r="BO62" s="36"/>
    </row>
    <row r="63" spans="3:171">
      <c r="C63" s="297"/>
      <c r="D63" s="198" t="s">
        <v>105</v>
      </c>
      <c r="E63" s="79">
        <f>IF(BL9="","",BL9)</f>
        <v>50</v>
      </c>
      <c r="F63" s="79">
        <f>IF(BL56="","",BL56)</f>
        <v>41.060833333333342</v>
      </c>
      <c r="G63" s="89">
        <f>IF(BL57="","",BL57)</f>
        <v>0.82121666666666682</v>
      </c>
      <c r="H63" s="198" t="str">
        <f t="shared" si="101"/>
        <v>Tercapai</v>
      </c>
      <c r="I63" s="98">
        <f>IF(BM59="","",BM59)</f>
        <v>34</v>
      </c>
      <c r="J63" s="98">
        <f>IF(BM57="","",BM57)</f>
        <v>33</v>
      </c>
      <c r="K63" s="89">
        <f>IFERROR(J63/I63,"")</f>
        <v>0.97058823529411764</v>
      </c>
      <c r="L63" s="198" t="str">
        <f>IF(K63="","",(IF(K63&gt;=70%,"Tercapai","Belum Tercapai")))</f>
        <v>Tercapai</v>
      </c>
      <c r="AJ63" s="36"/>
      <c r="AK63" s="36"/>
      <c r="AL63" s="36"/>
      <c r="AM63" s="36"/>
      <c r="BK63"/>
      <c r="BO63" s="36"/>
    </row>
    <row r="64" spans="3:171">
      <c r="C64" s="285"/>
      <c r="D64" s="198" t="s">
        <v>119</v>
      </c>
      <c r="E64" s="79">
        <f>IF(BN9="","",BN9)</f>
        <v>50</v>
      </c>
      <c r="F64" s="79">
        <f>IF(BN56="","",BN56)</f>
        <v>41.455882352941174</v>
      </c>
      <c r="G64" s="89">
        <f>IF(BN57="","",BN57)</f>
        <v>0.82911764705882351</v>
      </c>
      <c r="H64" s="198" t="str">
        <f t="shared" si="101"/>
        <v>Tercapai</v>
      </c>
      <c r="I64" s="98">
        <f>IF(BO59="","",BO59)</f>
        <v>34</v>
      </c>
      <c r="J64" s="98">
        <f>IF(BO57="","",BO57)</f>
        <v>34</v>
      </c>
      <c r="K64" s="89">
        <f>IFERROR(J64/I64,"")</f>
        <v>1</v>
      </c>
      <c r="L64" s="198" t="str">
        <f>IF(K64="","",(IF(K64&gt;=70%,"Tercapai","Belum Tercapai")))</f>
        <v>Tercapai</v>
      </c>
      <c r="AJ64" s="36"/>
      <c r="AK64" s="36"/>
      <c r="AL64" s="36"/>
      <c r="AM64" s="36"/>
      <c r="BK64"/>
      <c r="BO64" s="36"/>
    </row>
    <row r="65" spans="3:67">
      <c r="C65" s="284" t="s">
        <v>118</v>
      </c>
      <c r="D65" s="198" t="s">
        <v>120</v>
      </c>
      <c r="E65" s="79">
        <f>IF(BP9="","",BP9)</f>
        <v>50</v>
      </c>
      <c r="F65" s="96">
        <f>IF(BP56="","",BP56)</f>
        <v>41.536029411764702</v>
      </c>
      <c r="G65" s="89">
        <f>IF(BP57="","",BP57)</f>
        <v>0.83072058823529404</v>
      </c>
      <c r="H65" s="198" t="str">
        <f t="shared" si="101"/>
        <v>Tercapai</v>
      </c>
      <c r="I65" s="98">
        <f>IF(BQ59="","",BQ59)</f>
        <v>34</v>
      </c>
      <c r="J65" s="98">
        <f>IF(BQ57="","",BQ57)</f>
        <v>34</v>
      </c>
      <c r="K65" s="89">
        <f>IFERROR(J65/I65,"")</f>
        <v>1</v>
      </c>
      <c r="L65" s="198" t="str">
        <f>IF(K65="","",(IF(K65&gt;=70%,"Tercapai","Belum Tercapai")))</f>
        <v>Tercapai</v>
      </c>
      <c r="AJ65" s="36"/>
      <c r="AK65" s="36"/>
      <c r="AL65" s="36"/>
      <c r="AM65" s="36"/>
      <c r="BK65"/>
      <c r="BO65" s="36"/>
    </row>
    <row r="66" spans="3:67">
      <c r="C66" s="297"/>
      <c r="D66" s="198" t="s">
        <v>153</v>
      </c>
      <c r="E66" s="79" t="str">
        <f>IF(BR9="","",BR9)</f>
        <v/>
      </c>
      <c r="F66" s="96" t="str">
        <f>IF(BR56="","",BR56)</f>
        <v/>
      </c>
      <c r="G66" s="89" t="str">
        <f>IF(BR57="","",BR57)</f>
        <v/>
      </c>
      <c r="H66" s="198" t="str">
        <f t="shared" si="101"/>
        <v/>
      </c>
      <c r="I66" s="98" t="str">
        <f>IF(BS59="","",BS59)</f>
        <v/>
      </c>
      <c r="J66" s="98" t="str">
        <f>IF(BS57="","",BS57)</f>
        <v/>
      </c>
      <c r="K66" s="89" t="str">
        <f t="shared" ref="K66:K116" si="102">IFERROR(J66/I66,"")</f>
        <v/>
      </c>
      <c r="L66" s="198" t="str">
        <f t="shared" ref="L66:L116" si="103">IF(K66="","",(IF(K66&gt;=70%,"Tercapai","Belum Tercapai")))</f>
        <v/>
      </c>
      <c r="AJ66" s="36"/>
      <c r="AK66" s="36"/>
      <c r="AL66" s="36"/>
      <c r="AM66" s="36"/>
      <c r="BK66"/>
      <c r="BO66" s="36"/>
    </row>
    <row r="67" spans="3:67">
      <c r="C67" s="297"/>
      <c r="D67" s="198" t="s">
        <v>154</v>
      </c>
      <c r="E67" s="79">
        <f>IF(BT9="","",BT9)</f>
        <v>50</v>
      </c>
      <c r="F67" s="96">
        <f>IF(BT56="","",BT56)</f>
        <v>42.96985294117647</v>
      </c>
      <c r="G67" s="89">
        <f>IF(BT57="","",BT57)</f>
        <v>0.85939705882352935</v>
      </c>
      <c r="H67" s="198" t="str">
        <f t="shared" si="101"/>
        <v>Tercapai</v>
      </c>
      <c r="I67" s="98">
        <f>IF(BU59="","",BU59)</f>
        <v>34</v>
      </c>
      <c r="J67" s="98">
        <f>IF(BU57="","",BU57)</f>
        <v>34</v>
      </c>
      <c r="K67" s="89">
        <f t="shared" si="102"/>
        <v>1</v>
      </c>
      <c r="L67" s="198" t="str">
        <f t="shared" si="103"/>
        <v>Tercapai</v>
      </c>
      <c r="AJ67" s="36"/>
      <c r="AK67" s="36"/>
      <c r="AL67" s="36"/>
      <c r="AM67" s="36"/>
      <c r="BK67"/>
      <c r="BO67" s="36"/>
    </row>
    <row r="68" spans="3:67">
      <c r="C68" s="297"/>
      <c r="D68" s="198" t="s">
        <v>155</v>
      </c>
      <c r="E68" s="79" t="str">
        <f>IF(BV9="","",BV9)</f>
        <v/>
      </c>
      <c r="F68" s="96" t="str">
        <f>IF(BV57="","",BV57)</f>
        <v/>
      </c>
      <c r="G68" s="89" t="str">
        <f>IF(BV57="","",BV57)</f>
        <v/>
      </c>
      <c r="H68" s="198"/>
      <c r="I68" s="98"/>
      <c r="J68" s="98"/>
      <c r="K68" s="89" t="str">
        <f t="shared" si="102"/>
        <v/>
      </c>
      <c r="L68" s="198" t="str">
        <f t="shared" si="103"/>
        <v/>
      </c>
      <c r="AJ68" s="36"/>
      <c r="AK68" s="36"/>
      <c r="AL68" s="36"/>
      <c r="AM68" s="36"/>
      <c r="BK68"/>
      <c r="BO68" s="36"/>
    </row>
    <row r="69" spans="3:67">
      <c r="C69" s="284" t="s">
        <v>108</v>
      </c>
      <c r="D69" s="198" t="s">
        <v>111</v>
      </c>
      <c r="E69" s="79" t="str">
        <f>IF(BX9="","",BX9)</f>
        <v/>
      </c>
      <c r="F69" s="96" t="str">
        <f>IF(BX56="","",BX56)</f>
        <v/>
      </c>
      <c r="G69" s="89" t="str">
        <f>IF(BX57="","",BX57)</f>
        <v/>
      </c>
      <c r="H69" s="198" t="str">
        <f>IF(G69="","",IF(G69&gt;=70%,"Tercapai","Belum Tercapai"))</f>
        <v/>
      </c>
      <c r="I69" s="98" t="str">
        <f>IF(BY59="","",BY59)</f>
        <v/>
      </c>
      <c r="J69" s="98" t="str">
        <f>IF(BY57="","",BY57)</f>
        <v/>
      </c>
      <c r="K69" s="89" t="str">
        <f t="shared" si="102"/>
        <v/>
      </c>
      <c r="L69" s="198" t="str">
        <f t="shared" si="103"/>
        <v/>
      </c>
      <c r="AJ69" s="36"/>
      <c r="AK69" s="36"/>
      <c r="AL69" s="36"/>
      <c r="AM69" s="36"/>
      <c r="BK69"/>
      <c r="BO69" s="36"/>
    </row>
    <row r="70" spans="3:67">
      <c r="C70" s="297"/>
      <c r="D70" s="198" t="s">
        <v>117</v>
      </c>
      <c r="E70" s="79" t="str">
        <f>IF(BZ9="","",BZ9)</f>
        <v/>
      </c>
      <c r="F70" s="96" t="str">
        <f>IF(BZ56="","",BZ56)</f>
        <v/>
      </c>
      <c r="G70" s="89" t="str">
        <f>IF(BZ57="","",BZ57)</f>
        <v/>
      </c>
      <c r="H70" s="198" t="str">
        <f>IF(G70="","",IF(G70&gt;=70%,"Tercapai","Belum Tercapai"))</f>
        <v/>
      </c>
      <c r="I70" s="98" t="str">
        <f>IF(CA59="","",CA59)</f>
        <v/>
      </c>
      <c r="J70" s="98" t="str">
        <f>IF(CA57="","",CA57)</f>
        <v/>
      </c>
      <c r="K70" s="89" t="str">
        <f t="shared" si="102"/>
        <v/>
      </c>
      <c r="L70" s="198" t="str">
        <f t="shared" si="103"/>
        <v/>
      </c>
      <c r="AJ70" s="36"/>
      <c r="AK70" s="36"/>
      <c r="AL70" s="36"/>
      <c r="AM70" s="36"/>
      <c r="BK70"/>
      <c r="BO70" s="36"/>
    </row>
    <row r="71" spans="3:67">
      <c r="C71" s="285"/>
      <c r="D71" s="198" t="s">
        <v>115</v>
      </c>
      <c r="E71" s="79" t="str">
        <f>IF(CB9="","",CB9)</f>
        <v/>
      </c>
      <c r="F71" s="96" t="str">
        <f>IF(CB56="","",CB56)</f>
        <v/>
      </c>
      <c r="G71" s="89" t="str">
        <f>IF(CB57="","",CB57)</f>
        <v/>
      </c>
      <c r="H71" s="198" t="str">
        <f>IF(G71="","",IF(G71&gt;=70%,"Tercapai","Belum Tercapai"))</f>
        <v/>
      </c>
      <c r="I71" s="98" t="str">
        <f>IF(CC59="","",CC59)</f>
        <v/>
      </c>
      <c r="J71" s="98" t="str">
        <f>IF(CC57="","",CC57)</f>
        <v/>
      </c>
      <c r="K71" s="89" t="str">
        <f t="shared" si="102"/>
        <v/>
      </c>
      <c r="L71" s="198" t="str">
        <f t="shared" si="103"/>
        <v/>
      </c>
      <c r="AJ71" s="36"/>
      <c r="AK71" s="36"/>
      <c r="AL71" s="36"/>
      <c r="AM71" s="36"/>
      <c r="AN71" s="36"/>
      <c r="BK71"/>
      <c r="BO71" s="36"/>
    </row>
    <row r="72" spans="3:67">
      <c r="C72" s="284" t="s">
        <v>107</v>
      </c>
      <c r="D72" s="198" t="s">
        <v>110</v>
      </c>
      <c r="E72" s="79" t="str">
        <f>IF(CD9="","",CD9)</f>
        <v/>
      </c>
      <c r="F72" s="96" t="str">
        <f>IF(CD56="","",CD56)</f>
        <v/>
      </c>
      <c r="G72" s="89" t="str">
        <f>IF(CD57="","",CD57)</f>
        <v/>
      </c>
      <c r="H72" s="198" t="str">
        <f>IF(G72="","",IF(G72&gt;=70%,"Tercapai","Belum Tercapai"))</f>
        <v/>
      </c>
      <c r="I72" s="98" t="str">
        <f>IF(CE59="","",CE59)</f>
        <v/>
      </c>
      <c r="J72" s="98" t="str">
        <f>IF(CE57="","",CE57)</f>
        <v/>
      </c>
      <c r="K72" s="89" t="str">
        <f t="shared" si="102"/>
        <v/>
      </c>
      <c r="L72" s="198" t="str">
        <f t="shared" si="103"/>
        <v/>
      </c>
      <c r="AJ72" s="36"/>
      <c r="AK72" s="36"/>
      <c r="AL72" s="36"/>
      <c r="AM72" s="36"/>
      <c r="AN72" s="36"/>
      <c r="BK72"/>
      <c r="BO72" s="36"/>
    </row>
    <row r="73" spans="3:67">
      <c r="C73" s="297"/>
      <c r="D73" s="198" t="s">
        <v>156</v>
      </c>
      <c r="E73" s="79" t="str">
        <f>IF(CF9="","",CF9)</f>
        <v/>
      </c>
      <c r="F73" s="96"/>
      <c r="G73" s="89"/>
      <c r="H73" s="198"/>
      <c r="I73" s="98"/>
      <c r="J73" s="98"/>
      <c r="K73" s="89" t="str">
        <f t="shared" si="102"/>
        <v/>
      </c>
      <c r="L73" s="198" t="str">
        <f t="shared" si="103"/>
        <v/>
      </c>
      <c r="AJ73" s="36"/>
      <c r="AK73" s="36"/>
      <c r="AL73" s="36"/>
      <c r="AM73" s="36"/>
      <c r="AN73" s="36"/>
      <c r="BK73"/>
      <c r="BO73" s="36"/>
    </row>
    <row r="74" spans="3:67">
      <c r="C74" s="297"/>
      <c r="D74" s="198" t="s">
        <v>322</v>
      </c>
      <c r="E74" s="79" t="str">
        <f t="shared" ref="E74" si="104">IF(CD11="","",CD11)</f>
        <v/>
      </c>
      <c r="F74" s="96"/>
      <c r="G74" s="89"/>
      <c r="H74" s="198"/>
      <c r="I74" s="98"/>
      <c r="J74" s="98"/>
      <c r="K74" s="89" t="str">
        <f t="shared" si="102"/>
        <v/>
      </c>
      <c r="L74" s="198" t="str">
        <f t="shared" si="103"/>
        <v/>
      </c>
      <c r="AJ74" s="36"/>
      <c r="AK74" s="36"/>
      <c r="AL74" s="36"/>
      <c r="AM74" s="36"/>
      <c r="AN74" s="36"/>
      <c r="BK74"/>
      <c r="BO74" s="36"/>
    </row>
    <row r="75" spans="3:67">
      <c r="C75" s="297"/>
      <c r="D75" s="198" t="s">
        <v>323</v>
      </c>
      <c r="E75" s="79"/>
      <c r="F75" s="96"/>
      <c r="G75" s="89"/>
      <c r="H75" s="198"/>
      <c r="I75" s="98"/>
      <c r="J75" s="98"/>
      <c r="K75" s="89" t="str">
        <f t="shared" si="102"/>
        <v/>
      </c>
      <c r="L75" s="198" t="str">
        <f t="shared" si="103"/>
        <v/>
      </c>
      <c r="AJ75" s="36"/>
      <c r="AK75" s="36"/>
      <c r="AL75" s="36"/>
      <c r="AM75" s="36"/>
      <c r="AN75" s="36"/>
      <c r="BK75"/>
      <c r="BO75" s="36"/>
    </row>
    <row r="76" spans="3:67">
      <c r="C76" s="297"/>
      <c r="D76" s="198" t="s">
        <v>324</v>
      </c>
      <c r="E76" s="79"/>
      <c r="F76" s="96"/>
      <c r="G76" s="89"/>
      <c r="H76" s="198"/>
      <c r="I76" s="98"/>
      <c r="J76" s="98"/>
      <c r="K76" s="89" t="str">
        <f t="shared" si="102"/>
        <v/>
      </c>
      <c r="L76" s="198" t="str">
        <f t="shared" si="103"/>
        <v/>
      </c>
      <c r="AJ76" s="36"/>
      <c r="AK76" s="36"/>
      <c r="AL76" s="36"/>
      <c r="AM76" s="36"/>
      <c r="AN76" s="36"/>
      <c r="BK76"/>
      <c r="BO76" s="36"/>
    </row>
    <row r="77" spans="3:67">
      <c r="C77" s="297"/>
      <c r="D77" s="198" t="s">
        <v>325</v>
      </c>
      <c r="E77" s="79"/>
      <c r="F77" s="96"/>
      <c r="G77" s="89"/>
      <c r="H77" s="198"/>
      <c r="I77" s="98"/>
      <c r="J77" s="98"/>
      <c r="K77" s="89" t="str">
        <f t="shared" si="102"/>
        <v/>
      </c>
      <c r="L77" s="198" t="str">
        <f t="shared" si="103"/>
        <v/>
      </c>
      <c r="AJ77" s="36"/>
      <c r="AK77" s="36"/>
      <c r="AL77" s="36"/>
      <c r="AM77" s="36"/>
      <c r="AN77" s="36"/>
      <c r="BK77"/>
      <c r="BO77" s="36"/>
    </row>
    <row r="78" spans="3:67">
      <c r="C78" s="285"/>
      <c r="D78" s="198" t="s">
        <v>326</v>
      </c>
      <c r="E78" s="79" t="str">
        <f>IF(CF9="","",CF9)</f>
        <v/>
      </c>
      <c r="F78" s="96" t="str">
        <f>IF(CF56="","",CF56)</f>
        <v/>
      </c>
      <c r="G78" s="89" t="str">
        <f>IF(CF57="","",CF57)</f>
        <v/>
      </c>
      <c r="H78" s="198" t="str">
        <f>IF(G78="","",IF(G78&gt;=70%,"Tercapai","Belum Tercapai"))</f>
        <v/>
      </c>
      <c r="I78" s="98" t="str">
        <f>IF(CG59="","",CG59)</f>
        <v/>
      </c>
      <c r="J78" s="98" t="str">
        <f>IF(CG57="","",CG57)</f>
        <v/>
      </c>
      <c r="K78" s="89" t="str">
        <f t="shared" si="102"/>
        <v/>
      </c>
      <c r="L78" s="198" t="str">
        <f t="shared" si="103"/>
        <v/>
      </c>
      <c r="AJ78" s="36"/>
      <c r="AK78" s="36"/>
      <c r="AL78" s="36"/>
      <c r="AM78" s="36"/>
      <c r="BK78"/>
      <c r="BO78" s="36"/>
    </row>
    <row r="79" spans="3:67">
      <c r="C79" s="284" t="s">
        <v>145</v>
      </c>
      <c r="D79" s="198" t="s">
        <v>157</v>
      </c>
      <c r="E79" s="79" t="str">
        <f>IF(CH9="","",CH9)</f>
        <v/>
      </c>
      <c r="F79" s="96" t="str">
        <f>IF(CH56="","",CH56)</f>
        <v/>
      </c>
      <c r="G79" s="89" t="str">
        <f>IF(CH57="","",CH57)</f>
        <v/>
      </c>
      <c r="H79" s="198" t="str">
        <f>IF(G79="","",IF(G79&gt;=70%,"Tercapai","Belum Tercapai"))</f>
        <v/>
      </c>
      <c r="I79" s="98" t="str">
        <f>IF(CI59="","",CI59)</f>
        <v/>
      </c>
      <c r="J79" s="98" t="str">
        <f>IF(CI57="","",CI57)</f>
        <v/>
      </c>
      <c r="K79" s="89" t="str">
        <f t="shared" si="102"/>
        <v/>
      </c>
      <c r="L79" s="198" t="str">
        <f t="shared" si="103"/>
        <v/>
      </c>
      <c r="AJ79" s="36"/>
      <c r="AK79" s="36"/>
      <c r="AL79" s="36"/>
      <c r="AM79" s="36"/>
      <c r="BK79"/>
      <c r="BO79" s="36"/>
    </row>
    <row r="80" spans="3:67">
      <c r="C80" s="297"/>
      <c r="D80" s="198" t="s">
        <v>158</v>
      </c>
      <c r="E80" s="79"/>
      <c r="F80" s="96"/>
      <c r="G80" s="89"/>
      <c r="H80" s="198"/>
      <c r="I80" s="98"/>
      <c r="J80" s="98"/>
      <c r="K80" s="89" t="str">
        <f t="shared" si="102"/>
        <v/>
      </c>
      <c r="L80" s="198" t="str">
        <f t="shared" si="103"/>
        <v/>
      </c>
      <c r="AJ80" s="36"/>
      <c r="AK80" s="36"/>
      <c r="AL80" s="36"/>
      <c r="AM80" s="36"/>
      <c r="BK80"/>
      <c r="BO80" s="36"/>
    </row>
    <row r="81" spans="3:67">
      <c r="C81" s="297"/>
      <c r="D81" s="198" t="s">
        <v>327</v>
      </c>
      <c r="E81" s="79"/>
      <c r="F81" s="96"/>
      <c r="G81" s="89"/>
      <c r="H81" s="198"/>
      <c r="I81" s="98"/>
      <c r="J81" s="98"/>
      <c r="K81" s="89" t="str">
        <f t="shared" si="102"/>
        <v/>
      </c>
      <c r="L81" s="198" t="str">
        <f t="shared" si="103"/>
        <v/>
      </c>
      <c r="AJ81" s="36"/>
      <c r="AK81" s="36"/>
      <c r="AL81" s="36"/>
      <c r="AM81" s="36"/>
      <c r="BK81"/>
      <c r="BO81" s="36"/>
    </row>
    <row r="82" spans="3:67">
      <c r="C82" s="297"/>
      <c r="D82" s="198" t="s">
        <v>328</v>
      </c>
      <c r="E82" s="79"/>
      <c r="F82" s="96"/>
      <c r="G82" s="89"/>
      <c r="H82" s="198"/>
      <c r="I82" s="98"/>
      <c r="J82" s="98"/>
      <c r="K82" s="89" t="str">
        <f t="shared" si="102"/>
        <v/>
      </c>
      <c r="L82" s="198" t="str">
        <f t="shared" si="103"/>
        <v/>
      </c>
      <c r="AJ82" s="36"/>
      <c r="AK82" s="36"/>
      <c r="AL82" s="36"/>
      <c r="AM82" s="36"/>
      <c r="BK82"/>
      <c r="BO82" s="36"/>
    </row>
    <row r="83" spans="3:67">
      <c r="C83" s="297"/>
      <c r="D83" s="198" t="s">
        <v>329</v>
      </c>
      <c r="E83" s="79">
        <f>IF(CP9="","",CP9)</f>
        <v>50</v>
      </c>
      <c r="F83" s="96">
        <f>IF(CP56="","",CP56)</f>
        <v>39.561764705882354</v>
      </c>
      <c r="G83" s="89">
        <f>IF(CP57="","",CP57)</f>
        <v>0.79123529411764704</v>
      </c>
      <c r="H83" s="198" t="str">
        <f>IF(G83="","",IF(G83&gt;=70%,"Tercapai","Belum Tercapai"))</f>
        <v>Tercapai</v>
      </c>
      <c r="I83" s="98">
        <f>IF(CP59="","",CP59)</f>
        <v>34</v>
      </c>
      <c r="J83" s="98">
        <f>IF(CQ57="","",CQ57)</f>
        <v>32</v>
      </c>
      <c r="K83" s="89">
        <f t="shared" si="102"/>
        <v>0.94117647058823528</v>
      </c>
      <c r="L83" s="198" t="str">
        <f t="shared" si="103"/>
        <v>Tercapai</v>
      </c>
      <c r="AJ83" s="36"/>
      <c r="AK83" s="36"/>
      <c r="AL83" s="36"/>
      <c r="AM83" s="36"/>
      <c r="BK83"/>
      <c r="BO83" s="36"/>
    </row>
    <row r="84" spans="3:67">
      <c r="C84" s="297"/>
      <c r="D84" s="198" t="s">
        <v>330</v>
      </c>
      <c r="E84" s="79">
        <f>IF(CR9="","",CR9)</f>
        <v>50</v>
      </c>
      <c r="F84" s="96">
        <f>IF(CR56="","",CR56)</f>
        <v>42.180882352941182</v>
      </c>
      <c r="G84" s="89">
        <f>IF(CR57="","",CR57)</f>
        <v>0.84361764705882369</v>
      </c>
      <c r="H84" s="198" t="str">
        <f>IF(G84="","",IF(G84&gt;=70%,"Tercapai","Belum Tercapai"))</f>
        <v>Tercapai</v>
      </c>
      <c r="I84" s="98">
        <f>IF(CR59="","",CR59)</f>
        <v>34</v>
      </c>
      <c r="J84" s="98">
        <f>IF(CS57="","",CS57)</f>
        <v>32</v>
      </c>
      <c r="K84" s="89">
        <f t="shared" si="102"/>
        <v>0.94117647058823528</v>
      </c>
      <c r="L84" s="198" t="str">
        <f t="shared" si="103"/>
        <v>Tercapai</v>
      </c>
      <c r="AJ84" s="36"/>
      <c r="AK84" s="36"/>
      <c r="AL84" s="36"/>
      <c r="AM84" s="36"/>
      <c r="BK84"/>
      <c r="BO84" s="36"/>
    </row>
    <row r="85" spans="3:67">
      <c r="C85" s="297"/>
      <c r="D85" s="198" t="s">
        <v>331</v>
      </c>
      <c r="E85" s="79"/>
      <c r="F85" s="96"/>
      <c r="G85" s="89"/>
      <c r="H85" s="198"/>
      <c r="I85" s="98"/>
      <c r="J85" s="98"/>
      <c r="K85" s="89" t="str">
        <f t="shared" si="102"/>
        <v/>
      </c>
      <c r="L85" s="198" t="str">
        <f t="shared" si="103"/>
        <v/>
      </c>
      <c r="AJ85" s="36"/>
      <c r="AK85" s="36"/>
      <c r="AL85" s="36"/>
      <c r="AM85" s="36"/>
      <c r="BK85"/>
      <c r="BO85" s="36"/>
    </row>
    <row r="86" spans="3:67">
      <c r="C86" s="285"/>
      <c r="D86" s="198" t="s">
        <v>332</v>
      </c>
      <c r="E86" s="79" t="str">
        <f>IF(CV9="","",CV9)</f>
        <v/>
      </c>
      <c r="F86" s="96" t="str">
        <f>IF(CV56="","",CV56)</f>
        <v/>
      </c>
      <c r="G86" s="89" t="str">
        <f>IF(CV57="","",CV57)</f>
        <v/>
      </c>
      <c r="H86" s="198" t="str">
        <f t="shared" ref="H86:H91" si="105">IF(G86="","",IF(G86&gt;=70%,"Tercapai","Belum Tercapai"))</f>
        <v/>
      </c>
      <c r="I86" s="198"/>
      <c r="J86" s="2" t="str">
        <f>IF(CW57="","",CW57)</f>
        <v/>
      </c>
      <c r="K86" s="89" t="str">
        <f t="shared" si="102"/>
        <v/>
      </c>
      <c r="L86" s="198" t="str">
        <f t="shared" si="103"/>
        <v/>
      </c>
      <c r="AJ86" s="36"/>
      <c r="AK86" s="36"/>
      <c r="AL86" s="36"/>
      <c r="AM86" s="36"/>
      <c r="BK86"/>
      <c r="BO86" s="36"/>
    </row>
    <row r="87" spans="3:67">
      <c r="C87" s="284" t="s">
        <v>146</v>
      </c>
      <c r="D87" s="198" t="s">
        <v>159</v>
      </c>
      <c r="E87" s="79" t="str">
        <f>IF(CX9="","",CX9)</f>
        <v/>
      </c>
      <c r="F87" s="96" t="str">
        <f>IF(CX56="","",CX56)</f>
        <v/>
      </c>
      <c r="G87" s="89" t="str">
        <f>IF(CX57="","",CX57)</f>
        <v/>
      </c>
      <c r="H87" s="198" t="str">
        <f t="shared" si="105"/>
        <v/>
      </c>
      <c r="I87" s="89"/>
      <c r="J87" s="89" t="str">
        <f>IF(CY57="","",CY57)</f>
        <v/>
      </c>
      <c r="K87" s="89" t="str">
        <f t="shared" si="102"/>
        <v/>
      </c>
      <c r="L87" s="198" t="str">
        <f t="shared" si="103"/>
        <v/>
      </c>
      <c r="AJ87" s="36"/>
      <c r="AK87" s="36"/>
      <c r="AL87" s="36"/>
      <c r="AM87" s="36"/>
      <c r="BK87"/>
      <c r="BO87" s="36"/>
    </row>
    <row r="88" spans="3:67">
      <c r="C88" s="297"/>
      <c r="D88" s="198" t="s">
        <v>160</v>
      </c>
      <c r="E88" s="79" t="str">
        <f>IF(CZ9="","",CZ9)</f>
        <v/>
      </c>
      <c r="F88" s="96" t="str">
        <f>IF(CZ56="","",CZ56)</f>
        <v/>
      </c>
      <c r="G88" s="89" t="str">
        <f>IF(CZ57="","",CZ57)</f>
        <v/>
      </c>
      <c r="H88" s="198" t="str">
        <f t="shared" si="105"/>
        <v/>
      </c>
      <c r="I88" s="198"/>
      <c r="J88" s="2" t="str">
        <f>IF(DA57="","",DA57)</f>
        <v/>
      </c>
      <c r="K88" s="89" t="str">
        <f t="shared" si="102"/>
        <v/>
      </c>
      <c r="L88" s="198" t="str">
        <f t="shared" si="103"/>
        <v/>
      </c>
      <c r="AJ88" s="36"/>
      <c r="AK88" s="36"/>
      <c r="AL88" s="36"/>
      <c r="AM88" s="36"/>
      <c r="BK88"/>
      <c r="BO88" s="36"/>
    </row>
    <row r="89" spans="3:67">
      <c r="C89" s="297"/>
      <c r="D89" s="198" t="s">
        <v>161</v>
      </c>
      <c r="E89" s="79" t="str">
        <f>IF(DB9="","",DB9)</f>
        <v/>
      </c>
      <c r="F89" s="96" t="str">
        <f>IF(DB56="","",DB56)</f>
        <v/>
      </c>
      <c r="G89" s="89" t="str">
        <f>IF(DB57="","",DB57)</f>
        <v/>
      </c>
      <c r="H89" s="198" t="str">
        <f t="shared" si="105"/>
        <v/>
      </c>
      <c r="I89" s="198"/>
      <c r="J89" s="2" t="str">
        <f>IF(DC57="","",DC57)</f>
        <v/>
      </c>
      <c r="K89" s="89" t="str">
        <f t="shared" si="102"/>
        <v/>
      </c>
      <c r="L89" s="198" t="str">
        <f t="shared" si="103"/>
        <v/>
      </c>
      <c r="AJ89" s="36"/>
      <c r="AK89" s="36"/>
      <c r="AL89" s="36"/>
      <c r="AM89" s="36"/>
      <c r="BK89"/>
      <c r="BO89" s="36"/>
    </row>
    <row r="90" spans="3:67">
      <c r="C90" s="285"/>
      <c r="D90" s="198" t="s">
        <v>162</v>
      </c>
      <c r="E90" s="79" t="str">
        <f>IF(DD9="","",DD9)</f>
        <v/>
      </c>
      <c r="F90" s="96" t="str">
        <f>IF(DD56="","",DD56)</f>
        <v/>
      </c>
      <c r="G90" s="89" t="str">
        <f>IF(DD57="","",DD57)</f>
        <v/>
      </c>
      <c r="H90" s="198" t="str">
        <f t="shared" si="105"/>
        <v/>
      </c>
      <c r="I90" s="198"/>
      <c r="J90" s="2" t="str">
        <f>IF(DE57="","",DE57)</f>
        <v/>
      </c>
      <c r="K90" s="89" t="str">
        <f t="shared" si="102"/>
        <v/>
      </c>
      <c r="L90" s="198" t="str">
        <f t="shared" si="103"/>
        <v/>
      </c>
      <c r="AJ90" s="36"/>
      <c r="AK90" s="36"/>
      <c r="AL90" s="36"/>
      <c r="AM90" s="36"/>
      <c r="BK90"/>
      <c r="BO90" s="36"/>
    </row>
    <row r="91" spans="3:67">
      <c r="C91" s="284" t="s">
        <v>147</v>
      </c>
      <c r="D91" s="198" t="s">
        <v>163</v>
      </c>
      <c r="E91" s="79" t="str">
        <f>IF(DF9="","",DF9)</f>
        <v/>
      </c>
      <c r="F91" s="96" t="str">
        <f>IF(DF56="","",DF56)</f>
        <v/>
      </c>
      <c r="G91" s="89" t="str">
        <f>IF(DF57="","",DF57)</f>
        <v/>
      </c>
      <c r="H91" s="198" t="str">
        <f t="shared" si="105"/>
        <v/>
      </c>
      <c r="I91" s="198"/>
      <c r="J91" s="2" t="str">
        <f>IF(DG57="","",DG57)</f>
        <v/>
      </c>
      <c r="K91" s="89" t="str">
        <f t="shared" si="102"/>
        <v/>
      </c>
      <c r="L91" s="198" t="str">
        <f t="shared" si="103"/>
        <v/>
      </c>
      <c r="AJ91" s="36"/>
      <c r="AK91" s="36"/>
      <c r="AL91" s="36"/>
      <c r="AM91" s="36"/>
      <c r="BK91"/>
      <c r="BO91" s="36"/>
    </row>
    <row r="92" spans="3:67">
      <c r="C92" s="297"/>
      <c r="D92" s="198" t="s">
        <v>164</v>
      </c>
      <c r="E92" s="79"/>
      <c r="F92" s="96"/>
      <c r="G92" s="89"/>
      <c r="H92" s="198"/>
      <c r="I92" s="198"/>
      <c r="J92" s="158"/>
      <c r="K92" s="89" t="str">
        <f t="shared" si="102"/>
        <v/>
      </c>
      <c r="L92" s="198" t="str">
        <f t="shared" si="103"/>
        <v/>
      </c>
      <c r="AJ92" s="36"/>
      <c r="AK92" s="36"/>
      <c r="AL92" s="36"/>
      <c r="AM92" s="36"/>
      <c r="BK92"/>
      <c r="BO92" s="36"/>
    </row>
    <row r="93" spans="3:67">
      <c r="C93" s="297"/>
      <c r="D93" s="198" t="s">
        <v>165</v>
      </c>
      <c r="E93" s="79"/>
      <c r="F93" s="96"/>
      <c r="G93" s="89"/>
      <c r="H93" s="198"/>
      <c r="I93" s="198"/>
      <c r="J93" s="158"/>
      <c r="K93" s="89" t="str">
        <f t="shared" si="102"/>
        <v/>
      </c>
      <c r="L93" s="198" t="str">
        <f t="shared" si="103"/>
        <v/>
      </c>
      <c r="AJ93" s="36"/>
      <c r="AK93" s="36"/>
      <c r="AL93" s="36"/>
      <c r="AM93" s="36"/>
      <c r="BK93"/>
      <c r="BO93" s="36"/>
    </row>
    <row r="94" spans="3:67">
      <c r="C94" s="297"/>
      <c r="D94" s="198" t="s">
        <v>333</v>
      </c>
      <c r="E94" s="79"/>
      <c r="F94" s="96"/>
      <c r="G94" s="89"/>
      <c r="H94" s="198"/>
      <c r="I94" s="198"/>
      <c r="J94" s="158"/>
      <c r="K94" s="89" t="str">
        <f t="shared" si="102"/>
        <v/>
      </c>
      <c r="L94" s="198" t="str">
        <f t="shared" si="103"/>
        <v/>
      </c>
      <c r="AJ94" s="36"/>
      <c r="AK94" s="36"/>
      <c r="AL94" s="36"/>
      <c r="AM94" s="36"/>
      <c r="BK94"/>
      <c r="BO94" s="36"/>
    </row>
    <row r="95" spans="3:67">
      <c r="C95" s="297"/>
      <c r="D95" s="198" t="s">
        <v>334</v>
      </c>
      <c r="E95" s="79" t="str">
        <f>IF(DH9="","",DH9)</f>
        <v/>
      </c>
      <c r="F95" s="96" t="str">
        <f>IF(DH56="","",DH56)</f>
        <v/>
      </c>
      <c r="G95" s="89" t="str">
        <f>IF(DH57="","",DH57)</f>
        <v/>
      </c>
      <c r="H95" s="198" t="str">
        <f>IF(G95="","",IF(G95&gt;=70%,"Tercapai","Belum Tercapai"))</f>
        <v/>
      </c>
      <c r="I95" s="198"/>
      <c r="J95" s="2" t="str">
        <f>IF(DI57="","",DI57)</f>
        <v/>
      </c>
      <c r="K95" s="89" t="str">
        <f t="shared" si="102"/>
        <v/>
      </c>
      <c r="L95" s="198" t="str">
        <f t="shared" si="103"/>
        <v/>
      </c>
      <c r="AJ95" s="36"/>
      <c r="AK95" s="36"/>
      <c r="AL95" s="36"/>
      <c r="AM95" s="36"/>
      <c r="BK95"/>
      <c r="BO95" s="36"/>
    </row>
    <row r="96" spans="3:67">
      <c r="C96" s="285"/>
      <c r="D96" s="198" t="s">
        <v>335</v>
      </c>
      <c r="E96" s="79" t="str">
        <f>IF(DP9="","",DP9)</f>
        <v/>
      </c>
      <c r="F96" s="96" t="str">
        <f>IF(DP56="","",DP56)</f>
        <v/>
      </c>
      <c r="G96" s="89" t="str">
        <f>IF(DP57="","",DP57)</f>
        <v/>
      </c>
      <c r="H96" s="198" t="str">
        <f>IF(G96="","",IF(G96&gt;=70%,"Tercapai","Belum Tercapai"))</f>
        <v/>
      </c>
      <c r="I96" s="198"/>
      <c r="J96" s="2" t="str">
        <f>IF(DQ57="","",DQ57)</f>
        <v/>
      </c>
      <c r="K96" s="89" t="str">
        <f t="shared" si="102"/>
        <v/>
      </c>
      <c r="L96" s="198" t="str">
        <f t="shared" si="103"/>
        <v/>
      </c>
      <c r="AJ96" s="36"/>
      <c r="AK96" s="36"/>
      <c r="AL96" s="36"/>
      <c r="AM96" s="36"/>
      <c r="BK96"/>
      <c r="BO96" s="36"/>
    </row>
    <row r="97" spans="3:67">
      <c r="C97" s="284" t="s">
        <v>148</v>
      </c>
      <c r="D97" s="198" t="s">
        <v>166</v>
      </c>
      <c r="E97" s="79">
        <f>IF(DR9="","",DR9)</f>
        <v>50</v>
      </c>
      <c r="F97" s="96">
        <f>IF(DR56="","",DR56)</f>
        <v>38.955882352941181</v>
      </c>
      <c r="G97" s="89">
        <f>IF(DR57="","",DR57)</f>
        <v>0.77911764705882358</v>
      </c>
      <c r="H97" s="198" t="str">
        <f>IF(G97="","",IF(G97&gt;=70%,"Tercapai","Belum Tercapai"))</f>
        <v>Tercapai</v>
      </c>
      <c r="I97" s="198">
        <f>IF(DS59="","",DS59)</f>
        <v>34</v>
      </c>
      <c r="J97" s="2">
        <f>IF(DS57="","",DS57)</f>
        <v>32</v>
      </c>
      <c r="K97" s="89">
        <f t="shared" si="102"/>
        <v>0.94117647058823528</v>
      </c>
      <c r="L97" s="198" t="str">
        <f t="shared" si="103"/>
        <v>Tercapai</v>
      </c>
      <c r="AJ97" s="36"/>
      <c r="AK97" s="36"/>
      <c r="AL97" s="36"/>
      <c r="AM97" s="36"/>
      <c r="BK97"/>
      <c r="BO97" s="36"/>
    </row>
    <row r="98" spans="3:67">
      <c r="C98" s="297"/>
      <c r="D98" s="198" t="s">
        <v>167</v>
      </c>
      <c r="E98" s="79"/>
      <c r="F98" s="96"/>
      <c r="G98" s="89"/>
      <c r="H98" s="198"/>
      <c r="I98" s="198"/>
      <c r="J98" s="158"/>
      <c r="K98" s="89" t="str">
        <f t="shared" si="102"/>
        <v/>
      </c>
      <c r="L98" s="198" t="str">
        <f t="shared" si="103"/>
        <v/>
      </c>
      <c r="AJ98" s="36"/>
      <c r="AK98" s="36"/>
      <c r="AL98" s="36"/>
      <c r="AM98" s="36"/>
      <c r="BK98"/>
      <c r="BO98" s="36"/>
    </row>
    <row r="99" spans="3:67">
      <c r="C99" s="285"/>
      <c r="D99" s="198" t="s">
        <v>336</v>
      </c>
      <c r="E99" s="79" t="str">
        <f>IF(DV9="","",DV9)</f>
        <v/>
      </c>
      <c r="F99" s="96" t="str">
        <f>IF(DV56="","",DV56)</f>
        <v/>
      </c>
      <c r="G99" s="89" t="str">
        <f>IF(DV57="","",DV57)</f>
        <v/>
      </c>
      <c r="H99" s="198" t="str">
        <f>IF(G99="","",IF(G99&gt;=70%,"Tercapai","Belum Tercapai"))</f>
        <v/>
      </c>
      <c r="I99" s="198"/>
      <c r="J99" s="2" t="str">
        <f>IF(DW57="","",DW57)</f>
        <v/>
      </c>
      <c r="K99" s="89" t="str">
        <f t="shared" si="102"/>
        <v/>
      </c>
      <c r="L99" s="198" t="str">
        <f t="shared" si="103"/>
        <v/>
      </c>
      <c r="AJ99" s="36"/>
      <c r="AK99" s="36"/>
      <c r="AL99" s="36"/>
      <c r="AM99" s="36"/>
      <c r="BK99"/>
      <c r="BO99" s="36"/>
    </row>
    <row r="100" spans="3:67">
      <c r="C100" s="284" t="s">
        <v>114</v>
      </c>
      <c r="D100" s="2" t="s">
        <v>150</v>
      </c>
      <c r="E100" s="79">
        <f>IF(DX9="","",DX9)</f>
        <v>50</v>
      </c>
      <c r="F100" s="96">
        <f>IF(DX56="","",DX56)</f>
        <v>38.363235294117651</v>
      </c>
      <c r="G100" s="89">
        <f>IF(DX57="","",DX57)</f>
        <v>0.76726470588235296</v>
      </c>
      <c r="H100" s="2" t="str">
        <f>IF(G100="","",IF(G100&gt;=70%,"Tercapai","Belum Tercapai"))</f>
        <v>Tercapai</v>
      </c>
      <c r="I100" s="2">
        <f>IF(DY59="","",DY59)</f>
        <v>34</v>
      </c>
      <c r="J100" s="2">
        <f>IF(DY57="","",DY57)</f>
        <v>28</v>
      </c>
      <c r="K100" s="89">
        <f t="shared" si="102"/>
        <v>0.82352941176470584</v>
      </c>
      <c r="L100" s="198" t="str">
        <f t="shared" si="103"/>
        <v>Tercapai</v>
      </c>
      <c r="AJ100" s="36"/>
      <c r="AK100" s="36"/>
      <c r="AL100" s="36"/>
      <c r="AM100" s="36"/>
      <c r="BK100"/>
      <c r="BO100" s="36"/>
    </row>
    <row r="101" spans="3:67">
      <c r="C101" s="297"/>
      <c r="D101" s="158" t="s">
        <v>116</v>
      </c>
      <c r="E101" s="79"/>
      <c r="F101" s="96"/>
      <c r="G101" s="89"/>
      <c r="H101" s="158"/>
      <c r="I101" s="158"/>
      <c r="J101" s="158"/>
      <c r="K101" s="89" t="str">
        <f t="shared" si="102"/>
        <v/>
      </c>
      <c r="L101" s="198" t="str">
        <f t="shared" si="103"/>
        <v/>
      </c>
      <c r="AJ101" s="36"/>
      <c r="AK101" s="36"/>
      <c r="AL101" s="36"/>
      <c r="AM101" s="36"/>
      <c r="BK101"/>
      <c r="BO101" s="36"/>
    </row>
    <row r="102" spans="3:67">
      <c r="C102" s="285"/>
      <c r="D102" s="158" t="s">
        <v>337</v>
      </c>
      <c r="E102" s="79" t="str">
        <f>IF(DZ9="","",DZ9)</f>
        <v/>
      </c>
      <c r="F102" s="96" t="str">
        <f>IF(DZ56="","",DZ56)</f>
        <v/>
      </c>
      <c r="G102" s="89" t="str">
        <f>IF(DZ57="","",DZ57)</f>
        <v/>
      </c>
      <c r="H102" s="2" t="str">
        <f>IF(G102="","",IF(G102&gt;=70%,"Tercapai","Belum Tercapai"))</f>
        <v/>
      </c>
      <c r="I102" s="2" t="str">
        <f>IF(EA59="","",EA59)</f>
        <v/>
      </c>
      <c r="J102" s="2" t="str">
        <f>IF(EA57="","",EA57)</f>
        <v/>
      </c>
      <c r="K102" s="89" t="str">
        <f t="shared" si="102"/>
        <v/>
      </c>
      <c r="L102" s="198" t="str">
        <f t="shared" si="103"/>
        <v/>
      </c>
      <c r="AJ102" s="36"/>
      <c r="AK102" s="36"/>
      <c r="AL102" s="36"/>
      <c r="AM102" s="36"/>
      <c r="BK102"/>
      <c r="BO102" s="36"/>
    </row>
    <row r="103" spans="3:67">
      <c r="C103" s="284" t="s">
        <v>121</v>
      </c>
      <c r="D103" s="2" t="s">
        <v>124</v>
      </c>
      <c r="E103" s="79">
        <f>IF(EB9="","",EB9)</f>
        <v>16</v>
      </c>
      <c r="F103" s="96">
        <f>IF(EB56="","",EB56)</f>
        <v>12.363811764705879</v>
      </c>
      <c r="G103" s="89">
        <f>IF(EB57="","",EB57)</f>
        <v>0.77273823529411745</v>
      </c>
      <c r="H103" s="2" t="str">
        <f>IF(G103="","",IF(G103&gt;=70%,"Tercapai","Belum Tercapai"))</f>
        <v>Tercapai</v>
      </c>
      <c r="I103" s="2">
        <f>IF(EC59="","",EC59)</f>
        <v>34</v>
      </c>
      <c r="J103" s="2">
        <f>IF(EC57="","",EC57)</f>
        <v>34</v>
      </c>
      <c r="K103" s="89">
        <f t="shared" si="102"/>
        <v>1</v>
      </c>
      <c r="L103" s="198" t="str">
        <f t="shared" si="103"/>
        <v>Tercapai</v>
      </c>
      <c r="AJ103" s="36"/>
      <c r="AK103" s="36"/>
      <c r="AL103" s="36"/>
      <c r="AM103" s="36"/>
      <c r="BK103"/>
      <c r="BO103" s="36"/>
    </row>
    <row r="104" spans="3:67">
      <c r="C104" s="297"/>
      <c r="D104" s="158" t="s">
        <v>168</v>
      </c>
      <c r="E104" s="79">
        <f>IF(ED9="","",ED9)</f>
        <v>16</v>
      </c>
      <c r="F104" s="96">
        <f>IF(ED56="","",ED56)</f>
        <v>12.550870588235295</v>
      </c>
      <c r="G104" s="89">
        <f>IF(ED57="","",ED57)</f>
        <v>0.78442941176470593</v>
      </c>
      <c r="H104" s="201" t="str">
        <f>IF(G104="","",IF(G104&gt;=70%,"Tercapai","Belum Tercapai"))</f>
        <v>Tercapai</v>
      </c>
      <c r="I104" s="201">
        <f>IF(EE59="","",EE59)</f>
        <v>34</v>
      </c>
      <c r="J104" s="212">
        <f>IF(EE57="","",EE57)</f>
        <v>33</v>
      </c>
      <c r="K104" s="89">
        <f t="shared" si="102"/>
        <v>0.97058823529411764</v>
      </c>
      <c r="L104" s="201" t="str">
        <f t="shared" si="103"/>
        <v>Tercapai</v>
      </c>
      <c r="AJ104" s="36"/>
      <c r="AK104" s="36"/>
      <c r="AL104" s="36"/>
      <c r="AM104" s="36"/>
      <c r="BK104"/>
      <c r="BO104" s="36"/>
    </row>
    <row r="105" spans="3:67">
      <c r="C105" s="297"/>
      <c r="D105" s="158" t="s">
        <v>286</v>
      </c>
      <c r="E105" s="79">
        <f>IF(EF9="","",EF9)</f>
        <v>26</v>
      </c>
      <c r="F105" s="96">
        <f>IF(EF56="","",EF56)</f>
        <v>20.984829411764714</v>
      </c>
      <c r="G105" s="89">
        <f>IF(EF57="","",EF57)</f>
        <v>0.80710882352941204</v>
      </c>
      <c r="H105" s="201" t="str">
        <f>IF(G105="","",IF(G105&gt;=70%,"Tercapai","Belum Tercapai"))</f>
        <v>Tercapai</v>
      </c>
      <c r="I105" s="201">
        <f>IF(EG59="","",EG59)</f>
        <v>34</v>
      </c>
      <c r="J105" s="201">
        <f t="shared" ref="J105:J106" si="106">IF(EC59="","",EC59)</f>
        <v>34</v>
      </c>
      <c r="K105" s="89">
        <f t="shared" si="102"/>
        <v>1</v>
      </c>
      <c r="L105" s="201" t="str">
        <f t="shared" si="103"/>
        <v>Tercapai</v>
      </c>
      <c r="AJ105" s="36"/>
      <c r="AK105" s="36"/>
      <c r="AL105" s="36"/>
      <c r="AM105" s="36"/>
      <c r="BK105"/>
      <c r="BO105" s="36"/>
    </row>
    <row r="106" spans="3:67">
      <c r="C106" s="297"/>
      <c r="D106" s="158" t="s">
        <v>287</v>
      </c>
      <c r="E106" s="79"/>
      <c r="F106" s="96"/>
      <c r="G106" s="89"/>
      <c r="H106" s="158"/>
      <c r="I106" s="201" t="str">
        <f t="shared" ref="I106" si="107">IF(EC62="","",EC62)</f>
        <v/>
      </c>
      <c r="J106" s="201" t="str">
        <f t="shared" si="106"/>
        <v/>
      </c>
      <c r="K106" s="89" t="str">
        <f t="shared" si="102"/>
        <v/>
      </c>
      <c r="L106" s="201" t="str">
        <f t="shared" si="103"/>
        <v/>
      </c>
      <c r="AJ106" s="36"/>
      <c r="AK106" s="36"/>
      <c r="AL106" s="36"/>
      <c r="AM106" s="36"/>
      <c r="BK106"/>
      <c r="BO106" s="36"/>
    </row>
    <row r="107" spans="3:67">
      <c r="C107" s="285"/>
      <c r="D107" s="158" t="s">
        <v>338</v>
      </c>
      <c r="E107" s="79" t="str">
        <f>IF(EJ9="","",EJ9)</f>
        <v/>
      </c>
      <c r="F107" s="96" t="str">
        <f>IF(EJ56="","",EJ56)</f>
        <v/>
      </c>
      <c r="G107" s="89" t="str">
        <f>IF(EJ57="","",EJ57)</f>
        <v/>
      </c>
      <c r="H107" s="2" t="str">
        <f>IF(G107="","",IF(G107&gt;=70%,"Tercapai","Belum Tercapai"))</f>
        <v/>
      </c>
      <c r="I107" s="2" t="str">
        <f>IF(EK59="","",EK59)</f>
        <v/>
      </c>
      <c r="J107" s="2" t="str">
        <f>IF(EK57="","",EK57)</f>
        <v/>
      </c>
      <c r="K107" s="89" t="str">
        <f t="shared" si="102"/>
        <v/>
      </c>
      <c r="L107" s="198" t="str">
        <f t="shared" si="103"/>
        <v/>
      </c>
      <c r="AJ107" s="36"/>
      <c r="AK107" s="36"/>
      <c r="AL107" s="36"/>
      <c r="AM107" s="36"/>
      <c r="BK107"/>
      <c r="BO107" s="36"/>
    </row>
    <row r="108" spans="3:67">
      <c r="C108" s="284" t="s">
        <v>149</v>
      </c>
      <c r="D108" s="2" t="s">
        <v>169</v>
      </c>
      <c r="E108" s="79">
        <f>IF(EL9="","",EL9)</f>
        <v>21</v>
      </c>
      <c r="F108" s="96">
        <f>IF(EL56="","",EL56)</f>
        <v>16.938847058823534</v>
      </c>
      <c r="G108" s="89">
        <f>IF(EL57="","",EL57)</f>
        <v>0.85939705882352935</v>
      </c>
      <c r="H108" s="2" t="str">
        <f>IF(G108="","",IF(G108&gt;=70%,"Tercapai","Belum Tercapai"))</f>
        <v>Tercapai</v>
      </c>
      <c r="I108" s="2">
        <f>IF(EM59="","",EM59)</f>
        <v>34</v>
      </c>
      <c r="J108" s="2">
        <f>IF(EM57="","",EM57)</f>
        <v>32</v>
      </c>
      <c r="K108" s="89">
        <f t="shared" si="102"/>
        <v>0.94117647058823528</v>
      </c>
      <c r="L108" s="198" t="str">
        <f t="shared" si="103"/>
        <v>Tercapai</v>
      </c>
      <c r="AJ108" s="36"/>
      <c r="AK108" s="36"/>
      <c r="AL108" s="36"/>
      <c r="AM108" s="36"/>
      <c r="BK108"/>
      <c r="BO108" s="36"/>
    </row>
    <row r="109" spans="3:67">
      <c r="C109" s="297"/>
      <c r="D109" s="158" t="s">
        <v>170</v>
      </c>
      <c r="E109" s="79"/>
      <c r="F109" s="96"/>
      <c r="G109" s="89"/>
      <c r="H109" s="201" t="str">
        <f t="shared" ref="H109:H111" si="108">IF(G109="","",IF(G109&gt;=70%,"Tercapai","Belum Tercapai"))</f>
        <v/>
      </c>
      <c r="I109" s="158"/>
      <c r="J109" s="158"/>
      <c r="K109" s="89" t="str">
        <f t="shared" si="102"/>
        <v/>
      </c>
      <c r="L109" s="201" t="str">
        <f t="shared" si="103"/>
        <v/>
      </c>
      <c r="AJ109" s="36"/>
      <c r="AK109" s="36"/>
      <c r="AL109" s="36"/>
      <c r="AM109" s="36"/>
      <c r="BK109"/>
      <c r="BO109" s="36"/>
    </row>
    <row r="110" spans="3:67">
      <c r="C110" s="297"/>
      <c r="D110" s="158" t="s">
        <v>339</v>
      </c>
      <c r="E110" s="79"/>
      <c r="F110" s="96"/>
      <c r="G110" s="89"/>
      <c r="H110" s="201" t="str">
        <f t="shared" si="108"/>
        <v/>
      </c>
      <c r="I110" s="158"/>
      <c r="J110" s="158"/>
      <c r="K110" s="89" t="str">
        <f t="shared" si="102"/>
        <v/>
      </c>
      <c r="L110" s="201" t="str">
        <f t="shared" si="103"/>
        <v/>
      </c>
      <c r="AJ110" s="36"/>
      <c r="AK110" s="36"/>
      <c r="AL110" s="36"/>
      <c r="AM110" s="36"/>
      <c r="BK110"/>
      <c r="BO110" s="36"/>
    </row>
    <row r="111" spans="3:67">
      <c r="C111" s="297"/>
      <c r="D111" s="158" t="s">
        <v>301</v>
      </c>
      <c r="E111" s="79">
        <f>IF(ER59="","",ER59)</f>
        <v>34</v>
      </c>
      <c r="F111" s="96">
        <f>IF(ER56="","",ER56)</f>
        <v>41.017647058823528</v>
      </c>
      <c r="G111" s="89">
        <f>IF(ER57="","",ER57)</f>
        <v>0.85939705882352935</v>
      </c>
      <c r="H111" s="201" t="str">
        <f t="shared" si="108"/>
        <v>Tercapai</v>
      </c>
      <c r="I111" s="158">
        <f>IF(ES59="","",ES59)</f>
        <v>34</v>
      </c>
      <c r="J111" s="158">
        <f>IF(ES57="","",ES57)</f>
        <v>34</v>
      </c>
      <c r="K111" s="89">
        <f t="shared" si="102"/>
        <v>1</v>
      </c>
      <c r="L111" s="201" t="str">
        <f t="shared" si="103"/>
        <v>Tercapai</v>
      </c>
      <c r="AJ111" s="36"/>
      <c r="AK111" s="36"/>
      <c r="AL111" s="36"/>
      <c r="AM111" s="36"/>
      <c r="BK111"/>
      <c r="BO111" s="36"/>
    </row>
    <row r="112" spans="3:67">
      <c r="C112" s="285"/>
      <c r="D112" s="158" t="s">
        <v>302</v>
      </c>
      <c r="E112" s="79">
        <f>IF(ET9="","",ET9)</f>
        <v>50</v>
      </c>
      <c r="F112" s="96">
        <f>IF(ET56="","",ET56)</f>
        <v>38.077941176470581</v>
      </c>
      <c r="G112" s="89">
        <f>IF(ET57="","",ET57)</f>
        <v>0.85939705882352935</v>
      </c>
      <c r="H112" s="2" t="str">
        <f>IF(G112="","",IF(G112&gt;=70%,"Tercapai","Belum Tercapai"))</f>
        <v>Tercapai</v>
      </c>
      <c r="I112" s="2">
        <f>IF(EU59="","",EU59)</f>
        <v>34</v>
      </c>
      <c r="J112" s="2">
        <f>IF(EU57="","",EU57)</f>
        <v>34</v>
      </c>
      <c r="K112" s="89">
        <f t="shared" si="102"/>
        <v>1</v>
      </c>
      <c r="L112" s="198" t="str">
        <f t="shared" si="103"/>
        <v>Tercapai</v>
      </c>
      <c r="AJ112" s="36"/>
      <c r="AK112" s="36"/>
      <c r="AL112" s="36"/>
      <c r="AM112" s="36"/>
      <c r="BK112"/>
      <c r="BO112" s="36"/>
    </row>
    <row r="113" spans="3:67">
      <c r="C113" s="284" t="s">
        <v>122</v>
      </c>
      <c r="D113" s="2" t="s">
        <v>125</v>
      </c>
      <c r="E113" s="79" t="str">
        <f t="shared" ref="E113" si="109">IF(ET10="","",ET10)</f>
        <v/>
      </c>
      <c r="F113" s="96" t="str">
        <f>IF(EV56="","",EV56)</f>
        <v/>
      </c>
      <c r="G113" s="89" t="str">
        <f>IF(EV57="","",EV57)</f>
        <v/>
      </c>
      <c r="H113" s="201" t="str">
        <f t="shared" ref="H113:H115" si="110">IF(G113="","",IF(G113&gt;=70%,"Tercapai","Belum Tercapai"))</f>
        <v/>
      </c>
      <c r="I113" s="2">
        <f>IF(EW59="","",EW59)</f>
        <v>0</v>
      </c>
      <c r="J113" s="2" t="str">
        <f>IF(EW57="","",EW57)</f>
        <v/>
      </c>
      <c r="K113" s="89" t="str">
        <f t="shared" si="102"/>
        <v/>
      </c>
      <c r="L113" s="198" t="str">
        <f t="shared" si="103"/>
        <v/>
      </c>
      <c r="AJ113" s="36"/>
      <c r="AK113" s="36"/>
      <c r="AL113" s="36"/>
      <c r="AM113" s="36"/>
      <c r="BK113"/>
      <c r="BO113" s="36"/>
    </row>
    <row r="114" spans="3:67">
      <c r="C114" s="297"/>
      <c r="D114" s="158" t="s">
        <v>130</v>
      </c>
      <c r="E114" s="79">
        <f>IF(EX9="","",EX9)</f>
        <v>50</v>
      </c>
      <c r="F114" s="96">
        <f>IF(EX56="","",EX56)</f>
        <v>42.920588235294126</v>
      </c>
      <c r="G114" s="89">
        <f>IF(EX57="","",EX57)</f>
        <v>0.85939705882352935</v>
      </c>
      <c r="H114" s="201" t="str">
        <f t="shared" si="110"/>
        <v>Tercapai</v>
      </c>
      <c r="I114" s="201">
        <f>IF(EY59="","",EY59)</f>
        <v>34</v>
      </c>
      <c r="J114" s="158">
        <f>IF(EY57="","",EY57)</f>
        <v>34</v>
      </c>
      <c r="K114" s="89">
        <f t="shared" si="102"/>
        <v>1</v>
      </c>
      <c r="L114" s="198" t="str">
        <f t="shared" si="103"/>
        <v>Tercapai</v>
      </c>
      <c r="AJ114" s="36"/>
      <c r="AK114" s="36"/>
      <c r="AL114" s="36"/>
      <c r="AM114" s="36"/>
      <c r="BK114"/>
      <c r="BO114" s="36"/>
    </row>
    <row r="115" spans="3:67">
      <c r="C115" s="297"/>
      <c r="D115" s="158" t="s">
        <v>319</v>
      </c>
      <c r="E115" s="79">
        <f>IF(EZ9="","",EZ9)</f>
        <v>50</v>
      </c>
      <c r="F115" s="96">
        <f>IF(EZ56="","",EZ56)</f>
        <v>45.216176470588238</v>
      </c>
      <c r="G115" s="89">
        <f>IF(EZ57="","",EZ57)</f>
        <v>0.85939705882352935</v>
      </c>
      <c r="H115" s="201" t="str">
        <f t="shared" si="110"/>
        <v>Tercapai</v>
      </c>
      <c r="I115" s="158">
        <f>IF(FA59="","",FA59)</f>
        <v>34</v>
      </c>
      <c r="J115" s="158">
        <f>IF(FA57="","",FA57)</f>
        <v>33</v>
      </c>
      <c r="K115" s="89">
        <f t="shared" si="102"/>
        <v>0.97058823529411764</v>
      </c>
      <c r="L115" s="198" t="str">
        <f t="shared" si="103"/>
        <v>Tercapai</v>
      </c>
      <c r="AJ115" s="36"/>
      <c r="AK115" s="36"/>
      <c r="AL115" s="36"/>
      <c r="AM115" s="36"/>
      <c r="BK115"/>
      <c r="BO115" s="36"/>
    </row>
    <row r="116" spans="3:67">
      <c r="C116" s="285"/>
      <c r="D116" s="158" t="s">
        <v>340</v>
      </c>
      <c r="E116" s="79"/>
      <c r="F116" s="96" t="str">
        <f>IF(FD56="","",FD56)</f>
        <v/>
      </c>
      <c r="G116" s="89" t="str">
        <f>IF(FD57="","",FD57)</f>
        <v/>
      </c>
      <c r="H116" s="2" t="str">
        <f>IF(G116="","",IF(G116&gt;=70%,"Tercapai","Belum Tercapai"))</f>
        <v/>
      </c>
      <c r="I116" s="2">
        <f>IF(FE59="","",FE59)</f>
        <v>0</v>
      </c>
      <c r="J116" s="2" t="str">
        <f>IF(FE57="","",FE57)</f>
        <v/>
      </c>
      <c r="K116" s="89" t="str">
        <f t="shared" si="102"/>
        <v/>
      </c>
      <c r="L116" s="198" t="str">
        <f t="shared" si="103"/>
        <v/>
      </c>
      <c r="AJ116" s="36"/>
      <c r="AK116" s="36"/>
      <c r="AL116" s="36"/>
      <c r="AM116" s="36"/>
      <c r="BK116"/>
      <c r="BO116" s="36"/>
    </row>
    <row r="118" spans="3:67">
      <c r="E118" s="36">
        <f>SUM(E62:E116)</f>
        <v>713</v>
      </c>
      <c r="F118" s="93">
        <f>SUM(F62:F116)</f>
        <v>598.10757450980395</v>
      </c>
      <c r="G118" s="94">
        <f>AVERAGE(G62:G116)</f>
        <v>0.8248234717416375</v>
      </c>
    </row>
  </sheetData>
  <mergeCells count="144">
    <mergeCell ref="DK8:DK9"/>
    <mergeCell ref="DM8:DM9"/>
    <mergeCell ref="DO8:DO9"/>
    <mergeCell ref="FK8:FK9"/>
    <mergeCell ref="FM8:FM9"/>
    <mergeCell ref="CD6:CG6"/>
    <mergeCell ref="CD7:CG7"/>
    <mergeCell ref="CE8:CE9"/>
    <mergeCell ref="CG8:CG9"/>
    <mergeCell ref="DX6:EA6"/>
    <mergeCell ref="DX7:EA7"/>
    <mergeCell ref="DR6:DW6"/>
    <mergeCell ref="DR7:DW7"/>
    <mergeCell ref="DF6:DQ6"/>
    <mergeCell ref="DF7:DQ7"/>
    <mergeCell ref="CX6:DE6"/>
    <mergeCell ref="CX7:DE7"/>
    <mergeCell ref="CH6:CW6"/>
    <mergeCell ref="CH7:CW7"/>
    <mergeCell ref="FJ6:FM6"/>
    <mergeCell ref="FJ7:FM7"/>
    <mergeCell ref="FF6:FI6"/>
    <mergeCell ref="EV6:FE6"/>
    <mergeCell ref="EV7:FE7"/>
    <mergeCell ref="EL6:EU6"/>
    <mergeCell ref="EL7:EU7"/>
    <mergeCell ref="EB6:EK6"/>
    <mergeCell ref="DA8:DA9"/>
    <mergeCell ref="BP6:BW6"/>
    <mergeCell ref="BP7:BW7"/>
    <mergeCell ref="BJ6:BO6"/>
    <mergeCell ref="BJ7:BO7"/>
    <mergeCell ref="BK8:BK9"/>
    <mergeCell ref="BM8:BM9"/>
    <mergeCell ref="BO8:BO9"/>
    <mergeCell ref="BQ8:BQ9"/>
    <mergeCell ref="BS8:BS9"/>
    <mergeCell ref="BU8:BU9"/>
    <mergeCell ref="BW8:BW9"/>
    <mergeCell ref="CU8:CU9"/>
    <mergeCell ref="CS8:CS9"/>
    <mergeCell ref="CQ8:CQ9"/>
    <mergeCell ref="CO8:CO9"/>
    <mergeCell ref="CM8:CM9"/>
    <mergeCell ref="CK8:CK9"/>
    <mergeCell ref="BX6:CC6"/>
    <mergeCell ref="DI8:DI9"/>
    <mergeCell ref="DQ8:DQ9"/>
    <mergeCell ref="C108:C112"/>
    <mergeCell ref="C113:C116"/>
    <mergeCell ref="AY7:AY9"/>
    <mergeCell ref="BA7:BA9"/>
    <mergeCell ref="BC7:BC9"/>
    <mergeCell ref="BE7:BE9"/>
    <mergeCell ref="BG7:BG9"/>
    <mergeCell ref="CI8:CI9"/>
    <mergeCell ref="CW8:CW9"/>
    <mergeCell ref="C79:C86"/>
    <mergeCell ref="C87:C90"/>
    <mergeCell ref="C91:C96"/>
    <mergeCell ref="C97:C99"/>
    <mergeCell ref="C100:C102"/>
    <mergeCell ref="C103:C107"/>
    <mergeCell ref="AW7:AW9"/>
    <mergeCell ref="C62:C64"/>
    <mergeCell ref="C65:C68"/>
    <mergeCell ref="C69:C71"/>
    <mergeCell ref="C72:C78"/>
    <mergeCell ref="AG7:AG9"/>
    <mergeCell ref="AI7:AI9"/>
    <mergeCell ref="AK7:AK9"/>
    <mergeCell ref="AM7:AM9"/>
    <mergeCell ref="AO7:AO9"/>
    <mergeCell ref="AQ7:AQ9"/>
    <mergeCell ref="AS7:AS9"/>
    <mergeCell ref="AU7:AU9"/>
    <mergeCell ref="FF7:FI7"/>
    <mergeCell ref="BX7:CC7"/>
    <mergeCell ref="BY8:BY9"/>
    <mergeCell ref="CA8:CA9"/>
    <mergeCell ref="CC8:CC9"/>
    <mergeCell ref="EU8:EU9"/>
    <mergeCell ref="EW8:EW9"/>
    <mergeCell ref="FE8:FE9"/>
    <mergeCell ref="FG8:FG9"/>
    <mergeCell ref="FI8:FI9"/>
    <mergeCell ref="DY8:DY9"/>
    <mergeCell ref="EA8:EA9"/>
    <mergeCell ref="EC8:EC9"/>
    <mergeCell ref="EK8:EK9"/>
    <mergeCell ref="EM8:EM9"/>
    <mergeCell ref="DW8:DW9"/>
    <mergeCell ref="EB7:EK7"/>
    <mergeCell ref="DC8:DC9"/>
    <mergeCell ref="DE8:DE9"/>
    <mergeCell ref="DG8:DG9"/>
    <mergeCell ref="DS8:DS9"/>
    <mergeCell ref="CY8:CY9"/>
    <mergeCell ref="BD4:BE5"/>
    <mergeCell ref="BF4:BG5"/>
    <mergeCell ref="D5:E5"/>
    <mergeCell ref="G5:K5"/>
    <mergeCell ref="M5:N5"/>
    <mergeCell ref="P5:Q5"/>
    <mergeCell ref="S5:T5"/>
    <mergeCell ref="V5:W5"/>
    <mergeCell ref="Y5:Z5"/>
    <mergeCell ref="AB5:AC5"/>
    <mergeCell ref="AR4:AS5"/>
    <mergeCell ref="AT4:AU5"/>
    <mergeCell ref="AV4:AW5"/>
    <mergeCell ref="AX4:AY5"/>
    <mergeCell ref="AZ4:BA5"/>
    <mergeCell ref="BB4:BC5"/>
    <mergeCell ref="AF4:AG5"/>
    <mergeCell ref="AH4:AI5"/>
    <mergeCell ref="AJ4:AK5"/>
    <mergeCell ref="AL4:AM5"/>
    <mergeCell ref="AN4:AO5"/>
    <mergeCell ref="AP4:AQ5"/>
    <mergeCell ref="Y4:Z4"/>
    <mergeCell ref="AA4:AA9"/>
    <mergeCell ref="AB4:AC4"/>
    <mergeCell ref="AD4:AD9"/>
    <mergeCell ref="Y6:Z6"/>
    <mergeCell ref="AB6:AC6"/>
    <mergeCell ref="P4:Q4"/>
    <mergeCell ref="R4:R9"/>
    <mergeCell ref="S4:T4"/>
    <mergeCell ref="U4:U9"/>
    <mergeCell ref="V4:W4"/>
    <mergeCell ref="X4:X9"/>
    <mergeCell ref="P6:Q6"/>
    <mergeCell ref="S6:T6"/>
    <mergeCell ref="V6:W6"/>
    <mergeCell ref="D4:E4"/>
    <mergeCell ref="F4:F9"/>
    <mergeCell ref="G4:K4"/>
    <mergeCell ref="L4:L9"/>
    <mergeCell ref="M4:N4"/>
    <mergeCell ref="O4:O9"/>
    <mergeCell ref="D6:E6"/>
    <mergeCell ref="G6:K6"/>
    <mergeCell ref="M6:N6"/>
  </mergeCells>
  <phoneticPr fontId="21" type="noConversion"/>
  <printOptions horizontalCentered="1"/>
  <pageMargins left="0.31496062992125984" right="0.31496062992125984" top="0.55118110236220474" bottom="0.35433070866141736" header="0" footer="0"/>
  <pageSetup scale="65" orientation="landscape" r:id="rId1"/>
  <rowBreaks count="1" manualBreakCount="1">
    <brk id="59" max="16383" man="1"/>
  </rowBreaks>
  <colBreaks count="6" manualBreakCount="6">
    <brk id="15" max="1048575" man="1"/>
    <brk id="27" max="1048575" man="1"/>
    <brk id="30" max="1048575" man="1"/>
    <brk id="81" max="1048575" man="1"/>
    <brk id="121" max="1048575" man="1"/>
    <brk id="161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C255-6725-44BE-8534-89477CD58FD8}">
  <dimension ref="A1:CQ94"/>
  <sheetViews>
    <sheetView view="pageBreakPreview" topLeftCell="A45" zoomScale="80" zoomScaleNormal="100" zoomScaleSheetLayoutView="80" workbookViewId="0">
      <selection activeCell="A33" sqref="A33"/>
    </sheetView>
  </sheetViews>
  <sheetFormatPr defaultRowHeight="14"/>
  <cols>
    <col min="1" max="1" width="6" customWidth="1"/>
    <col min="2" max="2" width="13.1640625" customWidth="1"/>
    <col min="3" max="3" width="27" style="35" customWidth="1"/>
    <col min="4" max="6" width="12.6640625" style="36" customWidth="1"/>
    <col min="7" max="11" width="9.75" style="36" customWidth="1"/>
    <col min="12" max="30" width="12.6640625" style="36" customWidth="1"/>
    <col min="31" max="31" width="8.75" style="36"/>
    <col min="32" max="32" width="10.6640625" style="36" customWidth="1"/>
    <col min="33" max="33" width="11.33203125" style="36" customWidth="1"/>
    <col min="34" max="34" width="8.75" style="36"/>
    <col min="35" max="35" width="10.33203125" style="36" customWidth="1"/>
    <col min="37" max="37" width="11.33203125" customWidth="1"/>
    <col min="39" max="47" width="11.33203125" customWidth="1"/>
    <col min="49" max="49" width="11.33203125" customWidth="1"/>
    <col min="51" max="53" width="11.33203125" customWidth="1"/>
    <col min="55" max="55" width="11.33203125" customWidth="1"/>
    <col min="56" max="56" width="8.75" style="100"/>
    <col min="58" max="96" width="0" hidden="1" customWidth="1"/>
  </cols>
  <sheetData>
    <row r="1" spans="1:95" ht="20">
      <c r="A1" s="59" t="s">
        <v>180</v>
      </c>
    </row>
    <row r="2" spans="1:95" ht="15.5">
      <c r="A2" s="60" t="s">
        <v>131</v>
      </c>
      <c r="AF2" s="61"/>
    </row>
    <row r="4" spans="1:95" ht="14.5" customHeight="1">
      <c r="D4" s="302" t="s">
        <v>47</v>
      </c>
      <c r="E4" s="303"/>
      <c r="F4" s="246" t="s">
        <v>132</v>
      </c>
      <c r="G4" s="304" t="s">
        <v>53</v>
      </c>
      <c r="H4" s="305"/>
      <c r="I4" s="305"/>
      <c r="J4" s="305"/>
      <c r="K4" s="306"/>
      <c r="L4" s="252" t="s">
        <v>132</v>
      </c>
      <c r="M4" s="307" t="s">
        <v>56</v>
      </c>
      <c r="N4" s="308"/>
      <c r="O4" s="257" t="s">
        <v>132</v>
      </c>
      <c r="P4" s="272" t="s">
        <v>59</v>
      </c>
      <c r="Q4" s="273"/>
      <c r="R4" s="274" t="s">
        <v>132</v>
      </c>
      <c r="S4" s="277" t="s">
        <v>62</v>
      </c>
      <c r="T4" s="278"/>
      <c r="U4" s="279" t="s">
        <v>132</v>
      </c>
      <c r="V4" s="233" t="s">
        <v>65</v>
      </c>
      <c r="W4" s="301"/>
      <c r="X4" s="226" t="s">
        <v>132</v>
      </c>
      <c r="Y4" s="262" t="s">
        <v>68</v>
      </c>
      <c r="Z4" s="263"/>
      <c r="AA4" s="264" t="s">
        <v>132</v>
      </c>
      <c r="AB4" s="267" t="s">
        <v>71</v>
      </c>
      <c r="AC4" s="268"/>
      <c r="AD4" s="269" t="s">
        <v>132</v>
      </c>
      <c r="AF4" s="286" t="s">
        <v>133</v>
      </c>
      <c r="AG4" s="287"/>
      <c r="AH4" s="286" t="s">
        <v>133</v>
      </c>
      <c r="AI4" s="287"/>
      <c r="AJ4" s="286" t="s">
        <v>133</v>
      </c>
      <c r="AK4" s="287"/>
      <c r="AL4" s="286" t="s">
        <v>133</v>
      </c>
      <c r="AM4" s="287"/>
      <c r="AN4" s="286" t="s">
        <v>133</v>
      </c>
      <c r="AO4" s="287"/>
      <c r="AP4" s="286" t="s">
        <v>133</v>
      </c>
      <c r="AQ4" s="287"/>
      <c r="AR4" s="286" t="s">
        <v>133</v>
      </c>
      <c r="AS4" s="287"/>
      <c r="AT4" s="286" t="s">
        <v>133</v>
      </c>
      <c r="AU4" s="287"/>
      <c r="AV4" s="286" t="s">
        <v>133</v>
      </c>
      <c r="AW4" s="287"/>
      <c r="AX4" s="286" t="s">
        <v>133</v>
      </c>
      <c r="AY4" s="287"/>
      <c r="AZ4" s="286" t="s">
        <v>133</v>
      </c>
      <c r="BA4" s="287"/>
      <c r="BB4" s="286" t="s">
        <v>133</v>
      </c>
      <c r="BC4" s="287"/>
    </row>
    <row r="5" spans="1:95">
      <c r="D5" s="302" t="s">
        <v>257</v>
      </c>
      <c r="E5" s="303"/>
      <c r="F5" s="247"/>
      <c r="G5" s="304" t="s">
        <v>259</v>
      </c>
      <c r="H5" s="305"/>
      <c r="I5" s="305"/>
      <c r="J5" s="305"/>
      <c r="K5" s="306"/>
      <c r="L5" s="253"/>
      <c r="M5" s="307" t="str">
        <f>'ListMKSmt-1'!D4</f>
        <v>P.24.05.52.1.03</v>
      </c>
      <c r="N5" s="308"/>
      <c r="O5" s="258"/>
      <c r="P5" s="272" t="str">
        <f>'ListMKSmt-1'!D5</f>
        <v>P.24.05.52.1.04</v>
      </c>
      <c r="Q5" s="273"/>
      <c r="R5" s="275"/>
      <c r="S5" s="277" t="str">
        <f>'ListMKSmt-1'!D6</f>
        <v>P.24.05.52.1.05</v>
      </c>
      <c r="T5" s="278"/>
      <c r="U5" s="280"/>
      <c r="V5" s="233" t="str">
        <f>'ListMKSmt-1'!D7</f>
        <v>U.24.05.52.1.01</v>
      </c>
      <c r="W5" s="301"/>
      <c r="X5" s="227"/>
      <c r="Y5" s="262" t="str">
        <f>'ListMKSmt-1'!D8</f>
        <v>U.24.05.52.1.02</v>
      </c>
      <c r="Z5" s="263"/>
      <c r="AA5" s="265"/>
      <c r="AB5" s="267" t="str">
        <f>'ListMKSmt-1'!D9</f>
        <v>U.24.05.52.1.03</v>
      </c>
      <c r="AC5" s="268"/>
      <c r="AD5" s="270"/>
      <c r="AF5" s="288"/>
      <c r="AG5" s="289"/>
      <c r="AH5" s="288"/>
      <c r="AI5" s="289"/>
      <c r="AJ5" s="288"/>
      <c r="AK5" s="289"/>
      <c r="AL5" s="288"/>
      <c r="AM5" s="289"/>
      <c r="AN5" s="288"/>
      <c r="AO5" s="289"/>
      <c r="AP5" s="288"/>
      <c r="AQ5" s="289"/>
      <c r="AR5" s="288"/>
      <c r="AS5" s="289"/>
      <c r="AT5" s="288"/>
      <c r="AU5" s="289"/>
      <c r="AV5" s="288"/>
      <c r="AW5" s="289"/>
      <c r="AX5" s="288"/>
      <c r="AY5" s="289"/>
      <c r="AZ5" s="288"/>
      <c r="BA5" s="289"/>
      <c r="BB5" s="288"/>
      <c r="BC5" s="289"/>
    </row>
    <row r="6" spans="1:95">
      <c r="D6" s="302" t="s">
        <v>258</v>
      </c>
      <c r="E6" s="303"/>
      <c r="F6" s="247"/>
      <c r="G6" s="304" t="str">
        <f>'ListMKSmt-1'!E3</f>
        <v>Perpajakan 1</v>
      </c>
      <c r="H6" s="305"/>
      <c r="I6" s="305"/>
      <c r="J6" s="305"/>
      <c r="K6" s="306"/>
      <c r="L6" s="253"/>
      <c r="M6" s="307" t="str">
        <f>'ListMKSmt-1'!E4</f>
        <v>Etika Bisnis dan Profesi</v>
      </c>
      <c r="N6" s="308"/>
      <c r="O6" s="258"/>
      <c r="P6" s="272" t="str">
        <f>'ListMKSmt-1'!E5</f>
        <v>Teori Ekonomi</v>
      </c>
      <c r="Q6" s="273"/>
      <c r="R6" s="275"/>
      <c r="S6" s="277" t="str">
        <f>'ListMKSmt-1'!E6</f>
        <v>Hukum Bisnis dan Perikatan</v>
      </c>
      <c r="T6" s="278"/>
      <c r="U6" s="280"/>
      <c r="V6" s="233" t="str">
        <f>'ListMKSmt-1'!E7</f>
        <v>Agama</v>
      </c>
      <c r="W6" s="301"/>
      <c r="X6" s="227"/>
      <c r="Y6" s="262" t="str">
        <f>'ListMKSmt-1'!E8</f>
        <v>Kewarganegaraan</v>
      </c>
      <c r="Z6" s="263"/>
      <c r="AA6" s="265"/>
      <c r="AB6" s="267" t="str">
        <f>'ListMKSmt-1'!E9</f>
        <v>English for Business</v>
      </c>
      <c r="AC6" s="268"/>
      <c r="AD6" s="270"/>
      <c r="AF6" s="61" t="s">
        <v>342</v>
      </c>
      <c r="AG6" s="61"/>
      <c r="AH6" s="61" t="s">
        <v>343</v>
      </c>
      <c r="AI6" s="61"/>
      <c r="AJ6" s="61"/>
      <c r="AK6" s="61"/>
      <c r="AL6" s="61"/>
      <c r="AM6" s="61"/>
      <c r="AN6" s="61" t="s">
        <v>344</v>
      </c>
      <c r="AO6" s="61"/>
      <c r="AP6" s="61"/>
      <c r="AQ6" s="61"/>
      <c r="AR6" s="61"/>
      <c r="AS6" s="61"/>
      <c r="AT6" s="61" t="s">
        <v>345</v>
      </c>
      <c r="AU6" s="61"/>
      <c r="AV6" s="61" t="s">
        <v>346</v>
      </c>
      <c r="AW6" s="61"/>
      <c r="AX6" s="61" t="s">
        <v>347</v>
      </c>
      <c r="AY6" s="61"/>
      <c r="AZ6" s="61" t="s">
        <v>348</v>
      </c>
      <c r="BA6" s="61"/>
      <c r="BB6" s="61" t="s">
        <v>349</v>
      </c>
      <c r="BC6" s="61"/>
      <c r="BF6" s="309" t="s">
        <v>134</v>
      </c>
      <c r="BG6" s="309"/>
      <c r="BH6" s="309"/>
      <c r="BI6" s="309"/>
      <c r="BJ6" s="309" t="s">
        <v>135</v>
      </c>
      <c r="BK6" s="309"/>
      <c r="BL6" s="309"/>
      <c r="BM6" s="309"/>
      <c r="BN6" s="309" t="s">
        <v>136</v>
      </c>
      <c r="BO6" s="309"/>
      <c r="BP6" s="309"/>
      <c r="BQ6" s="309" t="s">
        <v>137</v>
      </c>
      <c r="BR6" s="309"/>
      <c r="BS6" s="309"/>
      <c r="BT6" s="309"/>
      <c r="BU6" s="309"/>
      <c r="BV6" s="309"/>
      <c r="BW6" s="309"/>
      <c r="BX6" s="309"/>
      <c r="BY6" s="309"/>
      <c r="BZ6" s="309"/>
      <c r="CA6" s="309"/>
      <c r="CB6" s="309"/>
      <c r="CC6" s="309"/>
      <c r="CD6" s="309" t="s">
        <v>138</v>
      </c>
      <c r="CE6" s="309"/>
      <c r="CF6" s="309" t="s">
        <v>139</v>
      </c>
      <c r="CG6" s="309"/>
      <c r="CH6" s="309"/>
      <c r="CI6" s="309"/>
      <c r="CJ6" s="309" t="s">
        <v>140</v>
      </c>
      <c r="CK6" s="309"/>
      <c r="CL6" s="309" t="s">
        <v>143</v>
      </c>
      <c r="CM6" s="309"/>
      <c r="CN6" s="309" t="s">
        <v>142</v>
      </c>
      <c r="CO6" s="309"/>
    </row>
    <row r="7" spans="1:95" ht="14.5" customHeight="1">
      <c r="D7" s="62" t="str">
        <f>'Penguk.CPMK-Smt1'!D7</f>
        <v>CPL02</v>
      </c>
      <c r="E7" s="62" t="str">
        <f>'Penguk.CPMK-Smt1'!E7</f>
        <v>CPL02</v>
      </c>
      <c r="F7" s="247"/>
      <c r="G7" s="63" t="str">
        <f>'Penguk.CPMK-Smt1'!G7</f>
        <v>CPL10</v>
      </c>
      <c r="H7" s="63" t="str">
        <f>'Penguk.CPMK-Smt1'!H7</f>
        <v>CPL10</v>
      </c>
      <c r="I7" s="63" t="str">
        <f>'Penguk.CPMK-Smt1'!I7</f>
        <v>CPL10</v>
      </c>
      <c r="J7" s="63" t="str">
        <f>'Penguk.CPMK-Smt1'!J7</f>
        <v>CPL10</v>
      </c>
      <c r="K7" s="63" t="str">
        <f>'Penguk.CPMK-Smt1'!K7</f>
        <v>CPL11</v>
      </c>
      <c r="L7" s="253"/>
      <c r="M7" s="64" t="str">
        <f>'Penguk.CPMK-Smt1'!M7</f>
        <v>CPL08</v>
      </c>
      <c r="N7" s="200" t="str">
        <f>'Penguk.CPMK-Smt1'!N7</f>
        <v>CPL09</v>
      </c>
      <c r="O7" s="258"/>
      <c r="P7" s="65" t="str">
        <f>'Penguk.CPMK-Smt1'!P7</f>
        <v>CPL05</v>
      </c>
      <c r="Q7" s="65" t="str">
        <f>'Penguk.CPMK-Smt1'!Q7</f>
        <v>CPL05</v>
      </c>
      <c r="R7" s="275"/>
      <c r="S7" s="66" t="str">
        <f>'Penguk.CPMK-Smt1'!S7</f>
        <v>CPL11</v>
      </c>
      <c r="T7" s="66" t="str">
        <f>'Penguk.CPMK-Smt1'!T7</f>
        <v>CPL11</v>
      </c>
      <c r="U7" s="280"/>
      <c r="V7" s="37" t="str">
        <f>'Penguk.CPMK-Smt1'!V7</f>
        <v>CPL01</v>
      </c>
      <c r="W7" s="37" t="str">
        <f>'Penguk.CPMK-Smt1'!W7</f>
        <v>CPL1</v>
      </c>
      <c r="X7" s="227"/>
      <c r="Y7" s="67" t="str">
        <f>'Penguk.CPMK-Smt1'!Y7</f>
        <v>CPL01</v>
      </c>
      <c r="Z7" s="67" t="str">
        <f>'Penguk.CPMK-Smt1'!Z7</f>
        <v>CPL01</v>
      </c>
      <c r="AA7" s="265"/>
      <c r="AB7" s="68" t="str">
        <f>'Penguk.CPMK-Smt1'!AB7</f>
        <v>CPL12</v>
      </c>
      <c r="AC7" s="68" t="str">
        <f>'Penguk.CPMK-Smt1'!AC7</f>
        <v>CPL12</v>
      </c>
      <c r="AD7" s="270"/>
      <c r="AF7" s="69" t="s">
        <v>94</v>
      </c>
      <c r="AG7" s="298" t="s">
        <v>144</v>
      </c>
      <c r="AH7" s="69" t="s">
        <v>118</v>
      </c>
      <c r="AI7" s="291" t="s">
        <v>144</v>
      </c>
      <c r="AJ7" s="69"/>
      <c r="AK7" s="291" t="s">
        <v>144</v>
      </c>
      <c r="AL7" s="69"/>
      <c r="AM7" s="291" t="s">
        <v>144</v>
      </c>
      <c r="AN7" s="69" t="s">
        <v>145</v>
      </c>
      <c r="AO7" s="291" t="s">
        <v>144</v>
      </c>
      <c r="AP7" s="69" t="s">
        <v>146</v>
      </c>
      <c r="AQ7" s="291" t="s">
        <v>144</v>
      </c>
      <c r="AR7" s="69" t="s">
        <v>147</v>
      </c>
      <c r="AS7" s="291" t="s">
        <v>144</v>
      </c>
      <c r="AT7" s="69" t="s">
        <v>148</v>
      </c>
      <c r="AU7" s="291" t="s">
        <v>144</v>
      </c>
      <c r="AV7" s="69" t="s">
        <v>114</v>
      </c>
      <c r="AW7" s="291" t="s">
        <v>144</v>
      </c>
      <c r="AX7" s="69" t="s">
        <v>121</v>
      </c>
      <c r="AY7" s="291" t="s">
        <v>144</v>
      </c>
      <c r="AZ7" s="69" t="s">
        <v>149</v>
      </c>
      <c r="BA7" s="291" t="s">
        <v>144</v>
      </c>
      <c r="BB7" s="69" t="s">
        <v>122</v>
      </c>
      <c r="BC7" s="291" t="s">
        <v>144</v>
      </c>
      <c r="BF7" s="309" t="s">
        <v>94</v>
      </c>
      <c r="BG7" s="309"/>
      <c r="BH7" s="309"/>
      <c r="BI7" s="309"/>
      <c r="BJ7" s="309" t="s">
        <v>118</v>
      </c>
      <c r="BK7" s="309"/>
      <c r="BL7" s="309"/>
      <c r="BM7" s="309"/>
      <c r="BN7" s="309" t="s">
        <v>108</v>
      </c>
      <c r="BO7" s="309"/>
      <c r="BP7" s="309"/>
      <c r="BQ7" s="309" t="s">
        <v>107</v>
      </c>
      <c r="BR7" s="309"/>
      <c r="BS7" s="309" t="s">
        <v>145</v>
      </c>
      <c r="BT7" s="309"/>
      <c r="BU7" s="309" t="s">
        <v>146</v>
      </c>
      <c r="BV7" s="309"/>
      <c r="BW7" s="309"/>
      <c r="BX7" s="309"/>
      <c r="BY7" s="309" t="s">
        <v>147</v>
      </c>
      <c r="BZ7" s="309"/>
      <c r="CA7" s="309"/>
      <c r="CB7" s="309" t="s">
        <v>148</v>
      </c>
      <c r="CC7" s="309"/>
      <c r="CD7" s="309" t="s">
        <v>114</v>
      </c>
      <c r="CE7" s="309"/>
      <c r="CF7" s="309" t="s">
        <v>121</v>
      </c>
      <c r="CG7" s="309"/>
      <c r="CH7" s="309" t="s">
        <v>149</v>
      </c>
      <c r="CI7" s="309"/>
      <c r="CJ7" s="309" t="s">
        <v>122</v>
      </c>
      <c r="CK7" s="309"/>
      <c r="CL7" s="309" t="s">
        <v>95</v>
      </c>
      <c r="CM7" s="309"/>
      <c r="CN7" s="309" t="s">
        <v>123</v>
      </c>
      <c r="CO7" s="309"/>
    </row>
    <row r="8" spans="1:95">
      <c r="D8" s="62" t="str">
        <f>'Penguk.CPMK-Smt1'!D8</f>
        <v>CPMK021</v>
      </c>
      <c r="E8" s="62" t="str">
        <f>'Penguk.CPMK-Smt1'!E8</f>
        <v>CPMK023</v>
      </c>
      <c r="F8" s="247"/>
      <c r="G8" s="63" t="str">
        <f>'Penguk.CPMK-Smt1'!G8</f>
        <v>CPMK101</v>
      </c>
      <c r="H8" s="63" t="str">
        <f>'Penguk.CPMK-Smt1'!H8</f>
        <v>CPMK102</v>
      </c>
      <c r="I8" s="63" t="str">
        <f>'Penguk.CPMK-Smt1'!I8</f>
        <v>CPMK103</v>
      </c>
      <c r="J8" s="63" t="str">
        <f>'Penguk.CPMK-Smt1'!J8</f>
        <v>CPMK104</v>
      </c>
      <c r="K8" s="63" t="str">
        <f>'Penguk.CPMK-Smt1'!K8</f>
        <v>CPMK111</v>
      </c>
      <c r="L8" s="253"/>
      <c r="M8" s="200" t="str">
        <f>'Penguk.CPMK-Smt1'!M8</f>
        <v>CPMK81</v>
      </c>
      <c r="N8" s="200" t="str">
        <f>'Penguk.CPMK-Smt1'!N8</f>
        <v>CPMK91</v>
      </c>
      <c r="O8" s="258"/>
      <c r="P8" s="65" t="str">
        <f>'Penguk.CPMK-Smt1'!P8</f>
        <v>CPMK55</v>
      </c>
      <c r="Q8" s="65" t="str">
        <f>'Penguk.CPMK-Smt1'!Q8</f>
        <v>CPMK56</v>
      </c>
      <c r="R8" s="275"/>
      <c r="S8" s="66" t="str">
        <f>'Penguk.CPMK-Smt1'!S8</f>
        <v>CPMK114</v>
      </c>
      <c r="T8" s="66" t="str">
        <f>'Penguk.CPMK-Smt1'!T8</f>
        <v>CPMK115</v>
      </c>
      <c r="U8" s="280"/>
      <c r="V8" s="199" t="str">
        <f>'Penguk.CPMK-Smt1'!V8</f>
        <v>CPMK11</v>
      </c>
      <c r="W8" s="199" t="str">
        <f>'Penguk.CPMK-Smt1'!W8</f>
        <v>CPMK13</v>
      </c>
      <c r="X8" s="227"/>
      <c r="Y8" s="67" t="str">
        <f>'Penguk.CPMK-Smt1'!Y8</f>
        <v>CPMK12</v>
      </c>
      <c r="Z8" s="67" t="str">
        <f>'Penguk.CPMK-Smt1'!Z8</f>
        <v>CPMK13</v>
      </c>
      <c r="AA8" s="265"/>
      <c r="AB8" s="68" t="str">
        <f>'Penguk.CPMK-Smt1'!AB8</f>
        <v>CPMK122</v>
      </c>
      <c r="AC8" s="68" t="str">
        <f>'Penguk.CPMK-Smt1'!AC8</f>
        <v>CPMK123</v>
      </c>
      <c r="AD8" s="270"/>
      <c r="AE8" s="36" t="s">
        <v>152</v>
      </c>
      <c r="AF8" s="70">
        <f>V9+W9+Y9+Z9</f>
        <v>200</v>
      </c>
      <c r="AG8" s="299"/>
      <c r="AH8" s="70">
        <f>D9+E9</f>
        <v>100</v>
      </c>
      <c r="AI8" s="291"/>
      <c r="AJ8" s="70"/>
      <c r="AK8" s="291"/>
      <c r="AL8" s="70"/>
      <c r="AM8" s="291"/>
      <c r="AN8" s="70">
        <f>P9+Q9</f>
        <v>100</v>
      </c>
      <c r="AO8" s="291"/>
      <c r="AP8" s="70"/>
      <c r="AQ8" s="291"/>
      <c r="AR8" s="70"/>
      <c r="AS8" s="291"/>
      <c r="AT8" s="70">
        <f>M9+N9</f>
        <v>100</v>
      </c>
      <c r="AU8" s="291"/>
      <c r="AV8" s="70">
        <f>N9</f>
        <v>50</v>
      </c>
      <c r="AW8" s="291"/>
      <c r="AX8" s="70">
        <f>G9+H9+I9+J9</f>
        <v>79</v>
      </c>
      <c r="AY8" s="291"/>
      <c r="AZ8" s="70">
        <f>K9+S9+T9</f>
        <v>121</v>
      </c>
      <c r="BA8" s="291"/>
      <c r="BB8" s="70">
        <f>AB9+AC9</f>
        <v>100</v>
      </c>
      <c r="BC8" s="291"/>
      <c r="BD8" s="100" t="e">
        <f>SUM(#REF!,#REF!,BB8,AZ8,AX8,AV8,AT8,AR8,AP8,AN8,AL8,AJ8,AH8,AF8)</f>
        <v>#REF!</v>
      </c>
      <c r="BF8" s="4" t="s">
        <v>109</v>
      </c>
      <c r="BG8" s="4" t="s">
        <v>105</v>
      </c>
      <c r="BH8" s="4" t="s">
        <v>119</v>
      </c>
      <c r="BI8" s="4" t="s">
        <v>96</v>
      </c>
      <c r="BJ8" s="4" t="s">
        <v>120</v>
      </c>
      <c r="BK8" s="4" t="s">
        <v>153</v>
      </c>
      <c r="BL8" s="4" t="s">
        <v>154</v>
      </c>
      <c r="BM8" s="4" t="s">
        <v>155</v>
      </c>
      <c r="BN8" s="4" t="s">
        <v>111</v>
      </c>
      <c r="BO8" s="4" t="s">
        <v>117</v>
      </c>
      <c r="BP8" s="4" t="s">
        <v>115</v>
      </c>
      <c r="BQ8" s="4" t="s">
        <v>110</v>
      </c>
      <c r="BR8" s="4" t="s">
        <v>156</v>
      </c>
      <c r="BS8" s="4" t="s">
        <v>157</v>
      </c>
      <c r="BT8" s="4" t="s">
        <v>158</v>
      </c>
      <c r="BU8" s="4" t="s">
        <v>159</v>
      </c>
      <c r="BV8" s="4" t="s">
        <v>160</v>
      </c>
      <c r="BW8" s="4" t="s">
        <v>161</v>
      </c>
      <c r="BX8" s="4" t="s">
        <v>162</v>
      </c>
      <c r="BY8" s="4" t="s">
        <v>163</v>
      </c>
      <c r="BZ8" s="4" t="s">
        <v>164</v>
      </c>
      <c r="CA8" s="4" t="s">
        <v>165</v>
      </c>
      <c r="CB8" s="4" t="s">
        <v>166</v>
      </c>
      <c r="CC8" s="4" t="s">
        <v>167</v>
      </c>
      <c r="CD8" s="4" t="s">
        <v>150</v>
      </c>
      <c r="CE8" s="4" t="s">
        <v>116</v>
      </c>
      <c r="CF8" s="4" t="s">
        <v>124</v>
      </c>
      <c r="CG8" s="4" t="s">
        <v>168</v>
      </c>
      <c r="CH8" s="4" t="s">
        <v>169</v>
      </c>
      <c r="CI8" s="4" t="s">
        <v>170</v>
      </c>
      <c r="CJ8" s="4" t="s">
        <v>125</v>
      </c>
      <c r="CK8" s="4" t="s">
        <v>130</v>
      </c>
      <c r="CL8" s="4" t="s">
        <v>97</v>
      </c>
      <c r="CM8" s="4" t="s">
        <v>171</v>
      </c>
      <c r="CN8" s="4" t="s">
        <v>126</v>
      </c>
      <c r="CO8" s="4" t="s">
        <v>151</v>
      </c>
    </row>
    <row r="9" spans="1:95">
      <c r="C9" s="71" t="e">
        <f>SUM(D9,E9,G9,K9,M9,N9,#REF!,P9,Q9,S9,T9,V9,W9,#REF!,Y9,#REF!,Z9,AB9,#REF!,AC9,#REF!,#REF!,#REF!)</f>
        <v>#REF!</v>
      </c>
      <c r="D9" s="62">
        <f>'Penguk.CPMK-Smt1'!D9</f>
        <v>50</v>
      </c>
      <c r="E9" s="62">
        <f>'Penguk.CPMK-Smt1'!E9</f>
        <v>50</v>
      </c>
      <c r="F9" s="248"/>
      <c r="G9" s="63">
        <f>'Penguk.CPMK-Smt1'!G9</f>
        <v>16</v>
      </c>
      <c r="H9" s="63">
        <f>'Penguk.CPMK-Smt1'!H9</f>
        <v>16</v>
      </c>
      <c r="I9" s="63">
        <f>'Penguk.CPMK-Smt1'!I9</f>
        <v>26</v>
      </c>
      <c r="J9" s="63">
        <f>'Penguk.CPMK-Smt1'!J9</f>
        <v>21</v>
      </c>
      <c r="K9" s="63">
        <f>'Penguk.CPMK-Smt1'!K9</f>
        <v>21</v>
      </c>
      <c r="L9" s="254"/>
      <c r="M9" s="200">
        <f>'Penguk.CPMK-Smt1'!M9</f>
        <v>50</v>
      </c>
      <c r="N9" s="200">
        <f>'Penguk.CPMK-Smt1'!N9</f>
        <v>50</v>
      </c>
      <c r="O9" s="259"/>
      <c r="P9" s="65">
        <f>'Penguk.CPMK-Smt1'!P9</f>
        <v>50</v>
      </c>
      <c r="Q9" s="65">
        <f>'Penguk.CPMK-Smt1'!Q9</f>
        <v>50</v>
      </c>
      <c r="R9" s="276"/>
      <c r="S9" s="66">
        <f>'Penguk.CPMK-Smt1'!S9</f>
        <v>50</v>
      </c>
      <c r="T9" s="66">
        <f>'Penguk.CPMK-Smt1'!T9</f>
        <v>50</v>
      </c>
      <c r="U9" s="281"/>
      <c r="V9" s="199">
        <f>'Penguk.CPMK-Smt1'!V9</f>
        <v>50</v>
      </c>
      <c r="W9" s="199">
        <f>'Penguk.CPMK-Smt1'!W9</f>
        <v>50</v>
      </c>
      <c r="X9" s="228"/>
      <c r="Y9" s="67">
        <f>'Penguk.CPMK-Smt1'!Y9</f>
        <v>50</v>
      </c>
      <c r="Z9" s="67">
        <f>'Penguk.CPMK-Smt1'!Z9</f>
        <v>50</v>
      </c>
      <c r="AA9" s="266"/>
      <c r="AB9" s="68">
        <f>'Penguk.CPMK-Smt1'!AB9</f>
        <v>50</v>
      </c>
      <c r="AC9" s="68">
        <f>'Penguk.CPMK-Smt1'!AC9</f>
        <v>50</v>
      </c>
      <c r="AD9" s="271"/>
      <c r="AF9" s="72"/>
      <c r="AG9" s="300"/>
      <c r="AH9" s="72"/>
      <c r="AI9" s="291"/>
      <c r="AJ9" s="72"/>
      <c r="AK9" s="291"/>
      <c r="AL9" s="72"/>
      <c r="AM9" s="291"/>
      <c r="AN9" s="72"/>
      <c r="AO9" s="291"/>
      <c r="AP9" s="72"/>
      <c r="AQ9" s="291"/>
      <c r="AR9" s="72"/>
      <c r="AS9" s="291"/>
      <c r="AT9" s="72"/>
      <c r="AU9" s="291"/>
      <c r="AV9" s="72"/>
      <c r="AW9" s="291"/>
      <c r="AX9" s="72"/>
      <c r="AY9" s="291"/>
      <c r="AZ9" s="72"/>
      <c r="BA9" s="291"/>
      <c r="BB9" s="72"/>
      <c r="BC9" s="291"/>
      <c r="BF9" s="4">
        <f>M9</f>
        <v>50</v>
      </c>
      <c r="BG9" s="4">
        <f>G9</f>
        <v>16</v>
      </c>
      <c r="BH9" s="4">
        <f>V9</f>
        <v>50</v>
      </c>
      <c r="BI9" s="4">
        <f>D9</f>
        <v>50</v>
      </c>
      <c r="BJ9" s="4">
        <f>W9</f>
        <v>50</v>
      </c>
      <c r="BK9" s="4"/>
      <c r="BL9" s="4"/>
      <c r="BM9" s="4"/>
      <c r="BN9" s="4"/>
      <c r="BO9" s="4">
        <f>S9</f>
        <v>50</v>
      </c>
      <c r="BP9" s="4">
        <f>P9</f>
        <v>50</v>
      </c>
      <c r="BQ9" s="4">
        <f>N9</f>
        <v>50</v>
      </c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>
        <f>Q9</f>
        <v>50</v>
      </c>
      <c r="CE9" s="4">
        <f>T9</f>
        <v>50</v>
      </c>
      <c r="CF9" s="4" t="e">
        <f>Y9+AB9+#REF!</f>
        <v>#REF!</v>
      </c>
      <c r="CG9" s="4"/>
      <c r="CH9" s="4"/>
      <c r="CI9" s="4"/>
      <c r="CJ9" s="4" t="e">
        <f>#REF!</f>
        <v>#REF!</v>
      </c>
      <c r="CK9" s="4" t="e">
        <f>#REF!+#REF!</f>
        <v>#REF!</v>
      </c>
      <c r="CL9" s="4" t="e">
        <f>E9+K9+#REF!+#REF!</f>
        <v>#REF!</v>
      </c>
      <c r="CM9" s="4"/>
      <c r="CN9" s="4" t="e">
        <f>AC9+#REF!</f>
        <v>#REF!</v>
      </c>
      <c r="CO9" s="4">
        <f>Z9</f>
        <v>50</v>
      </c>
      <c r="CP9" t="e">
        <f>SUM(BF9:CO9)</f>
        <v>#REF!</v>
      </c>
    </row>
    <row r="10" spans="1:95">
      <c r="A10" s="1" t="s">
        <v>0</v>
      </c>
      <c r="B10" s="1" t="s">
        <v>1</v>
      </c>
      <c r="C10" s="1" t="s">
        <v>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2"/>
      <c r="BQ10" s="92"/>
      <c r="BR10" s="92"/>
      <c r="BS10" s="92"/>
      <c r="BT10" s="92"/>
      <c r="BU10" s="92"/>
      <c r="BV10" s="92"/>
      <c r="BW10" s="92"/>
      <c r="BX10" s="92"/>
      <c r="BY10" s="92"/>
      <c r="BZ10" s="92"/>
      <c r="CA10" s="92"/>
      <c r="CB10" s="92"/>
      <c r="CC10" s="92"/>
      <c r="CD10" s="92"/>
      <c r="CE10" s="92"/>
      <c r="CF10" s="92"/>
      <c r="CG10" s="92"/>
      <c r="CH10" s="92"/>
      <c r="CI10" s="92"/>
      <c r="CJ10" s="92"/>
      <c r="CK10" s="92"/>
      <c r="CL10" s="92"/>
      <c r="CM10" s="92"/>
      <c r="CN10" s="92"/>
      <c r="CO10" s="92"/>
    </row>
    <row r="11" spans="1:95">
      <c r="A11" s="2">
        <v>1</v>
      </c>
      <c r="B11" s="122" t="s">
        <v>191</v>
      </c>
      <c r="C11" s="122" t="s">
        <v>192</v>
      </c>
      <c r="D11" s="73">
        <f>'Penguk.CPMK-Smt1'!D11</f>
        <v>77.5</v>
      </c>
      <c r="E11" s="73">
        <f>'Penguk.CPMK-Smt1'!E11</f>
        <v>82</v>
      </c>
      <c r="F11" s="73">
        <f>IFERROR((D11*($D$9/100))+(E11*($E$9/100)),"")</f>
        <v>79.75</v>
      </c>
      <c r="G11" s="91">
        <f>'Penguk.CPMK-Smt1'!G11</f>
        <v>79.25</v>
      </c>
      <c r="H11" s="91">
        <f>'Penguk.CPMK-Smt1'!H11</f>
        <v>80.5</v>
      </c>
      <c r="I11" s="91">
        <f>'Penguk.CPMK-Smt1'!I11</f>
        <v>83.38</v>
      </c>
      <c r="J11" s="91">
        <f>'Penguk.CPMK-Smt1'!J11</f>
        <v>80.86</v>
      </c>
      <c r="K11" s="91">
        <f>'Penguk.CPMK-Smt1'!K11</f>
        <v>83</v>
      </c>
      <c r="L11" s="91">
        <f>IFERROR((G11*($G$9/100))+(K11*($K$9/100)),"")</f>
        <v>30.11</v>
      </c>
      <c r="M11" s="74">
        <f>'Penguk.CPMK-Smt1'!M11</f>
        <v>79</v>
      </c>
      <c r="N11" s="74">
        <f>'Penguk.CPMK-Smt1'!N11</f>
        <v>82.5</v>
      </c>
      <c r="O11" s="74">
        <f>IFERROR((M11*($M$9/100))+(N11*($N$9/100)),"")</f>
        <v>80.75</v>
      </c>
      <c r="P11" s="75">
        <f>'Penguk.CPMK-Smt1'!P11</f>
        <v>84.5</v>
      </c>
      <c r="Q11" s="75">
        <f>'Penguk.CPMK-Smt1'!Q11</f>
        <v>87</v>
      </c>
      <c r="R11" s="75">
        <f>IFERROR((P11*($P$9/100))+(Q11*($Q$9/100)),"")</f>
        <v>85.75</v>
      </c>
      <c r="S11" s="76">
        <f>'Penguk.CPMK-Smt1'!S11</f>
        <v>75.599999999999994</v>
      </c>
      <c r="T11" s="76">
        <f>'Penguk.CPMK-Smt1'!T11</f>
        <v>68.099999999999994</v>
      </c>
      <c r="U11" s="76">
        <f>IFERROR((S11*($S$9/100))+(T11*($T$9/100)),"")</f>
        <v>71.849999999999994</v>
      </c>
      <c r="V11" s="38">
        <f>'Penguk.CPMK-Smt1'!V11</f>
        <v>82.7</v>
      </c>
      <c r="W11" s="38">
        <f>'Penguk.CPMK-Smt1'!W11</f>
        <v>91.7</v>
      </c>
      <c r="X11" s="38">
        <f>IFERROR((V11*($V$9/100))+(W11*($W$9/100)),"")</f>
        <v>87.2</v>
      </c>
      <c r="Y11" s="77">
        <f>'Penguk.CPMK-Smt1'!Y11</f>
        <v>81.400000000000006</v>
      </c>
      <c r="Z11" s="77">
        <f>'Penguk.CPMK-Smt1'!Z11</f>
        <v>81.400000000000006</v>
      </c>
      <c r="AA11" s="77">
        <f>IFERROR((Y11*($Y$9/100))+(Z11*($Z$9/100)),"")</f>
        <v>81.400000000000006</v>
      </c>
      <c r="AB11" s="78">
        <f>'Penguk.CPMK-Smt1'!AB11</f>
        <v>93.2</v>
      </c>
      <c r="AC11" s="78">
        <f>'Penguk.CPMK-Smt1'!AC11</f>
        <v>97.5</v>
      </c>
      <c r="AD11" s="78">
        <f>IFERROR((AB11*($AB$9/100))+(AC11*($AC$9/100)),"")</f>
        <v>95.35</v>
      </c>
      <c r="AF11" s="79">
        <f>IFERROR((V11*($V$9/100)+W11*($W$9/100)+Y11*($Y$9/100)+Z11*($Z$9/100)),"")</f>
        <v>168.60000000000002</v>
      </c>
      <c r="AG11" s="89">
        <f>IFERROR(AF11/$AF$8,"")</f>
        <v>0.84300000000000008</v>
      </c>
      <c r="AH11" s="79">
        <f>IFERROR((D11*($D$9/100)+E11*($E$9/100)),"")</f>
        <v>79.75</v>
      </c>
      <c r="AI11" s="89">
        <f>IF(AH11="","",IFERROR(AH11/$AH$8,""))</f>
        <v>0.79749999999999999</v>
      </c>
      <c r="AJ11" s="79"/>
      <c r="AK11" s="89" t="str">
        <f>IF(AJ11="","",IFERROR(AJ11/$AJ$8,""))</f>
        <v/>
      </c>
      <c r="AL11" s="79"/>
      <c r="AM11" s="89" t="str">
        <f>IF(AL11="","",IFERROR(AL11/$AL$8,""))</f>
        <v/>
      </c>
      <c r="AN11" s="80"/>
      <c r="AO11" s="80"/>
      <c r="AP11" s="80"/>
      <c r="AQ11" s="80"/>
      <c r="AR11" s="80"/>
      <c r="AS11" s="80"/>
      <c r="AT11" s="80">
        <f>IFERROR((M11*($M$9/100)+N11*($N$9/100)),"")</f>
        <v>80.75</v>
      </c>
      <c r="AU11" s="89">
        <f>IF(AT11="","",IFERROR(AT11/$AT$8,""))</f>
        <v>0.8075</v>
      </c>
      <c r="AV11" s="79">
        <f>IFERROR((N11*($N$9/100)),"")</f>
        <v>41.25</v>
      </c>
      <c r="AW11" s="89">
        <f>IF(AV11="","",IFERROR(AV11/$AV$8,""))</f>
        <v>0.82499999999999996</v>
      </c>
      <c r="AX11" s="79">
        <f>IFERROR((G11*($G$9/100)+H11*($H$9/100)+I11*($I$9/100)+J11*($J$9/100)),"")</f>
        <v>64.219399999999993</v>
      </c>
      <c r="AY11" s="89">
        <f>IF(AX11="","",IFERROR(AX11/$AX$8,""))</f>
        <v>0.81290379746835439</v>
      </c>
      <c r="AZ11" s="80">
        <f>IFERROR((K11*($K$9/100)+S11*($S$9/100)+T11*($T$9/100)),"")</f>
        <v>89.28</v>
      </c>
      <c r="BA11" s="89">
        <f>IF(AZ11="","",IFERROR(AZ11/$AZ$8,""))</f>
        <v>0.73785123966942145</v>
      </c>
      <c r="BB11" s="79">
        <f>IFERROR((AB11*($AB$9/100)+AC11*($AC$9/100)),"")</f>
        <v>95.35</v>
      </c>
      <c r="BC11" s="89">
        <f>IF(BB11="","",IFERROR(BB11/$BB$8,""))</f>
        <v>0.9534999999999999</v>
      </c>
      <c r="BF11" s="4">
        <f>IF(W11="","",IFERROR(M11*($BF$9/100),""))</f>
        <v>39.5</v>
      </c>
      <c r="BG11" s="4">
        <f>IF(W11="","",IFERROR(G11*($BG$9/100),""))</f>
        <v>12.68</v>
      </c>
      <c r="BH11" s="81">
        <f>IF(V11="","",IFERROR(V11*($BH$9/100),""))</f>
        <v>41.35</v>
      </c>
      <c r="BI11" s="81">
        <f>IF(D11="","",IFERROR(D11*($BI$9/100),""))</f>
        <v>38.75</v>
      </c>
      <c r="BJ11" s="81">
        <f>IF(W11="","",IFERROR(W11*($W$9/100),""))</f>
        <v>45.85</v>
      </c>
      <c r="BK11" s="4"/>
      <c r="BL11" s="4"/>
      <c r="BM11" s="4"/>
      <c r="BN11" s="4"/>
      <c r="BO11" s="81">
        <f>IF(S11="","",IFERROR(S11*($S$9/100),""))</f>
        <v>37.799999999999997</v>
      </c>
      <c r="BP11" s="81">
        <f>IF(P11="","",IFERROR(P11*($P$9/100),""))</f>
        <v>42.25</v>
      </c>
      <c r="BQ11" s="81">
        <f>IF(N11="","",IFERROR(N11*($N$9/100),""))</f>
        <v>41.25</v>
      </c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81">
        <f>IF(Q11="","",IFERROR(Q11*($Q$9/100),""))</f>
        <v>43.5</v>
      </c>
      <c r="CE11" s="81">
        <f>IF(T11="","",IFERROR(T11*($CE$9/100),""))</f>
        <v>34.049999999999997</v>
      </c>
      <c r="CF11" s="81" t="str">
        <f>IFERROR(IF(Y11="","",IFERROR(Y11*($Y$9/100),""))+IF(AB11="","",IFERROR(AB11*($AB$9/100),""))+IF(#REF!="","",IFERROR(#REF!*(#REF!/100),"")),"")</f>
        <v/>
      </c>
      <c r="CG11" s="4"/>
      <c r="CH11" s="4"/>
      <c r="CI11" s="4"/>
      <c r="CJ11" s="81" t="str">
        <f>IFERROR(IF(#REF!="","",IFERROR(#REF!*(#REF!/100),"")),"")</f>
        <v/>
      </c>
      <c r="CK11" s="81" t="str">
        <f>IFERROR(IF(#REF!="","",IFERROR(#REF!*(#REF!/100),""))+IF(#REF!="","",IFERROR(#REF!*(#REF!/100),"")),"")</f>
        <v/>
      </c>
      <c r="CL11" s="81" t="str">
        <f>IFERROR(IF(E11="","",IFERROR(E11*($E$9/100),""))+IF(K11="","",IFERROR(K11*($K$9/100),""))+IF(#REF!="","",IFERROR(#REF!*(#REF!/100),""))+IF(#REF!="","",IFERROR(#REF!*(#REF!/100),"")),"")</f>
        <v/>
      </c>
      <c r="CM11" s="4"/>
      <c r="CN11" s="81" t="str">
        <f>IFERROR(IF(AC11="","",IFERROR(AC11*($AC$9/100),""))+IF(#REF!="","",IFERROR(#REF!*(#REF!/100),"")),"")</f>
        <v/>
      </c>
      <c r="CO11" s="81">
        <f>IFERROR(IF(Z11="","",IFERROR(Z11*($Z$9/100),"")),"")</f>
        <v>40.700000000000003</v>
      </c>
      <c r="CP11">
        <f>SUM(BF11:CO11)</f>
        <v>417.68</v>
      </c>
      <c r="CQ11" s="82" t="e">
        <f>CP11/$CP$9</f>
        <v>#REF!</v>
      </c>
    </row>
    <row r="12" spans="1:95">
      <c r="A12" s="2">
        <v>2</v>
      </c>
      <c r="B12" s="122" t="s">
        <v>193</v>
      </c>
      <c r="C12" s="122" t="s">
        <v>194</v>
      </c>
      <c r="D12" s="73">
        <f>'Penguk.CPMK-Smt1'!D12</f>
        <v>94</v>
      </c>
      <c r="E12" s="73">
        <f>'Penguk.CPMK-Smt1'!E12</f>
        <v>99.5</v>
      </c>
      <c r="F12" s="73">
        <f t="shared" ref="F12:F44" si="0">IFERROR((D12*($D$9/100))+(E12*($E$9/100)),"")</f>
        <v>96.75</v>
      </c>
      <c r="G12" s="91">
        <f>'Penguk.CPMK-Smt1'!G12</f>
        <v>76.13</v>
      </c>
      <c r="H12" s="91">
        <f>'Penguk.CPMK-Smt1'!H12</f>
        <v>78.63</v>
      </c>
      <c r="I12" s="91">
        <f>'Penguk.CPMK-Smt1'!I12</f>
        <v>86.46</v>
      </c>
      <c r="J12" s="91">
        <f>'Penguk.CPMK-Smt1'!J12</f>
        <v>78.900000000000006</v>
      </c>
      <c r="K12" s="91">
        <f>'Penguk.CPMK-Smt1'!K12</f>
        <v>86.1</v>
      </c>
      <c r="L12" s="91">
        <f t="shared" ref="L12:L44" si="1">IFERROR((G12*($G$9/100))+(K12*($K$9/100)),"")</f>
        <v>30.261800000000001</v>
      </c>
      <c r="M12" s="74">
        <f>'Penguk.CPMK-Smt1'!M12</f>
        <v>86</v>
      </c>
      <c r="N12" s="74">
        <f>'Penguk.CPMK-Smt1'!N12</f>
        <v>86</v>
      </c>
      <c r="O12" s="74">
        <f t="shared" ref="O12:O44" si="2">IFERROR((M12*($M$9/100))+(N12*($N$9/100)),"")</f>
        <v>86</v>
      </c>
      <c r="P12" s="75">
        <f>'Penguk.CPMK-Smt1'!P12</f>
        <v>88</v>
      </c>
      <c r="Q12" s="75">
        <f>'Penguk.CPMK-Smt1'!Q12</f>
        <v>87</v>
      </c>
      <c r="R12" s="75">
        <f t="shared" ref="R12:R44" si="3">IFERROR((P12*($P$9/100))+(Q12*($Q$9/100)),"")</f>
        <v>87.5</v>
      </c>
      <c r="S12" s="76">
        <f>'Penguk.CPMK-Smt1'!S12</f>
        <v>75.599999999999994</v>
      </c>
      <c r="T12" s="76">
        <f>'Penguk.CPMK-Smt1'!T12</f>
        <v>68.099999999999994</v>
      </c>
      <c r="U12" s="76">
        <f t="shared" ref="U12:U43" si="4">IFERROR((S12*($S$9/100))+(T12*($T$9/100)),"")</f>
        <v>71.849999999999994</v>
      </c>
      <c r="V12" s="38">
        <f>'Penguk.CPMK-Smt1'!V12</f>
        <v>84.35</v>
      </c>
      <c r="W12" s="38">
        <f>'Penguk.CPMK-Smt1'!W12</f>
        <v>92.2</v>
      </c>
      <c r="X12" s="38">
        <f t="shared" ref="X12:X44" si="5">IFERROR((V12*($V$9/100))+(W12*($W$9/100)),"")</f>
        <v>88.275000000000006</v>
      </c>
      <c r="Y12" s="77">
        <f>'Penguk.CPMK-Smt1'!Y12</f>
        <v>76.900000000000006</v>
      </c>
      <c r="Z12" s="77">
        <f>'Penguk.CPMK-Smt1'!Z12</f>
        <v>76.900000000000006</v>
      </c>
      <c r="AA12" s="77">
        <f>IFERROR((Y12*($Y$9/100))+(Z12*($Z$9/100)),"")</f>
        <v>76.900000000000006</v>
      </c>
      <c r="AB12" s="78">
        <f>'Penguk.CPMK-Smt1'!AB12</f>
        <v>95.5</v>
      </c>
      <c r="AC12" s="78">
        <f>'Penguk.CPMK-Smt1'!AC12</f>
        <v>93.4</v>
      </c>
      <c r="AD12" s="78">
        <f t="shared" ref="AD12:AD44" si="6">IFERROR((AB12*($AB$9/100))+(AC12*($AC$9/100)),"")</f>
        <v>94.45</v>
      </c>
      <c r="AF12" s="79">
        <f t="shared" ref="AF12:AF44" si="7">IFERROR((V12*($V$9/100)+W12*($W$9/100)+Y12*($Y$9/100)+Z12*($Z$9/100)),"")</f>
        <v>165.17500000000001</v>
      </c>
      <c r="AG12" s="89">
        <f t="shared" ref="AG12:AG44" si="8">IFERROR(AF12/$AF$8,"")</f>
        <v>0.82587500000000003</v>
      </c>
      <c r="AH12" s="79">
        <f t="shared" ref="AH12:AH44" si="9">IFERROR((D12*($D$9/100)+E12*($E$9/100)),"")</f>
        <v>96.75</v>
      </c>
      <c r="AI12" s="89">
        <f t="shared" ref="AI12:AI44" si="10">IF(AH12="","",IFERROR(AH12/$AH$8,""))</f>
        <v>0.96750000000000003</v>
      </c>
      <c r="AJ12" s="79"/>
      <c r="AK12" s="89" t="str">
        <f t="shared" ref="AK12:AK44" si="11">IF(AJ12="","",IFERROR(AJ12/$AJ$8,""))</f>
        <v/>
      </c>
      <c r="AL12" s="79"/>
      <c r="AM12" s="89" t="str">
        <f t="shared" ref="AM12:AM44" si="12">IF(AL12="","",IFERROR(AL12/$AL$8,""))</f>
        <v/>
      </c>
      <c r="AN12" s="80"/>
      <c r="AO12" s="80"/>
      <c r="AP12" s="80"/>
      <c r="AQ12" s="80"/>
      <c r="AR12" s="80"/>
      <c r="AS12" s="80"/>
      <c r="AT12" s="80">
        <f t="shared" ref="AT12:AT56" si="13">IFERROR((M12*($M$9/100)+N12*($N$9/100)),"")</f>
        <v>86</v>
      </c>
      <c r="AU12" s="89">
        <f t="shared" ref="AU12:AU44" si="14">IF(AT12="","",IFERROR(AT12/$AT$8,""))</f>
        <v>0.86</v>
      </c>
      <c r="AV12" s="79">
        <f t="shared" ref="AV12:AV44" si="15">IFERROR((N12*($N$9/100)),"")</f>
        <v>43</v>
      </c>
      <c r="AW12" s="89">
        <f t="shared" ref="AW12:AW44" si="16">IF(AV12="","",IFERROR(AV12/$AV$8,""))</f>
        <v>0.86</v>
      </c>
      <c r="AX12" s="79">
        <f t="shared" ref="AX12:AX44" si="17">IFERROR((G12*($G$9/100)+H12*($H$9/100)+I12*($I$9/100)+J12*($J$9/100)),"")</f>
        <v>63.810199999999995</v>
      </c>
      <c r="AY12" s="89">
        <f t="shared" ref="AY12:AY44" si="18">IF(AX12="","",IFERROR(AX12/$AX$8,""))</f>
        <v>0.80772405063291131</v>
      </c>
      <c r="AZ12" s="80">
        <f t="shared" ref="AZ12:AZ44" si="19">IFERROR((K12*($K$9/100)+S12*($S$9/100)+T12*($T$9/100)),"")</f>
        <v>89.930999999999997</v>
      </c>
      <c r="BA12" s="89">
        <f t="shared" ref="BA12:BA44" si="20">IF(AZ12="","",IFERROR(AZ12/$AZ$8,""))</f>
        <v>0.74323140495867768</v>
      </c>
      <c r="BB12" s="79">
        <f t="shared" ref="BB12:BB44" si="21">IFERROR((AB12*($AB$9/100)+AC12*($AC$9/100)),"")</f>
        <v>94.45</v>
      </c>
      <c r="BC12" s="89">
        <f t="shared" ref="BC12:BC44" si="22">IF(BB12="","",IFERROR(BB12/$BB$8,""))</f>
        <v>0.94450000000000001</v>
      </c>
      <c r="BF12" s="4">
        <f>IF(W12="","",IFERROR(M12*($BF$9/100),""))</f>
        <v>43</v>
      </c>
      <c r="BG12" s="4">
        <f>IF(W12="","",IFERROR(G12*($BG$9/100),""))</f>
        <v>12.1808</v>
      </c>
      <c r="BH12" s="81">
        <f>IF(V12="","",IFERROR(V12*($BH$9/100),""))</f>
        <v>42.174999999999997</v>
      </c>
      <c r="BI12" s="81">
        <f>IF(D12="","",IFERROR(D12*($BI$9/100),""))</f>
        <v>47</v>
      </c>
      <c r="BJ12" s="81">
        <f>IF(W12="","",IFERROR(W12*($W$9/100),""))</f>
        <v>46.1</v>
      </c>
      <c r="BK12" s="4"/>
      <c r="BL12" s="4"/>
      <c r="BM12" s="4"/>
      <c r="BN12" s="4"/>
      <c r="BO12" s="81">
        <f>IF(S12="","",IFERROR(S12*($S$9/100),""))</f>
        <v>37.799999999999997</v>
      </c>
      <c r="BP12" s="81">
        <f>IF(P12="","",IFERROR(P12*($P$9/100),""))</f>
        <v>44</v>
      </c>
      <c r="BQ12" s="81">
        <f>IF(N12="","",IFERROR(N12*($N$9/100),""))</f>
        <v>43</v>
      </c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81">
        <f>IF(Q12="","",IFERROR(Q12*($Q$9/100),""))</f>
        <v>43.5</v>
      </c>
      <c r="CE12" s="81">
        <f>IF(T12="","",IFERROR(T12*($CE$9/100),""))</f>
        <v>34.049999999999997</v>
      </c>
      <c r="CF12" s="81" t="str">
        <f>IFERROR(IF(Y12="","",IFERROR(Y12*($Y$9/100),""))+IF(AB12="","",IFERROR(AB12*($AB$9/100),""))+IF(#REF!="","",IFERROR(#REF!*(#REF!/100),"")),"")</f>
        <v/>
      </c>
      <c r="CG12" s="4"/>
      <c r="CH12" s="4"/>
      <c r="CI12" s="4"/>
      <c r="CJ12" s="81" t="str">
        <f>IFERROR(IF(#REF!="","",IFERROR(#REF!*(#REF!/100),"")),"")</f>
        <v/>
      </c>
      <c r="CK12" s="81" t="str">
        <f>IFERROR(IF(#REF!="","",IFERROR(#REF!*(#REF!/100),""))+IF(#REF!="","",IFERROR(#REF!*(#REF!/100),"")),"")</f>
        <v/>
      </c>
      <c r="CL12" s="81" t="str">
        <f>IFERROR(IF(E12="","",IFERROR(E12*($E$9/100),""))+IF(K12="","",IFERROR(K12*($K$9/100),""))+IF(#REF!="","",IFERROR(#REF!*(#REF!/100),""))+IF(#REF!="","",IFERROR(#REF!*(#REF!/100),"")),"")</f>
        <v/>
      </c>
      <c r="CM12" s="4"/>
      <c r="CN12" s="81" t="str">
        <f>IFERROR(IF(AC12="","",IFERROR(AC12*($AC$9/100),""))+IF(#REF!="","",IFERROR(#REF!*(#REF!/100),"")),"")</f>
        <v/>
      </c>
      <c r="CO12" s="81">
        <f>IFERROR(IF(Z12="","",IFERROR(Z12*($Z$9/100),"")),"")</f>
        <v>38.450000000000003</v>
      </c>
      <c r="CP12">
        <f t="shared" ref="CP12:CP43" si="23">SUM(BF12:CO12)</f>
        <v>431.25579999999997</v>
      </c>
      <c r="CQ12" s="82" t="e">
        <f t="shared" ref="CQ12:CQ43" si="24">CP12/$CP$9</f>
        <v>#REF!</v>
      </c>
    </row>
    <row r="13" spans="1:95">
      <c r="A13" s="201">
        <v>3</v>
      </c>
      <c r="B13" s="122" t="s">
        <v>195</v>
      </c>
      <c r="C13" s="122" t="s">
        <v>196</v>
      </c>
      <c r="D13" s="73">
        <f>'Penguk.CPMK-Smt1'!D13</f>
        <v>93</v>
      </c>
      <c r="E13" s="73">
        <f>'Penguk.CPMK-Smt1'!E13</f>
        <v>98.5</v>
      </c>
      <c r="F13" s="73">
        <f t="shared" si="0"/>
        <v>95.75</v>
      </c>
      <c r="G13" s="91">
        <f>'Penguk.CPMK-Smt1'!G13</f>
        <v>78</v>
      </c>
      <c r="H13" s="91">
        <f>'Penguk.CPMK-Smt1'!H13</f>
        <v>80.5</v>
      </c>
      <c r="I13" s="91">
        <f>'Penguk.CPMK-Smt1'!I13</f>
        <v>84.15</v>
      </c>
      <c r="J13" s="91">
        <f>'Penguk.CPMK-Smt1'!J13</f>
        <v>81.05</v>
      </c>
      <c r="K13" s="91">
        <f>'Penguk.CPMK-Smt1'!K13</f>
        <v>83.95</v>
      </c>
      <c r="L13" s="91">
        <f t="shared" si="1"/>
        <v>30.109500000000001</v>
      </c>
      <c r="M13" s="74">
        <f>'Penguk.CPMK-Smt1'!M13</f>
        <v>84</v>
      </c>
      <c r="N13" s="74">
        <f>'Penguk.CPMK-Smt1'!N13</f>
        <v>86</v>
      </c>
      <c r="O13" s="74">
        <f t="shared" si="2"/>
        <v>85</v>
      </c>
      <c r="P13" s="75">
        <f>'Penguk.CPMK-Smt1'!P13</f>
        <v>88</v>
      </c>
      <c r="Q13" s="75">
        <f>'Penguk.CPMK-Smt1'!Q13</f>
        <v>87</v>
      </c>
      <c r="R13" s="75">
        <f t="shared" si="3"/>
        <v>87.5</v>
      </c>
      <c r="S13" s="76">
        <f>'Penguk.CPMK-Smt1'!S13</f>
        <v>75.599999999999994</v>
      </c>
      <c r="T13" s="76">
        <f>'Penguk.CPMK-Smt1'!T13</f>
        <v>68.099999999999994</v>
      </c>
      <c r="U13" s="76">
        <f t="shared" si="4"/>
        <v>71.849999999999994</v>
      </c>
      <c r="V13" s="38">
        <f>'Penguk.CPMK-Smt1'!V13</f>
        <v>81.05</v>
      </c>
      <c r="W13" s="38">
        <f>'Penguk.CPMK-Smt1'!W13</f>
        <v>89.7</v>
      </c>
      <c r="X13" s="38">
        <f t="shared" si="5"/>
        <v>85.375</v>
      </c>
      <c r="Y13" s="77">
        <f>'Penguk.CPMK-Smt1'!Y13</f>
        <v>76.900000000000006</v>
      </c>
      <c r="Z13" s="77">
        <f>'Penguk.CPMK-Smt1'!Z13</f>
        <v>76.900000000000006</v>
      </c>
      <c r="AA13" s="77">
        <f>IFERROR((Y13*($Y$9/100))+(Z13*($Z$9/100)),"")</f>
        <v>76.900000000000006</v>
      </c>
      <c r="AB13" s="78">
        <f>'Penguk.CPMK-Smt1'!AB13</f>
        <v>94.7</v>
      </c>
      <c r="AC13" s="78">
        <f>'Penguk.CPMK-Smt1'!AC13</f>
        <v>95.9</v>
      </c>
      <c r="AD13" s="78">
        <f t="shared" si="6"/>
        <v>95.300000000000011</v>
      </c>
      <c r="AF13" s="79">
        <f t="shared" si="7"/>
        <v>162.27500000000001</v>
      </c>
      <c r="AG13" s="89">
        <f t="shared" si="8"/>
        <v>0.81137500000000007</v>
      </c>
      <c r="AH13" s="79">
        <f t="shared" si="9"/>
        <v>95.75</v>
      </c>
      <c r="AI13" s="89">
        <f t="shared" si="10"/>
        <v>0.95750000000000002</v>
      </c>
      <c r="AJ13" s="79"/>
      <c r="AK13" s="89" t="str">
        <f t="shared" si="11"/>
        <v/>
      </c>
      <c r="AL13" s="79"/>
      <c r="AM13" s="89" t="str">
        <f t="shared" si="12"/>
        <v/>
      </c>
      <c r="AN13" s="80"/>
      <c r="AO13" s="80"/>
      <c r="AP13" s="80"/>
      <c r="AQ13" s="80"/>
      <c r="AR13" s="80"/>
      <c r="AS13" s="80"/>
      <c r="AT13" s="80">
        <f t="shared" si="13"/>
        <v>85</v>
      </c>
      <c r="AU13" s="89">
        <f t="shared" si="14"/>
        <v>0.85</v>
      </c>
      <c r="AV13" s="79">
        <f t="shared" si="15"/>
        <v>43</v>
      </c>
      <c r="AW13" s="89">
        <f t="shared" si="16"/>
        <v>0.86</v>
      </c>
      <c r="AX13" s="79">
        <f t="shared" si="17"/>
        <v>64.259500000000003</v>
      </c>
      <c r="AY13" s="89">
        <f t="shared" si="18"/>
        <v>0.81341139240506333</v>
      </c>
      <c r="AZ13" s="80">
        <f t="shared" si="19"/>
        <v>89.479500000000002</v>
      </c>
      <c r="BA13" s="89">
        <f t="shared" si="20"/>
        <v>0.73950000000000005</v>
      </c>
      <c r="BB13" s="79">
        <f t="shared" si="21"/>
        <v>95.300000000000011</v>
      </c>
      <c r="BC13" s="89">
        <f t="shared" si="22"/>
        <v>0.95300000000000007</v>
      </c>
      <c r="BF13" s="4">
        <f>IF(W13="","",IFERROR(M13*($BF$9/100),""))</f>
        <v>42</v>
      </c>
      <c r="BG13" s="4">
        <f>IF(W13="","",IFERROR(G13*($BG$9/100),""))</f>
        <v>12.48</v>
      </c>
      <c r="BH13" s="81">
        <f>IF(V13="","",IFERROR(V13*($BH$9/100),""))</f>
        <v>40.524999999999999</v>
      </c>
      <c r="BI13" s="81">
        <f>IF(D13="","",IFERROR(D13*($BI$9/100),""))</f>
        <v>46.5</v>
      </c>
      <c r="BJ13" s="81">
        <f>IF(W13="","",IFERROR(W13*($W$9/100),""))</f>
        <v>44.85</v>
      </c>
      <c r="BK13" s="4"/>
      <c r="BL13" s="4"/>
      <c r="BM13" s="4"/>
      <c r="BN13" s="4"/>
      <c r="BO13" s="81">
        <f>IF(S13="","",IFERROR(S13*($S$9/100),""))</f>
        <v>37.799999999999997</v>
      </c>
      <c r="BP13" s="81">
        <f>IF(P13="","",IFERROR(P13*($P$9/100),""))</f>
        <v>44</v>
      </c>
      <c r="BQ13" s="81">
        <f>IF(N13="","",IFERROR(N13*($N$9/100),""))</f>
        <v>43</v>
      </c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81">
        <f>IF(Q13="","",IFERROR(Q13*($Q$9/100),""))</f>
        <v>43.5</v>
      </c>
      <c r="CE13" s="81">
        <f>IF(T13="","",IFERROR(T13*($CE$9/100),""))</f>
        <v>34.049999999999997</v>
      </c>
      <c r="CF13" s="81" t="str">
        <f>IFERROR(IF(Y13="","",IFERROR(Y13*($Y$9/100),""))+IF(AB13="","",IFERROR(AB13*($AB$9/100),""))+IF(#REF!="","",IFERROR(#REF!*(#REF!/100),"")),"")</f>
        <v/>
      </c>
      <c r="CG13" s="4"/>
      <c r="CH13" s="4"/>
      <c r="CI13" s="4"/>
      <c r="CJ13" s="81" t="str">
        <f>IFERROR(IF(#REF!="","",IFERROR(#REF!*(#REF!/100),"")),"")</f>
        <v/>
      </c>
      <c r="CK13" s="81" t="str">
        <f>IFERROR(IF(#REF!="","",IFERROR(#REF!*(#REF!/100),""))+IF(#REF!="","",IFERROR(#REF!*(#REF!/100),"")),"")</f>
        <v/>
      </c>
      <c r="CL13" s="81" t="str">
        <f>IFERROR(IF(E13="","",IFERROR(E13*($E$9/100),""))+IF(K13="","",IFERROR(K13*($K$9/100),""))+IF(#REF!="","",IFERROR(#REF!*(#REF!/100),""))+IF(#REF!="","",IFERROR(#REF!*(#REF!/100),"")),"")</f>
        <v/>
      </c>
      <c r="CM13" s="4"/>
      <c r="CN13" s="81" t="str">
        <f>IFERROR(IF(AC13="","",IFERROR(AC13*($AC$9/100),""))+IF(#REF!="","",IFERROR(#REF!*(#REF!/100),"")),"")</f>
        <v/>
      </c>
      <c r="CO13" s="81">
        <f>IFERROR(IF(Z13="","",IFERROR(Z13*($Z$9/100),"")),"")</f>
        <v>38.450000000000003</v>
      </c>
      <c r="CP13">
        <f t="shared" si="23"/>
        <v>427.15499999999997</v>
      </c>
      <c r="CQ13" s="82" t="e">
        <f t="shared" si="24"/>
        <v>#REF!</v>
      </c>
    </row>
    <row r="14" spans="1:95">
      <c r="A14" s="201">
        <v>4</v>
      </c>
      <c r="B14" s="122" t="s">
        <v>197</v>
      </c>
      <c r="C14" s="122" t="s">
        <v>198</v>
      </c>
      <c r="D14" s="73">
        <f>'Penguk.CPMK-Smt1'!D14</f>
        <v>77.5</v>
      </c>
      <c r="E14" s="73">
        <f>'Penguk.CPMK-Smt1'!E14</f>
        <v>82</v>
      </c>
      <c r="F14" s="73">
        <f t="shared" si="0"/>
        <v>79.75</v>
      </c>
      <c r="G14" s="91">
        <f>'Penguk.CPMK-Smt1'!G14</f>
        <v>78</v>
      </c>
      <c r="H14" s="91">
        <f>'Penguk.CPMK-Smt1'!H14</f>
        <v>80.5</v>
      </c>
      <c r="I14" s="91">
        <f>'Penguk.CPMK-Smt1'!I14</f>
        <v>84.15</v>
      </c>
      <c r="J14" s="91">
        <f>'Penguk.CPMK-Smt1'!J14</f>
        <v>80.86</v>
      </c>
      <c r="K14" s="91">
        <f>'Penguk.CPMK-Smt1'!K14</f>
        <v>83.95</v>
      </c>
      <c r="L14" s="91">
        <f t="shared" si="1"/>
        <v>30.109500000000001</v>
      </c>
      <c r="M14" s="74">
        <f>'Penguk.CPMK-Smt1'!M14</f>
        <v>78.400000000000006</v>
      </c>
      <c r="N14" s="74">
        <f>'Penguk.CPMK-Smt1'!N14</f>
        <v>81.900000000000006</v>
      </c>
      <c r="O14" s="74">
        <f t="shared" si="2"/>
        <v>80.150000000000006</v>
      </c>
      <c r="P14" s="75">
        <f>'Penguk.CPMK-Smt1'!P14</f>
        <v>81</v>
      </c>
      <c r="Q14" s="75">
        <f>'Penguk.CPMK-Smt1'!Q14</f>
        <v>87</v>
      </c>
      <c r="R14" s="75">
        <f t="shared" si="3"/>
        <v>84</v>
      </c>
      <c r="S14" s="76">
        <f>'Penguk.CPMK-Smt1'!S14</f>
        <v>75.599999999999994</v>
      </c>
      <c r="T14" s="76">
        <f>'Penguk.CPMK-Smt1'!T14</f>
        <v>68.099999999999994</v>
      </c>
      <c r="U14" s="76">
        <f t="shared" si="4"/>
        <v>71.849999999999994</v>
      </c>
      <c r="V14" s="38">
        <f>'Penguk.CPMK-Smt1'!V14</f>
        <v>82.35</v>
      </c>
      <c r="W14" s="38">
        <f>'Penguk.CPMK-Smt1'!W14</f>
        <v>91</v>
      </c>
      <c r="X14" s="38">
        <f t="shared" si="5"/>
        <v>86.674999999999997</v>
      </c>
      <c r="Y14" s="77">
        <f>'Penguk.CPMK-Smt1'!Y14</f>
        <v>81.400000000000006</v>
      </c>
      <c r="Z14" s="77">
        <f>'Penguk.CPMK-Smt1'!Z14</f>
        <v>81.400000000000006</v>
      </c>
      <c r="AA14" s="77">
        <f t="shared" ref="AA14:AA44" si="25">IFERROR((Y14*($Y$9/100))+(Z14*($Z$9/100)),"")</f>
        <v>81.400000000000006</v>
      </c>
      <c r="AB14" s="78">
        <f>'Penguk.CPMK-Smt1'!AB14</f>
        <v>70.5</v>
      </c>
      <c r="AC14" s="78">
        <f>'Penguk.CPMK-Smt1'!AC14</f>
        <v>89</v>
      </c>
      <c r="AD14" s="78">
        <f t="shared" si="6"/>
        <v>79.75</v>
      </c>
      <c r="AF14" s="79">
        <f t="shared" si="7"/>
        <v>168.07499999999999</v>
      </c>
      <c r="AG14" s="89">
        <f t="shared" si="8"/>
        <v>0.84037499999999998</v>
      </c>
      <c r="AH14" s="79">
        <f t="shared" si="9"/>
        <v>79.75</v>
      </c>
      <c r="AI14" s="89">
        <f t="shared" si="10"/>
        <v>0.79749999999999999</v>
      </c>
      <c r="AJ14" s="79"/>
      <c r="AK14" s="89" t="str">
        <f t="shared" si="11"/>
        <v/>
      </c>
      <c r="AL14" s="79"/>
      <c r="AM14" s="89" t="str">
        <f t="shared" si="12"/>
        <v/>
      </c>
      <c r="AN14" s="80"/>
      <c r="AO14" s="80"/>
      <c r="AP14" s="80"/>
      <c r="AQ14" s="80"/>
      <c r="AR14" s="80"/>
      <c r="AS14" s="80"/>
      <c r="AT14" s="80">
        <f t="shared" si="13"/>
        <v>80.150000000000006</v>
      </c>
      <c r="AU14" s="89">
        <f t="shared" si="14"/>
        <v>0.8015000000000001</v>
      </c>
      <c r="AV14" s="79">
        <f t="shared" si="15"/>
        <v>40.950000000000003</v>
      </c>
      <c r="AW14" s="89">
        <f t="shared" si="16"/>
        <v>0.81900000000000006</v>
      </c>
      <c r="AX14" s="79">
        <f t="shared" si="17"/>
        <v>64.2196</v>
      </c>
      <c r="AY14" s="89">
        <f t="shared" si="18"/>
        <v>0.81290632911392402</v>
      </c>
      <c r="AZ14" s="80">
        <f t="shared" si="19"/>
        <v>89.479500000000002</v>
      </c>
      <c r="BA14" s="89">
        <f t="shared" si="20"/>
        <v>0.73950000000000005</v>
      </c>
      <c r="BB14" s="79">
        <f t="shared" si="21"/>
        <v>79.75</v>
      </c>
      <c r="BC14" s="89">
        <f t="shared" si="22"/>
        <v>0.79749999999999999</v>
      </c>
      <c r="BF14" s="4">
        <f>IF(W14="","",IFERROR(M14*($BF$9/100),""))</f>
        <v>39.200000000000003</v>
      </c>
      <c r="BG14" s="4">
        <f>IF(W14="","",IFERROR(G14*($BG$9/100),""))</f>
        <v>12.48</v>
      </c>
      <c r="BH14" s="81">
        <f>IF(V14="","",IFERROR(V14*($BH$9/100),""))</f>
        <v>41.174999999999997</v>
      </c>
      <c r="BI14" s="81">
        <f>IF(D14="","",IFERROR(D14*($BI$9/100),""))</f>
        <v>38.75</v>
      </c>
      <c r="BJ14" s="81">
        <f>IF(W14="","",IFERROR(W14*($W$9/100),""))</f>
        <v>45.5</v>
      </c>
      <c r="BK14" s="4"/>
      <c r="BL14" s="4"/>
      <c r="BM14" s="4"/>
      <c r="BN14" s="4"/>
      <c r="BO14" s="81">
        <f>IF(S14="","",IFERROR(S14*($S$9/100),""))</f>
        <v>37.799999999999997</v>
      </c>
      <c r="BP14" s="81">
        <f>IF(P14="","",IFERROR(P14*($P$9/100),""))</f>
        <v>40.5</v>
      </c>
      <c r="BQ14" s="81">
        <f>IF(N14="","",IFERROR(N14*($N$9/100),""))</f>
        <v>40.950000000000003</v>
      </c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81">
        <f>IF(Q14="","",IFERROR(Q14*($Q$9/100),""))</f>
        <v>43.5</v>
      </c>
      <c r="CE14" s="81">
        <f>IF(T14="","",IFERROR(T14*($CE$9/100),""))</f>
        <v>34.049999999999997</v>
      </c>
      <c r="CF14" s="81" t="str">
        <f>IFERROR(IF(Y14="","",IFERROR(Y14*($Y$9/100),""))+IF(AB14="","",IFERROR(AB14*($AB$9/100),""))+IF(#REF!="","",IFERROR(#REF!*(#REF!/100),"")),"")</f>
        <v/>
      </c>
      <c r="CG14" s="4"/>
      <c r="CH14" s="4"/>
      <c r="CI14" s="4"/>
      <c r="CJ14" s="81" t="str">
        <f>IFERROR(IF(#REF!="","",IFERROR(#REF!*(#REF!/100),"")),"")</f>
        <v/>
      </c>
      <c r="CK14" s="81" t="str">
        <f>IFERROR(IF(#REF!="","",IFERROR(#REF!*(#REF!/100),""))+IF(#REF!="","",IFERROR(#REF!*(#REF!/100),"")),"")</f>
        <v/>
      </c>
      <c r="CL14" s="81" t="str">
        <f>IFERROR(IF(E14="","",IFERROR(E14*($E$9/100),""))+IF(K14="","",IFERROR(K14*($K$9/100),""))+IF(#REF!="","",IFERROR(#REF!*(#REF!/100),""))+IF(#REF!="","",IFERROR(#REF!*(#REF!/100),"")),"")</f>
        <v/>
      </c>
      <c r="CM14" s="4"/>
      <c r="CN14" s="81" t="str">
        <f>IFERROR(IF(AC14="","",IFERROR(AC14*($AC$9/100),""))+IF(#REF!="","",IFERROR(#REF!*(#REF!/100),"")),"")</f>
        <v/>
      </c>
      <c r="CO14" s="81">
        <f>IFERROR(IF(Z14="","",IFERROR(Z14*($Z$9/100),"")),"")</f>
        <v>40.700000000000003</v>
      </c>
      <c r="CP14">
        <f t="shared" si="23"/>
        <v>414.60500000000002</v>
      </c>
      <c r="CQ14" s="82" t="e">
        <f t="shared" si="24"/>
        <v>#REF!</v>
      </c>
    </row>
    <row r="15" spans="1:95">
      <c r="A15" s="201">
        <v>5</v>
      </c>
      <c r="B15" s="122" t="s">
        <v>199</v>
      </c>
      <c r="C15" s="122" t="s">
        <v>200</v>
      </c>
      <c r="D15" s="73">
        <f>'Penguk.CPMK-Smt1'!D15</f>
        <v>77.5</v>
      </c>
      <c r="E15" s="73">
        <f>'Penguk.CPMK-Smt1'!E15</f>
        <v>82.5</v>
      </c>
      <c r="F15" s="73">
        <f t="shared" si="0"/>
        <v>80</v>
      </c>
      <c r="G15" s="91">
        <f>'Penguk.CPMK-Smt1'!G15</f>
        <v>78.63</v>
      </c>
      <c r="H15" s="91">
        <f>'Penguk.CPMK-Smt1'!H15</f>
        <v>81.13</v>
      </c>
      <c r="I15" s="91">
        <f>'Penguk.CPMK-Smt1'!I15</f>
        <v>80.31</v>
      </c>
      <c r="J15" s="91">
        <f>'Penguk.CPMK-Smt1'!J15</f>
        <v>81.569999999999993</v>
      </c>
      <c r="K15" s="91">
        <f>'Penguk.CPMK-Smt1'!K15</f>
        <v>80.38</v>
      </c>
      <c r="L15" s="91">
        <f t="shared" si="1"/>
        <v>29.460599999999999</v>
      </c>
      <c r="M15" s="74">
        <f>'Penguk.CPMK-Smt1'!M15</f>
        <v>77</v>
      </c>
      <c r="N15" s="74">
        <f>'Penguk.CPMK-Smt1'!N15</f>
        <v>82.5</v>
      </c>
      <c r="O15" s="74">
        <f t="shared" si="2"/>
        <v>79.75</v>
      </c>
      <c r="P15" s="75">
        <f>'Penguk.CPMK-Smt1'!P15</f>
        <v>81</v>
      </c>
      <c r="Q15" s="75">
        <f>'Penguk.CPMK-Smt1'!Q15</f>
        <v>87</v>
      </c>
      <c r="R15" s="75">
        <f t="shared" si="3"/>
        <v>84</v>
      </c>
      <c r="S15" s="76">
        <f>'Penguk.CPMK-Smt1'!S15</f>
        <v>78.400000000000006</v>
      </c>
      <c r="T15" s="76">
        <f>'Penguk.CPMK-Smt1'!T15</f>
        <v>70.900000000000006</v>
      </c>
      <c r="U15" s="76">
        <f t="shared" si="4"/>
        <v>74.650000000000006</v>
      </c>
      <c r="V15" s="38">
        <f>'Penguk.CPMK-Smt1'!V15</f>
        <v>85.5</v>
      </c>
      <c r="W15" s="38">
        <f>'Penguk.CPMK-Smt1'!W15</f>
        <v>94.5</v>
      </c>
      <c r="X15" s="38">
        <f t="shared" si="5"/>
        <v>90</v>
      </c>
      <c r="Y15" s="77">
        <f>'Penguk.CPMK-Smt1'!Y15</f>
        <v>76.900000000000006</v>
      </c>
      <c r="Z15" s="77">
        <f>'Penguk.CPMK-Smt1'!Z15</f>
        <v>76.900000000000006</v>
      </c>
      <c r="AA15" s="77">
        <f t="shared" si="25"/>
        <v>76.900000000000006</v>
      </c>
      <c r="AB15" s="78">
        <f>'Penguk.CPMK-Smt1'!AB15</f>
        <v>70.5</v>
      </c>
      <c r="AC15" s="78">
        <f>'Penguk.CPMK-Smt1'!AC15</f>
        <v>89</v>
      </c>
      <c r="AD15" s="78">
        <f t="shared" si="6"/>
        <v>79.75</v>
      </c>
      <c r="AF15" s="79">
        <f t="shared" si="7"/>
        <v>166.89999999999998</v>
      </c>
      <c r="AG15" s="89">
        <f t="shared" si="8"/>
        <v>0.83449999999999991</v>
      </c>
      <c r="AH15" s="79">
        <f t="shared" si="9"/>
        <v>80</v>
      </c>
      <c r="AI15" s="89">
        <f t="shared" si="10"/>
        <v>0.8</v>
      </c>
      <c r="AJ15" s="79"/>
      <c r="AK15" s="89" t="str">
        <f t="shared" si="11"/>
        <v/>
      </c>
      <c r="AL15" s="79"/>
      <c r="AM15" s="89" t="str">
        <f t="shared" si="12"/>
        <v/>
      </c>
      <c r="AN15" s="80"/>
      <c r="AO15" s="80"/>
      <c r="AP15" s="80"/>
      <c r="AQ15" s="80"/>
      <c r="AR15" s="80"/>
      <c r="AS15" s="80"/>
      <c r="AT15" s="80">
        <f t="shared" si="13"/>
        <v>79.75</v>
      </c>
      <c r="AU15" s="89">
        <f t="shared" si="14"/>
        <v>0.79749999999999999</v>
      </c>
      <c r="AV15" s="79">
        <f t="shared" si="15"/>
        <v>41.25</v>
      </c>
      <c r="AW15" s="89">
        <f t="shared" si="16"/>
        <v>0.82499999999999996</v>
      </c>
      <c r="AX15" s="79">
        <f t="shared" si="17"/>
        <v>63.571899999999999</v>
      </c>
      <c r="AY15" s="89">
        <f t="shared" si="18"/>
        <v>0.80470759493670885</v>
      </c>
      <c r="AZ15" s="80">
        <f t="shared" si="19"/>
        <v>91.529800000000009</v>
      </c>
      <c r="BA15" s="89">
        <f t="shared" si="20"/>
        <v>0.75644462809917368</v>
      </c>
      <c r="BB15" s="79">
        <f t="shared" si="21"/>
        <v>79.75</v>
      </c>
      <c r="BC15" s="89">
        <f t="shared" si="22"/>
        <v>0.79749999999999999</v>
      </c>
      <c r="BF15" s="4">
        <f>IF(W15="","",IFERROR(M15*($BF$9/100),""))</f>
        <v>38.5</v>
      </c>
      <c r="BG15" s="4">
        <f>IF(W15="","",IFERROR(G15*($BG$9/100),""))</f>
        <v>12.5808</v>
      </c>
      <c r="BH15" s="81">
        <f>IF(V15="","",IFERROR(V15*($BH$9/100),""))</f>
        <v>42.75</v>
      </c>
      <c r="BI15" s="81">
        <f>IF(D15="","",IFERROR(D15*($BI$9/100),""))</f>
        <v>38.75</v>
      </c>
      <c r="BJ15" s="81">
        <f>IF(W15="","",IFERROR(W15*($W$9/100),""))</f>
        <v>47.25</v>
      </c>
      <c r="BK15" s="4"/>
      <c r="BL15" s="4"/>
      <c r="BM15" s="4"/>
      <c r="BN15" s="4"/>
      <c r="BO15" s="81">
        <f>IF(S15="","",IFERROR(S15*($S$9/100),""))</f>
        <v>39.200000000000003</v>
      </c>
      <c r="BP15" s="81">
        <f>IF(P15="","",IFERROR(P15*($P$9/100),""))</f>
        <v>40.5</v>
      </c>
      <c r="BQ15" s="81">
        <f>IF(N15="","",IFERROR(N15*($N$9/100),""))</f>
        <v>41.25</v>
      </c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81">
        <f>IF(Q15="","",IFERROR(Q15*($Q$9/100),""))</f>
        <v>43.5</v>
      </c>
      <c r="CE15" s="81">
        <f>IF(T15="","",IFERROR(T15*($CE$9/100),""))</f>
        <v>35.450000000000003</v>
      </c>
      <c r="CF15" s="81" t="str">
        <f>IFERROR(IF(Y15="","",IFERROR(Y15*($Y$9/100),""))+IF(AB15="","",IFERROR(AB15*($AB$9/100),""))+IF(#REF!="","",IFERROR(#REF!*(#REF!/100),"")),"")</f>
        <v/>
      </c>
      <c r="CG15" s="4"/>
      <c r="CH15" s="4"/>
      <c r="CI15" s="4"/>
      <c r="CJ15" s="81" t="str">
        <f>IFERROR(IF(#REF!="","",IFERROR(#REF!*(#REF!/100),"")),"")</f>
        <v/>
      </c>
      <c r="CK15" s="81" t="str">
        <f>IFERROR(IF(#REF!="","",IFERROR(#REF!*(#REF!/100),""))+IF(#REF!="","",IFERROR(#REF!*(#REF!/100),"")),"")</f>
        <v/>
      </c>
      <c r="CL15" s="81" t="str">
        <f>IFERROR(IF(E15="","",IFERROR(E15*($E$9/100),""))+IF(K15="","",IFERROR(K15*($K$9/100),""))+IF(#REF!="","",IFERROR(#REF!*(#REF!/100),""))+IF(#REF!="","",IFERROR(#REF!*(#REF!/100),"")),"")</f>
        <v/>
      </c>
      <c r="CM15" s="4"/>
      <c r="CN15" s="81" t="str">
        <f>IFERROR(IF(AC15="","",IFERROR(AC15*($AC$9/100),""))+IF(#REF!="","",IFERROR(#REF!*(#REF!/100),"")),"")</f>
        <v/>
      </c>
      <c r="CO15" s="81">
        <f>IFERROR(IF(Z15="","",IFERROR(Z15*($Z$9/100),"")),"")</f>
        <v>38.450000000000003</v>
      </c>
      <c r="CP15">
        <f t="shared" si="23"/>
        <v>418.18079999999998</v>
      </c>
      <c r="CQ15" s="82" t="e">
        <f t="shared" si="24"/>
        <v>#REF!</v>
      </c>
    </row>
    <row r="16" spans="1:95">
      <c r="A16" s="201">
        <v>6</v>
      </c>
      <c r="B16" s="122" t="s">
        <v>201</v>
      </c>
      <c r="C16" s="122" t="s">
        <v>202</v>
      </c>
      <c r="D16" s="73">
        <f>'Penguk.CPMK-Smt1'!D16</f>
        <v>76.3</v>
      </c>
      <c r="E16" s="73">
        <f>'Penguk.CPMK-Smt1'!E16</f>
        <v>80.8</v>
      </c>
      <c r="F16" s="73">
        <f t="shared" si="0"/>
        <v>78.55</v>
      </c>
      <c r="G16" s="91">
        <f>'Penguk.CPMK-Smt1'!G16</f>
        <v>76.75</v>
      </c>
      <c r="H16" s="91">
        <f>'Penguk.CPMK-Smt1'!H16</f>
        <v>78</v>
      </c>
      <c r="I16" s="91">
        <f>'Penguk.CPMK-Smt1'!I16</f>
        <v>83.38</v>
      </c>
      <c r="J16" s="91">
        <f>'Penguk.CPMK-Smt1'!J16</f>
        <v>78</v>
      </c>
      <c r="K16" s="91">
        <f>'Penguk.CPMK-Smt1'!K16</f>
        <v>83</v>
      </c>
      <c r="L16" s="91">
        <f t="shared" si="1"/>
        <v>29.71</v>
      </c>
      <c r="M16" s="74">
        <f>'Penguk.CPMK-Smt1'!M16</f>
        <v>76.400000000000006</v>
      </c>
      <c r="N16" s="74">
        <f>'Penguk.CPMK-Smt1'!N16</f>
        <v>81.900000000000006</v>
      </c>
      <c r="O16" s="74">
        <f t="shared" si="2"/>
        <v>79.150000000000006</v>
      </c>
      <c r="P16" s="75">
        <f>'Penguk.CPMK-Smt1'!P16</f>
        <v>85.9</v>
      </c>
      <c r="Q16" s="75">
        <f>'Penguk.CPMK-Smt1'!Q16</f>
        <v>87</v>
      </c>
      <c r="R16" s="75">
        <f t="shared" si="3"/>
        <v>86.45</v>
      </c>
      <c r="S16" s="76">
        <f>'Penguk.CPMK-Smt1'!S16</f>
        <v>75.599999999999994</v>
      </c>
      <c r="T16" s="76">
        <f>'Penguk.CPMK-Smt1'!T16</f>
        <v>68.099999999999994</v>
      </c>
      <c r="U16" s="76">
        <f t="shared" si="4"/>
        <v>71.849999999999994</v>
      </c>
      <c r="V16" s="38">
        <f>'Penguk.CPMK-Smt1'!V16</f>
        <v>87.05</v>
      </c>
      <c r="W16" s="38">
        <f>'Penguk.CPMK-Smt1'!W16</f>
        <v>95.5</v>
      </c>
      <c r="X16" s="38">
        <f t="shared" si="5"/>
        <v>91.275000000000006</v>
      </c>
      <c r="Y16" s="77">
        <f>'Penguk.CPMK-Smt1'!Y16</f>
        <v>85.9</v>
      </c>
      <c r="Z16" s="77">
        <f>'Penguk.CPMK-Smt1'!Z16</f>
        <v>85.9</v>
      </c>
      <c r="AA16" s="77">
        <f t="shared" si="25"/>
        <v>85.9</v>
      </c>
      <c r="AB16" s="78">
        <f>'Penguk.CPMK-Smt1'!AB16</f>
        <v>90.4</v>
      </c>
      <c r="AC16" s="78">
        <f>'Penguk.CPMK-Smt1'!AC16</f>
        <v>97.5</v>
      </c>
      <c r="AD16" s="78">
        <f t="shared" si="6"/>
        <v>93.95</v>
      </c>
      <c r="AF16" s="79">
        <f t="shared" si="7"/>
        <v>177.17500000000001</v>
      </c>
      <c r="AG16" s="89">
        <f t="shared" si="8"/>
        <v>0.88587500000000008</v>
      </c>
      <c r="AH16" s="79">
        <f t="shared" si="9"/>
        <v>78.55</v>
      </c>
      <c r="AI16" s="89">
        <f t="shared" si="10"/>
        <v>0.78549999999999998</v>
      </c>
      <c r="AJ16" s="79"/>
      <c r="AK16" s="89"/>
      <c r="AL16" s="79"/>
      <c r="AM16" s="89"/>
      <c r="AN16" s="80"/>
      <c r="AO16" s="80"/>
      <c r="AP16" s="80"/>
      <c r="AQ16" s="80"/>
      <c r="AR16" s="80"/>
      <c r="AS16" s="80"/>
      <c r="AT16" s="80">
        <f t="shared" si="13"/>
        <v>79.150000000000006</v>
      </c>
      <c r="AU16" s="89">
        <f t="shared" si="14"/>
        <v>0.79150000000000009</v>
      </c>
      <c r="AV16" s="79">
        <f t="shared" si="15"/>
        <v>40.950000000000003</v>
      </c>
      <c r="AW16" s="89">
        <f t="shared" si="16"/>
        <v>0.81900000000000006</v>
      </c>
      <c r="AX16" s="79">
        <f t="shared" si="17"/>
        <v>62.818799999999996</v>
      </c>
      <c r="AY16" s="89">
        <f t="shared" si="18"/>
        <v>0.79517468354430376</v>
      </c>
      <c r="AZ16" s="80">
        <f t="shared" si="19"/>
        <v>89.28</v>
      </c>
      <c r="BA16" s="89">
        <f t="shared" si="20"/>
        <v>0.73785123966942145</v>
      </c>
      <c r="BB16" s="79">
        <f t="shared" si="21"/>
        <v>93.95</v>
      </c>
      <c r="BC16" s="89">
        <f t="shared" si="22"/>
        <v>0.9395</v>
      </c>
      <c r="BF16" s="4"/>
      <c r="BG16" s="4"/>
      <c r="BH16" s="81"/>
      <c r="BI16" s="81"/>
      <c r="BJ16" s="81"/>
      <c r="BK16" s="4"/>
      <c r="BL16" s="4"/>
      <c r="BM16" s="4"/>
      <c r="BN16" s="4"/>
      <c r="BO16" s="81"/>
      <c r="BP16" s="81"/>
      <c r="BQ16" s="81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81"/>
      <c r="CE16" s="81"/>
      <c r="CF16" s="81"/>
      <c r="CG16" s="4"/>
      <c r="CH16" s="4"/>
      <c r="CI16" s="4"/>
      <c r="CJ16" s="81"/>
      <c r="CK16" s="81"/>
      <c r="CL16" s="81"/>
      <c r="CM16" s="4"/>
      <c r="CN16" s="81"/>
      <c r="CO16" s="81"/>
      <c r="CQ16" s="82"/>
    </row>
    <row r="17" spans="1:95">
      <c r="A17" s="201">
        <v>7</v>
      </c>
      <c r="B17" s="122" t="s">
        <v>203</v>
      </c>
      <c r="C17" s="122" t="s">
        <v>204</v>
      </c>
      <c r="D17" s="73">
        <f>'Penguk.CPMK-Smt1'!D17</f>
        <v>93</v>
      </c>
      <c r="E17" s="73">
        <f>'Penguk.CPMK-Smt1'!E17</f>
        <v>99</v>
      </c>
      <c r="F17" s="73">
        <f t="shared" si="0"/>
        <v>96</v>
      </c>
      <c r="G17" s="91">
        <f>'Penguk.CPMK-Smt1'!G17</f>
        <v>76.13</v>
      </c>
      <c r="H17" s="91">
        <f>'Penguk.CPMK-Smt1'!H17</f>
        <v>77.38</v>
      </c>
      <c r="I17" s="91">
        <f>'Penguk.CPMK-Smt1'!I17</f>
        <v>84.15</v>
      </c>
      <c r="J17" s="91">
        <f>'Penguk.CPMK-Smt1'!J17</f>
        <v>77.290000000000006</v>
      </c>
      <c r="K17" s="91">
        <f>'Penguk.CPMK-Smt1'!K17</f>
        <v>83.71</v>
      </c>
      <c r="L17" s="91">
        <f t="shared" si="1"/>
        <v>29.759899999999995</v>
      </c>
      <c r="M17" s="74">
        <f>'Penguk.CPMK-Smt1'!M17</f>
        <v>86</v>
      </c>
      <c r="N17" s="74">
        <f>'Penguk.CPMK-Smt1'!N17</f>
        <v>89.5</v>
      </c>
      <c r="O17" s="74">
        <f t="shared" si="2"/>
        <v>87.75</v>
      </c>
      <c r="P17" s="75">
        <f>'Penguk.CPMK-Smt1'!P17</f>
        <v>84.5</v>
      </c>
      <c r="Q17" s="75">
        <f>'Penguk.CPMK-Smt1'!Q17</f>
        <v>90.5</v>
      </c>
      <c r="R17" s="75">
        <f t="shared" si="3"/>
        <v>87.5</v>
      </c>
      <c r="S17" s="76">
        <f>'Penguk.CPMK-Smt1'!S17</f>
        <v>78.400000000000006</v>
      </c>
      <c r="T17" s="76">
        <f>'Penguk.CPMK-Smt1'!T17</f>
        <v>70.900000000000006</v>
      </c>
      <c r="U17" s="76">
        <f t="shared" si="4"/>
        <v>74.650000000000006</v>
      </c>
      <c r="V17" s="38">
        <f>'Penguk.CPMK-Smt1'!V17</f>
        <v>84.4</v>
      </c>
      <c r="W17" s="38">
        <f>'Penguk.CPMK-Smt1'!W17</f>
        <v>94.4</v>
      </c>
      <c r="X17" s="38">
        <f t="shared" si="5"/>
        <v>89.4</v>
      </c>
      <c r="Y17" s="77">
        <f>'Penguk.CPMK-Smt1'!Y17</f>
        <v>90.15</v>
      </c>
      <c r="Z17" s="77">
        <f>'Penguk.CPMK-Smt1'!Z17</f>
        <v>90.15</v>
      </c>
      <c r="AA17" s="77">
        <f t="shared" si="25"/>
        <v>90.15</v>
      </c>
      <c r="AB17" s="78">
        <f>'Penguk.CPMK-Smt1'!AB17</f>
        <v>80.5</v>
      </c>
      <c r="AC17" s="78">
        <f>'Penguk.CPMK-Smt1'!AC17</f>
        <v>82.6</v>
      </c>
      <c r="AD17" s="78">
        <f t="shared" si="6"/>
        <v>81.55</v>
      </c>
      <c r="AF17" s="79">
        <f t="shared" si="7"/>
        <v>179.55</v>
      </c>
      <c r="AG17" s="89">
        <f t="shared" si="8"/>
        <v>0.89775000000000005</v>
      </c>
      <c r="AH17" s="79">
        <f t="shared" si="9"/>
        <v>96</v>
      </c>
      <c r="AI17" s="89">
        <f t="shared" si="10"/>
        <v>0.96</v>
      </c>
      <c r="AJ17" s="79"/>
      <c r="AK17" s="89"/>
      <c r="AL17" s="79"/>
      <c r="AM17" s="89"/>
      <c r="AN17" s="80"/>
      <c r="AO17" s="80"/>
      <c r="AP17" s="80"/>
      <c r="AQ17" s="80"/>
      <c r="AR17" s="80"/>
      <c r="AS17" s="80"/>
      <c r="AT17" s="80">
        <f t="shared" si="13"/>
        <v>87.75</v>
      </c>
      <c r="AU17" s="89">
        <f t="shared" si="14"/>
        <v>0.87749999999999995</v>
      </c>
      <c r="AV17" s="79">
        <f t="shared" si="15"/>
        <v>44.75</v>
      </c>
      <c r="AW17" s="89">
        <f t="shared" si="16"/>
        <v>0.89500000000000002</v>
      </c>
      <c r="AX17" s="79">
        <f t="shared" si="17"/>
        <v>62.671500000000009</v>
      </c>
      <c r="AY17" s="89">
        <f t="shared" si="18"/>
        <v>0.79331012658227862</v>
      </c>
      <c r="AZ17" s="80">
        <f t="shared" si="19"/>
        <v>92.229100000000003</v>
      </c>
      <c r="BA17" s="89">
        <f t="shared" si="20"/>
        <v>0.76222396694214878</v>
      </c>
      <c r="BB17" s="79">
        <f t="shared" si="21"/>
        <v>81.55</v>
      </c>
      <c r="BC17" s="89">
        <f t="shared" si="22"/>
        <v>0.8155</v>
      </c>
      <c r="BF17" s="4"/>
      <c r="BG17" s="4"/>
      <c r="BH17" s="81"/>
      <c r="BI17" s="81"/>
      <c r="BJ17" s="81"/>
      <c r="BK17" s="4"/>
      <c r="BL17" s="4"/>
      <c r="BM17" s="4"/>
      <c r="BN17" s="4"/>
      <c r="BO17" s="81"/>
      <c r="BP17" s="81"/>
      <c r="BQ17" s="81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81"/>
      <c r="CE17" s="81"/>
      <c r="CF17" s="81"/>
      <c r="CG17" s="4"/>
      <c r="CH17" s="4"/>
      <c r="CI17" s="4"/>
      <c r="CJ17" s="81"/>
      <c r="CK17" s="81"/>
      <c r="CL17" s="81"/>
      <c r="CM17" s="4"/>
      <c r="CN17" s="81"/>
      <c r="CO17" s="81"/>
      <c r="CQ17" s="82"/>
    </row>
    <row r="18" spans="1:95">
      <c r="A18" s="201">
        <v>8</v>
      </c>
      <c r="B18" s="122" t="s">
        <v>205</v>
      </c>
      <c r="C18" s="122" t="s">
        <v>206</v>
      </c>
      <c r="D18" s="73">
        <f>'Penguk.CPMK-Smt1'!D18</f>
        <v>77.5</v>
      </c>
      <c r="E18" s="73">
        <f>'Penguk.CPMK-Smt1'!E18</f>
        <v>82</v>
      </c>
      <c r="F18" s="73">
        <f t="shared" si="0"/>
        <v>79.75</v>
      </c>
      <c r="G18" s="91">
        <f>'Penguk.CPMK-Smt1'!G18</f>
        <v>76.75</v>
      </c>
      <c r="H18" s="91">
        <f>'Penguk.CPMK-Smt1'!H18</f>
        <v>80.5</v>
      </c>
      <c r="I18" s="91">
        <f>'Penguk.CPMK-Smt1'!I18</f>
        <v>84.15</v>
      </c>
      <c r="J18" s="91">
        <f>'Penguk.CPMK-Smt1'!J18</f>
        <v>79.430000000000007</v>
      </c>
      <c r="K18" s="91">
        <f>'Penguk.CPMK-Smt1'!K18</f>
        <v>83.95</v>
      </c>
      <c r="L18" s="91">
        <f t="shared" si="1"/>
        <v>29.909500000000001</v>
      </c>
      <c r="M18" s="74">
        <f>'Penguk.CPMK-Smt1'!M18</f>
        <v>79</v>
      </c>
      <c r="N18" s="74">
        <f>'Penguk.CPMK-Smt1'!N18</f>
        <v>82.5</v>
      </c>
      <c r="O18" s="74">
        <f t="shared" si="2"/>
        <v>80.75</v>
      </c>
      <c r="P18" s="75">
        <f>'Penguk.CPMK-Smt1'!P18</f>
        <v>88</v>
      </c>
      <c r="Q18" s="75">
        <f>'Penguk.CPMK-Smt1'!Q18</f>
        <v>87</v>
      </c>
      <c r="R18" s="75">
        <f t="shared" si="3"/>
        <v>87.5</v>
      </c>
      <c r="S18" s="76">
        <f>'Penguk.CPMK-Smt1'!S18</f>
        <v>75.599999999999994</v>
      </c>
      <c r="T18" s="76">
        <f>'Penguk.CPMK-Smt1'!T18</f>
        <v>68.099999999999994</v>
      </c>
      <c r="U18" s="76">
        <f t="shared" si="4"/>
        <v>71.849999999999994</v>
      </c>
      <c r="V18" s="38">
        <f>'Penguk.CPMK-Smt1'!V18</f>
        <v>81.900000000000006</v>
      </c>
      <c r="W18" s="38">
        <f>'Penguk.CPMK-Smt1'!W18</f>
        <v>90.8</v>
      </c>
      <c r="X18" s="38">
        <f t="shared" si="5"/>
        <v>86.35</v>
      </c>
      <c r="Y18" s="77">
        <f>'Penguk.CPMK-Smt1'!Y18</f>
        <v>81.400000000000006</v>
      </c>
      <c r="Z18" s="77">
        <f>'Penguk.CPMK-Smt1'!Z18</f>
        <v>81.400000000000006</v>
      </c>
      <c r="AA18" s="77">
        <f t="shared" si="25"/>
        <v>81.400000000000006</v>
      </c>
      <c r="AB18" s="78">
        <f>'Penguk.CPMK-Smt1'!AB18</f>
        <v>93.2</v>
      </c>
      <c r="AC18" s="78">
        <f>'Penguk.CPMK-Smt1'!AC18</f>
        <v>91</v>
      </c>
      <c r="AD18" s="78">
        <f t="shared" si="6"/>
        <v>92.1</v>
      </c>
      <c r="AF18" s="79">
        <f t="shared" si="7"/>
        <v>167.75</v>
      </c>
      <c r="AG18" s="89">
        <f t="shared" si="8"/>
        <v>0.83875</v>
      </c>
      <c r="AH18" s="79">
        <f t="shared" si="9"/>
        <v>79.75</v>
      </c>
      <c r="AI18" s="89">
        <f t="shared" si="10"/>
        <v>0.79749999999999999</v>
      </c>
      <c r="AJ18" s="79"/>
      <c r="AK18" s="89"/>
      <c r="AL18" s="79"/>
      <c r="AM18" s="89"/>
      <c r="AN18" s="80"/>
      <c r="AO18" s="80"/>
      <c r="AP18" s="80"/>
      <c r="AQ18" s="80"/>
      <c r="AR18" s="80"/>
      <c r="AS18" s="80"/>
      <c r="AT18" s="80">
        <f t="shared" si="13"/>
        <v>80.75</v>
      </c>
      <c r="AU18" s="89">
        <f t="shared" si="14"/>
        <v>0.8075</v>
      </c>
      <c r="AV18" s="79">
        <f t="shared" si="15"/>
        <v>41.25</v>
      </c>
      <c r="AW18" s="89">
        <f t="shared" si="16"/>
        <v>0.82499999999999996</v>
      </c>
      <c r="AX18" s="79">
        <f t="shared" si="17"/>
        <v>63.719300000000004</v>
      </c>
      <c r="AY18" s="89">
        <f t="shared" si="18"/>
        <v>0.80657341772151903</v>
      </c>
      <c r="AZ18" s="80">
        <f t="shared" si="19"/>
        <v>89.479500000000002</v>
      </c>
      <c r="BA18" s="89">
        <f t="shared" si="20"/>
        <v>0.73950000000000005</v>
      </c>
      <c r="BB18" s="79">
        <f t="shared" si="21"/>
        <v>92.1</v>
      </c>
      <c r="BC18" s="89">
        <f t="shared" si="22"/>
        <v>0.92099999999999993</v>
      </c>
      <c r="BF18" s="4"/>
      <c r="BG18" s="4"/>
      <c r="BH18" s="81"/>
      <c r="BI18" s="81"/>
      <c r="BJ18" s="81"/>
      <c r="BK18" s="4"/>
      <c r="BL18" s="4"/>
      <c r="BM18" s="4"/>
      <c r="BN18" s="4"/>
      <c r="BO18" s="81"/>
      <c r="BP18" s="81"/>
      <c r="BQ18" s="81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81"/>
      <c r="CE18" s="81"/>
      <c r="CF18" s="81"/>
      <c r="CG18" s="4"/>
      <c r="CH18" s="4"/>
      <c r="CI18" s="4"/>
      <c r="CJ18" s="81"/>
      <c r="CK18" s="81"/>
      <c r="CL18" s="81"/>
      <c r="CM18" s="4"/>
      <c r="CN18" s="81"/>
      <c r="CO18" s="81"/>
      <c r="CQ18" s="82"/>
    </row>
    <row r="19" spans="1:95">
      <c r="A19" s="201">
        <v>9</v>
      </c>
      <c r="B19" s="122" t="s">
        <v>207</v>
      </c>
      <c r="C19" s="122" t="s">
        <v>208</v>
      </c>
      <c r="D19" s="73">
        <f>'Penguk.CPMK-Smt1'!D19</f>
        <v>77.5</v>
      </c>
      <c r="E19" s="73">
        <f>'Penguk.CPMK-Smt1'!E19</f>
        <v>81.5</v>
      </c>
      <c r="F19" s="73">
        <f t="shared" si="0"/>
        <v>79.5</v>
      </c>
      <c r="G19" s="91">
        <f>'Penguk.CPMK-Smt1'!G19</f>
        <v>78</v>
      </c>
      <c r="H19" s="91">
        <f>'Penguk.CPMK-Smt1'!H19</f>
        <v>81.75</v>
      </c>
      <c r="I19" s="91">
        <f>'Penguk.CPMK-Smt1'!I19</f>
        <v>80.31</v>
      </c>
      <c r="J19" s="91">
        <f>'Penguk.CPMK-Smt1'!J19</f>
        <v>81.05</v>
      </c>
      <c r="K19" s="91">
        <f>'Penguk.CPMK-Smt1'!K19</f>
        <v>80.38</v>
      </c>
      <c r="L19" s="91">
        <f t="shared" si="1"/>
        <v>29.3598</v>
      </c>
      <c r="M19" s="74">
        <f>'Penguk.CPMK-Smt1'!M19</f>
        <v>82.5</v>
      </c>
      <c r="N19" s="74">
        <f>'Penguk.CPMK-Smt1'!N19</f>
        <v>82.5</v>
      </c>
      <c r="O19" s="74">
        <f t="shared" si="2"/>
        <v>82.5</v>
      </c>
      <c r="P19" s="75">
        <f>'Penguk.CPMK-Smt1'!P19</f>
        <v>84.5</v>
      </c>
      <c r="Q19" s="75">
        <f>'Penguk.CPMK-Smt1'!Q19</f>
        <v>83.5</v>
      </c>
      <c r="R19" s="75">
        <f t="shared" si="3"/>
        <v>84</v>
      </c>
      <c r="S19" s="76">
        <f>'Penguk.CPMK-Smt1'!S19</f>
        <v>75.599999999999994</v>
      </c>
      <c r="T19" s="76">
        <f>'Penguk.CPMK-Smt1'!T19</f>
        <v>68.099999999999994</v>
      </c>
      <c r="U19" s="76">
        <f t="shared" si="4"/>
        <v>71.849999999999994</v>
      </c>
      <c r="V19" s="38">
        <f>'Penguk.CPMK-Smt1'!V19</f>
        <v>85.5</v>
      </c>
      <c r="W19" s="38">
        <f>'Penguk.CPMK-Smt1'!W19</f>
        <v>85</v>
      </c>
      <c r="X19" s="38">
        <f t="shared" si="5"/>
        <v>85.25</v>
      </c>
      <c r="Y19" s="77">
        <f>'Penguk.CPMK-Smt1'!Y19</f>
        <v>81.400000000000006</v>
      </c>
      <c r="Z19" s="77">
        <f>'Penguk.CPMK-Smt1'!Z19</f>
        <v>81.400000000000006</v>
      </c>
      <c r="AA19" s="77">
        <f t="shared" si="25"/>
        <v>81.400000000000006</v>
      </c>
      <c r="AB19" s="78">
        <f>'Penguk.CPMK-Smt1'!AB19</f>
        <v>91.4</v>
      </c>
      <c r="AC19" s="78">
        <f>'Penguk.CPMK-Smt1'!AC19</f>
        <v>91</v>
      </c>
      <c r="AD19" s="78">
        <f t="shared" si="6"/>
        <v>91.2</v>
      </c>
      <c r="AF19" s="79">
        <f t="shared" si="7"/>
        <v>166.65</v>
      </c>
      <c r="AG19" s="89">
        <f t="shared" si="8"/>
        <v>0.83325000000000005</v>
      </c>
      <c r="AH19" s="79">
        <f t="shared" si="9"/>
        <v>79.5</v>
      </c>
      <c r="AI19" s="89">
        <f t="shared" si="10"/>
        <v>0.79500000000000004</v>
      </c>
      <c r="AJ19" s="79"/>
      <c r="AK19" s="89"/>
      <c r="AL19" s="79"/>
      <c r="AM19" s="89"/>
      <c r="AN19" s="80"/>
      <c r="AO19" s="80"/>
      <c r="AP19" s="80"/>
      <c r="AQ19" s="80"/>
      <c r="AR19" s="80"/>
      <c r="AS19" s="80"/>
      <c r="AT19" s="80">
        <f t="shared" si="13"/>
        <v>82.5</v>
      </c>
      <c r="AU19" s="89">
        <f t="shared" si="14"/>
        <v>0.82499999999999996</v>
      </c>
      <c r="AV19" s="79">
        <f t="shared" si="15"/>
        <v>41.25</v>
      </c>
      <c r="AW19" s="89">
        <f t="shared" si="16"/>
        <v>0.82499999999999996</v>
      </c>
      <c r="AX19" s="79">
        <f t="shared" si="17"/>
        <v>63.461100000000002</v>
      </c>
      <c r="AY19" s="89">
        <f t="shared" si="18"/>
        <v>0.80330506329113927</v>
      </c>
      <c r="AZ19" s="80">
        <f t="shared" si="19"/>
        <v>88.729799999999997</v>
      </c>
      <c r="BA19" s="89">
        <f t="shared" si="20"/>
        <v>0.73330413223140489</v>
      </c>
      <c r="BB19" s="79">
        <f t="shared" si="21"/>
        <v>91.2</v>
      </c>
      <c r="BC19" s="89">
        <f t="shared" si="22"/>
        <v>0.91200000000000003</v>
      </c>
      <c r="BF19" s="4"/>
      <c r="BG19" s="4"/>
      <c r="BH19" s="81"/>
      <c r="BI19" s="81"/>
      <c r="BJ19" s="81"/>
      <c r="BK19" s="4"/>
      <c r="BL19" s="4"/>
      <c r="BM19" s="4"/>
      <c r="BN19" s="4"/>
      <c r="BO19" s="81"/>
      <c r="BP19" s="81"/>
      <c r="BQ19" s="81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81"/>
      <c r="CE19" s="81"/>
      <c r="CF19" s="81"/>
      <c r="CG19" s="4"/>
      <c r="CH19" s="4"/>
      <c r="CI19" s="4"/>
      <c r="CJ19" s="81"/>
      <c r="CK19" s="81"/>
      <c r="CL19" s="81"/>
      <c r="CM19" s="4"/>
      <c r="CN19" s="81"/>
      <c r="CO19" s="81"/>
      <c r="CQ19" s="82"/>
    </row>
    <row r="20" spans="1:95">
      <c r="A20" s="201">
        <v>10</v>
      </c>
      <c r="B20" s="122" t="s">
        <v>209</v>
      </c>
      <c r="C20" s="122" t="s">
        <v>210</v>
      </c>
      <c r="D20" s="73">
        <f>'Penguk.CPMK-Smt1'!D20</f>
        <v>94</v>
      </c>
      <c r="E20" s="73">
        <f>'Penguk.CPMK-Smt1'!E20</f>
        <v>99.5</v>
      </c>
      <c r="F20" s="73">
        <f t="shared" si="0"/>
        <v>96.75</v>
      </c>
      <c r="G20" s="91">
        <f>'Penguk.CPMK-Smt1'!G20</f>
        <v>78</v>
      </c>
      <c r="H20" s="91">
        <f>'Penguk.CPMK-Smt1'!H20</f>
        <v>80.5</v>
      </c>
      <c r="I20" s="91">
        <f>'Penguk.CPMK-Smt1'!I20</f>
        <v>84.15</v>
      </c>
      <c r="J20" s="91">
        <f>'Penguk.CPMK-Smt1'!J20</f>
        <v>80.86</v>
      </c>
      <c r="K20" s="91">
        <f>'Penguk.CPMK-Smt1'!K20</f>
        <v>83.95</v>
      </c>
      <c r="L20" s="91">
        <f t="shared" si="1"/>
        <v>30.109500000000001</v>
      </c>
      <c r="M20" s="74">
        <f>'Penguk.CPMK-Smt1'!M20</f>
        <v>86</v>
      </c>
      <c r="N20" s="74">
        <f>'Penguk.CPMK-Smt1'!N20</f>
        <v>86</v>
      </c>
      <c r="O20" s="74">
        <f t="shared" si="2"/>
        <v>86</v>
      </c>
      <c r="P20" s="75">
        <f>'Penguk.CPMK-Smt1'!P20</f>
        <v>88</v>
      </c>
      <c r="Q20" s="75">
        <f>'Penguk.CPMK-Smt1'!Q20</f>
        <v>87</v>
      </c>
      <c r="R20" s="75">
        <f t="shared" si="3"/>
        <v>87.5</v>
      </c>
      <c r="S20" s="76">
        <f>'Penguk.CPMK-Smt1'!S20</f>
        <v>78.400000000000006</v>
      </c>
      <c r="T20" s="76">
        <f>'Penguk.CPMK-Smt1'!T20</f>
        <v>70.900000000000006</v>
      </c>
      <c r="U20" s="76">
        <f t="shared" si="4"/>
        <v>74.650000000000006</v>
      </c>
      <c r="V20" s="38">
        <f>'Penguk.CPMK-Smt1'!V20</f>
        <v>84.85</v>
      </c>
      <c r="W20" s="38">
        <f>'Penguk.CPMK-Smt1'!W20</f>
        <v>92.5</v>
      </c>
      <c r="X20" s="38">
        <f t="shared" si="5"/>
        <v>88.674999999999997</v>
      </c>
      <c r="Y20" s="77">
        <f>'Penguk.CPMK-Smt1'!Y20</f>
        <v>88.5</v>
      </c>
      <c r="Z20" s="77">
        <f>'Penguk.CPMK-Smt1'!Z20</f>
        <v>88.5</v>
      </c>
      <c r="AA20" s="77">
        <f t="shared" si="25"/>
        <v>88.5</v>
      </c>
      <c r="AB20" s="78">
        <f>'Penguk.CPMK-Smt1'!AB20</f>
        <v>79.2</v>
      </c>
      <c r="AC20" s="78">
        <f>'Penguk.CPMK-Smt1'!AC20</f>
        <v>82.6</v>
      </c>
      <c r="AD20" s="78">
        <f t="shared" si="6"/>
        <v>80.900000000000006</v>
      </c>
      <c r="AF20" s="79">
        <f t="shared" si="7"/>
        <v>177.17500000000001</v>
      </c>
      <c r="AG20" s="89">
        <f t="shared" si="8"/>
        <v>0.88587500000000008</v>
      </c>
      <c r="AH20" s="79">
        <f t="shared" si="9"/>
        <v>96.75</v>
      </c>
      <c r="AI20" s="89">
        <f t="shared" si="10"/>
        <v>0.96750000000000003</v>
      </c>
      <c r="AJ20" s="79"/>
      <c r="AK20" s="89"/>
      <c r="AL20" s="79"/>
      <c r="AM20" s="89"/>
      <c r="AN20" s="80"/>
      <c r="AO20" s="80"/>
      <c r="AP20" s="80"/>
      <c r="AQ20" s="80"/>
      <c r="AR20" s="80"/>
      <c r="AS20" s="80"/>
      <c r="AT20" s="80">
        <f t="shared" si="13"/>
        <v>86</v>
      </c>
      <c r="AU20" s="89">
        <f t="shared" si="14"/>
        <v>0.86</v>
      </c>
      <c r="AV20" s="79">
        <f t="shared" si="15"/>
        <v>43</v>
      </c>
      <c r="AW20" s="89">
        <f t="shared" si="16"/>
        <v>0.86</v>
      </c>
      <c r="AX20" s="79">
        <f t="shared" si="17"/>
        <v>64.2196</v>
      </c>
      <c r="AY20" s="89">
        <f t="shared" si="18"/>
        <v>0.81290632911392402</v>
      </c>
      <c r="AZ20" s="80">
        <f t="shared" si="19"/>
        <v>92.279500000000013</v>
      </c>
      <c r="BA20" s="89">
        <f t="shared" si="20"/>
        <v>0.76264049586776872</v>
      </c>
      <c r="BB20" s="79">
        <f t="shared" si="21"/>
        <v>80.900000000000006</v>
      </c>
      <c r="BC20" s="89">
        <f t="shared" si="22"/>
        <v>0.80900000000000005</v>
      </c>
      <c r="BF20" s="4"/>
      <c r="BG20" s="4"/>
      <c r="BH20" s="81"/>
      <c r="BI20" s="81"/>
      <c r="BJ20" s="81"/>
      <c r="BK20" s="4"/>
      <c r="BL20" s="4"/>
      <c r="BM20" s="4"/>
      <c r="BN20" s="4"/>
      <c r="BO20" s="81"/>
      <c r="BP20" s="81"/>
      <c r="BQ20" s="81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81"/>
      <c r="CE20" s="81"/>
      <c r="CF20" s="81"/>
      <c r="CG20" s="4"/>
      <c r="CH20" s="4"/>
      <c r="CI20" s="4"/>
      <c r="CJ20" s="81"/>
      <c r="CK20" s="81"/>
      <c r="CL20" s="81"/>
      <c r="CM20" s="4"/>
      <c r="CN20" s="81"/>
      <c r="CO20" s="81"/>
      <c r="CQ20" s="82"/>
    </row>
    <row r="21" spans="1:95">
      <c r="A21" s="201">
        <v>11</v>
      </c>
      <c r="B21" s="122" t="s">
        <v>279</v>
      </c>
      <c r="C21" s="122" t="s">
        <v>280</v>
      </c>
      <c r="D21" s="73">
        <f>'Penguk.CPMK-Smt1'!D21</f>
        <v>82</v>
      </c>
      <c r="E21" s="73">
        <f>'Penguk.CPMK-Smt1'!E21</f>
        <v>86.5</v>
      </c>
      <c r="F21" s="73">
        <f t="shared" si="0"/>
        <v>84.25</v>
      </c>
      <c r="G21" s="91">
        <f>'Penguk.CPMK-Smt1'!G21</f>
        <v>76.13</v>
      </c>
      <c r="H21" s="91">
        <f>'Penguk.CPMK-Smt1'!H21</f>
        <v>78.63</v>
      </c>
      <c r="I21" s="91">
        <f>'Penguk.CPMK-Smt1'!I21</f>
        <v>84.15</v>
      </c>
      <c r="J21" s="91">
        <f>'Penguk.CPMK-Smt1'!J21</f>
        <v>78.709999999999994</v>
      </c>
      <c r="K21" s="91">
        <f>'Penguk.CPMK-Smt1'!K21</f>
        <v>83.95</v>
      </c>
      <c r="L21" s="91">
        <f t="shared" si="1"/>
        <v>29.810299999999998</v>
      </c>
      <c r="M21" s="74">
        <f>'Penguk.CPMK-Smt1'!M21</f>
        <v>86</v>
      </c>
      <c r="N21" s="74">
        <f>'Penguk.CPMK-Smt1'!N21</f>
        <v>86</v>
      </c>
      <c r="O21" s="74">
        <f t="shared" si="2"/>
        <v>86</v>
      </c>
      <c r="P21" s="75">
        <f>'Penguk.CPMK-Smt1'!P21</f>
        <v>84.5</v>
      </c>
      <c r="Q21" s="75">
        <f>'Penguk.CPMK-Smt1'!Q21</f>
        <v>83.5</v>
      </c>
      <c r="R21" s="75">
        <f t="shared" si="3"/>
        <v>84</v>
      </c>
      <c r="S21" s="76">
        <f>'Penguk.CPMK-Smt1'!S21</f>
        <v>75.599999999999994</v>
      </c>
      <c r="T21" s="76">
        <f>'Penguk.CPMK-Smt1'!T21</f>
        <v>68.099999999999994</v>
      </c>
      <c r="U21" s="76">
        <f t="shared" si="4"/>
        <v>71.849999999999994</v>
      </c>
      <c r="V21" s="38">
        <f>'Penguk.CPMK-Smt1'!V21</f>
        <v>83.4</v>
      </c>
      <c r="W21" s="38">
        <f>'Penguk.CPMK-Smt1'!W21</f>
        <v>93.8</v>
      </c>
      <c r="X21" s="38">
        <f t="shared" si="5"/>
        <v>88.6</v>
      </c>
      <c r="Y21" s="77">
        <f>'Penguk.CPMK-Smt1'!Y21</f>
        <v>81.400000000000006</v>
      </c>
      <c r="Z21" s="77">
        <f>'Penguk.CPMK-Smt1'!Z21</f>
        <v>81.400000000000006</v>
      </c>
      <c r="AA21" s="77">
        <f t="shared" si="25"/>
        <v>81.400000000000006</v>
      </c>
      <c r="AB21" s="78">
        <f>'Penguk.CPMK-Smt1'!AB21</f>
        <v>92.2</v>
      </c>
      <c r="AC21" s="78">
        <f>'Penguk.CPMK-Smt1'!AC21</f>
        <v>95.5</v>
      </c>
      <c r="AD21" s="78">
        <f t="shared" si="6"/>
        <v>93.85</v>
      </c>
      <c r="AF21" s="79">
        <f t="shared" si="7"/>
        <v>170</v>
      </c>
      <c r="AG21" s="89">
        <f t="shared" si="8"/>
        <v>0.85</v>
      </c>
      <c r="AH21" s="79">
        <f t="shared" si="9"/>
        <v>84.25</v>
      </c>
      <c r="AI21" s="89">
        <f t="shared" si="10"/>
        <v>0.84250000000000003</v>
      </c>
      <c r="AJ21" s="79"/>
      <c r="AK21" s="89"/>
      <c r="AL21" s="79"/>
      <c r="AM21" s="89"/>
      <c r="AN21" s="80"/>
      <c r="AO21" s="80"/>
      <c r="AP21" s="80"/>
      <c r="AQ21" s="80"/>
      <c r="AR21" s="80"/>
      <c r="AS21" s="80"/>
      <c r="AT21" s="80">
        <f t="shared" si="13"/>
        <v>86</v>
      </c>
      <c r="AU21" s="89">
        <f t="shared" si="14"/>
        <v>0.86</v>
      </c>
      <c r="AV21" s="79">
        <f t="shared" si="15"/>
        <v>43</v>
      </c>
      <c r="AW21" s="89">
        <f t="shared" si="16"/>
        <v>0.86</v>
      </c>
      <c r="AX21" s="79">
        <f t="shared" si="17"/>
        <v>63.169700000000006</v>
      </c>
      <c r="AY21" s="89">
        <f t="shared" si="18"/>
        <v>0.79961645569620265</v>
      </c>
      <c r="AZ21" s="80">
        <f t="shared" si="19"/>
        <v>89.479500000000002</v>
      </c>
      <c r="BA21" s="89">
        <f t="shared" si="20"/>
        <v>0.73950000000000005</v>
      </c>
      <c r="BB21" s="79">
        <f t="shared" si="21"/>
        <v>93.85</v>
      </c>
      <c r="BC21" s="89">
        <f t="shared" si="22"/>
        <v>0.93849999999999989</v>
      </c>
      <c r="BF21" s="4"/>
      <c r="BG21" s="4"/>
      <c r="BH21" s="81"/>
      <c r="BI21" s="81"/>
      <c r="BJ21" s="81"/>
      <c r="BK21" s="4"/>
      <c r="BL21" s="4"/>
      <c r="BM21" s="4"/>
      <c r="BN21" s="4"/>
      <c r="BO21" s="81"/>
      <c r="BP21" s="81"/>
      <c r="BQ21" s="81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81"/>
      <c r="CE21" s="81"/>
      <c r="CF21" s="81"/>
      <c r="CG21" s="4"/>
      <c r="CH21" s="4"/>
      <c r="CI21" s="4"/>
      <c r="CJ21" s="81"/>
      <c r="CK21" s="81"/>
      <c r="CL21" s="81"/>
      <c r="CM21" s="4"/>
      <c r="CN21" s="81"/>
      <c r="CO21" s="81"/>
      <c r="CQ21" s="82"/>
    </row>
    <row r="22" spans="1:95">
      <c r="A22" s="201">
        <v>12</v>
      </c>
      <c r="B22" s="122" t="s">
        <v>211</v>
      </c>
      <c r="C22" s="122" t="s">
        <v>212</v>
      </c>
      <c r="D22" s="73">
        <f>'Penguk.CPMK-Smt1'!D22</f>
        <v>94</v>
      </c>
      <c r="E22" s="73">
        <f>'Penguk.CPMK-Smt1'!E22</f>
        <v>99.5</v>
      </c>
      <c r="F22" s="73">
        <f t="shared" si="0"/>
        <v>96.75</v>
      </c>
      <c r="G22" s="91">
        <f>'Penguk.CPMK-Smt1'!G22</f>
        <v>78</v>
      </c>
      <c r="H22" s="91">
        <f>'Penguk.CPMK-Smt1'!H22</f>
        <v>80.5</v>
      </c>
      <c r="I22" s="91">
        <f>'Penguk.CPMK-Smt1'!I22</f>
        <v>84.15</v>
      </c>
      <c r="J22" s="91">
        <f>'Penguk.CPMK-Smt1'!J22</f>
        <v>81.62</v>
      </c>
      <c r="K22" s="91">
        <f>'Penguk.CPMK-Smt1'!K22</f>
        <v>83.95</v>
      </c>
      <c r="L22" s="91">
        <f t="shared" si="1"/>
        <v>30.109500000000001</v>
      </c>
      <c r="M22" s="74">
        <f>'Penguk.CPMK-Smt1'!M22</f>
        <v>89.5</v>
      </c>
      <c r="N22" s="74">
        <f>'Penguk.CPMK-Smt1'!N22</f>
        <v>89.5</v>
      </c>
      <c r="O22" s="74">
        <f t="shared" si="2"/>
        <v>89.5</v>
      </c>
      <c r="P22" s="75">
        <f>'Penguk.CPMK-Smt1'!P22</f>
        <v>88</v>
      </c>
      <c r="Q22" s="75">
        <f>'Penguk.CPMK-Smt1'!Q22</f>
        <v>87</v>
      </c>
      <c r="R22" s="75">
        <f t="shared" si="3"/>
        <v>87.5</v>
      </c>
      <c r="S22" s="76">
        <f>'Penguk.CPMK-Smt1'!S22</f>
        <v>78.400000000000006</v>
      </c>
      <c r="T22" s="76">
        <f>'Penguk.CPMK-Smt1'!T22</f>
        <v>70.900000000000006</v>
      </c>
      <c r="U22" s="76">
        <f t="shared" si="4"/>
        <v>74.650000000000006</v>
      </c>
      <c r="V22" s="38">
        <f>'Penguk.CPMK-Smt1'!V22</f>
        <v>85.95</v>
      </c>
      <c r="W22" s="38">
        <f>'Penguk.CPMK-Smt1'!W22</f>
        <v>94</v>
      </c>
      <c r="X22" s="38">
        <f t="shared" si="5"/>
        <v>89.974999999999994</v>
      </c>
      <c r="Y22" s="77">
        <f>'Penguk.CPMK-Smt1'!Y22</f>
        <v>90.4</v>
      </c>
      <c r="Z22" s="77">
        <f>'Penguk.CPMK-Smt1'!Z22</f>
        <v>90.4</v>
      </c>
      <c r="AA22" s="77">
        <f t="shared" si="25"/>
        <v>90.4</v>
      </c>
      <c r="AB22" s="78">
        <f>'Penguk.CPMK-Smt1'!AB22</f>
        <v>90.9</v>
      </c>
      <c r="AC22" s="78">
        <f>'Penguk.CPMK-Smt1'!AC22</f>
        <v>95.9</v>
      </c>
      <c r="AD22" s="78">
        <f t="shared" si="6"/>
        <v>93.4</v>
      </c>
      <c r="AF22" s="79">
        <f t="shared" si="7"/>
        <v>180.375</v>
      </c>
      <c r="AG22" s="89">
        <f t="shared" si="8"/>
        <v>0.90187499999999998</v>
      </c>
      <c r="AH22" s="79">
        <f t="shared" si="9"/>
        <v>96.75</v>
      </c>
      <c r="AI22" s="89">
        <f t="shared" si="10"/>
        <v>0.96750000000000003</v>
      </c>
      <c r="AJ22" s="79"/>
      <c r="AK22" s="89"/>
      <c r="AL22" s="79"/>
      <c r="AM22" s="89"/>
      <c r="AN22" s="80"/>
      <c r="AO22" s="80"/>
      <c r="AP22" s="80"/>
      <c r="AQ22" s="80"/>
      <c r="AR22" s="80"/>
      <c r="AS22" s="80"/>
      <c r="AT22" s="80">
        <f t="shared" si="13"/>
        <v>89.5</v>
      </c>
      <c r="AU22" s="89">
        <f t="shared" si="14"/>
        <v>0.89500000000000002</v>
      </c>
      <c r="AV22" s="79">
        <f t="shared" si="15"/>
        <v>44.75</v>
      </c>
      <c r="AW22" s="89">
        <f t="shared" si="16"/>
        <v>0.89500000000000002</v>
      </c>
      <c r="AX22" s="79">
        <f t="shared" si="17"/>
        <v>64.379199999999997</v>
      </c>
      <c r="AY22" s="89">
        <f t="shared" si="18"/>
        <v>0.81492658227848103</v>
      </c>
      <c r="AZ22" s="80">
        <f t="shared" si="19"/>
        <v>92.279500000000013</v>
      </c>
      <c r="BA22" s="89">
        <f t="shared" si="20"/>
        <v>0.76264049586776872</v>
      </c>
      <c r="BB22" s="79">
        <f t="shared" si="21"/>
        <v>93.4</v>
      </c>
      <c r="BC22" s="89">
        <f t="shared" si="22"/>
        <v>0.93400000000000005</v>
      </c>
      <c r="BF22" s="4"/>
      <c r="BG22" s="4"/>
      <c r="BH22" s="81"/>
      <c r="BI22" s="81"/>
      <c r="BJ22" s="81"/>
      <c r="BK22" s="4"/>
      <c r="BL22" s="4"/>
      <c r="BM22" s="4"/>
      <c r="BN22" s="4"/>
      <c r="BO22" s="81"/>
      <c r="BP22" s="81"/>
      <c r="BQ22" s="81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81"/>
      <c r="CE22" s="81"/>
      <c r="CF22" s="81"/>
      <c r="CG22" s="4"/>
      <c r="CH22" s="4"/>
      <c r="CI22" s="4"/>
      <c r="CJ22" s="81"/>
      <c r="CK22" s="81"/>
      <c r="CL22" s="81"/>
      <c r="CM22" s="4"/>
      <c r="CN22" s="81"/>
      <c r="CO22" s="81"/>
      <c r="CQ22" s="82"/>
    </row>
    <row r="23" spans="1:95">
      <c r="A23" s="201">
        <v>13</v>
      </c>
      <c r="B23" s="122" t="s">
        <v>213</v>
      </c>
      <c r="C23" s="122" t="s">
        <v>214</v>
      </c>
      <c r="D23" s="73">
        <f>'Penguk.CPMK-Smt1'!D23</f>
        <v>75.599999999999994</v>
      </c>
      <c r="E23" s="73">
        <f>'Penguk.CPMK-Smt1'!E23</f>
        <v>76.599999999999994</v>
      </c>
      <c r="F23" s="73">
        <f t="shared" si="0"/>
        <v>76.099999999999994</v>
      </c>
      <c r="G23" s="91">
        <f>'Penguk.CPMK-Smt1'!G23</f>
        <v>77.25</v>
      </c>
      <c r="H23" s="91">
        <f>'Penguk.CPMK-Smt1'!H23</f>
        <v>79.75</v>
      </c>
      <c r="I23" s="91">
        <f>'Penguk.CPMK-Smt1'!I23</f>
        <v>86</v>
      </c>
      <c r="J23" s="91">
        <f>'Penguk.CPMK-Smt1'!J23</f>
        <v>79.33</v>
      </c>
      <c r="K23" s="91">
        <f>'Penguk.CPMK-Smt1'!K23</f>
        <v>85.52</v>
      </c>
      <c r="L23" s="91">
        <f t="shared" si="1"/>
        <v>30.319199999999999</v>
      </c>
      <c r="M23" s="74">
        <f>'Penguk.CPMK-Smt1'!M23</f>
        <v>67.400000000000006</v>
      </c>
      <c r="N23" s="74">
        <f>'Penguk.CPMK-Smt1'!N23</f>
        <v>74.400000000000006</v>
      </c>
      <c r="O23" s="74">
        <f t="shared" si="2"/>
        <v>70.900000000000006</v>
      </c>
      <c r="P23" s="75">
        <f>'Penguk.CPMK-Smt1'!P23</f>
        <v>81</v>
      </c>
      <c r="Q23" s="75">
        <f>'Penguk.CPMK-Smt1'!Q23</f>
        <v>80</v>
      </c>
      <c r="R23" s="75">
        <f t="shared" si="3"/>
        <v>80.5</v>
      </c>
      <c r="S23" s="76">
        <f>'Penguk.CPMK-Smt1'!S23</f>
        <v>75.599999999999994</v>
      </c>
      <c r="T23" s="76">
        <f>'Penguk.CPMK-Smt1'!T23</f>
        <v>68.099999999999994</v>
      </c>
      <c r="U23" s="76">
        <f t="shared" si="4"/>
        <v>71.849999999999994</v>
      </c>
      <c r="V23" s="38">
        <f>'Penguk.CPMK-Smt1'!V23</f>
        <v>40</v>
      </c>
      <c r="W23" s="38">
        <f>'Penguk.CPMK-Smt1'!W23</f>
        <v>40</v>
      </c>
      <c r="X23" s="38">
        <f t="shared" si="5"/>
        <v>40</v>
      </c>
      <c r="Y23" s="77">
        <f>'Penguk.CPMK-Smt1'!Y23</f>
        <v>71.5</v>
      </c>
      <c r="Z23" s="77">
        <f>'Penguk.CPMK-Smt1'!Z23</f>
        <v>71.5</v>
      </c>
      <c r="AA23" s="77">
        <f t="shared" si="25"/>
        <v>71.5</v>
      </c>
      <c r="AB23" s="78">
        <f>'Penguk.CPMK-Smt1'!AB23</f>
        <v>67</v>
      </c>
      <c r="AC23" s="78">
        <f>'Penguk.CPMK-Smt1'!AC23</f>
        <v>96</v>
      </c>
      <c r="AD23" s="78">
        <f t="shared" si="6"/>
        <v>81.5</v>
      </c>
      <c r="AF23" s="79">
        <f t="shared" si="7"/>
        <v>111.5</v>
      </c>
      <c r="AG23" s="89">
        <f t="shared" si="8"/>
        <v>0.5575</v>
      </c>
      <c r="AH23" s="79">
        <f t="shared" si="9"/>
        <v>76.099999999999994</v>
      </c>
      <c r="AI23" s="89">
        <f t="shared" si="10"/>
        <v>0.7609999999999999</v>
      </c>
      <c r="AJ23" s="79"/>
      <c r="AK23" s="89"/>
      <c r="AL23" s="79"/>
      <c r="AM23" s="89"/>
      <c r="AN23" s="80"/>
      <c r="AO23" s="80"/>
      <c r="AP23" s="80"/>
      <c r="AQ23" s="80"/>
      <c r="AR23" s="80"/>
      <c r="AS23" s="80"/>
      <c r="AT23" s="80">
        <f t="shared" si="13"/>
        <v>70.900000000000006</v>
      </c>
      <c r="AU23" s="89">
        <f t="shared" si="14"/>
        <v>0.70900000000000007</v>
      </c>
      <c r="AV23" s="79">
        <f t="shared" si="15"/>
        <v>37.200000000000003</v>
      </c>
      <c r="AW23" s="89">
        <f t="shared" si="16"/>
        <v>0.74400000000000011</v>
      </c>
      <c r="AX23" s="79">
        <f t="shared" si="17"/>
        <v>64.139299999999992</v>
      </c>
      <c r="AY23" s="89">
        <f t="shared" si="18"/>
        <v>0.81188987341772145</v>
      </c>
      <c r="AZ23" s="80">
        <f t="shared" si="19"/>
        <v>89.80919999999999</v>
      </c>
      <c r="BA23" s="89">
        <f t="shared" si="20"/>
        <v>0.74222479338842962</v>
      </c>
      <c r="BB23" s="79">
        <f t="shared" si="21"/>
        <v>81.5</v>
      </c>
      <c r="BC23" s="89">
        <f t="shared" si="22"/>
        <v>0.81499999999999995</v>
      </c>
      <c r="BF23" s="4"/>
      <c r="BG23" s="4"/>
      <c r="BH23" s="81"/>
      <c r="BI23" s="81"/>
      <c r="BJ23" s="81"/>
      <c r="BK23" s="4"/>
      <c r="BL23" s="4"/>
      <c r="BM23" s="4"/>
      <c r="BN23" s="4"/>
      <c r="BO23" s="81"/>
      <c r="BP23" s="81"/>
      <c r="BQ23" s="81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81"/>
      <c r="CE23" s="81"/>
      <c r="CF23" s="81"/>
      <c r="CG23" s="4"/>
      <c r="CH23" s="4"/>
      <c r="CI23" s="4"/>
      <c r="CJ23" s="81"/>
      <c r="CK23" s="81"/>
      <c r="CL23" s="81"/>
      <c r="CM23" s="4"/>
      <c r="CN23" s="81"/>
      <c r="CO23" s="81"/>
      <c r="CQ23" s="82"/>
    </row>
    <row r="24" spans="1:95">
      <c r="A24" s="201">
        <v>14</v>
      </c>
      <c r="B24" s="122" t="s">
        <v>215</v>
      </c>
      <c r="C24" s="122" t="s">
        <v>216</v>
      </c>
      <c r="D24" s="73">
        <f>'Penguk.CPMK-Smt1'!D24</f>
        <v>82</v>
      </c>
      <c r="E24" s="73">
        <f>'Penguk.CPMK-Smt1'!E24</f>
        <v>86.5</v>
      </c>
      <c r="F24" s="73">
        <f t="shared" si="0"/>
        <v>84.25</v>
      </c>
      <c r="G24" s="91">
        <f>'Penguk.CPMK-Smt1'!G24</f>
        <v>77.38</v>
      </c>
      <c r="H24" s="91">
        <f>'Penguk.CPMK-Smt1'!H24</f>
        <v>79.88</v>
      </c>
      <c r="I24" s="91">
        <f>'Penguk.CPMK-Smt1'!I24</f>
        <v>83.38</v>
      </c>
      <c r="J24" s="91">
        <f>'Penguk.CPMK-Smt1'!J24</f>
        <v>79.19</v>
      </c>
      <c r="K24" s="91">
        <f>'Penguk.CPMK-Smt1'!K24</f>
        <v>83.24</v>
      </c>
      <c r="L24" s="91">
        <f t="shared" si="1"/>
        <v>29.861199999999997</v>
      </c>
      <c r="M24" s="74">
        <f>'Penguk.CPMK-Smt1'!M24</f>
        <v>86</v>
      </c>
      <c r="N24" s="74">
        <f>'Penguk.CPMK-Smt1'!N24</f>
        <v>86</v>
      </c>
      <c r="O24" s="74">
        <f t="shared" si="2"/>
        <v>86</v>
      </c>
      <c r="P24" s="75">
        <f>'Penguk.CPMK-Smt1'!P24</f>
        <v>81</v>
      </c>
      <c r="Q24" s="75">
        <f>'Penguk.CPMK-Smt1'!Q24</f>
        <v>80</v>
      </c>
      <c r="R24" s="75">
        <f t="shared" si="3"/>
        <v>80.5</v>
      </c>
      <c r="S24" s="76">
        <f>'Penguk.CPMK-Smt1'!S24</f>
        <v>75.599999999999994</v>
      </c>
      <c r="T24" s="76">
        <f>'Penguk.CPMK-Smt1'!T24</f>
        <v>68.099999999999994</v>
      </c>
      <c r="U24" s="76">
        <f t="shared" si="4"/>
        <v>71.849999999999994</v>
      </c>
      <c r="V24" s="38">
        <f>'Penguk.CPMK-Smt1'!V24</f>
        <v>82.5</v>
      </c>
      <c r="W24" s="38">
        <f>'Penguk.CPMK-Smt1'!W24</f>
        <v>92</v>
      </c>
      <c r="X24" s="38">
        <f t="shared" si="5"/>
        <v>87.25</v>
      </c>
      <c r="Y24" s="77">
        <f>'Penguk.CPMK-Smt1'!Y24</f>
        <v>85.9</v>
      </c>
      <c r="Z24" s="77">
        <f>'Penguk.CPMK-Smt1'!Z24</f>
        <v>85.9</v>
      </c>
      <c r="AA24" s="77">
        <f t="shared" si="25"/>
        <v>85.9</v>
      </c>
      <c r="AB24" s="78">
        <f>'Penguk.CPMK-Smt1'!AB24</f>
        <v>93.2</v>
      </c>
      <c r="AC24" s="78">
        <f>'Penguk.CPMK-Smt1'!AC24</f>
        <v>94.9</v>
      </c>
      <c r="AD24" s="78">
        <f t="shared" si="6"/>
        <v>94.050000000000011</v>
      </c>
      <c r="AF24" s="79">
        <f t="shared" si="7"/>
        <v>173.14999999999998</v>
      </c>
      <c r="AG24" s="89">
        <f t="shared" si="8"/>
        <v>0.86574999999999991</v>
      </c>
      <c r="AH24" s="79">
        <f t="shared" si="9"/>
        <v>84.25</v>
      </c>
      <c r="AI24" s="89">
        <f t="shared" si="10"/>
        <v>0.84250000000000003</v>
      </c>
      <c r="AJ24" s="79"/>
      <c r="AK24" s="89"/>
      <c r="AL24" s="79"/>
      <c r="AM24" s="89"/>
      <c r="AN24" s="80"/>
      <c r="AO24" s="80"/>
      <c r="AP24" s="80"/>
      <c r="AQ24" s="80"/>
      <c r="AR24" s="80"/>
      <c r="AS24" s="80"/>
      <c r="AT24" s="80">
        <f t="shared" si="13"/>
        <v>86</v>
      </c>
      <c r="AU24" s="89">
        <f t="shared" si="14"/>
        <v>0.86</v>
      </c>
      <c r="AV24" s="79">
        <f t="shared" si="15"/>
        <v>43</v>
      </c>
      <c r="AW24" s="89">
        <f t="shared" si="16"/>
        <v>0.86</v>
      </c>
      <c r="AX24" s="79">
        <f t="shared" si="17"/>
        <v>63.470300000000002</v>
      </c>
      <c r="AY24" s="89">
        <f t="shared" si="18"/>
        <v>0.80342151898734182</v>
      </c>
      <c r="AZ24" s="80">
        <f t="shared" si="19"/>
        <v>89.330399999999997</v>
      </c>
      <c r="BA24" s="89">
        <f t="shared" si="20"/>
        <v>0.73826776859504128</v>
      </c>
      <c r="BB24" s="79">
        <f t="shared" si="21"/>
        <v>94.050000000000011</v>
      </c>
      <c r="BC24" s="89">
        <f t="shared" si="22"/>
        <v>0.94050000000000011</v>
      </c>
      <c r="BF24" s="4"/>
      <c r="BG24" s="4"/>
      <c r="BH24" s="81"/>
      <c r="BI24" s="81"/>
      <c r="BJ24" s="81"/>
      <c r="BK24" s="4"/>
      <c r="BL24" s="4"/>
      <c r="BM24" s="4"/>
      <c r="BN24" s="4"/>
      <c r="BO24" s="81"/>
      <c r="BP24" s="81"/>
      <c r="BQ24" s="81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81"/>
      <c r="CE24" s="81"/>
      <c r="CF24" s="81"/>
      <c r="CG24" s="4"/>
      <c r="CH24" s="4"/>
      <c r="CI24" s="4"/>
      <c r="CJ24" s="81"/>
      <c r="CK24" s="81"/>
      <c r="CL24" s="81"/>
      <c r="CM24" s="4"/>
      <c r="CN24" s="81"/>
      <c r="CO24" s="81"/>
      <c r="CQ24" s="82"/>
    </row>
    <row r="25" spans="1:95">
      <c r="A25" s="201">
        <v>15</v>
      </c>
      <c r="B25" s="122" t="s">
        <v>217</v>
      </c>
      <c r="C25" s="122" t="s">
        <v>218</v>
      </c>
      <c r="D25" s="73">
        <f>'Penguk.CPMK-Smt1'!D25</f>
        <v>94</v>
      </c>
      <c r="E25" s="73">
        <f>'Penguk.CPMK-Smt1'!E25</f>
        <v>99.5</v>
      </c>
      <c r="F25" s="73">
        <f t="shared" si="0"/>
        <v>96.75</v>
      </c>
      <c r="G25" s="91">
        <f>'Penguk.CPMK-Smt1'!G25</f>
        <v>76.13</v>
      </c>
      <c r="H25" s="91">
        <f>'Penguk.CPMK-Smt1'!H25</f>
        <v>78.63</v>
      </c>
      <c r="I25" s="91">
        <f>'Penguk.CPMK-Smt1'!I25</f>
        <v>84.92</v>
      </c>
      <c r="J25" s="91">
        <f>'Penguk.CPMK-Smt1'!J25</f>
        <v>77.760000000000005</v>
      </c>
      <c r="K25" s="91">
        <f>'Penguk.CPMK-Smt1'!K25</f>
        <v>84.67</v>
      </c>
      <c r="L25" s="91">
        <f t="shared" si="1"/>
        <v>29.961500000000001</v>
      </c>
      <c r="M25" s="74">
        <f>'Penguk.CPMK-Smt1'!M25</f>
        <v>86</v>
      </c>
      <c r="N25" s="74">
        <f>'Penguk.CPMK-Smt1'!N25</f>
        <v>86</v>
      </c>
      <c r="O25" s="74">
        <f t="shared" si="2"/>
        <v>86</v>
      </c>
      <c r="P25" s="75">
        <f>'Penguk.CPMK-Smt1'!P25</f>
        <v>88</v>
      </c>
      <c r="Q25" s="75">
        <f>'Penguk.CPMK-Smt1'!Q25</f>
        <v>87</v>
      </c>
      <c r="R25" s="75">
        <f t="shared" si="3"/>
        <v>87.5</v>
      </c>
      <c r="S25" s="76">
        <f>'Penguk.CPMK-Smt1'!S25</f>
        <v>78.400000000000006</v>
      </c>
      <c r="T25" s="76">
        <f>'Penguk.CPMK-Smt1'!T25</f>
        <v>70.900000000000006</v>
      </c>
      <c r="U25" s="76">
        <f t="shared" si="4"/>
        <v>74.650000000000006</v>
      </c>
      <c r="V25" s="38">
        <f>'Penguk.CPMK-Smt1'!V25</f>
        <v>85.3</v>
      </c>
      <c r="W25" s="38">
        <f>'Penguk.CPMK-Smt1'!W25</f>
        <v>94.1</v>
      </c>
      <c r="X25" s="38">
        <f t="shared" si="5"/>
        <v>89.699999999999989</v>
      </c>
      <c r="Y25" s="77">
        <f>'Penguk.CPMK-Smt1'!Y25</f>
        <v>81.400000000000006</v>
      </c>
      <c r="Z25" s="77">
        <f>'Penguk.CPMK-Smt1'!Z25</f>
        <v>81.400000000000006</v>
      </c>
      <c r="AA25" s="77">
        <f t="shared" si="25"/>
        <v>81.400000000000006</v>
      </c>
      <c r="AB25" s="78">
        <f>'Penguk.CPMK-Smt1'!AB25</f>
        <v>91.4</v>
      </c>
      <c r="AC25" s="78">
        <f>'Penguk.CPMK-Smt1'!AC25</f>
        <v>98</v>
      </c>
      <c r="AD25" s="78">
        <f t="shared" si="6"/>
        <v>94.7</v>
      </c>
      <c r="AF25" s="79">
        <f t="shared" si="7"/>
        <v>171.09999999999997</v>
      </c>
      <c r="AG25" s="89">
        <f t="shared" si="8"/>
        <v>0.85549999999999982</v>
      </c>
      <c r="AH25" s="79">
        <f t="shared" si="9"/>
        <v>96.75</v>
      </c>
      <c r="AI25" s="89">
        <f t="shared" si="10"/>
        <v>0.96750000000000003</v>
      </c>
      <c r="AJ25" s="79"/>
      <c r="AK25" s="89"/>
      <c r="AL25" s="79"/>
      <c r="AM25" s="89"/>
      <c r="AN25" s="80"/>
      <c r="AO25" s="80"/>
      <c r="AP25" s="80"/>
      <c r="AQ25" s="80"/>
      <c r="AR25" s="80"/>
      <c r="AS25" s="80"/>
      <c r="AT25" s="80">
        <f t="shared" si="13"/>
        <v>86</v>
      </c>
      <c r="AU25" s="89">
        <f t="shared" si="14"/>
        <v>0.86</v>
      </c>
      <c r="AV25" s="79">
        <f t="shared" si="15"/>
        <v>43</v>
      </c>
      <c r="AW25" s="89">
        <f t="shared" si="16"/>
        <v>0.86</v>
      </c>
      <c r="AX25" s="79">
        <f t="shared" si="17"/>
        <v>63.170400000000001</v>
      </c>
      <c r="AY25" s="89">
        <f t="shared" si="18"/>
        <v>0.79962531645569623</v>
      </c>
      <c r="AZ25" s="80">
        <f t="shared" si="19"/>
        <v>92.430700000000002</v>
      </c>
      <c r="BA25" s="89">
        <f t="shared" si="20"/>
        <v>0.7638900826446281</v>
      </c>
      <c r="BB25" s="79">
        <f t="shared" si="21"/>
        <v>94.7</v>
      </c>
      <c r="BC25" s="89">
        <f t="shared" si="22"/>
        <v>0.94700000000000006</v>
      </c>
      <c r="BF25" s="4"/>
      <c r="BG25" s="4"/>
      <c r="BH25" s="81"/>
      <c r="BI25" s="81"/>
      <c r="BJ25" s="81"/>
      <c r="BK25" s="4"/>
      <c r="BL25" s="4"/>
      <c r="BM25" s="4"/>
      <c r="BN25" s="4"/>
      <c r="BO25" s="81"/>
      <c r="BP25" s="81"/>
      <c r="BQ25" s="81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81"/>
      <c r="CE25" s="81"/>
      <c r="CF25" s="81"/>
      <c r="CG25" s="4"/>
      <c r="CH25" s="4"/>
      <c r="CI25" s="4"/>
      <c r="CJ25" s="81"/>
      <c r="CK25" s="81"/>
      <c r="CL25" s="81"/>
      <c r="CM25" s="4"/>
      <c r="CN25" s="81"/>
      <c r="CO25" s="81"/>
      <c r="CQ25" s="82"/>
    </row>
    <row r="26" spans="1:95">
      <c r="A26" s="201">
        <v>16</v>
      </c>
      <c r="B26" s="122" t="s">
        <v>219</v>
      </c>
      <c r="C26" s="122" t="s">
        <v>220</v>
      </c>
      <c r="D26" s="73">
        <f>'Penguk.CPMK-Smt1'!D26</f>
        <v>82</v>
      </c>
      <c r="E26" s="73">
        <f>'Penguk.CPMK-Smt1'!E26</f>
        <v>87</v>
      </c>
      <c r="F26" s="73">
        <f t="shared" si="0"/>
        <v>84.5</v>
      </c>
      <c r="G26" s="91">
        <f>'Penguk.CPMK-Smt1'!G26</f>
        <v>78.63</v>
      </c>
      <c r="H26" s="91">
        <f>'Penguk.CPMK-Smt1'!H26</f>
        <v>81.13</v>
      </c>
      <c r="I26" s="91">
        <f>'Penguk.CPMK-Smt1'!I26</f>
        <v>84.92</v>
      </c>
      <c r="J26" s="91">
        <f>'Penguk.CPMK-Smt1'!J26</f>
        <v>81.569999999999993</v>
      </c>
      <c r="K26" s="91">
        <f>'Penguk.CPMK-Smt1'!K26</f>
        <v>84.67</v>
      </c>
      <c r="L26" s="91">
        <f t="shared" si="1"/>
        <v>30.361499999999999</v>
      </c>
      <c r="M26" s="74">
        <f>'Penguk.CPMK-Smt1'!M26</f>
        <v>86</v>
      </c>
      <c r="N26" s="74">
        <f>'Penguk.CPMK-Smt1'!N26</f>
        <v>86</v>
      </c>
      <c r="O26" s="74">
        <f t="shared" si="2"/>
        <v>86</v>
      </c>
      <c r="P26" s="75">
        <f>'Penguk.CPMK-Smt1'!P26</f>
        <v>88</v>
      </c>
      <c r="Q26" s="75">
        <f>'Penguk.CPMK-Smt1'!Q26</f>
        <v>87</v>
      </c>
      <c r="R26" s="75">
        <f t="shared" si="3"/>
        <v>87.5</v>
      </c>
      <c r="S26" s="76">
        <f>'Penguk.CPMK-Smt1'!S26</f>
        <v>78.400000000000006</v>
      </c>
      <c r="T26" s="76">
        <f>'Penguk.CPMK-Smt1'!T26</f>
        <v>70.900000000000006</v>
      </c>
      <c r="U26" s="76">
        <f t="shared" si="4"/>
        <v>74.650000000000006</v>
      </c>
      <c r="V26" s="38">
        <f>'Penguk.CPMK-Smt1'!V26</f>
        <v>82.6</v>
      </c>
      <c r="W26" s="38">
        <f>'Penguk.CPMK-Smt1'!W26</f>
        <v>91.5</v>
      </c>
      <c r="X26" s="38">
        <f t="shared" si="5"/>
        <v>87.05</v>
      </c>
      <c r="Y26" s="77">
        <f>'Penguk.CPMK-Smt1'!Y26</f>
        <v>81.400000000000006</v>
      </c>
      <c r="Z26" s="77">
        <f>'Penguk.CPMK-Smt1'!Z26</f>
        <v>81.400000000000006</v>
      </c>
      <c r="AA26" s="77">
        <f t="shared" si="25"/>
        <v>81.400000000000006</v>
      </c>
      <c r="AB26" s="78">
        <f>'Penguk.CPMK-Smt1'!AB26</f>
        <v>91.4</v>
      </c>
      <c r="AC26" s="78">
        <f>'Penguk.CPMK-Smt1'!AC26</f>
        <v>98</v>
      </c>
      <c r="AD26" s="78">
        <f t="shared" si="6"/>
        <v>94.7</v>
      </c>
      <c r="AF26" s="79">
        <f t="shared" si="7"/>
        <v>168.45</v>
      </c>
      <c r="AG26" s="89">
        <f t="shared" si="8"/>
        <v>0.84224999999999994</v>
      </c>
      <c r="AH26" s="79">
        <f t="shared" si="9"/>
        <v>84.5</v>
      </c>
      <c r="AI26" s="89">
        <f t="shared" si="10"/>
        <v>0.84499999999999997</v>
      </c>
      <c r="AJ26" s="79"/>
      <c r="AK26" s="89"/>
      <c r="AL26" s="79"/>
      <c r="AM26" s="89"/>
      <c r="AN26" s="80"/>
      <c r="AO26" s="80"/>
      <c r="AP26" s="80"/>
      <c r="AQ26" s="80"/>
      <c r="AR26" s="80"/>
      <c r="AS26" s="80"/>
      <c r="AT26" s="80">
        <f t="shared" si="13"/>
        <v>86</v>
      </c>
      <c r="AU26" s="89">
        <f t="shared" si="14"/>
        <v>0.86</v>
      </c>
      <c r="AV26" s="79">
        <f t="shared" si="15"/>
        <v>43</v>
      </c>
      <c r="AW26" s="89">
        <f t="shared" si="16"/>
        <v>0.86</v>
      </c>
      <c r="AX26" s="79">
        <f t="shared" si="17"/>
        <v>64.770499999999998</v>
      </c>
      <c r="AY26" s="89">
        <f t="shared" si="18"/>
        <v>0.81987974683544307</v>
      </c>
      <c r="AZ26" s="80">
        <f t="shared" si="19"/>
        <v>92.430700000000002</v>
      </c>
      <c r="BA26" s="89">
        <f t="shared" si="20"/>
        <v>0.7638900826446281</v>
      </c>
      <c r="BB26" s="79">
        <f t="shared" si="21"/>
        <v>94.7</v>
      </c>
      <c r="BC26" s="89">
        <f t="shared" si="22"/>
        <v>0.94700000000000006</v>
      </c>
      <c r="BF26" s="4"/>
      <c r="BG26" s="4"/>
      <c r="BH26" s="81"/>
      <c r="BI26" s="81"/>
      <c r="BJ26" s="81"/>
      <c r="BK26" s="4"/>
      <c r="BL26" s="4"/>
      <c r="BM26" s="4"/>
      <c r="BN26" s="4"/>
      <c r="BO26" s="81"/>
      <c r="BP26" s="81"/>
      <c r="BQ26" s="81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81"/>
      <c r="CE26" s="81"/>
      <c r="CF26" s="81"/>
      <c r="CG26" s="4"/>
      <c r="CH26" s="4"/>
      <c r="CI26" s="4"/>
      <c r="CJ26" s="81"/>
      <c r="CK26" s="81"/>
      <c r="CL26" s="81"/>
      <c r="CM26" s="4"/>
      <c r="CN26" s="81"/>
      <c r="CO26" s="81"/>
      <c r="CQ26" s="82"/>
    </row>
    <row r="27" spans="1:95">
      <c r="A27" s="201">
        <v>17</v>
      </c>
      <c r="B27" s="122" t="s">
        <v>221</v>
      </c>
      <c r="C27" s="122" t="s">
        <v>222</v>
      </c>
      <c r="D27" s="73">
        <f>'Penguk.CPMK-Smt1'!D27</f>
        <v>82</v>
      </c>
      <c r="E27" s="73">
        <f>'Penguk.CPMK-Smt1'!E27</f>
        <v>87</v>
      </c>
      <c r="F27" s="73">
        <f t="shared" si="0"/>
        <v>84.5</v>
      </c>
      <c r="G27" s="91">
        <f>'Penguk.CPMK-Smt1'!G27</f>
        <v>78</v>
      </c>
      <c r="H27" s="91">
        <f>'Penguk.CPMK-Smt1'!H27</f>
        <v>81.75</v>
      </c>
      <c r="I27" s="91">
        <f>'Penguk.CPMK-Smt1'!I27</f>
        <v>84.15</v>
      </c>
      <c r="J27" s="91">
        <f>'Penguk.CPMK-Smt1'!J27</f>
        <v>81.05</v>
      </c>
      <c r="K27" s="91">
        <f>'Penguk.CPMK-Smt1'!K27</f>
        <v>83.95</v>
      </c>
      <c r="L27" s="91">
        <f t="shared" si="1"/>
        <v>30.109500000000001</v>
      </c>
      <c r="M27" s="74">
        <f>'Penguk.CPMK-Smt1'!M27</f>
        <v>85.4</v>
      </c>
      <c r="N27" s="74">
        <f>'Penguk.CPMK-Smt1'!N27</f>
        <v>88.9</v>
      </c>
      <c r="O27" s="74">
        <f t="shared" si="2"/>
        <v>87.15</v>
      </c>
      <c r="P27" s="75">
        <f>'Penguk.CPMK-Smt1'!P27</f>
        <v>88</v>
      </c>
      <c r="Q27" s="75">
        <f>'Penguk.CPMK-Smt1'!Q27</f>
        <v>87</v>
      </c>
      <c r="R27" s="75">
        <f t="shared" si="3"/>
        <v>87.5</v>
      </c>
      <c r="S27" s="76">
        <f>'Penguk.CPMK-Smt1'!S27</f>
        <v>78.400000000000006</v>
      </c>
      <c r="T27" s="76">
        <f>'Penguk.CPMK-Smt1'!T27</f>
        <v>70.900000000000006</v>
      </c>
      <c r="U27" s="76">
        <f t="shared" si="4"/>
        <v>74.650000000000006</v>
      </c>
      <c r="V27" s="38">
        <f>'Penguk.CPMK-Smt1'!V27</f>
        <v>83.85</v>
      </c>
      <c r="W27" s="38">
        <f>'Penguk.CPMK-Smt1'!W27</f>
        <v>94</v>
      </c>
      <c r="X27" s="38">
        <f t="shared" si="5"/>
        <v>88.924999999999997</v>
      </c>
      <c r="Y27" s="77">
        <f>'Penguk.CPMK-Smt1'!Y27</f>
        <v>81.400000000000006</v>
      </c>
      <c r="Z27" s="77">
        <f>'Penguk.CPMK-Smt1'!Z27</f>
        <v>81.400000000000006</v>
      </c>
      <c r="AA27" s="77">
        <f t="shared" si="25"/>
        <v>81.400000000000006</v>
      </c>
      <c r="AB27" s="78">
        <f>'Penguk.CPMK-Smt1'!AB27</f>
        <v>71.5</v>
      </c>
      <c r="AC27" s="78">
        <f>'Penguk.CPMK-Smt1'!AC27</f>
        <v>80.900000000000006</v>
      </c>
      <c r="AD27" s="78">
        <f t="shared" si="6"/>
        <v>76.2</v>
      </c>
      <c r="AF27" s="79">
        <f t="shared" si="7"/>
        <v>170.32499999999999</v>
      </c>
      <c r="AG27" s="89">
        <f t="shared" si="8"/>
        <v>0.85162499999999997</v>
      </c>
      <c r="AH27" s="79">
        <f t="shared" si="9"/>
        <v>84.5</v>
      </c>
      <c r="AI27" s="89">
        <f t="shared" si="10"/>
        <v>0.84499999999999997</v>
      </c>
      <c r="AJ27" s="79"/>
      <c r="AK27" s="89"/>
      <c r="AL27" s="79"/>
      <c r="AM27" s="89"/>
      <c r="AN27" s="80"/>
      <c r="AO27" s="80"/>
      <c r="AP27" s="80"/>
      <c r="AQ27" s="80"/>
      <c r="AR27" s="80"/>
      <c r="AS27" s="80"/>
      <c r="AT27" s="80">
        <f t="shared" si="13"/>
        <v>87.15</v>
      </c>
      <c r="AU27" s="89">
        <f t="shared" si="14"/>
        <v>0.87150000000000005</v>
      </c>
      <c r="AV27" s="79">
        <f t="shared" si="15"/>
        <v>44.45</v>
      </c>
      <c r="AW27" s="89">
        <f t="shared" si="16"/>
        <v>0.88900000000000001</v>
      </c>
      <c r="AX27" s="79">
        <f t="shared" si="17"/>
        <v>64.459500000000006</v>
      </c>
      <c r="AY27" s="89">
        <f t="shared" si="18"/>
        <v>0.81594303797468359</v>
      </c>
      <c r="AZ27" s="80">
        <f t="shared" si="19"/>
        <v>92.279500000000013</v>
      </c>
      <c r="BA27" s="89">
        <f t="shared" si="20"/>
        <v>0.76264049586776872</v>
      </c>
      <c r="BB27" s="79">
        <f t="shared" si="21"/>
        <v>76.2</v>
      </c>
      <c r="BC27" s="89">
        <f t="shared" si="22"/>
        <v>0.76200000000000001</v>
      </c>
      <c r="BF27" s="4"/>
      <c r="BG27" s="4"/>
      <c r="BH27" s="81"/>
      <c r="BI27" s="81"/>
      <c r="BJ27" s="81"/>
      <c r="BK27" s="4"/>
      <c r="BL27" s="4"/>
      <c r="BM27" s="4"/>
      <c r="BN27" s="4"/>
      <c r="BO27" s="81"/>
      <c r="BP27" s="81"/>
      <c r="BQ27" s="81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81"/>
      <c r="CE27" s="81"/>
      <c r="CF27" s="81"/>
      <c r="CG27" s="4"/>
      <c r="CH27" s="4"/>
      <c r="CI27" s="4"/>
      <c r="CJ27" s="81"/>
      <c r="CK27" s="81"/>
      <c r="CL27" s="81"/>
      <c r="CM27" s="4"/>
      <c r="CN27" s="81"/>
      <c r="CO27" s="81"/>
      <c r="CQ27" s="82"/>
    </row>
    <row r="28" spans="1:95">
      <c r="A28" s="201">
        <v>18</v>
      </c>
      <c r="B28" s="122" t="s">
        <v>223</v>
      </c>
      <c r="C28" s="122" t="s">
        <v>224</v>
      </c>
      <c r="D28" s="73">
        <f>'Penguk.CPMK-Smt1'!D28</f>
        <v>77.400000000000006</v>
      </c>
      <c r="E28" s="73">
        <f>'Penguk.CPMK-Smt1'!E28</f>
        <v>81.900000000000006</v>
      </c>
      <c r="F28" s="73">
        <f t="shared" si="0"/>
        <v>79.650000000000006</v>
      </c>
      <c r="G28" s="91">
        <f>'Penguk.CPMK-Smt1'!G28</f>
        <v>76.75</v>
      </c>
      <c r="H28" s="91">
        <f>'Penguk.CPMK-Smt1'!H28</f>
        <v>79.25</v>
      </c>
      <c r="I28" s="91">
        <f>'Penguk.CPMK-Smt1'!I28</f>
        <v>84.15</v>
      </c>
      <c r="J28" s="91">
        <f>'Penguk.CPMK-Smt1'!J28</f>
        <v>78.48</v>
      </c>
      <c r="K28" s="91">
        <f>'Penguk.CPMK-Smt1'!K28</f>
        <v>83.95</v>
      </c>
      <c r="L28" s="91">
        <f t="shared" si="1"/>
        <v>29.909500000000001</v>
      </c>
      <c r="M28" s="74">
        <f>'Penguk.CPMK-Smt1'!M28</f>
        <v>85.4</v>
      </c>
      <c r="N28" s="74">
        <f>'Penguk.CPMK-Smt1'!N28</f>
        <v>88.9</v>
      </c>
      <c r="O28" s="74">
        <f t="shared" si="2"/>
        <v>87.15</v>
      </c>
      <c r="P28" s="75">
        <f>'Penguk.CPMK-Smt1'!P28</f>
        <v>87.4</v>
      </c>
      <c r="Q28" s="75">
        <f>'Penguk.CPMK-Smt1'!Q28</f>
        <v>86.4</v>
      </c>
      <c r="R28" s="75">
        <f t="shared" si="3"/>
        <v>86.9</v>
      </c>
      <c r="S28" s="76">
        <f>'Penguk.CPMK-Smt1'!S28</f>
        <v>75.599999999999994</v>
      </c>
      <c r="T28" s="76">
        <f>'Penguk.CPMK-Smt1'!T28</f>
        <v>68.099999999999994</v>
      </c>
      <c r="U28" s="76">
        <f t="shared" si="4"/>
        <v>71.849999999999994</v>
      </c>
      <c r="V28" s="38">
        <f>'Penguk.CPMK-Smt1'!V28</f>
        <v>82.05</v>
      </c>
      <c r="W28" s="38">
        <f>'Penguk.CPMK-Smt1'!W28</f>
        <v>91.7</v>
      </c>
      <c r="X28" s="38">
        <f t="shared" si="5"/>
        <v>86.875</v>
      </c>
      <c r="Y28" s="77">
        <f>'Penguk.CPMK-Smt1'!Y28</f>
        <v>85.55</v>
      </c>
      <c r="Z28" s="77">
        <f>'Penguk.CPMK-Smt1'!Z28</f>
        <v>85.55</v>
      </c>
      <c r="AA28" s="77">
        <f t="shared" si="25"/>
        <v>85.55</v>
      </c>
      <c r="AB28" s="78">
        <f>'Penguk.CPMK-Smt1'!AB28</f>
        <v>81</v>
      </c>
      <c r="AC28" s="78">
        <f>'Penguk.CPMK-Smt1'!AC28</f>
        <v>87.6</v>
      </c>
      <c r="AD28" s="78">
        <f t="shared" si="6"/>
        <v>84.3</v>
      </c>
      <c r="AF28" s="79">
        <f t="shared" si="7"/>
        <v>172.42500000000001</v>
      </c>
      <c r="AG28" s="89">
        <f t="shared" si="8"/>
        <v>0.86212500000000003</v>
      </c>
      <c r="AH28" s="79">
        <f t="shared" si="9"/>
        <v>79.650000000000006</v>
      </c>
      <c r="AI28" s="89">
        <f t="shared" si="10"/>
        <v>0.7965000000000001</v>
      </c>
      <c r="AJ28" s="79"/>
      <c r="AK28" s="89"/>
      <c r="AL28" s="79"/>
      <c r="AM28" s="89"/>
      <c r="AN28" s="80"/>
      <c r="AO28" s="80"/>
      <c r="AP28" s="80"/>
      <c r="AQ28" s="80"/>
      <c r="AR28" s="80"/>
      <c r="AS28" s="80"/>
      <c r="AT28" s="80">
        <f t="shared" si="13"/>
        <v>87.15</v>
      </c>
      <c r="AU28" s="89">
        <f t="shared" si="14"/>
        <v>0.87150000000000005</v>
      </c>
      <c r="AV28" s="79">
        <f t="shared" si="15"/>
        <v>44.45</v>
      </c>
      <c r="AW28" s="89">
        <f t="shared" si="16"/>
        <v>0.88900000000000001</v>
      </c>
      <c r="AX28" s="79">
        <f t="shared" si="17"/>
        <v>63.319800000000001</v>
      </c>
      <c r="AY28" s="89">
        <f t="shared" si="18"/>
        <v>0.80151645569620256</v>
      </c>
      <c r="AZ28" s="80">
        <f t="shared" si="19"/>
        <v>89.479500000000002</v>
      </c>
      <c r="BA28" s="89">
        <f t="shared" si="20"/>
        <v>0.73950000000000005</v>
      </c>
      <c r="BB28" s="79">
        <f t="shared" si="21"/>
        <v>84.3</v>
      </c>
      <c r="BC28" s="89">
        <f t="shared" si="22"/>
        <v>0.84299999999999997</v>
      </c>
      <c r="BF28" s="4"/>
      <c r="BG28" s="4"/>
      <c r="BH28" s="81"/>
      <c r="BI28" s="81"/>
      <c r="BJ28" s="81"/>
      <c r="BK28" s="4"/>
      <c r="BL28" s="4"/>
      <c r="BM28" s="4"/>
      <c r="BN28" s="4"/>
      <c r="BO28" s="81"/>
      <c r="BP28" s="81"/>
      <c r="BQ28" s="81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81"/>
      <c r="CE28" s="81"/>
      <c r="CF28" s="81"/>
      <c r="CG28" s="4"/>
      <c r="CH28" s="4"/>
      <c r="CI28" s="4"/>
      <c r="CJ28" s="81"/>
      <c r="CK28" s="81"/>
      <c r="CL28" s="81"/>
      <c r="CM28" s="4"/>
      <c r="CN28" s="81"/>
      <c r="CO28" s="81"/>
      <c r="CQ28" s="82"/>
    </row>
    <row r="29" spans="1:95">
      <c r="A29" s="201">
        <v>19</v>
      </c>
      <c r="B29" s="122" t="s">
        <v>225</v>
      </c>
      <c r="C29" s="122" t="s">
        <v>226</v>
      </c>
      <c r="D29" s="73">
        <f>'Penguk.CPMK-Smt1'!D29</f>
        <v>77.5</v>
      </c>
      <c r="E29" s="73">
        <f>'Penguk.CPMK-Smt1'!E29</f>
        <v>82</v>
      </c>
      <c r="F29" s="73">
        <f t="shared" si="0"/>
        <v>79.75</v>
      </c>
      <c r="G29" s="91">
        <f>'Penguk.CPMK-Smt1'!G29</f>
        <v>78</v>
      </c>
      <c r="H29" s="91">
        <f>'Penguk.CPMK-Smt1'!H29</f>
        <v>80.5</v>
      </c>
      <c r="I29" s="91">
        <f>'Penguk.CPMK-Smt1'!I29</f>
        <v>84.92</v>
      </c>
      <c r="J29" s="91">
        <f>'Penguk.CPMK-Smt1'!J29</f>
        <v>80.86</v>
      </c>
      <c r="K29" s="91">
        <f>'Penguk.CPMK-Smt1'!K29</f>
        <v>84.67</v>
      </c>
      <c r="L29" s="91">
        <f t="shared" si="1"/>
        <v>30.2607</v>
      </c>
      <c r="M29" s="74">
        <f>'Penguk.CPMK-Smt1'!M29</f>
        <v>85.4</v>
      </c>
      <c r="N29" s="74">
        <f>'Penguk.CPMK-Smt1'!N29</f>
        <v>88.9</v>
      </c>
      <c r="O29" s="74">
        <f t="shared" si="2"/>
        <v>87.15</v>
      </c>
      <c r="P29" s="75">
        <f>'Penguk.CPMK-Smt1'!P29</f>
        <v>88</v>
      </c>
      <c r="Q29" s="75">
        <f>'Penguk.CPMK-Smt1'!Q29</f>
        <v>87</v>
      </c>
      <c r="R29" s="75">
        <f t="shared" si="3"/>
        <v>87.5</v>
      </c>
      <c r="S29" s="76">
        <f>'Penguk.CPMK-Smt1'!S29</f>
        <v>78.400000000000006</v>
      </c>
      <c r="T29" s="76">
        <f>'Penguk.CPMK-Smt1'!T29</f>
        <v>70.900000000000006</v>
      </c>
      <c r="U29" s="76">
        <f t="shared" si="4"/>
        <v>74.650000000000006</v>
      </c>
      <c r="V29" s="38">
        <f>'Penguk.CPMK-Smt1'!V29</f>
        <v>85</v>
      </c>
      <c r="W29" s="38">
        <f>'Penguk.CPMK-Smt1'!W29</f>
        <v>85</v>
      </c>
      <c r="X29" s="38">
        <f t="shared" si="5"/>
        <v>85</v>
      </c>
      <c r="Y29" s="77">
        <f>'Penguk.CPMK-Smt1'!Y29</f>
        <v>86.95</v>
      </c>
      <c r="Z29" s="77">
        <f>'Penguk.CPMK-Smt1'!Z29</f>
        <v>86.95</v>
      </c>
      <c r="AA29" s="77">
        <f t="shared" si="25"/>
        <v>86.95</v>
      </c>
      <c r="AB29" s="78">
        <f>'Penguk.CPMK-Smt1'!AB29</f>
        <v>85.8</v>
      </c>
      <c r="AC29" s="78">
        <f>'Penguk.CPMK-Smt1'!AC29</f>
        <v>88.9</v>
      </c>
      <c r="AD29" s="78">
        <f t="shared" si="6"/>
        <v>87.35</v>
      </c>
      <c r="AF29" s="79">
        <f t="shared" si="7"/>
        <v>171.95</v>
      </c>
      <c r="AG29" s="89">
        <f t="shared" si="8"/>
        <v>0.8597499999999999</v>
      </c>
      <c r="AH29" s="79">
        <f t="shared" si="9"/>
        <v>79.75</v>
      </c>
      <c r="AI29" s="89">
        <f t="shared" si="10"/>
        <v>0.79749999999999999</v>
      </c>
      <c r="AJ29" s="79"/>
      <c r="AK29" s="89"/>
      <c r="AL29" s="79"/>
      <c r="AM29" s="89"/>
      <c r="AN29" s="80"/>
      <c r="AO29" s="80"/>
      <c r="AP29" s="80"/>
      <c r="AQ29" s="80"/>
      <c r="AR29" s="80"/>
      <c r="AS29" s="80"/>
      <c r="AT29" s="80">
        <f t="shared" si="13"/>
        <v>87.15</v>
      </c>
      <c r="AU29" s="89">
        <f t="shared" si="14"/>
        <v>0.87150000000000005</v>
      </c>
      <c r="AV29" s="79">
        <f t="shared" si="15"/>
        <v>44.45</v>
      </c>
      <c r="AW29" s="89">
        <f t="shared" si="16"/>
        <v>0.88900000000000001</v>
      </c>
      <c r="AX29" s="79">
        <f t="shared" si="17"/>
        <v>64.419799999999995</v>
      </c>
      <c r="AY29" s="89">
        <f t="shared" si="18"/>
        <v>0.81544050632911391</v>
      </c>
      <c r="AZ29" s="80">
        <f t="shared" si="19"/>
        <v>92.430700000000002</v>
      </c>
      <c r="BA29" s="89">
        <f t="shared" si="20"/>
        <v>0.7638900826446281</v>
      </c>
      <c r="BB29" s="79">
        <f t="shared" si="21"/>
        <v>87.35</v>
      </c>
      <c r="BC29" s="89">
        <f t="shared" si="22"/>
        <v>0.87349999999999994</v>
      </c>
      <c r="BF29" s="4"/>
      <c r="BG29" s="4"/>
      <c r="BH29" s="81"/>
      <c r="BI29" s="81"/>
      <c r="BJ29" s="81"/>
      <c r="BK29" s="4"/>
      <c r="BL29" s="4"/>
      <c r="BM29" s="4"/>
      <c r="BN29" s="4"/>
      <c r="BO29" s="81"/>
      <c r="BP29" s="81"/>
      <c r="BQ29" s="81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81"/>
      <c r="CE29" s="81"/>
      <c r="CF29" s="81"/>
      <c r="CG29" s="4"/>
      <c r="CH29" s="4"/>
      <c r="CI29" s="4"/>
      <c r="CJ29" s="81"/>
      <c r="CK29" s="81"/>
      <c r="CL29" s="81"/>
      <c r="CM29" s="4"/>
      <c r="CN29" s="81"/>
      <c r="CO29" s="81"/>
      <c r="CQ29" s="82"/>
    </row>
    <row r="30" spans="1:95">
      <c r="A30" s="201">
        <v>20</v>
      </c>
      <c r="B30" s="122" t="s">
        <v>227</v>
      </c>
      <c r="C30" s="122" t="s">
        <v>228</v>
      </c>
      <c r="D30" s="73">
        <f>'Penguk.CPMK-Smt1'!D30</f>
        <v>81</v>
      </c>
      <c r="E30" s="73">
        <f>'Penguk.CPMK-Smt1'!E30</f>
        <v>78</v>
      </c>
      <c r="F30" s="73">
        <f t="shared" si="0"/>
        <v>79.5</v>
      </c>
      <c r="G30" s="91">
        <f>'Penguk.CPMK-Smt1'!G30</f>
        <v>76.13</v>
      </c>
      <c r="H30" s="91">
        <f>'Penguk.CPMK-Smt1'!H30</f>
        <v>78.63</v>
      </c>
      <c r="I30" s="91">
        <f>'Penguk.CPMK-Smt1'!I30</f>
        <v>86.46</v>
      </c>
      <c r="J30" s="91">
        <f>'Penguk.CPMK-Smt1'!J30</f>
        <v>78.900000000000006</v>
      </c>
      <c r="K30" s="91">
        <f>'Penguk.CPMK-Smt1'!K30</f>
        <v>86.1</v>
      </c>
      <c r="L30" s="91">
        <f t="shared" si="1"/>
        <v>30.261800000000001</v>
      </c>
      <c r="M30" s="74">
        <f>'Penguk.CPMK-Smt1'!M30</f>
        <v>85.4</v>
      </c>
      <c r="N30" s="74">
        <f>'Penguk.CPMK-Smt1'!N30</f>
        <v>88.2</v>
      </c>
      <c r="O30" s="74">
        <f t="shared" si="2"/>
        <v>86.800000000000011</v>
      </c>
      <c r="P30" s="75">
        <f>'Penguk.CPMK-Smt1'!P30</f>
        <v>88</v>
      </c>
      <c r="Q30" s="75">
        <f>'Penguk.CPMK-Smt1'!Q30</f>
        <v>87</v>
      </c>
      <c r="R30" s="75">
        <f t="shared" si="3"/>
        <v>87.5</v>
      </c>
      <c r="S30" s="76">
        <f>'Penguk.CPMK-Smt1'!S30</f>
        <v>75.599999999999994</v>
      </c>
      <c r="T30" s="76">
        <f>'Penguk.CPMK-Smt1'!T30</f>
        <v>68.099999999999994</v>
      </c>
      <c r="U30" s="76">
        <f t="shared" si="4"/>
        <v>71.849999999999994</v>
      </c>
      <c r="V30" s="38">
        <f>'Penguk.CPMK-Smt1'!V30</f>
        <v>80.95</v>
      </c>
      <c r="W30" s="38">
        <f>'Penguk.CPMK-Smt1'!W30</f>
        <v>90.8</v>
      </c>
      <c r="X30" s="38">
        <f t="shared" si="5"/>
        <v>85.875</v>
      </c>
      <c r="Y30" s="77">
        <f>'Penguk.CPMK-Smt1'!Y30</f>
        <v>81.400000000000006</v>
      </c>
      <c r="Z30" s="77">
        <f>'Penguk.CPMK-Smt1'!Z30</f>
        <v>81.400000000000006</v>
      </c>
      <c r="AA30" s="77">
        <f t="shared" si="25"/>
        <v>81.400000000000006</v>
      </c>
      <c r="AB30" s="78">
        <f>'Penguk.CPMK-Smt1'!AB30</f>
        <v>92.2</v>
      </c>
      <c r="AC30" s="78">
        <f>'Penguk.CPMK-Smt1'!AC30</f>
        <v>91.1</v>
      </c>
      <c r="AD30" s="78">
        <f t="shared" si="6"/>
        <v>91.65</v>
      </c>
      <c r="AF30" s="79">
        <f t="shared" si="7"/>
        <v>167.27500000000001</v>
      </c>
      <c r="AG30" s="89">
        <f t="shared" si="8"/>
        <v>0.83637499999999998</v>
      </c>
      <c r="AH30" s="79">
        <f t="shared" si="9"/>
        <v>79.5</v>
      </c>
      <c r="AI30" s="89">
        <f t="shared" si="10"/>
        <v>0.79500000000000004</v>
      </c>
      <c r="AJ30" s="79"/>
      <c r="AK30" s="89"/>
      <c r="AL30" s="79"/>
      <c r="AM30" s="89"/>
      <c r="AN30" s="80"/>
      <c r="AO30" s="80"/>
      <c r="AP30" s="80"/>
      <c r="AQ30" s="80"/>
      <c r="AR30" s="80"/>
      <c r="AS30" s="80"/>
      <c r="AT30" s="80">
        <f t="shared" si="13"/>
        <v>86.800000000000011</v>
      </c>
      <c r="AU30" s="89">
        <f t="shared" si="14"/>
        <v>0.8680000000000001</v>
      </c>
      <c r="AV30" s="79">
        <f t="shared" si="15"/>
        <v>44.1</v>
      </c>
      <c r="AW30" s="89">
        <f t="shared" si="16"/>
        <v>0.88200000000000001</v>
      </c>
      <c r="AX30" s="79">
        <f t="shared" si="17"/>
        <v>63.810199999999995</v>
      </c>
      <c r="AY30" s="89">
        <f t="shared" si="18"/>
        <v>0.80772405063291131</v>
      </c>
      <c r="AZ30" s="80">
        <f t="shared" si="19"/>
        <v>89.930999999999997</v>
      </c>
      <c r="BA30" s="89">
        <f t="shared" si="20"/>
        <v>0.74323140495867768</v>
      </c>
      <c r="BB30" s="79">
        <f t="shared" si="21"/>
        <v>91.65</v>
      </c>
      <c r="BC30" s="89">
        <f t="shared" si="22"/>
        <v>0.91650000000000009</v>
      </c>
      <c r="BF30" s="4"/>
      <c r="BG30" s="4"/>
      <c r="BH30" s="81"/>
      <c r="BI30" s="81"/>
      <c r="BJ30" s="81"/>
      <c r="BK30" s="4"/>
      <c r="BL30" s="4"/>
      <c r="BM30" s="4"/>
      <c r="BN30" s="4"/>
      <c r="BO30" s="81"/>
      <c r="BP30" s="81"/>
      <c r="BQ30" s="81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81"/>
      <c r="CE30" s="81"/>
      <c r="CF30" s="81"/>
      <c r="CG30" s="4"/>
      <c r="CH30" s="4"/>
      <c r="CI30" s="4"/>
      <c r="CJ30" s="81"/>
      <c r="CK30" s="81"/>
      <c r="CL30" s="81"/>
      <c r="CM30" s="4"/>
      <c r="CN30" s="81"/>
      <c r="CO30" s="81"/>
      <c r="CQ30" s="82"/>
    </row>
    <row r="31" spans="1:95">
      <c r="A31" s="201">
        <v>21</v>
      </c>
      <c r="B31" s="122" t="s">
        <v>229</v>
      </c>
      <c r="C31" s="122" t="s">
        <v>230</v>
      </c>
      <c r="D31" s="73">
        <f>'Penguk.CPMK-Smt1'!D31</f>
        <v>76.900000000000006</v>
      </c>
      <c r="E31" s="73">
        <f>'Penguk.CPMK-Smt1'!E31</f>
        <v>81.400000000000006</v>
      </c>
      <c r="F31" s="73">
        <f t="shared" si="0"/>
        <v>79.150000000000006</v>
      </c>
      <c r="G31" s="91">
        <f>'Penguk.CPMK-Smt1'!G31</f>
        <v>79.25</v>
      </c>
      <c r="H31" s="91">
        <f>'Penguk.CPMK-Smt1'!H31</f>
        <v>80.5</v>
      </c>
      <c r="I31" s="91">
        <f>'Penguk.CPMK-Smt1'!I31</f>
        <v>82.62</v>
      </c>
      <c r="J31" s="91">
        <f>'Penguk.CPMK-Smt1'!J31</f>
        <v>79.900000000000006</v>
      </c>
      <c r="K31" s="91">
        <f>'Penguk.CPMK-Smt1'!K31</f>
        <v>82.29</v>
      </c>
      <c r="L31" s="91">
        <f t="shared" si="1"/>
        <v>29.960899999999999</v>
      </c>
      <c r="M31" s="74">
        <f>'Penguk.CPMK-Smt1'!M31</f>
        <v>75.8</v>
      </c>
      <c r="N31" s="74">
        <f>'Penguk.CPMK-Smt1'!N31</f>
        <v>81.3</v>
      </c>
      <c r="O31" s="74">
        <f t="shared" si="2"/>
        <v>78.55</v>
      </c>
      <c r="P31" s="75">
        <f>'Penguk.CPMK-Smt1'!P31</f>
        <v>88</v>
      </c>
      <c r="Q31" s="75">
        <f>'Penguk.CPMK-Smt1'!Q31</f>
        <v>87</v>
      </c>
      <c r="R31" s="75">
        <f t="shared" si="3"/>
        <v>87.5</v>
      </c>
      <c r="S31" s="76">
        <f>'Penguk.CPMK-Smt1'!S31</f>
        <v>75.599999999999994</v>
      </c>
      <c r="T31" s="76">
        <f>'Penguk.CPMK-Smt1'!T31</f>
        <v>68.099999999999994</v>
      </c>
      <c r="U31" s="76">
        <f t="shared" si="4"/>
        <v>71.849999999999994</v>
      </c>
      <c r="V31" s="38">
        <f>'Penguk.CPMK-Smt1'!V31</f>
        <v>84.15</v>
      </c>
      <c r="W31" s="38">
        <f>'Penguk.CPMK-Smt1'!W31</f>
        <v>92.4</v>
      </c>
      <c r="X31" s="38">
        <f t="shared" si="5"/>
        <v>88.275000000000006</v>
      </c>
      <c r="Y31" s="77">
        <f>'Penguk.CPMK-Smt1'!Y31</f>
        <v>81.400000000000006</v>
      </c>
      <c r="Z31" s="77">
        <f>'Penguk.CPMK-Smt1'!Z31</f>
        <v>81.400000000000006</v>
      </c>
      <c r="AA31" s="77">
        <f t="shared" si="25"/>
        <v>81.400000000000006</v>
      </c>
      <c r="AB31" s="78">
        <f>'Penguk.CPMK-Smt1'!AB31</f>
        <v>70.5</v>
      </c>
      <c r="AC31" s="78">
        <f>'Penguk.CPMK-Smt1'!AC31</f>
        <v>82</v>
      </c>
      <c r="AD31" s="78">
        <f t="shared" si="6"/>
        <v>76.25</v>
      </c>
      <c r="AF31" s="79">
        <f t="shared" si="7"/>
        <v>169.67500000000001</v>
      </c>
      <c r="AG31" s="89">
        <f t="shared" si="8"/>
        <v>0.8483750000000001</v>
      </c>
      <c r="AH31" s="79">
        <f t="shared" si="9"/>
        <v>79.150000000000006</v>
      </c>
      <c r="AI31" s="89">
        <f t="shared" si="10"/>
        <v>0.79150000000000009</v>
      </c>
      <c r="AJ31" s="79"/>
      <c r="AK31" s="89" t="str">
        <f t="shared" si="11"/>
        <v/>
      </c>
      <c r="AL31" s="79"/>
      <c r="AM31" s="89" t="str">
        <f t="shared" si="12"/>
        <v/>
      </c>
      <c r="AN31" s="80"/>
      <c r="AO31" s="80"/>
      <c r="AP31" s="80"/>
      <c r="AQ31" s="80"/>
      <c r="AR31" s="80"/>
      <c r="AS31" s="80"/>
      <c r="AT31" s="80">
        <f t="shared" si="13"/>
        <v>78.55</v>
      </c>
      <c r="AU31" s="89">
        <f t="shared" si="14"/>
        <v>0.78549999999999998</v>
      </c>
      <c r="AV31" s="79">
        <f t="shared" si="15"/>
        <v>40.65</v>
      </c>
      <c r="AW31" s="89">
        <f t="shared" si="16"/>
        <v>0.81299999999999994</v>
      </c>
      <c r="AX31" s="79">
        <f t="shared" si="17"/>
        <v>63.8202</v>
      </c>
      <c r="AY31" s="89">
        <f t="shared" si="18"/>
        <v>0.80785063291139236</v>
      </c>
      <c r="AZ31" s="80">
        <f t="shared" si="19"/>
        <v>89.130899999999997</v>
      </c>
      <c r="BA31" s="89">
        <f t="shared" si="20"/>
        <v>0.7366190082644628</v>
      </c>
      <c r="BB31" s="79">
        <f t="shared" si="21"/>
        <v>76.25</v>
      </c>
      <c r="BC31" s="89">
        <f t="shared" si="22"/>
        <v>0.76249999999999996</v>
      </c>
      <c r="BF31" s="4">
        <f t="shared" ref="BF31:BF44" si="26">IF(W31="","",IFERROR(M31*($BF$9/100),""))</f>
        <v>37.9</v>
      </c>
      <c r="BG31" s="4">
        <f t="shared" ref="BG31:BG44" si="27">IF(W31="","",IFERROR(G31*($BG$9/100),""))</f>
        <v>12.68</v>
      </c>
      <c r="BH31" s="81">
        <f t="shared" ref="BH31:BH44" si="28">IF(V31="","",IFERROR(V31*($BH$9/100),""))</f>
        <v>42.075000000000003</v>
      </c>
      <c r="BI31" s="81">
        <f t="shared" ref="BI31:BI44" si="29">IF(D31="","",IFERROR(D31*($BI$9/100),""))</f>
        <v>38.450000000000003</v>
      </c>
      <c r="BJ31" s="81">
        <f t="shared" ref="BJ31:BJ44" si="30">IF(W31="","",IFERROR(W31*($W$9/100),""))</f>
        <v>46.2</v>
      </c>
      <c r="BK31" s="4"/>
      <c r="BL31" s="4"/>
      <c r="BM31" s="4"/>
      <c r="BN31" s="4"/>
      <c r="BO31" s="81">
        <f t="shared" ref="BO31:BO44" si="31">IF(S31="","",IFERROR(S31*($S$9/100),""))</f>
        <v>37.799999999999997</v>
      </c>
      <c r="BP31" s="81">
        <f t="shared" ref="BP31:BP44" si="32">IF(P31="","",IFERROR(P31*($P$9/100),""))</f>
        <v>44</v>
      </c>
      <c r="BQ31" s="81">
        <f t="shared" ref="BQ31:BQ43" si="33">IF(N31="","",IFERROR(N31*($N$9/100),""))</f>
        <v>40.65</v>
      </c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81">
        <f t="shared" ref="CD31:CD43" si="34">IF(Q31="","",IFERROR(Q31*($Q$9/100),""))</f>
        <v>43.5</v>
      </c>
      <c r="CE31" s="81">
        <f t="shared" ref="CE31:CE43" si="35">IF(T31="","",IFERROR(T31*($CE$9/100),""))</f>
        <v>34.049999999999997</v>
      </c>
      <c r="CF31" s="81" t="str">
        <f>IFERROR(IF(Y31="","",IFERROR(Y31*($Y$9/100),""))+IF(AB31="","",IFERROR(AB31*($AB$9/100),""))+IF(#REF!="","",IFERROR(#REF!*(#REF!/100),"")),"")</f>
        <v/>
      </c>
      <c r="CG31" s="4"/>
      <c r="CH31" s="4"/>
      <c r="CI31" s="4"/>
      <c r="CJ31" s="81" t="str">
        <f>IFERROR(IF(#REF!="","",IFERROR(#REF!*(#REF!/100),"")),"")</f>
        <v/>
      </c>
      <c r="CK31" s="81" t="str">
        <f>IFERROR(IF(#REF!="","",IFERROR(#REF!*(#REF!/100),""))+IF(#REF!="","",IFERROR(#REF!*(#REF!/100),"")),"")</f>
        <v/>
      </c>
      <c r="CL31" s="81" t="str">
        <f>IFERROR(IF(E31="","",IFERROR(E31*($E$9/100),""))+IF(K31="","",IFERROR(K31*($K$9/100),""))+IF(#REF!="","",IFERROR(#REF!*(#REF!/100),""))+IF(#REF!="","",IFERROR(#REF!*(#REF!/100),"")),"")</f>
        <v/>
      </c>
      <c r="CM31" s="4"/>
      <c r="CN31" s="81" t="str">
        <f>IFERROR(IF(AC31="","",IFERROR(AC31*($AC$9/100),""))+IF(#REF!="","",IFERROR(#REF!*(#REF!/100),"")),"")</f>
        <v/>
      </c>
      <c r="CO31" s="81">
        <f t="shared" ref="CO31:CO43" si="36">IFERROR(IF(Z31="","",IFERROR(Z31*($Z$9/100),"")),"")</f>
        <v>40.700000000000003</v>
      </c>
      <c r="CP31">
        <f t="shared" si="23"/>
        <v>418.005</v>
      </c>
      <c r="CQ31" s="82" t="e">
        <f t="shared" si="24"/>
        <v>#REF!</v>
      </c>
    </row>
    <row r="32" spans="1:95">
      <c r="A32" s="201">
        <v>22</v>
      </c>
      <c r="B32" s="122" t="s">
        <v>231</v>
      </c>
      <c r="C32" s="122" t="s">
        <v>232</v>
      </c>
      <c r="D32" s="73">
        <f>'Penguk.CPMK-Smt1'!D32</f>
        <v>82</v>
      </c>
      <c r="E32" s="73">
        <f>'Penguk.CPMK-Smt1'!E32</f>
        <v>83.5</v>
      </c>
      <c r="F32" s="73">
        <f t="shared" si="0"/>
        <v>82.75</v>
      </c>
      <c r="G32" s="91">
        <f>'Penguk.CPMK-Smt1'!G32</f>
        <v>76.13</v>
      </c>
      <c r="H32" s="91">
        <f>'Penguk.CPMK-Smt1'!H32</f>
        <v>78.63</v>
      </c>
      <c r="I32" s="91">
        <f>'Penguk.CPMK-Smt1'!I32</f>
        <v>84.15</v>
      </c>
      <c r="J32" s="91">
        <f>'Penguk.CPMK-Smt1'!J32</f>
        <v>77.760000000000005</v>
      </c>
      <c r="K32" s="91">
        <f>'Penguk.CPMK-Smt1'!K32</f>
        <v>83.95</v>
      </c>
      <c r="L32" s="91">
        <f t="shared" si="1"/>
        <v>29.810299999999998</v>
      </c>
      <c r="M32" s="74">
        <f>'Penguk.CPMK-Smt1'!M32</f>
        <v>86</v>
      </c>
      <c r="N32" s="74">
        <f>'Penguk.CPMK-Smt1'!N32</f>
        <v>86</v>
      </c>
      <c r="O32" s="74">
        <f t="shared" si="2"/>
        <v>86</v>
      </c>
      <c r="P32" s="75">
        <f>'Penguk.CPMK-Smt1'!P32</f>
        <v>88</v>
      </c>
      <c r="Q32" s="75">
        <f>'Penguk.CPMK-Smt1'!Q32</f>
        <v>87</v>
      </c>
      <c r="R32" s="75">
        <f t="shared" si="3"/>
        <v>87.5</v>
      </c>
      <c r="S32" s="76">
        <f>'Penguk.CPMK-Smt1'!S32</f>
        <v>75.599999999999994</v>
      </c>
      <c r="T32" s="76">
        <f>'Penguk.CPMK-Smt1'!T32</f>
        <v>68.099999999999994</v>
      </c>
      <c r="U32" s="76">
        <f t="shared" si="4"/>
        <v>71.849999999999994</v>
      </c>
      <c r="V32" s="38">
        <f>'Penguk.CPMK-Smt1'!V32</f>
        <v>85.6</v>
      </c>
      <c r="W32" s="38">
        <f>'Penguk.CPMK-Smt1'!W32</f>
        <v>94.7</v>
      </c>
      <c r="X32" s="38">
        <f t="shared" si="5"/>
        <v>90.15</v>
      </c>
      <c r="Y32" s="77">
        <f>'Penguk.CPMK-Smt1'!Y32</f>
        <v>83</v>
      </c>
      <c r="Z32" s="77">
        <f>'Penguk.CPMK-Smt1'!Z32</f>
        <v>83</v>
      </c>
      <c r="AA32" s="77">
        <f t="shared" si="25"/>
        <v>83</v>
      </c>
      <c r="AB32" s="78">
        <f>'Penguk.CPMK-Smt1'!AB32</f>
        <v>85.8</v>
      </c>
      <c r="AC32" s="78">
        <f>'Penguk.CPMK-Smt1'!AC32</f>
        <v>95.4</v>
      </c>
      <c r="AD32" s="78">
        <f t="shared" si="6"/>
        <v>90.6</v>
      </c>
      <c r="AF32" s="79">
        <f t="shared" si="7"/>
        <v>173.15</v>
      </c>
      <c r="AG32" s="89">
        <f t="shared" si="8"/>
        <v>0.86575000000000002</v>
      </c>
      <c r="AH32" s="79">
        <f t="shared" si="9"/>
        <v>82.75</v>
      </c>
      <c r="AI32" s="89">
        <f t="shared" si="10"/>
        <v>0.82750000000000001</v>
      </c>
      <c r="AJ32" s="79"/>
      <c r="AK32" s="89" t="str">
        <f t="shared" si="11"/>
        <v/>
      </c>
      <c r="AL32" s="79"/>
      <c r="AM32" s="89" t="str">
        <f t="shared" si="12"/>
        <v/>
      </c>
      <c r="AN32" s="80"/>
      <c r="AO32" s="80"/>
      <c r="AP32" s="80"/>
      <c r="AQ32" s="80"/>
      <c r="AR32" s="80"/>
      <c r="AS32" s="80"/>
      <c r="AT32" s="80">
        <f t="shared" si="13"/>
        <v>86</v>
      </c>
      <c r="AU32" s="89">
        <f t="shared" si="14"/>
        <v>0.86</v>
      </c>
      <c r="AV32" s="79">
        <f t="shared" si="15"/>
        <v>43</v>
      </c>
      <c r="AW32" s="89">
        <f t="shared" si="16"/>
        <v>0.86</v>
      </c>
      <c r="AX32" s="79">
        <f t="shared" si="17"/>
        <v>62.970200000000006</v>
      </c>
      <c r="AY32" s="89">
        <f t="shared" si="18"/>
        <v>0.79709113924050645</v>
      </c>
      <c r="AZ32" s="80">
        <f t="shared" si="19"/>
        <v>89.479500000000002</v>
      </c>
      <c r="BA32" s="89">
        <f t="shared" si="20"/>
        <v>0.73950000000000005</v>
      </c>
      <c r="BB32" s="79">
        <f t="shared" si="21"/>
        <v>90.6</v>
      </c>
      <c r="BC32" s="89">
        <f t="shared" si="22"/>
        <v>0.90599999999999992</v>
      </c>
      <c r="BF32" s="4">
        <f t="shared" si="26"/>
        <v>43</v>
      </c>
      <c r="BG32" s="4">
        <f t="shared" si="27"/>
        <v>12.1808</v>
      </c>
      <c r="BH32" s="81">
        <f t="shared" si="28"/>
        <v>42.8</v>
      </c>
      <c r="BI32" s="81">
        <f t="shared" si="29"/>
        <v>41</v>
      </c>
      <c r="BJ32" s="81">
        <f t="shared" si="30"/>
        <v>47.35</v>
      </c>
      <c r="BK32" s="4"/>
      <c r="BL32" s="4"/>
      <c r="BM32" s="4"/>
      <c r="BN32" s="4"/>
      <c r="BO32" s="81">
        <f t="shared" si="31"/>
        <v>37.799999999999997</v>
      </c>
      <c r="BP32" s="81">
        <f t="shared" si="32"/>
        <v>44</v>
      </c>
      <c r="BQ32" s="81">
        <f t="shared" si="33"/>
        <v>43</v>
      </c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81">
        <f t="shared" si="34"/>
        <v>43.5</v>
      </c>
      <c r="CE32" s="81">
        <f t="shared" si="35"/>
        <v>34.049999999999997</v>
      </c>
      <c r="CF32" s="81" t="str">
        <f>IFERROR(IF(Y32="","",IFERROR(Y32*($Y$9/100),""))+IF(AB32="","",IFERROR(AB32*($AB$9/100),""))+IF(#REF!="","",IFERROR(#REF!*(#REF!/100),"")),"")</f>
        <v/>
      </c>
      <c r="CG32" s="4"/>
      <c r="CH32" s="4"/>
      <c r="CI32" s="4"/>
      <c r="CJ32" s="81"/>
      <c r="CK32" s="81"/>
      <c r="CL32" s="81" t="str">
        <f>IFERROR(IF(E32="","",IFERROR(E32*($E$9/100),""))+IF(K32="","",IFERROR(K32*($K$9/100),""))+IF(#REF!="","",IFERROR(#REF!*(#REF!/100),""))+IF(#REF!="","",IFERROR(#REF!*(#REF!/100),"")),"")</f>
        <v/>
      </c>
      <c r="CM32" s="4"/>
      <c r="CN32" s="81" t="str">
        <f>IFERROR(IF(AC32="","",IFERROR(AC32*($AC$9/100),""))+IF(#REF!="","",IFERROR(#REF!*(#REF!/100),"")),"")</f>
        <v/>
      </c>
      <c r="CO32" s="81">
        <f t="shared" si="36"/>
        <v>41.5</v>
      </c>
      <c r="CP32">
        <f t="shared" si="23"/>
        <v>430.18079999999998</v>
      </c>
      <c r="CQ32" s="82" t="e">
        <f t="shared" si="24"/>
        <v>#REF!</v>
      </c>
    </row>
    <row r="33" spans="1:95">
      <c r="A33" s="201">
        <v>23</v>
      </c>
      <c r="B33" s="122" t="s">
        <v>233</v>
      </c>
      <c r="C33" s="122" t="s">
        <v>234</v>
      </c>
      <c r="D33" s="73">
        <f>'Penguk.CPMK-Smt1'!D33</f>
        <v>82.5</v>
      </c>
      <c r="E33" s="73">
        <f>'Penguk.CPMK-Smt1'!E33</f>
        <v>87.5</v>
      </c>
      <c r="F33" s="73">
        <f t="shared" si="0"/>
        <v>85</v>
      </c>
      <c r="G33" s="91">
        <f>'Penguk.CPMK-Smt1'!G33</f>
        <v>76.75</v>
      </c>
      <c r="H33" s="91">
        <f>'Penguk.CPMK-Smt1'!H33</f>
        <v>79.25</v>
      </c>
      <c r="I33" s="91">
        <f>'Penguk.CPMK-Smt1'!I33</f>
        <v>84.92</v>
      </c>
      <c r="J33" s="91">
        <f>'Penguk.CPMK-Smt1'!J33</f>
        <v>78.48</v>
      </c>
      <c r="K33" s="91">
        <f>'Penguk.CPMK-Smt1'!K33</f>
        <v>84.67</v>
      </c>
      <c r="L33" s="91">
        <f t="shared" si="1"/>
        <v>30.060700000000001</v>
      </c>
      <c r="M33" s="74">
        <f>'Penguk.CPMK-Smt1'!M33</f>
        <v>85.4</v>
      </c>
      <c r="N33" s="74">
        <f>'Penguk.CPMK-Smt1'!N33</f>
        <v>88.2</v>
      </c>
      <c r="O33" s="74">
        <f t="shared" si="2"/>
        <v>86.800000000000011</v>
      </c>
      <c r="P33" s="75">
        <f>'Penguk.CPMK-Smt1'!P33</f>
        <v>87.4</v>
      </c>
      <c r="Q33" s="75">
        <f>'Penguk.CPMK-Smt1'!Q33</f>
        <v>86.4</v>
      </c>
      <c r="R33" s="75">
        <f t="shared" si="3"/>
        <v>86.9</v>
      </c>
      <c r="S33" s="76">
        <f>'Penguk.CPMK-Smt1'!S33</f>
        <v>75.599999999999994</v>
      </c>
      <c r="T33" s="76">
        <f>'Penguk.CPMK-Smt1'!T33</f>
        <v>68.099999999999994</v>
      </c>
      <c r="U33" s="76">
        <f t="shared" si="4"/>
        <v>71.849999999999994</v>
      </c>
      <c r="V33" s="38">
        <f>'Penguk.CPMK-Smt1'!V33</f>
        <v>87.25</v>
      </c>
      <c r="W33" s="38">
        <f>'Penguk.CPMK-Smt1'!W33</f>
        <v>95.2</v>
      </c>
      <c r="X33" s="38">
        <f t="shared" si="5"/>
        <v>91.224999999999994</v>
      </c>
      <c r="Y33" s="77">
        <f>'Penguk.CPMK-Smt1'!Y33</f>
        <v>81.400000000000006</v>
      </c>
      <c r="Z33" s="77">
        <f>'Penguk.CPMK-Smt1'!Z33</f>
        <v>81.400000000000006</v>
      </c>
      <c r="AA33" s="77">
        <f t="shared" si="25"/>
        <v>81.400000000000006</v>
      </c>
      <c r="AB33" s="78">
        <f>'Penguk.CPMK-Smt1'!AB33</f>
        <v>87.6</v>
      </c>
      <c r="AC33" s="78">
        <f>'Penguk.CPMK-Smt1'!AC33</f>
        <v>76</v>
      </c>
      <c r="AD33" s="78">
        <f t="shared" si="6"/>
        <v>81.8</v>
      </c>
      <c r="AF33" s="79">
        <f t="shared" si="7"/>
        <v>172.625</v>
      </c>
      <c r="AG33" s="89">
        <f t="shared" si="8"/>
        <v>0.86312500000000003</v>
      </c>
      <c r="AH33" s="79">
        <f t="shared" si="9"/>
        <v>85</v>
      </c>
      <c r="AI33" s="89">
        <f t="shared" si="10"/>
        <v>0.85</v>
      </c>
      <c r="AJ33" s="79"/>
      <c r="AK33" s="89" t="str">
        <f t="shared" si="11"/>
        <v/>
      </c>
      <c r="AL33" s="79"/>
      <c r="AM33" s="89" t="str">
        <f t="shared" si="12"/>
        <v/>
      </c>
      <c r="AN33" s="80"/>
      <c r="AO33" s="80"/>
      <c r="AP33" s="80"/>
      <c r="AQ33" s="80"/>
      <c r="AR33" s="80"/>
      <c r="AS33" s="80"/>
      <c r="AT33" s="80">
        <f t="shared" si="13"/>
        <v>86.800000000000011</v>
      </c>
      <c r="AU33" s="89">
        <f t="shared" si="14"/>
        <v>0.8680000000000001</v>
      </c>
      <c r="AV33" s="79">
        <f t="shared" si="15"/>
        <v>44.1</v>
      </c>
      <c r="AW33" s="89">
        <f t="shared" si="16"/>
        <v>0.88200000000000001</v>
      </c>
      <c r="AX33" s="79">
        <f t="shared" si="17"/>
        <v>63.519999999999996</v>
      </c>
      <c r="AY33" s="89">
        <f t="shared" si="18"/>
        <v>0.80405063291139234</v>
      </c>
      <c r="AZ33" s="80">
        <f t="shared" si="19"/>
        <v>89.63069999999999</v>
      </c>
      <c r="BA33" s="89">
        <f t="shared" si="20"/>
        <v>0.74074958677685943</v>
      </c>
      <c r="BB33" s="79">
        <f t="shared" si="21"/>
        <v>81.8</v>
      </c>
      <c r="BC33" s="89">
        <f t="shared" si="22"/>
        <v>0.81799999999999995</v>
      </c>
      <c r="BF33" s="4">
        <f t="shared" si="26"/>
        <v>42.7</v>
      </c>
      <c r="BG33" s="4">
        <f t="shared" si="27"/>
        <v>12.280000000000001</v>
      </c>
      <c r="BH33" s="81">
        <f t="shared" si="28"/>
        <v>43.625</v>
      </c>
      <c r="BI33" s="81">
        <f t="shared" si="29"/>
        <v>41.25</v>
      </c>
      <c r="BJ33" s="81">
        <f t="shared" si="30"/>
        <v>47.6</v>
      </c>
      <c r="BK33" s="4"/>
      <c r="BL33" s="4"/>
      <c r="BM33" s="4"/>
      <c r="BN33" s="4"/>
      <c r="BO33" s="81">
        <f t="shared" si="31"/>
        <v>37.799999999999997</v>
      </c>
      <c r="BP33" s="81">
        <f t="shared" si="32"/>
        <v>43.7</v>
      </c>
      <c r="BQ33" s="81">
        <f t="shared" si="33"/>
        <v>44.1</v>
      </c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81">
        <f t="shared" si="34"/>
        <v>43.2</v>
      </c>
      <c r="CE33" s="81">
        <f t="shared" si="35"/>
        <v>34.049999999999997</v>
      </c>
      <c r="CF33" s="81" t="str">
        <f>IFERROR(IF(Y33="","",IFERROR(Y33*($Y$9/100),""))+IF(AB33="","",IFERROR(AB33*($AB$9/100),""))+IF(#REF!="","",IFERROR(#REF!*(#REF!/100),"")),"")</f>
        <v/>
      </c>
      <c r="CG33" s="4"/>
      <c r="CH33" s="4"/>
      <c r="CI33" s="4"/>
      <c r="CJ33" s="81" t="str">
        <f>IFERROR(IF(#REF!="","",IFERROR(#REF!*(#REF!/100),"")),"")</f>
        <v/>
      </c>
      <c r="CK33" s="81" t="str">
        <f>IFERROR(IF(#REF!="","",IFERROR(#REF!*(#REF!/100),""))+IF(#REF!="","",IFERROR(#REF!*(#REF!/100),"")),"")</f>
        <v/>
      </c>
      <c r="CL33" s="81" t="str">
        <f>IFERROR(IF(E33="","",IFERROR(E33*($E$9/100),""))+IF(K33="","",IFERROR(K33*($K$9/100),""))+IF(#REF!="","",IFERROR(#REF!*(#REF!/100),""))+IF(#REF!="","",IFERROR(#REF!*(#REF!/100),"")),"")</f>
        <v/>
      </c>
      <c r="CM33" s="4"/>
      <c r="CN33" s="81" t="str">
        <f>IFERROR(IF(AC33="","",IFERROR(AC33*($AC$9/100),""))+IF(#REF!="","",IFERROR(#REF!*(#REF!/100),"")),"")</f>
        <v/>
      </c>
      <c r="CO33" s="81">
        <f t="shared" si="36"/>
        <v>40.700000000000003</v>
      </c>
      <c r="CP33">
        <f t="shared" si="23"/>
        <v>431.005</v>
      </c>
      <c r="CQ33" s="82" t="e">
        <f t="shared" si="24"/>
        <v>#REF!</v>
      </c>
    </row>
    <row r="34" spans="1:95">
      <c r="A34" s="201">
        <v>24</v>
      </c>
      <c r="B34" s="122" t="s">
        <v>235</v>
      </c>
      <c r="C34" s="122" t="s">
        <v>281</v>
      </c>
      <c r="D34" s="73">
        <f>'Penguk.CPMK-Smt1'!D34</f>
        <v>85.5</v>
      </c>
      <c r="E34" s="73">
        <f>'Penguk.CPMK-Smt1'!E34</f>
        <v>85.5</v>
      </c>
      <c r="F34" s="73">
        <f t="shared" si="0"/>
        <v>85.5</v>
      </c>
      <c r="G34" s="91">
        <f>'Penguk.CPMK-Smt1'!G34</f>
        <v>69.25</v>
      </c>
      <c r="H34" s="91">
        <f>'Penguk.CPMK-Smt1'!H34</f>
        <v>68.75</v>
      </c>
      <c r="I34" s="91">
        <f>'Penguk.CPMK-Smt1'!I34</f>
        <v>71.849999999999994</v>
      </c>
      <c r="J34" s="91">
        <f>'Penguk.CPMK-Smt1'!J34</f>
        <v>63.24</v>
      </c>
      <c r="K34" s="91">
        <f>'Penguk.CPMK-Smt1'!K34</f>
        <v>72.290000000000006</v>
      </c>
      <c r="L34" s="91">
        <f t="shared" si="1"/>
        <v>26.260899999999999</v>
      </c>
      <c r="M34" s="74">
        <f>'Penguk.CPMK-Smt1'!M34</f>
        <v>75.5</v>
      </c>
      <c r="N34" s="74">
        <f>'Penguk.CPMK-Smt1'!N34</f>
        <v>51</v>
      </c>
      <c r="O34" s="74">
        <f t="shared" si="2"/>
        <v>63.25</v>
      </c>
      <c r="P34" s="75">
        <f>'Penguk.CPMK-Smt1'!P34</f>
        <v>78.5</v>
      </c>
      <c r="Q34" s="75">
        <f>'Penguk.CPMK-Smt1'!Q34</f>
        <v>94.5</v>
      </c>
      <c r="R34" s="75">
        <f t="shared" si="3"/>
        <v>86.5</v>
      </c>
      <c r="S34" s="76">
        <f>'Penguk.CPMK-Smt1'!S34</f>
        <v>91</v>
      </c>
      <c r="T34" s="76">
        <f>'Penguk.CPMK-Smt1'!T34</f>
        <v>91</v>
      </c>
      <c r="U34" s="76">
        <f t="shared" si="4"/>
        <v>91</v>
      </c>
      <c r="V34" s="38">
        <f>'Penguk.CPMK-Smt1'!V34</f>
        <v>91.15</v>
      </c>
      <c r="W34" s="38">
        <f>'Penguk.CPMK-Smt1'!W34</f>
        <v>91.15</v>
      </c>
      <c r="X34" s="38">
        <f t="shared" si="5"/>
        <v>91.15</v>
      </c>
      <c r="Y34" s="77">
        <f>'Penguk.CPMK-Smt1'!Y34</f>
        <v>80.900000000000006</v>
      </c>
      <c r="Z34" s="77">
        <f>'Penguk.CPMK-Smt1'!Z34</f>
        <v>80.900000000000006</v>
      </c>
      <c r="AA34" s="77">
        <f t="shared" si="25"/>
        <v>80.900000000000006</v>
      </c>
      <c r="AB34" s="78">
        <f>'Penguk.CPMK-Smt1'!AB34</f>
        <v>77</v>
      </c>
      <c r="AC34" s="78">
        <f>'Penguk.CPMK-Smt1'!AC34</f>
        <v>91</v>
      </c>
      <c r="AD34" s="78">
        <f t="shared" si="6"/>
        <v>84</v>
      </c>
      <c r="AF34" s="79">
        <f t="shared" si="7"/>
        <v>172.05</v>
      </c>
      <c r="AG34" s="89">
        <f t="shared" si="8"/>
        <v>0.86025000000000007</v>
      </c>
      <c r="AH34" s="79">
        <f t="shared" si="9"/>
        <v>85.5</v>
      </c>
      <c r="AI34" s="89">
        <f t="shared" si="10"/>
        <v>0.85499999999999998</v>
      </c>
      <c r="AJ34" s="79"/>
      <c r="AK34" s="89" t="str">
        <f t="shared" si="11"/>
        <v/>
      </c>
      <c r="AL34" s="79"/>
      <c r="AM34" s="89" t="str">
        <f t="shared" si="12"/>
        <v/>
      </c>
      <c r="AN34" s="80"/>
      <c r="AO34" s="80"/>
      <c r="AP34" s="80"/>
      <c r="AQ34" s="80"/>
      <c r="AR34" s="80"/>
      <c r="AS34" s="80"/>
      <c r="AT34" s="80">
        <f t="shared" si="13"/>
        <v>63.25</v>
      </c>
      <c r="AU34" s="89">
        <f t="shared" si="14"/>
        <v>0.63249999999999995</v>
      </c>
      <c r="AV34" s="79">
        <f t="shared" si="15"/>
        <v>25.5</v>
      </c>
      <c r="AW34" s="89">
        <f t="shared" si="16"/>
        <v>0.51</v>
      </c>
      <c r="AX34" s="79">
        <f t="shared" si="17"/>
        <v>54.041399999999996</v>
      </c>
      <c r="AY34" s="89">
        <f t="shared" si="18"/>
        <v>0.68406835443037972</v>
      </c>
      <c r="AZ34" s="80">
        <f t="shared" si="19"/>
        <v>106.18090000000001</v>
      </c>
      <c r="BA34" s="89">
        <f t="shared" si="20"/>
        <v>0.87752809917355379</v>
      </c>
      <c r="BB34" s="79">
        <f t="shared" si="21"/>
        <v>84</v>
      </c>
      <c r="BC34" s="89">
        <f t="shared" si="22"/>
        <v>0.84</v>
      </c>
      <c r="BF34" s="4">
        <f t="shared" si="26"/>
        <v>37.75</v>
      </c>
      <c r="BG34" s="4">
        <f t="shared" si="27"/>
        <v>11.08</v>
      </c>
      <c r="BH34" s="81">
        <f t="shared" si="28"/>
        <v>45.575000000000003</v>
      </c>
      <c r="BI34" s="81">
        <f t="shared" si="29"/>
        <v>42.75</v>
      </c>
      <c r="BJ34" s="81">
        <f t="shared" si="30"/>
        <v>45.575000000000003</v>
      </c>
      <c r="BK34" s="4"/>
      <c r="BL34" s="4"/>
      <c r="BM34" s="4"/>
      <c r="BN34" s="4"/>
      <c r="BO34" s="81">
        <f t="shared" si="31"/>
        <v>45.5</v>
      </c>
      <c r="BP34" s="81">
        <f t="shared" si="32"/>
        <v>39.25</v>
      </c>
      <c r="BQ34" s="81">
        <f t="shared" si="33"/>
        <v>25.5</v>
      </c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81">
        <f t="shared" si="34"/>
        <v>47.25</v>
      </c>
      <c r="CE34" s="81">
        <f t="shared" si="35"/>
        <v>45.5</v>
      </c>
      <c r="CF34" s="81" t="str">
        <f>IFERROR(IF(Y34="","",IFERROR(Y34*($Y$9/100),""))+IF(AB34="","",IFERROR(AB34*($AB$9/100),""))+IF(#REF!="","",IFERROR(#REF!*(#REF!/100),"")),"")</f>
        <v/>
      </c>
      <c r="CG34" s="4"/>
      <c r="CH34" s="4"/>
      <c r="CI34" s="4"/>
      <c r="CJ34" s="81" t="str">
        <f>IFERROR(IF(#REF!="","",IFERROR(#REF!*(#REF!/100),"")),"")</f>
        <v/>
      </c>
      <c r="CK34" s="81" t="str">
        <f>IFERROR(IF(#REF!="","",IFERROR(#REF!*(#REF!/100),""))+IF(#REF!="","",IFERROR(#REF!*(#REF!/100),"")),"")</f>
        <v/>
      </c>
      <c r="CL34" s="81" t="str">
        <f>IFERROR(IF(E34="","",IFERROR(E34*($E$9/100),""))+IF(K34="","",IFERROR(K34*($K$9/100),""))+IF(#REF!="","",IFERROR(#REF!*(#REF!/100),""))+IF(#REF!="","",IFERROR(#REF!*(#REF!/100),"")),"")</f>
        <v/>
      </c>
      <c r="CM34" s="4"/>
      <c r="CN34" s="81" t="str">
        <f>IFERROR(IF(AC34="","",IFERROR(AC34*($AC$9/100),""))+IF(#REF!="","",IFERROR(#REF!*(#REF!/100),"")),"")</f>
        <v/>
      </c>
      <c r="CO34" s="81">
        <f t="shared" si="36"/>
        <v>40.450000000000003</v>
      </c>
      <c r="CP34">
        <f t="shared" si="23"/>
        <v>426.18</v>
      </c>
      <c r="CQ34" s="82" t="e">
        <f t="shared" si="24"/>
        <v>#REF!</v>
      </c>
    </row>
    <row r="35" spans="1:95">
      <c r="A35" s="201">
        <v>25</v>
      </c>
      <c r="B35" s="122" t="s">
        <v>237</v>
      </c>
      <c r="C35" s="122" t="s">
        <v>238</v>
      </c>
      <c r="D35" s="73">
        <f>'Penguk.CPMK-Smt1'!D35</f>
        <v>83.75</v>
      </c>
      <c r="E35" s="73">
        <f>'Penguk.CPMK-Smt1'!E35</f>
        <v>83.75</v>
      </c>
      <c r="F35" s="73">
        <f t="shared" si="0"/>
        <v>83.75</v>
      </c>
      <c r="G35" s="91">
        <f>'Penguk.CPMK-Smt1'!G35</f>
        <v>82.5</v>
      </c>
      <c r="H35" s="91">
        <f>'Penguk.CPMK-Smt1'!H35</f>
        <v>84.5</v>
      </c>
      <c r="I35" s="91">
        <f>'Penguk.CPMK-Smt1'!I35</f>
        <v>85.38</v>
      </c>
      <c r="J35" s="91">
        <f>'Penguk.CPMK-Smt1'!J35</f>
        <v>81.900000000000006</v>
      </c>
      <c r="K35" s="91">
        <f>'Penguk.CPMK-Smt1'!K35</f>
        <v>85.48</v>
      </c>
      <c r="L35" s="91">
        <f t="shared" si="1"/>
        <v>31.150800000000004</v>
      </c>
      <c r="M35" s="74">
        <f>'Penguk.CPMK-Smt1'!M35</f>
        <v>75.5</v>
      </c>
      <c r="N35" s="74">
        <f>'Penguk.CPMK-Smt1'!N35</f>
        <v>51</v>
      </c>
      <c r="O35" s="74">
        <f t="shared" si="2"/>
        <v>63.25</v>
      </c>
      <c r="P35" s="75">
        <f>'Penguk.CPMK-Smt1'!P35</f>
        <v>84.5</v>
      </c>
      <c r="Q35" s="75">
        <f>'Penguk.CPMK-Smt1'!Q35</f>
        <v>91</v>
      </c>
      <c r="R35" s="75">
        <f t="shared" si="3"/>
        <v>87.75</v>
      </c>
      <c r="S35" s="76">
        <f>'Penguk.CPMK-Smt1'!S35</f>
        <v>95.5</v>
      </c>
      <c r="T35" s="76">
        <f>'Penguk.CPMK-Smt1'!T35</f>
        <v>68.099999999999994</v>
      </c>
      <c r="U35" s="76">
        <f t="shared" si="4"/>
        <v>81.8</v>
      </c>
      <c r="V35" s="38">
        <f>'Penguk.CPMK-Smt1'!V35</f>
        <v>88</v>
      </c>
      <c r="W35" s="38">
        <f>'Penguk.CPMK-Smt1'!W35</f>
        <v>88</v>
      </c>
      <c r="X35" s="38">
        <f t="shared" si="5"/>
        <v>88</v>
      </c>
      <c r="Y35" s="77">
        <f>'Penguk.CPMK-Smt1'!Y35</f>
        <v>88.65</v>
      </c>
      <c r="Z35" s="77">
        <f>'Penguk.CPMK-Smt1'!Z35</f>
        <v>88.65</v>
      </c>
      <c r="AA35" s="77">
        <f t="shared" si="25"/>
        <v>88.65</v>
      </c>
      <c r="AB35" s="78">
        <f>'Penguk.CPMK-Smt1'!AB35</f>
        <v>91</v>
      </c>
      <c r="AC35" s="78">
        <f>'Penguk.CPMK-Smt1'!AC35</f>
        <v>91</v>
      </c>
      <c r="AD35" s="78">
        <f t="shared" si="6"/>
        <v>91</v>
      </c>
      <c r="AF35" s="79">
        <f t="shared" si="7"/>
        <v>176.64999999999998</v>
      </c>
      <c r="AG35" s="89">
        <f t="shared" si="8"/>
        <v>0.88324999999999987</v>
      </c>
      <c r="AH35" s="79">
        <f t="shared" si="9"/>
        <v>83.75</v>
      </c>
      <c r="AI35" s="89">
        <f t="shared" si="10"/>
        <v>0.83750000000000002</v>
      </c>
      <c r="AJ35" s="79"/>
      <c r="AK35" s="89" t="str">
        <f t="shared" si="11"/>
        <v/>
      </c>
      <c r="AL35" s="79"/>
      <c r="AM35" s="89" t="str">
        <f t="shared" si="12"/>
        <v/>
      </c>
      <c r="AN35" s="80"/>
      <c r="AO35" s="80"/>
      <c r="AP35" s="80"/>
      <c r="AQ35" s="80"/>
      <c r="AR35" s="80"/>
      <c r="AS35" s="80"/>
      <c r="AT35" s="80">
        <f t="shared" si="13"/>
        <v>63.25</v>
      </c>
      <c r="AU35" s="89">
        <f t="shared" si="14"/>
        <v>0.63249999999999995</v>
      </c>
      <c r="AV35" s="79">
        <f t="shared" si="15"/>
        <v>25.5</v>
      </c>
      <c r="AW35" s="89">
        <f t="shared" si="16"/>
        <v>0.51</v>
      </c>
      <c r="AX35" s="79">
        <f t="shared" si="17"/>
        <v>66.117800000000003</v>
      </c>
      <c r="AY35" s="89">
        <f t="shared" si="18"/>
        <v>0.83693417721518992</v>
      </c>
      <c r="AZ35" s="80">
        <f t="shared" si="19"/>
        <v>99.750799999999998</v>
      </c>
      <c r="BA35" s="89">
        <f t="shared" si="20"/>
        <v>0.82438677685950412</v>
      </c>
      <c r="BB35" s="79">
        <f t="shared" si="21"/>
        <v>91</v>
      </c>
      <c r="BC35" s="89">
        <f t="shared" si="22"/>
        <v>0.91</v>
      </c>
      <c r="BF35" s="4">
        <f t="shared" si="26"/>
        <v>37.75</v>
      </c>
      <c r="BG35" s="4">
        <f t="shared" si="27"/>
        <v>13.200000000000001</v>
      </c>
      <c r="BH35" s="81">
        <f t="shared" si="28"/>
        <v>44</v>
      </c>
      <c r="BI35" s="81">
        <f t="shared" si="29"/>
        <v>41.875</v>
      </c>
      <c r="BJ35" s="81">
        <f t="shared" si="30"/>
        <v>44</v>
      </c>
      <c r="BK35" s="4"/>
      <c r="BL35" s="4"/>
      <c r="BM35" s="4"/>
      <c r="BN35" s="4"/>
      <c r="BO35" s="81">
        <f t="shared" si="31"/>
        <v>47.75</v>
      </c>
      <c r="BP35" s="81">
        <f t="shared" si="32"/>
        <v>42.25</v>
      </c>
      <c r="BQ35" s="81">
        <f t="shared" si="33"/>
        <v>25.5</v>
      </c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81">
        <f t="shared" si="34"/>
        <v>45.5</v>
      </c>
      <c r="CE35" s="81">
        <f t="shared" si="35"/>
        <v>34.049999999999997</v>
      </c>
      <c r="CF35" s="81" t="str">
        <f>IFERROR(IF(Y35="","",IFERROR(Y35*($Y$9/100),""))+IF(AB35="","",IFERROR(AB35*($AB$9/100),""))+IF(#REF!="","",IFERROR(#REF!*(#REF!/100),"")),"")</f>
        <v/>
      </c>
      <c r="CG35" s="4"/>
      <c r="CH35" s="4"/>
      <c r="CI35" s="4"/>
      <c r="CJ35" s="81" t="str">
        <f>IFERROR(IF(#REF!="","",IFERROR(#REF!*(#REF!/100),"")),"")</f>
        <v/>
      </c>
      <c r="CK35" s="81" t="str">
        <f>IFERROR(IF(#REF!="","",IFERROR(#REF!*(#REF!/100),""))+IF(#REF!="","",IFERROR(#REF!*(#REF!/100),"")),"")</f>
        <v/>
      </c>
      <c r="CL35" s="81" t="str">
        <f>IFERROR(IF(E35="","",IFERROR(E35*($E$9/100),""))+IF(K35="","",IFERROR(K35*($K$9/100),""))+IF(#REF!="","",IFERROR(#REF!*(#REF!/100),""))+IF(#REF!="","",IFERROR(#REF!*(#REF!/100),"")),"")</f>
        <v/>
      </c>
      <c r="CM35" s="4"/>
      <c r="CN35" s="81" t="str">
        <f>IFERROR(IF(AC35="","",IFERROR(AC35*($AC$9/100),""))+IF(#REF!="","",IFERROR(#REF!*(#REF!/100),"")),"")</f>
        <v/>
      </c>
      <c r="CO35" s="81">
        <f t="shared" si="36"/>
        <v>44.325000000000003</v>
      </c>
      <c r="CP35">
        <f t="shared" si="23"/>
        <v>420.2</v>
      </c>
      <c r="CQ35" s="82" t="e">
        <f t="shared" si="24"/>
        <v>#REF!</v>
      </c>
    </row>
    <row r="36" spans="1:95">
      <c r="A36" s="201">
        <v>26</v>
      </c>
      <c r="B36" s="122" t="s">
        <v>239</v>
      </c>
      <c r="C36" s="122" t="s">
        <v>240</v>
      </c>
      <c r="D36" s="73">
        <f>'Penguk.CPMK-Smt1'!D36</f>
        <v>80.25</v>
      </c>
      <c r="E36" s="73">
        <f>'Penguk.CPMK-Smt1'!E36</f>
        <v>80.25</v>
      </c>
      <c r="F36" s="73">
        <f t="shared" si="0"/>
        <v>80.25</v>
      </c>
      <c r="G36" s="91">
        <f>'Penguk.CPMK-Smt1'!G36</f>
        <v>76.25</v>
      </c>
      <c r="H36" s="91">
        <f>'Penguk.CPMK-Smt1'!H36</f>
        <v>75</v>
      </c>
      <c r="I36" s="91">
        <f>'Penguk.CPMK-Smt1'!I36</f>
        <v>64.62</v>
      </c>
      <c r="J36" s="91">
        <f>'Penguk.CPMK-Smt1'!J36</f>
        <v>72.86</v>
      </c>
      <c r="K36" s="91">
        <f>'Penguk.CPMK-Smt1'!K36</f>
        <v>66.709999999999994</v>
      </c>
      <c r="L36" s="91">
        <f t="shared" si="1"/>
        <v>26.209099999999999</v>
      </c>
      <c r="M36" s="74">
        <f>'Penguk.CPMK-Smt1'!M36</f>
        <v>75.5</v>
      </c>
      <c r="N36" s="74">
        <f>'Penguk.CPMK-Smt1'!N36</f>
        <v>51</v>
      </c>
      <c r="O36" s="74">
        <f t="shared" si="2"/>
        <v>63.25</v>
      </c>
      <c r="P36" s="75">
        <f>'Penguk.CPMK-Smt1'!P36</f>
        <v>74</v>
      </c>
      <c r="Q36" s="75">
        <f>'Penguk.CPMK-Smt1'!Q36</f>
        <v>82</v>
      </c>
      <c r="R36" s="75">
        <f t="shared" si="3"/>
        <v>78</v>
      </c>
      <c r="S36" s="76">
        <f>'Penguk.CPMK-Smt1'!S36</f>
        <v>95.5</v>
      </c>
      <c r="T36" s="76">
        <f>'Penguk.CPMK-Smt1'!T36</f>
        <v>91</v>
      </c>
      <c r="U36" s="76">
        <f t="shared" si="4"/>
        <v>93.25</v>
      </c>
      <c r="V36" s="38">
        <f>'Penguk.CPMK-Smt1'!V36</f>
        <v>90.1</v>
      </c>
      <c r="W36" s="38">
        <f>'Penguk.CPMK-Smt1'!W36</f>
        <v>90.1</v>
      </c>
      <c r="X36" s="38">
        <f t="shared" si="5"/>
        <v>90.1</v>
      </c>
      <c r="Y36" s="77">
        <f>'Penguk.CPMK-Smt1'!Y36</f>
        <v>81.400000000000006</v>
      </c>
      <c r="Z36" s="77">
        <f>'Penguk.CPMK-Smt1'!Z36</f>
        <v>81.400000000000006</v>
      </c>
      <c r="AA36" s="77">
        <f t="shared" si="25"/>
        <v>81.400000000000006</v>
      </c>
      <c r="AB36" s="78">
        <f>'Penguk.CPMK-Smt1'!AB36</f>
        <v>93.5</v>
      </c>
      <c r="AC36" s="78">
        <f>'Penguk.CPMK-Smt1'!AC36</f>
        <v>92</v>
      </c>
      <c r="AD36" s="78">
        <f t="shared" si="6"/>
        <v>92.75</v>
      </c>
      <c r="AF36" s="79">
        <f t="shared" si="7"/>
        <v>171.5</v>
      </c>
      <c r="AG36" s="89">
        <f t="shared" si="8"/>
        <v>0.85750000000000004</v>
      </c>
      <c r="AH36" s="79">
        <f t="shared" si="9"/>
        <v>80.25</v>
      </c>
      <c r="AI36" s="89">
        <f t="shared" si="10"/>
        <v>0.80249999999999999</v>
      </c>
      <c r="AJ36" s="79"/>
      <c r="AK36" s="89" t="str">
        <f t="shared" si="11"/>
        <v/>
      </c>
      <c r="AL36" s="79"/>
      <c r="AM36" s="89" t="str">
        <f t="shared" si="12"/>
        <v/>
      </c>
      <c r="AN36" s="80"/>
      <c r="AO36" s="80"/>
      <c r="AP36" s="80"/>
      <c r="AQ36" s="80"/>
      <c r="AR36" s="80"/>
      <c r="AS36" s="80"/>
      <c r="AT36" s="80">
        <f t="shared" si="13"/>
        <v>63.25</v>
      </c>
      <c r="AU36" s="89">
        <f t="shared" si="14"/>
        <v>0.63249999999999995</v>
      </c>
      <c r="AV36" s="79">
        <f t="shared" si="15"/>
        <v>25.5</v>
      </c>
      <c r="AW36" s="89">
        <f t="shared" si="16"/>
        <v>0.51</v>
      </c>
      <c r="AX36" s="79">
        <f t="shared" si="17"/>
        <v>56.3018</v>
      </c>
      <c r="AY36" s="89">
        <f t="shared" si="18"/>
        <v>0.71268101265822781</v>
      </c>
      <c r="AZ36" s="80">
        <f t="shared" si="19"/>
        <v>107.25909999999999</v>
      </c>
      <c r="BA36" s="89">
        <f t="shared" si="20"/>
        <v>0.88643884297520648</v>
      </c>
      <c r="BB36" s="79">
        <f t="shared" si="21"/>
        <v>92.75</v>
      </c>
      <c r="BC36" s="89">
        <f t="shared" si="22"/>
        <v>0.92749999999999999</v>
      </c>
      <c r="BF36" s="4">
        <f t="shared" si="26"/>
        <v>37.75</v>
      </c>
      <c r="BG36" s="4">
        <f t="shared" si="27"/>
        <v>12.200000000000001</v>
      </c>
      <c r="BH36" s="81">
        <f t="shared" si="28"/>
        <v>45.05</v>
      </c>
      <c r="BI36" s="81">
        <f t="shared" si="29"/>
        <v>40.125</v>
      </c>
      <c r="BJ36" s="81">
        <f t="shared" si="30"/>
        <v>45.05</v>
      </c>
      <c r="BK36" s="4"/>
      <c r="BL36" s="4"/>
      <c r="BM36" s="4"/>
      <c r="BN36" s="4"/>
      <c r="BO36" s="81">
        <f t="shared" si="31"/>
        <v>47.75</v>
      </c>
      <c r="BP36" s="81">
        <f t="shared" si="32"/>
        <v>37</v>
      </c>
      <c r="BQ36" s="81">
        <f t="shared" si="33"/>
        <v>25.5</v>
      </c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81">
        <f t="shared" si="34"/>
        <v>41</v>
      </c>
      <c r="CE36" s="81">
        <f t="shared" si="35"/>
        <v>45.5</v>
      </c>
      <c r="CF36" s="81" t="str">
        <f>IFERROR(IF(Y36="","",IFERROR(Y36*($Y$9/100),""))+IF(AB36="","",IFERROR(AB36*($AB$9/100),""))+IF(#REF!="","",IFERROR(#REF!*(#REF!/100),"")),"")</f>
        <v/>
      </c>
      <c r="CG36" s="4"/>
      <c r="CH36" s="4"/>
      <c r="CI36" s="4"/>
      <c r="CJ36" s="81" t="str">
        <f>IFERROR(IF(#REF!="","",IFERROR(#REF!*(#REF!/100),"")),"")</f>
        <v/>
      </c>
      <c r="CK36" s="81" t="str">
        <f>IFERROR(IF(#REF!="","",IFERROR(#REF!*(#REF!/100),""))+IF(#REF!="","",IFERROR(#REF!*(#REF!/100),"")),"")</f>
        <v/>
      </c>
      <c r="CL36" s="81" t="str">
        <f>IFERROR(IF(E36="","",IFERROR(E36*($E$9/100),""))+IF(K36="","",IFERROR(K36*($K$9/100),""))+IF(#REF!="","",IFERROR(#REF!*(#REF!/100),""))+IF(#REF!="","",IFERROR(#REF!*(#REF!/100),"")),"")</f>
        <v/>
      </c>
      <c r="CM36" s="4"/>
      <c r="CN36" s="81" t="str">
        <f>IFERROR(IF(AC36="","",IFERROR(AC36*($AC$9/100),""))+IF(#REF!="","",IFERROR(#REF!*(#REF!/100),"")),"")</f>
        <v/>
      </c>
      <c r="CO36" s="81">
        <f t="shared" si="36"/>
        <v>40.700000000000003</v>
      </c>
      <c r="CP36">
        <f t="shared" si="23"/>
        <v>417.625</v>
      </c>
      <c r="CQ36" s="82" t="e">
        <f t="shared" si="24"/>
        <v>#REF!</v>
      </c>
    </row>
    <row r="37" spans="1:95">
      <c r="A37" s="201">
        <v>27</v>
      </c>
      <c r="B37" s="122" t="s">
        <v>241</v>
      </c>
      <c r="C37" s="122" t="s">
        <v>242</v>
      </c>
      <c r="D37" s="73">
        <f>'Penguk.CPMK-Smt1'!D37</f>
        <v>83.75</v>
      </c>
      <c r="E37" s="73">
        <f>'Penguk.CPMK-Smt1'!E37</f>
        <v>83.75</v>
      </c>
      <c r="F37" s="73">
        <f t="shared" si="0"/>
        <v>83.75</v>
      </c>
      <c r="G37" s="91">
        <f>'Penguk.CPMK-Smt1'!G37</f>
        <v>76.25</v>
      </c>
      <c r="H37" s="91">
        <f>'Penguk.CPMK-Smt1'!H37</f>
        <v>73.75</v>
      </c>
      <c r="I37" s="91">
        <f>'Penguk.CPMK-Smt1'!I37</f>
        <v>72.31</v>
      </c>
      <c r="J37" s="91">
        <f>'Penguk.CPMK-Smt1'!J37</f>
        <v>73.81</v>
      </c>
      <c r="K37" s="91">
        <f>'Penguk.CPMK-Smt1'!K37</f>
        <v>72.86</v>
      </c>
      <c r="L37" s="91">
        <f t="shared" si="1"/>
        <v>27.500599999999999</v>
      </c>
      <c r="M37" s="74">
        <f>'Penguk.CPMK-Smt1'!M37</f>
        <v>82.5</v>
      </c>
      <c r="N37" s="74">
        <f>'Penguk.CPMK-Smt1'!N37</f>
        <v>72</v>
      </c>
      <c r="O37" s="74">
        <f t="shared" si="2"/>
        <v>77.25</v>
      </c>
      <c r="P37" s="75">
        <f>'Penguk.CPMK-Smt1'!P37</f>
        <v>81</v>
      </c>
      <c r="Q37" s="75">
        <f>'Penguk.CPMK-Smt1'!Q37</f>
        <v>91</v>
      </c>
      <c r="R37" s="75">
        <f t="shared" si="3"/>
        <v>86</v>
      </c>
      <c r="S37" s="76">
        <f>'Penguk.CPMK-Smt1'!S37</f>
        <v>91</v>
      </c>
      <c r="T37" s="76">
        <f>'Penguk.CPMK-Smt1'!T37</f>
        <v>95.5</v>
      </c>
      <c r="U37" s="76">
        <f t="shared" si="4"/>
        <v>93.25</v>
      </c>
      <c r="V37" s="38">
        <f>'Penguk.CPMK-Smt1'!V37</f>
        <v>93.2</v>
      </c>
      <c r="W37" s="38">
        <f>'Penguk.CPMK-Smt1'!W37</f>
        <v>93.2</v>
      </c>
      <c r="X37" s="38">
        <f t="shared" si="5"/>
        <v>93.2</v>
      </c>
      <c r="Y37" s="77">
        <f>'Penguk.CPMK-Smt1'!Y37</f>
        <v>80.900000000000006</v>
      </c>
      <c r="Z37" s="77">
        <f>'Penguk.CPMK-Smt1'!Z37</f>
        <v>80.900000000000006</v>
      </c>
      <c r="AA37" s="77">
        <f t="shared" si="25"/>
        <v>80.900000000000006</v>
      </c>
      <c r="AB37" s="78">
        <f>'Penguk.CPMK-Smt1'!AB37</f>
        <v>91</v>
      </c>
      <c r="AC37" s="78">
        <f>'Penguk.CPMK-Smt1'!AC37</f>
        <v>91</v>
      </c>
      <c r="AD37" s="78">
        <f t="shared" si="6"/>
        <v>91</v>
      </c>
      <c r="AF37" s="79">
        <f t="shared" si="7"/>
        <v>174.10000000000002</v>
      </c>
      <c r="AG37" s="89">
        <f t="shared" si="8"/>
        <v>0.87050000000000016</v>
      </c>
      <c r="AH37" s="79">
        <f t="shared" si="9"/>
        <v>83.75</v>
      </c>
      <c r="AI37" s="89">
        <f t="shared" si="10"/>
        <v>0.83750000000000002</v>
      </c>
      <c r="AJ37" s="79"/>
      <c r="AK37" s="89" t="str">
        <f t="shared" si="11"/>
        <v/>
      </c>
      <c r="AL37" s="79"/>
      <c r="AM37" s="89" t="str">
        <f t="shared" si="12"/>
        <v/>
      </c>
      <c r="AN37" s="80"/>
      <c r="AO37" s="80"/>
      <c r="AP37" s="80"/>
      <c r="AQ37" s="80"/>
      <c r="AR37" s="80"/>
      <c r="AS37" s="80"/>
      <c r="AT37" s="80">
        <f t="shared" si="13"/>
        <v>77.25</v>
      </c>
      <c r="AU37" s="89">
        <f t="shared" si="14"/>
        <v>0.77249999999999996</v>
      </c>
      <c r="AV37" s="79">
        <f t="shared" si="15"/>
        <v>36</v>
      </c>
      <c r="AW37" s="89">
        <f t="shared" si="16"/>
        <v>0.72</v>
      </c>
      <c r="AX37" s="79">
        <f t="shared" si="17"/>
        <v>58.300700000000006</v>
      </c>
      <c r="AY37" s="89">
        <f t="shared" si="18"/>
        <v>0.73798354430379753</v>
      </c>
      <c r="AZ37" s="80">
        <f t="shared" si="19"/>
        <v>108.5506</v>
      </c>
      <c r="BA37" s="89">
        <f t="shared" si="20"/>
        <v>0.89711239669421494</v>
      </c>
      <c r="BB37" s="79">
        <f t="shared" si="21"/>
        <v>91</v>
      </c>
      <c r="BC37" s="89">
        <f t="shared" si="22"/>
        <v>0.91</v>
      </c>
      <c r="BF37" s="4">
        <f t="shared" si="26"/>
        <v>41.25</v>
      </c>
      <c r="BG37" s="4">
        <f t="shared" si="27"/>
        <v>12.200000000000001</v>
      </c>
      <c r="BH37" s="81">
        <f t="shared" si="28"/>
        <v>46.6</v>
      </c>
      <c r="BI37" s="81">
        <f t="shared" si="29"/>
        <v>41.875</v>
      </c>
      <c r="BJ37" s="81">
        <f t="shared" si="30"/>
        <v>46.6</v>
      </c>
      <c r="BK37" s="4"/>
      <c r="BL37" s="4"/>
      <c r="BM37" s="4"/>
      <c r="BN37" s="4"/>
      <c r="BO37" s="81">
        <f t="shared" si="31"/>
        <v>45.5</v>
      </c>
      <c r="BP37" s="81">
        <f t="shared" si="32"/>
        <v>40.5</v>
      </c>
      <c r="BQ37" s="81">
        <f t="shared" si="33"/>
        <v>36</v>
      </c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81">
        <f t="shared" si="34"/>
        <v>45.5</v>
      </c>
      <c r="CE37" s="81">
        <f t="shared" si="35"/>
        <v>47.75</v>
      </c>
      <c r="CF37" s="81" t="str">
        <f>IFERROR(IF(Y37="","",IFERROR(Y37*($Y$9/100),""))+IF(AB37="","",IFERROR(AB37*($AB$9/100),""))+IF(#REF!="","",IFERROR(#REF!*(#REF!/100),"")),"")</f>
        <v/>
      </c>
      <c r="CG37" s="4"/>
      <c r="CH37" s="4"/>
      <c r="CI37" s="4"/>
      <c r="CJ37" s="81" t="str">
        <f>IFERROR(IF(#REF!="","",IFERROR(#REF!*(#REF!/100),"")),"")</f>
        <v/>
      </c>
      <c r="CK37" s="81" t="str">
        <f>IFERROR(IF(#REF!="","",IFERROR(#REF!*(#REF!/100),""))+IF(#REF!="","",IFERROR(#REF!*(#REF!/100),"")),"")</f>
        <v/>
      </c>
      <c r="CL37" s="81" t="str">
        <f>IFERROR(IF(E37="","",IFERROR(E37*($E$9/100),""))+IF(K37="","",IFERROR(K37*($K$9/100),""))+IF(#REF!="","",IFERROR(#REF!*(#REF!/100),""))+IF(#REF!="","",IFERROR(#REF!*(#REF!/100),"")),"")</f>
        <v/>
      </c>
      <c r="CM37" s="4"/>
      <c r="CN37" s="81" t="str">
        <f>IFERROR(IF(AC37="","",IFERROR(AC37*($AC$9/100),""))+IF(#REF!="","",IFERROR(#REF!*(#REF!/100),"")),"")</f>
        <v/>
      </c>
      <c r="CO37" s="81">
        <f t="shared" si="36"/>
        <v>40.450000000000003</v>
      </c>
      <c r="CP37">
        <f t="shared" si="23"/>
        <v>444.22499999999997</v>
      </c>
      <c r="CQ37" s="82" t="e">
        <f t="shared" si="24"/>
        <v>#REF!</v>
      </c>
    </row>
    <row r="38" spans="1:95">
      <c r="A38" s="201">
        <v>28</v>
      </c>
      <c r="B38" s="122" t="s">
        <v>243</v>
      </c>
      <c r="C38" s="122" t="s">
        <v>244</v>
      </c>
      <c r="D38" s="73">
        <f>'Penguk.CPMK-Smt1'!D38</f>
        <v>83.75</v>
      </c>
      <c r="E38" s="73">
        <f>'Penguk.CPMK-Smt1'!E38</f>
        <v>83.75</v>
      </c>
      <c r="F38" s="73">
        <f t="shared" si="0"/>
        <v>83.75</v>
      </c>
      <c r="G38" s="91">
        <f>'Penguk.CPMK-Smt1'!G38</f>
        <v>72.25</v>
      </c>
      <c r="H38" s="91">
        <f>'Penguk.CPMK-Smt1'!H38</f>
        <v>72.25</v>
      </c>
      <c r="I38" s="91">
        <f>'Penguk.CPMK-Smt1'!I38</f>
        <v>72.150000000000006</v>
      </c>
      <c r="J38" s="91">
        <f>'Penguk.CPMK-Smt1'!J38</f>
        <v>72.67</v>
      </c>
      <c r="K38" s="91">
        <f>'Penguk.CPMK-Smt1'!K38</f>
        <v>71.95</v>
      </c>
      <c r="L38" s="91">
        <f t="shared" si="1"/>
        <v>26.669499999999999</v>
      </c>
      <c r="M38" s="74">
        <f>'Penguk.CPMK-Smt1'!M38</f>
        <v>10</v>
      </c>
      <c r="N38" s="74">
        <f>'Penguk.CPMK-Smt1'!N38</f>
        <v>10</v>
      </c>
      <c r="O38" s="74">
        <f t="shared" si="2"/>
        <v>10</v>
      </c>
      <c r="P38" s="75">
        <f>'Penguk.CPMK-Smt1'!P38</f>
        <v>10</v>
      </c>
      <c r="Q38" s="75">
        <f>'Penguk.CPMK-Smt1'!Q38</f>
        <v>61</v>
      </c>
      <c r="R38" s="75">
        <f t="shared" si="3"/>
        <v>35.5</v>
      </c>
      <c r="S38" s="76">
        <f>'Penguk.CPMK-Smt1'!S38</f>
        <v>95.5</v>
      </c>
      <c r="T38" s="76">
        <f>'Penguk.CPMK-Smt1'!T38</f>
        <v>95.5</v>
      </c>
      <c r="U38" s="76">
        <f t="shared" si="4"/>
        <v>95.5</v>
      </c>
      <c r="V38" s="38">
        <f>'Penguk.CPMK-Smt1'!V38</f>
        <v>90.45</v>
      </c>
      <c r="W38" s="38">
        <f>'Penguk.CPMK-Smt1'!W38</f>
        <v>90.45</v>
      </c>
      <c r="X38" s="38">
        <f t="shared" si="5"/>
        <v>90.45</v>
      </c>
      <c r="Y38" s="77">
        <f>'Penguk.CPMK-Smt1'!Y38</f>
        <v>88.65</v>
      </c>
      <c r="Z38" s="77">
        <f>'Penguk.CPMK-Smt1'!Z38</f>
        <v>88.65</v>
      </c>
      <c r="AA38" s="77">
        <f t="shared" si="25"/>
        <v>88.65</v>
      </c>
      <c r="AB38" s="78">
        <f>'Penguk.CPMK-Smt1'!AB38</f>
        <v>82</v>
      </c>
      <c r="AC38" s="78">
        <f>'Penguk.CPMK-Smt1'!AC38</f>
        <v>82</v>
      </c>
      <c r="AD38" s="78">
        <f t="shared" si="6"/>
        <v>82</v>
      </c>
      <c r="AF38" s="79">
        <f t="shared" si="7"/>
        <v>179.10000000000002</v>
      </c>
      <c r="AG38" s="89">
        <f t="shared" si="8"/>
        <v>0.89550000000000007</v>
      </c>
      <c r="AH38" s="79">
        <f t="shared" si="9"/>
        <v>83.75</v>
      </c>
      <c r="AI38" s="89">
        <f t="shared" si="10"/>
        <v>0.83750000000000002</v>
      </c>
      <c r="AJ38" s="79"/>
      <c r="AK38" s="89" t="str">
        <f t="shared" si="11"/>
        <v/>
      </c>
      <c r="AL38" s="79"/>
      <c r="AM38" s="89" t="str">
        <f t="shared" si="12"/>
        <v/>
      </c>
      <c r="AN38" s="80"/>
      <c r="AO38" s="80"/>
      <c r="AP38" s="80"/>
      <c r="AQ38" s="80"/>
      <c r="AR38" s="80"/>
      <c r="AS38" s="80"/>
      <c r="AT38" s="80">
        <f t="shared" si="13"/>
        <v>10</v>
      </c>
      <c r="AU38" s="89">
        <f t="shared" si="14"/>
        <v>0.1</v>
      </c>
      <c r="AV38" s="79">
        <f t="shared" si="15"/>
        <v>5</v>
      </c>
      <c r="AW38" s="89">
        <f t="shared" si="16"/>
        <v>0.1</v>
      </c>
      <c r="AX38" s="79">
        <f t="shared" si="17"/>
        <v>57.139700000000005</v>
      </c>
      <c r="AY38" s="89">
        <f t="shared" si="18"/>
        <v>0.72328734177215193</v>
      </c>
      <c r="AZ38" s="80">
        <f t="shared" si="19"/>
        <v>110.6095</v>
      </c>
      <c r="BA38" s="89">
        <f t="shared" si="20"/>
        <v>0.91412809917355364</v>
      </c>
      <c r="BB38" s="79">
        <f t="shared" si="21"/>
        <v>82</v>
      </c>
      <c r="BC38" s="89">
        <f t="shared" si="22"/>
        <v>0.82</v>
      </c>
      <c r="BF38" s="4">
        <f t="shared" si="26"/>
        <v>5</v>
      </c>
      <c r="BG38" s="4">
        <f t="shared" si="27"/>
        <v>11.56</v>
      </c>
      <c r="BH38" s="81">
        <f t="shared" si="28"/>
        <v>45.225000000000001</v>
      </c>
      <c r="BI38" s="81">
        <f t="shared" si="29"/>
        <v>41.875</v>
      </c>
      <c r="BJ38" s="81">
        <f t="shared" si="30"/>
        <v>45.225000000000001</v>
      </c>
      <c r="BK38" s="4"/>
      <c r="BL38" s="4"/>
      <c r="BM38" s="4"/>
      <c r="BN38" s="4"/>
      <c r="BO38" s="81">
        <f t="shared" si="31"/>
        <v>47.75</v>
      </c>
      <c r="BP38" s="81">
        <f t="shared" si="32"/>
        <v>5</v>
      </c>
      <c r="BQ38" s="81">
        <f t="shared" si="33"/>
        <v>5</v>
      </c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81">
        <f t="shared" si="34"/>
        <v>30.5</v>
      </c>
      <c r="CE38" s="81">
        <f t="shared" si="35"/>
        <v>47.75</v>
      </c>
      <c r="CF38" s="81" t="str">
        <f>IFERROR(IF(Y38="","",IFERROR(Y38*($Y$9/100),""))+IF(AB38="","",IFERROR(AB38*($AB$9/100),""))+IF(#REF!="","",IFERROR(#REF!*(#REF!/100),"")),"")</f>
        <v/>
      </c>
      <c r="CG38" s="4"/>
      <c r="CH38" s="4"/>
      <c r="CI38" s="4"/>
      <c r="CJ38" s="81" t="str">
        <f>IFERROR(IF(#REF!="","",IFERROR(#REF!*(#REF!/100),"")),"")</f>
        <v/>
      </c>
      <c r="CK38" s="81" t="str">
        <f>IFERROR(IF(#REF!="","",IFERROR(#REF!*(#REF!/100),""))+IF(#REF!="","",IFERROR(#REF!*(#REF!/100),"")),"")</f>
        <v/>
      </c>
      <c r="CL38" s="81" t="str">
        <f>IFERROR(IF(E38="","",IFERROR(E38*($E$9/100),""))+IF(K38="","",IFERROR(K38*($K$9/100),""))+IF(#REF!="","",IFERROR(#REF!*(#REF!/100),""))+IF(#REF!="","",IFERROR(#REF!*(#REF!/100),"")),"")</f>
        <v/>
      </c>
      <c r="CM38" s="4"/>
      <c r="CN38" s="81" t="str">
        <f>IFERROR(IF(AC38="","",IFERROR(AC38*($AC$9/100),""))+IF(#REF!="","",IFERROR(#REF!*(#REF!/100),"")),"")</f>
        <v/>
      </c>
      <c r="CO38" s="81">
        <f t="shared" si="36"/>
        <v>44.325000000000003</v>
      </c>
      <c r="CP38">
        <f t="shared" si="23"/>
        <v>329.21</v>
      </c>
      <c r="CQ38" s="82" t="e">
        <f t="shared" si="24"/>
        <v>#REF!</v>
      </c>
    </row>
    <row r="39" spans="1:95">
      <c r="A39" s="201">
        <v>29</v>
      </c>
      <c r="B39" s="122" t="s">
        <v>245</v>
      </c>
      <c r="C39" s="122" t="s">
        <v>246</v>
      </c>
      <c r="D39" s="73">
        <f>'Penguk.CPMK-Smt1'!D39</f>
        <v>85.5</v>
      </c>
      <c r="E39" s="73">
        <f>'Penguk.CPMK-Smt1'!E39</f>
        <v>85.5</v>
      </c>
      <c r="F39" s="73">
        <f t="shared" si="0"/>
        <v>85.5</v>
      </c>
      <c r="G39" s="91">
        <f>'Penguk.CPMK-Smt1'!G39</f>
        <v>79.38</v>
      </c>
      <c r="H39" s="91">
        <f>'Penguk.CPMK-Smt1'!H39</f>
        <v>79.38</v>
      </c>
      <c r="I39" s="91">
        <f>'Penguk.CPMK-Smt1'!I39</f>
        <v>81.23</v>
      </c>
      <c r="J39" s="91">
        <f>'Penguk.CPMK-Smt1'!J39</f>
        <v>76.430000000000007</v>
      </c>
      <c r="K39" s="91">
        <f>'Penguk.CPMK-Smt1'!K39</f>
        <v>81.52</v>
      </c>
      <c r="L39" s="91">
        <f t="shared" si="1"/>
        <v>29.82</v>
      </c>
      <c r="M39" s="74">
        <f>'Penguk.CPMK-Smt1'!M39</f>
        <v>86</v>
      </c>
      <c r="N39" s="74">
        <f>'Penguk.CPMK-Smt1'!N39</f>
        <v>96.5</v>
      </c>
      <c r="O39" s="74">
        <f t="shared" si="2"/>
        <v>91.25</v>
      </c>
      <c r="P39" s="75">
        <f>'Penguk.CPMK-Smt1'!P39</f>
        <v>67</v>
      </c>
      <c r="Q39" s="75">
        <f>'Penguk.CPMK-Smt1'!Q39</f>
        <v>82</v>
      </c>
      <c r="R39" s="75">
        <f t="shared" si="3"/>
        <v>74.5</v>
      </c>
      <c r="S39" s="76">
        <f>'Penguk.CPMK-Smt1'!S39</f>
        <v>91</v>
      </c>
      <c r="T39" s="76">
        <f>'Penguk.CPMK-Smt1'!T39</f>
        <v>91</v>
      </c>
      <c r="U39" s="76">
        <f t="shared" si="4"/>
        <v>91</v>
      </c>
      <c r="V39" s="38">
        <f>'Penguk.CPMK-Smt1'!V39</f>
        <v>91</v>
      </c>
      <c r="W39" s="38">
        <f>'Penguk.CPMK-Smt1'!W39</f>
        <v>91</v>
      </c>
      <c r="X39" s="38">
        <f t="shared" si="5"/>
        <v>91</v>
      </c>
      <c r="Y39" s="77">
        <f>'Penguk.CPMK-Smt1'!Y39</f>
        <v>83</v>
      </c>
      <c r="Z39" s="77">
        <f>'Penguk.CPMK-Smt1'!Z39</f>
        <v>83</v>
      </c>
      <c r="AA39" s="77">
        <f t="shared" si="25"/>
        <v>83</v>
      </c>
      <c r="AB39" s="78">
        <f>'Penguk.CPMK-Smt1'!AB39</f>
        <v>92</v>
      </c>
      <c r="AC39" s="78">
        <f>'Penguk.CPMK-Smt1'!AC39</f>
        <v>92</v>
      </c>
      <c r="AD39" s="78">
        <f t="shared" si="6"/>
        <v>92</v>
      </c>
      <c r="AF39" s="79">
        <f t="shared" si="7"/>
        <v>174</v>
      </c>
      <c r="AG39" s="89">
        <f t="shared" si="8"/>
        <v>0.87</v>
      </c>
      <c r="AH39" s="79">
        <f t="shared" si="9"/>
        <v>85.5</v>
      </c>
      <c r="AI39" s="89">
        <f t="shared" si="10"/>
        <v>0.85499999999999998</v>
      </c>
      <c r="AJ39" s="79"/>
      <c r="AK39" s="89" t="str">
        <f t="shared" si="11"/>
        <v/>
      </c>
      <c r="AL39" s="79"/>
      <c r="AM39" s="89" t="str">
        <f t="shared" si="12"/>
        <v/>
      </c>
      <c r="AN39" s="80"/>
      <c r="AO39" s="80"/>
      <c r="AP39" s="80"/>
      <c r="AQ39" s="80"/>
      <c r="AR39" s="80"/>
      <c r="AS39" s="80"/>
      <c r="AT39" s="80">
        <f t="shared" si="13"/>
        <v>91.25</v>
      </c>
      <c r="AU39" s="89">
        <f t="shared" si="14"/>
        <v>0.91249999999999998</v>
      </c>
      <c r="AV39" s="79">
        <f t="shared" si="15"/>
        <v>48.25</v>
      </c>
      <c r="AW39" s="89">
        <f t="shared" si="16"/>
        <v>0.96499999999999997</v>
      </c>
      <c r="AX39" s="79">
        <f t="shared" si="17"/>
        <v>62.5717</v>
      </c>
      <c r="AY39" s="89">
        <f t="shared" si="18"/>
        <v>0.792046835443038</v>
      </c>
      <c r="AZ39" s="80">
        <f t="shared" si="19"/>
        <v>108.11920000000001</v>
      </c>
      <c r="BA39" s="89">
        <f t="shared" si="20"/>
        <v>0.89354710743801657</v>
      </c>
      <c r="BB39" s="79">
        <f t="shared" si="21"/>
        <v>92</v>
      </c>
      <c r="BC39" s="89">
        <f t="shared" si="22"/>
        <v>0.92</v>
      </c>
      <c r="BF39" s="4">
        <f t="shared" si="26"/>
        <v>43</v>
      </c>
      <c r="BG39" s="4">
        <f t="shared" si="27"/>
        <v>12.700799999999999</v>
      </c>
      <c r="BH39" s="81">
        <f t="shared" si="28"/>
        <v>45.5</v>
      </c>
      <c r="BI39" s="81">
        <f t="shared" si="29"/>
        <v>42.75</v>
      </c>
      <c r="BJ39" s="81">
        <f t="shared" si="30"/>
        <v>45.5</v>
      </c>
      <c r="BK39" s="4"/>
      <c r="BL39" s="4"/>
      <c r="BM39" s="4"/>
      <c r="BN39" s="4"/>
      <c r="BO39" s="81">
        <f t="shared" si="31"/>
        <v>45.5</v>
      </c>
      <c r="BP39" s="81">
        <f t="shared" si="32"/>
        <v>33.5</v>
      </c>
      <c r="BQ39" s="81">
        <f t="shared" si="33"/>
        <v>48.25</v>
      </c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81">
        <f t="shared" si="34"/>
        <v>41</v>
      </c>
      <c r="CE39" s="81">
        <f t="shared" si="35"/>
        <v>45.5</v>
      </c>
      <c r="CF39" s="81" t="str">
        <f>IFERROR(IF(Y39="","",IFERROR(Y39*($Y$9/100),""))+IF(AB39="","",IFERROR(AB39*($AB$9/100),""))+IF(#REF!="","",IFERROR(#REF!*(#REF!/100),"")),"")</f>
        <v/>
      </c>
      <c r="CG39" s="4"/>
      <c r="CH39" s="4"/>
      <c r="CI39" s="4"/>
      <c r="CJ39" s="81" t="str">
        <f>IFERROR(IF(#REF!="","",IFERROR(#REF!*(#REF!/100),"")),"")</f>
        <v/>
      </c>
      <c r="CK39" s="81" t="str">
        <f>IFERROR(IF(#REF!="","",IFERROR(#REF!*(#REF!/100),""))+IF(#REF!="","",IFERROR(#REF!*(#REF!/100),"")),"")</f>
        <v/>
      </c>
      <c r="CL39" s="81" t="str">
        <f>IFERROR(IF(E39="","",IFERROR(E39*($E$9/100),""))+IF(K39="","",IFERROR(K39*($K$9/100),""))+IF(#REF!="","",IFERROR(#REF!*(#REF!/100),""))+IF(#REF!="","",IFERROR(#REF!*(#REF!/100),"")),"")</f>
        <v/>
      </c>
      <c r="CM39" s="4"/>
      <c r="CN39" s="81" t="str">
        <f>IFERROR(IF(AC39="","",IFERROR(AC39*($AC$9/100),""))+IF(#REF!="","",IFERROR(#REF!*(#REF!/100),"")),"")</f>
        <v/>
      </c>
      <c r="CO39" s="81">
        <f t="shared" si="36"/>
        <v>41.5</v>
      </c>
      <c r="CP39">
        <f t="shared" si="23"/>
        <v>444.70080000000002</v>
      </c>
      <c r="CQ39" s="82" t="e">
        <f t="shared" si="24"/>
        <v>#REF!</v>
      </c>
    </row>
    <row r="40" spans="1:95">
      <c r="A40" s="201">
        <v>30</v>
      </c>
      <c r="B40" s="122" t="s">
        <v>247</v>
      </c>
      <c r="C40" s="122" t="s">
        <v>248</v>
      </c>
      <c r="D40" s="73">
        <f>'Penguk.CPMK-Smt1'!D40</f>
        <v>85.5</v>
      </c>
      <c r="E40" s="73">
        <f>'Penguk.CPMK-Smt1'!E40</f>
        <v>85.5</v>
      </c>
      <c r="F40" s="73">
        <f t="shared" si="0"/>
        <v>85.5</v>
      </c>
      <c r="G40" s="91">
        <f>'Penguk.CPMK-Smt1'!G40</f>
        <v>82.5</v>
      </c>
      <c r="H40" s="91">
        <f>'Penguk.CPMK-Smt1'!H40</f>
        <v>83.75</v>
      </c>
      <c r="I40" s="91">
        <f>'Penguk.CPMK-Smt1'!I40</f>
        <v>85.38</v>
      </c>
      <c r="J40" s="91">
        <f>'Penguk.CPMK-Smt1'!J40</f>
        <v>83.81</v>
      </c>
      <c r="K40" s="91">
        <f>'Penguk.CPMK-Smt1'!K40</f>
        <v>86.48</v>
      </c>
      <c r="L40" s="91">
        <f t="shared" si="1"/>
        <v>31.360800000000005</v>
      </c>
      <c r="M40" s="74">
        <f>'Penguk.CPMK-Smt1'!M40</f>
        <v>86</v>
      </c>
      <c r="N40" s="74">
        <f>'Penguk.CPMK-Smt1'!N40</f>
        <v>91.6</v>
      </c>
      <c r="O40" s="74">
        <f t="shared" si="2"/>
        <v>88.8</v>
      </c>
      <c r="P40" s="75">
        <f>'Penguk.CPMK-Smt1'!P40</f>
        <v>85.5</v>
      </c>
      <c r="Q40" s="75">
        <f>'Penguk.CPMK-Smt1'!Q40</f>
        <v>87.5</v>
      </c>
      <c r="R40" s="75">
        <f t="shared" si="3"/>
        <v>86.5</v>
      </c>
      <c r="S40" s="76">
        <f>'Penguk.CPMK-Smt1'!S40</f>
        <v>91</v>
      </c>
      <c r="T40" s="76">
        <f>'Penguk.CPMK-Smt1'!T40</f>
        <v>95.5</v>
      </c>
      <c r="U40" s="76">
        <f t="shared" si="4"/>
        <v>93.25</v>
      </c>
      <c r="V40" s="38">
        <f>'Penguk.CPMK-Smt1'!V40</f>
        <v>85</v>
      </c>
      <c r="W40" s="38">
        <f>'Penguk.CPMK-Smt1'!W40</f>
        <v>90</v>
      </c>
      <c r="X40" s="38">
        <f t="shared" si="5"/>
        <v>87.5</v>
      </c>
      <c r="Y40" s="77">
        <f>'Penguk.CPMK-Smt1'!Y40</f>
        <v>66.2</v>
      </c>
      <c r="Z40" s="77">
        <f>'Penguk.CPMK-Smt1'!Z40</f>
        <v>66.2</v>
      </c>
      <c r="AA40" s="77">
        <f t="shared" si="25"/>
        <v>66.2</v>
      </c>
      <c r="AB40" s="78">
        <f>'Penguk.CPMK-Smt1'!AB40</f>
        <v>91</v>
      </c>
      <c r="AC40" s="78">
        <f>'Penguk.CPMK-Smt1'!AC40</f>
        <v>96.5</v>
      </c>
      <c r="AD40" s="78">
        <f t="shared" si="6"/>
        <v>93.75</v>
      </c>
      <c r="AF40" s="79">
        <f t="shared" si="7"/>
        <v>153.69999999999999</v>
      </c>
      <c r="AG40" s="89">
        <f t="shared" si="8"/>
        <v>0.76849999999999996</v>
      </c>
      <c r="AH40" s="79">
        <f t="shared" si="9"/>
        <v>85.5</v>
      </c>
      <c r="AI40" s="89">
        <f t="shared" si="10"/>
        <v>0.85499999999999998</v>
      </c>
      <c r="AJ40" s="79"/>
      <c r="AK40" s="89" t="str">
        <f t="shared" si="11"/>
        <v/>
      </c>
      <c r="AL40" s="79"/>
      <c r="AM40" s="89" t="str">
        <f t="shared" si="12"/>
        <v/>
      </c>
      <c r="AN40" s="80"/>
      <c r="AO40" s="80"/>
      <c r="AP40" s="80"/>
      <c r="AQ40" s="80"/>
      <c r="AR40" s="80"/>
      <c r="AS40" s="80"/>
      <c r="AT40" s="80">
        <f t="shared" si="13"/>
        <v>88.8</v>
      </c>
      <c r="AU40" s="89">
        <f t="shared" si="14"/>
        <v>0.88800000000000001</v>
      </c>
      <c r="AV40" s="79">
        <f t="shared" si="15"/>
        <v>45.8</v>
      </c>
      <c r="AW40" s="89">
        <f t="shared" si="16"/>
        <v>0.91599999999999993</v>
      </c>
      <c r="AX40" s="79">
        <f t="shared" si="17"/>
        <v>66.398899999999998</v>
      </c>
      <c r="AY40" s="89">
        <f t="shared" si="18"/>
        <v>0.84049240506329115</v>
      </c>
      <c r="AZ40" s="80">
        <f t="shared" si="19"/>
        <v>111.41079999999999</v>
      </c>
      <c r="BA40" s="89">
        <f t="shared" si="20"/>
        <v>0.92075041322314044</v>
      </c>
      <c r="BB40" s="79">
        <f t="shared" si="21"/>
        <v>93.75</v>
      </c>
      <c r="BC40" s="89">
        <f t="shared" si="22"/>
        <v>0.9375</v>
      </c>
      <c r="BF40" s="4">
        <f t="shared" si="26"/>
        <v>43</v>
      </c>
      <c r="BG40" s="4">
        <f t="shared" si="27"/>
        <v>13.200000000000001</v>
      </c>
      <c r="BH40" s="81">
        <f t="shared" si="28"/>
        <v>42.5</v>
      </c>
      <c r="BI40" s="81">
        <f t="shared" si="29"/>
        <v>42.75</v>
      </c>
      <c r="BJ40" s="81">
        <f t="shared" si="30"/>
        <v>45</v>
      </c>
      <c r="BK40" s="4"/>
      <c r="BL40" s="4"/>
      <c r="BM40" s="4"/>
      <c r="BN40" s="4"/>
      <c r="BO40" s="81">
        <f t="shared" si="31"/>
        <v>45.5</v>
      </c>
      <c r="BP40" s="81">
        <f t="shared" si="32"/>
        <v>42.75</v>
      </c>
      <c r="BQ40" s="81">
        <f t="shared" si="33"/>
        <v>45.8</v>
      </c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81">
        <f t="shared" si="34"/>
        <v>43.75</v>
      </c>
      <c r="CE40" s="81">
        <f t="shared" si="35"/>
        <v>47.75</v>
      </c>
      <c r="CF40" s="81" t="str">
        <f>IFERROR(IF(Y40="","",IFERROR(Y40*($Y$9/100),""))+IF(AB40="","",IFERROR(AB40*($AB$9/100),""))+IF(#REF!="","",IFERROR(#REF!*(#REF!/100),"")),"")</f>
        <v/>
      </c>
      <c r="CG40" s="4"/>
      <c r="CH40" s="4"/>
      <c r="CI40" s="4"/>
      <c r="CJ40" s="81" t="str">
        <f>IFERROR(IF(#REF!="","",IFERROR(#REF!*(#REF!/100),"")),"")</f>
        <v/>
      </c>
      <c r="CK40" s="81" t="str">
        <f>IFERROR(IF(#REF!="","",IFERROR(#REF!*(#REF!/100),""))+IF(#REF!="","",IFERROR(#REF!*(#REF!/100),"")),"")</f>
        <v/>
      </c>
      <c r="CL40" s="81" t="str">
        <f>IFERROR(IF(E40="","",IFERROR(E40*($E$9/100),""))+IF(K40="","",IFERROR(K40*($K$9/100),""))+IF(#REF!="","",IFERROR(#REF!*(#REF!/100),""))+IF(#REF!="","",IFERROR(#REF!*(#REF!/100),"")),"")</f>
        <v/>
      </c>
      <c r="CM40" s="4"/>
      <c r="CN40" s="81" t="str">
        <f>IFERROR(IF(AC40="","",IFERROR(AC40*($AC$9/100),""))+IF(#REF!="","",IFERROR(#REF!*(#REF!/100),"")),"")</f>
        <v/>
      </c>
      <c r="CO40" s="81">
        <f t="shared" si="36"/>
        <v>33.1</v>
      </c>
      <c r="CP40">
        <f t="shared" si="23"/>
        <v>445.1</v>
      </c>
      <c r="CQ40" s="82" t="e">
        <f t="shared" si="24"/>
        <v>#REF!</v>
      </c>
    </row>
    <row r="41" spans="1:95">
      <c r="A41" s="201">
        <v>31</v>
      </c>
      <c r="B41" s="122" t="s">
        <v>249</v>
      </c>
      <c r="C41" s="122" t="s">
        <v>250</v>
      </c>
      <c r="D41" s="73">
        <f>'Penguk.CPMK-Smt1'!D41</f>
        <v>85.5</v>
      </c>
      <c r="E41" s="73">
        <f>'Penguk.CPMK-Smt1'!E41</f>
        <v>85.5</v>
      </c>
      <c r="F41" s="73">
        <f t="shared" si="0"/>
        <v>85.5</v>
      </c>
      <c r="G41" s="91">
        <f>'Penguk.CPMK-Smt1'!G41</f>
        <v>82.5</v>
      </c>
      <c r="H41" s="91">
        <f>'Penguk.CPMK-Smt1'!H41</f>
        <v>82.5</v>
      </c>
      <c r="I41" s="91">
        <f>'Penguk.CPMK-Smt1'!I41</f>
        <v>81.23</v>
      </c>
      <c r="J41" s="91">
        <f>'Penguk.CPMK-Smt1'!J41</f>
        <v>80</v>
      </c>
      <c r="K41" s="91">
        <f>'Penguk.CPMK-Smt1'!K41</f>
        <v>81.52</v>
      </c>
      <c r="L41" s="91">
        <f t="shared" si="1"/>
        <v>30.319200000000002</v>
      </c>
      <c r="M41" s="74">
        <f>'Penguk.CPMK-Smt1'!M41</f>
        <v>89.5</v>
      </c>
      <c r="N41" s="74">
        <f>'Penguk.CPMK-Smt1'!N41</f>
        <v>93</v>
      </c>
      <c r="O41" s="74">
        <f t="shared" si="2"/>
        <v>91.25</v>
      </c>
      <c r="P41" s="75">
        <f>'Penguk.CPMK-Smt1'!P41</f>
        <v>73</v>
      </c>
      <c r="Q41" s="75">
        <f>'Penguk.CPMK-Smt1'!Q41</f>
        <v>82</v>
      </c>
      <c r="R41" s="75">
        <f t="shared" si="3"/>
        <v>77.5</v>
      </c>
      <c r="S41" s="76">
        <f>'Penguk.CPMK-Smt1'!S41</f>
        <v>95.5</v>
      </c>
      <c r="T41" s="76">
        <f>'Penguk.CPMK-Smt1'!T41</f>
        <v>91</v>
      </c>
      <c r="U41" s="76">
        <f t="shared" si="4"/>
        <v>93.25</v>
      </c>
      <c r="V41" s="38">
        <f>'Penguk.CPMK-Smt1'!V41</f>
        <v>89.75</v>
      </c>
      <c r="W41" s="38">
        <f>'Penguk.CPMK-Smt1'!W41</f>
        <v>89.75</v>
      </c>
      <c r="X41" s="38">
        <f t="shared" si="5"/>
        <v>89.75</v>
      </c>
      <c r="Y41" s="77">
        <f>'Penguk.CPMK-Smt1'!Y41</f>
        <v>89.7</v>
      </c>
      <c r="Z41" s="77">
        <f>'Penguk.CPMK-Smt1'!Z41</f>
        <v>89.7</v>
      </c>
      <c r="AA41" s="77">
        <f t="shared" si="25"/>
        <v>89.7</v>
      </c>
      <c r="AB41" s="78">
        <f>'Penguk.CPMK-Smt1'!AB41</f>
        <v>92</v>
      </c>
      <c r="AC41" s="78">
        <f>'Penguk.CPMK-Smt1'!AC41</f>
        <v>94.5</v>
      </c>
      <c r="AD41" s="78">
        <f t="shared" si="6"/>
        <v>93.25</v>
      </c>
      <c r="AF41" s="79">
        <f t="shared" si="7"/>
        <v>179.45</v>
      </c>
      <c r="AG41" s="89">
        <f t="shared" si="8"/>
        <v>0.89724999999999999</v>
      </c>
      <c r="AH41" s="79">
        <f t="shared" si="9"/>
        <v>85.5</v>
      </c>
      <c r="AI41" s="89">
        <f t="shared" si="10"/>
        <v>0.85499999999999998</v>
      </c>
      <c r="AJ41" s="79"/>
      <c r="AK41" s="89" t="str">
        <f t="shared" si="11"/>
        <v/>
      </c>
      <c r="AL41" s="79"/>
      <c r="AM41" s="89" t="str">
        <f t="shared" si="12"/>
        <v/>
      </c>
      <c r="AN41" s="80"/>
      <c r="AO41" s="80"/>
      <c r="AP41" s="80"/>
      <c r="AQ41" s="80"/>
      <c r="AR41" s="80"/>
      <c r="AS41" s="80"/>
      <c r="AT41" s="80">
        <f t="shared" si="13"/>
        <v>91.25</v>
      </c>
      <c r="AU41" s="89">
        <f t="shared" si="14"/>
        <v>0.91249999999999998</v>
      </c>
      <c r="AV41" s="79">
        <f t="shared" si="15"/>
        <v>46.5</v>
      </c>
      <c r="AW41" s="89">
        <f t="shared" si="16"/>
        <v>0.93</v>
      </c>
      <c r="AX41" s="79">
        <f t="shared" si="17"/>
        <v>64.319800000000001</v>
      </c>
      <c r="AY41" s="89">
        <f t="shared" si="18"/>
        <v>0.81417468354430378</v>
      </c>
      <c r="AZ41" s="80">
        <f t="shared" si="19"/>
        <v>110.36920000000001</v>
      </c>
      <c r="BA41" s="89">
        <f t="shared" si="20"/>
        <v>0.91214214876033062</v>
      </c>
      <c r="BB41" s="79">
        <f t="shared" si="21"/>
        <v>93.25</v>
      </c>
      <c r="BC41" s="89">
        <f t="shared" si="22"/>
        <v>0.9325</v>
      </c>
      <c r="BF41" s="4">
        <f t="shared" si="26"/>
        <v>44.75</v>
      </c>
      <c r="BG41" s="4">
        <f t="shared" si="27"/>
        <v>13.200000000000001</v>
      </c>
      <c r="BH41" s="81">
        <f t="shared" si="28"/>
        <v>44.875</v>
      </c>
      <c r="BI41" s="81">
        <f t="shared" si="29"/>
        <v>42.75</v>
      </c>
      <c r="BJ41" s="81">
        <f t="shared" si="30"/>
        <v>44.875</v>
      </c>
      <c r="BK41" s="4"/>
      <c r="BL41" s="4"/>
      <c r="BM41" s="4"/>
      <c r="BN41" s="4"/>
      <c r="BO41" s="81">
        <f t="shared" si="31"/>
        <v>47.75</v>
      </c>
      <c r="BP41" s="81">
        <f t="shared" si="32"/>
        <v>36.5</v>
      </c>
      <c r="BQ41" s="81">
        <f t="shared" si="33"/>
        <v>46.5</v>
      </c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81">
        <f t="shared" si="34"/>
        <v>41</v>
      </c>
      <c r="CE41" s="81">
        <f t="shared" si="35"/>
        <v>45.5</v>
      </c>
      <c r="CF41" s="81" t="str">
        <f>IFERROR(IF(Y41="","",IFERROR(Y41*($Y$9/100),""))+IF(AB41="","",IFERROR(AB41*($AB$9/100),""))+IF(#REF!="","",IFERROR(#REF!*(#REF!/100),"")),"")</f>
        <v/>
      </c>
      <c r="CG41" s="4"/>
      <c r="CH41" s="4"/>
      <c r="CI41" s="4"/>
      <c r="CJ41" s="81" t="str">
        <f>IFERROR(IF(#REF!="","",IFERROR(#REF!*(#REF!/100),"")),"")</f>
        <v/>
      </c>
      <c r="CK41" s="81" t="str">
        <f>IFERROR(IF(#REF!="","",IFERROR(#REF!*(#REF!/100),""))+IF(#REF!="","",IFERROR(#REF!*(#REF!/100),"")),"")</f>
        <v/>
      </c>
      <c r="CL41" s="81" t="str">
        <f>IFERROR(IF(E41="","",IFERROR(E41*($E$9/100),""))+IF(K41="","",IFERROR(K41*($K$9/100),""))+IF(#REF!="","",IFERROR(#REF!*(#REF!/100),""))+IF(#REF!="","",IFERROR(#REF!*(#REF!/100),"")),"")</f>
        <v/>
      </c>
      <c r="CM41" s="4"/>
      <c r="CN41" s="81" t="str">
        <f>IFERROR(IF(AC41="","",IFERROR(AC41*($AC$9/100),""))+IF(#REF!="","",IFERROR(#REF!*(#REF!/100),"")),"")</f>
        <v/>
      </c>
      <c r="CO41" s="81">
        <f t="shared" si="36"/>
        <v>44.85</v>
      </c>
      <c r="CP41">
        <f t="shared" si="23"/>
        <v>452.55</v>
      </c>
      <c r="CQ41" s="82" t="e">
        <f t="shared" si="24"/>
        <v>#REF!</v>
      </c>
    </row>
    <row r="42" spans="1:95">
      <c r="A42" s="201">
        <v>32</v>
      </c>
      <c r="B42" s="122" t="s">
        <v>251</v>
      </c>
      <c r="C42" s="122" t="s">
        <v>252</v>
      </c>
      <c r="D42" s="73">
        <f>'Penguk.CPMK-Smt1'!D42</f>
        <v>80.25</v>
      </c>
      <c r="E42" s="73">
        <f>'Penguk.CPMK-Smt1'!E42</f>
        <v>80.25</v>
      </c>
      <c r="F42" s="73">
        <f t="shared" si="0"/>
        <v>80.25</v>
      </c>
      <c r="G42" s="91">
        <f>'Penguk.CPMK-Smt1'!G42</f>
        <v>79.38</v>
      </c>
      <c r="H42" s="91">
        <f>'Penguk.CPMK-Smt1'!H42</f>
        <v>81.38</v>
      </c>
      <c r="I42" s="91">
        <f>'Penguk.CPMK-Smt1'!I42</f>
        <v>72.31</v>
      </c>
      <c r="J42" s="91">
        <f>'Penguk.CPMK-Smt1'!J42</f>
        <v>76.430000000000007</v>
      </c>
      <c r="K42" s="91">
        <f>'Penguk.CPMK-Smt1'!K42</f>
        <v>72.86</v>
      </c>
      <c r="L42" s="91">
        <f t="shared" si="1"/>
        <v>28.001399999999997</v>
      </c>
      <c r="M42" s="74">
        <f>'Penguk.CPMK-Smt1'!M42</f>
        <v>82.5</v>
      </c>
      <c r="N42" s="74">
        <f>'Penguk.CPMK-Smt1'!N42</f>
        <v>72</v>
      </c>
      <c r="O42" s="74">
        <f t="shared" si="2"/>
        <v>77.25</v>
      </c>
      <c r="P42" s="75">
        <f>'Penguk.CPMK-Smt1'!P42</f>
        <v>74</v>
      </c>
      <c r="Q42" s="75">
        <f>'Penguk.CPMK-Smt1'!Q42</f>
        <v>74</v>
      </c>
      <c r="R42" s="75">
        <f t="shared" si="3"/>
        <v>74</v>
      </c>
      <c r="S42" s="76">
        <f>'Penguk.CPMK-Smt1'!S42</f>
        <v>91</v>
      </c>
      <c r="T42" s="76">
        <f>'Penguk.CPMK-Smt1'!T42</f>
        <v>91</v>
      </c>
      <c r="U42" s="76">
        <f t="shared" si="4"/>
        <v>91</v>
      </c>
      <c r="V42" s="38">
        <f>'Penguk.CPMK-Smt1'!V42</f>
        <v>85</v>
      </c>
      <c r="W42" s="38">
        <f>'Penguk.CPMK-Smt1'!W42</f>
        <v>90</v>
      </c>
      <c r="X42" s="38">
        <f t="shared" si="5"/>
        <v>87.5</v>
      </c>
      <c r="Y42" s="77">
        <f>'Penguk.CPMK-Smt1'!Y42</f>
        <v>89.7</v>
      </c>
      <c r="Z42" s="77">
        <f>'Penguk.CPMK-Smt1'!Z42</f>
        <v>89.7</v>
      </c>
      <c r="AA42" s="77">
        <f t="shared" si="25"/>
        <v>89.7</v>
      </c>
      <c r="AB42" s="78">
        <f>'Penguk.CPMK-Smt1'!AB42</f>
        <v>91</v>
      </c>
      <c r="AC42" s="78">
        <f>'Penguk.CPMK-Smt1'!AC42</f>
        <v>100</v>
      </c>
      <c r="AD42" s="78">
        <f t="shared" si="6"/>
        <v>95.5</v>
      </c>
      <c r="AF42" s="79">
        <f t="shared" si="7"/>
        <v>177.2</v>
      </c>
      <c r="AG42" s="89">
        <f t="shared" si="8"/>
        <v>0.8859999999999999</v>
      </c>
      <c r="AH42" s="79">
        <f t="shared" si="9"/>
        <v>80.25</v>
      </c>
      <c r="AI42" s="89">
        <f t="shared" si="10"/>
        <v>0.80249999999999999</v>
      </c>
      <c r="AJ42" s="79"/>
      <c r="AK42" s="89" t="str">
        <f t="shared" si="11"/>
        <v/>
      </c>
      <c r="AL42" s="79"/>
      <c r="AM42" s="89" t="str">
        <f t="shared" si="12"/>
        <v/>
      </c>
      <c r="AN42" s="80"/>
      <c r="AO42" s="80"/>
      <c r="AP42" s="80"/>
      <c r="AQ42" s="80"/>
      <c r="AR42" s="80"/>
      <c r="AS42" s="80"/>
      <c r="AT42" s="80">
        <f t="shared" si="13"/>
        <v>77.25</v>
      </c>
      <c r="AU42" s="89">
        <f t="shared" si="14"/>
        <v>0.77249999999999996</v>
      </c>
      <c r="AV42" s="79">
        <f t="shared" si="15"/>
        <v>36</v>
      </c>
      <c r="AW42" s="89">
        <f t="shared" si="16"/>
        <v>0.72</v>
      </c>
      <c r="AX42" s="79">
        <f t="shared" si="17"/>
        <v>60.572499999999998</v>
      </c>
      <c r="AY42" s="89">
        <f t="shared" si="18"/>
        <v>0.76674050632911395</v>
      </c>
      <c r="AZ42" s="80">
        <f t="shared" si="19"/>
        <v>106.3006</v>
      </c>
      <c r="BA42" s="89">
        <f t="shared" si="20"/>
        <v>0.8785173553719009</v>
      </c>
      <c r="BB42" s="79">
        <f t="shared" si="21"/>
        <v>95.5</v>
      </c>
      <c r="BC42" s="89">
        <f t="shared" si="22"/>
        <v>0.95499999999999996</v>
      </c>
      <c r="BF42" s="4">
        <f t="shared" si="26"/>
        <v>41.25</v>
      </c>
      <c r="BG42" s="4">
        <f t="shared" si="27"/>
        <v>12.700799999999999</v>
      </c>
      <c r="BH42" s="81">
        <f t="shared" si="28"/>
        <v>42.5</v>
      </c>
      <c r="BI42" s="81">
        <f t="shared" si="29"/>
        <v>40.125</v>
      </c>
      <c r="BJ42" s="81">
        <f t="shared" si="30"/>
        <v>45</v>
      </c>
      <c r="BK42" s="4"/>
      <c r="BL42" s="4"/>
      <c r="BM42" s="4"/>
      <c r="BN42" s="4"/>
      <c r="BO42" s="81">
        <f t="shared" si="31"/>
        <v>45.5</v>
      </c>
      <c r="BP42" s="81">
        <f t="shared" si="32"/>
        <v>37</v>
      </c>
      <c r="BQ42" s="81">
        <f t="shared" si="33"/>
        <v>36</v>
      </c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81">
        <f t="shared" si="34"/>
        <v>37</v>
      </c>
      <c r="CE42" s="81">
        <f t="shared" si="35"/>
        <v>45.5</v>
      </c>
      <c r="CF42" s="81" t="str">
        <f>IFERROR(IF(Y42="","",IFERROR(Y42*($Y$9/100),""))+IF(AB42="","",IFERROR(AB42*($AB$9/100),""))+IF(#REF!="","",IFERROR(#REF!*(#REF!/100),"")),"")</f>
        <v/>
      </c>
      <c r="CG42" s="4"/>
      <c r="CH42" s="4"/>
      <c r="CI42" s="4"/>
      <c r="CJ42" s="81" t="str">
        <f>IFERROR(IF(#REF!="","",IFERROR(#REF!*(#REF!/100),"")),"")</f>
        <v/>
      </c>
      <c r="CK42" s="81" t="str">
        <f>IFERROR(IF(#REF!="","",IFERROR(#REF!*(#REF!/100),""))+IF(#REF!="","",IFERROR(#REF!*(#REF!/100),"")),"")</f>
        <v/>
      </c>
      <c r="CL42" s="81" t="str">
        <f>IFERROR(IF(E42="","",IFERROR(E42*($E$9/100),""))+IF(K42="","",IFERROR(K42*($K$9/100),""))+IF(#REF!="","",IFERROR(#REF!*(#REF!/100),""))+IF(#REF!="","",IFERROR(#REF!*(#REF!/100),"")),"")</f>
        <v/>
      </c>
      <c r="CM42" s="4"/>
      <c r="CN42" s="81" t="str">
        <f>IFERROR(IF(AC42="","",IFERROR(AC42*($AC$9/100),""))+IF(#REF!="","",IFERROR(#REF!*(#REF!/100),"")),"")</f>
        <v/>
      </c>
      <c r="CO42" s="81">
        <f t="shared" si="36"/>
        <v>44.85</v>
      </c>
      <c r="CP42">
        <f t="shared" si="23"/>
        <v>427.42580000000004</v>
      </c>
      <c r="CQ42" s="82" t="e">
        <f t="shared" si="24"/>
        <v>#REF!</v>
      </c>
    </row>
    <row r="43" spans="1:95">
      <c r="A43" s="201">
        <v>33</v>
      </c>
      <c r="B43" s="122" t="s">
        <v>253</v>
      </c>
      <c r="C43" s="122" t="s">
        <v>254</v>
      </c>
      <c r="D43" s="73">
        <f>'Penguk.CPMK-Smt1'!D43</f>
        <v>83.75</v>
      </c>
      <c r="E43" s="73">
        <f>'Penguk.CPMK-Smt1'!E43</f>
        <v>83.75</v>
      </c>
      <c r="F43" s="73">
        <f t="shared" si="0"/>
        <v>83.75</v>
      </c>
      <c r="G43" s="91">
        <f>'Penguk.CPMK-Smt1'!G43</f>
        <v>76.25</v>
      </c>
      <c r="H43" s="91">
        <f>'Penguk.CPMK-Smt1'!H43</f>
        <v>76.25</v>
      </c>
      <c r="I43" s="91">
        <f>'Penguk.CPMK-Smt1'!I43</f>
        <v>80</v>
      </c>
      <c r="J43" s="91">
        <f>'Penguk.CPMK-Smt1'!J43</f>
        <v>72.86</v>
      </c>
      <c r="K43" s="91">
        <f>'Penguk.CPMK-Smt1'!K43</f>
        <v>80</v>
      </c>
      <c r="L43" s="91">
        <f t="shared" si="1"/>
        <v>29</v>
      </c>
      <c r="M43" s="74">
        <f>'Penguk.CPMK-Smt1'!M43</f>
        <v>72</v>
      </c>
      <c r="N43" s="74">
        <f>'Penguk.CPMK-Smt1'!N43</f>
        <v>51</v>
      </c>
      <c r="O43" s="74">
        <f t="shared" si="2"/>
        <v>61.5</v>
      </c>
      <c r="P43" s="75">
        <f>'Penguk.CPMK-Smt1'!P43</f>
        <v>74</v>
      </c>
      <c r="Q43" s="75">
        <f>'Penguk.CPMK-Smt1'!Q43</f>
        <v>82</v>
      </c>
      <c r="R43" s="75">
        <f t="shared" si="3"/>
        <v>78</v>
      </c>
      <c r="S43" s="76">
        <f>'Penguk.CPMK-Smt1'!S43</f>
        <v>95.5</v>
      </c>
      <c r="T43" s="76">
        <f>'Penguk.CPMK-Smt1'!T43</f>
        <v>95.5</v>
      </c>
      <c r="U43" s="76">
        <f t="shared" si="4"/>
        <v>95.5</v>
      </c>
      <c r="V43" s="38">
        <f>'Penguk.CPMK-Smt1'!V43</f>
        <v>95.55</v>
      </c>
      <c r="W43" s="38">
        <f>'Penguk.CPMK-Smt1'!W43</f>
        <v>95.55</v>
      </c>
      <c r="X43" s="38">
        <f t="shared" si="5"/>
        <v>95.55</v>
      </c>
      <c r="Y43" s="77">
        <f>'Penguk.CPMK-Smt1'!Y43</f>
        <v>87.95</v>
      </c>
      <c r="Z43" s="77">
        <f>'Penguk.CPMK-Smt1'!Z43</f>
        <v>87.95</v>
      </c>
      <c r="AA43" s="77">
        <f t="shared" si="25"/>
        <v>87.95</v>
      </c>
      <c r="AB43" s="78">
        <f>'Penguk.CPMK-Smt1'!AB43</f>
        <v>91</v>
      </c>
      <c r="AC43" s="78">
        <f>'Penguk.CPMK-Smt1'!AC43</f>
        <v>91</v>
      </c>
      <c r="AD43" s="78">
        <f t="shared" si="6"/>
        <v>91</v>
      </c>
      <c r="AF43" s="79">
        <f t="shared" si="7"/>
        <v>183.5</v>
      </c>
      <c r="AG43" s="89">
        <f t="shared" si="8"/>
        <v>0.91749999999999998</v>
      </c>
      <c r="AH43" s="79">
        <f t="shared" si="9"/>
        <v>83.75</v>
      </c>
      <c r="AI43" s="89">
        <f t="shared" si="10"/>
        <v>0.83750000000000002</v>
      </c>
      <c r="AJ43" s="79"/>
      <c r="AK43" s="89" t="str">
        <f t="shared" si="11"/>
        <v/>
      </c>
      <c r="AL43" s="79"/>
      <c r="AM43" s="89" t="str">
        <f t="shared" si="12"/>
        <v/>
      </c>
      <c r="AN43" s="80"/>
      <c r="AO43" s="80"/>
      <c r="AP43" s="80"/>
      <c r="AQ43" s="80"/>
      <c r="AR43" s="80"/>
      <c r="AS43" s="80"/>
      <c r="AT43" s="80">
        <f t="shared" si="13"/>
        <v>61.5</v>
      </c>
      <c r="AU43" s="89">
        <f t="shared" si="14"/>
        <v>0.61499999999999999</v>
      </c>
      <c r="AV43" s="79">
        <f t="shared" si="15"/>
        <v>25.5</v>
      </c>
      <c r="AW43" s="89">
        <f t="shared" si="16"/>
        <v>0.51</v>
      </c>
      <c r="AX43" s="79">
        <f t="shared" si="17"/>
        <v>60.500600000000006</v>
      </c>
      <c r="AY43" s="89">
        <f t="shared" si="18"/>
        <v>0.76583037974683554</v>
      </c>
      <c r="AZ43" s="80">
        <f t="shared" si="19"/>
        <v>112.3</v>
      </c>
      <c r="BA43" s="89">
        <f t="shared" si="20"/>
        <v>0.92809917355371896</v>
      </c>
      <c r="BB43" s="79">
        <f t="shared" si="21"/>
        <v>91</v>
      </c>
      <c r="BC43" s="89">
        <f t="shared" si="22"/>
        <v>0.91</v>
      </c>
      <c r="BF43" s="4">
        <f t="shared" si="26"/>
        <v>36</v>
      </c>
      <c r="BG43" s="4">
        <f t="shared" si="27"/>
        <v>12.200000000000001</v>
      </c>
      <c r="BH43" s="81">
        <f t="shared" si="28"/>
        <v>47.774999999999999</v>
      </c>
      <c r="BI43" s="81">
        <f t="shared" si="29"/>
        <v>41.875</v>
      </c>
      <c r="BJ43" s="81">
        <f t="shared" si="30"/>
        <v>47.774999999999999</v>
      </c>
      <c r="BK43" s="4"/>
      <c r="BL43" s="4"/>
      <c r="BM43" s="4"/>
      <c r="BN43" s="4"/>
      <c r="BO43" s="81">
        <f t="shared" si="31"/>
        <v>47.75</v>
      </c>
      <c r="BP43" s="81">
        <f t="shared" si="32"/>
        <v>37</v>
      </c>
      <c r="BQ43" s="81">
        <f t="shared" si="33"/>
        <v>25.5</v>
      </c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81">
        <f t="shared" si="34"/>
        <v>41</v>
      </c>
      <c r="CE43" s="81">
        <f t="shared" si="35"/>
        <v>47.75</v>
      </c>
      <c r="CF43" s="81" t="str">
        <f>IFERROR(IF(Y43="","",IFERROR(Y43*($Y$9/100),""))+IF(AB43="","",IFERROR(AB43*($AB$9/100),""))+IF(#REF!="","",IFERROR(#REF!*(#REF!/100),"")),"")</f>
        <v/>
      </c>
      <c r="CG43" s="4"/>
      <c r="CH43" s="4"/>
      <c r="CI43" s="4"/>
      <c r="CJ43" s="81" t="str">
        <f>IFERROR(IF(#REF!="","",IFERROR(#REF!*(#REF!/100),"")),"")</f>
        <v/>
      </c>
      <c r="CK43" s="81" t="str">
        <f>IFERROR(IF(#REF!="","",IFERROR(#REF!*(#REF!/100),""))+IF(#REF!="","",IFERROR(#REF!*(#REF!/100),"")),"")</f>
        <v/>
      </c>
      <c r="CL43" s="81" t="str">
        <f>IFERROR(IF(E43="","",IFERROR(E43*($E$9/100),""))+IF(K43="","",IFERROR(K43*($K$9/100),""))+IF(#REF!="","",IFERROR(#REF!*(#REF!/100),""))+IF(#REF!="","",IFERROR(#REF!*(#REF!/100),"")),"")</f>
        <v/>
      </c>
      <c r="CM43" s="4"/>
      <c r="CN43" s="81" t="str">
        <f>IFERROR(IF(AC43="","",IFERROR(AC43*($AC$9/100),""))+IF(#REF!="","",IFERROR(#REF!*(#REF!/100),"")),"")</f>
        <v/>
      </c>
      <c r="CO43" s="81">
        <f t="shared" si="36"/>
        <v>43.975000000000001</v>
      </c>
      <c r="CP43">
        <f t="shared" si="23"/>
        <v>428.6</v>
      </c>
      <c r="CQ43" s="82" t="e">
        <f t="shared" si="24"/>
        <v>#REF!</v>
      </c>
    </row>
    <row r="44" spans="1:95">
      <c r="A44" s="201">
        <v>34</v>
      </c>
      <c r="B44" s="122" t="s">
        <v>255</v>
      </c>
      <c r="C44" s="122" t="s">
        <v>256</v>
      </c>
      <c r="D44" s="73">
        <f>'Penguk.CPMK-Smt1'!D44</f>
        <v>80.25</v>
      </c>
      <c r="E44" s="73">
        <f>'Penguk.CPMK-Smt1'!E44</f>
        <v>80.25</v>
      </c>
      <c r="F44" s="73">
        <f t="shared" si="0"/>
        <v>80.25</v>
      </c>
      <c r="G44" s="91">
        <f>'Penguk.CPMK-Smt1'!G44</f>
        <v>70.63</v>
      </c>
      <c r="H44" s="91">
        <f>'Penguk.CPMK-Smt1'!H44</f>
        <v>53.13</v>
      </c>
      <c r="I44" s="91">
        <f>'Penguk.CPMK-Smt1'!I44</f>
        <v>44.23</v>
      </c>
      <c r="J44" s="91">
        <f>'Penguk.CPMK-Smt1'!J44</f>
        <v>70.48</v>
      </c>
      <c r="K44" s="91">
        <f>'Penguk.CPMK-Smt1'!K44</f>
        <v>42.86</v>
      </c>
      <c r="L44" s="91">
        <f t="shared" si="1"/>
        <v>20.301400000000001</v>
      </c>
      <c r="M44" s="74">
        <f>'Penguk.CPMK-Smt1'!M44</f>
        <v>10</v>
      </c>
      <c r="N44" s="74">
        <f>'Penguk.CPMK-Smt1'!N44</f>
        <v>10</v>
      </c>
      <c r="O44" s="74">
        <f t="shared" si="2"/>
        <v>10</v>
      </c>
      <c r="P44" s="75">
        <f>'Penguk.CPMK-Smt1'!P44</f>
        <v>10</v>
      </c>
      <c r="Q44" s="75">
        <f>'Penguk.CPMK-Smt1'!Q44</f>
        <v>59</v>
      </c>
      <c r="R44" s="75">
        <f t="shared" si="3"/>
        <v>34.5</v>
      </c>
      <c r="S44" s="76">
        <f>'Penguk.CPMK-Smt1'!S44</f>
        <v>95.5</v>
      </c>
      <c r="T44" s="76">
        <f>'Penguk.CPMK-Smt1'!T44</f>
        <v>95.5</v>
      </c>
      <c r="U44" s="76">
        <f>IFERROR((S44*($S$9/100))+(T44*($T$9/100)),"")</f>
        <v>95.5</v>
      </c>
      <c r="V44" s="38">
        <f>'Penguk.CPMK-Smt1'!V44</f>
        <v>88</v>
      </c>
      <c r="W44" s="38">
        <f>'Penguk.CPMK-Smt1'!W44</f>
        <v>88</v>
      </c>
      <c r="X44" s="38">
        <f t="shared" si="5"/>
        <v>88</v>
      </c>
      <c r="Y44" s="77">
        <f>'Penguk.CPMK-Smt1'!Y44</f>
        <v>47.1</v>
      </c>
      <c r="Z44" s="77">
        <f>'Penguk.CPMK-Smt1'!Z44</f>
        <v>47.1</v>
      </c>
      <c r="AA44" s="77">
        <f t="shared" si="25"/>
        <v>47.1</v>
      </c>
      <c r="AB44" s="78">
        <f>'Penguk.CPMK-Smt1'!AB44</f>
        <v>67.5</v>
      </c>
      <c r="AC44" s="78">
        <f>'Penguk.CPMK-Smt1'!AC44</f>
        <v>64</v>
      </c>
      <c r="AD44" s="78">
        <f t="shared" si="6"/>
        <v>65.75</v>
      </c>
      <c r="AF44" s="79">
        <f t="shared" si="7"/>
        <v>135.1</v>
      </c>
      <c r="AG44" s="89">
        <f t="shared" si="8"/>
        <v>0.67549999999999999</v>
      </c>
      <c r="AH44" s="79">
        <f t="shared" si="9"/>
        <v>80.25</v>
      </c>
      <c r="AI44" s="89">
        <f t="shared" si="10"/>
        <v>0.80249999999999999</v>
      </c>
      <c r="AJ44" s="79"/>
      <c r="AK44" s="89" t="str">
        <f t="shared" si="11"/>
        <v/>
      </c>
      <c r="AL44" s="79"/>
      <c r="AM44" s="89" t="str">
        <f t="shared" si="12"/>
        <v/>
      </c>
      <c r="AN44" s="80"/>
      <c r="AO44" s="80"/>
      <c r="AP44" s="80"/>
      <c r="AQ44" s="80"/>
      <c r="AR44" s="80"/>
      <c r="AS44" s="80"/>
      <c r="AT44" s="80">
        <f t="shared" si="13"/>
        <v>10</v>
      </c>
      <c r="AU44" s="89">
        <f t="shared" si="14"/>
        <v>0.1</v>
      </c>
      <c r="AV44" s="79">
        <f t="shared" si="15"/>
        <v>5</v>
      </c>
      <c r="AW44" s="89">
        <f t="shared" si="16"/>
        <v>0.1</v>
      </c>
      <c r="AX44" s="79">
        <f t="shared" si="17"/>
        <v>46.102200000000003</v>
      </c>
      <c r="AY44" s="89">
        <f t="shared" si="18"/>
        <v>0.58357215189873424</v>
      </c>
      <c r="AZ44" s="80">
        <f t="shared" si="19"/>
        <v>104.50059999999999</v>
      </c>
      <c r="BA44" s="89">
        <f t="shared" si="20"/>
        <v>0.86364132231404955</v>
      </c>
      <c r="BB44" s="79">
        <f t="shared" si="21"/>
        <v>65.75</v>
      </c>
      <c r="BC44" s="89">
        <f t="shared" si="22"/>
        <v>0.65749999999999997</v>
      </c>
      <c r="BF44" s="4">
        <f t="shared" si="26"/>
        <v>5</v>
      </c>
      <c r="BG44" s="4">
        <f t="shared" si="27"/>
        <v>11.300799999999999</v>
      </c>
      <c r="BH44" s="81">
        <f t="shared" si="28"/>
        <v>44</v>
      </c>
      <c r="BI44" s="81">
        <f t="shared" si="29"/>
        <v>40.125</v>
      </c>
      <c r="BJ44" s="81">
        <f t="shared" si="30"/>
        <v>44</v>
      </c>
      <c r="BK44" s="4"/>
      <c r="BL44" s="4"/>
      <c r="BM44" s="4"/>
      <c r="BN44" s="4"/>
      <c r="BO44" s="81">
        <f t="shared" si="31"/>
        <v>47.75</v>
      </c>
      <c r="BP44" s="81">
        <f t="shared" si="32"/>
        <v>5</v>
      </c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</row>
    <row r="45" spans="1:95" ht="14.5" thickBot="1">
      <c r="AT45" s="80"/>
    </row>
    <row r="46" spans="1:95" ht="14.5" hidden="1" thickBot="1">
      <c r="D46" s="36" t="str">
        <f>D8</f>
        <v>CPMK021</v>
      </c>
      <c r="E46" s="36" t="str">
        <f>E8</f>
        <v>CPMK023</v>
      </c>
      <c r="G46" s="36" t="str">
        <f>G8</f>
        <v>CPMK101</v>
      </c>
      <c r="K46" s="36" t="str">
        <f>K8</f>
        <v>CPMK111</v>
      </c>
      <c r="M46" s="36" t="str">
        <f>M8</f>
        <v>CPMK81</v>
      </c>
      <c r="N46" s="36" t="str">
        <f>N8</f>
        <v>CPMK91</v>
      </c>
      <c r="P46" s="36" t="str">
        <f>P8</f>
        <v>CPMK55</v>
      </c>
      <c r="Q46" s="36" t="str">
        <f>Q8</f>
        <v>CPMK56</v>
      </c>
      <c r="S46" s="36" t="str">
        <f>S8</f>
        <v>CPMK114</v>
      </c>
      <c r="T46" s="36" t="str">
        <f>T8</f>
        <v>CPMK115</v>
      </c>
      <c r="V46" s="36" t="str">
        <f>V8</f>
        <v>CPMK11</v>
      </c>
      <c r="W46" s="36" t="str">
        <f>W8</f>
        <v>CPMK13</v>
      </c>
      <c r="Y46" s="36" t="str">
        <f>Y8</f>
        <v>CPMK12</v>
      </c>
      <c r="Z46" s="36" t="str">
        <f>Z8</f>
        <v>CPMK13</v>
      </c>
      <c r="AB46" s="36" t="str">
        <f>AB8</f>
        <v>CPMK122</v>
      </c>
      <c r="AC46" s="36" t="str">
        <f>AC8</f>
        <v>CPMK123</v>
      </c>
      <c r="AT46" s="80" t="str">
        <f t="shared" si="13"/>
        <v/>
      </c>
    </row>
    <row r="47" spans="1:95" ht="14.5" hidden="1" thickBot="1">
      <c r="C47" s="41" t="s">
        <v>172</v>
      </c>
      <c r="D47" s="42">
        <f t="shared" ref="D47:AD47" si="37">COUNTIF(D11:D40,$C$47)</f>
        <v>0</v>
      </c>
      <c r="E47" s="42">
        <f t="shared" si="37"/>
        <v>0</v>
      </c>
      <c r="F47" s="42">
        <f t="shared" si="37"/>
        <v>0</v>
      </c>
      <c r="G47" s="42">
        <f t="shared" si="37"/>
        <v>0</v>
      </c>
      <c r="H47" s="42"/>
      <c r="I47" s="42"/>
      <c r="J47" s="42"/>
      <c r="K47" s="42">
        <f t="shared" si="37"/>
        <v>0</v>
      </c>
      <c r="L47" s="42">
        <f t="shared" si="37"/>
        <v>30</v>
      </c>
      <c r="M47" s="42">
        <f t="shared" si="37"/>
        <v>1</v>
      </c>
      <c r="N47" s="42">
        <f t="shared" si="37"/>
        <v>4</v>
      </c>
      <c r="O47" s="42">
        <f t="shared" si="37"/>
        <v>4</v>
      </c>
      <c r="P47" s="42">
        <f t="shared" si="37"/>
        <v>1</v>
      </c>
      <c r="Q47" s="42">
        <f t="shared" si="37"/>
        <v>1</v>
      </c>
      <c r="R47" s="42">
        <f t="shared" si="37"/>
        <v>1</v>
      </c>
      <c r="S47" s="42">
        <f t="shared" si="37"/>
        <v>0</v>
      </c>
      <c r="T47" s="42">
        <f t="shared" si="37"/>
        <v>0</v>
      </c>
      <c r="U47" s="42">
        <f t="shared" si="37"/>
        <v>0</v>
      </c>
      <c r="V47" s="42">
        <f t="shared" si="37"/>
        <v>1</v>
      </c>
      <c r="W47" s="42">
        <f t="shared" si="37"/>
        <v>1</v>
      </c>
      <c r="X47" s="42">
        <f t="shared" si="37"/>
        <v>1</v>
      </c>
      <c r="Y47" s="42">
        <f t="shared" si="37"/>
        <v>0</v>
      </c>
      <c r="Z47" s="42">
        <f t="shared" si="37"/>
        <v>0</v>
      </c>
      <c r="AA47" s="42">
        <f t="shared" si="37"/>
        <v>0</v>
      </c>
      <c r="AB47" s="42">
        <f t="shared" si="37"/>
        <v>0</v>
      </c>
      <c r="AC47" s="42">
        <f t="shared" si="37"/>
        <v>0</v>
      </c>
      <c r="AD47" s="42">
        <f t="shared" si="37"/>
        <v>0</v>
      </c>
      <c r="AT47" s="80">
        <f t="shared" si="13"/>
        <v>2.5</v>
      </c>
    </row>
    <row r="48" spans="1:95" ht="14.5" hidden="1" thickBot="1">
      <c r="C48" s="43" t="s">
        <v>99</v>
      </c>
      <c r="D48" s="44">
        <f t="shared" ref="D48:AD48" si="38">COUNTIF(D11:D40,$C$48)-D47</f>
        <v>21</v>
      </c>
      <c r="E48" s="44">
        <f t="shared" si="38"/>
        <v>16</v>
      </c>
      <c r="F48" s="44">
        <f t="shared" si="38"/>
        <v>20</v>
      </c>
      <c r="G48" s="44">
        <f t="shared" si="38"/>
        <v>30</v>
      </c>
      <c r="H48" s="44"/>
      <c r="I48" s="44"/>
      <c r="J48" s="44"/>
      <c r="K48" s="44">
        <f t="shared" si="38"/>
        <v>25</v>
      </c>
      <c r="L48" s="44">
        <f t="shared" si="38"/>
        <v>0</v>
      </c>
      <c r="M48" s="44">
        <f t="shared" si="38"/>
        <v>13</v>
      </c>
      <c r="N48" s="44">
        <f t="shared" si="38"/>
        <v>9</v>
      </c>
      <c r="O48" s="44">
        <f t="shared" si="38"/>
        <v>9</v>
      </c>
      <c r="P48" s="44">
        <f t="shared" si="38"/>
        <v>13</v>
      </c>
      <c r="Q48" s="44">
        <f t="shared" si="38"/>
        <v>6</v>
      </c>
      <c r="R48" s="44">
        <f t="shared" si="38"/>
        <v>8</v>
      </c>
      <c r="S48" s="44">
        <f t="shared" si="38"/>
        <v>23</v>
      </c>
      <c r="T48" s="44">
        <f t="shared" si="38"/>
        <v>24</v>
      </c>
      <c r="U48" s="44">
        <f t="shared" si="38"/>
        <v>24</v>
      </c>
      <c r="V48" s="44">
        <f t="shared" si="38"/>
        <v>14</v>
      </c>
      <c r="W48" s="44">
        <f t="shared" si="38"/>
        <v>0</v>
      </c>
      <c r="X48" s="44">
        <f t="shared" si="38"/>
        <v>0</v>
      </c>
      <c r="Y48" s="44">
        <f t="shared" si="38"/>
        <v>21</v>
      </c>
      <c r="Z48" s="44">
        <f t="shared" si="38"/>
        <v>21</v>
      </c>
      <c r="AA48" s="44">
        <f t="shared" si="38"/>
        <v>21</v>
      </c>
      <c r="AB48" s="44">
        <f t="shared" si="38"/>
        <v>10</v>
      </c>
      <c r="AC48" s="44">
        <f t="shared" si="38"/>
        <v>6</v>
      </c>
      <c r="AD48" s="44">
        <f t="shared" si="38"/>
        <v>11</v>
      </c>
      <c r="AT48" s="80">
        <f t="shared" si="13"/>
        <v>11</v>
      </c>
    </row>
    <row r="49" spans="3:95" ht="14.5" hidden="1" thickBot="1">
      <c r="C49" s="46" t="s">
        <v>100</v>
      </c>
      <c r="D49" s="47">
        <f t="shared" ref="D49:AD49" si="39">COUNTIF(D11:D40,$C$49)</f>
        <v>9</v>
      </c>
      <c r="E49" s="47">
        <f t="shared" si="39"/>
        <v>14</v>
      </c>
      <c r="F49" s="47">
        <f t="shared" si="39"/>
        <v>10</v>
      </c>
      <c r="G49" s="47">
        <f t="shared" si="39"/>
        <v>0</v>
      </c>
      <c r="H49" s="47"/>
      <c r="I49" s="47"/>
      <c r="J49" s="47"/>
      <c r="K49" s="47">
        <f t="shared" si="39"/>
        <v>5</v>
      </c>
      <c r="L49" s="47">
        <f t="shared" si="39"/>
        <v>0</v>
      </c>
      <c r="M49" s="47">
        <f t="shared" si="39"/>
        <v>16</v>
      </c>
      <c r="N49" s="47">
        <f t="shared" si="39"/>
        <v>17</v>
      </c>
      <c r="O49" s="47">
        <f t="shared" si="39"/>
        <v>17</v>
      </c>
      <c r="P49" s="47">
        <f t="shared" si="39"/>
        <v>16</v>
      </c>
      <c r="Q49" s="47">
        <f t="shared" si="39"/>
        <v>23</v>
      </c>
      <c r="R49" s="47">
        <f t="shared" si="39"/>
        <v>21</v>
      </c>
      <c r="S49" s="47">
        <f t="shared" si="39"/>
        <v>7</v>
      </c>
      <c r="T49" s="47">
        <f t="shared" si="39"/>
        <v>6</v>
      </c>
      <c r="U49" s="47">
        <f t="shared" si="39"/>
        <v>6</v>
      </c>
      <c r="V49" s="47">
        <f t="shared" si="39"/>
        <v>15</v>
      </c>
      <c r="W49" s="47">
        <f t="shared" si="39"/>
        <v>29</v>
      </c>
      <c r="X49" s="47">
        <f t="shared" si="39"/>
        <v>29</v>
      </c>
      <c r="Y49" s="47">
        <f t="shared" si="39"/>
        <v>9</v>
      </c>
      <c r="Z49" s="47">
        <f t="shared" si="39"/>
        <v>9</v>
      </c>
      <c r="AA49" s="47">
        <f t="shared" si="39"/>
        <v>9</v>
      </c>
      <c r="AB49" s="47">
        <f t="shared" si="39"/>
        <v>20</v>
      </c>
      <c r="AC49" s="47">
        <f t="shared" si="39"/>
        <v>24</v>
      </c>
      <c r="AD49" s="47">
        <f t="shared" si="39"/>
        <v>19</v>
      </c>
      <c r="AT49" s="80">
        <f t="shared" si="13"/>
        <v>16.5</v>
      </c>
    </row>
    <row r="50" spans="3:95" ht="14.5" hidden="1" thickBot="1">
      <c r="C50" s="48" t="s">
        <v>78</v>
      </c>
      <c r="D50" s="49">
        <f t="shared" ref="D50:AD50" si="40">SUM(D47:D49)</f>
        <v>30</v>
      </c>
      <c r="E50" s="49">
        <f t="shared" si="40"/>
        <v>30</v>
      </c>
      <c r="F50" s="49">
        <f t="shared" si="40"/>
        <v>30</v>
      </c>
      <c r="G50" s="49">
        <f t="shared" si="40"/>
        <v>30</v>
      </c>
      <c r="H50" s="49"/>
      <c r="I50" s="49"/>
      <c r="J50" s="49"/>
      <c r="K50" s="49">
        <f t="shared" si="40"/>
        <v>30</v>
      </c>
      <c r="L50" s="49">
        <f t="shared" si="40"/>
        <v>30</v>
      </c>
      <c r="M50" s="49">
        <f t="shared" si="40"/>
        <v>30</v>
      </c>
      <c r="N50" s="49">
        <f t="shared" si="40"/>
        <v>30</v>
      </c>
      <c r="O50" s="49">
        <f t="shared" si="40"/>
        <v>30</v>
      </c>
      <c r="P50" s="49">
        <f t="shared" si="40"/>
        <v>30</v>
      </c>
      <c r="Q50" s="49">
        <f t="shared" si="40"/>
        <v>30</v>
      </c>
      <c r="R50" s="49">
        <f t="shared" si="40"/>
        <v>30</v>
      </c>
      <c r="S50" s="49">
        <f t="shared" si="40"/>
        <v>30</v>
      </c>
      <c r="T50" s="49">
        <f t="shared" si="40"/>
        <v>30</v>
      </c>
      <c r="U50" s="49">
        <f t="shared" si="40"/>
        <v>30</v>
      </c>
      <c r="V50" s="49">
        <f t="shared" si="40"/>
        <v>30</v>
      </c>
      <c r="W50" s="49">
        <f t="shared" si="40"/>
        <v>30</v>
      </c>
      <c r="X50" s="49">
        <f t="shared" si="40"/>
        <v>30</v>
      </c>
      <c r="Y50" s="49">
        <f t="shared" si="40"/>
        <v>30</v>
      </c>
      <c r="Z50" s="49">
        <f t="shared" si="40"/>
        <v>30</v>
      </c>
      <c r="AA50" s="49">
        <f t="shared" si="40"/>
        <v>30</v>
      </c>
      <c r="AB50" s="49">
        <f t="shared" si="40"/>
        <v>30</v>
      </c>
      <c r="AC50" s="49">
        <f t="shared" si="40"/>
        <v>30</v>
      </c>
      <c r="AD50" s="49">
        <f t="shared" si="40"/>
        <v>30</v>
      </c>
      <c r="AT50" s="80">
        <f t="shared" si="13"/>
        <v>30</v>
      </c>
    </row>
    <row r="51" spans="3:95" ht="14.5" hidden="1" thickBot="1">
      <c r="C51" s="50"/>
      <c r="D51" s="50"/>
      <c r="E51" s="50"/>
      <c r="F51" s="50"/>
      <c r="AT51" s="80">
        <f t="shared" si="13"/>
        <v>0</v>
      </c>
    </row>
    <row r="52" spans="3:95" ht="14.5" hidden="1" thickBot="1">
      <c r="C52" s="51" t="s">
        <v>101</v>
      </c>
      <c r="D52" s="52">
        <f>(D48+D49)/D50</f>
        <v>1</v>
      </c>
      <c r="E52" s="52">
        <f t="shared" ref="E52:AD52" si="41">(E48+E49)/E50</f>
        <v>1</v>
      </c>
      <c r="F52" s="52">
        <f t="shared" si="41"/>
        <v>1</v>
      </c>
      <c r="G52" s="52">
        <f t="shared" si="41"/>
        <v>1</v>
      </c>
      <c r="H52" s="52"/>
      <c r="I52" s="52"/>
      <c r="J52" s="52"/>
      <c r="K52" s="52">
        <f t="shared" si="41"/>
        <v>1</v>
      </c>
      <c r="L52" s="52">
        <f t="shared" si="41"/>
        <v>0</v>
      </c>
      <c r="M52" s="52">
        <f t="shared" si="41"/>
        <v>0.96666666666666667</v>
      </c>
      <c r="N52" s="52">
        <f t="shared" si="41"/>
        <v>0.8666666666666667</v>
      </c>
      <c r="O52" s="52">
        <f t="shared" si="41"/>
        <v>0.8666666666666667</v>
      </c>
      <c r="P52" s="52">
        <f t="shared" si="41"/>
        <v>0.96666666666666667</v>
      </c>
      <c r="Q52" s="52">
        <f t="shared" si="41"/>
        <v>0.96666666666666667</v>
      </c>
      <c r="R52" s="52">
        <f t="shared" si="41"/>
        <v>0.96666666666666667</v>
      </c>
      <c r="S52" s="52">
        <f t="shared" si="41"/>
        <v>1</v>
      </c>
      <c r="T52" s="52">
        <f t="shared" si="41"/>
        <v>1</v>
      </c>
      <c r="U52" s="52">
        <f t="shared" si="41"/>
        <v>1</v>
      </c>
      <c r="V52" s="52">
        <f t="shared" si="41"/>
        <v>0.96666666666666667</v>
      </c>
      <c r="W52" s="52">
        <f t="shared" si="41"/>
        <v>0.96666666666666667</v>
      </c>
      <c r="X52" s="52">
        <f t="shared" si="41"/>
        <v>0.96666666666666667</v>
      </c>
      <c r="Y52" s="52">
        <f t="shared" si="41"/>
        <v>1</v>
      </c>
      <c r="Z52" s="52">
        <f t="shared" si="41"/>
        <v>1</v>
      </c>
      <c r="AA52" s="52">
        <f t="shared" si="41"/>
        <v>1</v>
      </c>
      <c r="AB52" s="52">
        <f t="shared" si="41"/>
        <v>1</v>
      </c>
      <c r="AC52" s="52">
        <f t="shared" si="41"/>
        <v>1</v>
      </c>
      <c r="AD52" s="52">
        <f t="shared" si="41"/>
        <v>1</v>
      </c>
      <c r="AT52" s="80">
        <f t="shared" si="13"/>
        <v>0.91666666666666674</v>
      </c>
    </row>
    <row r="53" spans="3:95" ht="14.5" hidden="1" thickBot="1">
      <c r="C53" s="50"/>
      <c r="D53" s="50"/>
      <c r="E53" s="50"/>
      <c r="F53" s="50"/>
      <c r="AT53" s="80">
        <f t="shared" si="13"/>
        <v>0</v>
      </c>
    </row>
    <row r="54" spans="3:95" ht="14.5" hidden="1" thickBot="1">
      <c r="C54" s="51" t="s">
        <v>102</v>
      </c>
      <c r="D54" s="20">
        <f t="shared" ref="D54:AD54" si="42">MIN(D11:D40)</f>
        <v>75.599999999999994</v>
      </c>
      <c r="E54" s="20">
        <f t="shared" si="42"/>
        <v>76.599999999999994</v>
      </c>
      <c r="F54" s="20">
        <f t="shared" si="42"/>
        <v>76.099999999999994</v>
      </c>
      <c r="G54" s="20">
        <f t="shared" si="42"/>
        <v>69.25</v>
      </c>
      <c r="H54" s="20"/>
      <c r="I54" s="20"/>
      <c r="J54" s="20"/>
      <c r="K54" s="20">
        <f t="shared" si="42"/>
        <v>66.709999999999994</v>
      </c>
      <c r="L54" s="20">
        <f t="shared" si="42"/>
        <v>26.209099999999999</v>
      </c>
      <c r="M54" s="20">
        <f t="shared" si="42"/>
        <v>10</v>
      </c>
      <c r="N54" s="20">
        <f t="shared" si="42"/>
        <v>10</v>
      </c>
      <c r="O54" s="20">
        <f t="shared" si="42"/>
        <v>10</v>
      </c>
      <c r="P54" s="20">
        <f t="shared" si="42"/>
        <v>10</v>
      </c>
      <c r="Q54" s="20">
        <f t="shared" si="42"/>
        <v>61</v>
      </c>
      <c r="R54" s="20">
        <f t="shared" si="42"/>
        <v>35.5</v>
      </c>
      <c r="S54" s="20">
        <f t="shared" si="42"/>
        <v>75.599999999999994</v>
      </c>
      <c r="T54" s="20">
        <f t="shared" si="42"/>
        <v>68.099999999999994</v>
      </c>
      <c r="U54" s="20">
        <f t="shared" si="42"/>
        <v>71.849999999999994</v>
      </c>
      <c r="V54" s="20">
        <f t="shared" si="42"/>
        <v>40</v>
      </c>
      <c r="W54" s="20">
        <f t="shared" si="42"/>
        <v>40</v>
      </c>
      <c r="X54" s="20">
        <f t="shared" si="42"/>
        <v>40</v>
      </c>
      <c r="Y54" s="20">
        <f t="shared" si="42"/>
        <v>66.2</v>
      </c>
      <c r="Z54" s="20">
        <f t="shared" si="42"/>
        <v>66.2</v>
      </c>
      <c r="AA54" s="20">
        <f t="shared" si="42"/>
        <v>66.2</v>
      </c>
      <c r="AB54" s="20">
        <f t="shared" si="42"/>
        <v>67</v>
      </c>
      <c r="AC54" s="20">
        <f t="shared" si="42"/>
        <v>76</v>
      </c>
      <c r="AD54" s="20">
        <f t="shared" si="42"/>
        <v>76.2</v>
      </c>
      <c r="AF54" s="83">
        <f t="shared" ref="AF54:AM54" si="43">MIN(AF11:AF40)</f>
        <v>111.5</v>
      </c>
      <c r="AG54" s="84">
        <f t="shared" si="43"/>
        <v>0.5575</v>
      </c>
      <c r="AH54" s="83">
        <f t="shared" si="43"/>
        <v>76.099999999999994</v>
      </c>
      <c r="AI54" s="84">
        <f t="shared" si="43"/>
        <v>0.7609999999999999</v>
      </c>
      <c r="AJ54" s="83"/>
      <c r="AK54" s="84">
        <f t="shared" si="43"/>
        <v>0</v>
      </c>
      <c r="AL54" s="83"/>
      <c r="AM54" s="84">
        <f t="shared" si="43"/>
        <v>0</v>
      </c>
      <c r="AN54" s="84"/>
      <c r="AO54" s="84"/>
      <c r="AP54" s="84"/>
      <c r="AQ54" s="84"/>
      <c r="AR54" s="84"/>
      <c r="AS54" s="84"/>
      <c r="AT54" s="80">
        <f t="shared" si="13"/>
        <v>10</v>
      </c>
      <c r="AU54" s="84"/>
      <c r="AV54" s="83">
        <f>MIN(AV11:AV40)</f>
        <v>5</v>
      </c>
      <c r="AW54" s="84">
        <f>MIN(AW11:AW40)</f>
        <v>0.1</v>
      </c>
      <c r="AX54" s="83">
        <f>MIN(AX11:AX40)</f>
        <v>54.041399999999996</v>
      </c>
      <c r="AY54" s="84">
        <f>MIN(AY11:AY40)</f>
        <v>0.68406835443037972</v>
      </c>
      <c r="AZ54" s="84"/>
      <c r="BA54" s="84"/>
      <c r="BB54" s="83">
        <f t="shared" ref="BB54:BC54" si="44">MIN(BB11:BB40)</f>
        <v>76.2</v>
      </c>
      <c r="BC54" s="84">
        <f t="shared" si="44"/>
        <v>0.76200000000000001</v>
      </c>
    </row>
    <row r="55" spans="3:95" ht="14.5" hidden="1" thickBot="1">
      <c r="C55" s="85" t="s">
        <v>103</v>
      </c>
      <c r="D55" s="86">
        <f t="shared" ref="D55:AD55" si="45">MAX(D11:D40)</f>
        <v>94</v>
      </c>
      <c r="E55" s="86">
        <f t="shared" si="45"/>
        <v>99.5</v>
      </c>
      <c r="F55" s="86">
        <f t="shared" si="45"/>
        <v>96.75</v>
      </c>
      <c r="G55" s="86">
        <f t="shared" si="45"/>
        <v>82.5</v>
      </c>
      <c r="H55" s="86"/>
      <c r="I55" s="86"/>
      <c r="J55" s="86"/>
      <c r="K55" s="86">
        <f t="shared" si="45"/>
        <v>86.48</v>
      </c>
      <c r="L55" s="86">
        <f t="shared" si="45"/>
        <v>31.360800000000005</v>
      </c>
      <c r="M55" s="86">
        <f t="shared" si="45"/>
        <v>89.5</v>
      </c>
      <c r="N55" s="86">
        <f t="shared" si="45"/>
        <v>96.5</v>
      </c>
      <c r="O55" s="86">
        <f t="shared" si="45"/>
        <v>91.25</v>
      </c>
      <c r="P55" s="86">
        <f t="shared" si="45"/>
        <v>88</v>
      </c>
      <c r="Q55" s="86">
        <f t="shared" si="45"/>
        <v>94.5</v>
      </c>
      <c r="R55" s="86">
        <f t="shared" si="45"/>
        <v>87.75</v>
      </c>
      <c r="S55" s="86">
        <f t="shared" si="45"/>
        <v>95.5</v>
      </c>
      <c r="T55" s="86">
        <f t="shared" si="45"/>
        <v>95.5</v>
      </c>
      <c r="U55" s="86">
        <f t="shared" si="45"/>
        <v>95.5</v>
      </c>
      <c r="V55" s="86">
        <f t="shared" si="45"/>
        <v>93.2</v>
      </c>
      <c r="W55" s="86">
        <f t="shared" si="45"/>
        <v>95.5</v>
      </c>
      <c r="X55" s="86">
        <f t="shared" si="45"/>
        <v>93.2</v>
      </c>
      <c r="Y55" s="86">
        <f t="shared" si="45"/>
        <v>90.4</v>
      </c>
      <c r="Z55" s="86">
        <f t="shared" si="45"/>
        <v>90.4</v>
      </c>
      <c r="AA55" s="86">
        <f t="shared" si="45"/>
        <v>90.4</v>
      </c>
      <c r="AB55" s="86">
        <f t="shared" si="45"/>
        <v>95.5</v>
      </c>
      <c r="AC55" s="86">
        <f t="shared" si="45"/>
        <v>98</v>
      </c>
      <c r="AD55" s="86">
        <f t="shared" si="45"/>
        <v>95.35</v>
      </c>
      <c r="AF55" s="83">
        <f t="shared" ref="AF55:AM55" si="46">MAX(AF11:AF40)</f>
        <v>180.375</v>
      </c>
      <c r="AG55" s="84">
        <f t="shared" si="46"/>
        <v>0.90187499999999998</v>
      </c>
      <c r="AH55" s="83">
        <f t="shared" si="46"/>
        <v>96.75</v>
      </c>
      <c r="AI55" s="84">
        <f t="shared" si="46"/>
        <v>0.96750000000000003</v>
      </c>
      <c r="AJ55" s="83"/>
      <c r="AK55" s="84">
        <f t="shared" si="46"/>
        <v>0</v>
      </c>
      <c r="AL55" s="83"/>
      <c r="AM55" s="84">
        <f t="shared" si="46"/>
        <v>0</v>
      </c>
      <c r="AN55" s="84"/>
      <c r="AO55" s="84"/>
      <c r="AP55" s="84"/>
      <c r="AQ55" s="84"/>
      <c r="AR55" s="84"/>
      <c r="AS55" s="84"/>
      <c r="AT55" s="80">
        <f t="shared" si="13"/>
        <v>93</v>
      </c>
      <c r="AU55" s="84"/>
      <c r="AV55" s="83">
        <f>MAX(AV11:AV40)</f>
        <v>48.25</v>
      </c>
      <c r="AW55" s="84">
        <f>MAX(AW11:AW40)</f>
        <v>0.96499999999999997</v>
      </c>
      <c r="AX55" s="83">
        <f>MAX(AX11:AX40)</f>
        <v>66.398899999999998</v>
      </c>
      <c r="AY55" s="84">
        <f>MAX(AY11:AY40)</f>
        <v>0.84049240506329115</v>
      </c>
      <c r="AZ55" s="84"/>
      <c r="BA55" s="84"/>
      <c r="BB55" s="83">
        <f t="shared" ref="BB55:BC55" si="47">MAX(BB11:BB40)</f>
        <v>95.35</v>
      </c>
      <c r="BC55" s="84">
        <f t="shared" si="47"/>
        <v>0.9534999999999999</v>
      </c>
    </row>
    <row r="56" spans="3:95" ht="14.5" thickBot="1">
      <c r="C56" s="55" t="s">
        <v>173</v>
      </c>
      <c r="D56" s="58">
        <f t="shared" ref="D56:AD56" si="48">AVERAGE(D11:D40)</f>
        <v>83.156666666666666</v>
      </c>
      <c r="E56" s="58">
        <f t="shared" si="48"/>
        <v>86.406666666666666</v>
      </c>
      <c r="F56" s="58">
        <f t="shared" si="48"/>
        <v>84.781666666666666</v>
      </c>
      <c r="G56" s="58">
        <f t="shared" si="48"/>
        <v>77.285000000000025</v>
      </c>
      <c r="H56" s="58"/>
      <c r="I56" s="58"/>
      <c r="J56" s="58"/>
      <c r="K56" s="58">
        <f t="shared" si="48"/>
        <v>82.174666666666681</v>
      </c>
      <c r="L56" s="58">
        <f t="shared" si="48"/>
        <v>29.622280000000003</v>
      </c>
      <c r="M56" s="58">
        <f t="shared" si="48"/>
        <v>79.833333333333343</v>
      </c>
      <c r="N56" s="58">
        <f t="shared" si="48"/>
        <v>79.423333333333346</v>
      </c>
      <c r="O56" s="58">
        <f t="shared" si="48"/>
        <v>79.628333333333345</v>
      </c>
      <c r="P56" s="58">
        <f t="shared" si="48"/>
        <v>81.973333333333343</v>
      </c>
      <c r="Q56" s="58">
        <f t="shared" si="48"/>
        <v>85.710000000000008</v>
      </c>
      <c r="R56" s="58">
        <f t="shared" si="48"/>
        <v>83.841666666666669</v>
      </c>
      <c r="S56" s="58">
        <f t="shared" si="48"/>
        <v>80.39</v>
      </c>
      <c r="T56" s="58">
        <f t="shared" si="48"/>
        <v>73.876666666666651</v>
      </c>
      <c r="U56" s="58">
        <f t="shared" si="48"/>
        <v>77.13333333333334</v>
      </c>
      <c r="V56" s="58">
        <f t="shared" si="48"/>
        <v>83.904999999999973</v>
      </c>
      <c r="W56" s="58">
        <f t="shared" si="48"/>
        <v>90.013333333333321</v>
      </c>
      <c r="X56" s="58">
        <f t="shared" si="48"/>
        <v>86.959166666666661</v>
      </c>
      <c r="Y56" s="58">
        <f t="shared" si="48"/>
        <v>82.121666666666684</v>
      </c>
      <c r="Z56" s="58">
        <f t="shared" si="48"/>
        <v>82.121666666666684</v>
      </c>
      <c r="AA56" s="58">
        <f t="shared" si="48"/>
        <v>82.121666666666684</v>
      </c>
      <c r="AB56" s="58">
        <f t="shared" si="48"/>
        <v>85.90333333333335</v>
      </c>
      <c r="AC56" s="58">
        <f t="shared" si="48"/>
        <v>90.84</v>
      </c>
      <c r="AD56" s="58">
        <f t="shared" si="48"/>
        <v>88.37166666666667</v>
      </c>
      <c r="AF56" s="53">
        <f>IFERROR(AVERAGE(AF11:AF44),"")</f>
        <v>169.04926470588236</v>
      </c>
      <c r="AG56" s="97">
        <f>AVERAGE(AG11:AG44)</f>
        <v>0.84524632352941176</v>
      </c>
      <c r="AH56" s="53">
        <f t="shared" ref="AH56:BB56" si="49">IFERROR(AVERAGE(AH11:AH44),"")</f>
        <v>84.505882352941171</v>
      </c>
      <c r="AI56" s="97">
        <f>AVERAGE(AI11:AI44)</f>
        <v>0.84505882352941153</v>
      </c>
      <c r="AJ56" s="53"/>
      <c r="AK56" s="97" t="e">
        <f>AVERAGE(AK11:AK44)</f>
        <v>#DIV/0!</v>
      </c>
      <c r="AL56" s="53"/>
      <c r="AM56" s="97" t="e">
        <f>AVERAGE(AM11:AM44)</f>
        <v>#DIV/0!</v>
      </c>
      <c r="AN56" s="53" t="str">
        <f t="shared" ref="AN56" si="50">IFERROR(AVERAGE(AN11:AN44),"")</f>
        <v/>
      </c>
      <c r="AO56" s="97" t="e">
        <f>AVERAGE(AO11:AO44)</f>
        <v>#DIV/0!</v>
      </c>
      <c r="AP56" s="53" t="str">
        <f t="shared" si="49"/>
        <v/>
      </c>
      <c r="AQ56" s="53" t="str">
        <f t="shared" si="49"/>
        <v/>
      </c>
      <c r="AR56" s="53" t="str">
        <f t="shared" si="49"/>
        <v/>
      </c>
      <c r="AS56" s="53" t="str">
        <f t="shared" si="49"/>
        <v/>
      </c>
      <c r="AT56" s="80">
        <f t="shared" si="13"/>
        <v>79.628333333333345</v>
      </c>
      <c r="AU56" s="97">
        <f>AVERAGE(AU11:AU44)</f>
        <v>0.77319117647058822</v>
      </c>
      <c r="AV56" s="53">
        <f t="shared" si="49"/>
        <v>38.363235294117651</v>
      </c>
      <c r="AW56" s="97">
        <f>AVERAGE(AW11:AW44)</f>
        <v>0.76726470588235307</v>
      </c>
      <c r="AX56" s="53">
        <f t="shared" si="49"/>
        <v>62.31638529411763</v>
      </c>
      <c r="AY56" s="97">
        <f>AVERAGE(AY11:AY44)</f>
        <v>0.78881500372300828</v>
      </c>
      <c r="AZ56" s="53">
        <f t="shared" ref="AZ56" si="51">IFERROR(AVERAGE(AZ11:AZ44),"")</f>
        <v>96.034435294117657</v>
      </c>
      <c r="BA56" s="97">
        <f>AVERAGE(BA11:BA44)</f>
        <v>0.79367301895965003</v>
      </c>
      <c r="BB56" s="53">
        <f t="shared" si="49"/>
        <v>88.136764705882356</v>
      </c>
      <c r="BC56" s="97">
        <f>AVERAGE(BC11:BC44)</f>
        <v>0.88136764705882342</v>
      </c>
      <c r="BF56" s="81">
        <f>AVERAGE(BF11:BF44)</f>
        <v>36.752631578947366</v>
      </c>
      <c r="BG56" s="81">
        <f>AVERAGE(BG11:BG44)</f>
        <v>12.372884210526314</v>
      </c>
      <c r="BH56" s="81">
        <f t="shared" ref="BH56:BJ56" si="52">AVERAGE(BH11:BH44)</f>
        <v>43.688157894736847</v>
      </c>
      <c r="BI56" s="81">
        <f t="shared" si="52"/>
        <v>41.543421052631579</v>
      </c>
      <c r="BJ56" s="81">
        <f t="shared" si="52"/>
        <v>45.752631578947373</v>
      </c>
      <c r="BK56" s="81"/>
      <c r="BL56" s="81"/>
      <c r="BM56" s="81"/>
      <c r="BN56" s="81"/>
      <c r="BO56" s="81">
        <f t="shared" ref="BO56:BQ56" si="53">AVERAGE(BO11:BO44)</f>
        <v>43.042105263157893</v>
      </c>
      <c r="BP56" s="81">
        <f t="shared" si="53"/>
        <v>36.773684210526319</v>
      </c>
      <c r="BQ56" s="81">
        <f t="shared" si="53"/>
        <v>36.486111111111114</v>
      </c>
      <c r="BR56" s="81"/>
      <c r="BS56" s="81"/>
      <c r="BT56" s="81"/>
      <c r="BU56" s="81"/>
      <c r="BV56" s="81"/>
      <c r="BW56" s="81"/>
      <c r="BX56" s="81"/>
      <c r="BY56" s="81"/>
      <c r="BZ56" s="81"/>
      <c r="CA56" s="81"/>
      <c r="CB56" s="81"/>
      <c r="CC56" s="81"/>
      <c r="CD56" s="81">
        <f t="shared" ref="CD56:CF56" si="54">AVERAGE(CD11:CD44)</f>
        <v>42.288888888888891</v>
      </c>
      <c r="CE56" s="81">
        <f t="shared" si="54"/>
        <v>40.352777777777781</v>
      </c>
      <c r="CF56" s="81" t="e">
        <f t="shared" si="54"/>
        <v>#DIV/0!</v>
      </c>
      <c r="CG56" s="81"/>
      <c r="CH56" s="81"/>
      <c r="CI56" s="81"/>
      <c r="CJ56" s="81" t="e">
        <f t="shared" ref="CJ56:CL56" si="55">AVERAGE(CJ11:CJ44)</f>
        <v>#DIV/0!</v>
      </c>
      <c r="CK56" s="81" t="e">
        <f t="shared" si="55"/>
        <v>#DIV/0!</v>
      </c>
      <c r="CL56" s="81" t="e">
        <f t="shared" si="55"/>
        <v>#DIV/0!</v>
      </c>
      <c r="CM56" s="81"/>
      <c r="CN56" s="81" t="e">
        <f t="shared" ref="CN56:CP56" si="56">AVERAGE(CN11:CN44)</f>
        <v>#DIV/0!</v>
      </c>
      <c r="CO56" s="81">
        <f t="shared" si="56"/>
        <v>41.009722222222223</v>
      </c>
      <c r="CP56" s="82">
        <f t="shared" si="56"/>
        <v>423.54911111111119</v>
      </c>
      <c r="CQ56" s="82"/>
    </row>
    <row r="57" spans="3:95">
      <c r="AG57" s="58">
        <f>COUNTIF($AG$11:$AG$44,"&gt;=70%")</f>
        <v>32</v>
      </c>
      <c r="AI57" s="58">
        <f>COUNTIF($AI$11:$AI$44,"&gt;=70%")</f>
        <v>34</v>
      </c>
      <c r="AK57" s="58">
        <f>COUNTIF($AK$11:$AK$44,"&gt;=70%")</f>
        <v>0</v>
      </c>
      <c r="AM57" s="58">
        <f>COUNTIF($AM$11:$AM$44,"&gt;=70%")</f>
        <v>0</v>
      </c>
      <c r="AN57" s="36"/>
      <c r="AO57" s="58">
        <f>COUNTIF($AI$11:$AI$44,"&gt;=70%")</f>
        <v>34</v>
      </c>
      <c r="AT57" s="36"/>
      <c r="AU57" s="58">
        <f>COUNTIF($AI$11:$AI$44,"&gt;=70%")</f>
        <v>34</v>
      </c>
      <c r="AW57" s="58">
        <f>COUNTIF($AW$11:$AW$44,"&gt;=70%")</f>
        <v>28</v>
      </c>
      <c r="AY57" s="58">
        <f>COUNTIF($AY$11:$AY$44,"&gt;=70%")</f>
        <v>32</v>
      </c>
      <c r="AZ57" s="36"/>
      <c r="BA57" s="58">
        <f>COUNTIF($AI$11:$AI$44,"&gt;=70%")</f>
        <v>34</v>
      </c>
      <c r="BC57" s="58">
        <f>COUNTIF($BC$11:$BC$44,"&gt;=70%")</f>
        <v>33</v>
      </c>
      <c r="BF57" s="87">
        <f>BF56/BF9</f>
        <v>0.73505263157894729</v>
      </c>
      <c r="BG57" s="87">
        <f>BG56/BG9</f>
        <v>0.77330526315789461</v>
      </c>
      <c r="BH57" s="87">
        <f t="shared" ref="BH57:BJ57" si="57">BH56/BH9</f>
        <v>0.87376315789473691</v>
      </c>
      <c r="BI57" s="87">
        <f t="shared" si="57"/>
        <v>0.83086842105263159</v>
      </c>
      <c r="BJ57" s="87">
        <f t="shared" si="57"/>
        <v>0.91505263157894745</v>
      </c>
      <c r="BK57" s="87"/>
      <c r="BL57" s="87"/>
      <c r="BM57" s="87"/>
      <c r="BN57" s="87"/>
      <c r="BO57" s="87">
        <f t="shared" ref="BO57:BQ57" si="58">BO56/BO9</f>
        <v>0.86084210526315785</v>
      </c>
      <c r="BP57" s="87">
        <f t="shared" si="58"/>
        <v>0.73547368421052639</v>
      </c>
      <c r="BQ57" s="87">
        <f t="shared" si="58"/>
        <v>0.72972222222222227</v>
      </c>
      <c r="BR57" s="87"/>
      <c r="BS57" s="87"/>
      <c r="BT57" s="87"/>
      <c r="BU57" s="87"/>
      <c r="BV57" s="87"/>
      <c r="BW57" s="87"/>
      <c r="BX57" s="87"/>
      <c r="BY57" s="87"/>
      <c r="BZ57" s="87"/>
      <c r="CA57" s="87"/>
      <c r="CB57" s="87"/>
      <c r="CC57" s="87"/>
      <c r="CD57" s="87">
        <f t="shared" ref="CD57:CF57" si="59">CD56/CD9</f>
        <v>0.84577777777777785</v>
      </c>
      <c r="CE57" s="87">
        <f t="shared" si="59"/>
        <v>0.80705555555555564</v>
      </c>
      <c r="CF57" s="87" t="e">
        <f t="shared" si="59"/>
        <v>#DIV/0!</v>
      </c>
      <c r="CG57" s="87"/>
      <c r="CH57" s="87"/>
      <c r="CI57" s="87"/>
      <c r="CJ57" s="87" t="e">
        <f t="shared" ref="CJ57:CL57" si="60">CJ56/CJ9</f>
        <v>#DIV/0!</v>
      </c>
      <c r="CK57" s="87" t="e">
        <f t="shared" si="60"/>
        <v>#DIV/0!</v>
      </c>
      <c r="CL57" s="87" t="e">
        <f t="shared" si="60"/>
        <v>#DIV/0!</v>
      </c>
      <c r="CM57" s="87"/>
      <c r="CN57" s="87" t="e">
        <f t="shared" ref="CN57:CP57" si="61">CN56/CN9</f>
        <v>#DIV/0!</v>
      </c>
      <c r="CO57" s="87">
        <f t="shared" si="61"/>
        <v>0.82019444444444445</v>
      </c>
      <c r="CP57" s="82" t="e">
        <f t="shared" si="61"/>
        <v>#REF!</v>
      </c>
      <c r="CQ57" s="82"/>
    </row>
    <row r="58" spans="3:95">
      <c r="AG58" s="90">
        <f>AG57/AG59</f>
        <v>0.94117647058823528</v>
      </c>
      <c r="AI58" s="90">
        <f>AI57/AI59</f>
        <v>1</v>
      </c>
      <c r="AK58" s="90" t="e">
        <f>AK57/AK59</f>
        <v>#DIV/0!</v>
      </c>
      <c r="AM58" s="90" t="e">
        <f>AM57/AM59</f>
        <v>#DIV/0!</v>
      </c>
      <c r="AN58" s="36"/>
      <c r="AO58" s="90" t="e">
        <f>AO57/AO59</f>
        <v>#DIV/0!</v>
      </c>
      <c r="AT58" s="36"/>
      <c r="AU58" s="90">
        <f>AU57/AU59</f>
        <v>1</v>
      </c>
      <c r="AW58" s="90">
        <f>AW57/AW59</f>
        <v>0.82352941176470584</v>
      </c>
      <c r="AY58" s="90">
        <f>AY57/AY59</f>
        <v>0.94117647058823528</v>
      </c>
      <c r="AZ58" s="36"/>
      <c r="BA58" s="90">
        <f>BA57/BA59</f>
        <v>1</v>
      </c>
      <c r="BC58" s="90">
        <f>BC57/BC59</f>
        <v>0.97058823529411764</v>
      </c>
    </row>
    <row r="59" spans="3:95">
      <c r="AG59" s="69">
        <f>COUNT(AG10:AG44)</f>
        <v>34</v>
      </c>
      <c r="AI59" s="69">
        <f>COUNT(AI11:AI44)</f>
        <v>34</v>
      </c>
      <c r="AK59" s="69">
        <f>COUNT(AK11:AK44)</f>
        <v>0</v>
      </c>
      <c r="AM59" s="69">
        <f>COUNT(AM10:AM43)</f>
        <v>0</v>
      </c>
      <c r="AN59" s="36"/>
      <c r="AO59" s="69">
        <f>COUNT(AO11:AO44)</f>
        <v>0</v>
      </c>
      <c r="AT59" s="36"/>
      <c r="AU59" s="69">
        <f>COUNT(AU11:AU44)</f>
        <v>34</v>
      </c>
      <c r="AW59" s="69">
        <f>COUNT(AW11:AW44)</f>
        <v>34</v>
      </c>
      <c r="AY59" s="69">
        <f>COUNT(AY10:AY44)</f>
        <v>34</v>
      </c>
      <c r="AZ59" s="36"/>
      <c r="BA59" s="69">
        <f>COUNT(BA11:BA44)</f>
        <v>34</v>
      </c>
      <c r="BC59" s="69">
        <f>COUNT(BC11:BC44)</f>
        <v>34</v>
      </c>
    </row>
    <row r="60" spans="3:95">
      <c r="C60" s="35" t="s">
        <v>187</v>
      </c>
      <c r="AJ60" s="36"/>
      <c r="AK60" s="36"/>
      <c r="AL60" s="36"/>
      <c r="AM60" s="36"/>
    </row>
    <row r="61" spans="3:95">
      <c r="C61" s="88" t="s">
        <v>174</v>
      </c>
      <c r="D61" s="1" t="s">
        <v>175</v>
      </c>
      <c r="E61" s="1" t="s">
        <v>176</v>
      </c>
      <c r="F61" s="1" t="s">
        <v>177</v>
      </c>
      <c r="G61" s="1" t="s">
        <v>178</v>
      </c>
      <c r="H61" s="1"/>
      <c r="I61" s="1"/>
      <c r="J61" s="1"/>
      <c r="K61" s="1" t="s">
        <v>184</v>
      </c>
      <c r="L61" s="1" t="s">
        <v>185</v>
      </c>
      <c r="M61" s="1" t="s">
        <v>177</v>
      </c>
      <c r="N61" s="1" t="s">
        <v>178</v>
      </c>
      <c r="AJ61" s="36"/>
      <c r="AK61" s="36"/>
      <c r="AL61" s="36"/>
      <c r="AM61" s="36"/>
    </row>
    <row r="62" spans="3:95">
      <c r="C62" s="69" t="s">
        <v>94</v>
      </c>
      <c r="D62" s="2">
        <f>IF(AF8="","",AF8)</f>
        <v>200</v>
      </c>
      <c r="E62" s="79">
        <f>IF(AF56="","",AF56)</f>
        <v>169.04926470588236</v>
      </c>
      <c r="F62" s="89">
        <f>IF(E62="","",(IFERROR(E62/D62,0)))</f>
        <v>0.84524632352941187</v>
      </c>
      <c r="G62" s="89" t="str">
        <f>IF(F62="","",IF(F62&gt;70%,"Tercapai","Belum Tercapai"))</f>
        <v>Tercapai</v>
      </c>
      <c r="H62" s="89"/>
      <c r="I62" s="89"/>
      <c r="J62" s="89"/>
      <c r="K62" s="98">
        <f>IF(AG59="","",AG59)</f>
        <v>34</v>
      </c>
      <c r="L62" s="98">
        <f>IF(AG57="","",AG57)</f>
        <v>32</v>
      </c>
      <c r="M62" s="89">
        <f>IFERROR(L62/K62,"")</f>
        <v>0.94117647058823528</v>
      </c>
      <c r="N62" s="2" t="str">
        <f>IF(M62="","",(IF(M62&gt;=70%,"Tercapai","Belum Tercapai")))</f>
        <v>Tercapai</v>
      </c>
      <c r="AJ62" s="36"/>
      <c r="AK62" s="36"/>
      <c r="AL62" s="36"/>
      <c r="AM62" s="36"/>
    </row>
    <row r="63" spans="3:95">
      <c r="C63" s="69" t="s">
        <v>118</v>
      </c>
      <c r="D63" s="2">
        <f>IF(AH8="","",AH8)</f>
        <v>100</v>
      </c>
      <c r="E63" s="79">
        <f>IF(AH56="","",AH56)</f>
        <v>84.505882352941171</v>
      </c>
      <c r="F63" s="103">
        <f t="shared" ref="F63:F73" si="62">IF(E63="","",(IFERROR(E63/D63,0)))</f>
        <v>0.84505882352941175</v>
      </c>
      <c r="G63" s="103" t="str">
        <f>IF(F63="","",IF(F63&gt;70%,"Tercapai","Belum Tercapai"))</f>
        <v>Tercapai</v>
      </c>
      <c r="H63" s="103"/>
      <c r="I63" s="103"/>
      <c r="J63" s="103"/>
      <c r="K63" s="104">
        <f>IF(AI59="","",AI59)</f>
        <v>34</v>
      </c>
      <c r="L63" s="104">
        <f>IF(AI57="","",AI57)</f>
        <v>34</v>
      </c>
      <c r="M63" s="103">
        <f>IFERROR(L63/K63,"")</f>
        <v>1</v>
      </c>
      <c r="N63" s="2" t="str">
        <f t="shared" ref="N63:N75" si="63">IF(M63="","",(IF(M63&gt;=70%,"Tercapai","Belum Tercapai")))</f>
        <v>Tercapai</v>
      </c>
      <c r="AJ63" s="36"/>
      <c r="AK63" s="36"/>
      <c r="AL63" s="36"/>
      <c r="AM63" s="36"/>
    </row>
    <row r="64" spans="3:95">
      <c r="C64" s="69" t="s">
        <v>108</v>
      </c>
      <c r="D64" s="2" t="str">
        <f>IF(AJ8="","",AJ8)</f>
        <v/>
      </c>
      <c r="E64" s="79" t="str">
        <f>IF(AJ56="","",AJ56)</f>
        <v/>
      </c>
      <c r="F64" s="89" t="str">
        <f t="shared" si="62"/>
        <v/>
      </c>
      <c r="G64" s="89" t="str">
        <f t="shared" ref="G64:G73" si="64">IF(F64="","",IF(F64&gt;70%,"Tercapai","Belum Tercapai"))</f>
        <v/>
      </c>
      <c r="H64" s="89"/>
      <c r="I64" s="89"/>
      <c r="J64" s="89"/>
      <c r="K64" s="98"/>
      <c r="L64" s="98"/>
      <c r="M64" s="89" t="str">
        <f t="shared" ref="M64:M73" si="65">IFERROR(L64/K64,"")</f>
        <v/>
      </c>
      <c r="N64" s="2" t="str">
        <f t="shared" si="63"/>
        <v/>
      </c>
      <c r="AJ64" s="36"/>
      <c r="AK64" s="36"/>
      <c r="AL64" s="36"/>
      <c r="AM64" s="36"/>
    </row>
    <row r="65" spans="3:39">
      <c r="C65" s="69" t="s">
        <v>107</v>
      </c>
      <c r="D65" s="2" t="str">
        <f>IF(AL8="","",AL8)</f>
        <v/>
      </c>
      <c r="E65" s="79" t="str">
        <f>IF(AL56="","",AL56)</f>
        <v/>
      </c>
      <c r="F65" s="89" t="str">
        <f t="shared" si="62"/>
        <v/>
      </c>
      <c r="G65" s="89" t="str">
        <f t="shared" si="64"/>
        <v/>
      </c>
      <c r="H65" s="89"/>
      <c r="I65" s="89"/>
      <c r="J65" s="89"/>
      <c r="K65" s="98"/>
      <c r="L65" s="98"/>
      <c r="M65" s="89" t="str">
        <f t="shared" si="65"/>
        <v/>
      </c>
      <c r="N65" s="2" t="str">
        <f t="shared" si="63"/>
        <v/>
      </c>
      <c r="AJ65" s="36"/>
      <c r="AK65" s="36"/>
      <c r="AL65" s="36"/>
      <c r="AM65" s="36"/>
    </row>
    <row r="66" spans="3:39">
      <c r="C66" s="69" t="s">
        <v>145</v>
      </c>
      <c r="D66" s="2"/>
      <c r="E66" s="2"/>
      <c r="F66" s="89"/>
      <c r="G66" s="89"/>
      <c r="H66" s="89"/>
      <c r="I66" s="89"/>
      <c r="J66" s="89"/>
      <c r="K66" s="98"/>
      <c r="L66" s="98"/>
      <c r="M66" s="89" t="str">
        <f t="shared" si="65"/>
        <v/>
      </c>
      <c r="N66" s="2" t="str">
        <f t="shared" si="63"/>
        <v/>
      </c>
      <c r="AJ66" s="36"/>
      <c r="AK66" s="36"/>
      <c r="AL66" s="36"/>
      <c r="AM66" s="36"/>
    </row>
    <row r="67" spans="3:39">
      <c r="C67" s="69" t="s">
        <v>146</v>
      </c>
      <c r="D67" s="2" t="str">
        <f>IF(AP8="","",AP8)</f>
        <v/>
      </c>
      <c r="E67" s="2" t="str">
        <f>IF(AP56="","",AP56)</f>
        <v/>
      </c>
      <c r="F67" s="89" t="str">
        <f t="shared" si="62"/>
        <v/>
      </c>
      <c r="G67" s="89" t="str">
        <f t="shared" si="64"/>
        <v/>
      </c>
      <c r="H67" s="89"/>
      <c r="I67" s="89"/>
      <c r="J67" s="89"/>
      <c r="K67" s="98" t="str">
        <f>IF(AQ59="","",AQ59)</f>
        <v/>
      </c>
      <c r="L67" s="98" t="str">
        <f>IF(AQ57="","",AQ57)</f>
        <v/>
      </c>
      <c r="M67" s="89" t="str">
        <f t="shared" si="65"/>
        <v/>
      </c>
      <c r="N67" s="2" t="str">
        <f t="shared" si="63"/>
        <v/>
      </c>
      <c r="AJ67" s="36"/>
      <c r="AK67" s="36"/>
      <c r="AL67" s="36"/>
      <c r="AM67" s="36"/>
    </row>
    <row r="68" spans="3:39">
      <c r="C68" s="69" t="s">
        <v>147</v>
      </c>
      <c r="D68" s="2" t="str">
        <f>IF(AR8="","",AR8)</f>
        <v/>
      </c>
      <c r="E68" s="2" t="str">
        <f>IF(AR56="","",AR56)</f>
        <v/>
      </c>
      <c r="F68" s="89" t="str">
        <f t="shared" si="62"/>
        <v/>
      </c>
      <c r="G68" s="89" t="str">
        <f t="shared" si="64"/>
        <v/>
      </c>
      <c r="H68" s="89"/>
      <c r="I68" s="89"/>
      <c r="J68" s="89"/>
      <c r="K68" s="98" t="str">
        <f>IF(AS59="","",AS59)</f>
        <v/>
      </c>
      <c r="L68" s="98" t="str">
        <f>IF(AS57="","",AS57)</f>
        <v/>
      </c>
      <c r="M68" s="89" t="str">
        <f t="shared" si="65"/>
        <v/>
      </c>
      <c r="N68" s="2" t="str">
        <f t="shared" si="63"/>
        <v/>
      </c>
      <c r="AJ68" s="36"/>
      <c r="AK68" s="36"/>
      <c r="AL68" s="36"/>
      <c r="AM68" s="36"/>
    </row>
    <row r="69" spans="3:39">
      <c r="C69" s="69" t="s">
        <v>148</v>
      </c>
      <c r="D69" s="2">
        <f>IF(AT8="","",AT8)</f>
        <v>100</v>
      </c>
      <c r="E69" s="79">
        <f>IF(AT56="","",AT56)</f>
        <v>79.628333333333345</v>
      </c>
      <c r="F69" s="89">
        <f t="shared" si="62"/>
        <v>0.79628333333333345</v>
      </c>
      <c r="G69" s="89" t="str">
        <f t="shared" si="64"/>
        <v>Tercapai</v>
      </c>
      <c r="H69" s="89"/>
      <c r="I69" s="89"/>
      <c r="J69" s="89"/>
      <c r="K69" s="98">
        <f>IF(AU59="","",AU59)</f>
        <v>34</v>
      </c>
      <c r="L69" s="98">
        <f>IF(AU57="","",AU57)</f>
        <v>34</v>
      </c>
      <c r="M69" s="89">
        <f t="shared" si="65"/>
        <v>1</v>
      </c>
      <c r="N69" s="2" t="str">
        <f t="shared" si="63"/>
        <v>Tercapai</v>
      </c>
      <c r="AJ69" s="36"/>
      <c r="AK69" s="36"/>
      <c r="AL69" s="36"/>
      <c r="AM69" s="36"/>
    </row>
    <row r="70" spans="3:39">
      <c r="C70" s="69" t="s">
        <v>114</v>
      </c>
      <c r="D70" s="2">
        <f>IF(AV8="","",AV8)</f>
        <v>50</v>
      </c>
      <c r="E70" s="79">
        <f>IF(AV56="","",AV56)</f>
        <v>38.363235294117651</v>
      </c>
      <c r="F70" s="89">
        <f t="shared" si="62"/>
        <v>0.76726470588235296</v>
      </c>
      <c r="G70" s="89" t="str">
        <f t="shared" si="64"/>
        <v>Tercapai</v>
      </c>
      <c r="H70" s="89"/>
      <c r="I70" s="89"/>
      <c r="J70" s="89"/>
      <c r="K70" s="98">
        <f>IF(AW59="","",AW59)</f>
        <v>34</v>
      </c>
      <c r="L70" s="98">
        <f>IF(AW57="","",AW57)</f>
        <v>28</v>
      </c>
      <c r="M70" s="89">
        <f t="shared" si="65"/>
        <v>0.82352941176470584</v>
      </c>
      <c r="N70" s="2" t="str">
        <f t="shared" si="63"/>
        <v>Tercapai</v>
      </c>
      <c r="AJ70" s="36"/>
      <c r="AK70" s="36"/>
      <c r="AL70" s="36"/>
      <c r="AM70" s="36"/>
    </row>
    <row r="71" spans="3:39">
      <c r="C71" s="69" t="s">
        <v>121</v>
      </c>
      <c r="D71" s="2">
        <f>IF(AX8="","",AX8)</f>
        <v>79</v>
      </c>
      <c r="E71" s="79">
        <f>IF(AX56="","",AX56)</f>
        <v>62.31638529411763</v>
      </c>
      <c r="F71" s="89">
        <f t="shared" si="62"/>
        <v>0.78881500372300795</v>
      </c>
      <c r="G71" s="89" t="str">
        <f t="shared" si="64"/>
        <v>Tercapai</v>
      </c>
      <c r="H71" s="89"/>
      <c r="I71" s="89"/>
      <c r="J71" s="89"/>
      <c r="K71" s="98">
        <f>IF(AY59="","",AY59)</f>
        <v>34</v>
      </c>
      <c r="L71" s="98">
        <f>IF(AY57="","",AY57)</f>
        <v>32</v>
      </c>
      <c r="M71" s="89">
        <f t="shared" si="65"/>
        <v>0.94117647058823528</v>
      </c>
      <c r="N71" s="2" t="str">
        <f t="shared" si="63"/>
        <v>Tercapai</v>
      </c>
      <c r="AJ71" s="36"/>
      <c r="AK71" s="36"/>
      <c r="AL71" s="36"/>
      <c r="AM71" s="36"/>
    </row>
    <row r="72" spans="3:39">
      <c r="C72" s="69" t="s">
        <v>149</v>
      </c>
      <c r="D72" s="2">
        <f>IF(AZ8="","",AZ8)</f>
        <v>121</v>
      </c>
      <c r="E72" s="79">
        <f>IF(AZ56="","",AZ56)</f>
        <v>96.034435294117657</v>
      </c>
      <c r="F72" s="89">
        <f t="shared" si="62"/>
        <v>0.79367301895965003</v>
      </c>
      <c r="G72" s="89" t="str">
        <f t="shared" si="64"/>
        <v>Tercapai</v>
      </c>
      <c r="H72" s="89"/>
      <c r="I72" s="89"/>
      <c r="J72" s="89"/>
      <c r="K72" s="98">
        <f>IF(BA59="","",BA59)</f>
        <v>34</v>
      </c>
      <c r="L72" s="98">
        <f>IF(BA57="","",BA57)</f>
        <v>34</v>
      </c>
      <c r="M72" s="89">
        <f t="shared" si="65"/>
        <v>1</v>
      </c>
      <c r="N72" s="2" t="str">
        <f t="shared" si="63"/>
        <v>Tercapai</v>
      </c>
      <c r="AJ72" s="36"/>
      <c r="AK72" s="36"/>
      <c r="AL72" s="36"/>
      <c r="AM72" s="36"/>
    </row>
    <row r="73" spans="3:39">
      <c r="C73" s="69" t="s">
        <v>122</v>
      </c>
      <c r="D73" s="2">
        <f>IF(BB8="","",BB8)</f>
        <v>100</v>
      </c>
      <c r="E73" s="79">
        <f>IF(BB56="","",BB56)</f>
        <v>88.136764705882356</v>
      </c>
      <c r="F73" s="103">
        <f t="shared" si="62"/>
        <v>0.88136764705882353</v>
      </c>
      <c r="G73" s="103" t="str">
        <f t="shared" si="64"/>
        <v>Tercapai</v>
      </c>
      <c r="H73" s="103"/>
      <c r="I73" s="103"/>
      <c r="J73" s="103"/>
      <c r="K73" s="104">
        <f>IF(BC59="","",BC59)</f>
        <v>34</v>
      </c>
      <c r="L73" s="104">
        <f>IF(BC57="","",BC57)</f>
        <v>33</v>
      </c>
      <c r="M73" s="103">
        <f t="shared" si="65"/>
        <v>0.97058823529411764</v>
      </c>
      <c r="N73" s="2" t="str">
        <f t="shared" si="63"/>
        <v>Tercapai</v>
      </c>
      <c r="AJ73" s="36"/>
      <c r="AK73" s="36"/>
      <c r="AL73" s="36"/>
      <c r="AM73" s="36"/>
    </row>
    <row r="74" spans="3:39">
      <c r="C74" s="3"/>
      <c r="D74" s="2"/>
      <c r="E74" s="2"/>
      <c r="F74" s="2"/>
      <c r="K74" s="2"/>
      <c r="L74" s="2"/>
      <c r="M74" s="2"/>
      <c r="N74" s="2" t="str">
        <f t="shared" si="63"/>
        <v/>
      </c>
    </row>
    <row r="75" spans="3:39">
      <c r="C75" s="3"/>
      <c r="D75" s="2">
        <v>900</v>
      </c>
      <c r="E75" s="79">
        <f>SUM(E62:E73)</f>
        <v>618.03430098039212</v>
      </c>
      <c r="F75" s="89">
        <f>AVERAGE(F62:F73)</f>
        <v>0.81681555085942736</v>
      </c>
      <c r="G75" s="89"/>
      <c r="H75" s="89"/>
      <c r="I75" s="89"/>
      <c r="J75" s="89"/>
      <c r="K75" s="89"/>
      <c r="L75" s="89"/>
      <c r="M75" s="89">
        <f>AVERAGE(M62:M73)</f>
        <v>0.95378151260504207</v>
      </c>
      <c r="N75" s="2" t="str">
        <f t="shared" si="63"/>
        <v>Tercapai</v>
      </c>
    </row>
    <row r="77" spans="3:39">
      <c r="C77" s="35" t="s">
        <v>179</v>
      </c>
    </row>
    <row r="78" spans="3:39">
      <c r="C78" s="35" t="s">
        <v>189</v>
      </c>
    </row>
    <row r="93" spans="36:36">
      <c r="AJ93" s="36"/>
    </row>
    <row r="94" spans="36:36">
      <c r="AJ94" s="36"/>
    </row>
  </sheetData>
  <mergeCells count="84">
    <mergeCell ref="CL7:CM7"/>
    <mergeCell ref="CN7:CO7"/>
    <mergeCell ref="BY7:CA7"/>
    <mergeCell ref="CB7:CC7"/>
    <mergeCell ref="CD7:CE7"/>
    <mergeCell ref="CF7:CG7"/>
    <mergeCell ref="CH7:CI7"/>
    <mergeCell ref="CJ7:CK7"/>
    <mergeCell ref="AU7:AU9"/>
    <mergeCell ref="BY6:CA6"/>
    <mergeCell ref="CB6:CC6"/>
    <mergeCell ref="CD6:CE6"/>
    <mergeCell ref="CF6:CG6"/>
    <mergeCell ref="BU7:BX7"/>
    <mergeCell ref="AW7:AW9"/>
    <mergeCell ref="AY7:AY9"/>
    <mergeCell ref="BA7:BA9"/>
    <mergeCell ref="BC7:BC9"/>
    <mergeCell ref="BF7:BI7"/>
    <mergeCell ref="BJ7:BM7"/>
    <mergeCell ref="BN7:BP7"/>
    <mergeCell ref="BQ7:BR7"/>
    <mergeCell ref="BS7:BT7"/>
    <mergeCell ref="BN6:BP6"/>
    <mergeCell ref="BQ6:BR6"/>
    <mergeCell ref="BS6:BT6"/>
    <mergeCell ref="CL6:CM6"/>
    <mergeCell ref="CN6:CO6"/>
    <mergeCell ref="CH6:CI6"/>
    <mergeCell ref="CJ6:CK6"/>
    <mergeCell ref="BU6:BX6"/>
    <mergeCell ref="D5:E5"/>
    <mergeCell ref="G5:K5"/>
    <mergeCell ref="M5:N5"/>
    <mergeCell ref="P5:Q5"/>
    <mergeCell ref="S5:T5"/>
    <mergeCell ref="V5:W5"/>
    <mergeCell ref="Y5:Z5"/>
    <mergeCell ref="AB5:AC5"/>
    <mergeCell ref="AR4:AS5"/>
    <mergeCell ref="AT4:AU5"/>
    <mergeCell ref="AV4:AW5"/>
    <mergeCell ref="AX4:AY5"/>
    <mergeCell ref="AZ4:BA5"/>
    <mergeCell ref="BF6:BI6"/>
    <mergeCell ref="BJ6:BM6"/>
    <mergeCell ref="AD4:AD9"/>
    <mergeCell ref="X4:X9"/>
    <mergeCell ref="BB4:BC5"/>
    <mergeCell ref="AF4:AG5"/>
    <mergeCell ref="AH4:AI5"/>
    <mergeCell ref="AJ4:AK5"/>
    <mergeCell ref="AL4:AM5"/>
    <mergeCell ref="AN4:AO5"/>
    <mergeCell ref="AP4:AQ5"/>
    <mergeCell ref="AG7:AG9"/>
    <mergeCell ref="AI7:AI9"/>
    <mergeCell ref="AK7:AK9"/>
    <mergeCell ref="AM7:AM9"/>
    <mergeCell ref="AO7:AO9"/>
    <mergeCell ref="AQ7:AQ9"/>
    <mergeCell ref="AS7:AS9"/>
    <mergeCell ref="V4:W4"/>
    <mergeCell ref="Y6:Z6"/>
    <mergeCell ref="AB6:AC6"/>
    <mergeCell ref="Y4:Z4"/>
    <mergeCell ref="AA4:AA9"/>
    <mergeCell ref="AB4:AC4"/>
    <mergeCell ref="P6:Q6"/>
    <mergeCell ref="S6:T6"/>
    <mergeCell ref="V6:W6"/>
    <mergeCell ref="D4:E4"/>
    <mergeCell ref="F4:F9"/>
    <mergeCell ref="G4:K4"/>
    <mergeCell ref="L4:L9"/>
    <mergeCell ref="M4:N4"/>
    <mergeCell ref="O4:O9"/>
    <mergeCell ref="D6:E6"/>
    <mergeCell ref="G6:K6"/>
    <mergeCell ref="M6:N6"/>
    <mergeCell ref="P4:Q4"/>
    <mergeCell ref="R4:R9"/>
    <mergeCell ref="S4:T4"/>
    <mergeCell ref="U4:U9"/>
  </mergeCells>
  <printOptions horizontalCentered="1"/>
  <pageMargins left="0.31496062992125984" right="0.31496062992125984" top="0.55118110236220474" bottom="0.35433070866141736" header="0" footer="0"/>
  <pageSetup scale="74" orientation="landscape" r:id="rId1"/>
  <rowBreaks count="1" manualBreakCount="1">
    <brk id="59" max="16383" man="1"/>
  </rowBreaks>
  <colBreaks count="4" manualBreakCount="4">
    <brk id="15" max="1048575" man="1"/>
    <brk id="27" max="1048575" man="1"/>
    <brk id="30" max="1048575" man="1"/>
    <brk id="4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Mhsw2024</vt:lpstr>
      <vt:lpstr>ListMKSmt-1</vt:lpstr>
      <vt:lpstr>MK1-TM</vt:lpstr>
      <vt:lpstr>MK2-TO</vt:lpstr>
      <vt:lpstr>MK3-PSTI</vt:lpstr>
      <vt:lpstr>MK4-L&amp;A</vt:lpstr>
      <vt:lpstr>MK5-BP</vt:lpstr>
      <vt:lpstr>MK7-MBD</vt:lpstr>
      <vt:lpstr>MK8_BID</vt:lpstr>
      <vt:lpstr>MK16-AGM</vt:lpstr>
      <vt:lpstr>MK59-KWN</vt:lpstr>
      <vt:lpstr>Penguk.CPMK-Smt1</vt:lpstr>
      <vt:lpstr>Penguk.CPL-Smt1</vt:lpstr>
      <vt:lpstr>'MK3-PSTI'!Print_Area</vt:lpstr>
      <vt:lpstr>'Penguk.CPMK-Smt1'!Print_Area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 Jananto, S.Kom., M.Cs</dc:creator>
  <cp:lastModifiedBy>ThinkPad</cp:lastModifiedBy>
  <cp:lastPrinted>2026-05-26T04:57:34Z</cp:lastPrinted>
  <dcterms:created xsi:type="dcterms:W3CDTF">2026-03-14T10:22:13Z</dcterms:created>
  <dcterms:modified xsi:type="dcterms:W3CDTF">2026-05-26T05:06:03Z</dcterms:modified>
</cp:coreProperties>
</file>