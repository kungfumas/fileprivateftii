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My Job\UNISBANK\S1 Akuntansi\OBE\ANALISIS KETERCAPAIAN CPMK CPL\3. GANJIL 2025_2026\"/>
    </mc:Choice>
  </mc:AlternateContent>
  <xr:revisionPtr revIDLastSave="0" documentId="13_ncr:1_{5CC85D3C-6549-4A37-BA1E-E1A7A98F6482}" xr6:coauthVersionLast="47" xr6:coauthVersionMax="47" xr10:uidLastSave="{00000000-0000-0000-0000-000000000000}"/>
  <workbookProtection workbookAlgorithmName="SHA-512" workbookHashValue="KFt0jSvDWKVt7WrqcCeIQSCXzQnjoQG5C4rU/Z3+klddqEDu7FVAgoGUqrWvqnJPVkw8MAW2/bnIeKZrTBL9oA==" workbookSaltValue="VIOCH0NPGG0tsfMtB9kCZQ==" workbookSpinCount="100000" lockStructure="1"/>
  <bookViews>
    <workbookView xWindow="-110" yWindow="-110" windowWidth="19420" windowHeight="10300" firstSheet="7" activeTab="12" xr2:uid="{36399BCF-75EB-4921-A323-7A0FE138B426}"/>
  </bookViews>
  <sheets>
    <sheet name="Mhsw2024" sheetId="1" r:id="rId1"/>
    <sheet name="ListMKSmt-1" sheetId="2" r:id="rId2"/>
    <sheet name="MK1-TM" sheetId="3" r:id="rId3"/>
    <sheet name="MK2-TO" sheetId="4" r:id="rId4"/>
    <sheet name="MK3-PSTI" sheetId="5" r:id="rId5"/>
    <sheet name="MK4-L&amp;A" sheetId="6" r:id="rId6"/>
    <sheet name="MK5-BP" sheetId="7" r:id="rId7"/>
    <sheet name="MK7-MBD" sheetId="8" r:id="rId8"/>
    <sheet name="MK8_BID" sheetId="9" r:id="rId9"/>
    <sheet name="MK16-AGM" sheetId="10" r:id="rId10"/>
    <sheet name="MK59-KWN" sheetId="11" r:id="rId11"/>
    <sheet name="Penguk.CPMK-Smt1" sheetId="12" r:id="rId12"/>
    <sheet name="Penguk.CPL-Smt1" sheetId="13" r:id="rId13"/>
  </sheets>
  <externalReferences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_xlnm.Print_Area" localSheetId="4">'MK3-PSTI'!$A$1:$H$68</definedName>
    <definedName name="_xlnm.Print_Area" localSheetId="11">'Penguk.CPMK-Smt1'!$A$1:$FO$120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9" i="13" l="1"/>
  <c r="F59" i="13"/>
  <c r="G59" i="13"/>
  <c r="H59" i="13"/>
  <c r="I59" i="13"/>
  <c r="J59" i="13"/>
  <c r="K59" i="13"/>
  <c r="L59" i="13"/>
  <c r="M59" i="13"/>
  <c r="N59" i="13"/>
  <c r="O59" i="13"/>
  <c r="P59" i="13"/>
  <c r="Q59" i="13"/>
  <c r="R59" i="13"/>
  <c r="S59" i="13"/>
  <c r="T59" i="13"/>
  <c r="U59" i="13"/>
  <c r="V59" i="13"/>
  <c r="W59" i="13"/>
  <c r="X59" i="13"/>
  <c r="Y59" i="13"/>
  <c r="Z59" i="13"/>
  <c r="AA59" i="13"/>
  <c r="AB59" i="13"/>
  <c r="AC59" i="13"/>
  <c r="AD59" i="13"/>
  <c r="G50" i="10"/>
  <c r="G51" i="10"/>
  <c r="G52" i="10"/>
  <c r="F50" i="10"/>
  <c r="F51" i="10"/>
  <c r="F52" i="10"/>
  <c r="BC40" i="13"/>
  <c r="BC41" i="13"/>
  <c r="BC42" i="13"/>
  <c r="BC43" i="13"/>
  <c r="BB40" i="13"/>
  <c r="BB41" i="13"/>
  <c r="BB42" i="13"/>
  <c r="BB43" i="13"/>
  <c r="BA40" i="13"/>
  <c r="BA41" i="13"/>
  <c r="BA42" i="13"/>
  <c r="AZ40" i="13"/>
  <c r="AZ41" i="13"/>
  <c r="AZ42" i="13"/>
  <c r="AY40" i="13"/>
  <c r="AY41" i="13"/>
  <c r="AY42" i="13"/>
  <c r="AX40" i="13"/>
  <c r="AX41" i="13"/>
  <c r="AX42" i="13"/>
  <c r="AI40" i="13"/>
  <c r="AI41" i="13"/>
  <c r="AI42" i="13"/>
  <c r="AH40" i="13"/>
  <c r="AH41" i="13"/>
  <c r="AH42" i="13"/>
  <c r="AG40" i="13"/>
  <c r="AG41" i="13"/>
  <c r="AG42" i="13"/>
  <c r="AF40" i="13"/>
  <c r="AF41" i="13"/>
  <c r="AF42" i="13"/>
  <c r="AD40" i="13"/>
  <c r="AD41" i="13"/>
  <c r="AD42" i="13"/>
  <c r="AC40" i="13"/>
  <c r="AC41" i="13"/>
  <c r="AC42" i="13"/>
  <c r="AB40" i="13"/>
  <c r="AB41" i="13"/>
  <c r="AB42" i="13"/>
  <c r="AB43" i="13"/>
  <c r="AA40" i="13"/>
  <c r="AA41" i="13"/>
  <c r="AA42" i="13"/>
  <c r="Z40" i="13"/>
  <c r="Z41" i="13"/>
  <c r="Z42" i="13"/>
  <c r="Y40" i="13"/>
  <c r="Y41" i="13"/>
  <c r="Y42" i="13"/>
  <c r="X40" i="13"/>
  <c r="X41" i="13"/>
  <c r="X42" i="13"/>
  <c r="W40" i="13"/>
  <c r="W41" i="13"/>
  <c r="W42" i="13"/>
  <c r="V40" i="13"/>
  <c r="V41" i="13"/>
  <c r="V42" i="13"/>
  <c r="U40" i="13"/>
  <c r="U41" i="13"/>
  <c r="U42" i="13"/>
  <c r="T40" i="13"/>
  <c r="T41" i="13"/>
  <c r="T42" i="13"/>
  <c r="S40" i="13"/>
  <c r="S41" i="13"/>
  <c r="S42" i="13"/>
  <c r="R40" i="13"/>
  <c r="R41" i="13"/>
  <c r="R42" i="13"/>
  <c r="R43" i="13"/>
  <c r="Q40" i="13"/>
  <c r="Q41" i="13"/>
  <c r="Q42" i="13"/>
  <c r="P40" i="13"/>
  <c r="P41" i="13"/>
  <c r="P42" i="13"/>
  <c r="P43" i="13"/>
  <c r="M40" i="13"/>
  <c r="M41" i="13"/>
  <c r="M42" i="13"/>
  <c r="M43" i="13"/>
  <c r="L40" i="13"/>
  <c r="L41" i="13"/>
  <c r="L42" i="13"/>
  <c r="K40" i="13"/>
  <c r="K41" i="13"/>
  <c r="K42" i="13"/>
  <c r="J40" i="13"/>
  <c r="J41" i="13"/>
  <c r="J42" i="13"/>
  <c r="I40" i="13"/>
  <c r="I41" i="13"/>
  <c r="I42" i="13"/>
  <c r="H40" i="13"/>
  <c r="H41" i="13"/>
  <c r="H42" i="13"/>
  <c r="G40" i="13"/>
  <c r="G41" i="13"/>
  <c r="G42" i="13"/>
  <c r="F40" i="13"/>
  <c r="F41" i="13"/>
  <c r="F42" i="13"/>
  <c r="E40" i="13"/>
  <c r="E41" i="13"/>
  <c r="E42" i="13"/>
  <c r="D40" i="13"/>
  <c r="D41" i="13"/>
  <c r="D42" i="13"/>
  <c r="FA42" i="12"/>
  <c r="FA43" i="12"/>
  <c r="FA44" i="12"/>
  <c r="EZ42" i="12"/>
  <c r="EZ43" i="12"/>
  <c r="EZ44" i="12"/>
  <c r="EY42" i="12"/>
  <c r="EY43" i="12"/>
  <c r="EY44" i="12"/>
  <c r="EX42" i="12"/>
  <c r="EX43" i="12"/>
  <c r="EX44" i="12"/>
  <c r="EU42" i="12"/>
  <c r="EU43" i="12"/>
  <c r="EU44" i="12"/>
  <c r="ET42" i="12"/>
  <c r="ET43" i="12"/>
  <c r="ET44" i="12"/>
  <c r="ES42" i="12"/>
  <c r="ES43" i="12"/>
  <c r="ES44" i="12"/>
  <c r="ER42" i="12"/>
  <c r="ER43" i="12"/>
  <c r="ER44" i="12"/>
  <c r="EM42" i="12"/>
  <c r="EM43" i="12"/>
  <c r="EM44" i="12"/>
  <c r="EL42" i="12"/>
  <c r="EL43" i="12"/>
  <c r="EL44" i="12"/>
  <c r="EI42" i="12"/>
  <c r="EI43" i="12"/>
  <c r="EI44" i="12"/>
  <c r="EH42" i="12"/>
  <c r="EH43" i="12"/>
  <c r="EH44" i="12"/>
  <c r="EG42" i="12"/>
  <c r="EG43" i="12"/>
  <c r="EG44" i="12"/>
  <c r="EF42" i="12"/>
  <c r="EF43" i="12"/>
  <c r="EF44" i="12"/>
  <c r="EE42" i="12"/>
  <c r="EE43" i="12"/>
  <c r="EE44" i="12"/>
  <c r="ED42" i="12"/>
  <c r="ED43" i="12"/>
  <c r="ED44" i="12"/>
  <c r="EC42" i="12"/>
  <c r="EC43" i="12"/>
  <c r="EC44" i="12"/>
  <c r="EB42" i="12"/>
  <c r="EB43" i="12"/>
  <c r="EB44" i="12"/>
  <c r="DR44" i="12"/>
  <c r="DS44" i="12" s="1"/>
  <c r="CR42" i="12"/>
  <c r="CS42" i="12" s="1"/>
  <c r="CP42" i="12"/>
  <c r="BT42" i="12"/>
  <c r="BP43" i="12"/>
  <c r="AC42" i="12"/>
  <c r="AC43" i="12"/>
  <c r="AC44" i="12"/>
  <c r="AC45" i="12"/>
  <c r="AB42" i="12"/>
  <c r="AB43" i="12"/>
  <c r="AB44" i="12"/>
  <c r="Z42" i="12"/>
  <c r="Z43" i="12"/>
  <c r="Z44" i="12"/>
  <c r="Y42" i="12"/>
  <c r="Y43" i="12"/>
  <c r="Y44" i="12"/>
  <c r="Y45" i="12"/>
  <c r="W42" i="12"/>
  <c r="W43" i="12"/>
  <c r="W44" i="12"/>
  <c r="V42" i="12"/>
  <c r="V43" i="12"/>
  <c r="V44" i="12"/>
  <c r="T42" i="12"/>
  <c r="T43" i="12"/>
  <c r="T44" i="12"/>
  <c r="S42" i="12"/>
  <c r="S43" i="12"/>
  <c r="S44" i="12"/>
  <c r="S45" i="12"/>
  <c r="S46" i="12"/>
  <c r="Q42" i="12"/>
  <c r="Q43" i="12"/>
  <c r="CR43" i="12" s="1"/>
  <c r="CS43" i="12" s="1"/>
  <c r="Q44" i="12"/>
  <c r="CR44" i="12" s="1"/>
  <c r="CS44" i="12" s="1"/>
  <c r="Q45" i="12"/>
  <c r="CR45" i="12" s="1"/>
  <c r="P42" i="12"/>
  <c r="R42" i="12" s="1"/>
  <c r="P43" i="12"/>
  <c r="CP43" i="12" s="1"/>
  <c r="P44" i="12"/>
  <c r="R44" i="12" s="1"/>
  <c r="P45" i="12"/>
  <c r="R45" i="12" s="1"/>
  <c r="N42" i="12"/>
  <c r="N42" i="13" s="1"/>
  <c r="N43" i="12"/>
  <c r="DX43" i="12" s="1"/>
  <c r="DY43" i="12" s="1"/>
  <c r="N44" i="12"/>
  <c r="O44" i="12" s="1"/>
  <c r="N45" i="12"/>
  <c r="O45" i="12" s="1"/>
  <c r="N46" i="12"/>
  <c r="N47" i="12"/>
  <c r="M42" i="12"/>
  <c r="DR42" i="12" s="1"/>
  <c r="DS42" i="12" s="1"/>
  <c r="M43" i="12"/>
  <c r="DR43" i="12" s="1"/>
  <c r="DS43" i="12" s="1"/>
  <c r="M44" i="12"/>
  <c r="M45" i="12"/>
  <c r="K42" i="12"/>
  <c r="K43" i="12"/>
  <c r="K44" i="12"/>
  <c r="K45" i="12"/>
  <c r="J42" i="12"/>
  <c r="J43" i="12"/>
  <c r="J44" i="12"/>
  <c r="J45" i="12"/>
  <c r="J46" i="12"/>
  <c r="I42" i="12"/>
  <c r="I43" i="12"/>
  <c r="I44" i="12"/>
  <c r="I45" i="12"/>
  <c r="H42" i="12"/>
  <c r="H43" i="12"/>
  <c r="H44" i="12"/>
  <c r="G42" i="12"/>
  <c r="L42" i="12" s="1"/>
  <c r="G43" i="12"/>
  <c r="L43" i="12" s="1"/>
  <c r="G44" i="12"/>
  <c r="L44" i="12" s="1"/>
  <c r="F43" i="12"/>
  <c r="F44" i="12"/>
  <c r="E42" i="12"/>
  <c r="E43" i="12"/>
  <c r="BT43" i="12" s="1"/>
  <c r="E44" i="12"/>
  <c r="BT44" i="12" s="1"/>
  <c r="D42" i="12"/>
  <c r="BP42" i="12" s="1"/>
  <c r="D43" i="12"/>
  <c r="D44" i="12"/>
  <c r="BP44" i="12" s="1"/>
  <c r="G50" i="9"/>
  <c r="G51" i="9"/>
  <c r="G52" i="9"/>
  <c r="F50" i="9"/>
  <c r="F51" i="9"/>
  <c r="F52" i="9"/>
  <c r="G51" i="8"/>
  <c r="G52" i="8"/>
  <c r="F50" i="8"/>
  <c r="G50" i="8" s="1"/>
  <c r="F51" i="8"/>
  <c r="F52" i="8"/>
  <c r="G49" i="7"/>
  <c r="G50" i="7"/>
  <c r="G51" i="7"/>
  <c r="F49" i="7"/>
  <c r="F50" i="7"/>
  <c r="F51" i="7"/>
  <c r="G50" i="6"/>
  <c r="G51" i="6"/>
  <c r="G52" i="6"/>
  <c r="G53" i="6"/>
  <c r="F50" i="6"/>
  <c r="F51" i="6"/>
  <c r="F52" i="6"/>
  <c r="F51" i="5"/>
  <c r="G51" i="5" s="1"/>
  <c r="F52" i="5"/>
  <c r="G52" i="5" s="1"/>
  <c r="F53" i="5"/>
  <c r="G53" i="5" s="1"/>
  <c r="J51" i="4"/>
  <c r="J52" i="4"/>
  <c r="J53" i="4"/>
  <c r="J54" i="4"/>
  <c r="I51" i="4"/>
  <c r="I52" i="4"/>
  <c r="I53" i="4"/>
  <c r="G51" i="3"/>
  <c r="G52" i="3"/>
  <c r="G53" i="3"/>
  <c r="F51" i="3"/>
  <c r="F52" i="3"/>
  <c r="F53" i="3"/>
  <c r="DX42" i="12" l="1"/>
  <c r="DY42" i="12" s="1"/>
  <c r="AV42" i="13"/>
  <c r="AW42" i="13" s="1"/>
  <c r="AT42" i="13"/>
  <c r="AU42" i="13" s="1"/>
  <c r="O42" i="13"/>
  <c r="F42" i="12"/>
  <c r="O43" i="12"/>
  <c r="R43" i="12"/>
  <c r="O42" i="12"/>
  <c r="DX44" i="12"/>
  <c r="DY44" i="12" s="1"/>
  <c r="CP44" i="12"/>
  <c r="AO62" i="13"/>
  <c r="AO59" i="13"/>
  <c r="AN59" i="13"/>
  <c r="AB6" i="13"/>
  <c r="AB5" i="13"/>
  <c r="Y6" i="13"/>
  <c r="Y5" i="13"/>
  <c r="V6" i="13"/>
  <c r="V5" i="13"/>
  <c r="S6" i="13"/>
  <c r="S5" i="13"/>
  <c r="Q8" i="13"/>
  <c r="Q9" i="13"/>
  <c r="Q7" i="13"/>
  <c r="P8" i="13"/>
  <c r="P9" i="13"/>
  <c r="P7" i="13"/>
  <c r="P6" i="13"/>
  <c r="P5" i="13"/>
  <c r="N8" i="13"/>
  <c r="N9" i="13"/>
  <c r="AV8" i="13" s="1"/>
  <c r="N7" i="13"/>
  <c r="M8" i="13"/>
  <c r="M9" i="13"/>
  <c r="M7" i="13"/>
  <c r="M6" i="13"/>
  <c r="M5" i="13"/>
  <c r="J12" i="13"/>
  <c r="J13" i="13"/>
  <c r="J14" i="13"/>
  <c r="J15" i="13"/>
  <c r="J16" i="13"/>
  <c r="J17" i="13"/>
  <c r="J18" i="13"/>
  <c r="J19" i="13"/>
  <c r="J11" i="13"/>
  <c r="I11" i="13"/>
  <c r="G8" i="13"/>
  <c r="H8" i="13"/>
  <c r="I8" i="13"/>
  <c r="J8" i="13"/>
  <c r="K8" i="13"/>
  <c r="G9" i="13"/>
  <c r="H9" i="13"/>
  <c r="I9" i="13"/>
  <c r="J9" i="13"/>
  <c r="K9" i="13"/>
  <c r="H7" i="13"/>
  <c r="I7" i="13"/>
  <c r="J7" i="13"/>
  <c r="K7" i="13"/>
  <c r="G7" i="13"/>
  <c r="G6" i="13"/>
  <c r="E8" i="13"/>
  <c r="E9" i="13"/>
  <c r="E7" i="13"/>
  <c r="D8" i="13"/>
  <c r="D9" i="13"/>
  <c r="D7" i="13"/>
  <c r="E116" i="12"/>
  <c r="H112" i="12"/>
  <c r="H113" i="12"/>
  <c r="E107" i="12"/>
  <c r="E106" i="12"/>
  <c r="J109" i="12"/>
  <c r="I109" i="12"/>
  <c r="E87" i="12"/>
  <c r="K80" i="12"/>
  <c r="L80" i="12" s="1"/>
  <c r="G71" i="12"/>
  <c r="F71" i="12"/>
  <c r="K71" i="12"/>
  <c r="L71" i="12" s="1"/>
  <c r="K76" i="12"/>
  <c r="L76" i="12" s="1"/>
  <c r="K77" i="12"/>
  <c r="L77" i="12" s="1"/>
  <c r="K78" i="12"/>
  <c r="L78" i="12" s="1"/>
  <c r="K79" i="12"/>
  <c r="L79" i="12" s="1"/>
  <c r="K83" i="12"/>
  <c r="L83" i="12" s="1"/>
  <c r="K84" i="12"/>
  <c r="L84" i="12" s="1"/>
  <c r="K85" i="12"/>
  <c r="L85" i="12" s="1"/>
  <c r="K88" i="12"/>
  <c r="L88" i="12" s="1"/>
  <c r="K95" i="12"/>
  <c r="L95" i="12" s="1"/>
  <c r="K96" i="12"/>
  <c r="L96" i="12" s="1"/>
  <c r="K97" i="12"/>
  <c r="L97" i="12" s="1"/>
  <c r="K101" i="12"/>
  <c r="L101" i="12" s="1"/>
  <c r="K104" i="12"/>
  <c r="L104" i="12" s="1"/>
  <c r="K112" i="12"/>
  <c r="L112" i="12" s="1"/>
  <c r="K113" i="12"/>
  <c r="L113" i="12" s="1"/>
  <c r="F73" i="12"/>
  <c r="G73" i="12"/>
  <c r="H73" i="12" s="1"/>
  <c r="I73" i="12"/>
  <c r="J73" i="12"/>
  <c r="E76" i="12"/>
  <c r="E75" i="12"/>
  <c r="E71" i="12"/>
  <c r="E77" i="12"/>
  <c r="E69" i="12"/>
  <c r="E72" i="12"/>
  <c r="E81" i="12"/>
  <c r="E82" i="12"/>
  <c r="E89" i="12"/>
  <c r="E90" i="12"/>
  <c r="E91" i="12"/>
  <c r="E92" i="12"/>
  <c r="E93" i="12"/>
  <c r="E94" i="12"/>
  <c r="E98" i="12"/>
  <c r="E99" i="12"/>
  <c r="E100" i="12"/>
  <c r="E102" i="12"/>
  <c r="F69" i="12"/>
  <c r="G69" i="12"/>
  <c r="H69" i="12" s="1"/>
  <c r="I69" i="12"/>
  <c r="F72" i="12"/>
  <c r="G72" i="12"/>
  <c r="H72" i="12" s="1"/>
  <c r="I72" i="12"/>
  <c r="F74" i="12"/>
  <c r="G74" i="12"/>
  <c r="H74" i="12" s="1"/>
  <c r="I74" i="12"/>
  <c r="F75" i="12"/>
  <c r="G75" i="12"/>
  <c r="H75" i="12" s="1"/>
  <c r="I75" i="12"/>
  <c r="F81" i="12"/>
  <c r="G81" i="12"/>
  <c r="H81" i="12" s="1"/>
  <c r="I81" i="12"/>
  <c r="F82" i="12"/>
  <c r="G82" i="12"/>
  <c r="H82" i="12" s="1"/>
  <c r="I82" i="12"/>
  <c r="F89" i="12"/>
  <c r="G89" i="12"/>
  <c r="H89" i="12" s="1"/>
  <c r="F90" i="12"/>
  <c r="G90" i="12"/>
  <c r="H90" i="12" s="1"/>
  <c r="F91" i="12"/>
  <c r="G91" i="12"/>
  <c r="H91" i="12" s="1"/>
  <c r="F92" i="12"/>
  <c r="G92" i="12"/>
  <c r="H92" i="12" s="1"/>
  <c r="F93" i="12"/>
  <c r="G93" i="12"/>
  <c r="H93" i="12" s="1"/>
  <c r="F94" i="12"/>
  <c r="G94" i="12"/>
  <c r="H94" i="12" s="1"/>
  <c r="F98" i="12"/>
  <c r="G98" i="12"/>
  <c r="H98" i="12" s="1"/>
  <c r="F99" i="12"/>
  <c r="G99" i="12"/>
  <c r="H99" i="12" s="1"/>
  <c r="EH11" i="12"/>
  <c r="EH12" i="12"/>
  <c r="EH13" i="12"/>
  <c r="EH14" i="12"/>
  <c r="EH15" i="12"/>
  <c r="EH16" i="12"/>
  <c r="EH17" i="12"/>
  <c r="EH18" i="12"/>
  <c r="EH19" i="12"/>
  <c r="EF11" i="12"/>
  <c r="CT62" i="12"/>
  <c r="CU62" i="12"/>
  <c r="CV62" i="12"/>
  <c r="CW62" i="12"/>
  <c r="CX62" i="12"/>
  <c r="CY62" i="12"/>
  <c r="CZ62" i="12"/>
  <c r="DA62" i="12"/>
  <c r="DB62" i="12"/>
  <c r="DC62" i="12"/>
  <c r="DD62" i="12"/>
  <c r="DE62" i="12"/>
  <c r="DF62" i="12"/>
  <c r="DG62" i="12"/>
  <c r="DH62" i="12"/>
  <c r="DI62" i="12"/>
  <c r="DJ62" i="12"/>
  <c r="DK62" i="12"/>
  <c r="DL62" i="12"/>
  <c r="DM62" i="12"/>
  <c r="DN62" i="12"/>
  <c r="DO62" i="12"/>
  <c r="DP62" i="12"/>
  <c r="DQ62" i="12"/>
  <c r="DT62" i="12"/>
  <c r="DU62" i="12"/>
  <c r="DV62" i="12"/>
  <c r="DW62" i="12"/>
  <c r="FB62" i="12"/>
  <c r="FC62" i="12"/>
  <c r="K109" i="12" l="1"/>
  <c r="L109" i="12" s="1"/>
  <c r="K73" i="12"/>
  <c r="L73" i="12" s="1"/>
  <c r="AN8" i="13"/>
  <c r="AX8" i="13"/>
  <c r="AH8" i="13"/>
  <c r="AT56" i="13"/>
  <c r="AT54" i="13"/>
  <c r="AT8" i="13"/>
  <c r="EZ48" i="12" l="1"/>
  <c r="FA48" i="12" s="1"/>
  <c r="EZ54" i="12"/>
  <c r="FA54" i="12" s="1"/>
  <c r="EZ56" i="12"/>
  <c r="FA56" i="12" s="1"/>
  <c r="EZ61" i="12"/>
  <c r="EX48" i="12"/>
  <c r="EY48" i="12" s="1"/>
  <c r="EX54" i="12"/>
  <c r="EY54" i="12" s="1"/>
  <c r="EX56" i="12"/>
  <c r="EY56" i="12" s="1"/>
  <c r="EX61" i="12"/>
  <c r="ET48" i="12"/>
  <c r="EU48" i="12" s="1"/>
  <c r="ET54" i="12"/>
  <c r="EU54" i="12" s="1"/>
  <c r="ET56" i="12"/>
  <c r="EU56" i="12" s="1"/>
  <c r="ET61" i="12"/>
  <c r="ER48" i="12"/>
  <c r="ES48" i="12" s="1"/>
  <c r="ER54" i="12"/>
  <c r="ES54" i="12" s="1"/>
  <c r="ER56" i="12"/>
  <c r="ES56" i="12" s="1"/>
  <c r="ER61" i="12"/>
  <c r="EL9" i="12"/>
  <c r="E111" i="12" s="1"/>
  <c r="EO12" i="12"/>
  <c r="EO13" i="12"/>
  <c r="EO14" i="12"/>
  <c r="EO15" i="12"/>
  <c r="EO16" i="12"/>
  <c r="EO17" i="12"/>
  <c r="EO18" i="12"/>
  <c r="EO19" i="12"/>
  <c r="EO20" i="12"/>
  <c r="EO21" i="12"/>
  <c r="EO22" i="12"/>
  <c r="EO23" i="12"/>
  <c r="EO24" i="12"/>
  <c r="EO25" i="12"/>
  <c r="EO26" i="12"/>
  <c r="EO27" i="12"/>
  <c r="EO28" i="12"/>
  <c r="EO29" i="12"/>
  <c r="EO30" i="12"/>
  <c r="EO31" i="12"/>
  <c r="EO32" i="12"/>
  <c r="EO33" i="12"/>
  <c r="EO34" i="12"/>
  <c r="EO35" i="12"/>
  <c r="EO36" i="12"/>
  <c r="EO37" i="12"/>
  <c r="EO38" i="12"/>
  <c r="EO39" i="12"/>
  <c r="EO40" i="12"/>
  <c r="EO41" i="12"/>
  <c r="EO45" i="12"/>
  <c r="EO46" i="12"/>
  <c r="EO47" i="12"/>
  <c r="EO48" i="12"/>
  <c r="EO49" i="12"/>
  <c r="EO50" i="12"/>
  <c r="EO51" i="12"/>
  <c r="EO52" i="12"/>
  <c r="EO53" i="12"/>
  <c r="EO54" i="12"/>
  <c r="EO55" i="12"/>
  <c r="EO56" i="12"/>
  <c r="EO57" i="12"/>
  <c r="EO58" i="12"/>
  <c r="EO59" i="12"/>
  <c r="EO60" i="12"/>
  <c r="EO61" i="12"/>
  <c r="EM48" i="12"/>
  <c r="H14" i="12"/>
  <c r="EL58" i="12"/>
  <c r="EH58" i="12"/>
  <c r="EH61" i="12"/>
  <c r="I14" i="12"/>
  <c r="EF58" i="12"/>
  <c r="EG58" i="12" s="1"/>
  <c r="EF61" i="12"/>
  <c r="ED48" i="12"/>
  <c r="EE48" i="12" s="1"/>
  <c r="ED49" i="12"/>
  <c r="EE49" i="12" s="1"/>
  <c r="ED50" i="12"/>
  <c r="EE50" i="12" s="1"/>
  <c r="ED51" i="12"/>
  <c r="EE51" i="12" s="1"/>
  <c r="ED52" i="12"/>
  <c r="EE52" i="12" s="1"/>
  <c r="ED53" i="12"/>
  <c r="EE53" i="12" s="1"/>
  <c r="ED54" i="12"/>
  <c r="EE54" i="12" s="1"/>
  <c r="ED55" i="12"/>
  <c r="EE55" i="12" s="1"/>
  <c r="ED56" i="12"/>
  <c r="EE56" i="12" s="1"/>
  <c r="ED57" i="12"/>
  <c r="EE57" i="12" s="1"/>
  <c r="ED58" i="12"/>
  <c r="EE58" i="12" s="1"/>
  <c r="ED61" i="12"/>
  <c r="J24" i="12"/>
  <c r="J24" i="13" s="1"/>
  <c r="ED63" i="12"/>
  <c r="ED64" i="12"/>
  <c r="EB48" i="12"/>
  <c r="EB54" i="12"/>
  <c r="EB56" i="12"/>
  <c r="EB61" i="12"/>
  <c r="EF14" i="12" l="1"/>
  <c r="I14" i="13"/>
  <c r="ED14" i="12"/>
  <c r="EE14" i="12" s="1"/>
  <c r="H14" i="13"/>
  <c r="EH24" i="12"/>
  <c r="EM58" i="12"/>
  <c r="EH9" i="12"/>
  <c r="EF9" i="12"/>
  <c r="E108" i="12" s="1"/>
  <c r="E110" i="12"/>
  <c r="DX48" i="12"/>
  <c r="DX54" i="12"/>
  <c r="DX56" i="12"/>
  <c r="DX61" i="12"/>
  <c r="DR48" i="12"/>
  <c r="DS48" i="12" s="1"/>
  <c r="DR54" i="12"/>
  <c r="DS54" i="12" s="1"/>
  <c r="DR56" i="12"/>
  <c r="DS56" i="12" s="1"/>
  <c r="DR61" i="12"/>
  <c r="CR48" i="12"/>
  <c r="CS48" i="12" s="1"/>
  <c r="CR54" i="12"/>
  <c r="CS54" i="12" s="1"/>
  <c r="CR56" i="12"/>
  <c r="CS56" i="12" s="1"/>
  <c r="CR61" i="12"/>
  <c r="CP9" i="12"/>
  <c r="CP48" i="12"/>
  <c r="CQ48" i="12" s="1"/>
  <c r="CP54" i="12"/>
  <c r="CQ54" i="12" s="1"/>
  <c r="CP56" i="12"/>
  <c r="CQ56" i="12" s="1"/>
  <c r="BT48" i="12"/>
  <c r="BU48" i="12" s="1"/>
  <c r="BT54" i="12"/>
  <c r="BU54" i="12" s="1"/>
  <c r="BT56" i="12"/>
  <c r="BU56" i="12" s="1"/>
  <c r="BT9" i="12"/>
  <c r="BP9" i="12"/>
  <c r="E68" i="12" l="1"/>
  <c r="BQ42" i="12"/>
  <c r="BQ44" i="12"/>
  <c r="BQ43" i="12"/>
  <c r="E86" i="12"/>
  <c r="CQ43" i="12"/>
  <c r="CQ42" i="12"/>
  <c r="CQ44" i="12"/>
  <c r="E70" i="12"/>
  <c r="BU44" i="12"/>
  <c r="BU42" i="12"/>
  <c r="BU43" i="12"/>
  <c r="EI24" i="12"/>
  <c r="EI19" i="12"/>
  <c r="EI15" i="12"/>
  <c r="EI18" i="12"/>
  <c r="EI13" i="12"/>
  <c r="EI16" i="12"/>
  <c r="EI11" i="12"/>
  <c r="EI14" i="12"/>
  <c r="EI12" i="12"/>
  <c r="EI17" i="12"/>
  <c r="EG14" i="12"/>
  <c r="EG11" i="12"/>
  <c r="EM11" i="12"/>
  <c r="EM14" i="12"/>
  <c r="BL48" i="12"/>
  <c r="BL54" i="12"/>
  <c r="BL56" i="12"/>
  <c r="BL61" i="12"/>
  <c r="BL62" i="12"/>
  <c r="BJ48" i="12"/>
  <c r="BJ54" i="12"/>
  <c r="BJ56" i="12"/>
  <c r="BJ61" i="12"/>
  <c r="BJ62" i="12"/>
  <c r="AB8" i="12" l="1"/>
  <c r="AB8" i="13" s="1"/>
  <c r="AC8" i="12"/>
  <c r="AC8" i="13" s="1"/>
  <c r="AB9" i="12"/>
  <c r="AC9" i="12"/>
  <c r="AC7" i="12"/>
  <c r="AC7" i="13" s="1"/>
  <c r="AB7" i="12"/>
  <c r="AB7" i="13" s="1"/>
  <c r="Y8" i="12"/>
  <c r="Y8" i="13" s="1"/>
  <c r="Z8" i="12"/>
  <c r="Z8" i="13" s="1"/>
  <c r="Y9" i="12"/>
  <c r="Z9" i="12"/>
  <c r="Z7" i="12"/>
  <c r="Z7" i="13" s="1"/>
  <c r="Y7" i="12"/>
  <c r="Y7" i="13" s="1"/>
  <c r="V8" i="12"/>
  <c r="V8" i="13" s="1"/>
  <c r="W8" i="12"/>
  <c r="W8" i="13" s="1"/>
  <c r="V9" i="12"/>
  <c r="W9" i="12"/>
  <c r="W9" i="13" s="1"/>
  <c r="W7" i="12"/>
  <c r="W7" i="13" s="1"/>
  <c r="V7" i="12"/>
  <c r="V7" i="13" s="1"/>
  <c r="S9" i="12"/>
  <c r="T9" i="12"/>
  <c r="S8" i="12"/>
  <c r="S8" i="13" s="1"/>
  <c r="T8" i="12"/>
  <c r="T8" i="13" s="1"/>
  <c r="T7" i="12"/>
  <c r="T7" i="13" s="1"/>
  <c r="S7" i="12"/>
  <c r="S7" i="13" s="1"/>
  <c r="AB6" i="12"/>
  <c r="AB5" i="12"/>
  <c r="AC12" i="12"/>
  <c r="AC13" i="12"/>
  <c r="AC14" i="12"/>
  <c r="AC15" i="12"/>
  <c r="AC16" i="12"/>
  <c r="AC17" i="12"/>
  <c r="AC18" i="12"/>
  <c r="AC19" i="12"/>
  <c r="AC20" i="12"/>
  <c r="AC21" i="12"/>
  <c r="AC22" i="12"/>
  <c r="AC23" i="12"/>
  <c r="AC24" i="12"/>
  <c r="AC25" i="12"/>
  <c r="AC26" i="12"/>
  <c r="AC27" i="12"/>
  <c r="AC28" i="12"/>
  <c r="AC29" i="12"/>
  <c r="AC30" i="12"/>
  <c r="AC31" i="12"/>
  <c r="AC32" i="12"/>
  <c r="AC33" i="12"/>
  <c r="AC34" i="12"/>
  <c r="AC35" i="12"/>
  <c r="AB12" i="12"/>
  <c r="AB13" i="12"/>
  <c r="AB14" i="12"/>
  <c r="AB15" i="12"/>
  <c r="AB16" i="12"/>
  <c r="AB17" i="12"/>
  <c r="AB18" i="12"/>
  <c r="AB19" i="12"/>
  <c r="AB20" i="12"/>
  <c r="AB21" i="12"/>
  <c r="AB22" i="12"/>
  <c r="AB23" i="12"/>
  <c r="AB24" i="12"/>
  <c r="AB25" i="12"/>
  <c r="AB26" i="12"/>
  <c r="AB27" i="12"/>
  <c r="AB28" i="12"/>
  <c r="AB29" i="12"/>
  <c r="AB30" i="12"/>
  <c r="AB31" i="12"/>
  <c r="AB32" i="12"/>
  <c r="AB33" i="12"/>
  <c r="AB34" i="12"/>
  <c r="AB35" i="12"/>
  <c r="Y6" i="12"/>
  <c r="Y5" i="12"/>
  <c r="Z12" i="12"/>
  <c r="Z12" i="13" s="1"/>
  <c r="Z13" i="12"/>
  <c r="Z14" i="12"/>
  <c r="Z14" i="13" s="1"/>
  <c r="Z15" i="12"/>
  <c r="Z15" i="13" s="1"/>
  <c r="Z16" i="12"/>
  <c r="Z16" i="13" s="1"/>
  <c r="Z17" i="12"/>
  <c r="Z18" i="12"/>
  <c r="Z18" i="13" s="1"/>
  <c r="Z19" i="12"/>
  <c r="Z19" i="13" s="1"/>
  <c r="Z20" i="12"/>
  <c r="Z20" i="13" s="1"/>
  <c r="Z21" i="12"/>
  <c r="Z22" i="12"/>
  <c r="Z22" i="13" s="1"/>
  <c r="Z23" i="12"/>
  <c r="Z23" i="13" s="1"/>
  <c r="Z24" i="12"/>
  <c r="Z24" i="13" s="1"/>
  <c r="Z25" i="12"/>
  <c r="Z26" i="12"/>
  <c r="Z26" i="13" s="1"/>
  <c r="Z27" i="12"/>
  <c r="Z27" i="13" s="1"/>
  <c r="Z28" i="12"/>
  <c r="Z28" i="13" s="1"/>
  <c r="Z29" i="12"/>
  <c r="Z30" i="12"/>
  <c r="Z30" i="13" s="1"/>
  <c r="Z31" i="12"/>
  <c r="Z31" i="13" s="1"/>
  <c r="Z32" i="12"/>
  <c r="Z32" i="13" s="1"/>
  <c r="Z33" i="12"/>
  <c r="Z34" i="12"/>
  <c r="Z34" i="13" s="1"/>
  <c r="Z35" i="12"/>
  <c r="Z35" i="13" s="1"/>
  <c r="Y12" i="12"/>
  <c r="Y13" i="12"/>
  <c r="Y14" i="12"/>
  <c r="Y15" i="12"/>
  <c r="Y16" i="12"/>
  <c r="Y17" i="12"/>
  <c r="Y18" i="12"/>
  <c r="Y19" i="12"/>
  <c r="Y20" i="12"/>
  <c r="Y21" i="12"/>
  <c r="Y22" i="12"/>
  <c r="Y23" i="12"/>
  <c r="Y24" i="12"/>
  <c r="Y25" i="12"/>
  <c r="Y26" i="12"/>
  <c r="Y27" i="12"/>
  <c r="Y28" i="12"/>
  <c r="Y29" i="12"/>
  <c r="Y30" i="12"/>
  <c r="Y31" i="12"/>
  <c r="Y32" i="12"/>
  <c r="Y33" i="12"/>
  <c r="Y34" i="12"/>
  <c r="Y35" i="12"/>
  <c r="W12" i="12"/>
  <c r="W12" i="13" s="1"/>
  <c r="W13" i="12"/>
  <c r="W13" i="13" s="1"/>
  <c r="W14" i="12"/>
  <c r="W14" i="13" s="1"/>
  <c r="W15" i="12"/>
  <c r="W15" i="13" s="1"/>
  <c r="W16" i="12"/>
  <c r="W16" i="13" s="1"/>
  <c r="W17" i="12"/>
  <c r="W17" i="13" s="1"/>
  <c r="W18" i="12"/>
  <c r="W18" i="13" s="1"/>
  <c r="W19" i="12"/>
  <c r="W19" i="13" s="1"/>
  <c r="W20" i="12"/>
  <c r="W20" i="13" s="1"/>
  <c r="W21" i="12"/>
  <c r="W21" i="13" s="1"/>
  <c r="W22" i="12"/>
  <c r="W22" i="13" s="1"/>
  <c r="W23" i="12"/>
  <c r="W23" i="13" s="1"/>
  <c r="W24" i="12"/>
  <c r="W24" i="13" s="1"/>
  <c r="W25" i="12"/>
  <c r="W25" i="13" s="1"/>
  <c r="W26" i="12"/>
  <c r="W26" i="13" s="1"/>
  <c r="W27" i="12"/>
  <c r="W27" i="13" s="1"/>
  <c r="W28" i="12"/>
  <c r="W28" i="13" s="1"/>
  <c r="W29" i="12"/>
  <c r="W29" i="13" s="1"/>
  <c r="W30" i="12"/>
  <c r="W30" i="13" s="1"/>
  <c r="W31" i="12"/>
  <c r="W31" i="13" s="1"/>
  <c r="W32" i="12"/>
  <c r="W32" i="13" s="1"/>
  <c r="W33" i="12"/>
  <c r="W33" i="13" s="1"/>
  <c r="W34" i="12"/>
  <c r="W34" i="13" s="1"/>
  <c r="V12" i="12"/>
  <c r="V13" i="12"/>
  <c r="V13" i="13" s="1"/>
  <c r="V14" i="12"/>
  <c r="V14" i="13" s="1"/>
  <c r="V15" i="12"/>
  <c r="V16" i="12"/>
  <c r="V17" i="12"/>
  <c r="V17" i="13" s="1"/>
  <c r="V18" i="12"/>
  <c r="V18" i="13" s="1"/>
  <c r="V19" i="12"/>
  <c r="V20" i="12"/>
  <c r="V21" i="12"/>
  <c r="V21" i="13" s="1"/>
  <c r="V22" i="12"/>
  <c r="V22" i="13" s="1"/>
  <c r="V23" i="12"/>
  <c r="V24" i="12"/>
  <c r="V25" i="12"/>
  <c r="V25" i="13" s="1"/>
  <c r="V26" i="12"/>
  <c r="V26" i="13" s="1"/>
  <c r="V27" i="12"/>
  <c r="V28" i="12"/>
  <c r="V29" i="12"/>
  <c r="V29" i="13" s="1"/>
  <c r="V30" i="12"/>
  <c r="V30" i="13" s="1"/>
  <c r="V31" i="12"/>
  <c r="V32" i="12"/>
  <c r="V33" i="12"/>
  <c r="V33" i="13" s="1"/>
  <c r="V34" i="12"/>
  <c r="V34" i="13" s="1"/>
  <c r="T12" i="12"/>
  <c r="T13" i="12"/>
  <c r="T14" i="12"/>
  <c r="T15" i="12"/>
  <c r="T16" i="12"/>
  <c r="T17" i="12"/>
  <c r="T18" i="12"/>
  <c r="T19" i="12"/>
  <c r="T20" i="12"/>
  <c r="T21" i="12"/>
  <c r="T22" i="12"/>
  <c r="T23" i="12"/>
  <c r="T24" i="12"/>
  <c r="T25" i="12"/>
  <c r="T26" i="12"/>
  <c r="T27" i="12"/>
  <c r="T28" i="12"/>
  <c r="T29" i="12"/>
  <c r="T30" i="12"/>
  <c r="T31" i="12"/>
  <c r="T32" i="12"/>
  <c r="T33" i="12"/>
  <c r="T34" i="12"/>
  <c r="S12" i="12"/>
  <c r="S13" i="12"/>
  <c r="S14" i="12"/>
  <c r="S15" i="12"/>
  <c r="S16" i="12"/>
  <c r="S17" i="12"/>
  <c r="S18" i="12"/>
  <c r="S19" i="12"/>
  <c r="S20" i="12"/>
  <c r="S21" i="12"/>
  <c r="S22" i="12"/>
  <c r="S23" i="12"/>
  <c r="S24" i="12"/>
  <c r="S25" i="12"/>
  <c r="S26" i="12"/>
  <c r="S27" i="12"/>
  <c r="S28" i="12"/>
  <c r="S29" i="12"/>
  <c r="S30" i="12"/>
  <c r="S31" i="12"/>
  <c r="S32" i="12"/>
  <c r="S33" i="12"/>
  <c r="S34" i="12"/>
  <c r="S35" i="12"/>
  <c r="S36" i="12"/>
  <c r="S37" i="12"/>
  <c r="S38" i="12"/>
  <c r="S39" i="12"/>
  <c r="S40" i="12"/>
  <c r="S41" i="12"/>
  <c r="S47" i="12"/>
  <c r="V6" i="12"/>
  <c r="V5" i="12"/>
  <c r="S5" i="12"/>
  <c r="S6" i="12"/>
  <c r="Q11" i="12"/>
  <c r="Q12" i="12"/>
  <c r="Q13" i="12"/>
  <c r="Q14" i="12"/>
  <c r="Q15" i="12"/>
  <c r="Q16" i="12"/>
  <c r="Q17" i="12"/>
  <c r="Q18" i="12"/>
  <c r="Q19" i="12"/>
  <c r="Q20" i="12"/>
  <c r="Q21" i="12"/>
  <c r="Q22" i="12"/>
  <c r="Q23" i="12"/>
  <c r="Q24" i="12"/>
  <c r="Q25" i="12"/>
  <c r="Q26" i="12"/>
  <c r="Q27" i="12"/>
  <c r="Q28" i="12"/>
  <c r="Q29" i="12"/>
  <c r="Q30" i="12"/>
  <c r="Q31" i="12"/>
  <c r="Q32" i="12"/>
  <c r="Q33" i="12"/>
  <c r="Q34" i="12"/>
  <c r="Q35" i="12"/>
  <c r="Q36" i="12"/>
  <c r="Q37" i="12"/>
  <c r="Q38" i="12"/>
  <c r="Q39" i="12"/>
  <c r="Q40" i="12"/>
  <c r="Q41" i="12"/>
  <c r="Q46" i="12"/>
  <c r="Q47" i="12"/>
  <c r="P12" i="12"/>
  <c r="P13" i="12"/>
  <c r="P14" i="12"/>
  <c r="P15" i="12"/>
  <c r="P16" i="12"/>
  <c r="P17" i="12"/>
  <c r="P18" i="12"/>
  <c r="P19" i="12"/>
  <c r="P20" i="12"/>
  <c r="P21" i="12"/>
  <c r="P22" i="12"/>
  <c r="P23" i="12"/>
  <c r="P24" i="12"/>
  <c r="P25" i="12"/>
  <c r="P26" i="12"/>
  <c r="P27" i="12"/>
  <c r="P28" i="12"/>
  <c r="P29" i="12"/>
  <c r="P30" i="12"/>
  <c r="P31" i="12"/>
  <c r="P32" i="12"/>
  <c r="P33" i="12"/>
  <c r="P34" i="12"/>
  <c r="P35" i="12"/>
  <c r="P36" i="12"/>
  <c r="P37" i="12"/>
  <c r="P38" i="12"/>
  <c r="P39" i="12"/>
  <c r="P40" i="12"/>
  <c r="P41" i="12"/>
  <c r="P46" i="12"/>
  <c r="P47" i="12"/>
  <c r="P11" i="12"/>
  <c r="P6" i="12"/>
  <c r="P5" i="12"/>
  <c r="N12" i="12"/>
  <c r="N13" i="12"/>
  <c r="N14" i="12"/>
  <c r="N15" i="12"/>
  <c r="N16" i="12"/>
  <c r="N17" i="12"/>
  <c r="N18" i="12"/>
  <c r="N19" i="12"/>
  <c r="N20" i="12"/>
  <c r="N21" i="12"/>
  <c r="N22" i="12"/>
  <c r="N23" i="12"/>
  <c r="N24" i="12"/>
  <c r="N25" i="12"/>
  <c r="N26" i="12"/>
  <c r="N27" i="12"/>
  <c r="N28" i="12"/>
  <c r="N29" i="12"/>
  <c r="N30" i="12"/>
  <c r="N31" i="12"/>
  <c r="N32" i="12"/>
  <c r="N33" i="12"/>
  <c r="N34" i="12"/>
  <c r="N35" i="12"/>
  <c r="N36" i="12"/>
  <c r="N37" i="12"/>
  <c r="N38" i="12"/>
  <c r="N39" i="12"/>
  <c r="N40" i="12"/>
  <c r="N40" i="13" s="1"/>
  <c r="N41" i="12"/>
  <c r="N41" i="13" s="1"/>
  <c r="M12" i="12"/>
  <c r="M13" i="12"/>
  <c r="M14" i="12"/>
  <c r="M15" i="12"/>
  <c r="M16" i="12"/>
  <c r="M17" i="12"/>
  <c r="M18" i="12"/>
  <c r="M19" i="12"/>
  <c r="M20" i="12"/>
  <c r="M21" i="12"/>
  <c r="M22" i="12"/>
  <c r="M23" i="12"/>
  <c r="M24" i="12"/>
  <c r="M25" i="12"/>
  <c r="M26" i="12"/>
  <c r="M27" i="12"/>
  <c r="M28" i="12"/>
  <c r="M29" i="12"/>
  <c r="M30" i="12"/>
  <c r="M31" i="12"/>
  <c r="M32" i="12"/>
  <c r="M33" i="12"/>
  <c r="M34" i="12"/>
  <c r="M35" i="12"/>
  <c r="M36" i="12"/>
  <c r="M37" i="12"/>
  <c r="M38" i="12"/>
  <c r="M39" i="12"/>
  <c r="M40" i="12"/>
  <c r="M41" i="12"/>
  <c r="M46" i="12"/>
  <c r="M47" i="12"/>
  <c r="N11" i="12"/>
  <c r="M11" i="12"/>
  <c r="M5" i="12"/>
  <c r="M6" i="12"/>
  <c r="K12" i="12"/>
  <c r="K13" i="12"/>
  <c r="K13" i="13" s="1"/>
  <c r="K14" i="12"/>
  <c r="K14" i="13" s="1"/>
  <c r="K15" i="12"/>
  <c r="K16" i="12"/>
  <c r="K17" i="12"/>
  <c r="K18" i="12"/>
  <c r="K19" i="12"/>
  <c r="K20" i="12"/>
  <c r="K21" i="12"/>
  <c r="K21" i="13" s="1"/>
  <c r="K22" i="12"/>
  <c r="K22" i="13" s="1"/>
  <c r="K23" i="12"/>
  <c r="K23" i="13" s="1"/>
  <c r="K24" i="12"/>
  <c r="K24" i="13" s="1"/>
  <c r="K25" i="12"/>
  <c r="K25" i="13" s="1"/>
  <c r="K26" i="12"/>
  <c r="K26" i="13" s="1"/>
  <c r="K27" i="12"/>
  <c r="K27" i="13" s="1"/>
  <c r="K28" i="12"/>
  <c r="K28" i="13" s="1"/>
  <c r="K29" i="12"/>
  <c r="K29" i="13" s="1"/>
  <c r="K30" i="12"/>
  <c r="K30" i="13" s="1"/>
  <c r="K31" i="12"/>
  <c r="K31" i="13" s="1"/>
  <c r="K32" i="12"/>
  <c r="K32" i="13" s="1"/>
  <c r="K33" i="12"/>
  <c r="K33" i="13" s="1"/>
  <c r="K34" i="12"/>
  <c r="K34" i="13" s="1"/>
  <c r="K35" i="12"/>
  <c r="K35" i="13" s="1"/>
  <c r="K36" i="12"/>
  <c r="K36" i="13" s="1"/>
  <c r="K37" i="12"/>
  <c r="K37" i="13" s="1"/>
  <c r="K38" i="12"/>
  <c r="K38" i="13" s="1"/>
  <c r="K39" i="12"/>
  <c r="K39" i="13" s="1"/>
  <c r="K40" i="12"/>
  <c r="K43" i="13" s="1"/>
  <c r="K41" i="12"/>
  <c r="K45" i="13"/>
  <c r="K46" i="12"/>
  <c r="K47" i="12"/>
  <c r="K47" i="13" s="1"/>
  <c r="J20" i="12"/>
  <c r="J20" i="13" s="1"/>
  <c r="J21" i="12"/>
  <c r="J21" i="13" s="1"/>
  <c r="J22" i="12"/>
  <c r="J22" i="13" s="1"/>
  <c r="J23" i="12"/>
  <c r="J23" i="13" s="1"/>
  <c r="J25" i="12"/>
  <c r="J25" i="13" s="1"/>
  <c r="J26" i="12"/>
  <c r="J26" i="13" s="1"/>
  <c r="J27" i="12"/>
  <c r="J27" i="13" s="1"/>
  <c r="J28" i="12"/>
  <c r="J28" i="13" s="1"/>
  <c r="J29" i="12"/>
  <c r="J29" i="13" s="1"/>
  <c r="J30" i="12"/>
  <c r="J30" i="13" s="1"/>
  <c r="J31" i="12"/>
  <c r="J31" i="13" s="1"/>
  <c r="J32" i="12"/>
  <c r="J32" i="13" s="1"/>
  <c r="J33" i="12"/>
  <c r="J33" i="13" s="1"/>
  <c r="J34" i="12"/>
  <c r="J34" i="13" s="1"/>
  <c r="J35" i="12"/>
  <c r="J35" i="13" s="1"/>
  <c r="J36" i="12"/>
  <c r="J37" i="12"/>
  <c r="J38" i="12"/>
  <c r="J39" i="12"/>
  <c r="J40" i="12"/>
  <c r="J41" i="12"/>
  <c r="J47" i="12"/>
  <c r="I12" i="12"/>
  <c r="I12" i="13" s="1"/>
  <c r="I13" i="12"/>
  <c r="I13" i="13" s="1"/>
  <c r="I15" i="12"/>
  <c r="I15" i="13" s="1"/>
  <c r="I16" i="12"/>
  <c r="I16" i="13" s="1"/>
  <c r="I17" i="12"/>
  <c r="I17" i="13" s="1"/>
  <c r="I18" i="12"/>
  <c r="I18" i="13" s="1"/>
  <c r="I19" i="12"/>
  <c r="I19" i="13" s="1"/>
  <c r="I20" i="12"/>
  <c r="I20" i="13" s="1"/>
  <c r="I21" i="12"/>
  <c r="I21" i="13" s="1"/>
  <c r="I22" i="12"/>
  <c r="I22" i="13" s="1"/>
  <c r="I23" i="12"/>
  <c r="I23" i="13" s="1"/>
  <c r="I24" i="12"/>
  <c r="I24" i="13" s="1"/>
  <c r="I25" i="12"/>
  <c r="I25" i="13" s="1"/>
  <c r="I26" i="12"/>
  <c r="I26" i="13" s="1"/>
  <c r="I27" i="12"/>
  <c r="I27" i="13" s="1"/>
  <c r="I28" i="12"/>
  <c r="I28" i="13" s="1"/>
  <c r="I29" i="12"/>
  <c r="I29" i="13" s="1"/>
  <c r="I30" i="12"/>
  <c r="I31" i="12"/>
  <c r="I31" i="13" s="1"/>
  <c r="I32" i="12"/>
  <c r="I32" i="13" s="1"/>
  <c r="I33" i="12"/>
  <c r="I33" i="13" s="1"/>
  <c r="I34" i="12"/>
  <c r="I35" i="12"/>
  <c r="I36" i="12"/>
  <c r="I37" i="12"/>
  <c r="I38" i="12"/>
  <c r="I39" i="12"/>
  <c r="I40" i="12"/>
  <c r="I41" i="12"/>
  <c r="I46" i="12"/>
  <c r="I47" i="12"/>
  <c r="H12" i="12"/>
  <c r="H13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5" i="12"/>
  <c r="H46" i="12"/>
  <c r="H47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37" i="12"/>
  <c r="G38" i="12"/>
  <c r="G39" i="12"/>
  <c r="G40" i="12"/>
  <c r="G41" i="12"/>
  <c r="G45" i="12"/>
  <c r="L45" i="12" s="1"/>
  <c r="G46" i="12"/>
  <c r="G47" i="12"/>
  <c r="K11" i="12"/>
  <c r="K11" i="13" s="1"/>
  <c r="H11" i="12"/>
  <c r="G11" i="12"/>
  <c r="E12" i="12"/>
  <c r="E12" i="13" s="1"/>
  <c r="E13" i="12"/>
  <c r="E14" i="12"/>
  <c r="E15" i="12"/>
  <c r="E16" i="12"/>
  <c r="E17" i="12"/>
  <c r="E18" i="12"/>
  <c r="E19" i="12"/>
  <c r="E20" i="12"/>
  <c r="E21" i="12"/>
  <c r="E22" i="12"/>
  <c r="E23" i="12"/>
  <c r="E24" i="12"/>
  <c r="E25" i="12"/>
  <c r="E26" i="12"/>
  <c r="E27" i="12"/>
  <c r="E28" i="12"/>
  <c r="E29" i="12"/>
  <c r="E30" i="12"/>
  <c r="E31" i="12"/>
  <c r="E32" i="12"/>
  <c r="E33" i="12"/>
  <c r="E34" i="12"/>
  <c r="E35" i="12"/>
  <c r="E36" i="12"/>
  <c r="E37" i="12"/>
  <c r="E38" i="12"/>
  <c r="E39" i="12"/>
  <c r="E40" i="12"/>
  <c r="E41" i="12"/>
  <c r="E45" i="12"/>
  <c r="E46" i="12"/>
  <c r="E47" i="12"/>
  <c r="D12" i="12"/>
  <c r="D13" i="12"/>
  <c r="D14" i="12"/>
  <c r="D15" i="12"/>
  <c r="D16" i="12"/>
  <c r="D17" i="12"/>
  <c r="D18" i="12"/>
  <c r="D19" i="12"/>
  <c r="D20" i="12"/>
  <c r="D21" i="12"/>
  <c r="D22" i="12"/>
  <c r="D23" i="12"/>
  <c r="D24" i="12"/>
  <c r="D25" i="12"/>
  <c r="D26" i="12"/>
  <c r="D27" i="12"/>
  <c r="D28" i="12"/>
  <c r="D29" i="12"/>
  <c r="D30" i="12"/>
  <c r="D31" i="12"/>
  <c r="D32" i="12"/>
  <c r="D33" i="12"/>
  <c r="D34" i="12"/>
  <c r="D35" i="12"/>
  <c r="D36" i="12"/>
  <c r="D37" i="12"/>
  <c r="D38" i="12"/>
  <c r="D39" i="12"/>
  <c r="D40" i="12"/>
  <c r="D41" i="12"/>
  <c r="D45" i="12"/>
  <c r="D46" i="12"/>
  <c r="D47" i="12"/>
  <c r="E11" i="12"/>
  <c r="D11" i="12"/>
  <c r="F19" i="7"/>
  <c r="F20" i="7"/>
  <c r="F20" i="8"/>
  <c r="F21" i="8"/>
  <c r="F22" i="8"/>
  <c r="F23" i="8"/>
  <c r="F24" i="8"/>
  <c r="F25" i="8"/>
  <c r="F26" i="8"/>
  <c r="F27" i="8"/>
  <c r="F28" i="8"/>
  <c r="G28" i="8" s="1"/>
  <c r="F29" i="8"/>
  <c r="G29" i="8" s="1"/>
  <c r="F30" i="8"/>
  <c r="G30" i="8" s="1"/>
  <c r="F31" i="8"/>
  <c r="G31" i="8" s="1"/>
  <c r="F32" i="8"/>
  <c r="G32" i="8" s="1"/>
  <c r="F33" i="8"/>
  <c r="G33" i="8" s="1"/>
  <c r="F34" i="8"/>
  <c r="G34" i="8" s="1"/>
  <c r="F35" i="8"/>
  <c r="G35" i="8" s="1"/>
  <c r="F36" i="8"/>
  <c r="G36" i="8" s="1"/>
  <c r="F37" i="8"/>
  <c r="G37" i="8" s="1"/>
  <c r="F38" i="8"/>
  <c r="G38" i="8" s="1"/>
  <c r="F39" i="8"/>
  <c r="G39" i="8" s="1"/>
  <c r="F40" i="8"/>
  <c r="G40" i="8" s="1"/>
  <c r="F41" i="8"/>
  <c r="G41" i="8" s="1"/>
  <c r="F42" i="8"/>
  <c r="G42" i="8" s="1"/>
  <c r="F43" i="8"/>
  <c r="F44" i="8"/>
  <c r="F45" i="8"/>
  <c r="F46" i="8"/>
  <c r="F47" i="8"/>
  <c r="F48" i="8"/>
  <c r="F49" i="8"/>
  <c r="F53" i="8"/>
  <c r="F54" i="8"/>
  <c r="F55" i="8"/>
  <c r="F19" i="8"/>
  <c r="E69" i="4"/>
  <c r="F69" i="4"/>
  <c r="G69" i="4"/>
  <c r="H69" i="4"/>
  <c r="D69" i="4"/>
  <c r="E68" i="4"/>
  <c r="F68" i="4"/>
  <c r="G68" i="4"/>
  <c r="H68" i="4"/>
  <c r="D68" i="4"/>
  <c r="E67" i="4"/>
  <c r="F67" i="4"/>
  <c r="G67" i="4"/>
  <c r="H67" i="4"/>
  <c r="D67" i="4"/>
  <c r="H62" i="4"/>
  <c r="F62" i="4"/>
  <c r="F58" i="4"/>
  <c r="G58" i="4"/>
  <c r="H58" i="4"/>
  <c r="I58" i="4"/>
  <c r="E59" i="4"/>
  <c r="F59" i="4"/>
  <c r="G59" i="4"/>
  <c r="H59" i="4"/>
  <c r="H60" i="4" s="1"/>
  <c r="H61" i="4" s="1"/>
  <c r="D59" i="4"/>
  <c r="D60" i="4" s="1"/>
  <c r="D61" i="4" s="1"/>
  <c r="D58" i="3"/>
  <c r="D59" i="3" s="1"/>
  <c r="D60" i="3" s="1"/>
  <c r="AV41" i="13" l="1"/>
  <c r="AW41" i="13" s="1"/>
  <c r="AT41" i="13"/>
  <c r="AU41" i="13" s="1"/>
  <c r="O41" i="13"/>
  <c r="AV40" i="13"/>
  <c r="AW40" i="13" s="1"/>
  <c r="AT40" i="13"/>
  <c r="AU40" i="13" s="1"/>
  <c r="O40" i="13"/>
  <c r="BJ44" i="12"/>
  <c r="BJ43" i="12"/>
  <c r="BJ42" i="12"/>
  <c r="AD43" i="12"/>
  <c r="AD42" i="12"/>
  <c r="AD44" i="12"/>
  <c r="U43" i="12"/>
  <c r="AA43" i="12"/>
  <c r="AA44" i="12"/>
  <c r="U42" i="12"/>
  <c r="X44" i="12"/>
  <c r="X42" i="12"/>
  <c r="U44" i="12"/>
  <c r="AA42" i="12"/>
  <c r="X43" i="12"/>
  <c r="EX29" i="12"/>
  <c r="AB29" i="13"/>
  <c r="EX17" i="12"/>
  <c r="AB17" i="13"/>
  <c r="EX13" i="12"/>
  <c r="AB13" i="13"/>
  <c r="EZ33" i="12"/>
  <c r="AC33" i="13"/>
  <c r="EZ29" i="12"/>
  <c r="AC29" i="13"/>
  <c r="EZ25" i="12"/>
  <c r="AC25" i="13"/>
  <c r="EZ21" i="12"/>
  <c r="AC21" i="13"/>
  <c r="EZ17" i="12"/>
  <c r="AC17" i="13"/>
  <c r="EZ13" i="12"/>
  <c r="AC13" i="13"/>
  <c r="EZ9" i="12"/>
  <c r="E118" i="12" s="1"/>
  <c r="AC9" i="13"/>
  <c r="EX32" i="12"/>
  <c r="AB32" i="13"/>
  <c r="EX28" i="12"/>
  <c r="AB28" i="13"/>
  <c r="EX24" i="12"/>
  <c r="AB24" i="13"/>
  <c r="EX20" i="12"/>
  <c r="AB20" i="13"/>
  <c r="EX16" i="12"/>
  <c r="AB16" i="13"/>
  <c r="EX12" i="12"/>
  <c r="AB12" i="13"/>
  <c r="EZ32" i="12"/>
  <c r="AC32" i="13"/>
  <c r="EZ28" i="12"/>
  <c r="FA28" i="12" s="1"/>
  <c r="AC28" i="13"/>
  <c r="EZ24" i="12"/>
  <c r="AC24" i="13"/>
  <c r="EZ20" i="12"/>
  <c r="FA20" i="12" s="1"/>
  <c r="AC20" i="13"/>
  <c r="EZ16" i="12"/>
  <c r="AC16" i="13"/>
  <c r="EZ12" i="12"/>
  <c r="FA12" i="12" s="1"/>
  <c r="AC12" i="13"/>
  <c r="EX9" i="12"/>
  <c r="E117" i="12" s="1"/>
  <c r="AB9" i="13"/>
  <c r="EX34" i="12"/>
  <c r="AB34" i="13"/>
  <c r="EX30" i="12"/>
  <c r="EY30" i="12" s="1"/>
  <c r="AB30" i="13"/>
  <c r="EX26" i="12"/>
  <c r="AB26" i="13"/>
  <c r="EX22" i="12"/>
  <c r="EY22" i="12" s="1"/>
  <c r="AB22" i="13"/>
  <c r="EX18" i="12"/>
  <c r="AB18" i="13"/>
  <c r="EX14" i="12"/>
  <c r="EY14" i="12" s="1"/>
  <c r="AB14" i="13"/>
  <c r="EZ34" i="12"/>
  <c r="FA34" i="12" s="1"/>
  <c r="AC34" i="13"/>
  <c r="EZ30" i="12"/>
  <c r="AC30" i="13"/>
  <c r="EZ26" i="12"/>
  <c r="FA26" i="12" s="1"/>
  <c r="AC26" i="13"/>
  <c r="EZ22" i="12"/>
  <c r="AC22" i="13"/>
  <c r="EZ18" i="12"/>
  <c r="FA18" i="12" s="1"/>
  <c r="AC18" i="13"/>
  <c r="EX33" i="12"/>
  <c r="EY33" i="12" s="1"/>
  <c r="AB33" i="13"/>
  <c r="EX25" i="12"/>
  <c r="AB25" i="13"/>
  <c r="EX21" i="12"/>
  <c r="EY21" i="12" s="1"/>
  <c r="AB21" i="13"/>
  <c r="EX35" i="12"/>
  <c r="AB35" i="13"/>
  <c r="EX31" i="12"/>
  <c r="EY31" i="12" s="1"/>
  <c r="AB31" i="13"/>
  <c r="EX27" i="12"/>
  <c r="AB27" i="13"/>
  <c r="EX23" i="12"/>
  <c r="EY23" i="12" s="1"/>
  <c r="AB23" i="13"/>
  <c r="EX19" i="12"/>
  <c r="AB19" i="13"/>
  <c r="EX15" i="12"/>
  <c r="EY15" i="12" s="1"/>
  <c r="AB15" i="13"/>
  <c r="EZ35" i="12"/>
  <c r="FA35" i="12" s="1"/>
  <c r="AC35" i="13"/>
  <c r="EZ31" i="12"/>
  <c r="AC31" i="13"/>
  <c r="EZ27" i="12"/>
  <c r="FA27" i="12" s="1"/>
  <c r="AC27" i="13"/>
  <c r="EZ23" i="12"/>
  <c r="AC23" i="13"/>
  <c r="EZ19" i="12"/>
  <c r="FA19" i="12" s="1"/>
  <c r="AC19" i="13"/>
  <c r="EZ15" i="12"/>
  <c r="AC15" i="13"/>
  <c r="EZ14" i="12"/>
  <c r="FA14" i="12" s="1"/>
  <c r="AC14" i="13"/>
  <c r="Y35" i="13"/>
  <c r="Y27" i="13"/>
  <c r="Y19" i="13"/>
  <c r="Y15" i="13"/>
  <c r="Y34" i="13"/>
  <c r="Y30" i="13"/>
  <c r="Y26" i="13"/>
  <c r="Y22" i="13"/>
  <c r="Y18" i="13"/>
  <c r="Y14" i="13"/>
  <c r="Y31" i="13"/>
  <c r="Y23" i="13"/>
  <c r="Y33" i="13"/>
  <c r="Y29" i="13"/>
  <c r="Y25" i="13"/>
  <c r="Y21" i="13"/>
  <c r="Y17" i="13"/>
  <c r="Y13" i="13"/>
  <c r="Z33" i="13"/>
  <c r="Z29" i="13"/>
  <c r="Z25" i="13"/>
  <c r="Z21" i="13"/>
  <c r="Z17" i="13"/>
  <c r="Z13" i="13"/>
  <c r="BN9" i="12"/>
  <c r="Z9" i="13"/>
  <c r="Y32" i="13"/>
  <c r="Y28" i="13"/>
  <c r="Y24" i="13"/>
  <c r="Y20" i="13"/>
  <c r="Y16" i="13"/>
  <c r="Y12" i="13"/>
  <c r="BL9" i="12"/>
  <c r="Y9" i="13"/>
  <c r="BJ31" i="12"/>
  <c r="V31" i="13"/>
  <c r="BJ27" i="12"/>
  <c r="V27" i="13"/>
  <c r="BJ23" i="12"/>
  <c r="V23" i="13"/>
  <c r="BJ19" i="12"/>
  <c r="V19" i="13"/>
  <c r="BJ15" i="12"/>
  <c r="V15" i="13"/>
  <c r="BJ9" i="12"/>
  <c r="E65" i="12" s="1"/>
  <c r="V9" i="13"/>
  <c r="X30" i="13" s="1"/>
  <c r="BJ32" i="12"/>
  <c r="V32" i="13"/>
  <c r="BJ28" i="12"/>
  <c r="V28" i="13"/>
  <c r="BJ24" i="12"/>
  <c r="V24" i="13"/>
  <c r="BJ20" i="12"/>
  <c r="V20" i="13"/>
  <c r="BJ16" i="12"/>
  <c r="V16" i="13"/>
  <c r="BJ12" i="12"/>
  <c r="V12" i="13"/>
  <c r="ER45" i="12"/>
  <c r="S45" i="13"/>
  <c r="ER30" i="12"/>
  <c r="S30" i="13"/>
  <c r="ER22" i="12"/>
  <c r="S22" i="13"/>
  <c r="ET33" i="12"/>
  <c r="T33" i="13"/>
  <c r="ET25" i="12"/>
  <c r="T25" i="13"/>
  <c r="ET13" i="12"/>
  <c r="T13" i="13"/>
  <c r="ET9" i="12"/>
  <c r="E115" i="12" s="1"/>
  <c r="T9" i="13"/>
  <c r="ER41" i="12"/>
  <c r="S44" i="13"/>
  <c r="ER37" i="12"/>
  <c r="S37" i="13"/>
  <c r="ER33" i="12"/>
  <c r="S33" i="13"/>
  <c r="ER29" i="12"/>
  <c r="S29" i="13"/>
  <c r="ER25" i="12"/>
  <c r="S25" i="13"/>
  <c r="ER21" i="12"/>
  <c r="S21" i="13"/>
  <c r="ER17" i="12"/>
  <c r="S17" i="13"/>
  <c r="ER13" i="12"/>
  <c r="S13" i="13"/>
  <c r="ET32" i="12"/>
  <c r="T32" i="13"/>
  <c r="ET28" i="12"/>
  <c r="EU28" i="12" s="1"/>
  <c r="T28" i="13"/>
  <c r="ET24" i="12"/>
  <c r="T24" i="13"/>
  <c r="ET20" i="12"/>
  <c r="EU20" i="12" s="1"/>
  <c r="T20" i="13"/>
  <c r="ET16" i="12"/>
  <c r="T16" i="13"/>
  <c r="ET12" i="12"/>
  <c r="EU12" i="12" s="1"/>
  <c r="T12" i="13"/>
  <c r="ER9" i="12"/>
  <c r="S9" i="13"/>
  <c r="ER38" i="12"/>
  <c r="S38" i="13"/>
  <c r="ER26" i="12"/>
  <c r="S26" i="13"/>
  <c r="ER14" i="12"/>
  <c r="S14" i="13"/>
  <c r="ET29" i="12"/>
  <c r="T29" i="13"/>
  <c r="ET17" i="12"/>
  <c r="EU17" i="12" s="1"/>
  <c r="T17" i="13"/>
  <c r="ER47" i="12"/>
  <c r="S47" i="13"/>
  <c r="ER40" i="12"/>
  <c r="S43" i="13"/>
  <c r="ER36" i="12"/>
  <c r="S36" i="13"/>
  <c r="ER32" i="12"/>
  <c r="S32" i="13"/>
  <c r="ER28" i="12"/>
  <c r="S28" i="13"/>
  <c r="ER24" i="12"/>
  <c r="S24" i="13"/>
  <c r="ER20" i="12"/>
  <c r="S20" i="13"/>
  <c r="ER16" i="12"/>
  <c r="S16" i="13"/>
  <c r="ER12" i="12"/>
  <c r="S12" i="13"/>
  <c r="ET31" i="12"/>
  <c r="EU31" i="12" s="1"/>
  <c r="T31" i="13"/>
  <c r="ET27" i="12"/>
  <c r="T27" i="13"/>
  <c r="ET23" i="12"/>
  <c r="EU23" i="12" s="1"/>
  <c r="T23" i="13"/>
  <c r="ET19" i="12"/>
  <c r="T19" i="13"/>
  <c r="ET15" i="12"/>
  <c r="EU15" i="12" s="1"/>
  <c r="T15" i="13"/>
  <c r="ER34" i="12"/>
  <c r="ES34" i="12" s="1"/>
  <c r="S34" i="13"/>
  <c r="ER18" i="12"/>
  <c r="S18" i="13"/>
  <c r="ET21" i="12"/>
  <c r="T21" i="13"/>
  <c r="ER46" i="12"/>
  <c r="S46" i="13"/>
  <c r="ER39" i="12"/>
  <c r="ES39" i="12" s="1"/>
  <c r="S39" i="13"/>
  <c r="ER35" i="12"/>
  <c r="S35" i="13"/>
  <c r="ER31" i="12"/>
  <c r="ES31" i="12" s="1"/>
  <c r="S31" i="13"/>
  <c r="ER27" i="12"/>
  <c r="S27" i="13"/>
  <c r="ER23" i="12"/>
  <c r="ES23" i="12" s="1"/>
  <c r="S23" i="13"/>
  <c r="ER19" i="12"/>
  <c r="S19" i="13"/>
  <c r="ER15" i="12"/>
  <c r="ES15" i="12" s="1"/>
  <c r="S15" i="13"/>
  <c r="ET34" i="12"/>
  <c r="EU34" i="12" s="1"/>
  <c r="T34" i="13"/>
  <c r="ET30" i="12"/>
  <c r="T30" i="13"/>
  <c r="ET26" i="12"/>
  <c r="EU26" i="12" s="1"/>
  <c r="T26" i="13"/>
  <c r="ET22" i="12"/>
  <c r="T22" i="13"/>
  <c r="ET18" i="12"/>
  <c r="EU18" i="12" s="1"/>
  <c r="T18" i="13"/>
  <c r="ET14" i="12"/>
  <c r="T14" i="13"/>
  <c r="CP39" i="12"/>
  <c r="CQ39" i="12" s="1"/>
  <c r="P39" i="13"/>
  <c r="CP23" i="12"/>
  <c r="CQ23" i="12" s="1"/>
  <c r="P23" i="13"/>
  <c r="CR47" i="12"/>
  <c r="CS47" i="12" s="1"/>
  <c r="Q47" i="13"/>
  <c r="CR32" i="12"/>
  <c r="CS32" i="12" s="1"/>
  <c r="Q32" i="13"/>
  <c r="CR24" i="12"/>
  <c r="CS24" i="12" s="1"/>
  <c r="Q24" i="13"/>
  <c r="CR16" i="12"/>
  <c r="CS16" i="12" s="1"/>
  <c r="Q16" i="13"/>
  <c r="CP45" i="12"/>
  <c r="CQ45" i="12" s="1"/>
  <c r="P45" i="13"/>
  <c r="CP38" i="12"/>
  <c r="CQ38" i="12" s="1"/>
  <c r="P38" i="13"/>
  <c r="CP34" i="12"/>
  <c r="CQ34" i="12" s="1"/>
  <c r="P34" i="13"/>
  <c r="CP30" i="12"/>
  <c r="CQ30" i="12" s="1"/>
  <c r="P30" i="13"/>
  <c r="CP26" i="12"/>
  <c r="CQ26" i="12" s="1"/>
  <c r="P26" i="13"/>
  <c r="CP22" i="12"/>
  <c r="CQ22" i="12" s="1"/>
  <c r="P22" i="13"/>
  <c r="CP18" i="12"/>
  <c r="CQ18" i="12" s="1"/>
  <c r="P18" i="13"/>
  <c r="CP14" i="12"/>
  <c r="CQ14" i="12" s="1"/>
  <c r="P14" i="13"/>
  <c r="CR46" i="12"/>
  <c r="CS46" i="12" s="1"/>
  <c r="Q46" i="13"/>
  <c r="CR39" i="12"/>
  <c r="CS39" i="12" s="1"/>
  <c r="Q39" i="13"/>
  <c r="CR35" i="12"/>
  <c r="CS35" i="12" s="1"/>
  <c r="Q35" i="13"/>
  <c r="CR31" i="12"/>
  <c r="CS31" i="12" s="1"/>
  <c r="Q31" i="13"/>
  <c r="CR27" i="12"/>
  <c r="CS27" i="12" s="1"/>
  <c r="Q27" i="13"/>
  <c r="CR23" i="12"/>
  <c r="CS23" i="12" s="1"/>
  <c r="Q23" i="13"/>
  <c r="CR19" i="12"/>
  <c r="CS19" i="12" s="1"/>
  <c r="Q19" i="13"/>
  <c r="CR15" i="12"/>
  <c r="CS15" i="12" s="1"/>
  <c r="Q15" i="13"/>
  <c r="CR11" i="12"/>
  <c r="CS11" i="12" s="1"/>
  <c r="Q11" i="13"/>
  <c r="CP35" i="12"/>
  <c r="CQ35" i="12" s="1"/>
  <c r="P35" i="13"/>
  <c r="CP27" i="12"/>
  <c r="CQ27" i="12" s="1"/>
  <c r="P27" i="13"/>
  <c r="R27" i="13" s="1"/>
  <c r="CP15" i="12"/>
  <c r="CQ15" i="12" s="1"/>
  <c r="P15" i="13"/>
  <c r="R15" i="13" s="1"/>
  <c r="CR36" i="12"/>
  <c r="CS36" i="12" s="1"/>
  <c r="Q36" i="13"/>
  <c r="CR28" i="12"/>
  <c r="CS28" i="12" s="1"/>
  <c r="Q28" i="13"/>
  <c r="CR12" i="12"/>
  <c r="CS12" i="12" s="1"/>
  <c r="Q12" i="13"/>
  <c r="CP11" i="12"/>
  <c r="CQ11" i="12" s="1"/>
  <c r="P11" i="13"/>
  <c r="CP41" i="12"/>
  <c r="CQ41" i="12" s="1"/>
  <c r="P44" i="13"/>
  <c r="CP37" i="12"/>
  <c r="CQ37" i="12" s="1"/>
  <c r="P37" i="13"/>
  <c r="CP33" i="12"/>
  <c r="CQ33" i="12" s="1"/>
  <c r="P33" i="13"/>
  <c r="CP29" i="12"/>
  <c r="CQ29" i="12" s="1"/>
  <c r="P29" i="13"/>
  <c r="CP25" i="12"/>
  <c r="CQ25" i="12" s="1"/>
  <c r="P25" i="13"/>
  <c r="CP21" i="12"/>
  <c r="CQ21" i="12" s="1"/>
  <c r="P21" i="13"/>
  <c r="CP17" i="12"/>
  <c r="CQ17" i="12" s="1"/>
  <c r="P17" i="13"/>
  <c r="CP13" i="12"/>
  <c r="CQ13" i="12" s="1"/>
  <c r="P13" i="13"/>
  <c r="CS45" i="12"/>
  <c r="Q45" i="13"/>
  <c r="CR38" i="12"/>
  <c r="CS38" i="12" s="1"/>
  <c r="Q38" i="13"/>
  <c r="CR34" i="12"/>
  <c r="CS34" i="12" s="1"/>
  <c r="Q34" i="13"/>
  <c r="CR30" i="12"/>
  <c r="CS30" i="12" s="1"/>
  <c r="Q30" i="13"/>
  <c r="CR26" i="12"/>
  <c r="CS26" i="12" s="1"/>
  <c r="Q26" i="13"/>
  <c r="CR22" i="12"/>
  <c r="CS22" i="12" s="1"/>
  <c r="Q22" i="13"/>
  <c r="CR18" i="12"/>
  <c r="CS18" i="12" s="1"/>
  <c r="Q18" i="13"/>
  <c r="CR14" i="12"/>
  <c r="CS14" i="12" s="1"/>
  <c r="Q14" i="13"/>
  <c r="CP46" i="12"/>
  <c r="CQ46" i="12" s="1"/>
  <c r="P46" i="13"/>
  <c r="R46" i="13" s="1"/>
  <c r="CP31" i="12"/>
  <c r="CQ31" i="12" s="1"/>
  <c r="P31" i="13"/>
  <c r="R31" i="13" s="1"/>
  <c r="CP19" i="12"/>
  <c r="CQ19" i="12" s="1"/>
  <c r="P19" i="13"/>
  <c r="R19" i="13" s="1"/>
  <c r="CR40" i="12"/>
  <c r="CS40" i="12" s="1"/>
  <c r="Q43" i="13"/>
  <c r="CR20" i="12"/>
  <c r="CS20" i="12" s="1"/>
  <c r="Q20" i="13"/>
  <c r="CP47" i="12"/>
  <c r="CQ47" i="12" s="1"/>
  <c r="P47" i="13"/>
  <c r="CP40" i="12"/>
  <c r="CQ40" i="12" s="1"/>
  <c r="CP36" i="12"/>
  <c r="CQ36" i="12" s="1"/>
  <c r="P36" i="13"/>
  <c r="CP32" i="12"/>
  <c r="CQ32" i="12" s="1"/>
  <c r="P32" i="13"/>
  <c r="CP28" i="12"/>
  <c r="CQ28" i="12" s="1"/>
  <c r="P28" i="13"/>
  <c r="R28" i="13" s="1"/>
  <c r="CP24" i="12"/>
  <c r="CQ24" i="12" s="1"/>
  <c r="P24" i="13"/>
  <c r="R24" i="13" s="1"/>
  <c r="CP20" i="12"/>
  <c r="CQ20" i="12" s="1"/>
  <c r="P20" i="13"/>
  <c r="CP16" i="12"/>
  <c r="CQ16" i="12" s="1"/>
  <c r="P16" i="13"/>
  <c r="CP12" i="12"/>
  <c r="CQ12" i="12" s="1"/>
  <c r="P12" i="13"/>
  <c r="CR41" i="12"/>
  <c r="CS41" i="12" s="1"/>
  <c r="Q44" i="13"/>
  <c r="CR37" i="12"/>
  <c r="CS37" i="12" s="1"/>
  <c r="Q37" i="13"/>
  <c r="CR33" i="12"/>
  <c r="CS33" i="12" s="1"/>
  <c r="Q33" i="13"/>
  <c r="CR29" i="12"/>
  <c r="CS29" i="12" s="1"/>
  <c r="Q29" i="13"/>
  <c r="CR25" i="12"/>
  <c r="CS25" i="12" s="1"/>
  <c r="Q25" i="13"/>
  <c r="CR21" i="12"/>
  <c r="CS21" i="12" s="1"/>
  <c r="Q21" i="13"/>
  <c r="CR17" i="12"/>
  <c r="CS17" i="12" s="1"/>
  <c r="Q17" i="13"/>
  <c r="CR13" i="12"/>
  <c r="CS13" i="12" s="1"/>
  <c r="Q13" i="13"/>
  <c r="DR34" i="12"/>
  <c r="DS34" i="12" s="1"/>
  <c r="M34" i="13"/>
  <c r="DX46" i="12"/>
  <c r="N46" i="13"/>
  <c r="AV46" i="13" s="1"/>
  <c r="AW46" i="13" s="1"/>
  <c r="DX23" i="12"/>
  <c r="N23" i="13"/>
  <c r="AV23" i="13" s="1"/>
  <c r="AW23" i="13" s="1"/>
  <c r="DX11" i="12"/>
  <c r="N11" i="13"/>
  <c r="DR41" i="12"/>
  <c r="DS41" i="12" s="1"/>
  <c r="M44" i="13"/>
  <c r="DR37" i="12"/>
  <c r="DS37" i="12" s="1"/>
  <c r="M37" i="13"/>
  <c r="DR33" i="12"/>
  <c r="DS33" i="12" s="1"/>
  <c r="M33" i="13"/>
  <c r="DR29" i="12"/>
  <c r="DS29" i="12" s="1"/>
  <c r="M29" i="13"/>
  <c r="DR25" i="12"/>
  <c r="DS25" i="12" s="1"/>
  <c r="M25" i="13"/>
  <c r="DR21" i="12"/>
  <c r="DS21" i="12" s="1"/>
  <c r="M21" i="13"/>
  <c r="DR17" i="12"/>
  <c r="DS17" i="12" s="1"/>
  <c r="M17" i="13"/>
  <c r="DR13" i="12"/>
  <c r="DS13" i="12" s="1"/>
  <c r="M13" i="13"/>
  <c r="DX45" i="12"/>
  <c r="N45" i="13"/>
  <c r="AV45" i="13" s="1"/>
  <c r="AW45" i="13" s="1"/>
  <c r="DX38" i="12"/>
  <c r="N38" i="13"/>
  <c r="AV38" i="13" s="1"/>
  <c r="AW38" i="13" s="1"/>
  <c r="DX34" i="12"/>
  <c r="N34" i="13"/>
  <c r="AV34" i="13" s="1"/>
  <c r="AW34" i="13" s="1"/>
  <c r="DX30" i="12"/>
  <c r="N30" i="13"/>
  <c r="AV30" i="13" s="1"/>
  <c r="AW30" i="13" s="1"/>
  <c r="DX26" i="12"/>
  <c r="N26" i="13"/>
  <c r="AV26" i="13" s="1"/>
  <c r="AW26" i="13" s="1"/>
  <c r="DX22" i="12"/>
  <c r="N22" i="13"/>
  <c r="AV22" i="13" s="1"/>
  <c r="AW22" i="13" s="1"/>
  <c r="DX18" i="12"/>
  <c r="N18" i="13"/>
  <c r="AV18" i="13" s="1"/>
  <c r="AW18" i="13" s="1"/>
  <c r="DX14" i="12"/>
  <c r="N14" i="13"/>
  <c r="AV14" i="13" s="1"/>
  <c r="AW14" i="13" s="1"/>
  <c r="DR11" i="12"/>
  <c r="M11" i="13"/>
  <c r="DR38" i="12"/>
  <c r="DS38" i="12" s="1"/>
  <c r="M38" i="13"/>
  <c r="DR26" i="12"/>
  <c r="DS26" i="12" s="1"/>
  <c r="M26" i="13"/>
  <c r="DR22" i="12"/>
  <c r="DS22" i="12" s="1"/>
  <c r="M22" i="13"/>
  <c r="DR14" i="12"/>
  <c r="DS14" i="12" s="1"/>
  <c r="M14" i="13"/>
  <c r="DX35" i="12"/>
  <c r="N35" i="13"/>
  <c r="AV35" i="13" s="1"/>
  <c r="AW35" i="13" s="1"/>
  <c r="DX27" i="12"/>
  <c r="N27" i="13"/>
  <c r="AV27" i="13" s="1"/>
  <c r="AW27" i="13" s="1"/>
  <c r="DX19" i="12"/>
  <c r="N19" i="13"/>
  <c r="AV19" i="13" s="1"/>
  <c r="AW19" i="13" s="1"/>
  <c r="DR47" i="12"/>
  <c r="DS47" i="12" s="1"/>
  <c r="M47" i="13"/>
  <c r="DR40" i="12"/>
  <c r="DS40" i="12" s="1"/>
  <c r="DR36" i="12"/>
  <c r="DS36" i="12" s="1"/>
  <c r="M36" i="13"/>
  <c r="DR32" i="12"/>
  <c r="DS32" i="12" s="1"/>
  <c r="M32" i="13"/>
  <c r="DR28" i="12"/>
  <c r="DS28" i="12" s="1"/>
  <c r="M28" i="13"/>
  <c r="DR24" i="12"/>
  <c r="DS24" i="12" s="1"/>
  <c r="M24" i="13"/>
  <c r="DR20" i="12"/>
  <c r="DS20" i="12" s="1"/>
  <c r="M20" i="13"/>
  <c r="DR16" i="12"/>
  <c r="DS16" i="12" s="1"/>
  <c r="M16" i="13"/>
  <c r="DR12" i="12"/>
  <c r="DS12" i="12" s="1"/>
  <c r="M12" i="13"/>
  <c r="DX41" i="12"/>
  <c r="N44" i="13"/>
  <c r="AV44" i="13" s="1"/>
  <c r="AW44" i="13" s="1"/>
  <c r="DX37" i="12"/>
  <c r="N37" i="13"/>
  <c r="AV37" i="13" s="1"/>
  <c r="AW37" i="13" s="1"/>
  <c r="DX33" i="12"/>
  <c r="N33" i="13"/>
  <c r="AV33" i="13" s="1"/>
  <c r="AW33" i="13" s="1"/>
  <c r="DX29" i="12"/>
  <c r="N29" i="13"/>
  <c r="AV29" i="13" s="1"/>
  <c r="AW29" i="13" s="1"/>
  <c r="DX25" i="12"/>
  <c r="N25" i="13"/>
  <c r="AV25" i="13" s="1"/>
  <c r="AW25" i="13" s="1"/>
  <c r="DX21" i="12"/>
  <c r="N21" i="13"/>
  <c r="AV21" i="13" s="1"/>
  <c r="AW21" i="13" s="1"/>
  <c r="DX17" i="12"/>
  <c r="N17" i="13"/>
  <c r="AV17" i="13" s="1"/>
  <c r="AW17" i="13" s="1"/>
  <c r="DX13" i="12"/>
  <c r="N13" i="13"/>
  <c r="AV13" i="13" s="1"/>
  <c r="AW13" i="13" s="1"/>
  <c r="DR45" i="12"/>
  <c r="DS45" i="12" s="1"/>
  <c r="M45" i="13"/>
  <c r="DR30" i="12"/>
  <c r="DS30" i="12" s="1"/>
  <c r="M30" i="13"/>
  <c r="DR18" i="12"/>
  <c r="DS18" i="12" s="1"/>
  <c r="M18" i="13"/>
  <c r="DX39" i="12"/>
  <c r="N39" i="13"/>
  <c r="AV39" i="13" s="1"/>
  <c r="AW39" i="13" s="1"/>
  <c r="DX31" i="12"/>
  <c r="N31" i="13"/>
  <c r="AV31" i="13" s="1"/>
  <c r="AW31" i="13" s="1"/>
  <c r="DX15" i="12"/>
  <c r="N15" i="13"/>
  <c r="AV15" i="13" s="1"/>
  <c r="AW15" i="13" s="1"/>
  <c r="DR46" i="12"/>
  <c r="DS46" i="12" s="1"/>
  <c r="M46" i="13"/>
  <c r="DR39" i="12"/>
  <c r="DS39" i="12" s="1"/>
  <c r="M39" i="13"/>
  <c r="DR35" i="12"/>
  <c r="DS35" i="12" s="1"/>
  <c r="M35" i="13"/>
  <c r="DR31" i="12"/>
  <c r="DS31" i="12" s="1"/>
  <c r="M31" i="13"/>
  <c r="DR27" i="12"/>
  <c r="DS27" i="12" s="1"/>
  <c r="M27" i="13"/>
  <c r="DR23" i="12"/>
  <c r="DS23" i="12" s="1"/>
  <c r="M23" i="13"/>
  <c r="DR19" i="12"/>
  <c r="DS19" i="12" s="1"/>
  <c r="M19" i="13"/>
  <c r="DR15" i="12"/>
  <c r="DS15" i="12" s="1"/>
  <c r="M15" i="13"/>
  <c r="DX47" i="12"/>
  <c r="N47" i="13"/>
  <c r="AV47" i="13" s="1"/>
  <c r="AW47" i="13" s="1"/>
  <c r="DX40" i="12"/>
  <c r="N43" i="13"/>
  <c r="DX36" i="12"/>
  <c r="N36" i="13"/>
  <c r="AV36" i="13" s="1"/>
  <c r="AW36" i="13" s="1"/>
  <c r="DX32" i="12"/>
  <c r="N32" i="13"/>
  <c r="AV32" i="13" s="1"/>
  <c r="AW32" i="13" s="1"/>
  <c r="DX28" i="12"/>
  <c r="N28" i="13"/>
  <c r="AV28" i="13" s="1"/>
  <c r="AW28" i="13" s="1"/>
  <c r="DX24" i="12"/>
  <c r="N24" i="13"/>
  <c r="AV24" i="13" s="1"/>
  <c r="AW24" i="13" s="1"/>
  <c r="DX20" i="12"/>
  <c r="N20" i="13"/>
  <c r="AV20" i="13" s="1"/>
  <c r="AW20" i="13" s="1"/>
  <c r="DX16" i="12"/>
  <c r="N16" i="13"/>
  <c r="AV16" i="13" s="1"/>
  <c r="AW16" i="13" s="1"/>
  <c r="DX12" i="12"/>
  <c r="N12" i="13"/>
  <c r="AV12" i="13" s="1"/>
  <c r="AW12" i="13" s="1"/>
  <c r="EB47" i="12"/>
  <c r="G47" i="13"/>
  <c r="EB36" i="12"/>
  <c r="G36" i="13"/>
  <c r="EB32" i="12"/>
  <c r="EC32" i="12" s="1"/>
  <c r="G32" i="13"/>
  <c r="EB24" i="12"/>
  <c r="EC24" i="12" s="1"/>
  <c r="G24" i="13"/>
  <c r="EB16" i="12"/>
  <c r="G16" i="13"/>
  <c r="ED41" i="12"/>
  <c r="EE41" i="12" s="1"/>
  <c r="H44" i="13"/>
  <c r="ED33" i="12"/>
  <c r="EE33" i="12" s="1"/>
  <c r="H33" i="13"/>
  <c r="ED25" i="12"/>
  <c r="EE25" i="12" s="1"/>
  <c r="H25" i="13"/>
  <c r="ED17" i="12"/>
  <c r="EE17" i="12" s="1"/>
  <c r="H17" i="13"/>
  <c r="EF54" i="12"/>
  <c r="EG54" i="12" s="1"/>
  <c r="I44" i="13"/>
  <c r="EF50" i="12"/>
  <c r="EG50" i="12" s="1"/>
  <c r="I37" i="13"/>
  <c r="EL17" i="12"/>
  <c r="K17" i="13"/>
  <c r="EB11" i="12"/>
  <c r="EC11" i="12" s="1"/>
  <c r="G11" i="13"/>
  <c r="EB39" i="12"/>
  <c r="G39" i="13"/>
  <c r="EB31" i="12"/>
  <c r="EC31" i="12" s="1"/>
  <c r="G31" i="13"/>
  <c r="EB23" i="12"/>
  <c r="EC23" i="12" s="1"/>
  <c r="G23" i="13"/>
  <c r="EB15" i="12"/>
  <c r="G15" i="13"/>
  <c r="ED40" i="12"/>
  <c r="EE40" i="12" s="1"/>
  <c r="H43" i="13"/>
  <c r="ED32" i="12"/>
  <c r="EE32" i="12" s="1"/>
  <c r="H32" i="13"/>
  <c r="ED24" i="12"/>
  <c r="EE24" i="12" s="1"/>
  <c r="H24" i="13"/>
  <c r="EF57" i="12"/>
  <c r="EG57" i="12" s="1"/>
  <c r="I47" i="13"/>
  <c r="EF49" i="12"/>
  <c r="EG49" i="12" s="1"/>
  <c r="I36" i="13"/>
  <c r="EH57" i="12"/>
  <c r="J47" i="13"/>
  <c r="EL12" i="12"/>
  <c r="K12" i="13"/>
  <c r="ED11" i="12"/>
  <c r="EE11" i="12" s="1"/>
  <c r="H11" i="13"/>
  <c r="EB45" i="12"/>
  <c r="G45" i="13"/>
  <c r="EB38" i="12"/>
  <c r="G38" i="13"/>
  <c r="EB34" i="12"/>
  <c r="EC34" i="12" s="1"/>
  <c r="G34" i="13"/>
  <c r="EB30" i="12"/>
  <c r="EC30" i="12" s="1"/>
  <c r="G30" i="13"/>
  <c r="EB26" i="12"/>
  <c r="EC26" i="12" s="1"/>
  <c r="G26" i="13"/>
  <c r="EB22" i="12"/>
  <c r="EC22" i="12" s="1"/>
  <c r="G22" i="13"/>
  <c r="EB18" i="12"/>
  <c r="G18" i="13"/>
  <c r="EB14" i="12"/>
  <c r="G14" i="13"/>
  <c r="ED46" i="12"/>
  <c r="EE46" i="12" s="1"/>
  <c r="H46" i="13"/>
  <c r="ED39" i="12"/>
  <c r="EE39" i="12" s="1"/>
  <c r="H39" i="13"/>
  <c r="ED35" i="12"/>
  <c r="EE35" i="12" s="1"/>
  <c r="H35" i="13"/>
  <c r="ED31" i="12"/>
  <c r="EE31" i="12" s="1"/>
  <c r="H31" i="13"/>
  <c r="ED27" i="12"/>
  <c r="EE27" i="12" s="1"/>
  <c r="H27" i="13"/>
  <c r="ED23" i="12"/>
  <c r="EE23" i="12" s="1"/>
  <c r="H23" i="13"/>
  <c r="ED19" i="12"/>
  <c r="EE19" i="12" s="1"/>
  <c r="H19" i="13"/>
  <c r="ED15" i="12"/>
  <c r="EE15" i="12" s="1"/>
  <c r="H15" i="13"/>
  <c r="EF56" i="12"/>
  <c r="EG56" i="12" s="1"/>
  <c r="I46" i="13"/>
  <c r="EF52" i="12"/>
  <c r="EM52" i="12" s="1"/>
  <c r="I39" i="13"/>
  <c r="EG48" i="12"/>
  <c r="I35" i="13"/>
  <c r="EH56" i="12"/>
  <c r="J46" i="13"/>
  <c r="EH52" i="12"/>
  <c r="J39" i="13"/>
  <c r="EL56" i="12"/>
  <c r="K46" i="13"/>
  <c r="EL19" i="12"/>
  <c r="K19" i="13"/>
  <c r="EL15" i="12"/>
  <c r="K15" i="13"/>
  <c r="EB40" i="12"/>
  <c r="G43" i="13"/>
  <c r="EB28" i="12"/>
  <c r="EC28" i="12" s="1"/>
  <c r="G28" i="13"/>
  <c r="EB20" i="12"/>
  <c r="EC20" i="12" s="1"/>
  <c r="G20" i="13"/>
  <c r="EB12" i="12"/>
  <c r="G12" i="13"/>
  <c r="ED37" i="12"/>
  <c r="EE37" i="12" s="1"/>
  <c r="H37" i="13"/>
  <c r="ED29" i="12"/>
  <c r="EE29" i="12" s="1"/>
  <c r="H29" i="13"/>
  <c r="ED21" i="12"/>
  <c r="EE21" i="12" s="1"/>
  <c r="H21" i="13"/>
  <c r="ED12" i="12"/>
  <c r="EE12" i="12" s="1"/>
  <c r="H12" i="13"/>
  <c r="EH54" i="12"/>
  <c r="J44" i="13"/>
  <c r="EH50" i="12"/>
  <c r="J37" i="13"/>
  <c r="EL54" i="12"/>
  <c r="K44" i="13"/>
  <c r="EB46" i="12"/>
  <c r="G46" i="13"/>
  <c r="EB35" i="12"/>
  <c r="G35" i="13"/>
  <c r="EB27" i="12"/>
  <c r="EC27" i="12" s="1"/>
  <c r="G27" i="13"/>
  <c r="EB19" i="12"/>
  <c r="G19" i="13"/>
  <c r="ED47" i="12"/>
  <c r="EE47" i="12" s="1"/>
  <c r="H47" i="13"/>
  <c r="ED36" i="12"/>
  <c r="EE36" i="12" s="1"/>
  <c r="H36" i="13"/>
  <c r="ED28" i="12"/>
  <c r="EE28" i="12" s="1"/>
  <c r="H28" i="13"/>
  <c r="ED20" i="12"/>
  <c r="EE20" i="12" s="1"/>
  <c r="H20" i="13"/>
  <c r="ED16" i="12"/>
  <c r="EE16" i="12" s="1"/>
  <c r="H16" i="13"/>
  <c r="EF53" i="12"/>
  <c r="EG53" i="12" s="1"/>
  <c r="I43" i="13"/>
  <c r="EH53" i="12"/>
  <c r="J43" i="13"/>
  <c r="EH49" i="12"/>
  <c r="J36" i="13"/>
  <c r="EL20" i="12"/>
  <c r="K20" i="13"/>
  <c r="EL16" i="12"/>
  <c r="K16" i="13"/>
  <c r="EB41" i="12"/>
  <c r="G44" i="13"/>
  <c r="EB37" i="12"/>
  <c r="G37" i="13"/>
  <c r="EB33" i="12"/>
  <c r="EC33" i="12" s="1"/>
  <c r="G33" i="13"/>
  <c r="EB29" i="12"/>
  <c r="EC29" i="12" s="1"/>
  <c r="G29" i="13"/>
  <c r="EB25" i="12"/>
  <c r="EC25" i="12" s="1"/>
  <c r="G25" i="13"/>
  <c r="EB21" i="12"/>
  <c r="EC21" i="12" s="1"/>
  <c r="G21" i="13"/>
  <c r="EB17" i="12"/>
  <c r="G17" i="13"/>
  <c r="EB13" i="12"/>
  <c r="G13" i="13"/>
  <c r="ED45" i="12"/>
  <c r="EE45" i="12" s="1"/>
  <c r="H45" i="13"/>
  <c r="ED38" i="12"/>
  <c r="EE38" i="12" s="1"/>
  <c r="H38" i="13"/>
  <c r="ED34" i="12"/>
  <c r="EE34" i="12" s="1"/>
  <c r="H34" i="13"/>
  <c r="ED30" i="12"/>
  <c r="EE30" i="12" s="1"/>
  <c r="H30" i="13"/>
  <c r="ED26" i="12"/>
  <c r="EE26" i="12" s="1"/>
  <c r="H26" i="13"/>
  <c r="ED22" i="12"/>
  <c r="EE22" i="12" s="1"/>
  <c r="H22" i="13"/>
  <c r="ED18" i="12"/>
  <c r="EE18" i="12" s="1"/>
  <c r="H18" i="13"/>
  <c r="ED13" i="12"/>
  <c r="EE13" i="12" s="1"/>
  <c r="H13" i="13"/>
  <c r="EF55" i="12"/>
  <c r="EM55" i="12" s="1"/>
  <c r="I45" i="13"/>
  <c r="EF51" i="12"/>
  <c r="EG51" i="12" s="1"/>
  <c r="I38" i="13"/>
  <c r="EF47" i="12"/>
  <c r="EG47" i="12" s="1"/>
  <c r="I34" i="13"/>
  <c r="EF40" i="12"/>
  <c r="EM40" i="12" s="1"/>
  <c r="I30" i="13"/>
  <c r="EH55" i="12"/>
  <c r="J45" i="13"/>
  <c r="EH51" i="12"/>
  <c r="J38" i="13"/>
  <c r="EL18" i="12"/>
  <c r="K18" i="13"/>
  <c r="BP46" i="12"/>
  <c r="D46" i="13"/>
  <c r="BP35" i="12"/>
  <c r="BQ35" i="12" s="1"/>
  <c r="D35" i="13"/>
  <c r="BP27" i="12"/>
  <c r="BQ27" i="12" s="1"/>
  <c r="D27" i="13"/>
  <c r="BP23" i="12"/>
  <c r="BQ23" i="12" s="1"/>
  <c r="D23" i="13"/>
  <c r="BP15" i="12"/>
  <c r="D15" i="13"/>
  <c r="BT47" i="12"/>
  <c r="BU47" i="12" s="1"/>
  <c r="E47" i="13"/>
  <c r="BT40" i="12"/>
  <c r="BU40" i="12" s="1"/>
  <c r="E43" i="13"/>
  <c r="BT32" i="12"/>
  <c r="BU32" i="12" s="1"/>
  <c r="E32" i="13"/>
  <c r="BT28" i="12"/>
  <c r="BU28" i="12" s="1"/>
  <c r="E28" i="13"/>
  <c r="BT24" i="12"/>
  <c r="BU24" i="12" s="1"/>
  <c r="E24" i="13"/>
  <c r="BT20" i="12"/>
  <c r="BU20" i="12" s="1"/>
  <c r="E20" i="13"/>
  <c r="BT16" i="12"/>
  <c r="BU16" i="12" s="1"/>
  <c r="E16" i="13"/>
  <c r="BP11" i="12"/>
  <c r="BQ11" i="12" s="1"/>
  <c r="D11" i="13"/>
  <c r="BP45" i="12"/>
  <c r="D45" i="13"/>
  <c r="BP38" i="12"/>
  <c r="D38" i="13"/>
  <c r="BP34" i="12"/>
  <c r="BQ34" i="12" s="1"/>
  <c r="D34" i="13"/>
  <c r="BP30" i="12"/>
  <c r="BQ30" i="12" s="1"/>
  <c r="D30" i="13"/>
  <c r="BP26" i="12"/>
  <c r="BQ26" i="12" s="1"/>
  <c r="D26" i="13"/>
  <c r="BP22" i="12"/>
  <c r="BQ22" i="12" s="1"/>
  <c r="D22" i="13"/>
  <c r="BP18" i="12"/>
  <c r="D18" i="13"/>
  <c r="BP14" i="12"/>
  <c r="D14" i="13"/>
  <c r="BT46" i="12"/>
  <c r="BU46" i="12" s="1"/>
  <c r="E46" i="13"/>
  <c r="BT39" i="12"/>
  <c r="BU39" i="12" s="1"/>
  <c r="E39" i="13"/>
  <c r="BT35" i="12"/>
  <c r="BU35" i="12" s="1"/>
  <c r="E35" i="13"/>
  <c r="BT31" i="12"/>
  <c r="BU31" i="12" s="1"/>
  <c r="E31" i="13"/>
  <c r="BT27" i="12"/>
  <c r="BU27" i="12" s="1"/>
  <c r="E27" i="13"/>
  <c r="BT23" i="12"/>
  <c r="BU23" i="12" s="1"/>
  <c r="E23" i="13"/>
  <c r="BT19" i="12"/>
  <c r="BU19" i="12" s="1"/>
  <c r="E19" i="13"/>
  <c r="BT15" i="12"/>
  <c r="BU15" i="12" s="1"/>
  <c r="E15" i="13"/>
  <c r="BT11" i="12"/>
  <c r="BU11" i="12" s="1"/>
  <c r="E11" i="13"/>
  <c r="BP41" i="12"/>
  <c r="D44" i="13"/>
  <c r="BP37" i="12"/>
  <c r="D37" i="13"/>
  <c r="BP33" i="12"/>
  <c r="BQ33" i="12" s="1"/>
  <c r="D33" i="13"/>
  <c r="BP29" i="12"/>
  <c r="BQ29" i="12" s="1"/>
  <c r="D29" i="13"/>
  <c r="BP25" i="12"/>
  <c r="BQ25" i="12" s="1"/>
  <c r="D25" i="13"/>
  <c r="BP21" i="12"/>
  <c r="BQ21" i="12" s="1"/>
  <c r="D21" i="13"/>
  <c r="BP17" i="12"/>
  <c r="D17" i="13"/>
  <c r="BP13" i="12"/>
  <c r="D13" i="13"/>
  <c r="BT45" i="12"/>
  <c r="BU45" i="12" s="1"/>
  <c r="E45" i="13"/>
  <c r="BT38" i="12"/>
  <c r="BU38" i="12" s="1"/>
  <c r="E38" i="13"/>
  <c r="BT34" i="12"/>
  <c r="BU34" i="12" s="1"/>
  <c r="E34" i="13"/>
  <c r="BT30" i="12"/>
  <c r="BU30" i="12" s="1"/>
  <c r="E30" i="13"/>
  <c r="BT26" i="12"/>
  <c r="BU26" i="12" s="1"/>
  <c r="E26" i="13"/>
  <c r="BT22" i="12"/>
  <c r="BU22" i="12" s="1"/>
  <c r="E22" i="13"/>
  <c r="BT18" i="12"/>
  <c r="BU18" i="12" s="1"/>
  <c r="E18" i="13"/>
  <c r="BT14" i="12"/>
  <c r="BU14" i="12" s="1"/>
  <c r="E14" i="13"/>
  <c r="BP39" i="12"/>
  <c r="D39" i="13"/>
  <c r="BP31" i="12"/>
  <c r="BQ31" i="12" s="1"/>
  <c r="D31" i="13"/>
  <c r="BP19" i="12"/>
  <c r="D19" i="13"/>
  <c r="BT36" i="12"/>
  <c r="BU36" i="12" s="1"/>
  <c r="E36" i="13"/>
  <c r="BP47" i="12"/>
  <c r="D47" i="13"/>
  <c r="BP40" i="12"/>
  <c r="D43" i="13"/>
  <c r="BP36" i="12"/>
  <c r="D36" i="13"/>
  <c r="BP32" i="12"/>
  <c r="BQ32" i="12" s="1"/>
  <c r="D32" i="13"/>
  <c r="BP28" i="12"/>
  <c r="BQ28" i="12" s="1"/>
  <c r="D28" i="13"/>
  <c r="BP24" i="12"/>
  <c r="BQ24" i="12" s="1"/>
  <c r="D24" i="13"/>
  <c r="BP20" i="12"/>
  <c r="BQ20" i="12" s="1"/>
  <c r="D20" i="13"/>
  <c r="BP16" i="12"/>
  <c r="D16" i="13"/>
  <c r="BP12" i="12"/>
  <c r="D12" i="13"/>
  <c r="BT41" i="12"/>
  <c r="BU41" i="12" s="1"/>
  <c r="E44" i="13"/>
  <c r="BT37" i="12"/>
  <c r="BU37" i="12" s="1"/>
  <c r="E37" i="13"/>
  <c r="BT33" i="12"/>
  <c r="BU33" i="12" s="1"/>
  <c r="E33" i="13"/>
  <c r="BT29" i="12"/>
  <c r="BU29" i="12" s="1"/>
  <c r="E29" i="13"/>
  <c r="BT25" i="12"/>
  <c r="BU25" i="12" s="1"/>
  <c r="E25" i="13"/>
  <c r="BT21" i="12"/>
  <c r="BU21" i="12" s="1"/>
  <c r="E21" i="13"/>
  <c r="BT17" i="12"/>
  <c r="BU17" i="12" s="1"/>
  <c r="E17" i="13"/>
  <c r="BT13" i="12"/>
  <c r="BU13" i="12" s="1"/>
  <c r="E13" i="13"/>
  <c r="EF36" i="12"/>
  <c r="EM36" i="12" s="1"/>
  <c r="EL47" i="12"/>
  <c r="EH45" i="12"/>
  <c r="EI45" i="12" s="1"/>
  <c r="EH28" i="12"/>
  <c r="EI28" i="12" s="1"/>
  <c r="EH38" i="12"/>
  <c r="EI38" i="12" s="1"/>
  <c r="EH33" i="12"/>
  <c r="EI33" i="12" s="1"/>
  <c r="EH23" i="12"/>
  <c r="EI23" i="12" s="1"/>
  <c r="EH41" i="12"/>
  <c r="EI41" i="12" s="1"/>
  <c r="EH37" i="12"/>
  <c r="EI37" i="12" s="1"/>
  <c r="EH27" i="12"/>
  <c r="EI27" i="12" s="1"/>
  <c r="EH22" i="12"/>
  <c r="EI22" i="12" s="1"/>
  <c r="EH32" i="12"/>
  <c r="EI32" i="12" s="1"/>
  <c r="EL21" i="12"/>
  <c r="EL11" i="12"/>
  <c r="EF32" i="12"/>
  <c r="EH47" i="12"/>
  <c r="EI47" i="12" s="1"/>
  <c r="EH34" i="12"/>
  <c r="EI34" i="12" s="1"/>
  <c r="EH40" i="12"/>
  <c r="EI40" i="12" s="1"/>
  <c r="EH26" i="12"/>
  <c r="EI26" i="12" s="1"/>
  <c r="EH36" i="12"/>
  <c r="EI36" i="12" s="1"/>
  <c r="EH21" i="12"/>
  <c r="EI21" i="12" s="1"/>
  <c r="EH31" i="12"/>
  <c r="EI31" i="12" s="1"/>
  <c r="EL40" i="12"/>
  <c r="EL36" i="12"/>
  <c r="EL32" i="12"/>
  <c r="EL24" i="12"/>
  <c r="EL14" i="12"/>
  <c r="EF46" i="12"/>
  <c r="EF39" i="12"/>
  <c r="EF35" i="12"/>
  <c r="EH46" i="12"/>
  <c r="EI46" i="12" s="1"/>
  <c r="EH29" i="12"/>
  <c r="EI29" i="12" s="1"/>
  <c r="EH39" i="12"/>
  <c r="EI39" i="12" s="1"/>
  <c r="EH25" i="12"/>
  <c r="EI25" i="12" s="1"/>
  <c r="EH35" i="12"/>
  <c r="EI35" i="12" s="1"/>
  <c r="EH30" i="12"/>
  <c r="EI30" i="12" s="1"/>
  <c r="EH20" i="12"/>
  <c r="EL46" i="12"/>
  <c r="EL39" i="12"/>
  <c r="EL35" i="12"/>
  <c r="EL31" i="12"/>
  <c r="EL23" i="12"/>
  <c r="EL13" i="12"/>
  <c r="DS11" i="12"/>
  <c r="EF31" i="12"/>
  <c r="EF21" i="12"/>
  <c r="EF27" i="12"/>
  <c r="EF17" i="12"/>
  <c r="EF22" i="12"/>
  <c r="EF12" i="12"/>
  <c r="EL27" i="12"/>
  <c r="EF45" i="12"/>
  <c r="EF38" i="12"/>
  <c r="EF34" i="12"/>
  <c r="EF24" i="12"/>
  <c r="EF30" i="12"/>
  <c r="EF20" i="12"/>
  <c r="EF26" i="12"/>
  <c r="EF16" i="12"/>
  <c r="EL45" i="12"/>
  <c r="EL38" i="12"/>
  <c r="EL34" i="12"/>
  <c r="EL30" i="12"/>
  <c r="EL26" i="12"/>
  <c r="EL22" i="12"/>
  <c r="EF41" i="12"/>
  <c r="EF37" i="12"/>
  <c r="EF33" i="12"/>
  <c r="EF19" i="12"/>
  <c r="EF29" i="12"/>
  <c r="EF25" i="12"/>
  <c r="EF15" i="12"/>
  <c r="EL41" i="12"/>
  <c r="EL37" i="12"/>
  <c r="EL33" i="12"/>
  <c r="EL29" i="12"/>
  <c r="EL25" i="12"/>
  <c r="EF18" i="12"/>
  <c r="EF28" i="12"/>
  <c r="EF13" i="12"/>
  <c r="EF23" i="12"/>
  <c r="EL28" i="12"/>
  <c r="BN35" i="12"/>
  <c r="BO35" i="12" s="1"/>
  <c r="BN31" i="12"/>
  <c r="BO31" i="12" s="1"/>
  <c r="BN27" i="12"/>
  <c r="BO27" i="12" s="1"/>
  <c r="BN23" i="12"/>
  <c r="BO23" i="12" s="1"/>
  <c r="BN19" i="12"/>
  <c r="BN15" i="12"/>
  <c r="BN34" i="12"/>
  <c r="BO34" i="12" s="1"/>
  <c r="BN30" i="12"/>
  <c r="BO30" i="12" s="1"/>
  <c r="BN26" i="12"/>
  <c r="BO26" i="12" s="1"/>
  <c r="BN22" i="12"/>
  <c r="BO22" i="12" s="1"/>
  <c r="BN18" i="12"/>
  <c r="BN14" i="12"/>
  <c r="BN32" i="12"/>
  <c r="BO32" i="12" s="1"/>
  <c r="BN28" i="12"/>
  <c r="BO28" i="12" s="1"/>
  <c r="BN24" i="12"/>
  <c r="BO24" i="12" s="1"/>
  <c r="BN20" i="12"/>
  <c r="BO20" i="12" s="1"/>
  <c r="BN16" i="12"/>
  <c r="BN12" i="12"/>
  <c r="BT12" i="12"/>
  <c r="BU12" i="12" s="1"/>
  <c r="BJ34" i="12"/>
  <c r="BJ30" i="12"/>
  <c r="BJ26" i="12"/>
  <c r="BJ22" i="12"/>
  <c r="BJ18" i="12"/>
  <c r="BJ14" i="12"/>
  <c r="BJ33" i="12"/>
  <c r="BJ29" i="12"/>
  <c r="BJ25" i="12"/>
  <c r="BJ21" i="12"/>
  <c r="BJ17" i="12"/>
  <c r="BJ13" i="12"/>
  <c r="AD33" i="12"/>
  <c r="X13" i="12"/>
  <c r="AA32" i="12"/>
  <c r="AA28" i="12"/>
  <c r="AA24" i="12"/>
  <c r="AA20" i="12"/>
  <c r="AA16" i="12"/>
  <c r="AA12" i="12"/>
  <c r="AD34" i="12"/>
  <c r="AD30" i="12"/>
  <c r="AD22" i="12"/>
  <c r="AD18" i="12"/>
  <c r="AD14" i="12"/>
  <c r="AD29" i="12"/>
  <c r="AD25" i="12"/>
  <c r="AD21" i="12"/>
  <c r="AD17" i="12"/>
  <c r="AD13" i="12"/>
  <c r="AD26" i="12"/>
  <c r="R38" i="12"/>
  <c r="R34" i="12"/>
  <c r="R30" i="12"/>
  <c r="R26" i="12"/>
  <c r="R22" i="12"/>
  <c r="R18" i="12"/>
  <c r="R14" i="12"/>
  <c r="X33" i="12"/>
  <c r="X29" i="12"/>
  <c r="X25" i="12"/>
  <c r="X21" i="12"/>
  <c r="X17" i="12"/>
  <c r="R46" i="12"/>
  <c r="R39" i="12"/>
  <c r="R35" i="12"/>
  <c r="R31" i="12"/>
  <c r="R27" i="12"/>
  <c r="R23" i="12"/>
  <c r="R19" i="12"/>
  <c r="R15" i="12"/>
  <c r="AA35" i="12"/>
  <c r="AA31" i="12"/>
  <c r="AA27" i="12"/>
  <c r="AA23" i="12"/>
  <c r="AA19" i="12"/>
  <c r="AA15" i="12"/>
  <c r="AD32" i="12"/>
  <c r="AD28" i="12"/>
  <c r="AD24" i="12"/>
  <c r="AA33" i="12"/>
  <c r="AA17" i="12"/>
  <c r="AD35" i="12"/>
  <c r="AD31" i="12"/>
  <c r="AD27" i="12"/>
  <c r="H59" i="12"/>
  <c r="AD20" i="12"/>
  <c r="AD16" i="12"/>
  <c r="AD12" i="12"/>
  <c r="F47" i="12"/>
  <c r="F40" i="12"/>
  <c r="F36" i="12"/>
  <c r="F32" i="12"/>
  <c r="F28" i="12"/>
  <c r="F24" i="12"/>
  <c r="F20" i="12"/>
  <c r="F16" i="12"/>
  <c r="F12" i="12"/>
  <c r="O47" i="12"/>
  <c r="O40" i="12"/>
  <c r="O36" i="12"/>
  <c r="O32" i="12"/>
  <c r="O28" i="12"/>
  <c r="O24" i="12"/>
  <c r="O20" i="12"/>
  <c r="O16" i="12"/>
  <c r="O12" i="12"/>
  <c r="AD23" i="12"/>
  <c r="AD19" i="12"/>
  <c r="AD15" i="12"/>
  <c r="O41" i="12"/>
  <c r="O37" i="12"/>
  <c r="O33" i="12"/>
  <c r="O29" i="12"/>
  <c r="O25" i="12"/>
  <c r="O21" i="12"/>
  <c r="O17" i="12"/>
  <c r="O13" i="12"/>
  <c r="AA25" i="12"/>
  <c r="AA34" i="12"/>
  <c r="AA30" i="12"/>
  <c r="AA26" i="12"/>
  <c r="AA22" i="12"/>
  <c r="AA18" i="12"/>
  <c r="AA14" i="12"/>
  <c r="AA29" i="12"/>
  <c r="AA13" i="12"/>
  <c r="X34" i="12"/>
  <c r="X30" i="12"/>
  <c r="X26" i="12"/>
  <c r="X22" i="12"/>
  <c r="X18" i="12"/>
  <c r="X14" i="12"/>
  <c r="AA21" i="12"/>
  <c r="O46" i="12"/>
  <c r="O39" i="12"/>
  <c r="O35" i="12"/>
  <c r="O31" i="12"/>
  <c r="O27" i="12"/>
  <c r="O23" i="12"/>
  <c r="O19" i="12"/>
  <c r="O15" i="12"/>
  <c r="U32" i="12"/>
  <c r="U28" i="12"/>
  <c r="U24" i="12"/>
  <c r="U20" i="12"/>
  <c r="U16" i="12"/>
  <c r="U12" i="12"/>
  <c r="X31" i="12"/>
  <c r="X27" i="12"/>
  <c r="X23" i="12"/>
  <c r="X19" i="12"/>
  <c r="X15" i="12"/>
  <c r="R40" i="12"/>
  <c r="R32" i="12"/>
  <c r="R20" i="12"/>
  <c r="U27" i="12"/>
  <c r="U15" i="12"/>
  <c r="R47" i="12"/>
  <c r="R36" i="12"/>
  <c r="R28" i="12"/>
  <c r="R24" i="12"/>
  <c r="R16" i="12"/>
  <c r="U31" i="12"/>
  <c r="U23" i="12"/>
  <c r="U19" i="12"/>
  <c r="R41" i="12"/>
  <c r="R37" i="12"/>
  <c r="R33" i="12"/>
  <c r="R29" i="12"/>
  <c r="R25" i="12"/>
  <c r="R21" i="12"/>
  <c r="R17" i="12"/>
  <c r="R13" i="12"/>
  <c r="U34" i="12"/>
  <c r="U30" i="12"/>
  <c r="U26" i="12"/>
  <c r="U22" i="12"/>
  <c r="U18" i="12"/>
  <c r="U14" i="12"/>
  <c r="U33" i="12"/>
  <c r="U29" i="12"/>
  <c r="U25" i="12"/>
  <c r="U21" i="12"/>
  <c r="U17" i="12"/>
  <c r="U13" i="12"/>
  <c r="X32" i="12"/>
  <c r="X28" i="12"/>
  <c r="X24" i="12"/>
  <c r="X20" i="12"/>
  <c r="X16" i="12"/>
  <c r="X12" i="12"/>
  <c r="I59" i="12"/>
  <c r="J59" i="12"/>
  <c r="F11" i="12"/>
  <c r="F45" i="12"/>
  <c r="F38" i="12"/>
  <c r="F34" i="12"/>
  <c r="F30" i="12"/>
  <c r="F26" i="12"/>
  <c r="F22" i="12"/>
  <c r="F18" i="12"/>
  <c r="F14" i="12"/>
  <c r="F46" i="12"/>
  <c r="F27" i="12"/>
  <c r="L11" i="12"/>
  <c r="L41" i="12"/>
  <c r="L37" i="12"/>
  <c r="L33" i="12"/>
  <c r="L29" i="12"/>
  <c r="L25" i="12"/>
  <c r="L21" i="12"/>
  <c r="L17" i="12"/>
  <c r="L13" i="12"/>
  <c r="L46" i="12"/>
  <c r="L39" i="12"/>
  <c r="L35" i="12"/>
  <c r="L31" i="12"/>
  <c r="L27" i="12"/>
  <c r="L23" i="12"/>
  <c r="L19" i="12"/>
  <c r="L15" i="12"/>
  <c r="O11" i="12"/>
  <c r="O38" i="12"/>
  <c r="O34" i="12"/>
  <c r="O30" i="12"/>
  <c r="O26" i="12"/>
  <c r="O22" i="12"/>
  <c r="O18" i="12"/>
  <c r="O14" i="12"/>
  <c r="R12" i="12"/>
  <c r="F41" i="12"/>
  <c r="F37" i="12"/>
  <c r="F33" i="12"/>
  <c r="F29" i="12"/>
  <c r="F25" i="12"/>
  <c r="F21" i="12"/>
  <c r="F17" i="12"/>
  <c r="F13" i="12"/>
  <c r="L47" i="12"/>
  <c r="L40" i="12"/>
  <c r="L36" i="12"/>
  <c r="L32" i="12"/>
  <c r="L28" i="12"/>
  <c r="L24" i="12"/>
  <c r="L20" i="12"/>
  <c r="L16" i="12"/>
  <c r="L12" i="12"/>
  <c r="L38" i="12"/>
  <c r="L34" i="12"/>
  <c r="L30" i="12"/>
  <c r="L26" i="12"/>
  <c r="L22" i="12"/>
  <c r="L18" i="12"/>
  <c r="L14" i="12"/>
  <c r="R11" i="12"/>
  <c r="F39" i="12"/>
  <c r="F35" i="12"/>
  <c r="F31" i="12"/>
  <c r="F23" i="12"/>
  <c r="F19" i="12"/>
  <c r="F15" i="12"/>
  <c r="E60" i="4"/>
  <c r="F60" i="4" s="1"/>
  <c r="G60" i="4" s="1"/>
  <c r="G61" i="4" s="1"/>
  <c r="H63" i="4"/>
  <c r="H65" i="4" s="1"/>
  <c r="F20" i="10"/>
  <c r="F21" i="10"/>
  <c r="F22" i="10"/>
  <c r="F23" i="10"/>
  <c r="F24" i="10"/>
  <c r="F25" i="10"/>
  <c r="F26" i="10"/>
  <c r="G26" i="10" s="1"/>
  <c r="F27" i="10"/>
  <c r="G27" i="10" s="1"/>
  <c r="F28" i="10"/>
  <c r="G28" i="10" s="1"/>
  <c r="F29" i="10"/>
  <c r="G29" i="10" s="1"/>
  <c r="F30" i="10"/>
  <c r="G30" i="10" s="1"/>
  <c r="F31" i="10"/>
  <c r="G31" i="10" s="1"/>
  <c r="F32" i="10"/>
  <c r="G32" i="10" s="1"/>
  <c r="F33" i="10"/>
  <c r="G33" i="10" s="1"/>
  <c r="F34" i="10"/>
  <c r="G34" i="10" s="1"/>
  <c r="F35" i="10"/>
  <c r="G35" i="10" s="1"/>
  <c r="F36" i="10"/>
  <c r="G36" i="10" s="1"/>
  <c r="F37" i="10"/>
  <c r="G37" i="10" s="1"/>
  <c r="F38" i="10"/>
  <c r="G38" i="10" s="1"/>
  <c r="F39" i="10"/>
  <c r="G39" i="10" s="1"/>
  <c r="F40" i="10"/>
  <c r="G40" i="10" s="1"/>
  <c r="F41" i="10"/>
  <c r="F42" i="10"/>
  <c r="F43" i="10"/>
  <c r="F44" i="10"/>
  <c r="F45" i="10"/>
  <c r="F46" i="10"/>
  <c r="F47" i="10"/>
  <c r="F48" i="10"/>
  <c r="F49" i="10"/>
  <c r="F53" i="10"/>
  <c r="F54" i="10"/>
  <c r="F55" i="10"/>
  <c r="F19" i="10"/>
  <c r="F19" i="9"/>
  <c r="F12" i="10"/>
  <c r="F20" i="9"/>
  <c r="G19" i="9" s="1"/>
  <c r="F21" i="9"/>
  <c r="F22" i="9"/>
  <c r="F23" i="9"/>
  <c r="F24" i="9"/>
  <c r="F25" i="9"/>
  <c r="F26" i="9"/>
  <c r="G26" i="9" s="1"/>
  <c r="F27" i="9"/>
  <c r="G27" i="9" s="1"/>
  <c r="F28" i="9"/>
  <c r="G28" i="9" s="1"/>
  <c r="F29" i="9"/>
  <c r="G29" i="9" s="1"/>
  <c r="F30" i="9"/>
  <c r="G30" i="9" s="1"/>
  <c r="F31" i="9"/>
  <c r="G31" i="9" s="1"/>
  <c r="F32" i="9"/>
  <c r="G32" i="9" s="1"/>
  <c r="F33" i="9"/>
  <c r="G33" i="9" s="1"/>
  <c r="F34" i="9"/>
  <c r="G34" i="9" s="1"/>
  <c r="F35" i="9"/>
  <c r="G35" i="9" s="1"/>
  <c r="F36" i="9"/>
  <c r="G36" i="9" s="1"/>
  <c r="F37" i="9"/>
  <c r="G37" i="9" s="1"/>
  <c r="F38" i="9"/>
  <c r="F39" i="9"/>
  <c r="F40" i="9"/>
  <c r="F41" i="9"/>
  <c r="F42" i="9"/>
  <c r="F43" i="9"/>
  <c r="F44" i="9"/>
  <c r="F45" i="9"/>
  <c r="F46" i="9"/>
  <c r="G46" i="9" s="1"/>
  <c r="F47" i="9"/>
  <c r="G47" i="9" s="1"/>
  <c r="F48" i="9"/>
  <c r="G48" i="9" s="1"/>
  <c r="F49" i="9"/>
  <c r="F53" i="9"/>
  <c r="F54" i="9"/>
  <c r="F55" i="9"/>
  <c r="G21" i="9"/>
  <c r="D13" i="8"/>
  <c r="D14" i="8"/>
  <c r="D57" i="8"/>
  <c r="D58" i="8"/>
  <c r="D59" i="8" s="1"/>
  <c r="D60" i="8" s="1"/>
  <c r="D61" i="8"/>
  <c r="D66" i="8"/>
  <c r="D67" i="8"/>
  <c r="D68" i="8"/>
  <c r="F25" i="7"/>
  <c r="F26" i="7"/>
  <c r="G26" i="7" s="1"/>
  <c r="F27" i="7"/>
  <c r="G27" i="7" s="1"/>
  <c r="F28" i="7"/>
  <c r="G28" i="7" s="1"/>
  <c r="F29" i="7"/>
  <c r="G29" i="7" s="1"/>
  <c r="F30" i="7"/>
  <c r="G30" i="7" s="1"/>
  <c r="F31" i="7"/>
  <c r="G31" i="7" s="1"/>
  <c r="F32" i="7"/>
  <c r="G32" i="7" s="1"/>
  <c r="F33" i="7"/>
  <c r="G33" i="7" s="1"/>
  <c r="F34" i="7"/>
  <c r="G34" i="7" s="1"/>
  <c r="F35" i="7"/>
  <c r="G35" i="7" s="1"/>
  <c r="F36" i="7"/>
  <c r="G36" i="7" s="1"/>
  <c r="F37" i="7"/>
  <c r="G37" i="7" s="1"/>
  <c r="F38" i="7"/>
  <c r="G38" i="7" s="1"/>
  <c r="F39" i="7"/>
  <c r="G39" i="7" s="1"/>
  <c r="F40" i="7"/>
  <c r="G40" i="7" s="1"/>
  <c r="F41" i="7"/>
  <c r="G41" i="7" s="1"/>
  <c r="F42" i="7"/>
  <c r="G42" i="7" s="1"/>
  <c r="F43" i="7"/>
  <c r="G43" i="7" s="1"/>
  <c r="F44" i="7"/>
  <c r="G44" i="7" s="1"/>
  <c r="F45" i="7"/>
  <c r="G45" i="7" s="1"/>
  <c r="F46" i="7"/>
  <c r="G46" i="7" s="1"/>
  <c r="F47" i="7"/>
  <c r="G47" i="7" s="1"/>
  <c r="F48" i="7"/>
  <c r="G48" i="7" s="1"/>
  <c r="F52" i="7"/>
  <c r="G52" i="7" s="1"/>
  <c r="F53" i="7"/>
  <c r="G53" i="7" s="1"/>
  <c r="F54" i="7"/>
  <c r="G54" i="7" s="1"/>
  <c r="F55" i="7"/>
  <c r="G55" i="7" s="1"/>
  <c r="F19" i="6"/>
  <c r="F20" i="6"/>
  <c r="F34" i="6"/>
  <c r="G34" i="6" s="1"/>
  <c r="F35" i="6"/>
  <c r="G35" i="6" s="1"/>
  <c r="F36" i="6"/>
  <c r="G36" i="6" s="1"/>
  <c r="F37" i="6"/>
  <c r="G37" i="6" s="1"/>
  <c r="F38" i="6"/>
  <c r="G38" i="6" s="1"/>
  <c r="F39" i="6"/>
  <c r="G39" i="6" s="1"/>
  <c r="F40" i="6"/>
  <c r="G40" i="6" s="1"/>
  <c r="F41" i="6"/>
  <c r="G41" i="6" s="1"/>
  <c r="F42" i="6"/>
  <c r="G42" i="6" s="1"/>
  <c r="F43" i="6"/>
  <c r="G43" i="6" s="1"/>
  <c r="F44" i="6"/>
  <c r="G44" i="6" s="1"/>
  <c r="F45" i="6"/>
  <c r="G45" i="6" s="1"/>
  <c r="F46" i="6"/>
  <c r="G46" i="6" s="1"/>
  <c r="F47" i="6"/>
  <c r="G47" i="6" s="1"/>
  <c r="F48" i="6"/>
  <c r="G48" i="6" s="1"/>
  <c r="F49" i="6"/>
  <c r="G49" i="6" s="1"/>
  <c r="F53" i="6"/>
  <c r="F54" i="6"/>
  <c r="G54" i="6" s="1"/>
  <c r="F55" i="6"/>
  <c r="G55" i="6" s="1"/>
  <c r="E68" i="5"/>
  <c r="D68" i="5"/>
  <c r="E67" i="5"/>
  <c r="D67" i="5"/>
  <c r="E66" i="5"/>
  <c r="D66" i="5"/>
  <c r="E61" i="5"/>
  <c r="D61" i="5"/>
  <c r="E58" i="5"/>
  <c r="E59" i="5" s="1"/>
  <c r="D58" i="5"/>
  <c r="D59" i="5" s="1"/>
  <c r="D60" i="5" s="1"/>
  <c r="F57" i="5"/>
  <c r="E57" i="5"/>
  <c r="D57" i="5"/>
  <c r="E62" i="4"/>
  <c r="D62" i="4"/>
  <c r="G62" i="4" s="1"/>
  <c r="E58" i="4"/>
  <c r="D58" i="4"/>
  <c r="E61" i="3"/>
  <c r="D61" i="3"/>
  <c r="D68" i="3"/>
  <c r="E68" i="3"/>
  <c r="E67" i="3"/>
  <c r="E66" i="3"/>
  <c r="D66" i="3"/>
  <c r="E58" i="3"/>
  <c r="E59" i="3" s="1"/>
  <c r="E60" i="3" s="1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G38" i="5" s="1"/>
  <c r="F39" i="5"/>
  <c r="G39" i="5" s="1"/>
  <c r="F40" i="5"/>
  <c r="G40" i="5" s="1"/>
  <c r="F41" i="5"/>
  <c r="G41" i="5" s="1"/>
  <c r="F42" i="5"/>
  <c r="G42" i="5" s="1"/>
  <c r="F43" i="5"/>
  <c r="G43" i="5" s="1"/>
  <c r="F44" i="5"/>
  <c r="G44" i="5" s="1"/>
  <c r="F45" i="5"/>
  <c r="G45" i="5" s="1"/>
  <c r="F46" i="5"/>
  <c r="G46" i="5" s="1"/>
  <c r="F47" i="5"/>
  <c r="G47" i="5" s="1"/>
  <c r="F48" i="5"/>
  <c r="G48" i="5" s="1"/>
  <c r="F49" i="5"/>
  <c r="G49" i="5" s="1"/>
  <c r="F50" i="5"/>
  <c r="G50" i="5" s="1"/>
  <c r="F54" i="5"/>
  <c r="G54" i="5" s="1"/>
  <c r="F55" i="5"/>
  <c r="G55" i="5" s="1"/>
  <c r="F19" i="5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J38" i="4" s="1"/>
  <c r="I39" i="4"/>
  <c r="J39" i="4" s="1"/>
  <c r="I40" i="4"/>
  <c r="J40" i="4" s="1"/>
  <c r="I41" i="4"/>
  <c r="J41" i="4" s="1"/>
  <c r="I42" i="4"/>
  <c r="J42" i="4" s="1"/>
  <c r="I43" i="4"/>
  <c r="J43" i="4" s="1"/>
  <c r="I44" i="4"/>
  <c r="J44" i="4" s="1"/>
  <c r="I45" i="4"/>
  <c r="J45" i="4" s="1"/>
  <c r="I46" i="4"/>
  <c r="J46" i="4" s="1"/>
  <c r="I47" i="4"/>
  <c r="J47" i="4" s="1"/>
  <c r="I48" i="4"/>
  <c r="J48" i="4" s="1"/>
  <c r="I49" i="4"/>
  <c r="I50" i="4"/>
  <c r="J50" i="4" s="1"/>
  <c r="I54" i="4"/>
  <c r="I55" i="4"/>
  <c r="J55" i="4" s="1"/>
  <c r="I19" i="4"/>
  <c r="J49" i="4"/>
  <c r="F38" i="3"/>
  <c r="G38" i="3" s="1"/>
  <c r="F39" i="3"/>
  <c r="G39" i="3" s="1"/>
  <c r="F40" i="3"/>
  <c r="G40" i="3" s="1"/>
  <c r="F41" i="3"/>
  <c r="G41" i="3" s="1"/>
  <c r="F42" i="3"/>
  <c r="G42" i="3" s="1"/>
  <c r="F43" i="3"/>
  <c r="G43" i="3" s="1"/>
  <c r="F44" i="3"/>
  <c r="G44" i="3" s="1"/>
  <c r="F45" i="3"/>
  <c r="G45" i="3" s="1"/>
  <c r="F46" i="3"/>
  <c r="G46" i="3" s="1"/>
  <c r="F47" i="3"/>
  <c r="G47" i="3" s="1"/>
  <c r="F48" i="3"/>
  <c r="G48" i="3" s="1"/>
  <c r="F49" i="3"/>
  <c r="G49" i="3" s="1"/>
  <c r="F50" i="3"/>
  <c r="G50" i="3" s="1"/>
  <c r="F54" i="3"/>
  <c r="G54" i="3" s="1"/>
  <c r="F55" i="3"/>
  <c r="G55" i="3" s="1"/>
  <c r="AV43" i="13" l="1"/>
  <c r="AW43" i="13" s="1"/>
  <c r="AT43" i="13"/>
  <c r="AU43" i="13" s="1"/>
  <c r="EM50" i="12"/>
  <c r="BK42" i="12"/>
  <c r="E66" i="12"/>
  <c r="BL43" i="12"/>
  <c r="BM43" i="12" s="1"/>
  <c r="BL42" i="12"/>
  <c r="BM42" i="12" s="1"/>
  <c r="BL44" i="12"/>
  <c r="BM44" i="12" s="1"/>
  <c r="E67" i="12"/>
  <c r="BN42" i="12"/>
  <c r="BO42" i="12" s="1"/>
  <c r="BN43" i="12"/>
  <c r="BO43" i="12" s="1"/>
  <c r="BN44" i="12"/>
  <c r="BO44" i="12" s="1"/>
  <c r="BK43" i="12"/>
  <c r="AF22" i="13"/>
  <c r="AA15" i="13"/>
  <c r="BK44" i="12"/>
  <c r="AF21" i="13"/>
  <c r="CR59" i="12"/>
  <c r="CR60" i="12" s="1"/>
  <c r="G87" i="12" s="1"/>
  <c r="H87" i="12" s="1"/>
  <c r="R12" i="13"/>
  <c r="R36" i="13"/>
  <c r="R47" i="13"/>
  <c r="R11" i="13"/>
  <c r="R35" i="13"/>
  <c r="AV11" i="13"/>
  <c r="AW11" i="13" s="1"/>
  <c r="EM57" i="12"/>
  <c r="EG52" i="12"/>
  <c r="X25" i="13"/>
  <c r="X18" i="13"/>
  <c r="R20" i="13"/>
  <c r="X21" i="13"/>
  <c r="X26" i="13"/>
  <c r="X29" i="13"/>
  <c r="EM53" i="12"/>
  <c r="EG40" i="12"/>
  <c r="AZ8" i="13"/>
  <c r="X13" i="13"/>
  <c r="X14" i="13"/>
  <c r="CQ62" i="12"/>
  <c r="EU14" i="12"/>
  <c r="EU22" i="12"/>
  <c r="EU30" i="12"/>
  <c r="EU21" i="12"/>
  <c r="EU19" i="12"/>
  <c r="EU27" i="12"/>
  <c r="EU29" i="12"/>
  <c r="EU16" i="12"/>
  <c r="EU24" i="12"/>
  <c r="EU32" i="12"/>
  <c r="EU13" i="12"/>
  <c r="EU33" i="12"/>
  <c r="X17" i="13"/>
  <c r="X33" i="13"/>
  <c r="EB59" i="12"/>
  <c r="EB60" i="12" s="1"/>
  <c r="G106" i="12" s="1"/>
  <c r="ED62" i="12"/>
  <c r="DX62" i="12"/>
  <c r="EM51" i="12"/>
  <c r="DX59" i="12"/>
  <c r="EB62" i="12"/>
  <c r="FA15" i="12"/>
  <c r="FA23" i="12"/>
  <c r="FA31" i="12"/>
  <c r="FA22" i="12"/>
  <c r="FA30" i="12"/>
  <c r="FA16" i="12"/>
  <c r="FA24" i="12"/>
  <c r="FA32" i="12"/>
  <c r="FA13" i="12"/>
  <c r="FA21" i="12"/>
  <c r="FA29" i="12"/>
  <c r="EY19" i="12"/>
  <c r="EY27" i="12"/>
  <c r="EY35" i="12"/>
  <c r="EY25" i="12"/>
  <c r="EY18" i="12"/>
  <c r="EY26" i="12"/>
  <c r="EY34" i="12"/>
  <c r="AD19" i="13"/>
  <c r="BB19" i="13"/>
  <c r="AD27" i="13"/>
  <c r="BB27" i="13"/>
  <c r="AD35" i="13"/>
  <c r="BB35" i="13"/>
  <c r="AD25" i="13"/>
  <c r="BB25" i="13"/>
  <c r="AD18" i="13"/>
  <c r="BB18" i="13"/>
  <c r="AD26" i="13"/>
  <c r="BB26" i="13"/>
  <c r="AD34" i="13"/>
  <c r="BB34" i="13"/>
  <c r="BB12" i="13"/>
  <c r="AD12" i="13"/>
  <c r="BB20" i="13"/>
  <c r="AD20" i="13"/>
  <c r="BB28" i="13"/>
  <c r="AD28" i="13"/>
  <c r="AD17" i="13"/>
  <c r="BB17" i="13"/>
  <c r="EY12" i="12"/>
  <c r="EY20" i="12"/>
  <c r="EY28" i="12"/>
  <c r="FA17" i="12"/>
  <c r="FA25" i="12"/>
  <c r="FA33" i="12"/>
  <c r="EY17" i="12"/>
  <c r="AD15" i="13"/>
  <c r="BB15" i="13"/>
  <c r="AD23" i="13"/>
  <c r="BB23" i="13"/>
  <c r="AD31" i="13"/>
  <c r="BB31" i="13"/>
  <c r="BB21" i="13"/>
  <c r="AD21" i="13"/>
  <c r="AD33" i="13"/>
  <c r="BB33" i="13"/>
  <c r="AD14" i="13"/>
  <c r="BB14" i="13"/>
  <c r="AD22" i="13"/>
  <c r="BB22" i="13"/>
  <c r="AD30" i="13"/>
  <c r="BB30" i="13"/>
  <c r="BB8" i="13"/>
  <c r="BB16" i="13"/>
  <c r="AD16" i="13"/>
  <c r="BB24" i="13"/>
  <c r="AD24" i="13"/>
  <c r="BB32" i="13"/>
  <c r="AD32" i="13"/>
  <c r="BB13" i="13"/>
  <c r="AD13" i="13"/>
  <c r="BB29" i="13"/>
  <c r="AD29" i="13"/>
  <c r="EY16" i="12"/>
  <c r="EY24" i="12"/>
  <c r="EY32" i="12"/>
  <c r="EY13" i="12"/>
  <c r="EY29" i="12"/>
  <c r="BL28" i="12"/>
  <c r="BM28" i="12" s="1"/>
  <c r="BL20" i="12"/>
  <c r="BM20" i="12" s="1"/>
  <c r="BL12" i="12"/>
  <c r="AF13" i="13"/>
  <c r="AF26" i="13"/>
  <c r="AA16" i="13"/>
  <c r="AA32" i="13"/>
  <c r="AA21" i="13"/>
  <c r="AA29" i="13"/>
  <c r="AA23" i="13"/>
  <c r="AA14" i="13"/>
  <c r="AA22" i="13"/>
  <c r="AA27" i="13"/>
  <c r="BL16" i="12"/>
  <c r="BL24" i="12"/>
  <c r="BM24" i="12" s="1"/>
  <c r="BL32" i="12"/>
  <c r="BM32" i="12" s="1"/>
  <c r="BN13" i="12"/>
  <c r="BN21" i="12"/>
  <c r="BO21" i="12" s="1"/>
  <c r="BN29" i="12"/>
  <c r="BO29" i="12" s="1"/>
  <c r="BL13" i="12"/>
  <c r="BL21" i="12"/>
  <c r="BM21" i="12" s="1"/>
  <c r="BL29" i="12"/>
  <c r="BM29" i="12" s="1"/>
  <c r="BL23" i="12"/>
  <c r="BM23" i="12" s="1"/>
  <c r="BL14" i="12"/>
  <c r="BL22" i="12"/>
  <c r="BM22" i="12" s="1"/>
  <c r="BL30" i="12"/>
  <c r="BM30" i="12" s="1"/>
  <c r="BL15" i="12"/>
  <c r="BL27" i="12"/>
  <c r="BM27" i="12" s="1"/>
  <c r="AA24" i="13"/>
  <c r="AA13" i="13"/>
  <c r="AA30" i="13"/>
  <c r="G20" i="9"/>
  <c r="AF14" i="13"/>
  <c r="AA12" i="13"/>
  <c r="AA20" i="13"/>
  <c r="AA28" i="13"/>
  <c r="AA17" i="13"/>
  <c r="AA25" i="13"/>
  <c r="AA33" i="13"/>
  <c r="AA31" i="13"/>
  <c r="AA18" i="13"/>
  <c r="AA26" i="13"/>
  <c r="AA34" i="13"/>
  <c r="AA19" i="13"/>
  <c r="AA35" i="13"/>
  <c r="AF29" i="13"/>
  <c r="AF8" i="13"/>
  <c r="BN17" i="12"/>
  <c r="BN25" i="12"/>
  <c r="BO25" i="12" s="1"/>
  <c r="BN33" i="12"/>
  <c r="BO33" i="12" s="1"/>
  <c r="BL17" i="12"/>
  <c r="BL25" i="12"/>
  <c r="BM25" i="12" s="1"/>
  <c r="BL33" i="12"/>
  <c r="BM33" i="12" s="1"/>
  <c r="BL31" i="12"/>
  <c r="BM31" i="12" s="1"/>
  <c r="BL18" i="12"/>
  <c r="BL26" i="12"/>
  <c r="BM26" i="12" s="1"/>
  <c r="BL34" i="12"/>
  <c r="BM34" i="12" s="1"/>
  <c r="BL19" i="12"/>
  <c r="BL35" i="12"/>
  <c r="BM35" i="12" s="1"/>
  <c r="BK30" i="12"/>
  <c r="BK21" i="12"/>
  <c r="BK25" i="12"/>
  <c r="BK34" i="12"/>
  <c r="AF17" i="13"/>
  <c r="AF25" i="13"/>
  <c r="AF33" i="13"/>
  <c r="X22" i="13"/>
  <c r="X34" i="13"/>
  <c r="BK29" i="12"/>
  <c r="BK22" i="12"/>
  <c r="BK33" i="12"/>
  <c r="BK26" i="12"/>
  <c r="BK20" i="12"/>
  <c r="BK28" i="12"/>
  <c r="AF34" i="13"/>
  <c r="AG34" i="13" s="1"/>
  <c r="BK27" i="12"/>
  <c r="AF12" i="13"/>
  <c r="X12" i="13"/>
  <c r="AF28" i="13"/>
  <c r="AG28" i="13" s="1"/>
  <c r="X28" i="13"/>
  <c r="X19" i="13"/>
  <c r="AF19" i="13"/>
  <c r="AF16" i="13"/>
  <c r="AG16" i="13" s="1"/>
  <c r="X16" i="13"/>
  <c r="AF24" i="13"/>
  <c r="X24" i="13"/>
  <c r="AF32" i="13"/>
  <c r="AG32" i="13" s="1"/>
  <c r="X32" i="13"/>
  <c r="X15" i="13"/>
  <c r="AF15" i="13"/>
  <c r="AF23" i="13"/>
  <c r="AG23" i="13" s="1"/>
  <c r="X23" i="13"/>
  <c r="X31" i="13"/>
  <c r="AF31" i="13"/>
  <c r="AF20" i="13"/>
  <c r="AG20" i="13" s="1"/>
  <c r="X20" i="13"/>
  <c r="AF27" i="13"/>
  <c r="X27" i="13"/>
  <c r="BK24" i="12"/>
  <c r="BK32" i="12"/>
  <c r="AF30" i="13"/>
  <c r="AF18" i="13"/>
  <c r="BK23" i="12"/>
  <c r="BK31" i="12"/>
  <c r="AZ18" i="13"/>
  <c r="AZ27" i="13"/>
  <c r="BA27" i="13" s="1"/>
  <c r="ES16" i="12"/>
  <c r="ES24" i="12"/>
  <c r="ES32" i="12"/>
  <c r="ES40" i="12"/>
  <c r="ES14" i="12"/>
  <c r="ES38" i="12"/>
  <c r="AZ24" i="13"/>
  <c r="AZ31" i="13"/>
  <c r="BA31" i="13" s="1"/>
  <c r="AZ22" i="13"/>
  <c r="U14" i="13"/>
  <c r="U22" i="13"/>
  <c r="U18" i="13"/>
  <c r="AZ13" i="13"/>
  <c r="U12" i="13"/>
  <c r="U20" i="13"/>
  <c r="U28" i="13"/>
  <c r="ES17" i="12"/>
  <c r="ES25" i="12"/>
  <c r="ES33" i="12"/>
  <c r="ES41" i="12"/>
  <c r="EU25" i="12"/>
  <c r="ES22" i="12"/>
  <c r="ES45" i="12"/>
  <c r="U17" i="13"/>
  <c r="U25" i="13"/>
  <c r="U33" i="13"/>
  <c r="AZ32" i="13"/>
  <c r="AZ20" i="13"/>
  <c r="BA20" i="13" s="1"/>
  <c r="AZ15" i="13"/>
  <c r="U19" i="13"/>
  <c r="U27" i="13"/>
  <c r="AZ26" i="13"/>
  <c r="BA26" i="13" s="1"/>
  <c r="ES19" i="12"/>
  <c r="ES27" i="12"/>
  <c r="ES35" i="12"/>
  <c r="ES46" i="12"/>
  <c r="AZ30" i="13"/>
  <c r="ES18" i="12"/>
  <c r="ES12" i="12"/>
  <c r="ES20" i="12"/>
  <c r="ES28" i="12"/>
  <c r="ES36" i="12"/>
  <c r="ES47" i="12"/>
  <c r="U26" i="13"/>
  <c r="AZ25" i="13"/>
  <c r="U13" i="13"/>
  <c r="U21" i="13"/>
  <c r="U29" i="13"/>
  <c r="U30" i="13"/>
  <c r="AZ21" i="13"/>
  <c r="AZ16" i="13"/>
  <c r="AZ19" i="13"/>
  <c r="BA19" i="13" s="1"/>
  <c r="AZ12" i="13"/>
  <c r="AZ17" i="13"/>
  <c r="U15" i="13"/>
  <c r="U23" i="13"/>
  <c r="U31" i="13"/>
  <c r="AZ14" i="13"/>
  <c r="AZ34" i="13"/>
  <c r="U34" i="13"/>
  <c r="U16" i="13"/>
  <c r="U24" i="13"/>
  <c r="U32" i="13"/>
  <c r="AZ23" i="13"/>
  <c r="BA23" i="13" s="1"/>
  <c r="ES26" i="12"/>
  <c r="AZ33" i="13"/>
  <c r="ES13" i="12"/>
  <c r="ES21" i="12"/>
  <c r="ES29" i="12"/>
  <c r="ES37" i="12"/>
  <c r="AZ28" i="13"/>
  <c r="ES30" i="12"/>
  <c r="AZ29" i="13"/>
  <c r="CP59" i="12"/>
  <c r="CP60" i="12" s="1"/>
  <c r="G86" i="12" s="1"/>
  <c r="H86" i="12" s="1"/>
  <c r="R14" i="13"/>
  <c r="CR62" i="12"/>
  <c r="I87" i="12" s="1"/>
  <c r="R13" i="13"/>
  <c r="R29" i="13"/>
  <c r="R37" i="13"/>
  <c r="R22" i="13"/>
  <c r="R23" i="13"/>
  <c r="CP62" i="12"/>
  <c r="I86" i="12" s="1"/>
  <c r="R21" i="13"/>
  <c r="R30" i="13"/>
  <c r="R38" i="13"/>
  <c r="R16" i="13"/>
  <c r="R32" i="13"/>
  <c r="R17" i="13"/>
  <c r="R25" i="13"/>
  <c r="R33" i="13"/>
  <c r="R44" i="13"/>
  <c r="R18" i="13"/>
  <c r="R26" i="13"/>
  <c r="R34" i="13"/>
  <c r="R45" i="13"/>
  <c r="R39" i="13"/>
  <c r="DR62" i="12"/>
  <c r="DR59" i="12"/>
  <c r="DR60" i="12" s="1"/>
  <c r="G100" i="12" s="1"/>
  <c r="H100" i="12" s="1"/>
  <c r="AT16" i="13"/>
  <c r="AU16" i="13" s="1"/>
  <c r="O16" i="13"/>
  <c r="AT24" i="13"/>
  <c r="AU24" i="13" s="1"/>
  <c r="O24" i="13"/>
  <c r="AT32" i="13"/>
  <c r="AU32" i="13" s="1"/>
  <c r="O32" i="13"/>
  <c r="O43" i="13"/>
  <c r="O22" i="13"/>
  <c r="AT22" i="13"/>
  <c r="AU22" i="13" s="1"/>
  <c r="O38" i="13"/>
  <c r="AT38" i="13"/>
  <c r="AU38" i="13" s="1"/>
  <c r="AT13" i="13"/>
  <c r="AU13" i="13" s="1"/>
  <c r="O13" i="13"/>
  <c r="AT21" i="13"/>
  <c r="AU21" i="13" s="1"/>
  <c r="O21" i="13"/>
  <c r="AT29" i="13"/>
  <c r="AU29" i="13" s="1"/>
  <c r="O29" i="13"/>
  <c r="AT37" i="13"/>
  <c r="AU37" i="13" s="1"/>
  <c r="O37" i="13"/>
  <c r="F68" i="5"/>
  <c r="O19" i="13"/>
  <c r="AT19" i="13"/>
  <c r="AU19" i="13" s="1"/>
  <c r="AT27" i="13"/>
  <c r="AU27" i="13" s="1"/>
  <c r="O27" i="13"/>
  <c r="AT35" i="13"/>
  <c r="AU35" i="13" s="1"/>
  <c r="O35" i="13"/>
  <c r="O46" i="13"/>
  <c r="AT46" i="13"/>
  <c r="AU46" i="13" s="1"/>
  <c r="AT45" i="13"/>
  <c r="AU45" i="13" s="1"/>
  <c r="O45" i="13"/>
  <c r="AT15" i="13"/>
  <c r="AU15" i="13" s="1"/>
  <c r="O15" i="13"/>
  <c r="AT23" i="13"/>
  <c r="AU23" i="13" s="1"/>
  <c r="O23" i="13"/>
  <c r="AT31" i="13"/>
  <c r="AU31" i="13" s="1"/>
  <c r="O31" i="13"/>
  <c r="AT39" i="13"/>
  <c r="AU39" i="13" s="1"/>
  <c r="O39" i="13"/>
  <c r="AT30" i="13"/>
  <c r="AU30" i="13" s="1"/>
  <c r="O30" i="13"/>
  <c r="AT12" i="13"/>
  <c r="AU12" i="13" s="1"/>
  <c r="O12" i="13"/>
  <c r="AT20" i="13"/>
  <c r="AU20" i="13" s="1"/>
  <c r="O20" i="13"/>
  <c r="AT28" i="13"/>
  <c r="AU28" i="13" s="1"/>
  <c r="O28" i="13"/>
  <c r="AT36" i="13"/>
  <c r="AU36" i="13" s="1"/>
  <c r="O36" i="13"/>
  <c r="AT47" i="13"/>
  <c r="AU47" i="13" s="1"/>
  <c r="O47" i="13"/>
  <c r="AT14" i="13"/>
  <c r="AU14" i="13" s="1"/>
  <c r="O14" i="13"/>
  <c r="O26" i="13"/>
  <c r="AT26" i="13"/>
  <c r="AU26" i="13" s="1"/>
  <c r="AT11" i="13"/>
  <c r="AU11" i="13" s="1"/>
  <c r="O11" i="13"/>
  <c r="AT17" i="13"/>
  <c r="AU17" i="13" s="1"/>
  <c r="O17" i="13"/>
  <c r="AT25" i="13"/>
  <c r="AU25" i="13" s="1"/>
  <c r="O25" i="13"/>
  <c r="AT33" i="13"/>
  <c r="AU33" i="13" s="1"/>
  <c r="O33" i="13"/>
  <c r="AT44" i="13"/>
  <c r="AU44" i="13" s="1"/>
  <c r="O44" i="13"/>
  <c r="AT34" i="13"/>
  <c r="AU34" i="13" s="1"/>
  <c r="O34" i="13"/>
  <c r="AT18" i="13"/>
  <c r="AU18" i="13" s="1"/>
  <c r="O18" i="13"/>
  <c r="F67" i="5"/>
  <c r="F66" i="5"/>
  <c r="EM47" i="12"/>
  <c r="ED59" i="12"/>
  <c r="EE59" i="12" s="1"/>
  <c r="L13" i="13"/>
  <c r="AX13" i="13"/>
  <c r="AY13" i="13" s="1"/>
  <c r="AX21" i="13"/>
  <c r="AY21" i="13" s="1"/>
  <c r="L21" i="13"/>
  <c r="AX29" i="13"/>
  <c r="AY29" i="13" s="1"/>
  <c r="L29" i="13"/>
  <c r="AX37" i="13"/>
  <c r="AY37" i="13" s="1"/>
  <c r="L37" i="13"/>
  <c r="L27" i="13"/>
  <c r="AX27" i="13"/>
  <c r="AY27" i="13" s="1"/>
  <c r="AX46" i="13"/>
  <c r="AY46" i="13" s="1"/>
  <c r="L46" i="13"/>
  <c r="AX12" i="13"/>
  <c r="AY12" i="13" s="1"/>
  <c r="L12" i="13"/>
  <c r="AX28" i="13"/>
  <c r="AY28" i="13" s="1"/>
  <c r="L28" i="13"/>
  <c r="AX14" i="13"/>
  <c r="AY14" i="13" s="1"/>
  <c r="L14" i="13"/>
  <c r="AX22" i="13"/>
  <c r="AY22" i="13" s="1"/>
  <c r="L22" i="13"/>
  <c r="AX30" i="13"/>
  <c r="AY30" i="13" s="1"/>
  <c r="L30" i="13"/>
  <c r="AX38" i="13"/>
  <c r="AY38" i="13" s="1"/>
  <c r="L38" i="13"/>
  <c r="AX15" i="13"/>
  <c r="AY15" i="13" s="1"/>
  <c r="L15" i="13"/>
  <c r="AX31" i="13"/>
  <c r="AY31" i="13" s="1"/>
  <c r="L31" i="13"/>
  <c r="AX11" i="13"/>
  <c r="AY11" i="13" s="1"/>
  <c r="AX16" i="13"/>
  <c r="AY16" i="13" s="1"/>
  <c r="L16" i="13"/>
  <c r="L32" i="13"/>
  <c r="AX32" i="13"/>
  <c r="AY32" i="13" s="1"/>
  <c r="AX47" i="13"/>
  <c r="AY47" i="13" s="1"/>
  <c r="L47" i="13"/>
  <c r="EM54" i="12"/>
  <c r="EG36" i="12"/>
  <c r="EG55" i="12"/>
  <c r="EM56" i="12"/>
  <c r="EM49" i="12"/>
  <c r="I67" i="4"/>
  <c r="I69" i="4"/>
  <c r="I68" i="4"/>
  <c r="L17" i="13"/>
  <c r="AX17" i="13"/>
  <c r="AY17" i="13" s="1"/>
  <c r="AX25" i="13"/>
  <c r="AY25" i="13" s="1"/>
  <c r="L25" i="13"/>
  <c r="L33" i="13"/>
  <c r="AX33" i="13"/>
  <c r="AY33" i="13" s="1"/>
  <c r="L44" i="13"/>
  <c r="AX44" i="13"/>
  <c r="AY44" i="13" s="1"/>
  <c r="L19" i="13"/>
  <c r="AX19" i="13"/>
  <c r="AY19" i="13" s="1"/>
  <c r="AX35" i="13"/>
  <c r="AY35" i="13" s="1"/>
  <c r="L35" i="13"/>
  <c r="L20" i="13"/>
  <c r="AX20" i="13"/>
  <c r="AY20" i="13" s="1"/>
  <c r="AX43" i="13"/>
  <c r="AY43" i="13" s="1"/>
  <c r="L43" i="13"/>
  <c r="AX18" i="13"/>
  <c r="AY18" i="13" s="1"/>
  <c r="L18" i="13"/>
  <c r="L26" i="13"/>
  <c r="AX26" i="13"/>
  <c r="AY26" i="13" s="1"/>
  <c r="AX34" i="13"/>
  <c r="AY34" i="13" s="1"/>
  <c r="L34" i="13"/>
  <c r="AX45" i="13"/>
  <c r="AY45" i="13" s="1"/>
  <c r="L45" i="13"/>
  <c r="AX23" i="13"/>
  <c r="AY23" i="13" s="1"/>
  <c r="L23" i="13"/>
  <c r="AX39" i="13"/>
  <c r="AY39" i="13" s="1"/>
  <c r="L39" i="13"/>
  <c r="AX24" i="13"/>
  <c r="AY24" i="13" s="1"/>
  <c r="L24" i="13"/>
  <c r="AX36" i="13"/>
  <c r="AY36" i="13" s="1"/>
  <c r="L36" i="13"/>
  <c r="BP59" i="12"/>
  <c r="F68" i="12" s="1"/>
  <c r="AH16" i="13"/>
  <c r="AI16" i="13" s="1"/>
  <c r="F16" i="13"/>
  <c r="AH24" i="13"/>
  <c r="AI24" i="13" s="1"/>
  <c r="F24" i="13"/>
  <c r="AH32" i="13"/>
  <c r="AI32" i="13" s="1"/>
  <c r="F32" i="13"/>
  <c r="AH43" i="13"/>
  <c r="AI43" i="13" s="1"/>
  <c r="F43" i="13"/>
  <c r="F31" i="13"/>
  <c r="AH31" i="13"/>
  <c r="AI31" i="13" s="1"/>
  <c r="F13" i="13"/>
  <c r="AH13" i="13"/>
  <c r="AI13" i="13" s="1"/>
  <c r="AH37" i="13"/>
  <c r="AI37" i="13" s="1"/>
  <c r="F37" i="13"/>
  <c r="AH18" i="13"/>
  <c r="AI18" i="13" s="1"/>
  <c r="F18" i="13"/>
  <c r="AH26" i="13"/>
  <c r="AI26" i="13" s="1"/>
  <c r="F26" i="13"/>
  <c r="AH34" i="13"/>
  <c r="AI34" i="13" s="1"/>
  <c r="F34" i="13"/>
  <c r="AH45" i="13"/>
  <c r="AI45" i="13" s="1"/>
  <c r="F45" i="13"/>
  <c r="AH23" i="13"/>
  <c r="AI23" i="13" s="1"/>
  <c r="F23" i="13"/>
  <c r="F35" i="13"/>
  <c r="AH35" i="13"/>
  <c r="AI35" i="13" s="1"/>
  <c r="F21" i="13"/>
  <c r="AH21" i="13"/>
  <c r="AI21" i="13" s="1"/>
  <c r="F29" i="13"/>
  <c r="AH29" i="13"/>
  <c r="AI29" i="13" s="1"/>
  <c r="AH12" i="13"/>
  <c r="AI12" i="13" s="1"/>
  <c r="F12" i="13"/>
  <c r="AH20" i="13"/>
  <c r="AI20" i="13" s="1"/>
  <c r="F20" i="13"/>
  <c r="AH28" i="13"/>
  <c r="AI28" i="13" s="1"/>
  <c r="F28" i="13"/>
  <c r="AH36" i="13"/>
  <c r="AI36" i="13" s="1"/>
  <c r="F36" i="13"/>
  <c r="AH47" i="13"/>
  <c r="AI47" i="13" s="1"/>
  <c r="F47" i="13"/>
  <c r="F19" i="13"/>
  <c r="AH19" i="13"/>
  <c r="AI19" i="13" s="1"/>
  <c r="AH39" i="13"/>
  <c r="AI39" i="13" s="1"/>
  <c r="F39" i="13"/>
  <c r="F17" i="13"/>
  <c r="AH17" i="13"/>
  <c r="AI17" i="13" s="1"/>
  <c r="AH25" i="13"/>
  <c r="AI25" i="13" s="1"/>
  <c r="F25" i="13"/>
  <c r="F33" i="13"/>
  <c r="AH33" i="13"/>
  <c r="AI33" i="13" s="1"/>
  <c r="AH44" i="13"/>
  <c r="AI44" i="13" s="1"/>
  <c r="F44" i="13"/>
  <c r="AH14" i="13"/>
  <c r="AI14" i="13" s="1"/>
  <c r="F14" i="13"/>
  <c r="AH22" i="13"/>
  <c r="AI22" i="13" s="1"/>
  <c r="F22" i="13"/>
  <c r="AH30" i="13"/>
  <c r="AI30" i="13" s="1"/>
  <c r="F30" i="13"/>
  <c r="AH38" i="13"/>
  <c r="AI38" i="13" s="1"/>
  <c r="F38" i="13"/>
  <c r="AH11" i="13"/>
  <c r="AH15" i="13"/>
  <c r="AI15" i="13" s="1"/>
  <c r="F15" i="13"/>
  <c r="AH27" i="13"/>
  <c r="AI27" i="13" s="1"/>
  <c r="F27" i="13"/>
  <c r="AH46" i="13"/>
  <c r="AI46" i="13" s="1"/>
  <c r="F46" i="13"/>
  <c r="EG28" i="12"/>
  <c r="EM28" i="12"/>
  <c r="EG25" i="12"/>
  <c r="EM25" i="12"/>
  <c r="EG37" i="12"/>
  <c r="EM37" i="12"/>
  <c r="EG16" i="12"/>
  <c r="EM16" i="12"/>
  <c r="EG24" i="12"/>
  <c r="EM24" i="12"/>
  <c r="EG27" i="12"/>
  <c r="EM27" i="12"/>
  <c r="EI20" i="12"/>
  <c r="EH59" i="12"/>
  <c r="EH60" i="12" s="1"/>
  <c r="EH62" i="12"/>
  <c r="EG39" i="12"/>
  <c r="EM39" i="12"/>
  <c r="CQ60" i="12"/>
  <c r="CQ59" i="12"/>
  <c r="EE62" i="12"/>
  <c r="I107" i="12" s="1"/>
  <c r="EE60" i="12"/>
  <c r="EG18" i="12"/>
  <c r="EM18" i="12"/>
  <c r="EG29" i="12"/>
  <c r="EM29" i="12"/>
  <c r="EG41" i="12"/>
  <c r="EM41" i="12"/>
  <c r="EG26" i="12"/>
  <c r="EM26" i="12"/>
  <c r="EG34" i="12"/>
  <c r="EM34" i="12"/>
  <c r="EG12" i="12"/>
  <c r="EF59" i="12"/>
  <c r="EF62" i="12"/>
  <c r="EM12" i="12"/>
  <c r="EG21" i="12"/>
  <c r="EM21" i="12"/>
  <c r="DS60" i="12"/>
  <c r="DS62" i="12"/>
  <c r="I100" i="12" s="1"/>
  <c r="EG46" i="12"/>
  <c r="EM46" i="12"/>
  <c r="EL59" i="12"/>
  <c r="EL62" i="12"/>
  <c r="BT59" i="12"/>
  <c r="F70" i="12" s="1"/>
  <c r="EG23" i="12"/>
  <c r="EM23" i="12"/>
  <c r="EG19" i="12"/>
  <c r="EM19" i="12"/>
  <c r="EG20" i="12"/>
  <c r="EM20" i="12"/>
  <c r="EG38" i="12"/>
  <c r="EM38" i="12"/>
  <c r="EG22" i="12"/>
  <c r="EM22" i="12"/>
  <c r="EG31" i="12"/>
  <c r="EM31" i="12"/>
  <c r="EG32" i="12"/>
  <c r="EM32" i="12"/>
  <c r="BU62" i="12"/>
  <c r="I70" i="12" s="1"/>
  <c r="BU59" i="12"/>
  <c r="BU60" i="12"/>
  <c r="EG13" i="12"/>
  <c r="EM13" i="12"/>
  <c r="EG15" i="12"/>
  <c r="EM15" i="12"/>
  <c r="EG33" i="12"/>
  <c r="EM33" i="12"/>
  <c r="EG30" i="12"/>
  <c r="EM30" i="12"/>
  <c r="EG45" i="12"/>
  <c r="EM45" i="12"/>
  <c r="EG17" i="12"/>
  <c r="EM17" i="12"/>
  <c r="EG35" i="12"/>
  <c r="EM35" i="12"/>
  <c r="CS62" i="12"/>
  <c r="CS60" i="12"/>
  <c r="CS59" i="12"/>
  <c r="F61" i="4"/>
  <c r="E61" i="4"/>
  <c r="I59" i="4"/>
  <c r="I60" i="4" s="1"/>
  <c r="I61" i="4" s="1"/>
  <c r="I62" i="4"/>
  <c r="D63" i="4"/>
  <c r="D65" i="4" s="1"/>
  <c r="D62" i="8"/>
  <c r="D64" i="8" s="1"/>
  <c r="F58" i="5"/>
  <c r="F59" i="5" s="1"/>
  <c r="F60" i="5" s="1"/>
  <c r="F61" i="5"/>
  <c r="D62" i="5"/>
  <c r="D64" i="5" s="1"/>
  <c r="E60" i="5"/>
  <c r="K77" i="13"/>
  <c r="F87" i="12" l="1"/>
  <c r="F86" i="12"/>
  <c r="F100" i="12"/>
  <c r="F106" i="12"/>
  <c r="BA28" i="13"/>
  <c r="BA34" i="13"/>
  <c r="BA16" i="13"/>
  <c r="BA32" i="13"/>
  <c r="BA24" i="13"/>
  <c r="BA18" i="13"/>
  <c r="BA33" i="13"/>
  <c r="BA14" i="13"/>
  <c r="BA17" i="13"/>
  <c r="BA21" i="13"/>
  <c r="BA29" i="13"/>
  <c r="BA12" i="13"/>
  <c r="BA25" i="13"/>
  <c r="BA30" i="13"/>
  <c r="BA15" i="13"/>
  <c r="BA13" i="13"/>
  <c r="BA22" i="13"/>
  <c r="BC29" i="13"/>
  <c r="BC16" i="13"/>
  <c r="BC22" i="13"/>
  <c r="BC28" i="13"/>
  <c r="BC21" i="13"/>
  <c r="BC26" i="13"/>
  <c r="BC25" i="13"/>
  <c r="BC27" i="13"/>
  <c r="BC17" i="13"/>
  <c r="BC18" i="13"/>
  <c r="BC19" i="13"/>
  <c r="BC24" i="13"/>
  <c r="BC30" i="13"/>
  <c r="BC23" i="13"/>
  <c r="BC20" i="13"/>
  <c r="AG30" i="13"/>
  <c r="AG27" i="13"/>
  <c r="AG24" i="13"/>
  <c r="AG12" i="13"/>
  <c r="AG25" i="13"/>
  <c r="AG13" i="13"/>
  <c r="AG14" i="13"/>
  <c r="AG17" i="13"/>
  <c r="AG22" i="13"/>
  <c r="AG21" i="13"/>
  <c r="AG26" i="13"/>
  <c r="AG18" i="13"/>
  <c r="AG31" i="13"/>
  <c r="AG15" i="13"/>
  <c r="AG19" i="13"/>
  <c r="AG33" i="13"/>
  <c r="AG29" i="13"/>
  <c r="CQ61" i="12"/>
  <c r="J86" i="12"/>
  <c r="K86" i="12" s="1"/>
  <c r="L86" i="12" s="1"/>
  <c r="CS61" i="12"/>
  <c r="J87" i="12"/>
  <c r="K87" i="12" s="1"/>
  <c r="L87" i="12" s="1"/>
  <c r="DS61" i="12"/>
  <c r="AU62" i="13"/>
  <c r="H72" i="13" s="1"/>
  <c r="AU59" i="13"/>
  <c r="AY62" i="13"/>
  <c r="ED60" i="12"/>
  <c r="G107" i="12" s="1"/>
  <c r="H107" i="12" s="1"/>
  <c r="F107" i="12"/>
  <c r="EF60" i="12"/>
  <c r="G108" i="12" s="1"/>
  <c r="H108" i="12" s="1"/>
  <c r="F108" i="12"/>
  <c r="EE61" i="12"/>
  <c r="J107" i="12"/>
  <c r="K107" i="12" s="1"/>
  <c r="L107" i="12" s="1"/>
  <c r="BU61" i="12"/>
  <c r="J70" i="12"/>
  <c r="K70" i="12" s="1"/>
  <c r="L70" i="12" s="1"/>
  <c r="EZ60" i="12"/>
  <c r="G118" i="12" s="1"/>
  <c r="H118" i="12" s="1"/>
  <c r="EX60" i="12"/>
  <c r="G117" i="12" s="1"/>
  <c r="H117" i="12" s="1"/>
  <c r="ER60" i="12"/>
  <c r="G114" i="12" s="1"/>
  <c r="H114" i="12" s="1"/>
  <c r="EL60" i="12"/>
  <c r="ET60" i="12"/>
  <c r="G115" i="12" s="1"/>
  <c r="H115" i="12" s="1"/>
  <c r="BT60" i="12"/>
  <c r="EG59" i="12"/>
  <c r="EG62" i="12"/>
  <c r="I108" i="12" s="1"/>
  <c r="EG60" i="12"/>
  <c r="EM59" i="12"/>
  <c r="EM62" i="12"/>
  <c r="I111" i="12" s="1"/>
  <c r="EM60" i="12"/>
  <c r="J111" i="12" s="1"/>
  <c r="EI62" i="12"/>
  <c r="EI59" i="12"/>
  <c r="EI60" i="12"/>
  <c r="F62" i="5"/>
  <c r="F64" i="5" s="1"/>
  <c r="E62" i="5"/>
  <c r="E64" i="5" s="1"/>
  <c r="J69" i="12"/>
  <c r="K69" i="12" s="1"/>
  <c r="L69" i="12" s="1"/>
  <c r="J72" i="12"/>
  <c r="K72" i="12" s="1"/>
  <c r="L72" i="12" s="1"/>
  <c r="J81" i="12"/>
  <c r="K81" i="12" s="1"/>
  <c r="L81" i="12" s="1"/>
  <c r="J82" i="12"/>
  <c r="K82" i="12" s="1"/>
  <c r="L82" i="12" s="1"/>
  <c r="J89" i="12"/>
  <c r="K89" i="12" s="1"/>
  <c r="L89" i="12" s="1"/>
  <c r="J90" i="12"/>
  <c r="K90" i="12" s="1"/>
  <c r="L90" i="12" s="1"/>
  <c r="J91" i="12"/>
  <c r="K91" i="12" s="1"/>
  <c r="L91" i="12" s="1"/>
  <c r="J92" i="12"/>
  <c r="K92" i="12" s="1"/>
  <c r="L92" i="12" s="1"/>
  <c r="J93" i="12"/>
  <c r="K93" i="12" s="1"/>
  <c r="L93" i="12" s="1"/>
  <c r="J94" i="12"/>
  <c r="K94" i="12" s="1"/>
  <c r="L94" i="12" s="1"/>
  <c r="J98" i="12"/>
  <c r="K98" i="12" s="1"/>
  <c r="L98" i="12" s="1"/>
  <c r="J99" i="12"/>
  <c r="K99" i="12" s="1"/>
  <c r="L99" i="12" s="1"/>
  <c r="J100" i="12"/>
  <c r="K100" i="12" s="1"/>
  <c r="L100" i="12" s="1"/>
  <c r="J102" i="12"/>
  <c r="K102" i="12" s="1"/>
  <c r="L102" i="12" s="1"/>
  <c r="J110" i="12"/>
  <c r="I110" i="12"/>
  <c r="FM47" i="12"/>
  <c r="FK47" i="12"/>
  <c r="FG47" i="12"/>
  <c r="FE47" i="12"/>
  <c r="FE17" i="12"/>
  <c r="EW47" i="12"/>
  <c r="EW17" i="12"/>
  <c r="EC47" i="12"/>
  <c r="CE47" i="12"/>
  <c r="H70" i="13"/>
  <c r="I70" i="13"/>
  <c r="H71" i="13"/>
  <c r="I71" i="13"/>
  <c r="D75" i="13"/>
  <c r="D72" i="13"/>
  <c r="D71" i="13"/>
  <c r="D70" i="13"/>
  <c r="D65" i="13"/>
  <c r="AK47" i="13"/>
  <c r="AI11" i="13"/>
  <c r="G102" i="12"/>
  <c r="H102" i="12" s="1"/>
  <c r="G110" i="12"/>
  <c r="H110" i="12" s="1"/>
  <c r="F102" i="12"/>
  <c r="F110" i="12"/>
  <c r="AS59" i="13"/>
  <c r="AR59" i="13"/>
  <c r="E71" i="13" s="1"/>
  <c r="F71" i="13" s="1"/>
  <c r="G71" i="13" s="1"/>
  <c r="AQ59" i="13"/>
  <c r="AP59" i="13"/>
  <c r="E70" i="13" s="1"/>
  <c r="F70" i="13" s="1"/>
  <c r="G70" i="13" s="1"/>
  <c r="AC49" i="13"/>
  <c r="AB49" i="13"/>
  <c r="Z49" i="13"/>
  <c r="Y49" i="13"/>
  <c r="W49" i="13"/>
  <c r="V49" i="13"/>
  <c r="T49" i="13"/>
  <c r="S49" i="13"/>
  <c r="Q49" i="13"/>
  <c r="P49" i="13"/>
  <c r="N49" i="13"/>
  <c r="M49" i="13"/>
  <c r="K49" i="13"/>
  <c r="G49" i="13"/>
  <c r="E49" i="13"/>
  <c r="D49" i="13"/>
  <c r="BO47" i="13"/>
  <c r="BP47" i="13"/>
  <c r="CJ46" i="13"/>
  <c r="BO46" i="13"/>
  <c r="BP46" i="13"/>
  <c r="CJ45" i="13"/>
  <c r="BP45" i="13"/>
  <c r="CJ44" i="13"/>
  <c r="BO44" i="13"/>
  <c r="BP44" i="13"/>
  <c r="CJ43" i="13"/>
  <c r="BO43" i="13"/>
  <c r="BP43" i="13"/>
  <c r="CJ39" i="13"/>
  <c r="BO39" i="13"/>
  <c r="BP39" i="13"/>
  <c r="CJ38" i="13"/>
  <c r="BO38" i="13"/>
  <c r="CD38" i="13"/>
  <c r="BQ38" i="13"/>
  <c r="CJ37" i="13"/>
  <c r="BO37" i="13"/>
  <c r="CD37" i="13"/>
  <c r="BQ37" i="13"/>
  <c r="CJ36" i="13"/>
  <c r="BO36" i="13"/>
  <c r="CD36" i="13"/>
  <c r="BQ36" i="13"/>
  <c r="CJ35" i="13"/>
  <c r="BO35" i="13"/>
  <c r="CD35" i="13"/>
  <c r="BP34" i="13"/>
  <c r="BQ34" i="13"/>
  <c r="CJ33" i="13"/>
  <c r="BJ33" i="13"/>
  <c r="BO33" i="13"/>
  <c r="CD33" i="13"/>
  <c r="BP33" i="13"/>
  <c r="BO32" i="13"/>
  <c r="BP32" i="13"/>
  <c r="CJ31" i="13"/>
  <c r="CO31" i="13"/>
  <c r="BO31" i="13"/>
  <c r="CD31" i="13"/>
  <c r="BP31" i="13"/>
  <c r="BQ31" i="13"/>
  <c r="CJ15" i="13"/>
  <c r="CO15" i="13"/>
  <c r="BO15" i="13"/>
  <c r="CD15" i="13"/>
  <c r="BP15" i="13"/>
  <c r="CJ14" i="13"/>
  <c r="CO14" i="13"/>
  <c r="BO14" i="13"/>
  <c r="BP14" i="13"/>
  <c r="BQ14" i="13"/>
  <c r="CJ13" i="13"/>
  <c r="CO13" i="13"/>
  <c r="BJ13" i="13"/>
  <c r="BO13" i="13"/>
  <c r="CD13" i="13"/>
  <c r="BP13" i="13"/>
  <c r="BQ13" i="13"/>
  <c r="CJ12" i="13"/>
  <c r="CO12" i="13"/>
  <c r="BO12" i="13"/>
  <c r="CD12" i="13"/>
  <c r="BP12" i="13"/>
  <c r="CO9" i="13"/>
  <c r="CN9" i="13"/>
  <c r="CL9" i="13"/>
  <c r="CK9" i="13"/>
  <c r="CJ9" i="13"/>
  <c r="CF9" i="13"/>
  <c r="CE9" i="13"/>
  <c r="CD9" i="13"/>
  <c r="BQ9" i="13"/>
  <c r="BP9" i="13"/>
  <c r="BO9" i="13"/>
  <c r="BJ9" i="13"/>
  <c r="BI9" i="13"/>
  <c r="BH9" i="13"/>
  <c r="BG9" i="13"/>
  <c r="BF9" i="13"/>
  <c r="C9" i="13"/>
  <c r="D76" i="13"/>
  <c r="D74" i="13"/>
  <c r="D73" i="13"/>
  <c r="D68" i="13"/>
  <c r="D67" i="13"/>
  <c r="D66" i="13"/>
  <c r="AC47" i="12"/>
  <c r="AB47" i="12"/>
  <c r="AC46" i="12"/>
  <c r="AB46" i="12"/>
  <c r="EV45" i="12"/>
  <c r="AB45" i="12"/>
  <c r="AC41" i="12"/>
  <c r="AB41" i="12"/>
  <c r="AC40" i="12"/>
  <c r="EV40" i="12"/>
  <c r="AB40" i="12"/>
  <c r="AC39" i="12"/>
  <c r="AB39" i="12"/>
  <c r="AC38" i="12"/>
  <c r="EV38" i="12"/>
  <c r="AB38" i="12"/>
  <c r="AC37" i="12"/>
  <c r="EV37" i="12"/>
  <c r="AB37" i="12"/>
  <c r="AC36" i="12"/>
  <c r="EV36" i="12"/>
  <c r="AB36" i="12"/>
  <c r="EV19" i="12"/>
  <c r="EV18" i="12"/>
  <c r="EV14" i="12"/>
  <c r="EV13" i="12"/>
  <c r="EV12" i="12"/>
  <c r="AC11" i="12"/>
  <c r="EV11" i="12"/>
  <c r="AB11" i="12"/>
  <c r="Z47" i="12"/>
  <c r="Z47" i="13" s="1"/>
  <c r="Y47" i="12"/>
  <c r="Z46" i="12"/>
  <c r="Y46" i="12"/>
  <c r="Z45" i="12"/>
  <c r="Z41" i="12"/>
  <c r="Z44" i="13" s="1"/>
  <c r="CO44" i="13" s="1"/>
  <c r="Y41" i="12"/>
  <c r="Z40" i="12"/>
  <c r="Z43" i="13" s="1"/>
  <c r="CO43" i="13" s="1"/>
  <c r="Y40" i="12"/>
  <c r="Z39" i="12"/>
  <c r="Z39" i="13" s="1"/>
  <c r="CO39" i="13" s="1"/>
  <c r="Y39" i="12"/>
  <c r="Z38" i="12"/>
  <c r="Y38" i="12"/>
  <c r="Z37" i="12"/>
  <c r="Z37" i="13" s="1"/>
  <c r="Y37" i="12"/>
  <c r="Z36" i="12"/>
  <c r="Z36" i="13" s="1"/>
  <c r="Y36" i="12"/>
  <c r="FL35" i="12"/>
  <c r="FL19" i="12"/>
  <c r="FL18" i="12"/>
  <c r="FL17" i="12"/>
  <c r="FL14" i="12"/>
  <c r="FL13" i="12"/>
  <c r="FL12" i="12"/>
  <c r="Z11" i="12"/>
  <c r="Z11" i="13" s="1"/>
  <c r="Y11" i="12"/>
  <c r="W47" i="12"/>
  <c r="W47" i="13" s="1"/>
  <c r="V47" i="12"/>
  <c r="W46" i="12"/>
  <c r="W46" i="13" s="1"/>
  <c r="BJ46" i="13" s="1"/>
  <c r="V46" i="12"/>
  <c r="W45" i="12"/>
  <c r="W45" i="13" s="1"/>
  <c r="BJ45" i="13" s="1"/>
  <c r="V45" i="12"/>
  <c r="W41" i="12"/>
  <c r="W44" i="13" s="1"/>
  <c r="BJ44" i="13" s="1"/>
  <c r="V41" i="12"/>
  <c r="W40" i="12"/>
  <c r="W43" i="13" s="1"/>
  <c r="BJ43" i="13" s="1"/>
  <c r="V40" i="12"/>
  <c r="W39" i="12"/>
  <c r="W39" i="13" s="1"/>
  <c r="BJ39" i="13" s="1"/>
  <c r="V39" i="12"/>
  <c r="W38" i="12"/>
  <c r="W38" i="13" s="1"/>
  <c r="V38" i="12"/>
  <c r="W37" i="12"/>
  <c r="W37" i="13" s="1"/>
  <c r="V37" i="12"/>
  <c r="W36" i="12"/>
  <c r="W36" i="13" s="1"/>
  <c r="V36" i="12"/>
  <c r="W35" i="12"/>
  <c r="W35" i="13" s="1"/>
  <c r="BJ35" i="13" s="1"/>
  <c r="AH35" i="12"/>
  <c r="V35" i="12"/>
  <c r="AH16" i="12"/>
  <c r="AH12" i="12"/>
  <c r="W11" i="12"/>
  <c r="W11" i="13" s="1"/>
  <c r="V11" i="12"/>
  <c r="T47" i="12"/>
  <c r="U47" i="12" s="1"/>
  <c r="T46" i="12"/>
  <c r="T45" i="12"/>
  <c r="T41" i="12"/>
  <c r="T40" i="12"/>
  <c r="T39" i="12"/>
  <c r="T38" i="12"/>
  <c r="T37" i="12"/>
  <c r="T36" i="12"/>
  <c r="T35" i="12"/>
  <c r="T35" i="13" s="1"/>
  <c r="T11" i="12"/>
  <c r="S11" i="12"/>
  <c r="AL12" i="12"/>
  <c r="AL13" i="12"/>
  <c r="AL14" i="12"/>
  <c r="AL35" i="12"/>
  <c r="AL38" i="12"/>
  <c r="AL47" i="12"/>
  <c r="AL11" i="12"/>
  <c r="BA59" i="12"/>
  <c r="AZ59" i="12"/>
  <c r="AU59" i="12"/>
  <c r="AT59" i="12"/>
  <c r="AS59" i="12"/>
  <c r="AR59" i="12"/>
  <c r="AQ59" i="12"/>
  <c r="AP59" i="12"/>
  <c r="AO59" i="12"/>
  <c r="AN59" i="12"/>
  <c r="AC49" i="12"/>
  <c r="EZ49" i="12" s="1"/>
  <c r="FA49" i="12" s="1"/>
  <c r="AB49" i="12"/>
  <c r="EX49" i="12" s="1"/>
  <c r="EY49" i="12" s="1"/>
  <c r="Z49" i="12"/>
  <c r="Y49" i="12"/>
  <c r="BL49" i="12" s="1"/>
  <c r="W49" i="12"/>
  <c r="V49" i="12"/>
  <c r="BJ49" i="12" s="1"/>
  <c r="T49" i="12"/>
  <c r="ET49" i="12" s="1"/>
  <c r="EU49" i="12" s="1"/>
  <c r="S49" i="12"/>
  <c r="ER49" i="12" s="1"/>
  <c r="ES49" i="12" s="1"/>
  <c r="Q49" i="12"/>
  <c r="CR49" i="12" s="1"/>
  <c r="CS49" i="12" s="1"/>
  <c r="P49" i="12"/>
  <c r="CP49" i="12" s="1"/>
  <c r="CQ49" i="12" s="1"/>
  <c r="N49" i="12"/>
  <c r="DX49" i="12" s="1"/>
  <c r="M49" i="12"/>
  <c r="DR49" i="12" s="1"/>
  <c r="DS49" i="12" s="1"/>
  <c r="K49" i="12"/>
  <c r="G49" i="12"/>
  <c r="EB49" i="12" s="1"/>
  <c r="E49" i="12"/>
  <c r="BT49" i="12" s="1"/>
  <c r="BU49" i="12" s="1"/>
  <c r="D49" i="12"/>
  <c r="FL9" i="12"/>
  <c r="FJ9" i="12"/>
  <c r="FF9" i="12"/>
  <c r="E105" i="12"/>
  <c r="DX9" i="12"/>
  <c r="E74" i="12"/>
  <c r="E73" i="12"/>
  <c r="C9" i="12"/>
  <c r="BF8" i="12"/>
  <c r="BD8" i="12"/>
  <c r="BB8" i="12"/>
  <c r="AX8" i="12"/>
  <c r="AV8" i="12"/>
  <c r="AL8" i="12"/>
  <c r="AJ8" i="12"/>
  <c r="AH8" i="12"/>
  <c r="F50" i="11"/>
  <c r="E50" i="11"/>
  <c r="D50" i="11"/>
  <c r="F49" i="11"/>
  <c r="E49" i="11"/>
  <c r="D49" i="11"/>
  <c r="F48" i="11"/>
  <c r="E48" i="11"/>
  <c r="D48" i="11"/>
  <c r="F43" i="11"/>
  <c r="E43" i="11"/>
  <c r="D43" i="11"/>
  <c r="F40" i="11"/>
  <c r="E40" i="11"/>
  <c r="D40" i="11"/>
  <c r="F39" i="11"/>
  <c r="E39" i="11"/>
  <c r="D39" i="11"/>
  <c r="G37" i="11"/>
  <c r="H37" i="11" s="1"/>
  <c r="G36" i="11"/>
  <c r="H36" i="11" s="1"/>
  <c r="G35" i="11"/>
  <c r="H35" i="11" s="1"/>
  <c r="G34" i="11"/>
  <c r="H34" i="11" s="1"/>
  <c r="G33" i="11"/>
  <c r="H33" i="11" s="1"/>
  <c r="G32" i="11"/>
  <c r="H32" i="11" s="1"/>
  <c r="G31" i="11"/>
  <c r="H31" i="11" s="1"/>
  <c r="G30" i="11"/>
  <c r="H30" i="11" s="1"/>
  <c r="G29" i="11"/>
  <c r="H29" i="11" s="1"/>
  <c r="G28" i="11"/>
  <c r="H28" i="11" s="1"/>
  <c r="G27" i="11"/>
  <c r="H27" i="11" s="1"/>
  <c r="G26" i="11"/>
  <c r="H26" i="11" s="1"/>
  <c r="G25" i="11"/>
  <c r="H25" i="11" s="1"/>
  <c r="G24" i="11"/>
  <c r="H24" i="11" s="1"/>
  <c r="G23" i="11"/>
  <c r="H23" i="11" s="1"/>
  <c r="G22" i="11"/>
  <c r="H22" i="11" s="1"/>
  <c r="G21" i="11"/>
  <c r="H21" i="11" s="1"/>
  <c r="G20" i="11"/>
  <c r="G50" i="11" s="1"/>
  <c r="D14" i="11"/>
  <c r="D13" i="11"/>
  <c r="G12" i="11"/>
  <c r="G39" i="11" s="1"/>
  <c r="Z45" i="13" l="1"/>
  <c r="CO45" i="13" s="1"/>
  <c r="AA45" i="12"/>
  <c r="EG61" i="12"/>
  <c r="AT49" i="13"/>
  <c r="K110" i="12"/>
  <c r="L110" i="12" s="1"/>
  <c r="EZ11" i="12"/>
  <c r="FA11" i="12" s="1"/>
  <c r="AC11" i="13"/>
  <c r="EX38" i="12"/>
  <c r="EY38" i="12" s="1"/>
  <c r="AB38" i="13"/>
  <c r="EX41" i="12"/>
  <c r="EY41" i="12" s="1"/>
  <c r="AB44" i="13"/>
  <c r="EZ47" i="12"/>
  <c r="FA47" i="12" s="1"/>
  <c r="AC47" i="13"/>
  <c r="EX37" i="12"/>
  <c r="EY37" i="12" s="1"/>
  <c r="AB37" i="13"/>
  <c r="EX40" i="12"/>
  <c r="EY40" i="12" s="1"/>
  <c r="EZ41" i="12"/>
  <c r="FA41" i="12" s="1"/>
  <c r="AC44" i="13"/>
  <c r="CN44" i="13" s="1"/>
  <c r="EX46" i="12"/>
  <c r="EY46" i="12" s="1"/>
  <c r="AB46" i="13"/>
  <c r="EZ36" i="12"/>
  <c r="FA36" i="12" s="1"/>
  <c r="AC36" i="13"/>
  <c r="CN36" i="13" s="1"/>
  <c r="EZ39" i="12"/>
  <c r="FA39" i="12" s="1"/>
  <c r="AC39" i="13"/>
  <c r="CN39" i="13" s="1"/>
  <c r="EZ45" i="12"/>
  <c r="FA45" i="12" s="1"/>
  <c r="AC45" i="13"/>
  <c r="CN45" i="13" s="1"/>
  <c r="EX11" i="12"/>
  <c r="EY11" i="12" s="1"/>
  <c r="AB11" i="13"/>
  <c r="EX36" i="12"/>
  <c r="EY36" i="12" s="1"/>
  <c r="AB36" i="13"/>
  <c r="EZ38" i="12"/>
  <c r="FA38" i="12" s="1"/>
  <c r="AC38" i="13"/>
  <c r="EX45" i="12"/>
  <c r="EY45" i="12" s="1"/>
  <c r="AB45" i="13"/>
  <c r="EZ46" i="12"/>
  <c r="FA46" i="12" s="1"/>
  <c r="AC46" i="13"/>
  <c r="CN46" i="13" s="1"/>
  <c r="EZ37" i="12"/>
  <c r="FA37" i="12" s="1"/>
  <c r="AC37" i="13"/>
  <c r="CN37" i="13" s="1"/>
  <c r="EX39" i="12"/>
  <c r="EY39" i="12" s="1"/>
  <c r="AB39" i="13"/>
  <c r="EZ40" i="12"/>
  <c r="FA40" i="12" s="1"/>
  <c r="AC43" i="13"/>
  <c r="CN43" i="13" s="1"/>
  <c r="EX47" i="12"/>
  <c r="EY47" i="12" s="1"/>
  <c r="AB47" i="13"/>
  <c r="BL40" i="12"/>
  <c r="BM40" i="12" s="1"/>
  <c r="Y43" i="13"/>
  <c r="AA43" i="13" s="1"/>
  <c r="BL45" i="12"/>
  <c r="BM45" i="12" s="1"/>
  <c r="Y45" i="13"/>
  <c r="AA45" i="13" s="1"/>
  <c r="BL47" i="12"/>
  <c r="BM47" i="12" s="1"/>
  <c r="Y47" i="13"/>
  <c r="AA47" i="13" s="1"/>
  <c r="BL37" i="12"/>
  <c r="BM37" i="12" s="1"/>
  <c r="Y37" i="13"/>
  <c r="AA37" i="13" s="1"/>
  <c r="BL39" i="12"/>
  <c r="BM39" i="12" s="1"/>
  <c r="Y39" i="13"/>
  <c r="AA39" i="13" s="1"/>
  <c r="BL41" i="12"/>
  <c r="Y44" i="13"/>
  <c r="AA44" i="13" s="1"/>
  <c r="BL46" i="12"/>
  <c r="BM46" i="12" s="1"/>
  <c r="Y46" i="13"/>
  <c r="BL11" i="12"/>
  <c r="BM11" i="12" s="1"/>
  <c r="Y11" i="13"/>
  <c r="AA11" i="13" s="1"/>
  <c r="BN46" i="12"/>
  <c r="BO46" i="12" s="1"/>
  <c r="Z46" i="13"/>
  <c r="CO46" i="13" s="1"/>
  <c r="BL36" i="12"/>
  <c r="BM36" i="12" s="1"/>
  <c r="Y36" i="13"/>
  <c r="AA36" i="13" s="1"/>
  <c r="BL38" i="12"/>
  <c r="BM38" i="12" s="1"/>
  <c r="Y38" i="13"/>
  <c r="BN38" i="12"/>
  <c r="BO38" i="12" s="1"/>
  <c r="Z38" i="13"/>
  <c r="CO38" i="13" s="1"/>
  <c r="BJ37" i="12"/>
  <c r="V37" i="13"/>
  <c r="BH37" i="13" s="1"/>
  <c r="BJ39" i="12"/>
  <c r="V39" i="13"/>
  <c r="BH39" i="13" s="1"/>
  <c r="BJ41" i="12"/>
  <c r="V44" i="13"/>
  <c r="BH44" i="13" s="1"/>
  <c r="BJ46" i="12"/>
  <c r="BK46" i="12" s="1"/>
  <c r="V46" i="13"/>
  <c r="BH46" i="13" s="1"/>
  <c r="BJ36" i="12"/>
  <c r="V36" i="13"/>
  <c r="BH36" i="13" s="1"/>
  <c r="BJ38" i="12"/>
  <c r="V38" i="13"/>
  <c r="BJ40" i="12"/>
  <c r="V43" i="13"/>
  <c r="BH43" i="13" s="1"/>
  <c r="BJ45" i="12"/>
  <c r="V45" i="13"/>
  <c r="X45" i="13" s="1"/>
  <c r="BJ47" i="12"/>
  <c r="V47" i="13"/>
  <c r="BH47" i="13" s="1"/>
  <c r="BG11" i="13"/>
  <c r="BJ11" i="12"/>
  <c r="BK11" i="12" s="1"/>
  <c r="V11" i="13"/>
  <c r="BH11" i="13" s="1"/>
  <c r="BJ35" i="12"/>
  <c r="BK35" i="12" s="1"/>
  <c r="V35" i="13"/>
  <c r="AF45" i="13"/>
  <c r="AG45" i="13" s="1"/>
  <c r="ET36" i="12"/>
  <c r="EU36" i="12" s="1"/>
  <c r="T36" i="13"/>
  <c r="ET40" i="12"/>
  <c r="EU40" i="12" s="1"/>
  <c r="T43" i="13"/>
  <c r="CE43" i="13" s="1"/>
  <c r="ET47" i="12"/>
  <c r="EU47" i="12" s="1"/>
  <c r="T47" i="13"/>
  <c r="ER11" i="12"/>
  <c r="ER59" i="12" s="1"/>
  <c r="F114" i="12" s="1"/>
  <c r="S11" i="13"/>
  <c r="S52" i="13" s="1"/>
  <c r="ET37" i="12"/>
  <c r="EU37" i="12" s="1"/>
  <c r="T37" i="13"/>
  <c r="CE37" i="13" s="1"/>
  <c r="ET41" i="12"/>
  <c r="EU41" i="12" s="1"/>
  <c r="T44" i="13"/>
  <c r="CE44" i="13" s="1"/>
  <c r="ET38" i="12"/>
  <c r="EU38" i="12" s="1"/>
  <c r="T38" i="13"/>
  <c r="ET11" i="12"/>
  <c r="EU11" i="12" s="1"/>
  <c r="T11" i="13"/>
  <c r="ET45" i="12"/>
  <c r="EU45" i="12" s="1"/>
  <c r="T45" i="13"/>
  <c r="CE45" i="13" s="1"/>
  <c r="U35" i="13"/>
  <c r="AZ35" i="13"/>
  <c r="BA35" i="13" s="1"/>
  <c r="ET39" i="12"/>
  <c r="EU39" i="12" s="1"/>
  <c r="T39" i="13"/>
  <c r="CE39" i="13" s="1"/>
  <c r="ET46" i="12"/>
  <c r="EU46" i="12" s="1"/>
  <c r="T46" i="13"/>
  <c r="CE46" i="13" s="1"/>
  <c r="K111" i="12"/>
  <c r="L111" i="12" s="1"/>
  <c r="G70" i="12"/>
  <c r="H70" i="12" s="1"/>
  <c r="J71" i="13"/>
  <c r="K71" i="13" s="1"/>
  <c r="CE32" i="13"/>
  <c r="DX60" i="12"/>
  <c r="E103" i="12"/>
  <c r="EM61" i="12"/>
  <c r="EW11" i="12"/>
  <c r="EI61" i="12"/>
  <c r="U35" i="12"/>
  <c r="ET35" i="12"/>
  <c r="EU35" i="12" s="1"/>
  <c r="EL49" i="12"/>
  <c r="DY47" i="12"/>
  <c r="DY11" i="12"/>
  <c r="DY23" i="12"/>
  <c r="DY22" i="12"/>
  <c r="DY21" i="12"/>
  <c r="DY20" i="12"/>
  <c r="DY35" i="12"/>
  <c r="DY34" i="12"/>
  <c r="DY33" i="12"/>
  <c r="DY32" i="12"/>
  <c r="DY31" i="12"/>
  <c r="DY30" i="12"/>
  <c r="DY29" i="12"/>
  <c r="DY28" i="12"/>
  <c r="DY27" i="12"/>
  <c r="DY26" i="12"/>
  <c r="DY25" i="12"/>
  <c r="DY24" i="12"/>
  <c r="FL36" i="12"/>
  <c r="BN36" i="12"/>
  <c r="BO36" i="12" s="1"/>
  <c r="FL40" i="12"/>
  <c r="FM40" i="12" s="1"/>
  <c r="BN40" i="12"/>
  <c r="BO40" i="12" s="1"/>
  <c r="FL45" i="12"/>
  <c r="FM45" i="12" s="1"/>
  <c r="BN45" i="12"/>
  <c r="BO45" i="12" s="1"/>
  <c r="FL11" i="12"/>
  <c r="FM11" i="12" s="1"/>
  <c r="BN11" i="12"/>
  <c r="BO11" i="12" s="1"/>
  <c r="FL37" i="12"/>
  <c r="FM37" i="12" s="1"/>
  <c r="BN37" i="12"/>
  <c r="BO37" i="12" s="1"/>
  <c r="FL39" i="12"/>
  <c r="FM39" i="12" s="1"/>
  <c r="BN39" i="12"/>
  <c r="BO39" i="12" s="1"/>
  <c r="FL41" i="12"/>
  <c r="FM41" i="12" s="1"/>
  <c r="BN41" i="12"/>
  <c r="BO41" i="12" s="1"/>
  <c r="AD46" i="12"/>
  <c r="AD36" i="12"/>
  <c r="AD45" i="12"/>
  <c r="AA11" i="12"/>
  <c r="AD39" i="12"/>
  <c r="AD47" i="12"/>
  <c r="AD11" i="12"/>
  <c r="X11" i="12"/>
  <c r="X47" i="12"/>
  <c r="AD37" i="12"/>
  <c r="X38" i="12"/>
  <c r="AD38" i="12"/>
  <c r="AD40" i="12"/>
  <c r="AD41" i="12"/>
  <c r="X39" i="12"/>
  <c r="X36" i="12"/>
  <c r="X41" i="12"/>
  <c r="AA36" i="12"/>
  <c r="AA38" i="12"/>
  <c r="AA40" i="12"/>
  <c r="AA47" i="12"/>
  <c r="AA37" i="12"/>
  <c r="AA39" i="12"/>
  <c r="AA41" i="12"/>
  <c r="AA46" i="12"/>
  <c r="X35" i="12"/>
  <c r="X40" i="12"/>
  <c r="X46" i="12"/>
  <c r="CA11" i="12"/>
  <c r="U11" i="12"/>
  <c r="X37" i="12"/>
  <c r="X45" i="12"/>
  <c r="CE13" i="12"/>
  <c r="BQ16" i="12"/>
  <c r="FM17" i="12"/>
  <c r="CA17" i="12"/>
  <c r="CA47" i="12"/>
  <c r="BC32" i="13"/>
  <c r="L11" i="13"/>
  <c r="CK39" i="13"/>
  <c r="CK43" i="13"/>
  <c r="BI47" i="13"/>
  <c r="CA14" i="12"/>
  <c r="CA36" i="12"/>
  <c r="CA45" i="12"/>
  <c r="AM31" i="13"/>
  <c r="FM19" i="12"/>
  <c r="EW38" i="12"/>
  <c r="FM35" i="12"/>
  <c r="EW19" i="12"/>
  <c r="EW45" i="12"/>
  <c r="CE46" i="12"/>
  <c r="CA18" i="12"/>
  <c r="DY12" i="12"/>
  <c r="DY16" i="12"/>
  <c r="DY37" i="12"/>
  <c r="BQ13" i="12"/>
  <c r="BQ46" i="12"/>
  <c r="DY40" i="12"/>
  <c r="FM12" i="12"/>
  <c r="CE45" i="12"/>
  <c r="CE19" i="12"/>
  <c r="DY36" i="12"/>
  <c r="DY14" i="12"/>
  <c r="DY18" i="12"/>
  <c r="DY39" i="12"/>
  <c r="BQ40" i="12"/>
  <c r="BQ47" i="12"/>
  <c r="CE39" i="12"/>
  <c r="CE16" i="12"/>
  <c r="CE41" i="12"/>
  <c r="CE18" i="12"/>
  <c r="BQ18" i="12"/>
  <c r="EW12" i="12"/>
  <c r="CA12" i="12"/>
  <c r="CA16" i="12"/>
  <c r="CA39" i="12"/>
  <c r="FM14" i="12"/>
  <c r="FM18" i="12"/>
  <c r="EW14" i="12"/>
  <c r="EW18" i="12"/>
  <c r="EW37" i="12"/>
  <c r="DY19" i="12"/>
  <c r="DY38" i="12"/>
  <c r="BQ15" i="12"/>
  <c r="BQ19" i="12"/>
  <c r="BQ38" i="12"/>
  <c r="BQ45" i="12"/>
  <c r="FM13" i="12"/>
  <c r="FM36" i="12"/>
  <c r="EW13" i="12"/>
  <c r="EW36" i="12"/>
  <c r="EW40" i="12"/>
  <c r="BQ12" i="12"/>
  <c r="AH19" i="12"/>
  <c r="AI19" i="12" s="1"/>
  <c r="FD13" i="12"/>
  <c r="FE13" i="12" s="1"/>
  <c r="EC16" i="12"/>
  <c r="FD36" i="12"/>
  <c r="FE36" i="12" s="1"/>
  <c r="FD40" i="12"/>
  <c r="FE40" i="12" s="1"/>
  <c r="AX46" i="12"/>
  <c r="AY46" i="12" s="1"/>
  <c r="BB47" i="12"/>
  <c r="BC47" i="12" s="1"/>
  <c r="FJ14" i="12"/>
  <c r="FK14" i="12" s="1"/>
  <c r="FJ18" i="12"/>
  <c r="FK18" i="12" s="1"/>
  <c r="FJ41" i="12"/>
  <c r="FK41" i="12" s="1"/>
  <c r="FF37" i="12"/>
  <c r="FG37" i="12" s="1"/>
  <c r="AH40" i="12"/>
  <c r="AI40" i="12" s="1"/>
  <c r="AX36" i="12"/>
  <c r="AY36" i="12" s="1"/>
  <c r="CE11" i="12"/>
  <c r="AV13" i="12"/>
  <c r="AW13" i="12" s="1"/>
  <c r="AL41" i="12"/>
  <c r="AM41" i="12" s="1"/>
  <c r="AV12" i="12"/>
  <c r="AW12" i="12" s="1"/>
  <c r="AV14" i="12"/>
  <c r="AW14" i="12" s="1"/>
  <c r="AV35" i="12"/>
  <c r="AW35" i="12" s="1"/>
  <c r="U46" i="12"/>
  <c r="BF37" i="12"/>
  <c r="BG37" i="12" s="1"/>
  <c r="FJ19" i="12"/>
  <c r="FK19" i="12" s="1"/>
  <c r="FJ13" i="12"/>
  <c r="FK13" i="12" s="1"/>
  <c r="CE12" i="12"/>
  <c r="FJ37" i="12"/>
  <c r="FK37" i="12" s="1"/>
  <c r="BB40" i="12"/>
  <c r="BC40" i="12" s="1"/>
  <c r="W57" i="12"/>
  <c r="FD11" i="12"/>
  <c r="BF40" i="12"/>
  <c r="BG40" i="12" s="1"/>
  <c r="BF47" i="12"/>
  <c r="BG47" i="12" s="1"/>
  <c r="AF16" i="12"/>
  <c r="AG16" i="12" s="1"/>
  <c r="BD18" i="12"/>
  <c r="BE18" i="12" s="1"/>
  <c r="BD17" i="12"/>
  <c r="BE17" i="12" s="1"/>
  <c r="AV16" i="12"/>
  <c r="AW16" i="12" s="1"/>
  <c r="AV18" i="12"/>
  <c r="AW18" i="12" s="1"/>
  <c r="AV41" i="12"/>
  <c r="AW41" i="12" s="1"/>
  <c r="AV46" i="12"/>
  <c r="AW46" i="12" s="1"/>
  <c r="T59" i="12"/>
  <c r="FD12" i="12"/>
  <c r="FE12" i="12" s="1"/>
  <c r="FD16" i="12"/>
  <c r="FE16" i="12" s="1"/>
  <c r="FD35" i="12"/>
  <c r="FE35" i="12" s="1"/>
  <c r="FD39" i="12"/>
  <c r="FE39" i="12" s="1"/>
  <c r="FD46" i="12"/>
  <c r="FE46" i="12" s="1"/>
  <c r="CE35" i="12"/>
  <c r="AL39" i="12"/>
  <c r="AM39" i="12" s="1"/>
  <c r="U37" i="12"/>
  <c r="EC12" i="12"/>
  <c r="BF14" i="12"/>
  <c r="BG14" i="12" s="1"/>
  <c r="AX16" i="12"/>
  <c r="AY16" i="12" s="1"/>
  <c r="BB17" i="12"/>
  <c r="BC17" i="12" s="1"/>
  <c r="BF18" i="12"/>
  <c r="BG18" i="12" s="1"/>
  <c r="AX35" i="12"/>
  <c r="AY35" i="12" s="1"/>
  <c r="BF41" i="12"/>
  <c r="BG41" i="12" s="1"/>
  <c r="EC46" i="12"/>
  <c r="FJ11" i="12"/>
  <c r="FK11" i="12" s="1"/>
  <c r="BB18" i="12"/>
  <c r="BC18" i="12" s="1"/>
  <c r="AX47" i="12"/>
  <c r="AY47" i="12" s="1"/>
  <c r="J70" i="13"/>
  <c r="K70" i="13" s="1"/>
  <c r="BD8" i="13"/>
  <c r="BI12" i="13"/>
  <c r="CN34" i="13"/>
  <c r="CN11" i="13"/>
  <c r="BG39" i="13"/>
  <c r="CN31" i="13"/>
  <c r="CF34" i="13"/>
  <c r="BJ36" i="13"/>
  <c r="CK37" i="13"/>
  <c r="BJ12" i="13"/>
  <c r="CL31" i="13"/>
  <c r="AM38" i="13"/>
  <c r="CN13" i="13"/>
  <c r="BJ15" i="13"/>
  <c r="BJ31" i="13"/>
  <c r="CE33" i="13"/>
  <c r="BF11" i="13"/>
  <c r="CK12" i="13"/>
  <c r="CL13" i="13"/>
  <c r="CK14" i="13"/>
  <c r="CE15" i="13"/>
  <c r="CE31" i="13"/>
  <c r="CN32" i="13"/>
  <c r="BQ32" i="13"/>
  <c r="CL33" i="13"/>
  <c r="CK33" i="13"/>
  <c r="CN33" i="13"/>
  <c r="AM37" i="13"/>
  <c r="CK44" i="13"/>
  <c r="CK46" i="13"/>
  <c r="CE13" i="13"/>
  <c r="CF32" i="13"/>
  <c r="BF35" i="13"/>
  <c r="F11" i="13"/>
  <c r="CF12" i="13"/>
  <c r="BH31" i="13"/>
  <c r="CL34" i="13"/>
  <c r="AM36" i="13"/>
  <c r="CL43" i="13"/>
  <c r="BF34" i="13"/>
  <c r="BI15" i="13"/>
  <c r="CL32" i="13"/>
  <c r="CK36" i="13"/>
  <c r="AM47" i="13"/>
  <c r="AM32" i="13"/>
  <c r="BJ11" i="13"/>
  <c r="CF13" i="13"/>
  <c r="AM14" i="13"/>
  <c r="BQ15" i="13"/>
  <c r="AM15" i="13"/>
  <c r="CJ34" i="13"/>
  <c r="BG36" i="13"/>
  <c r="CL37" i="13"/>
  <c r="BI31" i="13"/>
  <c r="BC31" i="13"/>
  <c r="CK31" i="13"/>
  <c r="BG33" i="13"/>
  <c r="CO33" i="13"/>
  <c r="CO34" i="13"/>
  <c r="BQ35" i="13"/>
  <c r="AM35" i="13"/>
  <c r="AM11" i="13"/>
  <c r="Q52" i="13"/>
  <c r="BG32" i="13"/>
  <c r="BO34" i="13"/>
  <c r="CF35" i="13"/>
  <c r="CL45" i="13"/>
  <c r="BO45" i="13"/>
  <c r="CD11" i="13"/>
  <c r="BQ12" i="13"/>
  <c r="AM12" i="13"/>
  <c r="BI13" i="13"/>
  <c r="BH13" i="13"/>
  <c r="BC13" i="13"/>
  <c r="CK13" i="13"/>
  <c r="CL14" i="13"/>
  <c r="CD14" i="13"/>
  <c r="BG14" i="13"/>
  <c r="BJ14" i="13"/>
  <c r="CF15" i="13"/>
  <c r="CF31" i="13"/>
  <c r="CK34" i="13"/>
  <c r="CL36" i="13"/>
  <c r="BJ37" i="13"/>
  <c r="AK11" i="13"/>
  <c r="BP11" i="13"/>
  <c r="CL12" i="13"/>
  <c r="BH12" i="13"/>
  <c r="BC12" i="13"/>
  <c r="CN12" i="13"/>
  <c r="BG13" i="13"/>
  <c r="AM13" i="13"/>
  <c r="CE14" i="13"/>
  <c r="CF14" i="13"/>
  <c r="CL15" i="13"/>
  <c r="BH15" i="13"/>
  <c r="BC15" i="13"/>
  <c r="CN15" i="13"/>
  <c r="BG31" i="13"/>
  <c r="BH33" i="13"/>
  <c r="AK34" i="13"/>
  <c r="BC35" i="13"/>
  <c r="CN35" i="13"/>
  <c r="CL39" i="13"/>
  <c r="BG12" i="13"/>
  <c r="BI14" i="13"/>
  <c r="BH14" i="13"/>
  <c r="BC14" i="13"/>
  <c r="CN14" i="13"/>
  <c r="BG15" i="13"/>
  <c r="CK15" i="13"/>
  <c r="BH32" i="13"/>
  <c r="BI32" i="13"/>
  <c r="AM33" i="13"/>
  <c r="BH34" i="13"/>
  <c r="CK35" i="13"/>
  <c r="CK45" i="13"/>
  <c r="CL44" i="13"/>
  <c r="CL46" i="13"/>
  <c r="BD11" i="12"/>
  <c r="BE11" i="12" s="1"/>
  <c r="CE37" i="12"/>
  <c r="AL37" i="12"/>
  <c r="AM37" i="12" s="1"/>
  <c r="AH41" i="12"/>
  <c r="AI41" i="12" s="1"/>
  <c r="BQ41" i="12"/>
  <c r="FJ17" i="12"/>
  <c r="FK17" i="12" s="1"/>
  <c r="BF17" i="12"/>
  <c r="BG17" i="12" s="1"/>
  <c r="AF12" i="12"/>
  <c r="AG12" i="12" s="1"/>
  <c r="CE14" i="12"/>
  <c r="AL18" i="12"/>
  <c r="AM18" i="12" s="1"/>
  <c r="CA35" i="12"/>
  <c r="BK12" i="12"/>
  <c r="BM12" i="12"/>
  <c r="BB13" i="12"/>
  <c r="BC13" i="12" s="1"/>
  <c r="BB36" i="12"/>
  <c r="BC36" i="12" s="1"/>
  <c r="EC39" i="12"/>
  <c r="AX39" i="12"/>
  <c r="AY39" i="12" s="1"/>
  <c r="AX12" i="12"/>
  <c r="AY12" i="12" s="1"/>
  <c r="EC35" i="12"/>
  <c r="AF40" i="12"/>
  <c r="AG40" i="12" s="1"/>
  <c r="FJ40" i="12"/>
  <c r="FK40" i="12" s="1"/>
  <c r="FF41" i="12"/>
  <c r="FG41" i="12" s="1"/>
  <c r="BD37" i="12"/>
  <c r="BE37" i="12" s="1"/>
  <c r="FF18" i="12"/>
  <c r="FG18" i="12" s="1"/>
  <c r="FF14" i="12"/>
  <c r="FG14" i="12" s="1"/>
  <c r="AL46" i="12"/>
  <c r="AM46" i="12" s="1"/>
  <c r="BD47" i="12"/>
  <c r="BE47" i="12" s="1"/>
  <c r="FF17" i="12"/>
  <c r="FG17" i="12" s="1"/>
  <c r="M50" i="12"/>
  <c r="AM47" i="12"/>
  <c r="FF46" i="12"/>
  <c r="FG46" i="12" s="1"/>
  <c r="AV17" i="12"/>
  <c r="AW17" i="12" s="1"/>
  <c r="AV40" i="12"/>
  <c r="AW40" i="12" s="1"/>
  <c r="AX13" i="12"/>
  <c r="AY13" i="12" s="1"/>
  <c r="EC36" i="12"/>
  <c r="FD37" i="12"/>
  <c r="FE37" i="12" s="1"/>
  <c r="FD41" i="12"/>
  <c r="FE41" i="12" s="1"/>
  <c r="BO17" i="12"/>
  <c r="FJ16" i="12"/>
  <c r="FK16" i="12" s="1"/>
  <c r="P50" i="12"/>
  <c r="AJ18" i="12"/>
  <c r="AK18" i="12" s="1"/>
  <c r="CA13" i="12"/>
  <c r="AJ40" i="12"/>
  <c r="AK40" i="12" s="1"/>
  <c r="U40" i="12"/>
  <c r="BQ14" i="12"/>
  <c r="AH14" i="12"/>
  <c r="AI14" i="12" s="1"/>
  <c r="AH37" i="12"/>
  <c r="AI37" i="12" s="1"/>
  <c r="BQ37" i="12"/>
  <c r="BB35" i="12"/>
  <c r="BC35" i="12" s="1"/>
  <c r="EV35" i="12"/>
  <c r="EW35" i="12" s="1"/>
  <c r="FJ36" i="12"/>
  <c r="FK36" i="12" s="1"/>
  <c r="BF36" i="12"/>
  <c r="BG36" i="12" s="1"/>
  <c r="EV39" i="12"/>
  <c r="EW39" i="12" s="1"/>
  <c r="BB39" i="12"/>
  <c r="BC39" i="12" s="1"/>
  <c r="EV46" i="12"/>
  <c r="EW46" i="12" s="1"/>
  <c r="BB46" i="12"/>
  <c r="BC46" i="12" s="1"/>
  <c r="FF36" i="12"/>
  <c r="FG36" i="12" s="1"/>
  <c r="BD36" i="12"/>
  <c r="BE36" i="12" s="1"/>
  <c r="AL40" i="12"/>
  <c r="AM40" i="12" s="1"/>
  <c r="CE40" i="12"/>
  <c r="AL36" i="12"/>
  <c r="AM36" i="12" s="1"/>
  <c r="CE36" i="12"/>
  <c r="CE17" i="12"/>
  <c r="AL17" i="12"/>
  <c r="AM17" i="12" s="1"/>
  <c r="U36" i="12"/>
  <c r="AJ36" i="12"/>
  <c r="AK36" i="12" s="1"/>
  <c r="CA38" i="12"/>
  <c r="U38" i="12"/>
  <c r="BB12" i="12"/>
  <c r="BC12" i="12" s="1"/>
  <c r="EV16" i="12"/>
  <c r="EW16" i="12" s="1"/>
  <c r="BF13" i="12"/>
  <c r="BG13" i="12" s="1"/>
  <c r="AF17" i="12"/>
  <c r="AG17" i="12" s="1"/>
  <c r="W59" i="12"/>
  <c r="AF11" i="12"/>
  <c r="AG11" i="12" s="1"/>
  <c r="D52" i="12"/>
  <c r="AF47" i="12"/>
  <c r="AG47" i="12" s="1"/>
  <c r="FF40" i="12"/>
  <c r="FG40" i="12" s="1"/>
  <c r="BD40" i="12"/>
  <c r="BE40" i="12" s="1"/>
  <c r="FF13" i="12"/>
  <c r="FG13" i="12" s="1"/>
  <c r="BD13" i="12"/>
  <c r="BE13" i="12" s="1"/>
  <c r="AF39" i="12"/>
  <c r="AG39" i="12" s="1"/>
  <c r="AF35" i="12"/>
  <c r="AG35" i="12" s="1"/>
  <c r="G50" i="12"/>
  <c r="K58" i="12"/>
  <c r="AF13" i="12"/>
  <c r="AG13" i="12" s="1"/>
  <c r="BO13" i="12"/>
  <c r="BB16" i="12"/>
  <c r="BC16" i="12" s="1"/>
  <c r="AJ17" i="12"/>
  <c r="AK17" i="12" s="1"/>
  <c r="AH18" i="12"/>
  <c r="AI18" i="12" s="1"/>
  <c r="AF36" i="12"/>
  <c r="AG36" i="12" s="1"/>
  <c r="CA40" i="12"/>
  <c r="AF14" i="12"/>
  <c r="AG14" i="12" s="1"/>
  <c r="BD35" i="12"/>
  <c r="BE35" i="12" s="1"/>
  <c r="FF11" i="12"/>
  <c r="FG11" i="12" s="1"/>
  <c r="AM35" i="12"/>
  <c r="AM12" i="12"/>
  <c r="BO19" i="12"/>
  <c r="BM17" i="12"/>
  <c r="E59" i="12"/>
  <c r="N50" i="12"/>
  <c r="N58" i="12"/>
  <c r="DX58" i="12" s="1"/>
  <c r="BQ36" i="12"/>
  <c r="AH36" i="12"/>
  <c r="AI36" i="12" s="1"/>
  <c r="Z58" i="12"/>
  <c r="AC50" i="12"/>
  <c r="AB59" i="12"/>
  <c r="BF16" i="12"/>
  <c r="BG16" i="12" s="1"/>
  <c r="FJ35" i="12"/>
  <c r="FK35" i="12" s="1"/>
  <c r="FJ39" i="12"/>
  <c r="FK39" i="12" s="1"/>
  <c r="FJ46" i="12"/>
  <c r="FK46" i="12" s="1"/>
  <c r="BB14" i="12"/>
  <c r="BC14" i="12" s="1"/>
  <c r="AX17" i="12"/>
  <c r="AY17" i="12" s="1"/>
  <c r="FD18" i="12"/>
  <c r="FE18" i="12" s="1"/>
  <c r="BF19" i="12"/>
  <c r="BG19" i="12" s="1"/>
  <c r="BB37" i="12"/>
  <c r="BC37" i="12" s="1"/>
  <c r="EC40" i="12"/>
  <c r="BB41" i="12"/>
  <c r="BC41" i="12" s="1"/>
  <c r="AH13" i="12"/>
  <c r="AI13" i="12" s="1"/>
  <c r="BD14" i="12"/>
  <c r="BE14" i="12" s="1"/>
  <c r="BQ17" i="12"/>
  <c r="EC17" i="12"/>
  <c r="AM38" i="12"/>
  <c r="BK40" i="12"/>
  <c r="BD41" i="12"/>
  <c r="BE41" i="12" s="1"/>
  <c r="DY41" i="12"/>
  <c r="AF46" i="12"/>
  <c r="AG46" i="12" s="1"/>
  <c r="DY46" i="12"/>
  <c r="E57" i="12"/>
  <c r="BT57" i="12" s="1"/>
  <c r="BU57" i="12" s="1"/>
  <c r="S50" i="12"/>
  <c r="U41" i="12"/>
  <c r="CA41" i="12"/>
  <c r="AJ46" i="12"/>
  <c r="AK46" i="12" s="1"/>
  <c r="BQ39" i="12"/>
  <c r="AH39" i="12"/>
  <c r="AI39" i="12" s="1"/>
  <c r="BK39" i="12"/>
  <c r="AM11" i="12"/>
  <c r="AJ13" i="12"/>
  <c r="AK13" i="12" s="1"/>
  <c r="AL16" i="12"/>
  <c r="AM16" i="12" s="1"/>
  <c r="FF16" i="12"/>
  <c r="FG16" i="12" s="1"/>
  <c r="AL19" i="12"/>
  <c r="AM19" i="12" s="1"/>
  <c r="BK36" i="12"/>
  <c r="AV37" i="12"/>
  <c r="AW37" i="12" s="1"/>
  <c r="AH46" i="12"/>
  <c r="AI46" i="12" s="1"/>
  <c r="AH47" i="12"/>
  <c r="AI47" i="12" s="1"/>
  <c r="M52" i="12"/>
  <c r="DR52" i="12" s="1"/>
  <c r="DS52" i="12" s="1"/>
  <c r="V59" i="12"/>
  <c r="BJ59" i="12" s="1"/>
  <c r="BD16" i="12"/>
  <c r="BE16" i="12" s="1"/>
  <c r="BO18" i="12"/>
  <c r="FF39" i="12"/>
  <c r="FG39" i="12" s="1"/>
  <c r="BD46" i="12"/>
  <c r="BE46" i="12" s="1"/>
  <c r="M58" i="13"/>
  <c r="M57" i="13"/>
  <c r="M52" i="13"/>
  <c r="M50" i="13"/>
  <c r="P58" i="13"/>
  <c r="P57" i="13"/>
  <c r="P52" i="13"/>
  <c r="P50" i="13"/>
  <c r="CL11" i="13"/>
  <c r="CE12" i="13"/>
  <c r="BF32" i="13"/>
  <c r="BJ32" i="13"/>
  <c r="CD32" i="13"/>
  <c r="AK33" i="13"/>
  <c r="BC33" i="13"/>
  <c r="CF33" i="13"/>
  <c r="BI34" i="13"/>
  <c r="BC34" i="13"/>
  <c r="CD34" i="13"/>
  <c r="CE35" i="13"/>
  <c r="BI37" i="13"/>
  <c r="BP37" i="13"/>
  <c r="AK37" i="13"/>
  <c r="BG43" i="13"/>
  <c r="CK11" i="13"/>
  <c r="BF14" i="13"/>
  <c r="BF31" i="13"/>
  <c r="AM44" i="13"/>
  <c r="BQ44" i="13"/>
  <c r="CP9" i="13"/>
  <c r="G58" i="13"/>
  <c r="G57" i="13"/>
  <c r="G50" i="13"/>
  <c r="G52" i="13"/>
  <c r="N58" i="13"/>
  <c r="N57" i="13"/>
  <c r="N52" i="13"/>
  <c r="N50" i="13"/>
  <c r="Q58" i="13"/>
  <c r="Q57" i="13"/>
  <c r="Q50" i="13"/>
  <c r="W57" i="13"/>
  <c r="W52" i="13"/>
  <c r="W58" i="13"/>
  <c r="W50" i="13"/>
  <c r="Z50" i="13"/>
  <c r="AK12" i="13"/>
  <c r="AK13" i="13"/>
  <c r="AK14" i="13"/>
  <c r="AK15" i="13"/>
  <c r="AK31" i="13"/>
  <c r="CO32" i="13"/>
  <c r="BI33" i="13"/>
  <c r="BQ33" i="13"/>
  <c r="BG34" i="13"/>
  <c r="BI35" i="13"/>
  <c r="BP35" i="13"/>
  <c r="AK35" i="13"/>
  <c r="BH35" i="13"/>
  <c r="CE36" i="13"/>
  <c r="BG37" i="13"/>
  <c r="CO37" i="13"/>
  <c r="BF37" i="13"/>
  <c r="CE38" i="13"/>
  <c r="BG38" i="13"/>
  <c r="BI45" i="13"/>
  <c r="CD45" i="13"/>
  <c r="E57" i="13"/>
  <c r="E52" i="13"/>
  <c r="E58" i="13"/>
  <c r="E50" i="13"/>
  <c r="BF12" i="13"/>
  <c r="BF13" i="13"/>
  <c r="BF15" i="13"/>
  <c r="CO36" i="13"/>
  <c r="BF36" i="13"/>
  <c r="D59" i="13"/>
  <c r="D57" i="13"/>
  <c r="D52" i="13"/>
  <c r="D58" i="13"/>
  <c r="D50" i="13"/>
  <c r="K57" i="13"/>
  <c r="K52" i="13"/>
  <c r="K58" i="13"/>
  <c r="K50" i="13"/>
  <c r="BI11" i="13"/>
  <c r="BQ11" i="13"/>
  <c r="CJ11" i="13"/>
  <c r="CO11" i="13"/>
  <c r="AK32" i="13"/>
  <c r="BF33" i="13"/>
  <c r="CE34" i="13"/>
  <c r="BJ34" i="13"/>
  <c r="CL35" i="13"/>
  <c r="BG35" i="13"/>
  <c r="CO35" i="13"/>
  <c r="BI36" i="13"/>
  <c r="BP36" i="13"/>
  <c r="AK36" i="13"/>
  <c r="BP38" i="13"/>
  <c r="AK38" i="13"/>
  <c r="BG45" i="13"/>
  <c r="CD39" i="13"/>
  <c r="AM45" i="13"/>
  <c r="BQ45" i="13"/>
  <c r="BI46" i="13"/>
  <c r="CD46" i="13"/>
  <c r="BG46" i="13"/>
  <c r="BI38" i="13"/>
  <c r="BH38" i="13"/>
  <c r="AM39" i="13"/>
  <c r="BQ39" i="13"/>
  <c r="BI43" i="13"/>
  <c r="CD43" i="13"/>
  <c r="AM46" i="13"/>
  <c r="BQ46" i="13"/>
  <c r="BG47" i="13"/>
  <c r="BJ47" i="13"/>
  <c r="BF47" i="13"/>
  <c r="BJ38" i="13"/>
  <c r="BF38" i="13"/>
  <c r="CK38" i="13"/>
  <c r="CL38" i="13"/>
  <c r="BQ43" i="13"/>
  <c r="BI44" i="13"/>
  <c r="CD44" i="13"/>
  <c r="BG44" i="13"/>
  <c r="AK39" i="13"/>
  <c r="AK43" i="13"/>
  <c r="AK44" i="13"/>
  <c r="AK45" i="13"/>
  <c r="AK46" i="13"/>
  <c r="BI39" i="13"/>
  <c r="BF39" i="13"/>
  <c r="BF43" i="13"/>
  <c r="BF44" i="13"/>
  <c r="BF45" i="13"/>
  <c r="BF46" i="13"/>
  <c r="AX40" i="12"/>
  <c r="AY40" i="12" s="1"/>
  <c r="EC13" i="12"/>
  <c r="FJ12" i="12"/>
  <c r="FK12" i="12" s="1"/>
  <c r="FD14" i="12"/>
  <c r="FE14" i="12" s="1"/>
  <c r="AB50" i="12"/>
  <c r="AB52" i="12"/>
  <c r="EX52" i="12" s="1"/>
  <c r="EY52" i="12" s="1"/>
  <c r="AB58" i="12"/>
  <c r="EX58" i="12" s="1"/>
  <c r="EY58" i="12" s="1"/>
  <c r="AX41" i="12"/>
  <c r="AY41" i="12" s="1"/>
  <c r="EC18" i="12"/>
  <c r="BF12" i="12"/>
  <c r="BG12" i="12" s="1"/>
  <c r="AX18" i="12"/>
  <c r="AY18" i="12" s="1"/>
  <c r="AX37" i="12"/>
  <c r="AY37" i="12" s="1"/>
  <c r="EC41" i="12"/>
  <c r="BF46" i="12"/>
  <c r="BG46" i="12" s="1"/>
  <c r="FL46" i="12"/>
  <c r="FM46" i="12" s="1"/>
  <c r="FL16" i="12"/>
  <c r="FM16" i="12" s="1"/>
  <c r="BF35" i="12"/>
  <c r="BG35" i="12" s="1"/>
  <c r="EC37" i="12"/>
  <c r="BF39" i="12"/>
  <c r="BG39" i="12" s="1"/>
  <c r="Z52" i="12"/>
  <c r="FD19" i="12"/>
  <c r="FE19" i="12" s="1"/>
  <c r="Y58" i="12"/>
  <c r="BL58" i="12" s="1"/>
  <c r="BD12" i="12"/>
  <c r="BE12" i="12" s="1"/>
  <c r="FF35" i="12"/>
  <c r="FG35" i="12" s="1"/>
  <c r="AF37" i="12"/>
  <c r="AG37" i="12" s="1"/>
  <c r="BD39" i="12"/>
  <c r="BE39" i="12" s="1"/>
  <c r="V50" i="12"/>
  <c r="FF12" i="12"/>
  <c r="FG12" i="12" s="1"/>
  <c r="BO14" i="12"/>
  <c r="AF41" i="12"/>
  <c r="AG41" i="12" s="1"/>
  <c r="W52" i="12"/>
  <c r="AH15" i="12"/>
  <c r="AI15" i="12" s="1"/>
  <c r="AF18" i="12"/>
  <c r="AG18" i="12" s="1"/>
  <c r="V58" i="12"/>
  <c r="BJ58" i="12" s="1"/>
  <c r="CA37" i="12"/>
  <c r="S58" i="12"/>
  <c r="ER58" i="12" s="1"/>
  <c r="ES58" i="12" s="1"/>
  <c r="AJ35" i="12"/>
  <c r="AK35" i="12" s="1"/>
  <c r="U39" i="12"/>
  <c r="S59" i="12"/>
  <c r="AJ41" i="12"/>
  <c r="AK41" i="12" s="1"/>
  <c r="AJ16" i="12"/>
  <c r="AK16" i="12" s="1"/>
  <c r="AJ37" i="12"/>
  <c r="AK37" i="12" s="1"/>
  <c r="CA46" i="12"/>
  <c r="AV39" i="12"/>
  <c r="AW39" i="12" s="1"/>
  <c r="Q58" i="12"/>
  <c r="CR58" i="12" s="1"/>
  <c r="CS58" i="12" s="1"/>
  <c r="P57" i="12"/>
  <c r="CP57" i="12" s="1"/>
  <c r="CQ57" i="12" s="1"/>
  <c r="AJ19" i="12"/>
  <c r="AK19" i="12" s="1"/>
  <c r="DY17" i="12"/>
  <c r="AV36" i="12"/>
  <c r="AW36" i="12" s="1"/>
  <c r="Q52" i="12"/>
  <c r="CR52" i="12" s="1"/>
  <c r="CS52" i="12" s="1"/>
  <c r="DY13" i="12"/>
  <c r="Q50" i="12"/>
  <c r="Q57" i="12"/>
  <c r="CR57" i="12" s="1"/>
  <c r="CS57" i="12" s="1"/>
  <c r="Q59" i="12"/>
  <c r="AJ12" i="12"/>
  <c r="AK12" i="12" s="1"/>
  <c r="P59" i="12"/>
  <c r="AJ39" i="12"/>
  <c r="AK39" i="12" s="1"/>
  <c r="FJ45" i="12"/>
  <c r="FK45" i="12" s="1"/>
  <c r="BF38" i="12"/>
  <c r="BG38" i="12" s="1"/>
  <c r="FD45" i="12"/>
  <c r="FE45" i="12" s="1"/>
  <c r="FD38" i="12"/>
  <c r="FE38" i="12" s="1"/>
  <c r="AX14" i="12"/>
  <c r="AY14" i="12" s="1"/>
  <c r="EC14" i="12"/>
  <c r="AC58" i="12"/>
  <c r="EZ58" i="12" s="1"/>
  <c r="FA58" i="12" s="1"/>
  <c r="AC52" i="12"/>
  <c r="EZ52" i="12" s="1"/>
  <c r="FA52" i="12" s="1"/>
  <c r="AC57" i="12"/>
  <c r="EZ57" i="12" s="1"/>
  <c r="FA57" i="12" s="1"/>
  <c r="AC59" i="12"/>
  <c r="FJ15" i="12"/>
  <c r="FK15" i="12" s="1"/>
  <c r="FJ38" i="12"/>
  <c r="FK38" i="12" s="1"/>
  <c r="EV15" i="12"/>
  <c r="EW15" i="12" s="1"/>
  <c r="EV41" i="12"/>
  <c r="EW41" i="12" s="1"/>
  <c r="BB38" i="12"/>
  <c r="BC38" i="12" s="1"/>
  <c r="BB19" i="12"/>
  <c r="BC19" i="12" s="1"/>
  <c r="AX19" i="12"/>
  <c r="AY19" i="12" s="1"/>
  <c r="AB57" i="12"/>
  <c r="EX57" i="12" s="1"/>
  <c r="EY57" i="12" s="1"/>
  <c r="EC45" i="12"/>
  <c r="EC38" i="12"/>
  <c r="EC19" i="12"/>
  <c r="FL38" i="12"/>
  <c r="FM38" i="12" s="1"/>
  <c r="BF15" i="12"/>
  <c r="BG15" i="12" s="1"/>
  <c r="BF45" i="12"/>
  <c r="BG45" i="12" s="1"/>
  <c r="Z50" i="12"/>
  <c r="Z51" i="12" s="1"/>
  <c r="Z57" i="12"/>
  <c r="Z59" i="12"/>
  <c r="FL15" i="12"/>
  <c r="FM15" i="12" s="1"/>
  <c r="BB45" i="12"/>
  <c r="BC45" i="12" s="1"/>
  <c r="BB15" i="12"/>
  <c r="BC15" i="12" s="1"/>
  <c r="FD15" i="12"/>
  <c r="FE15" i="12" s="1"/>
  <c r="AX38" i="12"/>
  <c r="AY38" i="12" s="1"/>
  <c r="AX45" i="12"/>
  <c r="AY45" i="12" s="1"/>
  <c r="Y50" i="12"/>
  <c r="Y52" i="12"/>
  <c r="BL52" i="12" s="1"/>
  <c r="AX15" i="12"/>
  <c r="AY15" i="12" s="1"/>
  <c r="Y59" i="12"/>
  <c r="BL59" i="12" s="1"/>
  <c r="EC15" i="12"/>
  <c r="Y57" i="12"/>
  <c r="BL57" i="12" s="1"/>
  <c r="W50" i="12"/>
  <c r="W51" i="12" s="1"/>
  <c r="W58" i="12"/>
  <c r="AH45" i="12"/>
  <c r="AI45" i="12" s="1"/>
  <c r="AH38" i="12"/>
  <c r="AI38" i="12" s="1"/>
  <c r="BM19" i="12"/>
  <c r="BM15" i="12"/>
  <c r="V52" i="12"/>
  <c r="BJ52" i="12" s="1"/>
  <c r="V57" i="12"/>
  <c r="BJ57" i="12" s="1"/>
  <c r="T50" i="12"/>
  <c r="T52" i="12"/>
  <c r="ET52" i="12" s="1"/>
  <c r="EU52" i="12" s="1"/>
  <c r="T58" i="12"/>
  <c r="ET58" i="12" s="1"/>
  <c r="EU58" i="12" s="1"/>
  <c r="U45" i="12"/>
  <c r="T57" i="12"/>
  <c r="ET57" i="12" s="1"/>
  <c r="EU57" i="12" s="1"/>
  <c r="AV45" i="12"/>
  <c r="AW45" i="12" s="1"/>
  <c r="AV38" i="12"/>
  <c r="AW38" i="12" s="1"/>
  <c r="AV19" i="12"/>
  <c r="AW19" i="12" s="1"/>
  <c r="CA15" i="12"/>
  <c r="S52" i="12"/>
  <c r="ER52" i="12" s="1"/>
  <c r="ES52" i="12" s="1"/>
  <c r="CA19" i="12"/>
  <c r="AJ45" i="12"/>
  <c r="AK45" i="12" s="1"/>
  <c r="S57" i="12"/>
  <c r="ER57" i="12" s="1"/>
  <c r="ES57" i="12" s="1"/>
  <c r="DY15" i="12"/>
  <c r="AV15" i="12"/>
  <c r="AW15" i="12" s="1"/>
  <c r="DY45" i="12"/>
  <c r="AJ38" i="12"/>
  <c r="AK38" i="12" s="1"/>
  <c r="P52" i="12"/>
  <c r="CP52" i="12" s="1"/>
  <c r="CQ52" i="12" s="1"/>
  <c r="P58" i="12"/>
  <c r="CP58" i="12" s="1"/>
  <c r="CQ58" i="12" s="1"/>
  <c r="AJ15" i="12"/>
  <c r="AJ14" i="12"/>
  <c r="AK14" i="12" s="1"/>
  <c r="N52" i="12"/>
  <c r="DX52" i="12" s="1"/>
  <c r="N57" i="12"/>
  <c r="DX57" i="12" s="1"/>
  <c r="N59" i="12"/>
  <c r="FF45" i="12"/>
  <c r="FG45" i="12" s="1"/>
  <c r="BD38" i="12"/>
  <c r="BE38" i="12" s="1"/>
  <c r="AL15" i="12"/>
  <c r="AM15" i="12" s="1"/>
  <c r="CE38" i="12"/>
  <c r="AL45" i="12"/>
  <c r="AM45" i="12" s="1"/>
  <c r="CE15" i="12"/>
  <c r="M57" i="12"/>
  <c r="DR57" i="12" s="1"/>
  <c r="DS57" i="12" s="1"/>
  <c r="M58" i="12"/>
  <c r="DR58" i="12" s="1"/>
  <c r="DS58" i="12" s="1"/>
  <c r="BK15" i="12"/>
  <c r="M59" i="12"/>
  <c r="AF45" i="12"/>
  <c r="AG45" i="12" s="1"/>
  <c r="FF38" i="12"/>
  <c r="FG38" i="12" s="1"/>
  <c r="K59" i="12"/>
  <c r="F111" i="12" s="1"/>
  <c r="K50" i="12"/>
  <c r="K57" i="12"/>
  <c r="EL57" i="12" s="1"/>
  <c r="BD45" i="12"/>
  <c r="BE45" i="12" s="1"/>
  <c r="FF19" i="12"/>
  <c r="FG19" i="12" s="1"/>
  <c r="K52" i="12"/>
  <c r="G58" i="12"/>
  <c r="EB58" i="12" s="1"/>
  <c r="G52" i="12"/>
  <c r="EB52" i="12" s="1"/>
  <c r="G57" i="12"/>
  <c r="EB57" i="12" s="1"/>
  <c r="G59" i="12"/>
  <c r="AF38" i="12"/>
  <c r="AG38" i="12" s="1"/>
  <c r="AF19" i="12"/>
  <c r="AG19" i="12" s="1"/>
  <c r="BD15" i="12"/>
  <c r="BE15" i="12" s="1"/>
  <c r="FF15" i="12"/>
  <c r="FG15" i="12" s="1"/>
  <c r="E52" i="12"/>
  <c r="BT52" i="12" s="1"/>
  <c r="BU52" i="12" s="1"/>
  <c r="E58" i="12"/>
  <c r="BT58" i="12" s="1"/>
  <c r="BU58" i="12" s="1"/>
  <c r="BD19" i="12"/>
  <c r="E50" i="12"/>
  <c r="D57" i="12"/>
  <c r="D58" i="12"/>
  <c r="D59" i="12"/>
  <c r="AF15" i="12"/>
  <c r="AG15" i="12" s="1"/>
  <c r="D50" i="12"/>
  <c r="D51" i="12" s="1"/>
  <c r="AI12" i="12"/>
  <c r="AI35" i="12"/>
  <c r="FN9" i="12"/>
  <c r="BM41" i="12"/>
  <c r="BM18" i="12"/>
  <c r="BM13" i="12"/>
  <c r="BM16" i="12"/>
  <c r="BO12" i="12"/>
  <c r="BK47" i="12"/>
  <c r="BK38" i="12"/>
  <c r="BK19" i="12"/>
  <c r="BK17" i="12"/>
  <c r="BK14" i="12"/>
  <c r="BK45" i="12"/>
  <c r="BK41" i="12"/>
  <c r="BK37" i="12"/>
  <c r="BK18" i="12"/>
  <c r="BK13" i="12"/>
  <c r="BN47" i="12"/>
  <c r="BO47" i="12" s="1"/>
  <c r="BO16" i="12"/>
  <c r="BO15" i="12"/>
  <c r="AM13" i="12"/>
  <c r="AM14" i="12"/>
  <c r="BM14" i="12"/>
  <c r="AI16" i="12"/>
  <c r="BK16" i="12"/>
  <c r="F44" i="11"/>
  <c r="D41" i="11"/>
  <c r="D42" i="11" s="1"/>
  <c r="H20" i="11"/>
  <c r="F41" i="11"/>
  <c r="F42" i="11" s="1"/>
  <c r="E41" i="11"/>
  <c r="E42" i="11" s="1"/>
  <c r="G40" i="11"/>
  <c r="G44" i="11" s="1"/>
  <c r="G41" i="11"/>
  <c r="G42" i="11" s="1"/>
  <c r="G43" i="11"/>
  <c r="G48" i="11"/>
  <c r="G49" i="11"/>
  <c r="AB57" i="13" l="1"/>
  <c r="CF44" i="13"/>
  <c r="ER62" i="12"/>
  <c r="E114" i="12" s="1"/>
  <c r="E121" i="12" s="1"/>
  <c r="T57" i="13"/>
  <c r="V57" i="13"/>
  <c r="CF39" i="13"/>
  <c r="AC52" i="13"/>
  <c r="CF43" i="13"/>
  <c r="BO11" i="13"/>
  <c r="BO59" i="13" s="1"/>
  <c r="BO60" i="13" s="1"/>
  <c r="S57" i="13"/>
  <c r="AC57" i="13"/>
  <c r="V50" i="13"/>
  <c r="V51" i="13" s="1"/>
  <c r="CF46" i="13"/>
  <c r="CP46" i="13" s="1"/>
  <c r="CQ46" i="13" s="1"/>
  <c r="CF38" i="13"/>
  <c r="AB52" i="13"/>
  <c r="EX62" i="12"/>
  <c r="AB50" i="13"/>
  <c r="AB51" i="13" s="1"/>
  <c r="CN38" i="13"/>
  <c r="AB58" i="13"/>
  <c r="AC50" i="13"/>
  <c r="AC58" i="13"/>
  <c r="BB47" i="13"/>
  <c r="BC47" i="13" s="1"/>
  <c r="AD47" i="13"/>
  <c r="AD39" i="13"/>
  <c r="BB39" i="13"/>
  <c r="BC39" i="13" s="1"/>
  <c r="BB11" i="13"/>
  <c r="BC11" i="13" s="1"/>
  <c r="AD11" i="13"/>
  <c r="AD46" i="13"/>
  <c r="BB46" i="13"/>
  <c r="BC46" i="13" s="1"/>
  <c r="AD43" i="13"/>
  <c r="AD58" i="13" s="1"/>
  <c r="AD38" i="13"/>
  <c r="BB38" i="13"/>
  <c r="BC38" i="13" s="1"/>
  <c r="EX59" i="12"/>
  <c r="F117" i="12" s="1"/>
  <c r="EZ62" i="12"/>
  <c r="AD45" i="13"/>
  <c r="BB45" i="13"/>
  <c r="BC45" i="13" s="1"/>
  <c r="BB36" i="13"/>
  <c r="BC36" i="13" s="1"/>
  <c r="AD36" i="13"/>
  <c r="BB37" i="13"/>
  <c r="BC37" i="13" s="1"/>
  <c r="AD37" i="13"/>
  <c r="AD44" i="13"/>
  <c r="BB44" i="13"/>
  <c r="BC44" i="13" s="1"/>
  <c r="EZ59" i="12"/>
  <c r="F118" i="12" s="1"/>
  <c r="Y57" i="13"/>
  <c r="Z58" i="13"/>
  <c r="CF45" i="13"/>
  <c r="Y50" i="13"/>
  <c r="Y51" i="13" s="1"/>
  <c r="Z52" i="13"/>
  <c r="CF37" i="13"/>
  <c r="CP37" i="13" s="1"/>
  <c r="CQ37" i="13" s="1"/>
  <c r="Y58" i="13"/>
  <c r="Z57" i="13"/>
  <c r="CF36" i="13"/>
  <c r="CF11" i="13"/>
  <c r="AA38" i="13"/>
  <c r="AA46" i="13"/>
  <c r="Y52" i="13"/>
  <c r="V58" i="13"/>
  <c r="V52" i="13"/>
  <c r="BH45" i="13"/>
  <c r="AF38" i="13"/>
  <c r="AG38" i="13" s="1"/>
  <c r="X38" i="13"/>
  <c r="AF46" i="13"/>
  <c r="AG46" i="13" s="1"/>
  <c r="X46" i="13"/>
  <c r="X39" i="13"/>
  <c r="AF39" i="13"/>
  <c r="AG39" i="13" s="1"/>
  <c r="X35" i="13"/>
  <c r="AF35" i="13"/>
  <c r="AG35" i="13" s="1"/>
  <c r="AF47" i="13"/>
  <c r="AG47" i="13" s="1"/>
  <c r="X47" i="13"/>
  <c r="AF43" i="13"/>
  <c r="AG43" i="13" s="1"/>
  <c r="X43" i="13"/>
  <c r="AF36" i="13"/>
  <c r="AG36" i="13" s="1"/>
  <c r="X36" i="13"/>
  <c r="AF44" i="13"/>
  <c r="AG44" i="13" s="1"/>
  <c r="X44" i="13"/>
  <c r="AF37" i="13"/>
  <c r="AG37" i="13" s="1"/>
  <c r="X37" i="13"/>
  <c r="X11" i="13"/>
  <c r="AF11" i="13"/>
  <c r="AG11" i="13" s="1"/>
  <c r="ES11" i="12"/>
  <c r="ES60" i="12" s="1"/>
  <c r="J114" i="12" s="1"/>
  <c r="T50" i="13"/>
  <c r="T51" i="13" s="1"/>
  <c r="T53" i="13" s="1"/>
  <c r="S50" i="13"/>
  <c r="S51" i="13" s="1"/>
  <c r="S58" i="13"/>
  <c r="T52" i="13"/>
  <c r="CE11" i="13"/>
  <c r="CE59" i="13" s="1"/>
  <c r="CE60" i="13" s="1"/>
  <c r="T58" i="13"/>
  <c r="AZ46" i="13"/>
  <c r="BA46" i="13" s="1"/>
  <c r="U46" i="13"/>
  <c r="U44" i="13"/>
  <c r="AZ44" i="13"/>
  <c r="BA44" i="13" s="1"/>
  <c r="U11" i="13"/>
  <c r="AZ11" i="13"/>
  <c r="AZ43" i="13"/>
  <c r="BA43" i="13" s="1"/>
  <c r="U43" i="13"/>
  <c r="AZ39" i="13"/>
  <c r="BA39" i="13" s="1"/>
  <c r="U39" i="13"/>
  <c r="U45" i="13"/>
  <c r="AZ45" i="13"/>
  <c r="BA45" i="13" s="1"/>
  <c r="AZ38" i="13"/>
  <c r="BA38" i="13" s="1"/>
  <c r="U38" i="13"/>
  <c r="AZ37" i="13"/>
  <c r="BA37" i="13" s="1"/>
  <c r="U37" i="13"/>
  <c r="AZ47" i="13"/>
  <c r="BA47" i="13" s="1"/>
  <c r="U47" i="13"/>
  <c r="AZ36" i="13"/>
  <c r="BA36" i="13" s="1"/>
  <c r="U36" i="13"/>
  <c r="AT57" i="13"/>
  <c r="AT59" i="13"/>
  <c r="E72" i="13" s="1"/>
  <c r="F72" i="13" s="1"/>
  <c r="G72" i="13" s="1"/>
  <c r="AT50" i="13"/>
  <c r="AT58" i="13"/>
  <c r="AT52" i="13"/>
  <c r="ET62" i="12"/>
  <c r="ET59" i="12"/>
  <c r="F115" i="12" s="1"/>
  <c r="T51" i="12"/>
  <c r="ET51" i="12" s="1"/>
  <c r="EU51" i="12" s="1"/>
  <c r="ET50" i="12"/>
  <c r="EU50" i="12" s="1"/>
  <c r="F66" i="12"/>
  <c r="BL60" i="12"/>
  <c r="G66" i="12" s="1"/>
  <c r="H66" i="12" s="1"/>
  <c r="EW62" i="12"/>
  <c r="AB51" i="12"/>
  <c r="EX51" i="12" s="1"/>
  <c r="EY51" i="12" s="1"/>
  <c r="EX50" i="12"/>
  <c r="EY50" i="12" s="1"/>
  <c r="S51" i="12"/>
  <c r="ER51" i="12" s="1"/>
  <c r="ES51" i="12" s="1"/>
  <c r="ER50" i="12"/>
  <c r="ES50" i="12" s="1"/>
  <c r="AC51" i="12"/>
  <c r="EZ51" i="12" s="1"/>
  <c r="FA51" i="12" s="1"/>
  <c r="EZ50" i="12"/>
  <c r="FA50" i="12" s="1"/>
  <c r="ES62" i="12"/>
  <c r="I114" i="12" s="1"/>
  <c r="FA59" i="12"/>
  <c r="FA60" i="12"/>
  <c r="J118" i="12" s="1"/>
  <c r="FA62" i="12"/>
  <c r="I118" i="12" s="1"/>
  <c r="EU59" i="12"/>
  <c r="EU62" i="12"/>
  <c r="I115" i="12" s="1"/>
  <c r="EU60" i="12"/>
  <c r="J115" i="12" s="1"/>
  <c r="FE11" i="12"/>
  <c r="FE62" i="12" s="1"/>
  <c r="FD62" i="12"/>
  <c r="EY59" i="12"/>
  <c r="EY62" i="12"/>
  <c r="I117" i="12" s="1"/>
  <c r="EY60" i="12"/>
  <c r="J117" i="12" s="1"/>
  <c r="F65" i="12"/>
  <c r="BJ60" i="12"/>
  <c r="G65" i="12" s="1"/>
  <c r="H65" i="12" s="1"/>
  <c r="EC62" i="12"/>
  <c r="BK60" i="12"/>
  <c r="J65" i="12" s="1"/>
  <c r="DY62" i="12"/>
  <c r="EV62" i="12"/>
  <c r="K51" i="12"/>
  <c r="K53" i="12" s="1"/>
  <c r="G111" i="12"/>
  <c r="H111" i="12" s="1"/>
  <c r="EL50" i="12"/>
  <c r="EL52" i="12"/>
  <c r="G51" i="12"/>
  <c r="EB51" i="12" s="1"/>
  <c r="EB50" i="12"/>
  <c r="J116" i="12"/>
  <c r="BM60" i="12"/>
  <c r="J66" i="12" s="1"/>
  <c r="BO60" i="12"/>
  <c r="J67" i="12" s="1"/>
  <c r="FG60" i="12"/>
  <c r="FK60" i="12"/>
  <c r="BQ60" i="12"/>
  <c r="N51" i="12"/>
  <c r="DX51" i="12" s="1"/>
  <c r="DX50" i="12"/>
  <c r="M51" i="12"/>
  <c r="DR51" i="12" s="1"/>
  <c r="DS51" i="12" s="1"/>
  <c r="DR50" i="12"/>
  <c r="DS50" i="12" s="1"/>
  <c r="J75" i="12"/>
  <c r="K75" i="12" s="1"/>
  <c r="L75" i="12" s="1"/>
  <c r="DS59" i="12"/>
  <c r="J119" i="12"/>
  <c r="FM60" i="12"/>
  <c r="EC60" i="12"/>
  <c r="J106" i="12" s="1"/>
  <c r="DY60" i="12"/>
  <c r="P51" i="12"/>
  <c r="CP51" i="12" s="1"/>
  <c r="CQ51" i="12" s="1"/>
  <c r="CP50" i="12"/>
  <c r="CQ50" i="12" s="1"/>
  <c r="Q51" i="12"/>
  <c r="CR51" i="12" s="1"/>
  <c r="CS51" i="12" s="1"/>
  <c r="CR50" i="12"/>
  <c r="CS50" i="12" s="1"/>
  <c r="E51" i="12"/>
  <c r="BT51" i="12" s="1"/>
  <c r="BU51" i="12" s="1"/>
  <c r="BT50" i="12"/>
  <c r="BU50" i="12" s="1"/>
  <c r="Y51" i="12"/>
  <c r="BL51" i="12" s="1"/>
  <c r="BL50" i="12"/>
  <c r="V51" i="12"/>
  <c r="BJ51" i="12" s="1"/>
  <c r="BJ50" i="12"/>
  <c r="BC60" i="13"/>
  <c r="J105" i="12"/>
  <c r="J74" i="12"/>
  <c r="K74" i="12" s="1"/>
  <c r="L74" i="12" s="1"/>
  <c r="AK60" i="13"/>
  <c r="AW60" i="13"/>
  <c r="FM62" i="12"/>
  <c r="I103" i="12"/>
  <c r="BO59" i="12"/>
  <c r="I116" i="12"/>
  <c r="I105" i="12"/>
  <c r="BM62" i="12"/>
  <c r="I66" i="12" s="1"/>
  <c r="BO62" i="12"/>
  <c r="I67" i="12" s="1"/>
  <c r="FM59" i="12"/>
  <c r="I119" i="12"/>
  <c r="BK59" i="12"/>
  <c r="BK62" i="12"/>
  <c r="I65" i="12" s="1"/>
  <c r="FG62" i="12"/>
  <c r="FG59" i="12"/>
  <c r="EC59" i="12"/>
  <c r="BM59" i="12"/>
  <c r="FK59" i="12"/>
  <c r="FK62" i="12"/>
  <c r="BQ62" i="12"/>
  <c r="I68" i="12" s="1"/>
  <c r="BQ59" i="12"/>
  <c r="DY59" i="12"/>
  <c r="Z53" i="12"/>
  <c r="Z55" i="12" s="1"/>
  <c r="L52" i="12"/>
  <c r="F59" i="12"/>
  <c r="FL59" i="12"/>
  <c r="FL60" i="12" s="1"/>
  <c r="CJ59" i="13"/>
  <c r="CJ60" i="13" s="1"/>
  <c r="L57" i="13"/>
  <c r="CP14" i="13"/>
  <c r="CQ14" i="13" s="1"/>
  <c r="F58" i="13"/>
  <c r="CN59" i="13"/>
  <c r="CN60" i="13" s="1"/>
  <c r="CP33" i="13"/>
  <c r="CQ33" i="13" s="1"/>
  <c r="O57" i="13"/>
  <c r="F50" i="13"/>
  <c r="F51" i="13" s="1"/>
  <c r="CD59" i="13"/>
  <c r="CD60" i="13" s="1"/>
  <c r="BJ59" i="13"/>
  <c r="BJ60" i="13" s="1"/>
  <c r="AI59" i="13"/>
  <c r="AX58" i="13"/>
  <c r="BG59" i="13"/>
  <c r="BG60" i="13" s="1"/>
  <c r="O52" i="13"/>
  <c r="CP15" i="13"/>
  <c r="CQ15" i="13" s="1"/>
  <c r="BH59" i="13"/>
  <c r="BH60" i="13" s="1"/>
  <c r="O58" i="13"/>
  <c r="AM34" i="13"/>
  <c r="AY59" i="13"/>
  <c r="AW59" i="13"/>
  <c r="AW62" i="13"/>
  <c r="H73" i="13" s="1"/>
  <c r="CL59" i="13"/>
  <c r="CL60" i="13" s="1"/>
  <c r="CP44" i="13"/>
  <c r="CQ44" i="13" s="1"/>
  <c r="CP35" i="13"/>
  <c r="CQ35" i="13" s="1"/>
  <c r="BP59" i="13"/>
  <c r="BP60" i="13" s="1"/>
  <c r="AM43" i="13"/>
  <c r="CP38" i="13"/>
  <c r="CQ38" i="13" s="1"/>
  <c r="CP13" i="13"/>
  <c r="CQ13" i="13" s="1"/>
  <c r="L52" i="13"/>
  <c r="CP31" i="13"/>
  <c r="CQ31" i="13" s="1"/>
  <c r="AK59" i="13"/>
  <c r="AK62" i="13"/>
  <c r="M53" i="12"/>
  <c r="L50" i="12"/>
  <c r="L51" i="12" s="1"/>
  <c r="O52" i="12"/>
  <c r="U50" i="12"/>
  <c r="U51" i="12" s="1"/>
  <c r="FJ59" i="12"/>
  <c r="FJ60" i="12" s="1"/>
  <c r="L59" i="12"/>
  <c r="AD50" i="12"/>
  <c r="AD51" i="12" s="1"/>
  <c r="O57" i="12"/>
  <c r="F50" i="12"/>
  <c r="F51" i="12" s="1"/>
  <c r="U59" i="12"/>
  <c r="AH57" i="12"/>
  <c r="FF59" i="12"/>
  <c r="FF60" i="12" s="1"/>
  <c r="BF58" i="12"/>
  <c r="AL58" i="12"/>
  <c r="L57" i="12"/>
  <c r="F52" i="12"/>
  <c r="AL57" i="12"/>
  <c r="F58" i="12"/>
  <c r="X57" i="12"/>
  <c r="L58" i="12"/>
  <c r="AA59" i="12"/>
  <c r="D51" i="13"/>
  <c r="N51" i="13"/>
  <c r="BQ59" i="13"/>
  <c r="BQ60" i="13" s="1"/>
  <c r="CP12" i="13"/>
  <c r="CQ12" i="13" s="1"/>
  <c r="O50" i="13"/>
  <c r="AH58" i="13"/>
  <c r="E68" i="13"/>
  <c r="F68" i="13" s="1"/>
  <c r="G68" i="13" s="1"/>
  <c r="L50" i="13"/>
  <c r="CP32" i="13"/>
  <c r="CQ32" i="13" s="1"/>
  <c r="AA58" i="13"/>
  <c r="BB58" i="13"/>
  <c r="F52" i="13"/>
  <c r="AV57" i="13"/>
  <c r="R57" i="13"/>
  <c r="R52" i="13"/>
  <c r="R58" i="13"/>
  <c r="R50" i="13"/>
  <c r="Q51" i="13"/>
  <c r="Q53" i="13" s="1"/>
  <c r="AH59" i="13"/>
  <c r="E66" i="13" s="1"/>
  <c r="F66" i="13" s="1"/>
  <c r="G66" i="13" s="1"/>
  <c r="AV58" i="13"/>
  <c r="CP39" i="13"/>
  <c r="CQ39" i="13" s="1"/>
  <c r="BI59" i="13"/>
  <c r="BI60" i="13" s="1"/>
  <c r="AX57" i="13"/>
  <c r="E51" i="13"/>
  <c r="E67" i="13"/>
  <c r="F67" i="13" s="1"/>
  <c r="G67" i="13" s="1"/>
  <c r="Z51" i="13"/>
  <c r="G51" i="13"/>
  <c r="G53" i="13" s="1"/>
  <c r="CK59" i="13"/>
  <c r="CK60" i="13" s="1"/>
  <c r="L58" i="13"/>
  <c r="P51" i="13"/>
  <c r="CP34" i="13"/>
  <c r="CQ34" i="13" s="1"/>
  <c r="F57" i="13"/>
  <c r="AV59" i="13"/>
  <c r="E73" i="13" s="1"/>
  <c r="CO59" i="13"/>
  <c r="CO60" i="13" s="1"/>
  <c r="K51" i="13"/>
  <c r="CP36" i="13"/>
  <c r="CQ36" i="13" s="1"/>
  <c r="AX59" i="13"/>
  <c r="E74" i="13" s="1"/>
  <c r="F74" i="13" s="1"/>
  <c r="G74" i="13" s="1"/>
  <c r="BF59" i="13"/>
  <c r="BF60" i="13" s="1"/>
  <c r="W51" i="13"/>
  <c r="W53" i="13" s="1"/>
  <c r="AH57" i="13"/>
  <c r="AC51" i="13"/>
  <c r="M51" i="13"/>
  <c r="AW57" i="13"/>
  <c r="AW58" i="13"/>
  <c r="AD59" i="12"/>
  <c r="BF57" i="12"/>
  <c r="X58" i="12"/>
  <c r="W53" i="12"/>
  <c r="W55" i="12" s="1"/>
  <c r="U57" i="12"/>
  <c r="AJ57" i="12"/>
  <c r="R50" i="12"/>
  <c r="R51" i="12" s="1"/>
  <c r="BF59" i="12"/>
  <c r="BB59" i="12"/>
  <c r="BB58" i="12"/>
  <c r="AX59" i="12"/>
  <c r="AX57" i="12"/>
  <c r="AD58" i="12"/>
  <c r="BB57" i="12"/>
  <c r="AD52" i="12"/>
  <c r="AX58" i="12"/>
  <c r="AD57" i="12"/>
  <c r="AA57" i="12"/>
  <c r="AA50" i="12"/>
  <c r="AA51" i="12" s="1"/>
  <c r="AA52" i="12"/>
  <c r="AA58" i="12"/>
  <c r="X59" i="12"/>
  <c r="X52" i="12"/>
  <c r="AH59" i="12"/>
  <c r="X50" i="12"/>
  <c r="X51" i="12" s="1"/>
  <c r="AH58" i="12"/>
  <c r="AF59" i="12"/>
  <c r="BN59" i="12"/>
  <c r="U52" i="12"/>
  <c r="AV58" i="12"/>
  <c r="AV57" i="12"/>
  <c r="AV59" i="12"/>
  <c r="AJ59" i="12"/>
  <c r="U58" i="12"/>
  <c r="R52" i="12"/>
  <c r="AW59" i="12"/>
  <c r="R57" i="12"/>
  <c r="AK15" i="12"/>
  <c r="AK57" i="12" s="1"/>
  <c r="AJ58" i="12"/>
  <c r="R58" i="12"/>
  <c r="R59" i="12"/>
  <c r="BD59" i="12"/>
  <c r="AL59" i="12"/>
  <c r="O58" i="12"/>
  <c r="O59" i="12"/>
  <c r="O50" i="12"/>
  <c r="O51" i="12" s="1"/>
  <c r="AM57" i="12"/>
  <c r="BE19" i="12"/>
  <c r="BE57" i="12" s="1"/>
  <c r="BD58" i="12"/>
  <c r="BD57" i="12"/>
  <c r="F57" i="12"/>
  <c r="AF58" i="12"/>
  <c r="AF57" i="12"/>
  <c r="AM59" i="12"/>
  <c r="BG57" i="12"/>
  <c r="BG59" i="12"/>
  <c r="BG58" i="12"/>
  <c r="AW58" i="12"/>
  <c r="AM58" i="12"/>
  <c r="BC57" i="12"/>
  <c r="BC59" i="12"/>
  <c r="BC58" i="12"/>
  <c r="AW57" i="12"/>
  <c r="D53" i="12"/>
  <c r="D55" i="12" s="1"/>
  <c r="AG57" i="12"/>
  <c r="AG58" i="12"/>
  <c r="AG59" i="12"/>
  <c r="AY58" i="12"/>
  <c r="AY59" i="12"/>
  <c r="AY57" i="12"/>
  <c r="AI58" i="12"/>
  <c r="AI59" i="12"/>
  <c r="AI57" i="12"/>
  <c r="F46" i="11"/>
  <c r="D44" i="11"/>
  <c r="D46" i="11" s="1"/>
  <c r="E46" i="11"/>
  <c r="G46" i="11"/>
  <c r="E44" i="11"/>
  <c r="F73" i="13" l="1"/>
  <c r="G73" i="13" s="1"/>
  <c r="Z53" i="13"/>
  <c r="AB53" i="13"/>
  <c r="CP45" i="13"/>
  <c r="CQ45" i="13" s="1"/>
  <c r="AD52" i="13"/>
  <c r="BC59" i="13"/>
  <c r="AB53" i="12"/>
  <c r="BC57" i="13"/>
  <c r="K118" i="12"/>
  <c r="L118" i="12" s="1"/>
  <c r="BB57" i="13"/>
  <c r="CF59" i="13"/>
  <c r="CF60" i="13" s="1"/>
  <c r="CP43" i="13"/>
  <c r="CQ43" i="13" s="1"/>
  <c r="V53" i="13"/>
  <c r="V55" i="13" s="1"/>
  <c r="U52" i="13"/>
  <c r="ES59" i="12"/>
  <c r="S53" i="13"/>
  <c r="S55" i="13" s="1"/>
  <c r="K115" i="12"/>
  <c r="L115" i="12" s="1"/>
  <c r="K114" i="12"/>
  <c r="L114" i="12" s="1"/>
  <c r="T53" i="12"/>
  <c r="ET53" i="12" s="1"/>
  <c r="EU53" i="12" s="1"/>
  <c r="P53" i="12"/>
  <c r="G53" i="12"/>
  <c r="G55" i="12" s="1"/>
  <c r="EB55" i="12" s="1"/>
  <c r="K105" i="12"/>
  <c r="L105" i="12" s="1"/>
  <c r="K119" i="12"/>
  <c r="L119" i="12" s="1"/>
  <c r="K116" i="12"/>
  <c r="L116" i="12" s="1"/>
  <c r="X52" i="13"/>
  <c r="BC58" i="13"/>
  <c r="BB59" i="13"/>
  <c r="E76" i="13" s="1"/>
  <c r="F76" i="13" s="1"/>
  <c r="G76" i="13" s="1"/>
  <c r="AD50" i="13"/>
  <c r="AD51" i="13" s="1"/>
  <c r="AD53" i="13" s="1"/>
  <c r="BC62" i="13"/>
  <c r="H76" i="13" s="1"/>
  <c r="AD57" i="13"/>
  <c r="K117" i="12"/>
  <c r="L117" i="12" s="1"/>
  <c r="AC53" i="12"/>
  <c r="AC55" i="12" s="1"/>
  <c r="EZ55" i="12" s="1"/>
  <c r="FA55" i="12" s="1"/>
  <c r="AA52" i="13"/>
  <c r="AA50" i="13"/>
  <c r="AA51" i="13" s="1"/>
  <c r="AA57" i="13"/>
  <c r="AF59" i="13"/>
  <c r="E65" i="13" s="1"/>
  <c r="F65" i="13" s="1"/>
  <c r="G65" i="13" s="1"/>
  <c r="AG62" i="13"/>
  <c r="H65" i="13" s="1"/>
  <c r="K65" i="12"/>
  <c r="L65" i="12" s="1"/>
  <c r="X58" i="13"/>
  <c r="X57" i="13"/>
  <c r="K67" i="12"/>
  <c r="L67" i="12" s="1"/>
  <c r="AF58" i="13"/>
  <c r="AG60" i="13"/>
  <c r="I65" i="13" s="1"/>
  <c r="X50" i="13"/>
  <c r="X51" i="13" s="1"/>
  <c r="X53" i="13" s="1"/>
  <c r="AF57" i="13"/>
  <c r="AG59" i="13"/>
  <c r="U58" i="13"/>
  <c r="U57" i="13"/>
  <c r="CP11" i="13"/>
  <c r="CQ11" i="13" s="1"/>
  <c r="S53" i="12"/>
  <c r="U50" i="13"/>
  <c r="U51" i="13" s="1"/>
  <c r="U53" i="13" s="1"/>
  <c r="BA11" i="13"/>
  <c r="AZ59" i="13"/>
  <c r="E75" i="13" s="1"/>
  <c r="F75" i="13" s="1"/>
  <c r="G75" i="13" s="1"/>
  <c r="Q53" i="12"/>
  <c r="CR53" i="12" s="1"/>
  <c r="CS53" i="12" s="1"/>
  <c r="I106" i="12"/>
  <c r="K106" i="12" s="1"/>
  <c r="L106" i="12" s="1"/>
  <c r="J108" i="12"/>
  <c r="K108" i="12" s="1"/>
  <c r="L108" i="12" s="1"/>
  <c r="M53" i="13"/>
  <c r="M55" i="13" s="1"/>
  <c r="AT51" i="13"/>
  <c r="AU60" i="13"/>
  <c r="AO60" i="13"/>
  <c r="BA60" i="13"/>
  <c r="K66" i="12"/>
  <c r="L66" i="12" s="1"/>
  <c r="EY61" i="12"/>
  <c r="S55" i="12"/>
  <c r="ER55" i="12" s="1"/>
  <c r="ES55" i="12" s="1"/>
  <c r="ER53" i="12"/>
  <c r="ES53" i="12" s="1"/>
  <c r="EU61" i="12"/>
  <c r="FA61" i="12"/>
  <c r="ES61" i="12"/>
  <c r="F67" i="12"/>
  <c r="BN60" i="12"/>
  <c r="G67" i="12" s="1"/>
  <c r="H67" i="12" s="1"/>
  <c r="AB55" i="12"/>
  <c r="EX55" i="12" s="1"/>
  <c r="EY55" i="12" s="1"/>
  <c r="EX53" i="12"/>
  <c r="EY53" i="12" s="1"/>
  <c r="T55" i="12"/>
  <c r="ET55" i="12" s="1"/>
  <c r="EU55" i="12" s="1"/>
  <c r="N53" i="12"/>
  <c r="DX53" i="12" s="1"/>
  <c r="J68" i="12"/>
  <c r="K68" i="12" s="1"/>
  <c r="L68" i="12" s="1"/>
  <c r="BQ61" i="12"/>
  <c r="K55" i="12"/>
  <c r="EL55" i="12" s="1"/>
  <c r="EL53" i="12"/>
  <c r="Y53" i="12"/>
  <c r="Y55" i="12" s="1"/>
  <c r="BL55" i="12" s="1"/>
  <c r="EL51" i="12"/>
  <c r="M55" i="12"/>
  <c r="DR55" i="12" s="1"/>
  <c r="DS55" i="12" s="1"/>
  <c r="DR53" i="12"/>
  <c r="DS53" i="12" s="1"/>
  <c r="BP60" i="12"/>
  <c r="G68" i="12" s="1"/>
  <c r="H68" i="12" s="1"/>
  <c r="G103" i="12"/>
  <c r="H103" i="12" s="1"/>
  <c r="P55" i="12"/>
  <c r="CP55" i="12" s="1"/>
  <c r="CQ55" i="12" s="1"/>
  <c r="CP53" i="12"/>
  <c r="CQ53" i="12" s="1"/>
  <c r="Q55" i="12"/>
  <c r="CR55" i="12" s="1"/>
  <c r="CS55" i="12" s="1"/>
  <c r="E53" i="12"/>
  <c r="BT53" i="12" s="1"/>
  <c r="BU53" i="12" s="1"/>
  <c r="V53" i="12"/>
  <c r="V55" i="12" s="1"/>
  <c r="BJ55" i="12" s="1"/>
  <c r="AY60" i="13"/>
  <c r="I74" i="13" s="1"/>
  <c r="AI57" i="13"/>
  <c r="AI60" i="13"/>
  <c r="I66" i="13" s="1"/>
  <c r="AM60" i="13"/>
  <c r="DY61" i="12"/>
  <c r="J103" i="12"/>
  <c r="K103" i="12" s="1"/>
  <c r="L103" i="12" s="1"/>
  <c r="FM61" i="12"/>
  <c r="BO61" i="12"/>
  <c r="BK61" i="12"/>
  <c r="EC61" i="12"/>
  <c r="BM61" i="12"/>
  <c r="FK61" i="12"/>
  <c r="FG61" i="12"/>
  <c r="U53" i="12"/>
  <c r="U55" i="12" s="1"/>
  <c r="BE59" i="12"/>
  <c r="I76" i="13"/>
  <c r="I73" i="13"/>
  <c r="J73" i="13" s="1"/>
  <c r="K73" i="13" s="1"/>
  <c r="AK61" i="13"/>
  <c r="AY58" i="13"/>
  <c r="AM57" i="13"/>
  <c r="H74" i="13"/>
  <c r="AY57" i="13"/>
  <c r="AM59" i="13"/>
  <c r="AM62" i="13"/>
  <c r="AM58" i="13"/>
  <c r="AI62" i="13"/>
  <c r="H66" i="13" s="1"/>
  <c r="AW61" i="13"/>
  <c r="AI58" i="13"/>
  <c r="O53" i="12"/>
  <c r="O55" i="12" s="1"/>
  <c r="F103" i="12"/>
  <c r="H106" i="12"/>
  <c r="G116" i="12"/>
  <c r="H116" i="12" s="1"/>
  <c r="F116" i="12"/>
  <c r="G105" i="12"/>
  <c r="H105" i="12" s="1"/>
  <c r="F105" i="12"/>
  <c r="G119" i="12"/>
  <c r="H119" i="12" s="1"/>
  <c r="F119" i="12"/>
  <c r="BE58" i="12"/>
  <c r="F53" i="12"/>
  <c r="F55" i="12" s="1"/>
  <c r="AA53" i="12"/>
  <c r="AA55" i="12" s="1"/>
  <c r="L51" i="13"/>
  <c r="AG57" i="13"/>
  <c r="AG58" i="13"/>
  <c r="Y53" i="13"/>
  <c r="Y55" i="13" s="1"/>
  <c r="W55" i="13"/>
  <c r="K53" i="13"/>
  <c r="K55" i="13" s="1"/>
  <c r="E53" i="13"/>
  <c r="E55" i="13" s="1"/>
  <c r="R51" i="13"/>
  <c r="O51" i="13"/>
  <c r="Q55" i="13"/>
  <c r="AB55" i="13"/>
  <c r="AC53" i="13"/>
  <c r="AC55" i="13" s="1"/>
  <c r="P53" i="13"/>
  <c r="P55" i="13" s="1"/>
  <c r="G55" i="13"/>
  <c r="AK57" i="13"/>
  <c r="AK58" i="13"/>
  <c r="T55" i="13"/>
  <c r="Z55" i="13"/>
  <c r="F53" i="13"/>
  <c r="F55" i="13" s="1"/>
  <c r="N53" i="13"/>
  <c r="N55" i="13" s="1"/>
  <c r="D53" i="13"/>
  <c r="D55" i="13" s="1"/>
  <c r="X53" i="12"/>
  <c r="X55" i="12" s="1"/>
  <c r="AK59" i="12"/>
  <c r="AK58" i="12"/>
  <c r="R53" i="12"/>
  <c r="R55" i="12" s="1"/>
  <c r="AD53" i="12"/>
  <c r="AD55" i="12" s="1"/>
  <c r="L53" i="12"/>
  <c r="L55" i="12" s="1"/>
  <c r="E68" i="10"/>
  <c r="D68" i="10"/>
  <c r="E67" i="10"/>
  <c r="D67" i="10"/>
  <c r="E66" i="10"/>
  <c r="D66" i="10"/>
  <c r="E61" i="10"/>
  <c r="D61" i="10"/>
  <c r="E58" i="10"/>
  <c r="D58" i="10"/>
  <c r="E57" i="10"/>
  <c r="D57" i="10"/>
  <c r="G55" i="10"/>
  <c r="G54" i="10"/>
  <c r="G53" i="10"/>
  <c r="G49" i="10"/>
  <c r="G48" i="10"/>
  <c r="G47" i="10"/>
  <c r="G46" i="10"/>
  <c r="G45" i="10"/>
  <c r="G44" i="10"/>
  <c r="G43" i="10"/>
  <c r="G42" i="10"/>
  <c r="G41" i="10"/>
  <c r="G25" i="10"/>
  <c r="G24" i="10"/>
  <c r="G23" i="10"/>
  <c r="G22" i="10"/>
  <c r="G21" i="10"/>
  <c r="G19" i="10"/>
  <c r="D14" i="10"/>
  <c r="D13" i="10"/>
  <c r="F57" i="10"/>
  <c r="J76" i="13" l="1"/>
  <c r="K76" i="13" s="1"/>
  <c r="BC61" i="13"/>
  <c r="EB53" i="12"/>
  <c r="AA53" i="13"/>
  <c r="AA55" i="13" s="1"/>
  <c r="F78" i="13"/>
  <c r="E78" i="13"/>
  <c r="CP59" i="13"/>
  <c r="CP60" i="13" s="1"/>
  <c r="N55" i="12"/>
  <c r="DX55" i="12" s="1"/>
  <c r="EZ53" i="12"/>
  <c r="FA53" i="12" s="1"/>
  <c r="J65" i="13"/>
  <c r="K65" i="13" s="1"/>
  <c r="AG61" i="13"/>
  <c r="BA62" i="13"/>
  <c r="H75" i="13" s="1"/>
  <c r="BA59" i="13"/>
  <c r="AT55" i="13"/>
  <c r="AT53" i="13"/>
  <c r="I75" i="13"/>
  <c r="AO61" i="13"/>
  <c r="AU61" i="13"/>
  <c r="I72" i="13"/>
  <c r="J72" i="13" s="1"/>
  <c r="K72" i="13" s="1"/>
  <c r="BL53" i="12"/>
  <c r="E55" i="12"/>
  <c r="BT55" i="12" s="1"/>
  <c r="BU55" i="12" s="1"/>
  <c r="BJ53" i="12"/>
  <c r="F68" i="10"/>
  <c r="J74" i="13"/>
  <c r="K74" i="13" s="1"/>
  <c r="J68" i="13"/>
  <c r="K68" i="13" s="1"/>
  <c r="G121" i="12"/>
  <c r="J66" i="13"/>
  <c r="K66" i="13" s="1"/>
  <c r="F121" i="12"/>
  <c r="AY61" i="13"/>
  <c r="AI61" i="13"/>
  <c r="J69" i="13"/>
  <c r="K69" i="13" s="1"/>
  <c r="J67" i="13"/>
  <c r="K67" i="13" s="1"/>
  <c r="AM61" i="13"/>
  <c r="L53" i="13"/>
  <c r="L55" i="13" s="1"/>
  <c r="U55" i="13"/>
  <c r="X55" i="13"/>
  <c r="AD55" i="13"/>
  <c r="O53" i="13"/>
  <c r="O55" i="13" s="1"/>
  <c r="R53" i="13"/>
  <c r="R55" i="13" s="1"/>
  <c r="G20" i="10"/>
  <c r="D59" i="10"/>
  <c r="D60" i="10" s="1"/>
  <c r="E59" i="10"/>
  <c r="E60" i="10" s="1"/>
  <c r="F58" i="10"/>
  <c r="F59" i="10"/>
  <c r="F60" i="10" s="1"/>
  <c r="F61" i="10"/>
  <c r="F66" i="10"/>
  <c r="F67" i="10"/>
  <c r="BA61" i="13" l="1"/>
  <c r="J75" i="13"/>
  <c r="K75" i="13" s="1"/>
  <c r="E62" i="10"/>
  <c r="E64" i="10" s="1"/>
  <c r="F62" i="10"/>
  <c r="F64" i="10" s="1"/>
  <c r="D62" i="10"/>
  <c r="D64" i="10" s="1"/>
  <c r="J78" i="13" l="1"/>
  <c r="K78" i="13" s="1"/>
  <c r="E68" i="9"/>
  <c r="D68" i="9"/>
  <c r="E67" i="9"/>
  <c r="D67" i="9"/>
  <c r="E66" i="9"/>
  <c r="D66" i="9"/>
  <c r="E61" i="9"/>
  <c r="D61" i="9"/>
  <c r="E58" i="9"/>
  <c r="D58" i="9"/>
  <c r="F57" i="9"/>
  <c r="E57" i="9"/>
  <c r="D57" i="9"/>
  <c r="G55" i="9"/>
  <c r="G54" i="9"/>
  <c r="G53" i="9"/>
  <c r="G49" i="9"/>
  <c r="G45" i="9"/>
  <c r="G44" i="9"/>
  <c r="G43" i="9"/>
  <c r="G42" i="9"/>
  <c r="G41" i="9"/>
  <c r="G40" i="9"/>
  <c r="G39" i="9"/>
  <c r="G38" i="9"/>
  <c r="G25" i="9"/>
  <c r="G24" i="9"/>
  <c r="G23" i="9"/>
  <c r="G22" i="9"/>
  <c r="D14" i="9"/>
  <c r="D13" i="9"/>
  <c r="F68" i="9" l="1"/>
  <c r="E59" i="9"/>
  <c r="E60" i="9" s="1"/>
  <c r="D59" i="9"/>
  <c r="D60" i="9" s="1"/>
  <c r="F58" i="9"/>
  <c r="F59" i="9"/>
  <c r="F60" i="9" s="1"/>
  <c r="F61" i="9"/>
  <c r="F66" i="9"/>
  <c r="F67" i="9"/>
  <c r="F62" i="9" l="1"/>
  <c r="F64" i="9" s="1"/>
  <c r="E62" i="9"/>
  <c r="E64" i="9" s="1"/>
  <c r="D62" i="9"/>
  <c r="D64" i="9" s="1"/>
  <c r="E68" i="8" l="1"/>
  <c r="E67" i="8"/>
  <c r="E66" i="8"/>
  <c r="E61" i="8"/>
  <c r="E58" i="8"/>
  <c r="F57" i="8"/>
  <c r="E57" i="8"/>
  <c r="G55" i="8"/>
  <c r="G54" i="8"/>
  <c r="G53" i="8"/>
  <c r="G49" i="8"/>
  <c r="G48" i="8"/>
  <c r="G47" i="8"/>
  <c r="G46" i="8"/>
  <c r="G45" i="8"/>
  <c r="G44" i="8"/>
  <c r="G43" i="8"/>
  <c r="G27" i="8"/>
  <c r="G26" i="8"/>
  <c r="G25" i="8"/>
  <c r="G24" i="8"/>
  <c r="G23" i="8"/>
  <c r="G22" i="8"/>
  <c r="G21" i="8" l="1"/>
  <c r="G19" i="8"/>
  <c r="F68" i="8"/>
  <c r="G20" i="8"/>
  <c r="E59" i="8"/>
  <c r="E60" i="8" s="1"/>
  <c r="F58" i="8"/>
  <c r="F59" i="8"/>
  <c r="F60" i="8" s="1"/>
  <c r="F61" i="8"/>
  <c r="F66" i="8"/>
  <c r="F67" i="8"/>
  <c r="F62" i="8" l="1"/>
  <c r="F64" i="8" s="1"/>
  <c r="E62" i="8"/>
  <c r="E64" i="8" s="1"/>
  <c r="E68" i="7" l="1"/>
  <c r="D68" i="7"/>
  <c r="E67" i="7"/>
  <c r="D67" i="7"/>
  <c r="E66" i="7"/>
  <c r="D66" i="7"/>
  <c r="E61" i="7"/>
  <c r="D61" i="7"/>
  <c r="E58" i="7"/>
  <c r="E59" i="7" s="1"/>
  <c r="E60" i="7" s="1"/>
  <c r="D58" i="7"/>
  <c r="D59" i="7" s="1"/>
  <c r="D60" i="7" s="1"/>
  <c r="F57" i="7"/>
  <c r="E57" i="7"/>
  <c r="D57" i="7"/>
  <c r="G25" i="7"/>
  <c r="F24" i="7"/>
  <c r="G24" i="7" s="1"/>
  <c r="F23" i="7"/>
  <c r="G23" i="7" s="1"/>
  <c r="F22" i="7"/>
  <c r="G22" i="7" s="1"/>
  <c r="F21" i="7"/>
  <c r="D14" i="7"/>
  <c r="D13" i="7"/>
  <c r="G21" i="7" l="1"/>
  <c r="G19" i="7"/>
  <c r="F68" i="7"/>
  <c r="E62" i="7"/>
  <c r="E64" i="7" s="1"/>
  <c r="D62" i="7"/>
  <c r="D64" i="7" s="1"/>
  <c r="F67" i="7"/>
  <c r="F59" i="7"/>
  <c r="F60" i="7" s="1"/>
  <c r="F61" i="7"/>
  <c r="G20" i="7"/>
  <c r="F66" i="7"/>
  <c r="F58" i="7"/>
  <c r="F62" i="7" l="1"/>
  <c r="F64" i="7" s="1"/>
  <c r="E68" i="6" l="1"/>
  <c r="D68" i="6"/>
  <c r="E67" i="6"/>
  <c r="D67" i="6"/>
  <c r="E66" i="6"/>
  <c r="D66" i="6"/>
  <c r="E61" i="6"/>
  <c r="D61" i="6"/>
  <c r="E58" i="6"/>
  <c r="D58" i="6"/>
  <c r="D59" i="6" s="1"/>
  <c r="D60" i="6" s="1"/>
  <c r="F57" i="6"/>
  <c r="E57" i="6"/>
  <c r="D57" i="6"/>
  <c r="F33" i="6"/>
  <c r="G33" i="6" s="1"/>
  <c r="F32" i="6"/>
  <c r="G32" i="6" s="1"/>
  <c r="F31" i="6"/>
  <c r="G31" i="6" s="1"/>
  <c r="F30" i="6"/>
  <c r="G30" i="6" s="1"/>
  <c r="F29" i="6"/>
  <c r="G29" i="6" s="1"/>
  <c r="F28" i="6"/>
  <c r="G28" i="6" s="1"/>
  <c r="F27" i="6"/>
  <c r="G27" i="6" s="1"/>
  <c r="F26" i="6"/>
  <c r="G26" i="6" s="1"/>
  <c r="F25" i="6"/>
  <c r="G25" i="6" s="1"/>
  <c r="F24" i="6"/>
  <c r="G24" i="6" s="1"/>
  <c r="F23" i="6"/>
  <c r="G23" i="6" s="1"/>
  <c r="F22" i="6"/>
  <c r="G22" i="6" s="1"/>
  <c r="F21" i="6"/>
  <c r="D14" i="6"/>
  <c r="D13" i="6"/>
  <c r="G19" i="6" l="1"/>
  <c r="G21" i="6"/>
  <c r="F68" i="6"/>
  <c r="D62" i="6"/>
  <c r="D64" i="6" s="1"/>
  <c r="F61" i="6"/>
  <c r="F67" i="6"/>
  <c r="G20" i="6"/>
  <c r="E59" i="6"/>
  <c r="E60" i="6" s="1"/>
  <c r="F66" i="6"/>
  <c r="F59" i="6"/>
  <c r="F60" i="6" s="1"/>
  <c r="F58" i="6"/>
  <c r="F62" i="6" l="1"/>
  <c r="F64" i="6" s="1"/>
  <c r="E62" i="6"/>
  <c r="E64" i="6" s="1"/>
  <c r="G37" i="5" l="1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D14" i="5"/>
  <c r="D13" i="5"/>
  <c r="G19" i="5" l="1"/>
  <c r="J37" i="4" l="1"/>
  <c r="J36" i="4"/>
  <c r="J35" i="4"/>
  <c r="J34" i="4"/>
  <c r="J33" i="4"/>
  <c r="J32" i="4"/>
  <c r="J31" i="4"/>
  <c r="J30" i="4"/>
  <c r="J29" i="4"/>
  <c r="J28" i="4"/>
  <c r="J27" i="4"/>
  <c r="J26" i="4"/>
  <c r="J25" i="4"/>
  <c r="J24" i="4"/>
  <c r="J23" i="4"/>
  <c r="J22" i="4"/>
  <c r="J21" i="4"/>
  <c r="D14" i="4"/>
  <c r="D13" i="4"/>
  <c r="J20" i="4" l="1"/>
  <c r="J19" i="4"/>
  <c r="D67" i="3" l="1"/>
  <c r="F57" i="3"/>
  <c r="E57" i="3"/>
  <c r="D57" i="3"/>
  <c r="F37" i="3"/>
  <c r="G37" i="3" s="1"/>
  <c r="F36" i="3"/>
  <c r="G36" i="3" s="1"/>
  <c r="F35" i="3"/>
  <c r="G35" i="3" s="1"/>
  <c r="F34" i="3"/>
  <c r="G34" i="3" s="1"/>
  <c r="F33" i="3"/>
  <c r="G33" i="3" s="1"/>
  <c r="F32" i="3"/>
  <c r="G32" i="3" s="1"/>
  <c r="F31" i="3"/>
  <c r="G31" i="3" s="1"/>
  <c r="F30" i="3"/>
  <c r="G30" i="3" s="1"/>
  <c r="F29" i="3"/>
  <c r="G29" i="3" s="1"/>
  <c r="F28" i="3"/>
  <c r="G28" i="3" s="1"/>
  <c r="F27" i="3"/>
  <c r="G27" i="3" s="1"/>
  <c r="F26" i="3"/>
  <c r="G26" i="3" s="1"/>
  <c r="F25" i="3"/>
  <c r="G25" i="3" s="1"/>
  <c r="F24" i="3"/>
  <c r="G24" i="3" s="1"/>
  <c r="F23" i="3"/>
  <c r="G23" i="3" s="1"/>
  <c r="F22" i="3"/>
  <c r="G22" i="3" s="1"/>
  <c r="F21" i="3"/>
  <c r="G21" i="3" s="1"/>
  <c r="F20" i="3"/>
  <c r="G20" i="3" s="1"/>
  <c r="F19" i="3"/>
  <c r="G19" i="3" l="1"/>
  <c r="F61" i="3"/>
  <c r="F68" i="3"/>
  <c r="F58" i="3"/>
  <c r="F59" i="3" s="1"/>
  <c r="F60" i="3" s="1"/>
  <c r="F66" i="3"/>
  <c r="F67" i="3"/>
  <c r="E62" i="3"/>
  <c r="E64" i="3" s="1"/>
  <c r="D62" i="3"/>
  <c r="D64" i="3" s="1"/>
  <c r="F62" i="3" l="1"/>
  <c r="F64" i="3" s="1"/>
  <c r="E63" i="4"/>
  <c r="E65" i="4" s="1"/>
  <c r="G63" i="4" l="1"/>
  <c r="G65" i="4" s="1"/>
  <c r="I63" i="4"/>
  <c r="I65" i="4" s="1"/>
  <c r="F63" i="4"/>
  <c r="F65" i="4" s="1"/>
  <c r="FN11" i="12"/>
  <c r="FO11" i="12" l="1"/>
  <c r="FN19" i="12"/>
  <c r="FO19" i="12" s="1"/>
  <c r="FN12" i="12"/>
  <c r="FN13" i="12"/>
  <c r="FO13" i="12" s="1"/>
  <c r="FN14" i="12"/>
  <c r="FO14" i="12" s="1"/>
  <c r="FN15" i="12"/>
  <c r="FO15" i="12" s="1"/>
  <c r="FN39" i="12"/>
  <c r="FO39" i="12" s="1"/>
  <c r="FN17" i="12"/>
  <c r="FO17" i="12" s="1"/>
  <c r="FN18" i="12"/>
  <c r="FO18" i="12" s="1"/>
  <c r="FN46" i="12"/>
  <c r="FO46" i="12" s="1"/>
  <c r="FN40" i="12"/>
  <c r="FO40" i="12" s="1"/>
  <c r="FN41" i="12"/>
  <c r="FO41" i="12" s="1"/>
  <c r="FN45" i="12"/>
  <c r="FO45" i="12" s="1"/>
  <c r="FN35" i="12"/>
  <c r="FO35" i="12" s="1"/>
  <c r="FN16" i="12"/>
  <c r="FO16" i="12" s="1"/>
  <c r="FN36" i="12"/>
  <c r="FO36" i="12" s="1"/>
  <c r="FN37" i="12"/>
  <c r="FO37" i="12" s="1"/>
  <c r="FN38" i="12"/>
  <c r="FO38" i="12" s="1"/>
  <c r="FN59" i="12" l="1"/>
  <c r="FN60" i="12" s="1"/>
  <c r="FO12" i="12"/>
</calcChain>
</file>

<file path=xl/sharedStrings.xml><?xml version="1.0" encoding="utf-8"?>
<sst xmlns="http://schemas.openxmlformats.org/spreadsheetml/2006/main" count="1785" uniqueCount="355">
  <si>
    <t>No</t>
  </si>
  <si>
    <t>NIM</t>
  </si>
  <si>
    <t>Nama Mahasiswa</t>
  </si>
  <si>
    <t>24.01.55.0002</t>
  </si>
  <si>
    <t>NADIA SALSABILLA PUTRI</t>
  </si>
  <si>
    <t>24.01.55.0003</t>
  </si>
  <si>
    <t>LISA RAHMAWATI</t>
  </si>
  <si>
    <t>24.01.55.0004</t>
  </si>
  <si>
    <t>NAZWA FITRI AULIA</t>
  </si>
  <si>
    <t>24.01.55.0005</t>
  </si>
  <si>
    <t>RAFFAEL ANGGARA ARYA DEWA</t>
  </si>
  <si>
    <t>24.01.55.0006</t>
  </si>
  <si>
    <t>YUMROTUL MUKAROMAH</t>
  </si>
  <si>
    <t>24.01.55.0007</t>
  </si>
  <si>
    <t>USWATUN AULIA PANGESTIKA</t>
  </si>
  <si>
    <t>24.01.55.0008</t>
  </si>
  <si>
    <t>VINCENT LISTANEOF SANTOSO</t>
  </si>
  <si>
    <t>24.01.55.0009</t>
  </si>
  <si>
    <t>RETNO AJENG PUSPITASARI</t>
  </si>
  <si>
    <t>24.01.55.0010</t>
  </si>
  <si>
    <t>IQBAL FAHAR</t>
  </si>
  <si>
    <t>24.01.55.0011</t>
  </si>
  <si>
    <t>SHABRINA AULIA PUTRI</t>
  </si>
  <si>
    <t>24.01.55.0012</t>
  </si>
  <si>
    <t>ADELA PUTRI AJI</t>
  </si>
  <si>
    <t>24.01.55.0013</t>
  </si>
  <si>
    <t>AMELIA RISKI KURNIAWATI</t>
  </si>
  <si>
    <t>24.01.55.0014</t>
  </si>
  <si>
    <t>DAFFA IQBAL MAULANA</t>
  </si>
  <si>
    <t>24.01.55.0015</t>
  </si>
  <si>
    <t>KAISYA AUDIA VIERA</t>
  </si>
  <si>
    <t>24.01.55.0016</t>
  </si>
  <si>
    <t>LAILLA FATIMAH AZZAHRA</t>
  </si>
  <si>
    <t>24.01.55.3001</t>
  </si>
  <si>
    <t>REZA TANJUNG SETIAWAN</t>
  </si>
  <si>
    <t>24.01.55.3002</t>
  </si>
  <si>
    <t>MUHAMAD SATRIA AMBORO WIJAYA</t>
  </si>
  <si>
    <t>24.01.55.3003</t>
  </si>
  <si>
    <t>ANANTA SOFIANNUR</t>
  </si>
  <si>
    <t>24.01.55.3004</t>
  </si>
  <si>
    <t>RISTRAWAN WIRAWINELDA</t>
  </si>
  <si>
    <t>Kode Matakuliah</t>
  </si>
  <si>
    <t>Nama Matakuliah</t>
  </si>
  <si>
    <t>Kategori</t>
  </si>
  <si>
    <t>SKS</t>
  </si>
  <si>
    <t>ID</t>
  </si>
  <si>
    <t>Smtr</t>
  </si>
  <si>
    <t>MK1</t>
  </si>
  <si>
    <t>P.20.01.55.1.01</t>
  </si>
  <si>
    <t>TEORI MANAJEMEN</t>
  </si>
  <si>
    <t>Wajib</t>
  </si>
  <si>
    <t>V</t>
  </si>
  <si>
    <t>I</t>
  </si>
  <si>
    <t>MK2</t>
  </si>
  <si>
    <t>P.20.01.55.1.02</t>
  </si>
  <si>
    <t>TEORI ORGANISASI</t>
  </si>
  <si>
    <t>MK3</t>
  </si>
  <si>
    <t>P.20.01.55.1.03</t>
  </si>
  <si>
    <t>KONSEP SISTEM DAN TEKNOLOGI INFORMASI</t>
  </si>
  <si>
    <t>MK4</t>
  </si>
  <si>
    <t>P.20.01.55.1.04</t>
  </si>
  <si>
    <t>LOGIKA DAN ALGORITMA</t>
  </si>
  <si>
    <t>MK5</t>
  </si>
  <si>
    <t>P.20.01.55.1.05</t>
  </si>
  <si>
    <t>BAHASA PEMROGRAMAN</t>
  </si>
  <si>
    <t>MK6</t>
  </si>
  <si>
    <t>P.20.01.55.1.06</t>
  </si>
  <si>
    <t>LOGIKA MATEMATIKA</t>
  </si>
  <si>
    <t>MK7</t>
  </si>
  <si>
    <t>MANAJEMEN BASIS DATA</t>
  </si>
  <si>
    <t>P.20.01.55.1.07</t>
  </si>
  <si>
    <t>MK8</t>
  </si>
  <si>
    <t>BAHASA INGGRIS DASAR</t>
  </si>
  <si>
    <t>U.20.01.55.1.01</t>
  </si>
  <si>
    <t>MK59</t>
  </si>
  <si>
    <t>MK9</t>
  </si>
  <si>
    <t>P.20.01.55.2.08</t>
  </si>
  <si>
    <t>ANALISA SISTEM INFORMASI</t>
  </si>
  <si>
    <t>Total</t>
  </si>
  <si>
    <t>FORM MONITORING DAN EVALUASI</t>
  </si>
  <si>
    <t>KETERCAPAIAN CAPAIAN PEMBELAJARAN MATAKULIAH(CPMK) PADA SATU ANGKATAN</t>
  </si>
  <si>
    <t>Tahun Akademik</t>
  </si>
  <si>
    <t>: 2024/2025</t>
  </si>
  <si>
    <t>Program Studi</t>
  </si>
  <si>
    <t>: Sistem Informasi</t>
  </si>
  <si>
    <t>Fakultas</t>
  </si>
  <si>
    <t>: Teknologi Informasi dan Industri</t>
  </si>
  <si>
    <t>SKS Matakuliah</t>
  </si>
  <si>
    <t>: 2</t>
  </si>
  <si>
    <t>Semester/ Kelas</t>
  </si>
  <si>
    <t>: I / A1+DLC</t>
  </si>
  <si>
    <t>Dosen Pengampu</t>
  </si>
  <si>
    <t>Nilai Akhir MK</t>
  </si>
  <si>
    <t>Nilai Huruf</t>
  </si>
  <si>
    <t>CPL01</t>
  </si>
  <si>
    <t>CPL13</t>
  </si>
  <si>
    <t>CPMK014</t>
  </si>
  <si>
    <t>CPMK131</t>
  </si>
  <si>
    <t>&lt;=65</t>
  </si>
  <si>
    <t>&lt;85</t>
  </si>
  <si>
    <t>&gt;=85</t>
  </si>
  <si>
    <t>Jumlah mhsw yg lulus CPMK</t>
  </si>
  <si>
    <t>Minimal</t>
  </si>
  <si>
    <t>Maksimal</t>
  </si>
  <si>
    <t>Rata-Rata</t>
  </si>
  <si>
    <t>CPMK012</t>
  </si>
  <si>
    <t>Tidak KRS/Tidak Aktif</t>
  </si>
  <si>
    <t>CPL04</t>
  </si>
  <si>
    <t>CPL03</t>
  </si>
  <si>
    <t>CPMK011</t>
  </si>
  <si>
    <t>CPMK041</t>
  </si>
  <si>
    <t>CPMK031</t>
  </si>
  <si>
    <t>: 3</t>
  </si>
  <si>
    <t>: 2.</t>
  </si>
  <si>
    <t>CPL09</t>
  </si>
  <si>
    <t>CPMK033</t>
  </si>
  <si>
    <t>CPMK092</t>
  </si>
  <si>
    <t>CPMK032</t>
  </si>
  <si>
    <t>CPL02</t>
  </si>
  <si>
    <t>CPMK013</t>
  </si>
  <si>
    <t>CPMK021</t>
  </si>
  <si>
    <t>CPL10</t>
  </si>
  <si>
    <t>CPL12</t>
  </si>
  <si>
    <t>CPL14</t>
  </si>
  <si>
    <t>CPMK101</t>
  </si>
  <si>
    <t>CPMK121</t>
  </si>
  <si>
    <t>CPMK141</t>
  </si>
  <si>
    <t>: U.24.01.55.1.03</t>
  </si>
  <si>
    <t>: KEWARGANEGARAAN</t>
  </si>
  <si>
    <t>: 1.YU.2.03.07.063 - R. SOELISTIJADI, S.SOS, M.Kom.</t>
  </si>
  <si>
    <t>CPMK122</t>
  </si>
  <si>
    <t>[Mata Kuliah Semester I]</t>
  </si>
  <si>
    <t>Nilai Akhir Matakuliah</t>
  </si>
  <si>
    <t>Nilai</t>
  </si>
  <si>
    <t>D,G,J,T</t>
  </si>
  <si>
    <t>U</t>
  </si>
  <si>
    <t>N,Q</t>
  </si>
  <si>
    <t>K</t>
  </si>
  <si>
    <t>O,R</t>
  </si>
  <si>
    <t>X,AB,AF</t>
  </si>
  <si>
    <t>Y,AC,AG</t>
  </si>
  <si>
    <t>E,H, L,V</t>
  </si>
  <si>
    <t>Z,AD,AH</t>
  </si>
  <si>
    <t>E,H,L,V</t>
  </si>
  <si>
    <t>Capaian (%)</t>
  </si>
  <si>
    <t>CPL05</t>
  </si>
  <si>
    <t>CPL06</t>
  </si>
  <si>
    <t>CPL07</t>
  </si>
  <si>
    <t>CPL08</t>
  </si>
  <si>
    <t>CPL11</t>
  </si>
  <si>
    <t>CPMK091</t>
  </si>
  <si>
    <t>CPMK142</t>
  </si>
  <si>
    <t>SMT-I</t>
  </si>
  <si>
    <t>CPMK022</t>
  </si>
  <si>
    <t>CPMK023</t>
  </si>
  <si>
    <t>CPMK024</t>
  </si>
  <si>
    <t>CPMK042</t>
  </si>
  <si>
    <t>CPMK051</t>
  </si>
  <si>
    <t>CPMK052</t>
  </si>
  <si>
    <t>CPMK061</t>
  </si>
  <si>
    <t>CPMK062</t>
  </si>
  <si>
    <t>CPMK063</t>
  </si>
  <si>
    <t>CPMK064</t>
  </si>
  <si>
    <t>CPMK071</t>
  </si>
  <si>
    <t>CPMK072</t>
  </si>
  <si>
    <t>CPMK073</t>
  </si>
  <si>
    <t>CPMK081</t>
  </si>
  <si>
    <t>CPMK082</t>
  </si>
  <si>
    <t>CPMK102</t>
  </si>
  <si>
    <t>CPMK111</t>
  </si>
  <si>
    <t>CPMK112</t>
  </si>
  <si>
    <t>CPMK132</t>
  </si>
  <si>
    <t>&lt;65</t>
  </si>
  <si>
    <t>Rata-Rata CPMK</t>
  </si>
  <si>
    <t>CPL</t>
  </si>
  <si>
    <t>Total Capaian</t>
  </si>
  <si>
    <t>Rata-rata</t>
  </si>
  <si>
    <t>%</t>
  </si>
  <si>
    <t>Status</t>
  </si>
  <si>
    <t>Catatan :</t>
  </si>
  <si>
    <t>Pengukuran CPL di tingkat mata kuliah pada satu angkatan (2024)</t>
  </si>
  <si>
    <t>Capaian CPMK Semester 1</t>
  </si>
  <si>
    <t>CPMK</t>
  </si>
  <si>
    <t>Rata-Rata CPMK Per-MK</t>
  </si>
  <si>
    <t>Peserta</t>
  </si>
  <si>
    <t>Lulus</t>
  </si>
  <si>
    <t>Pengukuran CPMK di tingkat mata kuliah pada satu angkatan (2024)</t>
  </si>
  <si>
    <t>Capaian CPL Semester 1</t>
  </si>
  <si>
    <t>Tidak KRS/ Tidak Aktif</t>
  </si>
  <si>
    <t>CPL tercapai jika nilai capaian CPL&gt;=70 %</t>
  </si>
  <si>
    <r>
      <rPr>
        <sz val="11"/>
        <color theme="0"/>
        <rFont val="Aptos Narrow"/>
        <family val="2"/>
        <scheme val="minor"/>
      </rPr>
      <t xml:space="preserve">Rerata </t>
    </r>
    <r>
      <rPr>
        <b/>
        <sz val="11"/>
        <color theme="0"/>
        <rFont val="Aptos Narrow"/>
        <family val="2"/>
        <scheme val="minor"/>
      </rPr>
      <t>Capaian</t>
    </r>
  </si>
  <si>
    <t>P.24.05.52.1.01</t>
  </si>
  <si>
    <t>Akuntansi Pengantar 1</t>
  </si>
  <si>
    <t>P.24.05.52.1.02</t>
  </si>
  <si>
    <t>Perpajakan 1</t>
  </si>
  <si>
    <t>P.24.05.52.1.03</t>
  </si>
  <si>
    <t>Etika Bisnis dan Profesi</t>
  </si>
  <si>
    <t>P.24.05.52.1.04</t>
  </si>
  <si>
    <t>Teori Ekonomi</t>
  </si>
  <si>
    <t>P.24.05.52.1.05</t>
  </si>
  <si>
    <t>Hukum Bisnis dan Perikatan</t>
  </si>
  <si>
    <t>U.24.05.52.1.01</t>
  </si>
  <si>
    <t>Agama</t>
  </si>
  <si>
    <t>U.24.05.52.1.02</t>
  </si>
  <si>
    <t>Kewarganegaraan</t>
  </si>
  <si>
    <t>U.24.05.52.1.03</t>
  </si>
  <si>
    <t>English for Business</t>
  </si>
  <si>
    <t>: Akuntansi</t>
  </si>
  <si>
    <t>: P.24.05.52.1.01</t>
  </si>
  <si>
    <t>: Ekonomika dan Bisnis</t>
  </si>
  <si>
    <t>: Akuntansi Pengantar 1</t>
  </si>
  <si>
    <t>: 1. YU.2.03.04.059 RR. Tjahjaning Poerwati, SE., M.Si, Ak, CA</t>
  </si>
  <si>
    <t>: 2. YU.2.20.01.122 Muhammad Ali Ma`Sum, S.E., M.Sc</t>
  </si>
  <si>
    <t>: P.24.01.52.1.02</t>
  </si>
  <si>
    <t>: Perpajakan 1</t>
  </si>
  <si>
    <t>: 2.Y.3.00.10.075 - Rachmawati Meita O, S.E., M.Si., Ak., CA</t>
  </si>
  <si>
    <t>: 1.Y.2.93.01.090 - Jaeni, S.E., M.Si., Ak., CA</t>
  </si>
  <si>
    <t>CPMK103</t>
  </si>
  <si>
    <t>CPMK104</t>
  </si>
  <si>
    <t>: P.24.05.52.1.03</t>
  </si>
  <si>
    <t>: Etika Bisnis dan Profesi</t>
  </si>
  <si>
    <t xml:space="preserve">: 1.Y.2.93.01.091 - Dr. Pancawati Hardiningsih, SE, M.Si, Ak, CA, Asean CPA, CSR	</t>
  </si>
  <si>
    <t>: 2.Y.2.00.04.115 - Arief Himmawan Dwi Nugroho, SE, MM, M.Si., Ak, CA, CPA.</t>
  </si>
  <si>
    <t>: P.24.05.52.1.04</t>
  </si>
  <si>
    <t>: Teori Ekonomi</t>
  </si>
  <si>
    <t xml:space="preserve">: 1.	</t>
  </si>
  <si>
    <t>CPMK81</t>
  </si>
  <si>
    <t>CPMK91</t>
  </si>
  <si>
    <t>CPMK55</t>
  </si>
  <si>
    <t>CPMK56</t>
  </si>
  <si>
    <t>: P.24.05.52.1.05</t>
  </si>
  <si>
    <t>: Hukum Bisnis dan Perikatan</t>
  </si>
  <si>
    <t>CPMK114</t>
  </si>
  <si>
    <t>CPMK115</t>
  </si>
  <si>
    <t>: U.24.05.52.1.01</t>
  </si>
  <si>
    <t>: Agama</t>
  </si>
  <si>
    <t>: U.24.05.52.1.02</t>
  </si>
  <si>
    <t>: Kewarganegaraan</t>
  </si>
  <si>
    <t>: English for Business</t>
  </si>
  <si>
    <t>: UU.24.05.52.1.03</t>
  </si>
  <si>
    <t>: 1. Y.2.90.01.052 Dr. TRISTIANA RIJANTI, S.H, M.M.</t>
  </si>
  <si>
    <t>: 2. Y.2.91.10.069 ADI SULIANTORO, SH., M.H</t>
  </si>
  <si>
    <t>: 1. L.0329 JUNAIDI, S.Pd.I., M.S.I.</t>
  </si>
  <si>
    <t>: 2. L.0410 BM. HARRY PUTRANTI, S.FK</t>
  </si>
  <si>
    <t>: 3. YK.2.06.07.028 Dr. ANTONO ADHI, S.Kom, M.M., M.T.</t>
  </si>
  <si>
    <t>: 2. Y.2.92.07.087 Dr. Drs. AGUS BUDI SANTOSA, M.Si</t>
  </si>
  <si>
    <t>CPL1</t>
  </si>
  <si>
    <t>CPMK12</t>
  </si>
  <si>
    <t>CPMK13</t>
  </si>
  <si>
    <t>CPMK123</t>
  </si>
  <si>
    <t>: 1. L.0308 SARAH SUMPONOGATI, S.S, M.Li.</t>
  </si>
  <si>
    <t>CPMK11</t>
  </si>
  <si>
    <t>CPMK043</t>
  </si>
  <si>
    <t>CPMK044</t>
  </si>
  <si>
    <t>CPMK045</t>
  </si>
  <si>
    <t>CPMK046</t>
  </si>
  <si>
    <t>CPMK047</t>
  </si>
  <si>
    <t>CPMK053</t>
  </si>
  <si>
    <t>CPMK054</t>
  </si>
  <si>
    <t>CPMK055</t>
  </si>
  <si>
    <t>CPMK056</t>
  </si>
  <si>
    <t>CPMK057</t>
  </si>
  <si>
    <t>CPMK058</t>
  </si>
  <si>
    <t>CPMK074</t>
  </si>
  <si>
    <t>CPMK075</t>
  </si>
  <si>
    <t>CPMK076</t>
  </si>
  <si>
    <t>CPMK083</t>
  </si>
  <si>
    <t>CPMK093</t>
  </si>
  <si>
    <t>CPMK105</t>
  </si>
  <si>
    <t>CPMK113</t>
  </si>
  <si>
    <t>CPMK124</t>
  </si>
  <si>
    <t>CPMK125</t>
  </si>
  <si>
    <t>V,W,Y,Z</t>
  </si>
  <si>
    <t>D,E</t>
  </si>
  <si>
    <t>P,Q</t>
  </si>
  <si>
    <t>M,N</t>
  </si>
  <si>
    <t>N</t>
  </si>
  <si>
    <t>G,H,I,J</t>
  </si>
  <si>
    <t>K,S,T</t>
  </si>
  <si>
    <t>AB,AC</t>
  </si>
  <si>
    <t>25.05.52.0001</t>
  </si>
  <si>
    <t>SHEILA ANANDA</t>
  </si>
  <si>
    <t>25.05.52.0003</t>
  </si>
  <si>
    <t>MICHAEL JEREMY SUTJIPTO</t>
  </si>
  <si>
    <t>25.05.52.0004</t>
  </si>
  <si>
    <t>LILYANA AISYAHRA</t>
  </si>
  <si>
    <t>25.05.52.0005</t>
  </si>
  <si>
    <t>RYAN ARYA MAULANA</t>
  </si>
  <si>
    <t>25.05.52.0006</t>
  </si>
  <si>
    <t>ATIKA DEWI WULANDARI</t>
  </si>
  <si>
    <t>25.05.52.0007</t>
  </si>
  <si>
    <t>SURYA MAHARDIKA</t>
  </si>
  <si>
    <t>25.05.52.0008</t>
  </si>
  <si>
    <t>ALICE YULIA KURNIA PUTRI</t>
  </si>
  <si>
    <t>25.05.52.0009</t>
  </si>
  <si>
    <t>VIOLA SABRINA</t>
  </si>
  <si>
    <t>25.05.52.0010</t>
  </si>
  <si>
    <t>SHELLOMITA MALIKINA BALQIS KINANTI</t>
  </si>
  <si>
    <t>25.05.52.0011</t>
  </si>
  <si>
    <t>DESVANNI AYU DHIA PUTRI</t>
  </si>
  <si>
    <t>25.05.52.0012</t>
  </si>
  <si>
    <t>FADHLIYAH WULANDARI</t>
  </si>
  <si>
    <t>25.05.52.0013</t>
  </si>
  <si>
    <t>SATRIA PUTRA PUJIANA</t>
  </si>
  <si>
    <t>25.05.52.0014</t>
  </si>
  <si>
    <t>DHINI KHATTA MUTHOHAROH</t>
  </si>
  <si>
    <t>25.05.52.0015</t>
  </si>
  <si>
    <t>CAHYA GILANG RAHMADANI</t>
  </si>
  <si>
    <t>25.05.52.0016</t>
  </si>
  <si>
    <t>ABIMANYU PRAMUDYA</t>
  </si>
  <si>
    <t>25.05.52.0017</t>
  </si>
  <si>
    <t>AMELIA PUTRI ISMAYANI</t>
  </si>
  <si>
    <t>25.05.52.0018</t>
  </si>
  <si>
    <t>ZULIA ELSA AZZAHRO</t>
  </si>
  <si>
    <t>25.05.52.0019</t>
  </si>
  <si>
    <t>ANGGRAINI PUTRI WULANDARU</t>
  </si>
  <si>
    <t>25.05.52.0020</t>
  </si>
  <si>
    <t>ARINA RAHMA LUTFIANA</t>
  </si>
  <si>
    <t>25.05.52.0021</t>
  </si>
  <si>
    <t>DINA PUJA RAHAYU</t>
  </si>
  <si>
    <t>25.05.52.0022</t>
  </si>
  <si>
    <t>DINI PUJI LESTARI</t>
  </si>
  <si>
    <t>25.05.52.0023</t>
  </si>
  <si>
    <t>NADYA SHAFWAH KARTIKA</t>
  </si>
  <si>
    <t>25.05.52.0024</t>
  </si>
  <si>
    <t>ZAKHRA ANGGRAINI</t>
  </si>
  <si>
    <t>25.05.52.0025</t>
  </si>
  <si>
    <t>ASTRID JULAENA RIZKI</t>
  </si>
  <si>
    <t>25.05.52.0026</t>
  </si>
  <si>
    <t>JASMINE AMALIA NABILA SUKOCO</t>
  </si>
  <si>
    <t>25.05.52.3001</t>
  </si>
  <si>
    <t>THERESIA CECIA PUTRI ROSARI</t>
  </si>
  <si>
    <t>25.05.52.3002</t>
  </si>
  <si>
    <t>MAYLINDA KURNIAWATI</t>
  </si>
  <si>
    <t>25.05.52.3003</t>
  </si>
  <si>
    <t>PAULINA EDELTIANA DAMAN</t>
  </si>
  <si>
    <t>25.05.52.3004</t>
  </si>
  <si>
    <t>TAN, DANIEL VINCEN HINDRATMO</t>
  </si>
  <si>
    <t>25.05.52.3005</t>
  </si>
  <si>
    <t>MAYPRISHEILA WULANDARI</t>
  </si>
  <si>
    <t>25.05.52.3006</t>
  </si>
  <si>
    <t>MUHAMMAD RIZKIAWAN HERNANTO</t>
  </si>
  <si>
    <t>25.05.52.3007</t>
  </si>
  <si>
    <t>ALODIA ALIV CHRISTIN NATALIA</t>
  </si>
  <si>
    <t>25.05.52.3008</t>
  </si>
  <si>
    <t>VERA ARSYDA PUTRI</t>
  </si>
  <si>
    <t>25.05.52.3009</t>
  </si>
  <si>
    <t>M REZA BAHARUDDIN</t>
  </si>
  <si>
    <t>25.05.52.3010</t>
  </si>
  <si>
    <t>TAN, NATALIA ANGELINE HINDRATMO</t>
  </si>
  <si>
    <t>25.05.52.3011</t>
  </si>
  <si>
    <t>AJENG ARTHAFIANTI</t>
  </si>
  <si>
    <t>25.05.52.3012</t>
  </si>
  <si>
    <t>SASKIA WISNU PUTRI AMALIA</t>
  </si>
  <si>
    <t>: 1. Y.2.96.10.108 MULYO BUDI SETIAWAN, SE., M.M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</si>
</sst>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8"/>
      <color theme="1"/>
      <name val="Arial"/>
      <family val="2"/>
    </font>
    <font>
      <sz val="11"/>
      <color theme="1"/>
      <name val="Calibri"/>
      <family val="2"/>
    </font>
    <font>
      <b/>
      <sz val="8"/>
      <color theme="1"/>
      <name val="Times New Roman"/>
      <family val="1"/>
    </font>
    <font>
      <b/>
      <sz val="10"/>
      <color theme="1"/>
      <name val="Arial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0"/>
      <color theme="1"/>
      <name val="Arial"/>
      <family val="2"/>
    </font>
    <font>
      <sz val="8"/>
      <name val="Aptos Narrow"/>
      <family val="2"/>
      <scheme val="minor"/>
    </font>
    <font>
      <sz val="11"/>
      <color theme="1"/>
      <name val="Aptos Narrow"/>
      <scheme val="minor"/>
    </font>
    <font>
      <sz val="9"/>
      <color theme="1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4E291"/>
        <bgColor indexed="64"/>
      </patternFill>
    </fill>
    <fill>
      <patternFill patternType="solid">
        <fgColor rgb="FFB3E5A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49992370372631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06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/>
    <xf numFmtId="0" fontId="4" fillId="0" borderId="3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wrapText="1"/>
    </xf>
    <xf numFmtId="0" fontId="4" fillId="0" borderId="5" xfId="0" applyFont="1" applyBorder="1" applyAlignment="1">
      <alignment wrapText="1"/>
    </xf>
    <xf numFmtId="0" fontId="4" fillId="0" borderId="4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4" fillId="0" borderId="6" xfId="0" applyFont="1" applyBorder="1" applyAlignment="1">
      <alignment vertical="center" wrapText="1"/>
    </xf>
    <xf numFmtId="0" fontId="3" fillId="0" borderId="6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vertical="center" wrapText="1"/>
    </xf>
    <xf numFmtId="0" fontId="4" fillId="0" borderId="3" xfId="0" applyFont="1" applyBorder="1" applyAlignment="1">
      <alignment wrapText="1"/>
    </xf>
    <xf numFmtId="0" fontId="0" fillId="0" borderId="4" xfId="0" applyBorder="1" applyAlignment="1">
      <alignment horizontal="right" wrapText="1"/>
    </xf>
    <xf numFmtId="0" fontId="0" fillId="0" borderId="0" xfId="0" applyAlignment="1">
      <alignment horizontal="center" wrapText="1"/>
    </xf>
    <xf numFmtId="0" fontId="0" fillId="0" borderId="4" xfId="0" applyBorder="1" applyAlignment="1">
      <alignment horizontal="center" wrapText="1"/>
    </xf>
    <xf numFmtId="0" fontId="6" fillId="3" borderId="3" xfId="0" applyFont="1" applyFill="1" applyBorder="1" applyAlignment="1">
      <alignment vertical="center"/>
    </xf>
    <xf numFmtId="0" fontId="6" fillId="3" borderId="3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4" fillId="0" borderId="4" xfId="0" applyFont="1" applyBorder="1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4" fillId="0" borderId="3" xfId="0" applyFont="1" applyBorder="1"/>
    <xf numFmtId="0" fontId="4" fillId="0" borderId="4" xfId="0" applyFont="1" applyBorder="1"/>
    <xf numFmtId="0" fontId="10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6" borderId="1" xfId="0" applyFill="1" applyBorder="1" applyAlignment="1">
      <alignment horizontal="center"/>
    </xf>
    <xf numFmtId="2" fontId="0" fillId="6" borderId="1" xfId="0" applyNumberFormat="1" applyFill="1" applyBorder="1" applyAlignment="1">
      <alignment horizontal="center"/>
    </xf>
    <xf numFmtId="0" fontId="0" fillId="7" borderId="16" xfId="0" applyFill="1" applyBorder="1" applyAlignment="1">
      <alignment wrapText="1"/>
    </xf>
    <xf numFmtId="0" fontId="0" fillId="7" borderId="6" xfId="0" applyFill="1" applyBorder="1" applyAlignment="1">
      <alignment horizontal="center" wrapText="1"/>
    </xf>
    <xf numFmtId="0" fontId="0" fillId="4" borderId="16" xfId="0" applyFill="1" applyBorder="1" applyAlignment="1">
      <alignment wrapText="1"/>
    </xf>
    <xf numFmtId="0" fontId="0" fillId="4" borderId="6" xfId="0" applyFill="1" applyBorder="1" applyAlignment="1">
      <alignment horizontal="center" wrapText="1"/>
    </xf>
    <xf numFmtId="0" fontId="0" fillId="8" borderId="2" xfId="0" applyFill="1" applyBorder="1" applyAlignment="1">
      <alignment wrapText="1"/>
    </xf>
    <xf numFmtId="0" fontId="0" fillId="9" borderId="3" xfId="0" applyFill="1" applyBorder="1" applyAlignment="1">
      <alignment horizontal="center" wrapText="1"/>
    </xf>
    <xf numFmtId="1" fontId="0" fillId="9" borderId="3" xfId="0" applyNumberFormat="1" applyFill="1" applyBorder="1" applyAlignment="1">
      <alignment horizontal="center" wrapText="1"/>
    </xf>
    <xf numFmtId="0" fontId="0" fillId="10" borderId="2" xfId="0" applyFill="1" applyBorder="1" applyAlignment="1">
      <alignment wrapText="1"/>
    </xf>
    <xf numFmtId="0" fontId="0" fillId="10" borderId="3" xfId="0" applyFill="1" applyBorder="1" applyAlignment="1">
      <alignment horizontal="center"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wrapText="1"/>
    </xf>
    <xf numFmtId="0" fontId="11" fillId="0" borderId="4" xfId="0" applyFont="1" applyBorder="1" applyAlignment="1">
      <alignment wrapText="1"/>
    </xf>
    <xf numFmtId="9" fontId="0" fillId="0" borderId="4" xfId="0" applyNumberFormat="1" applyBorder="1" applyAlignment="1">
      <alignment horizontal="center" vertical="center" wrapText="1"/>
    </xf>
    <xf numFmtId="2" fontId="0" fillId="0" borderId="4" xfId="0" applyNumberFormat="1" applyBorder="1" applyAlignment="1">
      <alignment horizontal="center" wrapText="1"/>
    </xf>
    <xf numFmtId="0" fontId="0" fillId="0" borderId="22" xfId="0" applyBorder="1" applyAlignment="1">
      <alignment wrapText="1"/>
    </xf>
    <xf numFmtId="0" fontId="11" fillId="0" borderId="1" xfId="0" applyFont="1" applyBorder="1" applyAlignment="1">
      <alignment wrapText="1"/>
    </xf>
    <xf numFmtId="9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2" fontId="0" fillId="0" borderId="1" xfId="0" applyNumberFormat="1" applyBorder="1" applyAlignment="1">
      <alignment horizontal="center" wrapText="1"/>
    </xf>
    <xf numFmtId="0" fontId="12" fillId="0" borderId="0" xfId="0" applyFont="1"/>
    <xf numFmtId="0" fontId="13" fillId="0" borderId="0" xfId="0" applyFont="1"/>
    <xf numFmtId="0" fontId="14" fillId="0" borderId="1" xfId="0" applyFont="1" applyBorder="1" applyAlignment="1">
      <alignment horizontal="center" vertical="center"/>
    </xf>
    <xf numFmtId="0" fontId="0" fillId="11" borderId="1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14" borderId="1" xfId="0" applyFill="1" applyBorder="1" applyAlignment="1">
      <alignment horizontal="center"/>
    </xf>
    <xf numFmtId="0" fontId="0" fillId="15" borderId="1" xfId="0" applyFill="1" applyBorder="1" applyAlignment="1">
      <alignment horizontal="center"/>
    </xf>
    <xf numFmtId="0" fontId="0" fillId="16" borderId="1" xfId="0" applyFill="1" applyBorder="1" applyAlignment="1">
      <alignment horizontal="center"/>
    </xf>
    <xf numFmtId="0" fontId="0" fillId="17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0" xfId="0" applyAlignment="1">
      <alignment horizontal="right"/>
    </xf>
    <xf numFmtId="0" fontId="0" fillId="0" borderId="15" xfId="0" applyBorder="1" applyAlignment="1">
      <alignment horizontal="center" vertical="center"/>
    </xf>
    <xf numFmtId="2" fontId="0" fillId="11" borderId="1" xfId="0" applyNumberFormat="1" applyFill="1" applyBorder="1" applyAlignment="1">
      <alignment horizontal="center"/>
    </xf>
    <xf numFmtId="2" fontId="0" fillId="13" borderId="1" xfId="0" applyNumberFormat="1" applyFill="1" applyBorder="1" applyAlignment="1">
      <alignment horizontal="center"/>
    </xf>
    <xf numFmtId="2" fontId="0" fillId="14" borderId="1" xfId="0" applyNumberFormat="1" applyFill="1" applyBorder="1" applyAlignment="1">
      <alignment horizontal="center"/>
    </xf>
    <xf numFmtId="2" fontId="0" fillId="15" borderId="1" xfId="0" applyNumberFormat="1" applyFill="1" applyBorder="1" applyAlignment="1">
      <alignment horizontal="center"/>
    </xf>
    <xf numFmtId="2" fontId="0" fillId="16" borderId="1" xfId="0" applyNumberFormat="1" applyFill="1" applyBorder="1" applyAlignment="1">
      <alignment horizontal="center"/>
    </xf>
    <xf numFmtId="2" fontId="0" fillId="17" borderId="1" xfId="0" applyNumberFormat="1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" xfId="1" applyNumberFormat="1" applyFont="1" applyBorder="1" applyAlignment="1">
      <alignment horizontal="center"/>
    </xf>
    <xf numFmtId="2" fontId="0" fillId="0" borderId="1" xfId="0" applyNumberFormat="1" applyBorder="1"/>
    <xf numFmtId="2" fontId="0" fillId="0" borderId="0" xfId="0" applyNumberFormat="1"/>
    <xf numFmtId="2" fontId="0" fillId="0" borderId="4" xfId="0" applyNumberFormat="1" applyBorder="1" applyAlignment="1">
      <alignment horizontal="right" wrapText="1"/>
    </xf>
    <xf numFmtId="2" fontId="0" fillId="0" borderId="4" xfId="1" applyNumberFormat="1" applyFont="1" applyBorder="1" applyAlignment="1">
      <alignment horizontal="right" wrapText="1"/>
    </xf>
    <xf numFmtId="0" fontId="11" fillId="0" borderId="22" xfId="0" applyFont="1" applyBorder="1" applyAlignment="1">
      <alignment wrapText="1"/>
    </xf>
    <xf numFmtId="0" fontId="0" fillId="0" borderId="22" xfId="0" applyBorder="1" applyAlignment="1">
      <alignment horizontal="right" wrapText="1"/>
    </xf>
    <xf numFmtId="9" fontId="0" fillId="0" borderId="1" xfId="1" applyFont="1" applyBorder="1"/>
    <xf numFmtId="0" fontId="2" fillId="2" borderId="1" xfId="0" applyFont="1" applyFill="1" applyBorder="1" applyAlignment="1">
      <alignment horizontal="center" vertical="center"/>
    </xf>
    <xf numFmtId="9" fontId="0" fillId="0" borderId="1" xfId="1" applyFont="1" applyBorder="1" applyAlignment="1">
      <alignment horizontal="center"/>
    </xf>
    <xf numFmtId="9" fontId="0" fillId="0" borderId="1" xfId="1" applyFont="1" applyBorder="1" applyAlignment="1">
      <alignment horizontal="center" vertical="center"/>
    </xf>
    <xf numFmtId="2" fontId="0" fillId="12" borderId="1" xfId="0" applyNumberFormat="1" applyFill="1" applyBorder="1" applyAlignment="1">
      <alignment horizontal="center"/>
    </xf>
    <xf numFmtId="0" fontId="0" fillId="2" borderId="1" xfId="0" applyFill="1" applyBorder="1"/>
    <xf numFmtId="2" fontId="0" fillId="0" borderId="0" xfId="0" applyNumberFormat="1" applyAlignment="1">
      <alignment horizontal="center"/>
    </xf>
    <xf numFmtId="9" fontId="0" fillId="0" borderId="0" xfId="1" applyFont="1" applyAlignment="1">
      <alignment horizontal="center"/>
    </xf>
    <xf numFmtId="2" fontId="0" fillId="0" borderId="1" xfId="0" applyNumberFormat="1" applyBorder="1" applyAlignment="1">
      <alignment horizontal="center" vertical="center"/>
    </xf>
    <xf numFmtId="2" fontId="0" fillId="0" borderId="1" xfId="0" quotePrefix="1" applyNumberFormat="1" applyBorder="1" applyAlignment="1">
      <alignment horizontal="center"/>
    </xf>
    <xf numFmtId="9" fontId="0" fillId="0" borderId="4" xfId="1" applyFont="1" applyBorder="1" applyAlignment="1">
      <alignment horizontal="center" vertical="center" wrapText="1"/>
    </xf>
    <xf numFmtId="0" fontId="0" fillId="0" borderId="1" xfId="1" applyNumberFormat="1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5" fillId="0" borderId="0" xfId="0" applyFont="1"/>
    <xf numFmtId="2" fontId="15" fillId="0" borderId="0" xfId="0" applyNumberFormat="1" applyFont="1"/>
    <xf numFmtId="9" fontId="0" fillId="0" borderId="0" xfId="1" applyFont="1"/>
    <xf numFmtId="9" fontId="0" fillId="0" borderId="1" xfId="1" applyFont="1" applyFill="1" applyBorder="1" applyAlignment="1">
      <alignment horizontal="center"/>
    </xf>
    <xf numFmtId="0" fontId="0" fillId="0" borderId="1" xfId="1" applyNumberFormat="1" applyFont="1" applyFill="1" applyBorder="1" applyAlignment="1">
      <alignment horizontal="center"/>
    </xf>
    <xf numFmtId="0" fontId="16" fillId="0" borderId="2" xfId="0" applyFont="1" applyBorder="1" applyAlignment="1">
      <alignment vertical="center" wrapText="1"/>
    </xf>
    <xf numFmtId="0" fontId="16" fillId="0" borderId="25" xfId="0" applyFont="1" applyBorder="1" applyAlignment="1">
      <alignment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26" xfId="0" applyFont="1" applyBorder="1" applyAlignment="1">
      <alignment vertical="center" wrapText="1"/>
    </xf>
    <xf numFmtId="0" fontId="16" fillId="0" borderId="27" xfId="0" applyFont="1" applyBorder="1" applyAlignment="1">
      <alignment vertical="center" wrapText="1"/>
    </xf>
    <xf numFmtId="0" fontId="16" fillId="0" borderId="27" xfId="0" applyFont="1" applyBorder="1" applyAlignment="1">
      <alignment horizontal="center" vertical="center" wrapText="1"/>
    </xf>
    <xf numFmtId="0" fontId="17" fillId="0" borderId="27" xfId="0" applyFont="1" applyBorder="1" applyAlignment="1">
      <alignment vertical="center" wrapText="1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left"/>
    </xf>
    <xf numFmtId="0" fontId="18" fillId="0" borderId="0" xfId="0" applyFont="1"/>
    <xf numFmtId="0" fontId="18" fillId="0" borderId="0" xfId="0" applyFont="1" applyAlignment="1">
      <alignment horizontal="left"/>
    </xf>
    <xf numFmtId="0" fontId="18" fillId="6" borderId="1" xfId="0" applyFont="1" applyFill="1" applyBorder="1" applyAlignment="1">
      <alignment horizontal="center"/>
    </xf>
    <xf numFmtId="0" fontId="19" fillId="2" borderId="1" xfId="0" applyFont="1" applyFill="1" applyBorder="1" applyAlignment="1">
      <alignment horizontal="center"/>
    </xf>
    <xf numFmtId="0" fontId="18" fillId="0" borderId="1" xfId="0" applyFont="1" applyBorder="1" applyAlignment="1">
      <alignment horizontal="center"/>
    </xf>
    <xf numFmtId="2" fontId="18" fillId="6" borderId="1" xfId="0" applyNumberFormat="1" applyFont="1" applyFill="1" applyBorder="1" applyAlignment="1">
      <alignment horizontal="center"/>
    </xf>
    <xf numFmtId="0" fontId="18" fillId="0" borderId="0" xfId="0" applyFont="1" applyFill="1" applyBorder="1" applyAlignment="1">
      <alignment horizontal="center"/>
    </xf>
    <xf numFmtId="0" fontId="18" fillId="0" borderId="0" xfId="0" applyFont="1" applyBorder="1"/>
    <xf numFmtId="2" fontId="18" fillId="0" borderId="0" xfId="0" applyNumberFormat="1" applyFont="1" applyFill="1" applyBorder="1" applyAlignment="1">
      <alignment horizontal="center"/>
    </xf>
    <xf numFmtId="0" fontId="18" fillId="0" borderId="0" xfId="0" applyFont="1" applyAlignment="1">
      <alignment horizontal="center"/>
    </xf>
    <xf numFmtId="0" fontId="18" fillId="7" borderId="16" xfId="0" applyFont="1" applyFill="1" applyBorder="1" applyAlignment="1">
      <alignment wrapText="1"/>
    </xf>
    <xf numFmtId="0" fontId="18" fillId="7" borderId="6" xfId="0" applyFont="1" applyFill="1" applyBorder="1" applyAlignment="1">
      <alignment horizontal="center" wrapText="1"/>
    </xf>
    <xf numFmtId="0" fontId="18" fillId="4" borderId="16" xfId="0" applyFont="1" applyFill="1" applyBorder="1" applyAlignment="1">
      <alignment wrapText="1"/>
    </xf>
    <xf numFmtId="0" fontId="18" fillId="4" borderId="6" xfId="0" applyFont="1" applyFill="1" applyBorder="1" applyAlignment="1">
      <alignment horizontal="center" wrapText="1"/>
    </xf>
    <xf numFmtId="0" fontId="18" fillId="8" borderId="2" xfId="0" applyFont="1" applyFill="1" applyBorder="1" applyAlignment="1">
      <alignment wrapText="1"/>
    </xf>
    <xf numFmtId="0" fontId="18" fillId="9" borderId="3" xfId="0" applyFont="1" applyFill="1" applyBorder="1" applyAlignment="1">
      <alignment horizontal="center" wrapText="1"/>
    </xf>
    <xf numFmtId="1" fontId="18" fillId="9" borderId="3" xfId="0" applyNumberFormat="1" applyFont="1" applyFill="1" applyBorder="1" applyAlignment="1">
      <alignment horizontal="center" wrapText="1"/>
    </xf>
    <xf numFmtId="0" fontId="18" fillId="10" borderId="2" xfId="0" applyFont="1" applyFill="1" applyBorder="1" applyAlignment="1">
      <alignment wrapText="1"/>
    </xf>
    <xf numFmtId="0" fontId="18" fillId="10" borderId="3" xfId="0" applyFont="1" applyFill="1" applyBorder="1" applyAlignment="1">
      <alignment horizontal="center" wrapText="1"/>
    </xf>
    <xf numFmtId="0" fontId="18" fillId="0" borderId="2" xfId="0" applyFont="1" applyBorder="1" applyAlignment="1">
      <alignment wrapText="1"/>
    </xf>
    <xf numFmtId="0" fontId="18" fillId="0" borderId="3" xfId="0" applyFont="1" applyBorder="1" applyAlignment="1">
      <alignment horizontal="center" wrapText="1"/>
    </xf>
    <xf numFmtId="0" fontId="18" fillId="0" borderId="4" xfId="0" applyFont="1" applyBorder="1" applyAlignment="1">
      <alignment wrapText="1"/>
    </xf>
    <xf numFmtId="0" fontId="20" fillId="0" borderId="4" xfId="0" applyFont="1" applyBorder="1" applyAlignment="1">
      <alignment wrapText="1"/>
    </xf>
    <xf numFmtId="9" fontId="18" fillId="0" borderId="4" xfId="0" applyNumberFormat="1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wrapText="1"/>
    </xf>
    <xf numFmtId="2" fontId="18" fillId="0" borderId="4" xfId="0" applyNumberFormat="1" applyFont="1" applyBorder="1" applyAlignment="1">
      <alignment horizontal="center" wrapText="1"/>
    </xf>
    <xf numFmtId="0" fontId="0" fillId="6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2" fontId="18" fillId="4" borderId="6" xfId="0" applyNumberFormat="1" applyFont="1" applyFill="1" applyBorder="1" applyAlignment="1">
      <alignment horizontal="center" wrapText="1"/>
    </xf>
    <xf numFmtId="0" fontId="0" fillId="0" borderId="0" xfId="0" applyFill="1" applyBorder="1" applyAlignment="1">
      <alignment horizontal="left"/>
    </xf>
    <xf numFmtId="2" fontId="0" fillId="0" borderId="0" xfId="0" applyNumberFormat="1" applyFill="1" applyBorder="1" applyAlignment="1">
      <alignment horizontal="center"/>
    </xf>
    <xf numFmtId="0" fontId="18" fillId="6" borderId="1" xfId="0" applyFont="1" applyFill="1" applyBorder="1" applyAlignment="1">
      <alignment horizontal="left"/>
    </xf>
    <xf numFmtId="0" fontId="18" fillId="2" borderId="0" xfId="0" applyFont="1" applyFill="1"/>
    <xf numFmtId="0" fontId="18" fillId="0" borderId="0" xfId="0" applyFont="1" applyFill="1"/>
    <xf numFmtId="2" fontId="18" fillId="6" borderId="1" xfId="0" applyNumberFormat="1" applyFont="1" applyFill="1" applyBorder="1"/>
    <xf numFmtId="0" fontId="0" fillId="6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0" xfId="0" applyFill="1"/>
    <xf numFmtId="0" fontId="0" fillId="2" borderId="0" xfId="0" applyFill="1" applyAlignment="1">
      <alignment wrapText="1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center"/>
    </xf>
    <xf numFmtId="0" fontId="0" fillId="2" borderId="1" xfId="0" applyFill="1" applyBorder="1" applyAlignment="1">
      <alignment horizontal="left"/>
    </xf>
    <xf numFmtId="2" fontId="0" fillId="2" borderId="1" xfId="0" applyNumberFormat="1" applyFill="1" applyBorder="1" applyAlignment="1">
      <alignment horizontal="center"/>
    </xf>
    <xf numFmtId="0" fontId="0" fillId="2" borderId="0" xfId="0" applyFill="1" applyAlignment="1">
      <alignment horizontal="center" wrapText="1"/>
    </xf>
    <xf numFmtId="0" fontId="0" fillId="2" borderId="16" xfId="0" applyFill="1" applyBorder="1" applyAlignment="1">
      <alignment wrapText="1"/>
    </xf>
    <xf numFmtId="0" fontId="0" fillId="2" borderId="6" xfId="0" applyFill="1" applyBorder="1" applyAlignment="1">
      <alignment horizontal="center" wrapText="1"/>
    </xf>
    <xf numFmtId="0" fontId="0" fillId="2" borderId="2" xfId="0" applyFill="1" applyBorder="1" applyAlignment="1">
      <alignment wrapText="1"/>
    </xf>
    <xf numFmtId="0" fontId="0" fillId="2" borderId="3" xfId="0" applyFill="1" applyBorder="1" applyAlignment="1">
      <alignment horizontal="center" wrapText="1"/>
    </xf>
    <xf numFmtId="1" fontId="0" fillId="2" borderId="3" xfId="0" applyNumberFormat="1" applyFill="1" applyBorder="1" applyAlignment="1">
      <alignment horizontal="center" wrapText="1"/>
    </xf>
    <xf numFmtId="0" fontId="0" fillId="2" borderId="4" xfId="0" applyFill="1" applyBorder="1" applyAlignment="1">
      <alignment wrapText="1"/>
    </xf>
    <xf numFmtId="0" fontId="11" fillId="2" borderId="4" xfId="0" applyFont="1" applyFill="1" applyBorder="1" applyAlignment="1">
      <alignment wrapText="1"/>
    </xf>
    <xf numFmtId="9" fontId="0" fillId="2" borderId="4" xfId="0" applyNumberFormat="1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wrapText="1"/>
    </xf>
    <xf numFmtId="2" fontId="0" fillId="2" borderId="4" xfId="0" applyNumberFormat="1" applyFill="1" applyBorder="1" applyAlignment="1">
      <alignment horizontal="center" wrapText="1"/>
    </xf>
    <xf numFmtId="0" fontId="18" fillId="0" borderId="0" xfId="0" applyNumberFormat="1" applyFont="1"/>
    <xf numFmtId="0" fontId="18" fillId="4" borderId="16" xfId="0" applyNumberFormat="1" applyFont="1" applyFill="1" applyBorder="1" applyAlignment="1">
      <alignment wrapText="1"/>
    </xf>
    <xf numFmtId="0" fontId="18" fillId="4" borderId="6" xfId="0" applyNumberFormat="1" applyFont="1" applyFill="1" applyBorder="1" applyAlignment="1">
      <alignment horizontal="center" wrapText="1"/>
    </xf>
    <xf numFmtId="0" fontId="4" fillId="0" borderId="0" xfId="0" applyFont="1" applyAlignment="1">
      <alignment vertical="center"/>
    </xf>
    <xf numFmtId="0" fontId="18" fillId="11" borderId="1" xfId="0" applyFont="1" applyFill="1" applyBorder="1" applyAlignment="1">
      <alignment horizontal="center"/>
    </xf>
    <xf numFmtId="0" fontId="18" fillId="12" borderId="1" xfId="0" applyFont="1" applyFill="1" applyBorder="1" applyAlignment="1">
      <alignment horizontal="left"/>
    </xf>
    <xf numFmtId="0" fontId="18" fillId="12" borderId="1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9" fontId="0" fillId="0" borderId="13" xfId="1" applyFont="1" applyBorder="1" applyAlignment="1">
      <alignment horizontal="center" vertical="center"/>
    </xf>
    <xf numFmtId="9" fontId="0" fillId="0" borderId="15" xfId="1" applyFont="1" applyBorder="1" applyAlignment="1">
      <alignment horizontal="center" vertical="center"/>
    </xf>
    <xf numFmtId="9" fontId="0" fillId="2" borderId="1" xfId="1" applyFont="1" applyFill="1" applyBorder="1"/>
    <xf numFmtId="9" fontId="0" fillId="0" borderId="0" xfId="1" applyFont="1" applyBorder="1" applyAlignment="1">
      <alignment horizontal="center" vertical="center" wrapText="1"/>
    </xf>
    <xf numFmtId="9" fontId="0" fillId="0" borderId="0" xfId="1" applyFont="1" applyBorder="1" applyAlignment="1">
      <alignment horizontal="center" vertical="center"/>
    </xf>
    <xf numFmtId="0" fontId="15" fillId="2" borderId="0" xfId="0" applyFont="1" applyFill="1"/>
    <xf numFmtId="2" fontId="0" fillId="2" borderId="1" xfId="0" applyNumberFormat="1" applyFill="1" applyBorder="1"/>
    <xf numFmtId="9" fontId="0" fillId="2" borderId="1" xfId="1" applyFont="1" applyFill="1" applyBorder="1" applyAlignment="1">
      <alignment horizontal="center"/>
    </xf>
    <xf numFmtId="9" fontId="0" fillId="2" borderId="4" xfId="1" applyFont="1" applyFill="1" applyBorder="1" applyAlignment="1">
      <alignment horizontal="center" vertical="center" wrapText="1"/>
    </xf>
    <xf numFmtId="2" fontId="15" fillId="2" borderId="0" xfId="0" applyNumberFormat="1" applyFont="1" applyFill="1"/>
    <xf numFmtId="2" fontId="0" fillId="2" borderId="1" xfId="0" applyNumberFormat="1" applyFill="1" applyBorder="1" applyAlignment="1">
      <alignment horizontal="center" wrapText="1"/>
    </xf>
    <xf numFmtId="9" fontId="0" fillId="2" borderId="1" xfId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1" applyNumberFormat="1" applyFont="1"/>
    <xf numFmtId="0" fontId="0" fillId="0" borderId="13" xfId="1" applyNumberFormat="1" applyFont="1" applyBorder="1" applyAlignment="1">
      <alignment horizontal="center" vertical="center"/>
    </xf>
    <xf numFmtId="0" fontId="0" fillId="0" borderId="15" xfId="1" applyNumberFormat="1" applyFont="1" applyBorder="1" applyAlignment="1">
      <alignment horizontal="center" vertical="center"/>
    </xf>
    <xf numFmtId="0" fontId="0" fillId="2" borderId="1" xfId="1" applyNumberFormat="1" applyFont="1" applyFill="1" applyBorder="1"/>
    <xf numFmtId="2" fontId="22" fillId="0" borderId="1" xfId="1" applyNumberFormat="1" applyFont="1" applyBorder="1" applyAlignment="1">
      <alignment horizontal="center"/>
    </xf>
    <xf numFmtId="2" fontId="0" fillId="0" borderId="1" xfId="1" applyNumberFormat="1" applyFont="1" applyBorder="1"/>
    <xf numFmtId="2" fontId="0" fillId="0" borderId="13" xfId="0" applyNumberFormat="1" applyBorder="1" applyAlignment="1">
      <alignment horizontal="center" vertical="center"/>
    </xf>
    <xf numFmtId="2" fontId="0" fillId="0" borderId="15" xfId="0" applyNumberFormat="1" applyBorder="1" applyAlignment="1">
      <alignment horizontal="center" vertical="center"/>
    </xf>
    <xf numFmtId="9" fontId="22" fillId="0" borderId="1" xfId="1" applyFont="1" applyBorder="1" applyAlignment="1">
      <alignment horizont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23" fillId="0" borderId="1" xfId="0" applyFont="1" applyBorder="1"/>
    <xf numFmtId="2" fontId="0" fillId="6" borderId="1" xfId="0" applyNumberFormat="1" applyFill="1" applyBorder="1"/>
    <xf numFmtId="0" fontId="9" fillId="5" borderId="7" xfId="0" applyFont="1" applyFill="1" applyBorder="1" applyAlignment="1">
      <alignment horizontal="right" vertical="center"/>
    </xf>
    <xf numFmtId="0" fontId="9" fillId="5" borderId="8" xfId="0" applyFont="1" applyFill="1" applyBorder="1" applyAlignment="1">
      <alignment horizontal="right" vertical="center"/>
    </xf>
    <xf numFmtId="0" fontId="9" fillId="5" borderId="9" xfId="0" applyFont="1" applyFill="1" applyBorder="1" applyAlignment="1">
      <alignment horizontal="right" vertical="center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18" fillId="6" borderId="11" xfId="0" applyFont="1" applyFill="1" applyBorder="1" applyAlignment="1">
      <alignment horizontal="center"/>
    </xf>
    <xf numFmtId="0" fontId="18" fillId="6" borderId="12" xfId="0" applyFont="1" applyFill="1" applyBorder="1" applyAlignment="1">
      <alignment horizontal="center"/>
    </xf>
    <xf numFmtId="0" fontId="18" fillId="6" borderId="13" xfId="0" applyFont="1" applyFill="1" applyBorder="1" applyAlignment="1">
      <alignment horizontal="center" vertical="center" wrapText="1"/>
    </xf>
    <xf numFmtId="0" fontId="18" fillId="6" borderId="14" xfId="0" applyFont="1" applyFill="1" applyBorder="1" applyAlignment="1">
      <alignment horizontal="center" vertical="center" wrapText="1"/>
    </xf>
    <xf numFmtId="0" fontId="18" fillId="6" borderId="15" xfId="0" applyFont="1" applyFill="1" applyBorder="1" applyAlignment="1">
      <alignment horizontal="center" vertical="center" wrapText="1"/>
    </xf>
    <xf numFmtId="0" fontId="18" fillId="6" borderId="1" xfId="0" applyFont="1" applyFill="1" applyBorder="1" applyAlignment="1">
      <alignment horizontal="center"/>
    </xf>
    <xf numFmtId="0" fontId="0" fillId="6" borderId="17" xfId="0" applyFill="1" applyBorder="1" applyAlignment="1">
      <alignment horizontal="center"/>
    </xf>
    <xf numFmtId="0" fontId="0" fillId="6" borderId="18" xfId="0" applyFill="1" applyBorder="1" applyAlignment="1">
      <alignment horizontal="center"/>
    </xf>
    <xf numFmtId="0" fontId="0" fillId="6" borderId="13" xfId="0" applyFill="1" applyBorder="1" applyAlignment="1">
      <alignment horizontal="center" vertical="center" wrapText="1"/>
    </xf>
    <xf numFmtId="0" fontId="0" fillId="6" borderId="14" xfId="0" applyFill="1" applyBorder="1" applyAlignment="1">
      <alignment horizontal="center" vertical="center" wrapText="1"/>
    </xf>
    <xf numFmtId="0" fontId="0" fillId="6" borderId="15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1" xfId="0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10" fillId="2" borderId="0" xfId="0" applyFont="1" applyFill="1" applyAlignment="1">
      <alignment horizontal="center"/>
    </xf>
    <xf numFmtId="0" fontId="10" fillId="2" borderId="10" xfId="0" applyFont="1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13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0" fillId="2" borderId="15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5" xfId="0" applyBorder="1" applyAlignment="1">
      <alignment horizontal="center" vertical="top" wrapText="1"/>
    </xf>
    <xf numFmtId="9" fontId="0" fillId="0" borderId="13" xfId="1" applyFont="1" applyBorder="1" applyAlignment="1">
      <alignment horizontal="center" vertical="center"/>
    </xf>
    <xf numFmtId="9" fontId="0" fillId="0" borderId="15" xfId="1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18" fillId="11" borderId="11" xfId="0" applyFont="1" applyFill="1" applyBorder="1" applyAlignment="1">
      <alignment horizontal="center"/>
    </xf>
    <xf numFmtId="0" fontId="18" fillId="11" borderId="21" xfId="0" applyFont="1" applyFill="1" applyBorder="1" applyAlignment="1">
      <alignment horizontal="center"/>
    </xf>
    <xf numFmtId="0" fontId="18" fillId="12" borderId="11" xfId="0" applyFont="1" applyFill="1" applyBorder="1" applyAlignment="1">
      <alignment horizontal="center"/>
    </xf>
    <xf numFmtId="0" fontId="18" fillId="12" borderId="12" xfId="0" applyFont="1" applyFill="1" applyBorder="1" applyAlignment="1">
      <alignment horizontal="center"/>
    </xf>
    <xf numFmtId="0" fontId="18" fillId="12" borderId="21" xfId="0" applyFont="1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14" borderId="11" xfId="0" applyFill="1" applyBorder="1" applyAlignment="1">
      <alignment horizontal="center"/>
    </xf>
    <xf numFmtId="0" fontId="0" fillId="14" borderId="21" xfId="0" applyFill="1" applyBorder="1" applyAlignment="1">
      <alignment horizontal="center"/>
    </xf>
    <xf numFmtId="0" fontId="0" fillId="15" borderId="11" xfId="0" applyFill="1" applyBorder="1" applyAlignment="1">
      <alignment horizontal="center"/>
    </xf>
    <xf numFmtId="0" fontId="0" fillId="15" borderId="21" xfId="0" applyFill="1" applyBorder="1" applyAlignment="1">
      <alignment horizontal="center"/>
    </xf>
    <xf numFmtId="0" fontId="0" fillId="16" borderId="11" xfId="0" applyFill="1" applyBorder="1" applyAlignment="1">
      <alignment horizontal="center"/>
    </xf>
    <xf numFmtId="0" fontId="0" fillId="16" borderId="21" xfId="0" applyFill="1" applyBorder="1" applyAlignment="1">
      <alignment horizontal="center"/>
    </xf>
    <xf numFmtId="0" fontId="0" fillId="17" borderId="11" xfId="0" applyFill="1" applyBorder="1" applyAlignment="1">
      <alignment horizontal="center"/>
    </xf>
    <xf numFmtId="0" fontId="0" fillId="17" borderId="21" xfId="0" applyFill="1" applyBorder="1" applyAlignment="1">
      <alignment horizontal="center"/>
    </xf>
    <xf numFmtId="0" fontId="0" fillId="16" borderId="13" xfId="0" applyFill="1" applyBorder="1" applyAlignment="1">
      <alignment horizontal="center" vertical="center" wrapText="1"/>
    </xf>
    <xf numFmtId="0" fontId="0" fillId="16" borderId="14" xfId="0" applyFill="1" applyBorder="1" applyAlignment="1">
      <alignment horizontal="center" vertical="center" wrapText="1"/>
    </xf>
    <xf numFmtId="0" fontId="0" fillId="16" borderId="15" xfId="0" applyFill="1" applyBorder="1" applyAlignment="1">
      <alignment horizontal="center" vertical="center" wrapText="1"/>
    </xf>
    <xf numFmtId="0" fontId="0" fillId="17" borderId="13" xfId="0" applyFill="1" applyBorder="1" applyAlignment="1">
      <alignment horizontal="center" vertical="center" wrapText="1"/>
    </xf>
    <xf numFmtId="0" fontId="0" fillId="17" borderId="14" xfId="0" applyFill="1" applyBorder="1" applyAlignment="1">
      <alignment horizontal="center" vertical="center" wrapText="1"/>
    </xf>
    <xf numFmtId="0" fontId="0" fillId="17" borderId="15" xfId="0" applyFill="1" applyBorder="1" applyAlignment="1">
      <alignment horizontal="center" vertical="center" wrapText="1"/>
    </xf>
    <xf numFmtId="0" fontId="0" fillId="14" borderId="13" xfId="0" applyFill="1" applyBorder="1" applyAlignment="1">
      <alignment horizontal="center" vertical="center" wrapText="1"/>
    </xf>
    <xf numFmtId="0" fontId="0" fillId="14" borderId="14" xfId="0" applyFill="1" applyBorder="1" applyAlignment="1">
      <alignment horizontal="center" vertical="center" wrapText="1"/>
    </xf>
    <xf numFmtId="0" fontId="0" fillId="14" borderId="15" xfId="0" applyFill="1" applyBorder="1" applyAlignment="1">
      <alignment horizontal="center" vertical="center" wrapText="1"/>
    </xf>
    <xf numFmtId="0" fontId="0" fillId="15" borderId="13" xfId="0" applyFill="1" applyBorder="1" applyAlignment="1">
      <alignment horizontal="center" vertical="center" wrapText="1"/>
    </xf>
    <xf numFmtId="0" fontId="0" fillId="15" borderId="14" xfId="0" applyFill="1" applyBorder="1" applyAlignment="1">
      <alignment horizontal="center" vertical="center" wrapText="1"/>
    </xf>
    <xf numFmtId="0" fontId="0" fillId="15" borderId="15" xfId="0" applyFill="1" applyBorder="1" applyAlignment="1">
      <alignment horizontal="center" vertical="center" wrapText="1"/>
    </xf>
    <xf numFmtId="0" fontId="0" fillId="11" borderId="13" xfId="0" applyFill="1" applyBorder="1" applyAlignment="1">
      <alignment horizontal="center" vertical="center" wrapText="1"/>
    </xf>
    <xf numFmtId="0" fontId="0" fillId="11" borderId="14" xfId="0" applyFill="1" applyBorder="1" applyAlignment="1">
      <alignment horizontal="center" vertical="center" wrapText="1"/>
    </xf>
    <xf numFmtId="0" fontId="0" fillId="11" borderId="15" xfId="0" applyFill="1" applyBorder="1" applyAlignment="1">
      <alignment horizontal="center" vertical="center" wrapText="1"/>
    </xf>
    <xf numFmtId="0" fontId="0" fillId="12" borderId="13" xfId="0" applyFill="1" applyBorder="1" applyAlignment="1">
      <alignment horizontal="center" vertical="center" wrapText="1"/>
    </xf>
    <xf numFmtId="0" fontId="0" fillId="12" borderId="14" xfId="0" applyFill="1" applyBorder="1" applyAlignment="1">
      <alignment horizontal="center" vertical="center" wrapText="1"/>
    </xf>
    <xf numFmtId="0" fontId="0" fillId="12" borderId="15" xfId="0" applyFill="1" applyBorder="1" applyAlignment="1">
      <alignment horizontal="center" vertical="center" wrapText="1"/>
    </xf>
    <xf numFmtId="0" fontId="0" fillId="13" borderId="17" xfId="0" applyFill="1" applyBorder="1" applyAlignment="1">
      <alignment horizontal="center"/>
    </xf>
    <xf numFmtId="0" fontId="0" fillId="13" borderId="18" xfId="0" applyFill="1" applyBorder="1" applyAlignment="1">
      <alignment horizontal="center"/>
    </xf>
    <xf numFmtId="0" fontId="0" fillId="13" borderId="13" xfId="0" applyFill="1" applyBorder="1" applyAlignment="1">
      <alignment horizontal="center" vertical="center" wrapText="1"/>
    </xf>
    <xf numFmtId="0" fontId="0" fillId="13" borderId="14" xfId="0" applyFill="1" applyBorder="1" applyAlignment="1">
      <alignment horizontal="center" vertical="center" wrapText="1"/>
    </xf>
    <xf numFmtId="0" fontId="0" fillId="13" borderId="15" xfId="0" applyFill="1" applyBorder="1" applyAlignment="1">
      <alignment horizontal="center" vertical="center" wrapText="1"/>
    </xf>
    <xf numFmtId="0" fontId="0" fillId="13" borderId="20" xfId="0" applyFill="1" applyBorder="1" applyAlignment="1">
      <alignment horizontal="center"/>
    </xf>
    <xf numFmtId="0" fontId="0" fillId="13" borderId="0" xfId="0" applyFill="1" applyAlignment="1">
      <alignment horizontal="center"/>
    </xf>
    <xf numFmtId="0" fontId="0" fillId="0" borderId="1" xfId="0" applyBorder="1" applyAlignment="1">
      <alignment horizontal="center"/>
    </xf>
    <xf numFmtId="0" fontId="0" fillId="11" borderId="11" xfId="0" applyFill="1" applyBorder="1" applyAlignment="1">
      <alignment horizontal="center"/>
    </xf>
    <xf numFmtId="0" fontId="0" fillId="11" borderId="21" xfId="0" applyFill="1" applyBorder="1" applyAlignment="1">
      <alignment horizontal="center"/>
    </xf>
    <xf numFmtId="0" fontId="0" fillId="12" borderId="11" xfId="0" applyFill="1" applyBorder="1" applyAlignment="1">
      <alignment horizontal="center"/>
    </xf>
    <xf numFmtId="0" fontId="0" fillId="12" borderId="12" xfId="0" applyFill="1" applyBorder="1" applyAlignment="1">
      <alignment horizontal="center"/>
    </xf>
    <xf numFmtId="0" fontId="0" fillId="12" borderId="21" xfId="0" applyFill="1" applyBorder="1" applyAlignment="1">
      <alignment horizontal="center"/>
    </xf>
    <xf numFmtId="0" fontId="0" fillId="13" borderId="11" xfId="0" applyFill="1" applyBorder="1" applyAlignment="1">
      <alignment horizontal="center"/>
    </xf>
    <xf numFmtId="0" fontId="0" fillId="13" borderId="12" xfId="0" applyFill="1" applyBorder="1" applyAlignment="1">
      <alignment horizontal="center"/>
    </xf>
    <xf numFmtId="0" fontId="0" fillId="6" borderId="12" xfId="0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5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8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4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externalLink" Target="externalLinks/externalLink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23" Type="http://schemas.openxmlformats.org/officeDocument/2006/relationships/externalLink" Target="externalLinks/externalLink10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externalLink" Target="externalLinks/externalLink9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Capaian</a:t>
            </a:r>
            <a:r>
              <a:rPr lang="en-ID" baseline="0"/>
              <a:t> Rata-rata CPL - [Semester I]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'[10]Penguk.MK-CPL-I'!$C$44:$C$57</c:f>
              <c:strCache>
                <c:ptCount val="14"/>
                <c:pt idx="0">
                  <c:v>CPL01</c:v>
                </c:pt>
                <c:pt idx="1">
                  <c:v>CPL02</c:v>
                </c:pt>
                <c:pt idx="2">
                  <c:v>CPL03</c:v>
                </c:pt>
                <c:pt idx="3">
                  <c:v>CPL04</c:v>
                </c:pt>
                <c:pt idx="4">
                  <c:v>CPL05</c:v>
                </c:pt>
                <c:pt idx="5">
                  <c:v>CPL06</c:v>
                </c:pt>
                <c:pt idx="6">
                  <c:v>CPL07</c:v>
                </c:pt>
                <c:pt idx="7">
                  <c:v>CPL08</c:v>
                </c:pt>
                <c:pt idx="8">
                  <c:v>CPL09</c:v>
                </c:pt>
                <c:pt idx="9">
                  <c:v>CPL10</c:v>
                </c:pt>
                <c:pt idx="10">
                  <c:v>CPL11</c:v>
                </c:pt>
                <c:pt idx="11">
                  <c:v>CPL12</c:v>
                </c:pt>
                <c:pt idx="12">
                  <c:v>CPL13</c:v>
                </c:pt>
                <c:pt idx="13">
                  <c:v>CPL14</c:v>
                </c:pt>
              </c:strCache>
            </c:strRef>
          </c:cat>
          <c:val>
            <c:numRef>
              <c:f>'[10]Penguk.MK-CPL-I'!$F$44:$F$57</c:f>
              <c:numCache>
                <c:formatCode>General</c:formatCode>
                <c:ptCount val="14"/>
                <c:pt idx="0">
                  <c:v>0.8274545219638243</c:v>
                </c:pt>
                <c:pt idx="1">
                  <c:v>0.77250000000000019</c:v>
                </c:pt>
                <c:pt idx="2">
                  <c:v>0.7645264705882352</c:v>
                </c:pt>
                <c:pt idx="3">
                  <c:v>0.79136842105263161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0.75394705882352941</c:v>
                </c:pt>
                <c:pt idx="9">
                  <c:v>0.80412777777777755</c:v>
                </c:pt>
                <c:pt idx="10">
                  <c:v>0</c:v>
                </c:pt>
                <c:pt idx="11">
                  <c:v>0.73652777777777778</c:v>
                </c:pt>
                <c:pt idx="12">
                  <c:v>0.87748405797101459</c:v>
                </c:pt>
                <c:pt idx="13">
                  <c:v>0.71722222222222209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D0-4FDE-869D-00AEF36EFD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4752095"/>
        <c:axId val="754734815"/>
      </c:radarChart>
      <c:catAx>
        <c:axId val="754752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4734815"/>
        <c:crosses val="autoZero"/>
        <c:auto val="1"/>
        <c:lblAlgn val="ctr"/>
        <c:lblOffset val="100"/>
        <c:noMultiLvlLbl val="0"/>
      </c:catAx>
      <c:valAx>
        <c:axId val="754734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4752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Tingkat Rata-rata Capaian CPMK</a:t>
            </a:r>
            <a:r>
              <a:rPr lang="en-ID" baseline="0"/>
              <a:t> Matakuliah Semester I Angkatan 2024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'Penguk.CPMK-Smt1'!$D$65:$D$119</c:f>
              <c:strCache>
                <c:ptCount val="55"/>
                <c:pt idx="0">
                  <c:v>CPMK011</c:v>
                </c:pt>
                <c:pt idx="1">
                  <c:v>CPMK012</c:v>
                </c:pt>
                <c:pt idx="2">
                  <c:v>CPMK013</c:v>
                </c:pt>
                <c:pt idx="3">
                  <c:v>CPMK021</c:v>
                </c:pt>
                <c:pt idx="4">
                  <c:v>CPMK022</c:v>
                </c:pt>
                <c:pt idx="5">
                  <c:v>CPMK023</c:v>
                </c:pt>
                <c:pt idx="6">
                  <c:v>CPMK024</c:v>
                </c:pt>
                <c:pt idx="7">
                  <c:v>CPMK031</c:v>
                </c:pt>
                <c:pt idx="8">
                  <c:v>CPMK032</c:v>
                </c:pt>
                <c:pt idx="9">
                  <c:v>CPMK033</c:v>
                </c:pt>
                <c:pt idx="10">
                  <c:v>CPMK041</c:v>
                </c:pt>
                <c:pt idx="11">
                  <c:v>CPMK042</c:v>
                </c:pt>
                <c:pt idx="12">
                  <c:v>CPMK043</c:v>
                </c:pt>
                <c:pt idx="13">
                  <c:v>CPMK044</c:v>
                </c:pt>
                <c:pt idx="14">
                  <c:v>CPMK045</c:v>
                </c:pt>
                <c:pt idx="15">
                  <c:v>CPMK046</c:v>
                </c:pt>
                <c:pt idx="16">
                  <c:v>CPMK047</c:v>
                </c:pt>
                <c:pt idx="17">
                  <c:v>CPMK051</c:v>
                </c:pt>
                <c:pt idx="18">
                  <c:v>CPMK052</c:v>
                </c:pt>
                <c:pt idx="19">
                  <c:v>CPMK053</c:v>
                </c:pt>
                <c:pt idx="20">
                  <c:v>CPMK054</c:v>
                </c:pt>
                <c:pt idx="21">
                  <c:v>CPMK055</c:v>
                </c:pt>
                <c:pt idx="22">
                  <c:v>CPMK056</c:v>
                </c:pt>
                <c:pt idx="23">
                  <c:v>CPMK057</c:v>
                </c:pt>
                <c:pt idx="24">
                  <c:v>CPMK058</c:v>
                </c:pt>
                <c:pt idx="25">
                  <c:v>CPMK061</c:v>
                </c:pt>
                <c:pt idx="26">
                  <c:v>CPMK062</c:v>
                </c:pt>
                <c:pt idx="27">
                  <c:v>CPMK063</c:v>
                </c:pt>
                <c:pt idx="28">
                  <c:v>CPMK064</c:v>
                </c:pt>
                <c:pt idx="29">
                  <c:v>CPMK071</c:v>
                </c:pt>
                <c:pt idx="30">
                  <c:v>CPMK072</c:v>
                </c:pt>
                <c:pt idx="31">
                  <c:v>CPMK073</c:v>
                </c:pt>
                <c:pt idx="32">
                  <c:v>CPMK074</c:v>
                </c:pt>
                <c:pt idx="33">
                  <c:v>CPMK075</c:v>
                </c:pt>
                <c:pt idx="34">
                  <c:v>CPMK076</c:v>
                </c:pt>
                <c:pt idx="35">
                  <c:v>CPMK081</c:v>
                </c:pt>
                <c:pt idx="36">
                  <c:v>CPMK082</c:v>
                </c:pt>
                <c:pt idx="37">
                  <c:v>CPMK083</c:v>
                </c:pt>
                <c:pt idx="38">
                  <c:v>CPMK091</c:v>
                </c:pt>
                <c:pt idx="39">
                  <c:v>CPMK092</c:v>
                </c:pt>
                <c:pt idx="40">
                  <c:v>CPMK093</c:v>
                </c:pt>
                <c:pt idx="41">
                  <c:v>CPMK101</c:v>
                </c:pt>
                <c:pt idx="42">
                  <c:v>CPMK102</c:v>
                </c:pt>
                <c:pt idx="43">
                  <c:v>CPMK103</c:v>
                </c:pt>
                <c:pt idx="44">
                  <c:v>CPMK104</c:v>
                </c:pt>
                <c:pt idx="45">
                  <c:v>CPMK105</c:v>
                </c:pt>
                <c:pt idx="46">
                  <c:v>CPMK111</c:v>
                </c:pt>
                <c:pt idx="47">
                  <c:v>CPMK112</c:v>
                </c:pt>
                <c:pt idx="48">
                  <c:v>CPMK113</c:v>
                </c:pt>
                <c:pt idx="49">
                  <c:v>CPMK114</c:v>
                </c:pt>
                <c:pt idx="50">
                  <c:v>CPMK115</c:v>
                </c:pt>
                <c:pt idx="51">
                  <c:v>CPMK121</c:v>
                </c:pt>
                <c:pt idx="52">
                  <c:v>CPMK122</c:v>
                </c:pt>
                <c:pt idx="53">
                  <c:v>CPMK123</c:v>
                </c:pt>
                <c:pt idx="54">
                  <c:v>CPMK124</c:v>
                </c:pt>
              </c:strCache>
            </c:strRef>
          </c:cat>
          <c:val>
            <c:numRef>
              <c:f>'Penguk.CPMK-Smt1'!$G$65:$G$119</c:f>
              <c:numCache>
                <c:formatCode>0%</c:formatCode>
                <c:ptCount val="55"/>
                <c:pt idx="0">
                  <c:v>0.81516666666666648</c:v>
                </c:pt>
                <c:pt idx="1">
                  <c:v>0.81845000000000012</c:v>
                </c:pt>
                <c:pt idx="2">
                  <c:v>0.82477027027027039</c:v>
                </c:pt>
                <c:pt idx="3">
                  <c:v>0.83093243243243231</c:v>
                </c:pt>
                <c:pt idx="4">
                  <c:v>0</c:v>
                </c:pt>
                <c:pt idx="5">
                  <c:v>0.86187837837837833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6">
                  <c:v>0</c:v>
                </c:pt>
                <c:pt idx="17">
                  <c:v>0</c:v>
                </c:pt>
                <c:pt idx="21">
                  <c:v>0.81454054054054059</c:v>
                </c:pt>
                <c:pt idx="22">
                  <c:v>0.82913513513513526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0.80118918918918935</c:v>
                </c:pt>
                <c:pt idx="37">
                  <c:v>0</c:v>
                </c:pt>
                <c:pt idx="38">
                  <c:v>0.78456756756756774</c:v>
                </c:pt>
                <c:pt idx="40">
                  <c:v>0</c:v>
                </c:pt>
                <c:pt idx="41">
                  <c:v>0.89098378378378362</c:v>
                </c:pt>
                <c:pt idx="42">
                  <c:v>0.86936216216216189</c:v>
                </c:pt>
                <c:pt idx="43">
                  <c:v>0.84315675675675661</c:v>
                </c:pt>
                <c:pt idx="45">
                  <c:v>0</c:v>
                </c:pt>
                <c:pt idx="46">
                  <c:v>0.86187837837837833</c:v>
                </c:pt>
                <c:pt idx="49">
                  <c:v>0.86187837837837833</c:v>
                </c:pt>
                <c:pt idx="50">
                  <c:v>0.86187837837837833</c:v>
                </c:pt>
                <c:pt idx="51">
                  <c:v>0</c:v>
                </c:pt>
                <c:pt idx="52">
                  <c:v>0.86187837837837833</c:v>
                </c:pt>
                <c:pt idx="53">
                  <c:v>0.86187837837837833</c:v>
                </c:pt>
                <c:pt idx="5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13-409E-A902-F64CA88D0B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3116447"/>
        <c:axId val="2133114527"/>
      </c:radarChart>
      <c:catAx>
        <c:axId val="2133116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3114527"/>
        <c:crosses val="autoZero"/>
        <c:auto val="1"/>
        <c:lblAlgn val="ctr"/>
        <c:lblOffset val="100"/>
        <c:noMultiLvlLbl val="0"/>
      </c:catAx>
      <c:valAx>
        <c:axId val="2133114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3116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Persentase</a:t>
            </a:r>
            <a:r>
              <a:rPr lang="en-ID" baseline="0"/>
              <a:t> Tingkat Ketercapaian CPMK Program Studi Semester I Angkatan 2024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'Penguk.CPMK-Smt1'!$D$65:$D$119</c:f>
              <c:strCache>
                <c:ptCount val="55"/>
                <c:pt idx="0">
                  <c:v>CPMK011</c:v>
                </c:pt>
                <c:pt idx="1">
                  <c:v>CPMK012</c:v>
                </c:pt>
                <c:pt idx="2">
                  <c:v>CPMK013</c:v>
                </c:pt>
                <c:pt idx="3">
                  <c:v>CPMK021</c:v>
                </c:pt>
                <c:pt idx="4">
                  <c:v>CPMK022</c:v>
                </c:pt>
                <c:pt idx="5">
                  <c:v>CPMK023</c:v>
                </c:pt>
                <c:pt idx="6">
                  <c:v>CPMK024</c:v>
                </c:pt>
                <c:pt idx="7">
                  <c:v>CPMK031</c:v>
                </c:pt>
                <c:pt idx="8">
                  <c:v>CPMK032</c:v>
                </c:pt>
                <c:pt idx="9">
                  <c:v>CPMK033</c:v>
                </c:pt>
                <c:pt idx="10">
                  <c:v>CPMK041</c:v>
                </c:pt>
                <c:pt idx="11">
                  <c:v>CPMK042</c:v>
                </c:pt>
                <c:pt idx="12">
                  <c:v>CPMK043</c:v>
                </c:pt>
                <c:pt idx="13">
                  <c:v>CPMK044</c:v>
                </c:pt>
                <c:pt idx="14">
                  <c:v>CPMK045</c:v>
                </c:pt>
                <c:pt idx="15">
                  <c:v>CPMK046</c:v>
                </c:pt>
                <c:pt idx="16">
                  <c:v>CPMK047</c:v>
                </c:pt>
                <c:pt idx="17">
                  <c:v>CPMK051</c:v>
                </c:pt>
                <c:pt idx="18">
                  <c:v>CPMK052</c:v>
                </c:pt>
                <c:pt idx="19">
                  <c:v>CPMK053</c:v>
                </c:pt>
                <c:pt idx="20">
                  <c:v>CPMK054</c:v>
                </c:pt>
                <c:pt idx="21">
                  <c:v>CPMK055</c:v>
                </c:pt>
                <c:pt idx="22">
                  <c:v>CPMK056</c:v>
                </c:pt>
                <c:pt idx="23">
                  <c:v>CPMK057</c:v>
                </c:pt>
                <c:pt idx="24">
                  <c:v>CPMK058</c:v>
                </c:pt>
                <c:pt idx="25">
                  <c:v>CPMK061</c:v>
                </c:pt>
                <c:pt idx="26">
                  <c:v>CPMK062</c:v>
                </c:pt>
                <c:pt idx="27">
                  <c:v>CPMK063</c:v>
                </c:pt>
                <c:pt idx="28">
                  <c:v>CPMK064</c:v>
                </c:pt>
                <c:pt idx="29">
                  <c:v>CPMK071</c:v>
                </c:pt>
                <c:pt idx="30">
                  <c:v>CPMK072</c:v>
                </c:pt>
                <c:pt idx="31">
                  <c:v>CPMK073</c:v>
                </c:pt>
                <c:pt idx="32">
                  <c:v>CPMK074</c:v>
                </c:pt>
                <c:pt idx="33">
                  <c:v>CPMK075</c:v>
                </c:pt>
                <c:pt idx="34">
                  <c:v>CPMK076</c:v>
                </c:pt>
                <c:pt idx="35">
                  <c:v>CPMK081</c:v>
                </c:pt>
                <c:pt idx="36">
                  <c:v>CPMK082</c:v>
                </c:pt>
                <c:pt idx="37">
                  <c:v>CPMK083</c:v>
                </c:pt>
                <c:pt idx="38">
                  <c:v>CPMK091</c:v>
                </c:pt>
                <c:pt idx="39">
                  <c:v>CPMK092</c:v>
                </c:pt>
                <c:pt idx="40">
                  <c:v>CPMK093</c:v>
                </c:pt>
                <c:pt idx="41">
                  <c:v>CPMK101</c:v>
                </c:pt>
                <c:pt idx="42">
                  <c:v>CPMK102</c:v>
                </c:pt>
                <c:pt idx="43">
                  <c:v>CPMK103</c:v>
                </c:pt>
                <c:pt idx="44">
                  <c:v>CPMK104</c:v>
                </c:pt>
                <c:pt idx="45">
                  <c:v>CPMK105</c:v>
                </c:pt>
                <c:pt idx="46">
                  <c:v>CPMK111</c:v>
                </c:pt>
                <c:pt idx="47">
                  <c:v>CPMK112</c:v>
                </c:pt>
                <c:pt idx="48">
                  <c:v>CPMK113</c:v>
                </c:pt>
                <c:pt idx="49">
                  <c:v>CPMK114</c:v>
                </c:pt>
                <c:pt idx="50">
                  <c:v>CPMK115</c:v>
                </c:pt>
                <c:pt idx="51">
                  <c:v>CPMK121</c:v>
                </c:pt>
                <c:pt idx="52">
                  <c:v>CPMK122</c:v>
                </c:pt>
                <c:pt idx="53">
                  <c:v>CPMK123</c:v>
                </c:pt>
                <c:pt idx="54">
                  <c:v>CPMK124</c:v>
                </c:pt>
              </c:strCache>
            </c:strRef>
          </c:cat>
          <c:val>
            <c:numRef>
              <c:f>'Penguk.CPMK-Smt1'!$K$65:$K$119</c:f>
              <c:numCache>
                <c:formatCode>0%</c:formatCode>
                <c:ptCount val="55"/>
                <c:pt idx="0">
                  <c:v>0.97297297297297303</c:v>
                </c:pt>
                <c:pt idx="1">
                  <c:v>0.97297297297297303</c:v>
                </c:pt>
                <c:pt idx="2">
                  <c:v>0.97297297297297303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0.97297297297297303</c:v>
                </c:pt>
                <c:pt idx="22">
                  <c:v>0.94594594594594594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0.94594594594594594</c:v>
                </c:pt>
                <c:pt idx="36">
                  <c:v>0</c:v>
                </c:pt>
                <c:pt idx="37">
                  <c:v>0</c:v>
                </c:pt>
                <c:pt idx="38">
                  <c:v>0.91891891891891897</c:v>
                </c:pt>
                <c:pt idx="39">
                  <c:v>0</c:v>
                </c:pt>
                <c:pt idx="40">
                  <c:v>0</c:v>
                </c:pt>
                <c:pt idx="41">
                  <c:v>0.97297297297297303</c:v>
                </c:pt>
                <c:pt idx="42">
                  <c:v>0.97297297297297303</c:v>
                </c:pt>
                <c:pt idx="43">
                  <c:v>1</c:v>
                </c:pt>
                <c:pt idx="44">
                  <c:v>0</c:v>
                </c:pt>
                <c:pt idx="45">
                  <c:v>0</c:v>
                </c:pt>
                <c:pt idx="46">
                  <c:v>0.97297297297297303</c:v>
                </c:pt>
                <c:pt idx="47">
                  <c:v>0</c:v>
                </c:pt>
                <c:pt idx="48">
                  <c:v>0</c:v>
                </c:pt>
                <c:pt idx="49">
                  <c:v>0.83783783783783783</c:v>
                </c:pt>
                <c:pt idx="50">
                  <c:v>0.86486486486486491</c:v>
                </c:pt>
                <c:pt idx="51">
                  <c:v>0</c:v>
                </c:pt>
                <c:pt idx="52">
                  <c:v>0.97297297297297303</c:v>
                </c:pt>
                <c:pt idx="53">
                  <c:v>0.97297297297297303</c:v>
                </c:pt>
                <c:pt idx="5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EF-4FDE-9940-705CA82166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33107807"/>
        <c:axId val="2133113567"/>
      </c:radarChart>
      <c:catAx>
        <c:axId val="2133107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3113567"/>
        <c:crosses val="autoZero"/>
        <c:auto val="1"/>
        <c:lblAlgn val="ctr"/>
        <c:lblOffset val="100"/>
        <c:noMultiLvlLbl val="0"/>
      </c:catAx>
      <c:valAx>
        <c:axId val="2133113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31078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Tingkat Rata-rata Capaian CPMK Matakuliah Semester I Angkatan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1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136C-403E-83FA-5CF81D40A128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136C-403E-83FA-5CF81D40A128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5-136C-403E-83FA-5CF81D40A128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7-136C-403E-83FA-5CF81D40A128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9-136C-403E-83FA-5CF81D40A128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B-136C-403E-83FA-5CF81D40A128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D-136C-403E-83FA-5CF81D40A128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F-136C-403E-83FA-5CF81D40A128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1-136C-403E-83FA-5CF81D40A128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3-136C-403E-83FA-5CF81D40A128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5-136C-403E-83FA-5CF81D40A128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7-136C-403E-83FA-5CF81D40A128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9-136C-403E-83FA-5CF81D40A128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B-136C-403E-83FA-5CF81D40A128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D-136C-403E-83FA-5CF81D40A128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F-136C-403E-83FA-5CF81D40A128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1-136C-403E-83FA-5CF81D40A128}"/>
              </c:ext>
            </c:extLst>
          </c:dPt>
          <c:dPt>
            <c:idx val="17"/>
            <c:invertIfNegative val="0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3-136C-403E-83FA-5CF81D40A128}"/>
              </c:ext>
            </c:extLst>
          </c:dPt>
          <c:dPt>
            <c:idx val="18"/>
            <c:invertIfNegative val="0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5-136C-403E-83FA-5CF81D40A128}"/>
              </c:ext>
            </c:extLst>
          </c:dPt>
          <c:dPt>
            <c:idx val="19"/>
            <c:invertIfNegative val="0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7-136C-403E-83FA-5CF81D40A128}"/>
              </c:ext>
            </c:extLst>
          </c:dPt>
          <c:dPt>
            <c:idx val="20"/>
            <c:invertIfNegative val="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9-136C-403E-83FA-5CF81D40A128}"/>
              </c:ext>
            </c:extLst>
          </c:dPt>
          <c:dPt>
            <c:idx val="21"/>
            <c:invertIfNegative val="0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B-136C-403E-83FA-5CF81D40A128}"/>
              </c:ext>
            </c:extLst>
          </c:dPt>
          <c:dPt>
            <c:idx val="22"/>
            <c:invertIfNegative val="0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D-136C-403E-83FA-5CF81D40A128}"/>
              </c:ext>
            </c:extLst>
          </c:dPt>
          <c:dPt>
            <c:idx val="23"/>
            <c:invertIfNegative val="0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F-136C-403E-83FA-5CF81D40A128}"/>
              </c:ext>
            </c:extLst>
          </c:dPt>
          <c:dPt>
            <c:idx val="24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31-136C-403E-83FA-5CF81D40A128}"/>
              </c:ext>
            </c:extLst>
          </c:dPt>
          <c:dPt>
            <c:idx val="25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33-136C-403E-83FA-5CF81D40A128}"/>
              </c:ext>
            </c:extLst>
          </c:dPt>
          <c:dPt>
            <c:idx val="26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35-136C-403E-83FA-5CF81D40A128}"/>
              </c:ext>
            </c:extLst>
          </c:dPt>
          <c:dPt>
            <c:idx val="27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37-136C-403E-83FA-5CF81D40A128}"/>
              </c:ext>
            </c:extLst>
          </c:dPt>
          <c:dPt>
            <c:idx val="28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39-136C-403E-83FA-5CF81D40A128}"/>
              </c:ext>
            </c:extLst>
          </c:dPt>
          <c:dPt>
            <c:idx val="29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3B-136C-403E-83FA-5CF81D40A128}"/>
              </c:ext>
            </c:extLst>
          </c:dPt>
          <c:dPt>
            <c:idx val="30"/>
            <c:invertIfNegative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3D-136C-403E-83FA-5CF81D40A128}"/>
              </c:ext>
            </c:extLst>
          </c:dPt>
          <c:dPt>
            <c:idx val="31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3F-136C-403E-83FA-5CF81D40A128}"/>
              </c:ext>
            </c:extLst>
          </c:dPt>
          <c:dPt>
            <c:idx val="32"/>
            <c:invertIfNegative val="0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41-136C-403E-83FA-5CF81D40A128}"/>
              </c:ext>
            </c:extLst>
          </c:dPt>
          <c:dPt>
            <c:idx val="33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43-136C-403E-83FA-5CF81D40A128}"/>
              </c:ext>
            </c:extLst>
          </c:dPt>
          <c:dPt>
            <c:idx val="34"/>
            <c:invertIfNegative val="0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45-136C-403E-83FA-5CF81D40A128}"/>
              </c:ext>
            </c:extLst>
          </c:dPt>
          <c:dPt>
            <c:idx val="35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47-136C-403E-83FA-5CF81D40A128}"/>
              </c:ext>
            </c:extLst>
          </c:dPt>
          <c:dPt>
            <c:idx val="36"/>
            <c:invertIfNegative val="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49-279B-4C60-861B-4D62F01EEC89}"/>
              </c:ext>
            </c:extLst>
          </c:dPt>
          <c:dPt>
            <c:idx val="37"/>
            <c:invertIfNegative val="0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4B-279B-4C60-861B-4D62F01EEC89}"/>
              </c:ext>
            </c:extLst>
          </c:dPt>
          <c:dPt>
            <c:idx val="38"/>
            <c:invertIfNegative val="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4D-279B-4C60-861B-4D62F01EEC89}"/>
              </c:ext>
            </c:extLst>
          </c:dPt>
          <c:dPt>
            <c:idx val="39"/>
            <c:invertIfNegative val="0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4F-279B-4C60-861B-4D62F01EEC89}"/>
              </c:ext>
            </c:extLst>
          </c:dPt>
          <c:dPt>
            <c:idx val="40"/>
            <c:invertIfNegative val="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51-279B-4C60-861B-4D62F01EEC89}"/>
              </c:ext>
            </c:extLst>
          </c:dPt>
          <c:dPt>
            <c:idx val="41"/>
            <c:invertIfNegative val="0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53-279B-4C60-861B-4D62F01EEC89}"/>
              </c:ext>
            </c:extLst>
          </c:dPt>
          <c:dPt>
            <c:idx val="42"/>
            <c:invertIfNegative val="0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55-279B-4C60-861B-4D62F01EEC89}"/>
              </c:ext>
            </c:extLst>
          </c:dPt>
          <c:dPt>
            <c:idx val="43"/>
            <c:invertIfNegative val="0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57-279B-4C60-861B-4D62F01EEC89}"/>
              </c:ext>
            </c:extLst>
          </c:dPt>
          <c:dPt>
            <c:idx val="44"/>
            <c:invertIfNegative val="0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59-279B-4C60-861B-4D62F01EEC89}"/>
              </c:ext>
            </c:extLst>
          </c:dPt>
          <c:dPt>
            <c:idx val="45"/>
            <c:invertIfNegative val="0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5B-279B-4C60-861B-4D62F01EEC89}"/>
              </c:ext>
            </c:extLst>
          </c:dPt>
          <c:dPt>
            <c:idx val="46"/>
            <c:invertIfNegative val="0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5D-279B-4C60-861B-4D62F01EEC89}"/>
              </c:ext>
            </c:extLst>
          </c:dPt>
          <c:dPt>
            <c:idx val="47"/>
            <c:invertIfNegative val="0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5F-279B-4C60-861B-4D62F01EEC89}"/>
              </c:ext>
            </c:extLst>
          </c:dPt>
          <c:dPt>
            <c:idx val="48"/>
            <c:invertIfNegative val="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61-279B-4C60-861B-4D62F01EEC89}"/>
              </c:ext>
            </c:extLst>
          </c:dPt>
          <c:dPt>
            <c:idx val="49"/>
            <c:invertIfNegative val="0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63-279B-4C60-861B-4D62F01EEC89}"/>
              </c:ext>
            </c:extLst>
          </c:dPt>
          <c:dPt>
            <c:idx val="50"/>
            <c:invertIfNegative val="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65-279B-4C60-861B-4D62F01EEC89}"/>
              </c:ext>
            </c:extLst>
          </c:dPt>
          <c:dPt>
            <c:idx val="51"/>
            <c:invertIfNegative val="0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67-279B-4C60-861B-4D62F01EEC89}"/>
              </c:ext>
            </c:extLst>
          </c:dPt>
          <c:dPt>
            <c:idx val="52"/>
            <c:invertIfNegative val="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69-279B-4C60-861B-4D62F01EEC89}"/>
              </c:ext>
            </c:extLst>
          </c:dPt>
          <c:dPt>
            <c:idx val="53"/>
            <c:invertIfNegative val="0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6B-279B-4C60-861B-4D62F01EEC89}"/>
              </c:ext>
            </c:extLst>
          </c:dPt>
          <c:dPt>
            <c:idx val="5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6D-279B-4C60-861B-4D62F01EEC8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'Penguk.CPMK-Smt1'!$D$65:$D$119</c:f>
              <c:strCache>
                <c:ptCount val="55"/>
                <c:pt idx="0">
                  <c:v>CPMK011</c:v>
                </c:pt>
                <c:pt idx="1">
                  <c:v>CPMK012</c:v>
                </c:pt>
                <c:pt idx="2">
                  <c:v>CPMK013</c:v>
                </c:pt>
                <c:pt idx="3">
                  <c:v>CPMK021</c:v>
                </c:pt>
                <c:pt idx="4">
                  <c:v>CPMK022</c:v>
                </c:pt>
                <c:pt idx="5">
                  <c:v>CPMK023</c:v>
                </c:pt>
                <c:pt idx="6">
                  <c:v>CPMK024</c:v>
                </c:pt>
                <c:pt idx="7">
                  <c:v>CPMK031</c:v>
                </c:pt>
                <c:pt idx="8">
                  <c:v>CPMK032</c:v>
                </c:pt>
                <c:pt idx="9">
                  <c:v>CPMK033</c:v>
                </c:pt>
                <c:pt idx="10">
                  <c:v>CPMK041</c:v>
                </c:pt>
                <c:pt idx="11">
                  <c:v>CPMK042</c:v>
                </c:pt>
                <c:pt idx="12">
                  <c:v>CPMK043</c:v>
                </c:pt>
                <c:pt idx="13">
                  <c:v>CPMK044</c:v>
                </c:pt>
                <c:pt idx="14">
                  <c:v>CPMK045</c:v>
                </c:pt>
                <c:pt idx="15">
                  <c:v>CPMK046</c:v>
                </c:pt>
                <c:pt idx="16">
                  <c:v>CPMK047</c:v>
                </c:pt>
                <c:pt idx="17">
                  <c:v>CPMK051</c:v>
                </c:pt>
                <c:pt idx="18">
                  <c:v>CPMK052</c:v>
                </c:pt>
                <c:pt idx="19">
                  <c:v>CPMK053</c:v>
                </c:pt>
                <c:pt idx="20">
                  <c:v>CPMK054</c:v>
                </c:pt>
                <c:pt idx="21">
                  <c:v>CPMK055</c:v>
                </c:pt>
                <c:pt idx="22">
                  <c:v>CPMK056</c:v>
                </c:pt>
                <c:pt idx="23">
                  <c:v>CPMK057</c:v>
                </c:pt>
                <c:pt idx="24">
                  <c:v>CPMK058</c:v>
                </c:pt>
                <c:pt idx="25">
                  <c:v>CPMK061</c:v>
                </c:pt>
                <c:pt idx="26">
                  <c:v>CPMK062</c:v>
                </c:pt>
                <c:pt idx="27">
                  <c:v>CPMK063</c:v>
                </c:pt>
                <c:pt idx="28">
                  <c:v>CPMK064</c:v>
                </c:pt>
                <c:pt idx="29">
                  <c:v>CPMK071</c:v>
                </c:pt>
                <c:pt idx="30">
                  <c:v>CPMK072</c:v>
                </c:pt>
                <c:pt idx="31">
                  <c:v>CPMK073</c:v>
                </c:pt>
                <c:pt idx="32">
                  <c:v>CPMK074</c:v>
                </c:pt>
                <c:pt idx="33">
                  <c:v>CPMK075</c:v>
                </c:pt>
                <c:pt idx="34">
                  <c:v>CPMK076</c:v>
                </c:pt>
                <c:pt idx="35">
                  <c:v>CPMK081</c:v>
                </c:pt>
                <c:pt idx="36">
                  <c:v>CPMK082</c:v>
                </c:pt>
                <c:pt idx="37">
                  <c:v>CPMK083</c:v>
                </c:pt>
                <c:pt idx="38">
                  <c:v>CPMK091</c:v>
                </c:pt>
                <c:pt idx="39">
                  <c:v>CPMK092</c:v>
                </c:pt>
                <c:pt idx="40">
                  <c:v>CPMK093</c:v>
                </c:pt>
                <c:pt idx="41">
                  <c:v>CPMK101</c:v>
                </c:pt>
                <c:pt idx="42">
                  <c:v>CPMK102</c:v>
                </c:pt>
                <c:pt idx="43">
                  <c:v>CPMK103</c:v>
                </c:pt>
                <c:pt idx="44">
                  <c:v>CPMK104</c:v>
                </c:pt>
                <c:pt idx="45">
                  <c:v>CPMK105</c:v>
                </c:pt>
                <c:pt idx="46">
                  <c:v>CPMK111</c:v>
                </c:pt>
                <c:pt idx="47">
                  <c:v>CPMK112</c:v>
                </c:pt>
                <c:pt idx="48">
                  <c:v>CPMK113</c:v>
                </c:pt>
                <c:pt idx="49">
                  <c:v>CPMK114</c:v>
                </c:pt>
                <c:pt idx="50">
                  <c:v>CPMK115</c:v>
                </c:pt>
                <c:pt idx="51">
                  <c:v>CPMK121</c:v>
                </c:pt>
                <c:pt idx="52">
                  <c:v>CPMK122</c:v>
                </c:pt>
                <c:pt idx="53">
                  <c:v>CPMK123</c:v>
                </c:pt>
                <c:pt idx="54">
                  <c:v>CPMK124</c:v>
                </c:pt>
              </c:strCache>
            </c:strRef>
          </c:cat>
          <c:val>
            <c:numRef>
              <c:f>'Penguk.CPMK-Smt1'!$G$65:$G$119</c:f>
              <c:numCache>
                <c:formatCode>0%</c:formatCode>
                <c:ptCount val="55"/>
                <c:pt idx="0">
                  <c:v>0.81516666666666648</c:v>
                </c:pt>
                <c:pt idx="1">
                  <c:v>0.81845000000000012</c:v>
                </c:pt>
                <c:pt idx="2">
                  <c:v>0.82477027027027039</c:v>
                </c:pt>
                <c:pt idx="3">
                  <c:v>0.83093243243243231</c:v>
                </c:pt>
                <c:pt idx="4">
                  <c:v>0</c:v>
                </c:pt>
                <c:pt idx="5">
                  <c:v>0.86187837837837833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6">
                  <c:v>0</c:v>
                </c:pt>
                <c:pt idx="17">
                  <c:v>0</c:v>
                </c:pt>
                <c:pt idx="21">
                  <c:v>0.81454054054054059</c:v>
                </c:pt>
                <c:pt idx="22">
                  <c:v>0.82913513513513526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0.80118918918918935</c:v>
                </c:pt>
                <c:pt idx="37">
                  <c:v>0</c:v>
                </c:pt>
                <c:pt idx="38">
                  <c:v>0.78456756756756774</c:v>
                </c:pt>
                <c:pt idx="40">
                  <c:v>0</c:v>
                </c:pt>
                <c:pt idx="41">
                  <c:v>0.89098378378378362</c:v>
                </c:pt>
                <c:pt idx="42">
                  <c:v>0.86936216216216189</c:v>
                </c:pt>
                <c:pt idx="43">
                  <c:v>0.84315675675675661</c:v>
                </c:pt>
                <c:pt idx="45">
                  <c:v>0</c:v>
                </c:pt>
                <c:pt idx="46">
                  <c:v>0.86187837837837833</c:v>
                </c:pt>
                <c:pt idx="49">
                  <c:v>0.86187837837837833</c:v>
                </c:pt>
                <c:pt idx="50">
                  <c:v>0.86187837837837833</c:v>
                </c:pt>
                <c:pt idx="51">
                  <c:v>0</c:v>
                </c:pt>
                <c:pt idx="52">
                  <c:v>0.86187837837837833</c:v>
                </c:pt>
                <c:pt idx="53">
                  <c:v>0.86187837837837833</c:v>
                </c:pt>
                <c:pt idx="5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B6-4BA1-AD11-2690C35EDD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60817520"/>
        <c:axId val="1360815600"/>
        <c:axId val="0"/>
      </c:bar3DChart>
      <c:catAx>
        <c:axId val="1360817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815600"/>
        <c:crosses val="autoZero"/>
        <c:auto val="1"/>
        <c:lblAlgn val="ctr"/>
        <c:lblOffset val="100"/>
        <c:noMultiLvlLbl val="0"/>
      </c:catAx>
      <c:valAx>
        <c:axId val="1360815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817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Persentase Tingkat Ketercapaian CPMK Program Studi Semester I Angkatan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1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4A29-4937-B236-6AD32ADD95EA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8A5A-49FC-98E5-12F3747308C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5-8A5A-49FC-98E5-12F3747308CF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7-8A5A-49FC-98E5-12F3747308CF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9-8A5A-49FC-98E5-12F3747308CF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B-8A5A-49FC-98E5-12F3747308CF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D-8A5A-49FC-98E5-12F3747308CF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F-8A5A-49FC-98E5-12F3747308CF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1-8A5A-49FC-98E5-12F3747308CF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3-8A5A-49FC-98E5-12F3747308CF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5-8A5A-49FC-98E5-12F3747308CF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7-8A5A-49FC-98E5-12F3747308CF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9-8A5A-49FC-98E5-12F3747308CF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B-8A5A-49FC-98E5-12F3747308CF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D-8A5A-49FC-98E5-12F3747308CF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F-8A5A-49FC-98E5-12F3747308CF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1-8A5A-49FC-98E5-12F3747308CF}"/>
              </c:ext>
            </c:extLst>
          </c:dPt>
          <c:dPt>
            <c:idx val="17"/>
            <c:invertIfNegative val="0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3-8A5A-49FC-98E5-12F3747308CF}"/>
              </c:ext>
            </c:extLst>
          </c:dPt>
          <c:dPt>
            <c:idx val="18"/>
            <c:invertIfNegative val="0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5-8A5A-49FC-98E5-12F3747308CF}"/>
              </c:ext>
            </c:extLst>
          </c:dPt>
          <c:dPt>
            <c:idx val="19"/>
            <c:invertIfNegative val="0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7-8A5A-49FC-98E5-12F3747308CF}"/>
              </c:ext>
            </c:extLst>
          </c:dPt>
          <c:dPt>
            <c:idx val="20"/>
            <c:invertIfNegative val="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9-8A5A-49FC-98E5-12F3747308CF}"/>
              </c:ext>
            </c:extLst>
          </c:dPt>
          <c:dPt>
            <c:idx val="21"/>
            <c:invertIfNegative val="0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B-8A5A-49FC-98E5-12F3747308CF}"/>
              </c:ext>
            </c:extLst>
          </c:dPt>
          <c:dPt>
            <c:idx val="22"/>
            <c:invertIfNegative val="0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D-8A5A-49FC-98E5-12F3747308CF}"/>
              </c:ext>
            </c:extLst>
          </c:dPt>
          <c:dPt>
            <c:idx val="23"/>
            <c:invertIfNegative val="0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F-8A5A-49FC-98E5-12F3747308CF}"/>
              </c:ext>
            </c:extLst>
          </c:dPt>
          <c:dPt>
            <c:idx val="24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31-8A5A-49FC-98E5-12F3747308CF}"/>
              </c:ext>
            </c:extLst>
          </c:dPt>
          <c:dPt>
            <c:idx val="25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33-8A5A-49FC-98E5-12F3747308CF}"/>
              </c:ext>
            </c:extLst>
          </c:dPt>
          <c:dPt>
            <c:idx val="26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35-8A5A-49FC-98E5-12F3747308CF}"/>
              </c:ext>
            </c:extLst>
          </c:dPt>
          <c:dPt>
            <c:idx val="27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37-8A5A-49FC-98E5-12F3747308CF}"/>
              </c:ext>
            </c:extLst>
          </c:dPt>
          <c:dPt>
            <c:idx val="28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39-8A5A-49FC-98E5-12F3747308CF}"/>
              </c:ext>
            </c:extLst>
          </c:dPt>
          <c:dPt>
            <c:idx val="29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3B-8A5A-49FC-98E5-12F3747308CF}"/>
              </c:ext>
            </c:extLst>
          </c:dPt>
          <c:dPt>
            <c:idx val="30"/>
            <c:invertIfNegative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3D-8A5A-49FC-98E5-12F3747308CF}"/>
              </c:ext>
            </c:extLst>
          </c:dPt>
          <c:dPt>
            <c:idx val="31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3F-8A5A-49FC-98E5-12F3747308CF}"/>
              </c:ext>
            </c:extLst>
          </c:dPt>
          <c:dPt>
            <c:idx val="32"/>
            <c:invertIfNegative val="0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41-8A5A-49FC-98E5-12F3747308CF}"/>
              </c:ext>
            </c:extLst>
          </c:dPt>
          <c:dPt>
            <c:idx val="33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43-8A5A-49FC-98E5-12F3747308CF}"/>
              </c:ext>
            </c:extLst>
          </c:dPt>
          <c:dPt>
            <c:idx val="34"/>
            <c:invertIfNegative val="0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45-8A5A-49FC-98E5-12F3747308CF}"/>
              </c:ext>
            </c:extLst>
          </c:dPt>
          <c:dPt>
            <c:idx val="35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47-8A5A-49FC-98E5-12F3747308CF}"/>
              </c:ext>
            </c:extLst>
          </c:dPt>
          <c:dPt>
            <c:idx val="36"/>
            <c:invertIfNegative val="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49-8A5A-49FC-98E5-12F3747308CF}"/>
              </c:ext>
            </c:extLst>
          </c:dPt>
          <c:dPt>
            <c:idx val="37"/>
            <c:invertIfNegative val="0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4B-8A5A-49FC-98E5-12F3747308CF}"/>
              </c:ext>
            </c:extLst>
          </c:dPt>
          <c:dPt>
            <c:idx val="38"/>
            <c:invertIfNegative val="0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4D-8A5A-49FC-98E5-12F3747308CF}"/>
              </c:ext>
            </c:extLst>
          </c:dPt>
          <c:dPt>
            <c:idx val="39"/>
            <c:invertIfNegative val="0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4F-8A5A-49FC-98E5-12F3747308CF}"/>
              </c:ext>
            </c:extLst>
          </c:dPt>
          <c:dPt>
            <c:idx val="40"/>
            <c:invertIfNegative val="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51-8A5A-49FC-98E5-12F3747308CF}"/>
              </c:ext>
            </c:extLst>
          </c:dPt>
          <c:dPt>
            <c:idx val="41"/>
            <c:invertIfNegative val="0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53-8A5A-49FC-98E5-12F3747308CF}"/>
              </c:ext>
            </c:extLst>
          </c:dPt>
          <c:dPt>
            <c:idx val="42"/>
            <c:invertIfNegative val="0"/>
            <c:bubble3D val="0"/>
            <c:spPr>
              <a:solidFill>
                <a:schemeClr val="accent1">
                  <a:lumMod val="7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55-8A5A-49FC-98E5-12F3747308CF}"/>
              </c:ext>
            </c:extLst>
          </c:dPt>
          <c:dPt>
            <c:idx val="43"/>
            <c:invertIfNegative val="0"/>
            <c:bubble3D val="0"/>
            <c:spPr>
              <a:solidFill>
                <a:schemeClr val="accent2">
                  <a:lumMod val="7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57-8A5A-49FC-98E5-12F3747308CF}"/>
              </c:ext>
            </c:extLst>
          </c:dPt>
          <c:dPt>
            <c:idx val="44"/>
            <c:invertIfNegative val="0"/>
            <c:bubble3D val="0"/>
            <c:spPr>
              <a:solidFill>
                <a:schemeClr val="accent3">
                  <a:lumMod val="7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59-8A5A-49FC-98E5-12F3747308CF}"/>
              </c:ext>
            </c:extLst>
          </c:dPt>
          <c:dPt>
            <c:idx val="45"/>
            <c:invertIfNegative val="0"/>
            <c:bubble3D val="0"/>
            <c:spPr>
              <a:solidFill>
                <a:schemeClr val="accent4">
                  <a:lumMod val="7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5B-8A5A-49FC-98E5-12F3747308CF}"/>
              </c:ext>
            </c:extLst>
          </c:dPt>
          <c:dPt>
            <c:idx val="46"/>
            <c:invertIfNegative val="0"/>
            <c:bubble3D val="0"/>
            <c:spPr>
              <a:solidFill>
                <a:schemeClr val="accent5">
                  <a:lumMod val="7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5D-8A5A-49FC-98E5-12F3747308CF}"/>
              </c:ext>
            </c:extLst>
          </c:dPt>
          <c:dPt>
            <c:idx val="47"/>
            <c:invertIfNegative val="0"/>
            <c:bubble3D val="0"/>
            <c:spPr>
              <a:solidFill>
                <a:schemeClr val="accent6">
                  <a:lumMod val="7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5F-8A5A-49FC-98E5-12F3747308CF}"/>
              </c:ext>
            </c:extLst>
          </c:dPt>
          <c:dPt>
            <c:idx val="48"/>
            <c:invertIfNegative val="0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61-8A5A-49FC-98E5-12F3747308CF}"/>
              </c:ext>
            </c:extLst>
          </c:dPt>
          <c:dPt>
            <c:idx val="49"/>
            <c:invertIfNegative val="0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63-8A5A-49FC-98E5-12F3747308CF}"/>
              </c:ext>
            </c:extLst>
          </c:dPt>
          <c:dPt>
            <c:idx val="50"/>
            <c:invertIfNegative val="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65-8A5A-49FC-98E5-12F3747308CF}"/>
              </c:ext>
            </c:extLst>
          </c:dPt>
          <c:dPt>
            <c:idx val="51"/>
            <c:invertIfNegative val="0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67-8A5A-49FC-98E5-12F3747308CF}"/>
              </c:ext>
            </c:extLst>
          </c:dPt>
          <c:dPt>
            <c:idx val="52"/>
            <c:invertIfNegative val="0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69-8A5A-49FC-98E5-12F3747308CF}"/>
              </c:ext>
            </c:extLst>
          </c:dPt>
          <c:dPt>
            <c:idx val="53"/>
            <c:invertIfNegative val="0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6B-8A5A-49FC-98E5-12F3747308CF}"/>
              </c:ext>
            </c:extLst>
          </c:dPt>
          <c:dPt>
            <c:idx val="54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6D-8A5A-49FC-98E5-12F3747308CF}"/>
              </c:ext>
            </c:extLst>
          </c:dPt>
          <c:cat>
            <c:strRef>
              <c:f>'Penguk.CPMK-Smt1'!$D$65:$D$119</c:f>
              <c:strCache>
                <c:ptCount val="55"/>
                <c:pt idx="0">
                  <c:v>CPMK011</c:v>
                </c:pt>
                <c:pt idx="1">
                  <c:v>CPMK012</c:v>
                </c:pt>
                <c:pt idx="2">
                  <c:v>CPMK013</c:v>
                </c:pt>
                <c:pt idx="3">
                  <c:v>CPMK021</c:v>
                </c:pt>
                <c:pt idx="4">
                  <c:v>CPMK022</c:v>
                </c:pt>
                <c:pt idx="5">
                  <c:v>CPMK023</c:v>
                </c:pt>
                <c:pt idx="6">
                  <c:v>CPMK024</c:v>
                </c:pt>
                <c:pt idx="7">
                  <c:v>CPMK031</c:v>
                </c:pt>
                <c:pt idx="8">
                  <c:v>CPMK032</c:v>
                </c:pt>
                <c:pt idx="9">
                  <c:v>CPMK033</c:v>
                </c:pt>
                <c:pt idx="10">
                  <c:v>CPMK041</c:v>
                </c:pt>
                <c:pt idx="11">
                  <c:v>CPMK042</c:v>
                </c:pt>
                <c:pt idx="12">
                  <c:v>CPMK043</c:v>
                </c:pt>
                <c:pt idx="13">
                  <c:v>CPMK044</c:v>
                </c:pt>
                <c:pt idx="14">
                  <c:v>CPMK045</c:v>
                </c:pt>
                <c:pt idx="15">
                  <c:v>CPMK046</c:v>
                </c:pt>
                <c:pt idx="16">
                  <c:v>CPMK047</c:v>
                </c:pt>
                <c:pt idx="17">
                  <c:v>CPMK051</c:v>
                </c:pt>
                <c:pt idx="18">
                  <c:v>CPMK052</c:v>
                </c:pt>
                <c:pt idx="19">
                  <c:v>CPMK053</c:v>
                </c:pt>
                <c:pt idx="20">
                  <c:v>CPMK054</c:v>
                </c:pt>
                <c:pt idx="21">
                  <c:v>CPMK055</c:v>
                </c:pt>
                <c:pt idx="22">
                  <c:v>CPMK056</c:v>
                </c:pt>
                <c:pt idx="23">
                  <c:v>CPMK057</c:v>
                </c:pt>
                <c:pt idx="24">
                  <c:v>CPMK058</c:v>
                </c:pt>
                <c:pt idx="25">
                  <c:v>CPMK061</c:v>
                </c:pt>
                <c:pt idx="26">
                  <c:v>CPMK062</c:v>
                </c:pt>
                <c:pt idx="27">
                  <c:v>CPMK063</c:v>
                </c:pt>
                <c:pt idx="28">
                  <c:v>CPMK064</c:v>
                </c:pt>
                <c:pt idx="29">
                  <c:v>CPMK071</c:v>
                </c:pt>
                <c:pt idx="30">
                  <c:v>CPMK072</c:v>
                </c:pt>
                <c:pt idx="31">
                  <c:v>CPMK073</c:v>
                </c:pt>
                <c:pt idx="32">
                  <c:v>CPMK074</c:v>
                </c:pt>
                <c:pt idx="33">
                  <c:v>CPMK075</c:v>
                </c:pt>
                <c:pt idx="34">
                  <c:v>CPMK076</c:v>
                </c:pt>
                <c:pt idx="35">
                  <c:v>CPMK081</c:v>
                </c:pt>
                <c:pt idx="36">
                  <c:v>CPMK082</c:v>
                </c:pt>
                <c:pt idx="37">
                  <c:v>CPMK083</c:v>
                </c:pt>
                <c:pt idx="38">
                  <c:v>CPMK091</c:v>
                </c:pt>
                <c:pt idx="39">
                  <c:v>CPMK092</c:v>
                </c:pt>
                <c:pt idx="40">
                  <c:v>CPMK093</c:v>
                </c:pt>
                <c:pt idx="41">
                  <c:v>CPMK101</c:v>
                </c:pt>
                <c:pt idx="42">
                  <c:v>CPMK102</c:v>
                </c:pt>
                <c:pt idx="43">
                  <c:v>CPMK103</c:v>
                </c:pt>
                <c:pt idx="44">
                  <c:v>CPMK104</c:v>
                </c:pt>
                <c:pt idx="45">
                  <c:v>CPMK105</c:v>
                </c:pt>
                <c:pt idx="46">
                  <c:v>CPMK111</c:v>
                </c:pt>
                <c:pt idx="47">
                  <c:v>CPMK112</c:v>
                </c:pt>
                <c:pt idx="48">
                  <c:v>CPMK113</c:v>
                </c:pt>
                <c:pt idx="49">
                  <c:v>CPMK114</c:v>
                </c:pt>
                <c:pt idx="50">
                  <c:v>CPMK115</c:v>
                </c:pt>
                <c:pt idx="51">
                  <c:v>CPMK121</c:v>
                </c:pt>
                <c:pt idx="52">
                  <c:v>CPMK122</c:v>
                </c:pt>
                <c:pt idx="53">
                  <c:v>CPMK123</c:v>
                </c:pt>
                <c:pt idx="54">
                  <c:v>CPMK124</c:v>
                </c:pt>
              </c:strCache>
            </c:strRef>
          </c:cat>
          <c:val>
            <c:numRef>
              <c:f>'Penguk.CPMK-Smt1'!$K$65:$K$119</c:f>
              <c:numCache>
                <c:formatCode>0%</c:formatCode>
                <c:ptCount val="55"/>
                <c:pt idx="0">
                  <c:v>0.97297297297297303</c:v>
                </c:pt>
                <c:pt idx="1">
                  <c:v>0.97297297297297303</c:v>
                </c:pt>
                <c:pt idx="2">
                  <c:v>0.97297297297297303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0.97297297297297303</c:v>
                </c:pt>
                <c:pt idx="22">
                  <c:v>0.94594594594594594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0.94594594594594594</c:v>
                </c:pt>
                <c:pt idx="36">
                  <c:v>0</c:v>
                </c:pt>
                <c:pt idx="37">
                  <c:v>0</c:v>
                </c:pt>
                <c:pt idx="38">
                  <c:v>0.91891891891891897</c:v>
                </c:pt>
                <c:pt idx="39">
                  <c:v>0</c:v>
                </c:pt>
                <c:pt idx="40">
                  <c:v>0</c:v>
                </c:pt>
                <c:pt idx="41">
                  <c:v>0.97297297297297303</c:v>
                </c:pt>
                <c:pt idx="42">
                  <c:v>0.97297297297297303</c:v>
                </c:pt>
                <c:pt idx="43">
                  <c:v>1</c:v>
                </c:pt>
                <c:pt idx="44">
                  <c:v>0</c:v>
                </c:pt>
                <c:pt idx="45">
                  <c:v>0</c:v>
                </c:pt>
                <c:pt idx="46">
                  <c:v>0.97297297297297303</c:v>
                </c:pt>
                <c:pt idx="47">
                  <c:v>0</c:v>
                </c:pt>
                <c:pt idx="48">
                  <c:v>0</c:v>
                </c:pt>
                <c:pt idx="49">
                  <c:v>0.83783783783783783</c:v>
                </c:pt>
                <c:pt idx="50">
                  <c:v>0.86486486486486491</c:v>
                </c:pt>
                <c:pt idx="51">
                  <c:v>0</c:v>
                </c:pt>
                <c:pt idx="52">
                  <c:v>0.97297297297297303</c:v>
                </c:pt>
                <c:pt idx="53">
                  <c:v>0.97297297297297303</c:v>
                </c:pt>
                <c:pt idx="5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6B-4773-9DAD-8FB54DBA38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50784096"/>
        <c:axId val="1550780736"/>
        <c:axId val="0"/>
      </c:bar3DChart>
      <c:catAx>
        <c:axId val="1550784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780736"/>
        <c:crosses val="autoZero"/>
        <c:auto val="1"/>
        <c:lblAlgn val="ctr"/>
        <c:lblOffset val="100"/>
        <c:noMultiLvlLbl val="0"/>
      </c:catAx>
      <c:valAx>
        <c:axId val="1550780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7840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Rata-rata Capaian CPMK Semester</a:t>
            </a:r>
            <a:r>
              <a:rPr lang="en-ID" baseline="0"/>
              <a:t> I Angkatan 2024</a:t>
            </a:r>
          </a:p>
          <a:p>
            <a:pPr>
              <a:defRPr/>
            </a:pP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1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902A-4434-B85A-B4ACA248D95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902A-4434-B85A-B4ACA248D95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5-902A-4434-B85A-B4ACA248D95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7-902A-4434-B85A-B4ACA248D95E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9-902A-4434-B85A-B4ACA248D95E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B-902A-4434-B85A-B4ACA248D95E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D-902A-4434-B85A-B4ACA248D95E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F-902A-4434-B85A-B4ACA248D95E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1-902A-4434-B85A-B4ACA248D95E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3-902A-4434-B85A-B4ACA248D95E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5-902A-4434-B85A-B4ACA248D95E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7-902A-4434-B85A-B4ACA248D95E}"/>
              </c:ext>
            </c:extLst>
          </c:dPt>
          <c:dPt>
            <c:idx val="12"/>
            <c:invertIfNegative val="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9-902A-4434-B85A-B4ACA248D95E}"/>
              </c:ext>
            </c:extLst>
          </c:dPt>
          <c:dPt>
            <c:idx val="13"/>
            <c:invertIfNegative val="0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B-902A-4434-B85A-B4ACA248D95E}"/>
              </c:ext>
            </c:extLst>
          </c:dPt>
          <c:dPt>
            <c:idx val="14"/>
            <c:invertIfNegative val="0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D-902A-4434-B85A-B4ACA248D95E}"/>
              </c:ext>
            </c:extLst>
          </c:dPt>
          <c:dPt>
            <c:idx val="15"/>
            <c:invertIfNegative val="0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F-902A-4434-B85A-B4ACA248D95E}"/>
              </c:ext>
            </c:extLst>
          </c:dPt>
          <c:dPt>
            <c:idx val="16"/>
            <c:invertIfNegative val="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1-902A-4434-B85A-B4ACA248D95E}"/>
              </c:ext>
            </c:extLst>
          </c:dPt>
          <c:dPt>
            <c:idx val="17"/>
            <c:invertIfNegative val="0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3-902A-4434-B85A-B4ACA248D95E}"/>
              </c:ext>
            </c:extLst>
          </c:dPt>
          <c:dPt>
            <c:idx val="18"/>
            <c:invertIfNegative val="0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5-902A-4434-B85A-B4ACA248D95E}"/>
              </c:ext>
            </c:extLst>
          </c:dPt>
          <c:dPt>
            <c:idx val="19"/>
            <c:invertIfNegative val="0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7-902A-4434-B85A-B4ACA248D95E}"/>
              </c:ext>
            </c:extLst>
          </c:dPt>
          <c:dPt>
            <c:idx val="20"/>
            <c:invertIfNegative val="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9-902A-4434-B85A-B4ACA248D95E}"/>
              </c:ext>
            </c:extLst>
          </c:dPt>
          <c:dPt>
            <c:idx val="21"/>
            <c:invertIfNegative val="0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B-902A-4434-B85A-B4ACA248D95E}"/>
              </c:ext>
            </c:extLst>
          </c:dPt>
          <c:dPt>
            <c:idx val="22"/>
            <c:invertIfNegative val="0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D-902A-4434-B85A-B4ACA248D95E}"/>
              </c:ext>
            </c:extLst>
          </c:dPt>
          <c:dPt>
            <c:idx val="23"/>
            <c:invertIfNegative val="0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2F-902A-4434-B85A-B4ACA248D95E}"/>
              </c:ext>
            </c:extLst>
          </c:dPt>
          <c:dPt>
            <c:idx val="24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31-902A-4434-B85A-B4ACA248D95E}"/>
              </c:ext>
            </c:extLst>
          </c:dPt>
          <c:dPt>
            <c:idx val="25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33-902A-4434-B85A-B4ACA248D95E}"/>
              </c:ext>
            </c:extLst>
          </c:dPt>
          <c:dPt>
            <c:idx val="26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35-902A-4434-B85A-B4ACA248D95E}"/>
              </c:ext>
            </c:extLst>
          </c:dPt>
          <c:dPt>
            <c:idx val="27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37-902A-4434-B85A-B4ACA248D95E}"/>
              </c:ext>
            </c:extLst>
          </c:dPt>
          <c:dPt>
            <c:idx val="28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39-902A-4434-B85A-B4ACA248D95E}"/>
              </c:ext>
            </c:extLst>
          </c:dPt>
          <c:dPt>
            <c:idx val="29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3B-902A-4434-B85A-B4ACA248D95E}"/>
              </c:ext>
            </c:extLst>
          </c:dPt>
          <c:dPt>
            <c:idx val="30"/>
            <c:invertIfNegative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3D-902A-4434-B85A-B4ACA248D95E}"/>
              </c:ext>
            </c:extLst>
          </c:dPt>
          <c:dPt>
            <c:idx val="31"/>
            <c:invertIfNegative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3F-902A-4434-B85A-B4ACA248D95E}"/>
              </c:ext>
            </c:extLst>
          </c:dPt>
          <c:dPt>
            <c:idx val="32"/>
            <c:invertIfNegative val="0"/>
            <c:bubble3D val="0"/>
            <c:spPr>
              <a:solidFill>
                <a:schemeClr val="accent3">
                  <a:lumMod val="5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41-902A-4434-B85A-B4ACA248D95E}"/>
              </c:ext>
            </c:extLst>
          </c:dPt>
          <c:dPt>
            <c:idx val="33"/>
            <c:invertIfNegative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43-902A-4434-B85A-B4ACA248D95E}"/>
              </c:ext>
            </c:extLst>
          </c:dPt>
          <c:dPt>
            <c:idx val="34"/>
            <c:invertIfNegative val="0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45-902A-4434-B85A-B4ACA248D95E}"/>
              </c:ext>
            </c:extLst>
          </c:dPt>
          <c:dPt>
            <c:idx val="35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47-902A-4434-B85A-B4ACA248D95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'[10]Penguk.MK-CPL-I'!$BP$8:$CY$8</c:f>
              <c:strCache>
                <c:ptCount val="36"/>
                <c:pt idx="0">
                  <c:v>CPMK011</c:v>
                </c:pt>
                <c:pt idx="1">
                  <c:v>CPMK012</c:v>
                </c:pt>
                <c:pt idx="2">
                  <c:v>CPMK013</c:v>
                </c:pt>
                <c:pt idx="3">
                  <c:v>CPMK014</c:v>
                </c:pt>
                <c:pt idx="4">
                  <c:v>CPMK021</c:v>
                </c:pt>
                <c:pt idx="5">
                  <c:v>CPMK022</c:v>
                </c:pt>
                <c:pt idx="6">
                  <c:v>CPMK023</c:v>
                </c:pt>
                <c:pt idx="7">
                  <c:v>CPMK024</c:v>
                </c:pt>
                <c:pt idx="8">
                  <c:v>CPMK031</c:v>
                </c:pt>
                <c:pt idx="9">
                  <c:v>CPMK032</c:v>
                </c:pt>
                <c:pt idx="10">
                  <c:v>CPMK033</c:v>
                </c:pt>
                <c:pt idx="11">
                  <c:v>CPMK041</c:v>
                </c:pt>
                <c:pt idx="12">
                  <c:v>CPMK042</c:v>
                </c:pt>
                <c:pt idx="13">
                  <c:v>CPMK051</c:v>
                </c:pt>
                <c:pt idx="14">
                  <c:v>CPMK052</c:v>
                </c:pt>
                <c:pt idx="15">
                  <c:v>CPMK061</c:v>
                </c:pt>
                <c:pt idx="16">
                  <c:v>CPMK062</c:v>
                </c:pt>
                <c:pt idx="17">
                  <c:v>CPMK063</c:v>
                </c:pt>
                <c:pt idx="18">
                  <c:v>CPMK064</c:v>
                </c:pt>
                <c:pt idx="19">
                  <c:v>CPMK071</c:v>
                </c:pt>
                <c:pt idx="20">
                  <c:v>CPMK072</c:v>
                </c:pt>
                <c:pt idx="21">
                  <c:v>CPMK073</c:v>
                </c:pt>
                <c:pt idx="22">
                  <c:v>CPMK081</c:v>
                </c:pt>
                <c:pt idx="23">
                  <c:v>CPMK082</c:v>
                </c:pt>
                <c:pt idx="24">
                  <c:v>CPMK091</c:v>
                </c:pt>
                <c:pt idx="25">
                  <c:v>CPMK092</c:v>
                </c:pt>
                <c:pt idx="26">
                  <c:v>CPMK101</c:v>
                </c:pt>
                <c:pt idx="27">
                  <c:v>CPMK102</c:v>
                </c:pt>
                <c:pt idx="28">
                  <c:v>CPMK111</c:v>
                </c:pt>
                <c:pt idx="29">
                  <c:v>CPMK112</c:v>
                </c:pt>
                <c:pt idx="30">
                  <c:v>CPMK121</c:v>
                </c:pt>
                <c:pt idx="31">
                  <c:v>CPMK122</c:v>
                </c:pt>
                <c:pt idx="32">
                  <c:v>CPMK131</c:v>
                </c:pt>
                <c:pt idx="33">
                  <c:v>CPMK132</c:v>
                </c:pt>
                <c:pt idx="34">
                  <c:v>CPMK141</c:v>
                </c:pt>
                <c:pt idx="35">
                  <c:v>CPMK142</c:v>
                </c:pt>
              </c:strCache>
            </c:strRef>
          </c:cat>
          <c:val>
            <c:numRef>
              <c:f>'[10]Penguk.MK-CPL-I'!$BP$42:$CY$42</c:f>
              <c:numCache>
                <c:formatCode>General</c:formatCode>
                <c:ptCount val="36"/>
                <c:pt idx="0">
                  <c:v>0.79069444444444437</c:v>
                </c:pt>
                <c:pt idx="1">
                  <c:v>0.8412777777777779</c:v>
                </c:pt>
                <c:pt idx="2">
                  <c:v>0.80412777777777777</c:v>
                </c:pt>
                <c:pt idx="3">
                  <c:v>0.87131111111111104</c:v>
                </c:pt>
                <c:pt idx="4">
                  <c:v>0.73652777777777789</c:v>
                </c:pt>
                <c:pt idx="9">
                  <c:v>0.74609375</c:v>
                </c:pt>
                <c:pt idx="10">
                  <c:v>0.7853</c:v>
                </c:pt>
                <c:pt idx="11">
                  <c:v>0.79738888888888881</c:v>
                </c:pt>
                <c:pt idx="24">
                  <c:v>0.74599411764705903</c:v>
                </c:pt>
                <c:pt idx="25">
                  <c:v>0.80529375000000003</c:v>
                </c:pt>
                <c:pt idx="26">
                  <c:v>0.80584117647058806</c:v>
                </c:pt>
                <c:pt idx="30">
                  <c:v>0.7767187499999999</c:v>
                </c:pt>
                <c:pt idx="31">
                  <c:v>0.77671875000000001</c:v>
                </c:pt>
                <c:pt idx="32">
                  <c:v>0.89290244565217392</c:v>
                </c:pt>
                <c:pt idx="34">
                  <c:v>0.760625</c:v>
                </c:pt>
                <c:pt idx="35">
                  <c:v>0.76062500000000011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8-902A-4434-B85A-B4ACA248D9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58791712"/>
        <c:axId val="1558792192"/>
        <c:axId val="0"/>
      </c:bar3DChart>
      <c:catAx>
        <c:axId val="1558791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8792192"/>
        <c:crosses val="autoZero"/>
        <c:auto val="1"/>
        <c:lblAlgn val="ctr"/>
        <c:lblOffset val="100"/>
        <c:noMultiLvlLbl val="0"/>
      </c:catAx>
      <c:valAx>
        <c:axId val="1558792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8791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Persentase Tingkat Ketercapaian CPL Program Studi Semester I Angkatan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1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D2A9-414F-9F14-B1F1266FB35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D2A9-414F-9F14-B1F1266FB35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5-D2A9-414F-9F14-B1F1266FB35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7-D2A9-414F-9F14-B1F1266FB355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9-D2A9-414F-9F14-B1F1266FB355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B-D2A9-414F-9F14-B1F1266FB355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D-D2A9-414F-9F14-B1F1266FB355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F-D2A9-414F-9F14-B1F1266FB355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1-D2A9-414F-9F14-B1F1266FB355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3-D2A9-414F-9F14-B1F1266FB355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5-D2A9-414F-9F14-B1F1266FB355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7-D2A9-414F-9F14-B1F1266FB35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'Penguk.CPL-Smt1'!$C$65:$C$76</c:f>
              <c:strCache>
                <c:ptCount val="12"/>
                <c:pt idx="0">
                  <c:v>CPL01</c:v>
                </c:pt>
                <c:pt idx="1">
                  <c:v>CPL02</c:v>
                </c:pt>
                <c:pt idx="2">
                  <c:v>CPL03</c:v>
                </c:pt>
                <c:pt idx="3">
                  <c:v>CPL04</c:v>
                </c:pt>
                <c:pt idx="4">
                  <c:v>CPL05</c:v>
                </c:pt>
                <c:pt idx="5">
                  <c:v>CPL06</c:v>
                </c:pt>
                <c:pt idx="6">
                  <c:v>CPL07</c:v>
                </c:pt>
                <c:pt idx="7">
                  <c:v>CPL08</c:v>
                </c:pt>
                <c:pt idx="8">
                  <c:v>CPL09</c:v>
                </c:pt>
                <c:pt idx="9">
                  <c:v>CPL10</c:v>
                </c:pt>
                <c:pt idx="10">
                  <c:v>CPL11</c:v>
                </c:pt>
                <c:pt idx="11">
                  <c:v>CPL12</c:v>
                </c:pt>
              </c:strCache>
            </c:strRef>
          </c:cat>
          <c:val>
            <c:numRef>
              <c:f>'Penguk.CPL-Smt1'!$J$65:$J$76</c:f>
              <c:numCache>
                <c:formatCode>0%</c:formatCode>
                <c:ptCount val="12"/>
                <c:pt idx="0">
                  <c:v>0.97297297297297303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0.86486486486486491</c:v>
                </c:pt>
                <c:pt idx="9">
                  <c:v>0.97297297297297303</c:v>
                </c:pt>
                <c:pt idx="10">
                  <c:v>1</c:v>
                </c:pt>
                <c:pt idx="11">
                  <c:v>0.97297297297297303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FE-4AA2-ADC1-E73524D2AB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627383184"/>
        <c:axId val="1627383664"/>
        <c:axId val="0"/>
      </c:bar3DChart>
      <c:catAx>
        <c:axId val="16273831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7383664"/>
        <c:crosses val="autoZero"/>
        <c:auto val="1"/>
        <c:lblAlgn val="ctr"/>
        <c:lblOffset val="100"/>
        <c:noMultiLvlLbl val="0"/>
      </c:catAx>
      <c:valAx>
        <c:axId val="1627383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7383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Persentase Tingkat Ketercapaian CPL Program Studi Semester I Angkatan 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'Penguk.CPL-Smt1'!$C$65:$C$76</c:f>
              <c:strCache>
                <c:ptCount val="12"/>
                <c:pt idx="0">
                  <c:v>CPL01</c:v>
                </c:pt>
                <c:pt idx="1">
                  <c:v>CPL02</c:v>
                </c:pt>
                <c:pt idx="2">
                  <c:v>CPL03</c:v>
                </c:pt>
                <c:pt idx="3">
                  <c:v>CPL04</c:v>
                </c:pt>
                <c:pt idx="4">
                  <c:v>CPL05</c:v>
                </c:pt>
                <c:pt idx="5">
                  <c:v>CPL06</c:v>
                </c:pt>
                <c:pt idx="6">
                  <c:v>CPL07</c:v>
                </c:pt>
                <c:pt idx="7">
                  <c:v>CPL08</c:v>
                </c:pt>
                <c:pt idx="8">
                  <c:v>CPL09</c:v>
                </c:pt>
                <c:pt idx="9">
                  <c:v>CPL10</c:v>
                </c:pt>
                <c:pt idx="10">
                  <c:v>CPL11</c:v>
                </c:pt>
                <c:pt idx="11">
                  <c:v>CPL12</c:v>
                </c:pt>
              </c:strCache>
            </c:strRef>
          </c:cat>
          <c:val>
            <c:numRef>
              <c:f>'Penguk.CPL-Smt1'!$J$65:$J$76</c:f>
              <c:numCache>
                <c:formatCode>0%</c:formatCode>
                <c:ptCount val="12"/>
                <c:pt idx="0">
                  <c:v>0.97297297297297303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0.86486486486486491</c:v>
                </c:pt>
                <c:pt idx="9">
                  <c:v>0.97297297297297303</c:v>
                </c:pt>
                <c:pt idx="10">
                  <c:v>1</c:v>
                </c:pt>
                <c:pt idx="11">
                  <c:v>0.97297297297297303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797-48CB-8DE0-49E47E3654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7379344"/>
        <c:axId val="1627384144"/>
      </c:radarChart>
      <c:catAx>
        <c:axId val="1627379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7384144"/>
        <c:crosses val="autoZero"/>
        <c:auto val="1"/>
        <c:lblAlgn val="ctr"/>
        <c:lblOffset val="100"/>
        <c:noMultiLvlLbl val="0"/>
      </c:catAx>
      <c:valAx>
        <c:axId val="1627384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7379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Tingkat Rata-rata</a:t>
            </a:r>
            <a:r>
              <a:rPr lang="en-ID" baseline="0"/>
              <a:t> Ketercapaian CPL Program Studi Semester I Angkatan 2024</a:t>
            </a:r>
            <a:endParaRPr lang="en-ID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'Penguk.CPL-Smt1'!$C$65:$C$76</c:f>
              <c:strCache>
                <c:ptCount val="12"/>
                <c:pt idx="0">
                  <c:v>CPL01</c:v>
                </c:pt>
                <c:pt idx="1">
                  <c:v>CPL02</c:v>
                </c:pt>
                <c:pt idx="2">
                  <c:v>CPL03</c:v>
                </c:pt>
                <c:pt idx="3">
                  <c:v>CPL04</c:v>
                </c:pt>
                <c:pt idx="4">
                  <c:v>CPL05</c:v>
                </c:pt>
                <c:pt idx="5">
                  <c:v>CPL06</c:v>
                </c:pt>
                <c:pt idx="6">
                  <c:v>CPL07</c:v>
                </c:pt>
                <c:pt idx="7">
                  <c:v>CPL08</c:v>
                </c:pt>
                <c:pt idx="8">
                  <c:v>CPL09</c:v>
                </c:pt>
                <c:pt idx="9">
                  <c:v>CPL10</c:v>
                </c:pt>
                <c:pt idx="10">
                  <c:v>CPL11</c:v>
                </c:pt>
                <c:pt idx="11">
                  <c:v>CPL12</c:v>
                </c:pt>
              </c:strCache>
            </c:strRef>
          </c:cat>
          <c:val>
            <c:numRef>
              <c:f>'Penguk.CPL-Smt1'!$F$65:$F$76</c:f>
              <c:numCache>
                <c:formatCode>0%</c:formatCode>
                <c:ptCount val="12"/>
                <c:pt idx="0">
                  <c:v>0.84061148648648643</c:v>
                </c:pt>
                <c:pt idx="1">
                  <c:v>0.84545945945945944</c:v>
                </c:pt>
                <c:pt idx="2">
                  <c:v>0</c:v>
                </c:pt>
                <c:pt idx="3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0.79078787878787893</c:v>
                </c:pt>
                <c:pt idx="8">
                  <c:v>0.77848648648648666</c:v>
                </c:pt>
                <c:pt idx="9">
                  <c:v>0.8641570988710231</c:v>
                </c:pt>
                <c:pt idx="10">
                  <c:v>0.78193272280545012</c:v>
                </c:pt>
                <c:pt idx="11">
                  <c:v>0.87075675675675701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B8-4A2E-A6A3-62308BCE67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27381744"/>
        <c:axId val="1627382704"/>
      </c:radarChart>
      <c:catAx>
        <c:axId val="1627381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7382704"/>
        <c:crosses val="autoZero"/>
        <c:auto val="1"/>
        <c:lblAlgn val="ctr"/>
        <c:lblOffset val="100"/>
        <c:noMultiLvlLbl val="0"/>
      </c:catAx>
      <c:valAx>
        <c:axId val="162738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7381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Tingkat Rata-Rata Ketercapaian CPL Program Studi Semester I Angkatan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1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5D91-4F72-9AB2-04C8D748BCE9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5D91-4F72-9AB2-04C8D748BCE9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5-5D91-4F72-9AB2-04C8D748BCE9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7-5D91-4F72-9AB2-04C8D748BCE9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9-5D91-4F72-9AB2-04C8D748BCE9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B-5D91-4F72-9AB2-04C8D748BCE9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D-5D91-4F72-9AB2-04C8D748BCE9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F-5D91-4F72-9AB2-04C8D748BCE9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1-5D91-4F72-9AB2-04C8D748BCE9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3-5D91-4F72-9AB2-04C8D748BCE9}"/>
              </c:ext>
            </c:extLst>
          </c:dPt>
          <c:dPt>
            <c:idx val="10"/>
            <c:invertIfNegative val="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5-5D91-4F72-9AB2-04C8D748BCE9}"/>
              </c:ext>
            </c:extLst>
          </c:dPt>
          <c:dPt>
            <c:idx val="11"/>
            <c:invertIfNegative val="0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17-5D91-4F72-9AB2-04C8D748BCE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'Penguk.CPL-Smt1'!$C$65:$C$76</c:f>
              <c:strCache>
                <c:ptCount val="12"/>
                <c:pt idx="0">
                  <c:v>CPL01</c:v>
                </c:pt>
                <c:pt idx="1">
                  <c:v>CPL02</c:v>
                </c:pt>
                <c:pt idx="2">
                  <c:v>CPL03</c:v>
                </c:pt>
                <c:pt idx="3">
                  <c:v>CPL04</c:v>
                </c:pt>
                <c:pt idx="4">
                  <c:v>CPL05</c:v>
                </c:pt>
                <c:pt idx="5">
                  <c:v>CPL06</c:v>
                </c:pt>
                <c:pt idx="6">
                  <c:v>CPL07</c:v>
                </c:pt>
                <c:pt idx="7">
                  <c:v>CPL08</c:v>
                </c:pt>
                <c:pt idx="8">
                  <c:v>CPL09</c:v>
                </c:pt>
                <c:pt idx="9">
                  <c:v>CPL10</c:v>
                </c:pt>
                <c:pt idx="10">
                  <c:v>CPL11</c:v>
                </c:pt>
                <c:pt idx="11">
                  <c:v>CPL12</c:v>
                </c:pt>
              </c:strCache>
            </c:strRef>
          </c:cat>
          <c:val>
            <c:numRef>
              <c:f>'Penguk.CPL-Smt1'!$F$65:$F$76</c:f>
              <c:numCache>
                <c:formatCode>0%</c:formatCode>
                <c:ptCount val="12"/>
                <c:pt idx="0">
                  <c:v>0.84061148648648643</c:v>
                </c:pt>
                <c:pt idx="1">
                  <c:v>0.84545945945945944</c:v>
                </c:pt>
                <c:pt idx="2">
                  <c:v>0</c:v>
                </c:pt>
                <c:pt idx="3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0.79078787878787893</c:v>
                </c:pt>
                <c:pt idx="8">
                  <c:v>0.77848648648648666</c:v>
                </c:pt>
                <c:pt idx="9">
                  <c:v>0.8641570988710231</c:v>
                </c:pt>
                <c:pt idx="10">
                  <c:v>0.78193272280545012</c:v>
                </c:pt>
                <c:pt idx="11">
                  <c:v>0.87075675675675701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09-41BE-B8D9-FB57B18BDE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25712816"/>
        <c:axId val="1425718576"/>
        <c:axId val="0"/>
      </c:bar3DChart>
      <c:catAx>
        <c:axId val="1425712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718576"/>
        <c:crosses val="autoZero"/>
        <c:auto val="1"/>
        <c:lblAlgn val="ctr"/>
        <c:lblOffset val="100"/>
        <c:noMultiLvlLbl val="0"/>
      </c:catAx>
      <c:valAx>
        <c:axId val="1425718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712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28575</xdr:colOff>
      <xdr:row>59</xdr:row>
      <xdr:rowOff>171450</xdr:rowOff>
    </xdr:from>
    <xdr:to>
      <xdr:col>15</xdr:col>
      <xdr:colOff>187325</xdr:colOff>
      <xdr:row>60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AC5D9D-70B4-41EA-8F20-C7A00820C4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77438</xdr:colOff>
      <xdr:row>63</xdr:row>
      <xdr:rowOff>5009</xdr:rowOff>
    </xdr:from>
    <xdr:to>
      <xdr:col>20</xdr:col>
      <xdr:colOff>425450</xdr:colOff>
      <xdr:row>93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1261436-E13B-9ED0-D030-CEF2C61F82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158750</xdr:colOff>
      <xdr:row>94</xdr:row>
      <xdr:rowOff>93410</xdr:rowOff>
    </xdr:from>
    <xdr:to>
      <xdr:col>20</xdr:col>
      <xdr:colOff>463550</xdr:colOff>
      <xdr:row>118</xdr:row>
      <xdr:rowOff>82826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FFF0999-9E56-5709-43CF-8DDDBD95F8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783167</xdr:colOff>
      <xdr:row>62</xdr:row>
      <xdr:rowOff>173307</xdr:rowOff>
    </xdr:from>
    <xdr:to>
      <xdr:col>26</xdr:col>
      <xdr:colOff>751418</xdr:colOff>
      <xdr:row>93</xdr:row>
      <xdr:rowOff>63500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A0648D2-48F6-6C7B-862C-F20808ABA6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909595</xdr:colOff>
      <xdr:row>94</xdr:row>
      <xdr:rowOff>83278</xdr:rowOff>
    </xdr:from>
    <xdr:to>
      <xdr:col>26</xdr:col>
      <xdr:colOff>921212</xdr:colOff>
      <xdr:row>118</xdr:row>
      <xdr:rowOff>73623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7AE7CE2-B653-E2FD-AE62-542338C4CC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60</xdr:col>
      <xdr:colOff>599279</xdr:colOff>
      <xdr:row>61</xdr:row>
      <xdr:rowOff>21431</xdr:rowOff>
    </xdr:from>
    <xdr:to>
      <xdr:col>77</xdr:col>
      <xdr:colOff>174625</xdr:colOff>
      <xdr:row>76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DD324E4-F6F8-4416-8345-56C6AD1383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868890</xdr:colOff>
      <xdr:row>62</xdr:row>
      <xdr:rowOff>156634</xdr:rowOff>
    </xdr:from>
    <xdr:to>
      <xdr:col>26</xdr:col>
      <xdr:colOff>514350</xdr:colOff>
      <xdr:row>80</xdr:row>
      <xdr:rowOff>99484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153FA87-2255-C0C0-637C-D7CC8FC7CF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98425</xdr:colOff>
      <xdr:row>62</xdr:row>
      <xdr:rowOff>141817</xdr:rowOff>
    </xdr:from>
    <xdr:to>
      <xdr:col>20</xdr:col>
      <xdr:colOff>781049</xdr:colOff>
      <xdr:row>80</xdr:row>
      <xdr:rowOff>122767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D62EF6D-69CE-CE0B-6D08-FA298E875F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45508</xdr:colOff>
      <xdr:row>81</xdr:row>
      <xdr:rowOff>67733</xdr:rowOff>
    </xdr:from>
    <xdr:to>
      <xdr:col>20</xdr:col>
      <xdr:colOff>819149</xdr:colOff>
      <xdr:row>98</xdr:row>
      <xdr:rowOff>40217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095E042-B38D-F34C-28D1-7ABE23085D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877358</xdr:colOff>
      <xdr:row>81</xdr:row>
      <xdr:rowOff>40216</xdr:rowOff>
    </xdr:from>
    <xdr:to>
      <xdr:col>26</xdr:col>
      <xdr:colOff>539750</xdr:colOff>
      <xdr:row>98</xdr:row>
      <xdr:rowOff>27516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6A95414-A51B-7F9C-BEE5-9F2230458C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2.DPKPD/MonevOBE/Sendiri/Portofolio-OBE/ProdiSI_Semester-1/Monev-CPMK/Form_Monev_Ketercapaian_CPMK(Teori%20Manajemen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2.DPKPD/MonevOBE/Sendiri/Portofolio-OBE/ProdiSI_Semester-1/Monev-CPMK/Form_Monev_Ketercapaian_CPMK(Teori%20Organisasi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2.DPKPD/MonevOBE/Sendiri/Portofolio-OBE/ProdiSI_Semester-1/Monev-CPMK/Form_Monev_Ketercapaian_CPMK(PSTI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2.DPKPD/MonevOBE/Sendiri/Portofolio-OBE/ProdiSI_Semester-1/Monev-CPMK/Form_Monev_Ketercapaian_CPMK(LOGIKA%20DAN%20ALGORITMA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2.DPKPD/MonevOBE/Sendiri/Portofolio-OBE/ProdiSI_Semester-1/Monev-CPMK/Form_Monev_Ketercapaian_CPMK(BAHASA%20PEMROGRAMAN)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2.DPKPD/MonevOBE/Sendiri/Portofolio-OBE/ProdiSI_Semester-1/Monev-CPMK/Form_Monev_Ketercapaian_CPMK(MANAJEMEN%20BASIS%20DATA)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2.DPKPD/MonevOBE/Sendiri/Portofolio-OBE/ProdiSI_Semester-1/Monev-CPMK/Form_Monev_Ketercapaian_CPMK(BAHASA%20INGGRIS%20DASAR)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2.DPKPD/MonevOBE/Sendiri/Portofolio-OBE/ProdiSI_Semester-1/Monev-CPMK/Form_Monev_Ketercapaian_CPMK(AGAMA)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2.DPKPD/MonevOBE/Sendiri/Portofolio-OBE/ProdiSI_Semester-1/Monev-CPMK/Form_Monev_Ketercapaian_CPMK(KEWARGANEGARAAN)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2.DPKPD/MonevOBE/Sendiri/Portofolio-OBE/Capaian_CPL/Pengukuran_Ketercapaian_CPL_Seluruh_Matakuliah_Dalam_Satu_Semester(Template&amp;Contoh%20SI%20Semester%20I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al1"/>
      <sheetName val="Sheet1"/>
    </sheetNames>
    <sheetDataSet>
      <sheetData sheetId="0" refreshError="1"/>
      <sheetData sheetId="1" refreshError="1">
        <row r="1">
          <cell r="AA1">
            <v>0</v>
          </cell>
          <cell r="AB1" t="str">
            <v>E</v>
          </cell>
        </row>
        <row r="2">
          <cell r="AA2">
            <v>45.4</v>
          </cell>
          <cell r="AB2" t="str">
            <v>D</v>
          </cell>
        </row>
        <row r="3">
          <cell r="AA3">
            <v>50.4</v>
          </cell>
          <cell r="AB3" t="str">
            <v>C-</v>
          </cell>
        </row>
        <row r="4">
          <cell r="AA4">
            <v>55.4</v>
          </cell>
          <cell r="AB4" t="str">
            <v>C</v>
          </cell>
        </row>
        <row r="5">
          <cell r="AA5">
            <v>60.4</v>
          </cell>
          <cell r="AB5" t="str">
            <v>C+</v>
          </cell>
        </row>
        <row r="6">
          <cell r="AA6">
            <v>65.400000000000006</v>
          </cell>
          <cell r="AB6" t="str">
            <v>B-</v>
          </cell>
        </row>
        <row r="7">
          <cell r="AA7">
            <v>70.400000000000006</v>
          </cell>
          <cell r="AB7" t="str">
            <v>B</v>
          </cell>
        </row>
        <row r="8">
          <cell r="AA8">
            <v>75.400000000000006</v>
          </cell>
          <cell r="AB8" t="str">
            <v>B+</v>
          </cell>
        </row>
        <row r="9">
          <cell r="AA9">
            <v>84.4</v>
          </cell>
          <cell r="AB9" t="str">
            <v>A-</v>
          </cell>
        </row>
        <row r="10">
          <cell r="AA10">
            <v>90.4</v>
          </cell>
          <cell r="AB10" t="str">
            <v>A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al1"/>
      <sheetName val="Sheet1"/>
    </sheetNames>
    <sheetDataSet>
      <sheetData sheetId="0" refreshError="1"/>
      <sheetData sheetId="1" refreshError="1">
        <row r="1">
          <cell r="AA1">
            <v>0</v>
          </cell>
          <cell r="AB1" t="str">
            <v>E</v>
          </cell>
        </row>
        <row r="2">
          <cell r="AA2">
            <v>45.4</v>
          </cell>
          <cell r="AB2" t="str">
            <v>D</v>
          </cell>
        </row>
        <row r="3">
          <cell r="AA3">
            <v>50.4</v>
          </cell>
          <cell r="AB3" t="str">
            <v>C-</v>
          </cell>
        </row>
        <row r="4">
          <cell r="AA4">
            <v>55.4</v>
          </cell>
          <cell r="AB4" t="str">
            <v>C</v>
          </cell>
        </row>
        <row r="5">
          <cell r="AA5">
            <v>60.4</v>
          </cell>
          <cell r="AB5" t="str">
            <v>C+</v>
          </cell>
        </row>
        <row r="6">
          <cell r="AA6">
            <v>65.400000000000006</v>
          </cell>
          <cell r="AB6" t="str">
            <v>B-</v>
          </cell>
        </row>
        <row r="7">
          <cell r="AA7">
            <v>70.400000000000006</v>
          </cell>
          <cell r="AB7" t="str">
            <v>B</v>
          </cell>
        </row>
        <row r="8">
          <cell r="AA8">
            <v>75.400000000000006</v>
          </cell>
          <cell r="AB8" t="str">
            <v>B+</v>
          </cell>
        </row>
        <row r="9">
          <cell r="AA9">
            <v>84.4</v>
          </cell>
          <cell r="AB9" t="str">
            <v>A-</v>
          </cell>
        </row>
        <row r="10">
          <cell r="AA10">
            <v>90.4</v>
          </cell>
          <cell r="AB10" t="str">
            <v>A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al1"/>
      <sheetName val="Sheet1"/>
    </sheetNames>
    <sheetDataSet>
      <sheetData sheetId="0"/>
      <sheetData sheetId="1">
        <row r="1">
          <cell r="AA1">
            <v>0</v>
          </cell>
          <cell r="AB1" t="str">
            <v>E</v>
          </cell>
        </row>
        <row r="2">
          <cell r="AA2">
            <v>45.4</v>
          </cell>
          <cell r="AB2" t="str">
            <v>D</v>
          </cell>
        </row>
        <row r="3">
          <cell r="AA3">
            <v>50.4</v>
          </cell>
          <cell r="AB3" t="str">
            <v>C-</v>
          </cell>
        </row>
        <row r="4">
          <cell r="AA4">
            <v>55.4</v>
          </cell>
          <cell r="AB4" t="str">
            <v>C</v>
          </cell>
        </row>
        <row r="5">
          <cell r="AA5">
            <v>60.4</v>
          </cell>
          <cell r="AB5" t="str">
            <v>C+</v>
          </cell>
        </row>
        <row r="6">
          <cell r="AA6">
            <v>65.400000000000006</v>
          </cell>
          <cell r="AB6" t="str">
            <v>B-</v>
          </cell>
        </row>
        <row r="7">
          <cell r="AA7">
            <v>70.400000000000006</v>
          </cell>
          <cell r="AB7" t="str">
            <v>B</v>
          </cell>
        </row>
        <row r="8">
          <cell r="AA8">
            <v>75.400000000000006</v>
          </cell>
          <cell r="AB8" t="str">
            <v>B+</v>
          </cell>
        </row>
        <row r="9">
          <cell r="AA9">
            <v>84.4</v>
          </cell>
          <cell r="AB9" t="str">
            <v>A-</v>
          </cell>
        </row>
        <row r="10">
          <cell r="AA10">
            <v>90.4</v>
          </cell>
          <cell r="AB10" t="str">
            <v>A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al1"/>
      <sheetName val="Sheet1"/>
    </sheetNames>
    <sheetDataSet>
      <sheetData sheetId="0" refreshError="1"/>
      <sheetData sheetId="1" refreshError="1">
        <row r="1">
          <cell r="AA1">
            <v>0</v>
          </cell>
          <cell r="AB1" t="str">
            <v>E</v>
          </cell>
        </row>
        <row r="2">
          <cell r="AA2">
            <v>45.4</v>
          </cell>
          <cell r="AB2" t="str">
            <v>D</v>
          </cell>
        </row>
        <row r="3">
          <cell r="AA3">
            <v>50.4</v>
          </cell>
          <cell r="AB3" t="str">
            <v>C-</v>
          </cell>
        </row>
        <row r="4">
          <cell r="AA4">
            <v>55.4</v>
          </cell>
          <cell r="AB4" t="str">
            <v>C</v>
          </cell>
        </row>
        <row r="5">
          <cell r="AA5">
            <v>60.4</v>
          </cell>
          <cell r="AB5" t="str">
            <v>C+</v>
          </cell>
        </row>
        <row r="6">
          <cell r="AA6">
            <v>65.400000000000006</v>
          </cell>
          <cell r="AB6" t="str">
            <v>B-</v>
          </cell>
        </row>
        <row r="7">
          <cell r="AA7">
            <v>70.400000000000006</v>
          </cell>
          <cell r="AB7" t="str">
            <v>B</v>
          </cell>
        </row>
        <row r="8">
          <cell r="AA8">
            <v>75.400000000000006</v>
          </cell>
          <cell r="AB8" t="str">
            <v>B+</v>
          </cell>
        </row>
        <row r="9">
          <cell r="AA9">
            <v>84.4</v>
          </cell>
          <cell r="AB9" t="str">
            <v>A-</v>
          </cell>
        </row>
        <row r="10">
          <cell r="AA10">
            <v>90.4</v>
          </cell>
          <cell r="AB10" t="str">
            <v>A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al1"/>
      <sheetName val="Sheet1"/>
    </sheetNames>
    <sheetDataSet>
      <sheetData sheetId="0" refreshError="1"/>
      <sheetData sheetId="1" refreshError="1">
        <row r="1">
          <cell r="AA1">
            <v>0</v>
          </cell>
          <cell r="AB1" t="str">
            <v>E</v>
          </cell>
        </row>
        <row r="2">
          <cell r="AA2">
            <v>45.4</v>
          </cell>
          <cell r="AB2" t="str">
            <v>D</v>
          </cell>
        </row>
        <row r="3">
          <cell r="AA3">
            <v>50.4</v>
          </cell>
          <cell r="AB3" t="str">
            <v>C-</v>
          </cell>
        </row>
        <row r="4">
          <cell r="AA4">
            <v>55.4</v>
          </cell>
          <cell r="AB4" t="str">
            <v>C</v>
          </cell>
        </row>
        <row r="5">
          <cell r="AA5">
            <v>60.4</v>
          </cell>
          <cell r="AB5" t="str">
            <v>C+</v>
          </cell>
        </row>
        <row r="6">
          <cell r="AA6">
            <v>65.400000000000006</v>
          </cell>
          <cell r="AB6" t="str">
            <v>B-</v>
          </cell>
        </row>
        <row r="7">
          <cell r="AA7">
            <v>70.400000000000006</v>
          </cell>
          <cell r="AB7" t="str">
            <v>B</v>
          </cell>
        </row>
        <row r="8">
          <cell r="AA8">
            <v>75.400000000000006</v>
          </cell>
          <cell r="AB8" t="str">
            <v>B+</v>
          </cell>
        </row>
        <row r="9">
          <cell r="AA9">
            <v>84.4</v>
          </cell>
          <cell r="AB9" t="str">
            <v>A-</v>
          </cell>
        </row>
        <row r="10">
          <cell r="AA10">
            <v>90.4</v>
          </cell>
          <cell r="AB10" t="str">
            <v>A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al1"/>
      <sheetName val="Sheet1"/>
    </sheetNames>
    <sheetDataSet>
      <sheetData sheetId="0" refreshError="1"/>
      <sheetData sheetId="1" refreshError="1">
        <row r="1">
          <cell r="AA1">
            <v>0</v>
          </cell>
          <cell r="AB1" t="str">
            <v>E</v>
          </cell>
        </row>
        <row r="2">
          <cell r="AA2">
            <v>45.4</v>
          </cell>
          <cell r="AB2" t="str">
            <v>D</v>
          </cell>
        </row>
        <row r="3">
          <cell r="AA3">
            <v>50.4</v>
          </cell>
          <cell r="AB3" t="str">
            <v>C-</v>
          </cell>
        </row>
        <row r="4">
          <cell r="AA4">
            <v>55.4</v>
          </cell>
          <cell r="AB4" t="str">
            <v>C</v>
          </cell>
        </row>
        <row r="5">
          <cell r="AA5">
            <v>60.4</v>
          </cell>
          <cell r="AB5" t="str">
            <v>C+</v>
          </cell>
        </row>
        <row r="6">
          <cell r="AA6">
            <v>65.400000000000006</v>
          </cell>
          <cell r="AB6" t="str">
            <v>B-</v>
          </cell>
        </row>
        <row r="7">
          <cell r="AA7">
            <v>70.400000000000006</v>
          </cell>
          <cell r="AB7" t="str">
            <v>B</v>
          </cell>
        </row>
        <row r="8">
          <cell r="AA8">
            <v>75.400000000000006</v>
          </cell>
          <cell r="AB8" t="str">
            <v>B+</v>
          </cell>
        </row>
        <row r="9">
          <cell r="AA9">
            <v>84.4</v>
          </cell>
          <cell r="AB9" t="str">
            <v>A-</v>
          </cell>
        </row>
        <row r="10">
          <cell r="AA10">
            <v>90.4</v>
          </cell>
          <cell r="AB10" t="str">
            <v>A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al1"/>
      <sheetName val="Sheet1"/>
    </sheetNames>
    <sheetDataSet>
      <sheetData sheetId="0" refreshError="1"/>
      <sheetData sheetId="1" refreshError="1">
        <row r="1">
          <cell r="AA1">
            <v>0</v>
          </cell>
          <cell r="AB1" t="str">
            <v>E</v>
          </cell>
        </row>
        <row r="2">
          <cell r="AA2">
            <v>45.4</v>
          </cell>
          <cell r="AB2" t="str">
            <v>D</v>
          </cell>
        </row>
        <row r="3">
          <cell r="AA3">
            <v>50.4</v>
          </cell>
          <cell r="AB3" t="str">
            <v>C-</v>
          </cell>
        </row>
        <row r="4">
          <cell r="AA4">
            <v>55.4</v>
          </cell>
          <cell r="AB4" t="str">
            <v>C</v>
          </cell>
        </row>
        <row r="5">
          <cell r="AA5">
            <v>60.4</v>
          </cell>
          <cell r="AB5" t="str">
            <v>C+</v>
          </cell>
        </row>
        <row r="6">
          <cell r="AA6">
            <v>65.400000000000006</v>
          </cell>
          <cell r="AB6" t="str">
            <v>B-</v>
          </cell>
        </row>
        <row r="7">
          <cell r="AA7">
            <v>70.400000000000006</v>
          </cell>
          <cell r="AB7" t="str">
            <v>B</v>
          </cell>
        </row>
        <row r="8">
          <cell r="AA8">
            <v>75.400000000000006</v>
          </cell>
          <cell r="AB8" t="str">
            <v>B+</v>
          </cell>
        </row>
        <row r="9">
          <cell r="AA9">
            <v>84.4</v>
          </cell>
          <cell r="AB9" t="str">
            <v>A-</v>
          </cell>
        </row>
        <row r="10">
          <cell r="AA10">
            <v>90.4</v>
          </cell>
          <cell r="AB10" t="str">
            <v>A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al1"/>
      <sheetName val="Sheet1"/>
    </sheetNames>
    <sheetDataSet>
      <sheetData sheetId="0" refreshError="1"/>
      <sheetData sheetId="1" refreshError="1">
        <row r="1">
          <cell r="AA1">
            <v>0</v>
          </cell>
          <cell r="AB1" t="str">
            <v>E</v>
          </cell>
        </row>
        <row r="2">
          <cell r="AA2">
            <v>45.4</v>
          </cell>
          <cell r="AB2" t="str">
            <v>D</v>
          </cell>
        </row>
        <row r="3">
          <cell r="AA3">
            <v>50.4</v>
          </cell>
          <cell r="AB3" t="str">
            <v>C-</v>
          </cell>
        </row>
        <row r="4">
          <cell r="AA4">
            <v>55.4</v>
          </cell>
          <cell r="AB4" t="str">
            <v>C</v>
          </cell>
        </row>
        <row r="5">
          <cell r="AA5">
            <v>60.4</v>
          </cell>
          <cell r="AB5" t="str">
            <v>C+</v>
          </cell>
        </row>
        <row r="6">
          <cell r="AA6">
            <v>65.400000000000006</v>
          </cell>
          <cell r="AB6" t="str">
            <v>B-</v>
          </cell>
        </row>
        <row r="7">
          <cell r="AA7">
            <v>70.400000000000006</v>
          </cell>
          <cell r="AB7" t="str">
            <v>B</v>
          </cell>
        </row>
        <row r="8">
          <cell r="AA8">
            <v>75.400000000000006</v>
          </cell>
          <cell r="AB8" t="str">
            <v>B+</v>
          </cell>
        </row>
        <row r="9">
          <cell r="AA9">
            <v>84.4</v>
          </cell>
          <cell r="AB9" t="str">
            <v>A-</v>
          </cell>
        </row>
        <row r="10">
          <cell r="AA10">
            <v>90.4</v>
          </cell>
          <cell r="AB10" t="str">
            <v>A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al1"/>
      <sheetName val="Sheet1"/>
    </sheetNames>
    <sheetDataSet>
      <sheetData sheetId="0"/>
      <sheetData sheetId="1">
        <row r="1">
          <cell r="AA1">
            <v>0</v>
          </cell>
          <cell r="AB1" t="str">
            <v>E</v>
          </cell>
        </row>
        <row r="2">
          <cell r="AA2">
            <v>45.4</v>
          </cell>
          <cell r="AB2" t="str">
            <v>D</v>
          </cell>
        </row>
        <row r="3">
          <cell r="AA3">
            <v>50.4</v>
          </cell>
          <cell r="AB3" t="str">
            <v>C-</v>
          </cell>
        </row>
        <row r="4">
          <cell r="AA4">
            <v>55.4</v>
          </cell>
          <cell r="AB4" t="str">
            <v>C</v>
          </cell>
        </row>
        <row r="5">
          <cell r="AA5">
            <v>60.4</v>
          </cell>
          <cell r="AB5" t="str">
            <v>C+</v>
          </cell>
        </row>
        <row r="6">
          <cell r="AA6">
            <v>65.400000000000006</v>
          </cell>
          <cell r="AB6" t="str">
            <v>B-</v>
          </cell>
        </row>
        <row r="7">
          <cell r="AA7">
            <v>70.400000000000006</v>
          </cell>
          <cell r="AB7" t="str">
            <v>B</v>
          </cell>
        </row>
        <row r="8">
          <cell r="AA8">
            <v>75.400000000000006</v>
          </cell>
          <cell r="AB8" t="str">
            <v>B+</v>
          </cell>
        </row>
        <row r="9">
          <cell r="AA9">
            <v>84.4</v>
          </cell>
          <cell r="AB9" t="str">
            <v>A-</v>
          </cell>
        </row>
        <row r="10">
          <cell r="AA10">
            <v>90.4</v>
          </cell>
          <cell r="AB10" t="str">
            <v>A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ngkatan2024"/>
      <sheetName val="Penguk.MK-CPL-I"/>
      <sheetName val="Sheet2"/>
      <sheetName val="Pengukuran.MK-CPL-II"/>
      <sheetName val="Pengukuran.MK-CPL-I+II"/>
      <sheetName val="Sheet1"/>
    </sheetNames>
    <sheetDataSet>
      <sheetData sheetId="0"/>
      <sheetData sheetId="1">
        <row r="8">
          <cell r="BP8" t="str">
            <v>CPMK011</v>
          </cell>
          <cell r="BQ8" t="str">
            <v>CPMK012</v>
          </cell>
          <cell r="BR8" t="str">
            <v>CPMK013</v>
          </cell>
          <cell r="BS8" t="str">
            <v>CPMK014</v>
          </cell>
          <cell r="BT8" t="str">
            <v>CPMK021</v>
          </cell>
          <cell r="BU8" t="str">
            <v>CPMK022</v>
          </cell>
          <cell r="BV8" t="str">
            <v>CPMK023</v>
          </cell>
          <cell r="BW8" t="str">
            <v>CPMK024</v>
          </cell>
          <cell r="BX8" t="str">
            <v>CPMK031</v>
          </cell>
          <cell r="BY8" t="str">
            <v>CPMK032</v>
          </cell>
          <cell r="BZ8" t="str">
            <v>CPMK033</v>
          </cell>
          <cell r="CA8" t="str">
            <v>CPMK041</v>
          </cell>
          <cell r="CB8" t="str">
            <v>CPMK042</v>
          </cell>
          <cell r="CC8" t="str">
            <v>CPMK051</v>
          </cell>
          <cell r="CD8" t="str">
            <v>CPMK052</v>
          </cell>
          <cell r="CE8" t="str">
            <v>CPMK061</v>
          </cell>
          <cell r="CF8" t="str">
            <v>CPMK062</v>
          </cell>
          <cell r="CG8" t="str">
            <v>CPMK063</v>
          </cell>
          <cell r="CH8" t="str">
            <v>CPMK064</v>
          </cell>
          <cell r="CI8" t="str">
            <v>CPMK071</v>
          </cell>
          <cell r="CJ8" t="str">
            <v>CPMK072</v>
          </cell>
          <cell r="CK8" t="str">
            <v>CPMK073</v>
          </cell>
          <cell r="CL8" t="str">
            <v>CPMK081</v>
          </cell>
          <cell r="CM8" t="str">
            <v>CPMK082</v>
          </cell>
          <cell r="CN8" t="str">
            <v>CPMK091</v>
          </cell>
          <cell r="CO8" t="str">
            <v>CPMK092</v>
          </cell>
          <cell r="CP8" t="str">
            <v>CPMK101</v>
          </cell>
          <cell r="CQ8" t="str">
            <v>CPMK102</v>
          </cell>
          <cell r="CR8" t="str">
            <v>CPMK111</v>
          </cell>
          <cell r="CS8" t="str">
            <v>CPMK112</v>
          </cell>
          <cell r="CT8" t="str">
            <v>CPMK121</v>
          </cell>
          <cell r="CU8" t="str">
            <v>CPMK122</v>
          </cell>
          <cell r="CV8" t="str">
            <v>CPMK131</v>
          </cell>
          <cell r="CW8" t="str">
            <v>CPMK132</v>
          </cell>
          <cell r="CX8" t="str">
            <v>CPMK141</v>
          </cell>
          <cell r="CY8" t="str">
            <v>CPMK142</v>
          </cell>
        </row>
        <row r="42">
          <cell r="BP42">
            <v>0.79069444444444437</v>
          </cell>
          <cell r="BQ42">
            <v>0.8412777777777779</v>
          </cell>
          <cell r="BR42">
            <v>0.80412777777777777</v>
          </cell>
          <cell r="BS42">
            <v>0.87131111111111104</v>
          </cell>
          <cell r="BT42">
            <v>0.73652777777777789</v>
          </cell>
          <cell r="BU42"/>
          <cell r="BV42"/>
          <cell r="BW42"/>
          <cell r="BX42"/>
          <cell r="BY42">
            <v>0.74609375</v>
          </cell>
          <cell r="BZ42">
            <v>0.7853</v>
          </cell>
          <cell r="CA42">
            <v>0.79738888888888881</v>
          </cell>
          <cell r="CB42"/>
          <cell r="CC42"/>
          <cell r="CD42"/>
          <cell r="CE42"/>
          <cell r="CF42"/>
          <cell r="CG42"/>
          <cell r="CH42"/>
          <cell r="CI42"/>
          <cell r="CJ42"/>
          <cell r="CK42"/>
          <cell r="CL42"/>
          <cell r="CM42"/>
          <cell r="CN42">
            <v>0.74599411764705903</v>
          </cell>
          <cell r="CO42">
            <v>0.80529375000000003</v>
          </cell>
          <cell r="CP42">
            <v>0.80584117647058806</v>
          </cell>
          <cell r="CQ42"/>
          <cell r="CR42"/>
          <cell r="CS42"/>
          <cell r="CT42">
            <v>0.7767187499999999</v>
          </cell>
          <cell r="CU42">
            <v>0.77671875000000001</v>
          </cell>
          <cell r="CV42">
            <v>0.89290244565217392</v>
          </cell>
          <cell r="CW42"/>
          <cell r="CX42">
            <v>0.760625</v>
          </cell>
          <cell r="CY42">
            <v>0.76062500000000011</v>
          </cell>
        </row>
        <row r="44">
          <cell r="C44" t="str">
            <v>CPL01</v>
          </cell>
          <cell r="F44">
            <v>0.8274545219638243</v>
          </cell>
        </row>
        <row r="45">
          <cell r="C45" t="str">
            <v>CPL02</v>
          </cell>
          <cell r="F45">
            <v>0.77250000000000019</v>
          </cell>
        </row>
        <row r="46">
          <cell r="C46" t="str">
            <v>CPL03</v>
          </cell>
          <cell r="F46">
            <v>0.7645264705882352</v>
          </cell>
        </row>
        <row r="47">
          <cell r="C47" t="str">
            <v>CPL04</v>
          </cell>
          <cell r="F47">
            <v>0.79136842105263161</v>
          </cell>
        </row>
        <row r="48">
          <cell r="C48" t="str">
            <v>CPL05</v>
          </cell>
          <cell r="F48">
            <v>0</v>
          </cell>
        </row>
        <row r="49">
          <cell r="C49" t="str">
            <v>CPL06</v>
          </cell>
          <cell r="F49">
            <v>0</v>
          </cell>
        </row>
        <row r="50">
          <cell r="C50" t="str">
            <v>CPL07</v>
          </cell>
          <cell r="F50">
            <v>0</v>
          </cell>
        </row>
        <row r="51">
          <cell r="C51" t="str">
            <v>CPL08</v>
          </cell>
          <cell r="F51">
            <v>0</v>
          </cell>
        </row>
        <row r="52">
          <cell r="C52" t="str">
            <v>CPL09</v>
          </cell>
          <cell r="F52">
            <v>0.75394705882352941</v>
          </cell>
        </row>
        <row r="53">
          <cell r="C53" t="str">
            <v>CPL10</v>
          </cell>
          <cell r="F53">
            <v>0.80412777777777755</v>
          </cell>
        </row>
        <row r="54">
          <cell r="C54" t="str">
            <v>CPL11</v>
          </cell>
          <cell r="F54">
            <v>0</v>
          </cell>
        </row>
        <row r="55">
          <cell r="C55" t="str">
            <v>CPL12</v>
          </cell>
          <cell r="F55">
            <v>0.73652777777777778</v>
          </cell>
        </row>
        <row r="56">
          <cell r="C56" t="str">
            <v>CPL13</v>
          </cell>
          <cell r="F56">
            <v>0.87748405797101459</v>
          </cell>
        </row>
        <row r="57">
          <cell r="C57" t="str">
            <v>CPL14</v>
          </cell>
          <cell r="F57">
            <v>0.71722222222222209</v>
          </cell>
        </row>
      </sheetData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D198A-8F73-4456-92CB-F1D59CC534B4}">
  <dimension ref="A1:C38"/>
  <sheetViews>
    <sheetView workbookViewId="0">
      <selection activeCell="B2" sqref="B2:C38"/>
    </sheetView>
  </sheetViews>
  <sheetFormatPr defaultRowHeight="14"/>
  <cols>
    <col min="1" max="1" width="3.08203125" bestFit="1" customWidth="1"/>
    <col min="2" max="2" width="12.4140625" bestFit="1" customWidth="1"/>
    <col min="3" max="3" width="37.8320312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05">
        <v>1</v>
      </c>
      <c r="B2" s="4" t="s">
        <v>280</v>
      </c>
      <c r="C2" s="4" t="s">
        <v>281</v>
      </c>
    </row>
    <row r="3" spans="1:3">
      <c r="A3" s="205">
        <v>2</v>
      </c>
      <c r="B3" s="4" t="s">
        <v>282</v>
      </c>
      <c r="C3" s="4" t="s">
        <v>283</v>
      </c>
    </row>
    <row r="4" spans="1:3">
      <c r="A4" s="205">
        <v>3</v>
      </c>
      <c r="B4" s="4" t="s">
        <v>284</v>
      </c>
      <c r="C4" s="4" t="s">
        <v>285</v>
      </c>
    </row>
    <row r="5" spans="1:3">
      <c r="A5" s="205">
        <v>4</v>
      </c>
      <c r="B5" s="4" t="s">
        <v>286</v>
      </c>
      <c r="C5" s="4" t="s">
        <v>287</v>
      </c>
    </row>
    <row r="6" spans="1:3">
      <c r="A6" s="205">
        <v>5</v>
      </c>
      <c r="B6" s="4" t="s">
        <v>288</v>
      </c>
      <c r="C6" s="4" t="s">
        <v>289</v>
      </c>
    </row>
    <row r="7" spans="1:3">
      <c r="A7" s="205">
        <v>6</v>
      </c>
      <c r="B7" s="4" t="s">
        <v>290</v>
      </c>
      <c r="C7" s="4" t="s">
        <v>291</v>
      </c>
    </row>
    <row r="8" spans="1:3">
      <c r="A8" s="205">
        <v>7</v>
      </c>
      <c r="B8" s="4" t="s">
        <v>292</v>
      </c>
      <c r="C8" s="4" t="s">
        <v>293</v>
      </c>
    </row>
    <row r="9" spans="1:3">
      <c r="A9" s="205">
        <v>8</v>
      </c>
      <c r="B9" s="4" t="s">
        <v>294</v>
      </c>
      <c r="C9" s="4" t="s">
        <v>295</v>
      </c>
    </row>
    <row r="10" spans="1:3">
      <c r="A10" s="205">
        <v>9</v>
      </c>
      <c r="B10" s="4" t="s">
        <v>296</v>
      </c>
      <c r="C10" s="4" t="s">
        <v>297</v>
      </c>
    </row>
    <row r="11" spans="1:3">
      <c r="A11" s="205">
        <v>10</v>
      </c>
      <c r="B11" s="4" t="s">
        <v>298</v>
      </c>
      <c r="C11" s="4" t="s">
        <v>299</v>
      </c>
    </row>
    <row r="12" spans="1:3">
      <c r="A12" s="205">
        <v>11</v>
      </c>
      <c r="B12" s="4" t="s">
        <v>300</v>
      </c>
      <c r="C12" s="4" t="s">
        <v>301</v>
      </c>
    </row>
    <row r="13" spans="1:3">
      <c r="A13" s="205">
        <v>12</v>
      </c>
      <c r="B13" s="4" t="s">
        <v>302</v>
      </c>
      <c r="C13" s="4" t="s">
        <v>303</v>
      </c>
    </row>
    <row r="14" spans="1:3">
      <c r="A14" s="205">
        <v>13</v>
      </c>
      <c r="B14" s="4" t="s">
        <v>304</v>
      </c>
      <c r="C14" s="4" t="s">
        <v>305</v>
      </c>
    </row>
    <row r="15" spans="1:3">
      <c r="A15" s="205">
        <v>14</v>
      </c>
      <c r="B15" s="4" t="s">
        <v>306</v>
      </c>
      <c r="C15" s="4" t="s">
        <v>307</v>
      </c>
    </row>
    <row r="16" spans="1:3">
      <c r="A16" s="205">
        <v>15</v>
      </c>
      <c r="B16" s="4" t="s">
        <v>308</v>
      </c>
      <c r="C16" s="4" t="s">
        <v>309</v>
      </c>
    </row>
    <row r="17" spans="1:3">
      <c r="A17" s="205">
        <v>16</v>
      </c>
      <c r="B17" s="4" t="s">
        <v>310</v>
      </c>
      <c r="C17" s="4" t="s">
        <v>311</v>
      </c>
    </row>
    <row r="18" spans="1:3">
      <c r="A18" s="205">
        <v>17</v>
      </c>
      <c r="B18" s="4" t="s">
        <v>312</v>
      </c>
      <c r="C18" s="4" t="s">
        <v>313</v>
      </c>
    </row>
    <row r="19" spans="1:3">
      <c r="A19" s="205">
        <v>18</v>
      </c>
      <c r="B19" s="4" t="s">
        <v>314</v>
      </c>
      <c r="C19" s="4" t="s">
        <v>315</v>
      </c>
    </row>
    <row r="20" spans="1:3">
      <c r="A20" s="205">
        <v>19</v>
      </c>
      <c r="B20" s="4" t="s">
        <v>316</v>
      </c>
      <c r="C20" s="4" t="s">
        <v>317</v>
      </c>
    </row>
    <row r="21" spans="1:3">
      <c r="A21" s="205">
        <v>20</v>
      </c>
      <c r="B21" s="4" t="s">
        <v>318</v>
      </c>
      <c r="C21" s="4" t="s">
        <v>319</v>
      </c>
    </row>
    <row r="22" spans="1:3">
      <c r="A22" s="205">
        <v>21</v>
      </c>
      <c r="B22" s="4" t="s">
        <v>320</v>
      </c>
      <c r="C22" s="4" t="s">
        <v>321</v>
      </c>
    </row>
    <row r="23" spans="1:3">
      <c r="A23" s="205">
        <v>22</v>
      </c>
      <c r="B23" s="4" t="s">
        <v>322</v>
      </c>
      <c r="C23" s="4" t="s">
        <v>323</v>
      </c>
    </row>
    <row r="24" spans="1:3">
      <c r="A24" s="205">
        <v>23</v>
      </c>
      <c r="B24" s="4" t="s">
        <v>324</v>
      </c>
      <c r="C24" s="4" t="s">
        <v>325</v>
      </c>
    </row>
    <row r="25" spans="1:3">
      <c r="A25" s="205">
        <v>24</v>
      </c>
      <c r="B25" s="4" t="s">
        <v>326</v>
      </c>
      <c r="C25" s="4" t="s">
        <v>327</v>
      </c>
    </row>
    <row r="26" spans="1:3">
      <c r="A26" s="205">
        <v>25</v>
      </c>
      <c r="B26" s="4" t="s">
        <v>328</v>
      </c>
      <c r="C26" s="4" t="s">
        <v>329</v>
      </c>
    </row>
    <row r="27" spans="1:3">
      <c r="A27" s="205">
        <v>26</v>
      </c>
      <c r="B27" s="4" t="s">
        <v>330</v>
      </c>
      <c r="C27" s="4" t="s">
        <v>331</v>
      </c>
    </row>
    <row r="28" spans="1:3">
      <c r="A28" s="205">
        <v>27</v>
      </c>
      <c r="B28" s="4" t="s">
        <v>332</v>
      </c>
      <c r="C28" s="4" t="s">
        <v>333</v>
      </c>
    </row>
    <row r="29" spans="1:3">
      <c r="A29" s="205">
        <v>28</v>
      </c>
      <c r="B29" s="4" t="s">
        <v>334</v>
      </c>
      <c r="C29" s="4" t="s">
        <v>335</v>
      </c>
    </row>
    <row r="30" spans="1:3">
      <c r="A30" s="205">
        <v>29</v>
      </c>
      <c r="B30" s="4" t="s">
        <v>336</v>
      </c>
      <c r="C30" s="4" t="s">
        <v>337</v>
      </c>
    </row>
    <row r="31" spans="1:3">
      <c r="A31" s="205">
        <v>30</v>
      </c>
      <c r="B31" s="4" t="s">
        <v>338</v>
      </c>
      <c r="C31" s="4" t="s">
        <v>339</v>
      </c>
    </row>
    <row r="32" spans="1:3">
      <c r="A32" s="205">
        <v>31</v>
      </c>
      <c r="B32" s="4" t="s">
        <v>340</v>
      </c>
      <c r="C32" s="4" t="s">
        <v>341</v>
      </c>
    </row>
    <row r="33" spans="1:3">
      <c r="A33" s="205">
        <v>32</v>
      </c>
      <c r="B33" s="4" t="s">
        <v>342</v>
      </c>
      <c r="C33" s="4" t="s">
        <v>343</v>
      </c>
    </row>
    <row r="34" spans="1:3">
      <c r="A34" s="205">
        <v>33</v>
      </c>
      <c r="B34" s="4" t="s">
        <v>344</v>
      </c>
      <c r="C34" s="4" t="s">
        <v>345</v>
      </c>
    </row>
    <row r="35" spans="1:3">
      <c r="A35" s="205">
        <v>34</v>
      </c>
      <c r="B35" s="4" t="s">
        <v>346</v>
      </c>
      <c r="C35" s="4" t="s">
        <v>347</v>
      </c>
    </row>
    <row r="36" spans="1:3">
      <c r="A36" s="205">
        <v>35</v>
      </c>
      <c r="B36" s="4" t="s">
        <v>348</v>
      </c>
      <c r="C36" s="4" t="s">
        <v>349</v>
      </c>
    </row>
    <row r="37" spans="1:3">
      <c r="A37" s="205">
        <v>36</v>
      </c>
      <c r="B37" s="4" t="s">
        <v>350</v>
      </c>
      <c r="C37" s="4" t="s">
        <v>351</v>
      </c>
    </row>
    <row r="38" spans="1:3">
      <c r="A38" s="205">
        <v>37</v>
      </c>
      <c r="B38" s="4" t="s">
        <v>352</v>
      </c>
      <c r="C38" s="4" t="s">
        <v>353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98024-372E-473F-9241-86A76A638724}">
  <dimension ref="A1:AV938"/>
  <sheetViews>
    <sheetView workbookViewId="0">
      <selection sqref="A1:O10"/>
    </sheetView>
  </sheetViews>
  <sheetFormatPr defaultRowHeight="14" customHeight="1"/>
  <cols>
    <col min="1" max="1" width="3.1640625" bestFit="1" customWidth="1"/>
    <col min="2" max="2" width="5.5" bestFit="1" customWidth="1"/>
    <col min="3" max="3" width="4.9140625" bestFit="1" customWidth="1"/>
    <col min="4" max="4" width="15.1640625" bestFit="1" customWidth="1"/>
    <col min="5" max="5" width="43.9140625" bestFit="1" customWidth="1"/>
    <col min="6" max="6" width="8.08203125" bestFit="1" customWidth="1"/>
    <col min="7" max="7" width="4.4140625" bestFit="1" customWidth="1"/>
    <col min="8" max="15" width="1.75" bestFit="1" customWidth="1"/>
  </cols>
  <sheetData>
    <row r="1" spans="1:48" ht="14" customHeight="1" thickBot="1">
      <c r="A1" s="23" t="s">
        <v>0</v>
      </c>
      <c r="B1" s="24" t="s">
        <v>45</v>
      </c>
      <c r="C1" s="23" t="s">
        <v>46</v>
      </c>
      <c r="D1" s="23" t="s">
        <v>41</v>
      </c>
      <c r="E1" s="24" t="s">
        <v>42</v>
      </c>
      <c r="F1" s="24" t="s">
        <v>43</v>
      </c>
      <c r="G1" s="24" t="s">
        <v>44</v>
      </c>
      <c r="H1" s="25">
        <v>1</v>
      </c>
      <c r="I1" s="25">
        <v>2</v>
      </c>
      <c r="J1" s="25">
        <v>3</v>
      </c>
      <c r="K1" s="25">
        <v>4</v>
      </c>
      <c r="L1" s="25">
        <v>5</v>
      </c>
      <c r="M1" s="25">
        <v>6</v>
      </c>
      <c r="N1" s="25">
        <v>7</v>
      </c>
      <c r="O1" s="25">
        <v>8</v>
      </c>
      <c r="P1" s="26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0"/>
      <c r="AF1" s="12" t="s">
        <v>0</v>
      </c>
      <c r="AG1" s="13"/>
      <c r="AH1" s="12" t="s">
        <v>41</v>
      </c>
      <c r="AI1" s="14" t="s">
        <v>42</v>
      </c>
      <c r="AJ1" s="12" t="s">
        <v>43</v>
      </c>
      <c r="AK1" s="14" t="s">
        <v>44</v>
      </c>
      <c r="AL1" s="15">
        <v>1</v>
      </c>
      <c r="AM1" s="15">
        <v>2</v>
      </c>
      <c r="AN1" s="15">
        <v>3</v>
      </c>
      <c r="AO1" s="15">
        <v>4</v>
      </c>
      <c r="AP1" s="15">
        <v>5</v>
      </c>
      <c r="AQ1" s="15">
        <v>6</v>
      </c>
      <c r="AR1" s="15">
        <v>7</v>
      </c>
      <c r="AS1" s="15">
        <v>8</v>
      </c>
      <c r="AT1" s="9"/>
      <c r="AU1" s="9"/>
      <c r="AV1" s="9"/>
    </row>
    <row r="2" spans="1:48" ht="14" customHeight="1" thickBot="1">
      <c r="A2" s="27">
        <v>1</v>
      </c>
      <c r="B2" s="27" t="s">
        <v>47</v>
      </c>
      <c r="C2" s="27" t="s">
        <v>52</v>
      </c>
      <c r="D2" s="105" t="s">
        <v>191</v>
      </c>
      <c r="E2" s="106" t="s">
        <v>192</v>
      </c>
      <c r="F2" s="28" t="s">
        <v>50</v>
      </c>
      <c r="G2" s="107">
        <v>3</v>
      </c>
      <c r="H2" s="29" t="s">
        <v>51</v>
      </c>
      <c r="I2" s="30"/>
      <c r="J2" s="30"/>
      <c r="K2" s="30"/>
      <c r="L2" s="30"/>
      <c r="M2" s="30"/>
      <c r="N2" s="30"/>
      <c r="O2" s="30"/>
      <c r="P2" s="26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0"/>
      <c r="AF2" s="16">
        <v>1</v>
      </c>
      <c r="AG2" s="16" t="s">
        <v>47</v>
      </c>
      <c r="AH2" s="17" t="s">
        <v>48</v>
      </c>
      <c r="AI2" s="18" t="s">
        <v>49</v>
      </c>
      <c r="AJ2" s="6" t="s">
        <v>50</v>
      </c>
      <c r="AK2" s="7">
        <v>2</v>
      </c>
      <c r="AL2" s="8" t="s">
        <v>51</v>
      </c>
      <c r="AM2" s="5"/>
      <c r="AN2" s="5"/>
      <c r="AO2" s="5"/>
      <c r="AP2" s="5"/>
      <c r="AQ2" s="5"/>
      <c r="AR2" s="5"/>
      <c r="AS2" s="5"/>
      <c r="AT2" s="9"/>
      <c r="AU2" s="9"/>
      <c r="AV2" s="9"/>
    </row>
    <row r="3" spans="1:48" ht="14" customHeight="1" thickBot="1">
      <c r="A3" s="27">
        <v>2</v>
      </c>
      <c r="B3" s="27" t="s">
        <v>53</v>
      </c>
      <c r="C3" s="27" t="s">
        <v>52</v>
      </c>
      <c r="D3" s="108" t="s">
        <v>193</v>
      </c>
      <c r="E3" s="109" t="s">
        <v>194</v>
      </c>
      <c r="F3" s="28" t="s">
        <v>50</v>
      </c>
      <c r="G3" s="110">
        <v>3</v>
      </c>
      <c r="H3" s="29" t="s">
        <v>51</v>
      </c>
      <c r="I3" s="30"/>
      <c r="J3" s="30"/>
      <c r="K3" s="30"/>
      <c r="L3" s="30"/>
      <c r="M3" s="30"/>
      <c r="N3" s="30"/>
      <c r="O3" s="30"/>
      <c r="P3" s="26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0"/>
      <c r="AF3" s="16">
        <v>2</v>
      </c>
      <c r="AG3" s="16" t="s">
        <v>53</v>
      </c>
      <c r="AH3" s="17" t="s">
        <v>54</v>
      </c>
      <c r="AI3" s="18" t="s">
        <v>55</v>
      </c>
      <c r="AJ3" s="6" t="s">
        <v>50</v>
      </c>
      <c r="AK3" s="7">
        <v>2</v>
      </c>
      <c r="AL3" s="8" t="s">
        <v>51</v>
      </c>
      <c r="AM3" s="5"/>
      <c r="AN3" s="5"/>
      <c r="AO3" s="5"/>
      <c r="AP3" s="5"/>
      <c r="AQ3" s="5"/>
      <c r="AR3" s="5"/>
      <c r="AS3" s="5"/>
      <c r="AT3" s="9"/>
      <c r="AU3" s="9"/>
      <c r="AV3" s="9"/>
    </row>
    <row r="4" spans="1:48" ht="14" customHeight="1" thickBot="1">
      <c r="A4" s="27">
        <v>3</v>
      </c>
      <c r="B4" s="27" t="s">
        <v>56</v>
      </c>
      <c r="C4" s="27" t="s">
        <v>52</v>
      </c>
      <c r="D4" s="108" t="s">
        <v>195</v>
      </c>
      <c r="E4" s="109" t="s">
        <v>196</v>
      </c>
      <c r="F4" s="28" t="s">
        <v>50</v>
      </c>
      <c r="G4" s="110">
        <v>2</v>
      </c>
      <c r="H4" s="29" t="s">
        <v>51</v>
      </c>
      <c r="I4" s="30"/>
      <c r="J4" s="30"/>
      <c r="K4" s="30"/>
      <c r="L4" s="30"/>
      <c r="M4" s="30"/>
      <c r="N4" s="30"/>
      <c r="O4" s="30"/>
      <c r="P4" s="26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0"/>
      <c r="AF4" s="16">
        <v>3</v>
      </c>
      <c r="AG4" s="16" t="s">
        <v>56</v>
      </c>
      <c r="AH4" s="17" t="s">
        <v>57</v>
      </c>
      <c r="AI4" s="18" t="s">
        <v>58</v>
      </c>
      <c r="AJ4" s="6" t="s">
        <v>50</v>
      </c>
      <c r="AK4" s="7">
        <v>2</v>
      </c>
      <c r="AL4" s="8" t="s">
        <v>51</v>
      </c>
      <c r="AM4" s="5"/>
      <c r="AN4" s="5"/>
      <c r="AO4" s="5"/>
      <c r="AP4" s="5"/>
      <c r="AQ4" s="5"/>
      <c r="AR4" s="5"/>
      <c r="AS4" s="5"/>
      <c r="AT4" s="9"/>
      <c r="AU4" s="9"/>
      <c r="AV4" s="9"/>
    </row>
    <row r="5" spans="1:48" ht="14" customHeight="1" thickBot="1">
      <c r="A5" s="27">
        <v>4</v>
      </c>
      <c r="B5" s="27" t="s">
        <v>59</v>
      </c>
      <c r="C5" s="27" t="s">
        <v>52</v>
      </c>
      <c r="D5" s="108" t="s">
        <v>197</v>
      </c>
      <c r="E5" s="109" t="s">
        <v>198</v>
      </c>
      <c r="F5" s="28" t="s">
        <v>50</v>
      </c>
      <c r="G5" s="110">
        <v>3</v>
      </c>
      <c r="H5" s="29" t="s">
        <v>51</v>
      </c>
      <c r="I5" s="30"/>
      <c r="J5" s="30"/>
      <c r="K5" s="30"/>
      <c r="L5" s="30"/>
      <c r="M5" s="30"/>
      <c r="N5" s="30"/>
      <c r="O5" s="30"/>
      <c r="P5" s="26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0"/>
      <c r="AF5" s="16">
        <v>4</v>
      </c>
      <c r="AG5" s="16" t="s">
        <v>59</v>
      </c>
      <c r="AH5" s="17" t="s">
        <v>60</v>
      </c>
      <c r="AI5" s="18" t="s">
        <v>61</v>
      </c>
      <c r="AJ5" s="6" t="s">
        <v>50</v>
      </c>
      <c r="AK5" s="7">
        <v>3</v>
      </c>
      <c r="AL5" s="8" t="s">
        <v>51</v>
      </c>
      <c r="AM5" s="5"/>
      <c r="AN5" s="5"/>
      <c r="AO5" s="5"/>
      <c r="AP5" s="5"/>
      <c r="AQ5" s="5"/>
      <c r="AR5" s="5"/>
      <c r="AS5" s="5"/>
      <c r="AT5" s="9"/>
      <c r="AU5" s="9"/>
      <c r="AV5" s="9"/>
    </row>
    <row r="6" spans="1:48" ht="14" customHeight="1" thickBot="1">
      <c r="A6" s="27">
        <v>5</v>
      </c>
      <c r="B6" s="27" t="s">
        <v>62</v>
      </c>
      <c r="C6" s="27" t="s">
        <v>52</v>
      </c>
      <c r="D6" s="108" t="s">
        <v>199</v>
      </c>
      <c r="E6" s="109" t="s">
        <v>200</v>
      </c>
      <c r="F6" s="28" t="s">
        <v>50</v>
      </c>
      <c r="G6" s="110">
        <v>2</v>
      </c>
      <c r="H6" s="29" t="s">
        <v>51</v>
      </c>
      <c r="I6" s="30"/>
      <c r="J6" s="30"/>
      <c r="K6" s="30"/>
      <c r="L6" s="30"/>
      <c r="M6" s="30"/>
      <c r="N6" s="30"/>
      <c r="O6" s="30"/>
      <c r="P6" s="26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0"/>
      <c r="AF6" s="16">
        <v>5</v>
      </c>
      <c r="AG6" s="16" t="s">
        <v>62</v>
      </c>
      <c r="AH6" s="17" t="s">
        <v>63</v>
      </c>
      <c r="AI6" s="18" t="s">
        <v>64</v>
      </c>
      <c r="AJ6" s="6" t="s">
        <v>50</v>
      </c>
      <c r="AK6" s="7">
        <v>2</v>
      </c>
      <c r="AL6" s="8" t="s">
        <v>51</v>
      </c>
      <c r="AM6" s="5"/>
      <c r="AN6" s="5"/>
      <c r="AO6" s="5"/>
      <c r="AP6" s="5"/>
      <c r="AQ6" s="5"/>
      <c r="AR6" s="5"/>
      <c r="AS6" s="5"/>
      <c r="AT6" s="9"/>
      <c r="AU6" s="9"/>
      <c r="AV6" s="9"/>
    </row>
    <row r="7" spans="1:48" ht="14" customHeight="1" thickBot="1">
      <c r="A7" s="27">
        <v>6</v>
      </c>
      <c r="B7" s="27" t="s">
        <v>65</v>
      </c>
      <c r="C7" s="27" t="s">
        <v>52</v>
      </c>
      <c r="D7" s="108" t="s">
        <v>201</v>
      </c>
      <c r="E7" s="109" t="s">
        <v>202</v>
      </c>
      <c r="F7" s="28" t="s">
        <v>50</v>
      </c>
      <c r="G7" s="110">
        <v>2</v>
      </c>
      <c r="H7" s="29" t="s">
        <v>51</v>
      </c>
      <c r="I7" s="30"/>
      <c r="J7" s="30"/>
      <c r="K7" s="30"/>
      <c r="L7" s="30"/>
      <c r="M7" s="30"/>
      <c r="N7" s="30"/>
      <c r="O7" s="30"/>
      <c r="P7" s="26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0"/>
      <c r="AF7" s="16">
        <v>6</v>
      </c>
      <c r="AG7" s="16" t="s">
        <v>65</v>
      </c>
      <c r="AH7" s="17" t="s">
        <v>66</v>
      </c>
      <c r="AI7" s="18" t="s">
        <v>67</v>
      </c>
      <c r="AJ7" s="6" t="s">
        <v>50</v>
      </c>
      <c r="AK7" s="7">
        <v>3</v>
      </c>
      <c r="AL7" s="8" t="s">
        <v>51</v>
      </c>
      <c r="AM7" s="5"/>
      <c r="AN7" s="19"/>
      <c r="AO7" s="5"/>
      <c r="AP7" s="5"/>
      <c r="AQ7" s="5"/>
      <c r="AR7" s="5"/>
      <c r="AS7" s="5"/>
      <c r="AT7" s="9"/>
      <c r="AU7" s="9"/>
      <c r="AV7" s="9"/>
    </row>
    <row r="8" spans="1:48" ht="14" customHeight="1" thickBot="1">
      <c r="A8" s="27">
        <v>7</v>
      </c>
      <c r="B8" s="27" t="s">
        <v>68</v>
      </c>
      <c r="C8" s="27" t="s">
        <v>52</v>
      </c>
      <c r="D8" s="108" t="s">
        <v>203</v>
      </c>
      <c r="E8" s="109" t="s">
        <v>204</v>
      </c>
      <c r="F8" s="28" t="s">
        <v>50</v>
      </c>
      <c r="G8" s="110">
        <v>2</v>
      </c>
      <c r="H8" s="29" t="s">
        <v>51</v>
      </c>
      <c r="I8" s="30"/>
      <c r="J8" s="30"/>
      <c r="K8" s="30"/>
      <c r="L8" s="30"/>
      <c r="M8" s="30"/>
      <c r="N8" s="30"/>
      <c r="O8" s="30"/>
      <c r="P8" s="26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0"/>
      <c r="AF8" s="16">
        <v>7</v>
      </c>
      <c r="AG8" s="16" t="s">
        <v>68</v>
      </c>
      <c r="AH8" s="17" t="s">
        <v>70</v>
      </c>
      <c r="AI8" s="18" t="s">
        <v>69</v>
      </c>
      <c r="AJ8" s="6" t="s">
        <v>50</v>
      </c>
      <c r="AK8" s="7">
        <v>3</v>
      </c>
      <c r="AL8" s="8" t="s">
        <v>51</v>
      </c>
      <c r="AM8" s="5"/>
      <c r="AN8" s="5"/>
      <c r="AO8" s="5"/>
      <c r="AP8" s="5"/>
      <c r="AQ8" s="5"/>
      <c r="AR8" s="5"/>
      <c r="AS8" s="5"/>
      <c r="AT8" s="9"/>
      <c r="AU8" s="9"/>
      <c r="AV8" s="9"/>
    </row>
    <row r="9" spans="1:48" ht="14" customHeight="1" thickBot="1">
      <c r="A9" s="27">
        <v>8</v>
      </c>
      <c r="B9" s="27" t="s">
        <v>71</v>
      </c>
      <c r="C9" s="27" t="s">
        <v>52</v>
      </c>
      <c r="D9" s="108" t="s">
        <v>205</v>
      </c>
      <c r="E9" s="111" t="s">
        <v>206</v>
      </c>
      <c r="F9" s="28" t="s">
        <v>50</v>
      </c>
      <c r="G9" s="110">
        <v>2</v>
      </c>
      <c r="H9" s="29" t="s">
        <v>51</v>
      </c>
      <c r="I9" s="31"/>
      <c r="J9" s="30"/>
      <c r="K9" s="30"/>
      <c r="L9" s="30"/>
      <c r="M9" s="30"/>
      <c r="N9" s="30"/>
      <c r="O9" s="30"/>
      <c r="P9" s="26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0"/>
      <c r="AF9" s="16">
        <v>8</v>
      </c>
      <c r="AG9" s="16" t="s">
        <v>71</v>
      </c>
      <c r="AH9" s="17" t="s">
        <v>73</v>
      </c>
      <c r="AI9" s="18" t="s">
        <v>72</v>
      </c>
      <c r="AJ9" s="6" t="s">
        <v>50</v>
      </c>
      <c r="AK9" s="7">
        <v>2</v>
      </c>
      <c r="AL9" s="8" t="s">
        <v>51</v>
      </c>
      <c r="AM9" s="5"/>
      <c r="AN9" s="5"/>
      <c r="AO9" s="5"/>
      <c r="AP9" s="5"/>
      <c r="AQ9" s="5"/>
      <c r="AR9" s="5"/>
      <c r="AS9" s="5"/>
      <c r="AT9" s="9"/>
      <c r="AU9" s="9"/>
      <c r="AV9" s="9"/>
    </row>
    <row r="10" spans="1:48" ht="14" customHeight="1" thickBot="1">
      <c r="A10" s="209">
        <v>19</v>
      </c>
      <c r="B10" s="210"/>
      <c r="C10" s="210"/>
      <c r="D10" s="210"/>
      <c r="E10" s="211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26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0"/>
      <c r="AF10" s="16">
        <v>9</v>
      </c>
      <c r="AG10" s="16" t="s">
        <v>75</v>
      </c>
      <c r="AH10" s="17" t="s">
        <v>76</v>
      </c>
      <c r="AI10" s="18" t="s">
        <v>77</v>
      </c>
      <c r="AJ10" s="6" t="s">
        <v>50</v>
      </c>
      <c r="AK10" s="7">
        <v>3</v>
      </c>
      <c r="AL10" s="5"/>
      <c r="AM10" s="8" t="s">
        <v>51</v>
      </c>
      <c r="AN10" s="5"/>
      <c r="AO10" s="5"/>
      <c r="AP10" s="5"/>
      <c r="AQ10" s="5"/>
      <c r="AR10" s="5"/>
      <c r="AS10" s="5"/>
      <c r="AT10" s="9"/>
      <c r="AU10" s="9"/>
      <c r="AV10" s="9"/>
    </row>
    <row r="11" spans="1:48" ht="14" customHeight="1" thickBot="1">
      <c r="A11" s="32"/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</row>
    <row r="12" spans="1:48" ht="14" customHeight="1" thickBot="1">
      <c r="A12" s="32"/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</row>
    <row r="13" spans="1:48" ht="14" customHeight="1" thickBot="1">
      <c r="A13" s="32"/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</row>
    <row r="14" spans="1:48" ht="14" customHeight="1" thickBot="1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</row>
    <row r="15" spans="1:48" ht="14" customHeight="1" thickBot="1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</row>
    <row r="16" spans="1:48" ht="14" customHeight="1" thickBot="1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</row>
    <row r="17" spans="1:48" ht="14" customHeight="1" thickBot="1">
      <c r="A17" s="32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</row>
    <row r="18" spans="1:48" ht="14" customHeight="1" thickBot="1">
      <c r="A18" s="32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</row>
    <row r="19" spans="1:48" ht="14" customHeight="1" thickBot="1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</row>
    <row r="20" spans="1:48" ht="14" customHeight="1" thickBot="1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</row>
    <row r="21" spans="1:48" ht="14" customHeight="1" thickBot="1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</row>
    <row r="22" spans="1:48" ht="14" customHeight="1" thickBot="1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</row>
    <row r="23" spans="1:48" ht="14" customHeight="1" thickBot="1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</row>
    <row r="24" spans="1:48" ht="14" customHeight="1" thickBot="1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</row>
    <row r="25" spans="1:48" ht="14" customHeight="1" thickBot="1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</row>
    <row r="26" spans="1:48" ht="14" customHeight="1" thickBot="1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</row>
    <row r="27" spans="1:48" ht="14" customHeight="1" thickBot="1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</row>
    <row r="28" spans="1:48" ht="14" customHeight="1" thickBot="1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</row>
    <row r="29" spans="1:48" ht="14" customHeight="1" thickBot="1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</row>
    <row r="30" spans="1:48" ht="14" customHeight="1" thickBot="1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</row>
    <row r="31" spans="1:48" ht="14" customHeight="1" thickBot="1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</row>
    <row r="32" spans="1:48" ht="14" customHeight="1" thickBot="1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</row>
    <row r="33" spans="1:48" ht="14" customHeight="1" thickBot="1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</row>
    <row r="34" spans="1:48" ht="14" customHeight="1" thickBot="1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</row>
    <row r="35" spans="1:48" ht="14" customHeight="1" thickBot="1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</row>
    <row r="36" spans="1:48" ht="14" customHeight="1" thickBot="1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</row>
    <row r="37" spans="1:48" ht="14" customHeight="1" thickBot="1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</row>
    <row r="38" spans="1:48" ht="14" customHeight="1" thickBot="1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</row>
    <row r="39" spans="1:48" ht="14" customHeight="1" thickBot="1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</row>
    <row r="40" spans="1:48" ht="14" customHeight="1" thickBot="1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</row>
    <row r="41" spans="1:48" ht="14" customHeight="1" thickBot="1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</row>
    <row r="42" spans="1:48" ht="14" customHeight="1" thickBot="1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</row>
    <row r="43" spans="1:48" ht="14" customHeight="1" thickBot="1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</row>
    <row r="44" spans="1:48" ht="14" customHeight="1" thickBot="1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</row>
    <row r="45" spans="1:48" ht="14" customHeight="1" thickBot="1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</row>
    <row r="46" spans="1:48" ht="14" customHeight="1" thickBot="1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</row>
    <row r="47" spans="1:48" ht="14" customHeight="1" thickBot="1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</row>
    <row r="48" spans="1:48" ht="14" customHeight="1" thickBot="1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</row>
    <row r="49" spans="1:48" ht="14" customHeight="1" thickBot="1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</row>
    <row r="50" spans="1:48" ht="14" customHeight="1" thickBot="1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</row>
    <row r="51" spans="1:48" ht="14" customHeight="1" thickBot="1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</row>
    <row r="52" spans="1:48" ht="14" customHeight="1" thickBot="1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</row>
    <row r="53" spans="1:48" ht="14" customHeight="1" thickBot="1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</row>
    <row r="54" spans="1:48" ht="14" customHeight="1" thickBot="1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</row>
    <row r="55" spans="1:48" ht="14" customHeight="1" thickBot="1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</row>
    <row r="56" spans="1:48" ht="14" customHeight="1" thickBot="1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</row>
    <row r="57" spans="1:48" ht="14" customHeight="1" thickBot="1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</row>
    <row r="58" spans="1:48" ht="14" customHeight="1" thickBot="1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</row>
    <row r="59" spans="1:48" ht="14" customHeight="1" thickBot="1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</row>
    <row r="60" spans="1:48" ht="14" customHeight="1" thickBot="1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</row>
    <row r="61" spans="1:48" ht="14" customHeight="1" thickBot="1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</row>
    <row r="62" spans="1:48" ht="14" customHeight="1" thickBot="1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</row>
    <row r="63" spans="1:48" ht="14" customHeight="1" thickBot="1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</row>
    <row r="64" spans="1:48" ht="14" customHeight="1" thickBot="1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</row>
    <row r="65" spans="1:48" ht="14" customHeight="1" thickBot="1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</row>
    <row r="66" spans="1:48" ht="14" customHeight="1" thickBot="1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</row>
    <row r="67" spans="1:48" ht="14" customHeight="1" thickBot="1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</row>
    <row r="68" spans="1:48" ht="14" customHeight="1" thickBot="1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</row>
    <row r="69" spans="1:48" ht="14" customHeight="1" thickBot="1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</row>
    <row r="70" spans="1:48" ht="14" customHeight="1" thickBot="1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</row>
    <row r="71" spans="1:48" ht="14" customHeight="1" thickBot="1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</row>
    <row r="72" spans="1:48" ht="14" customHeight="1" thickBot="1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</row>
    <row r="73" spans="1:48" ht="14" customHeight="1" thickBot="1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</row>
    <row r="74" spans="1:48" ht="14" customHeight="1" thickBot="1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</row>
    <row r="75" spans="1:48" ht="14" customHeight="1" thickBot="1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</row>
    <row r="76" spans="1:48" ht="14" customHeight="1" thickBot="1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</row>
    <row r="77" spans="1:48" ht="14" customHeight="1" thickBot="1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</row>
    <row r="78" spans="1:48" ht="14" customHeight="1" thickBot="1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</row>
    <row r="79" spans="1:48" ht="14" customHeight="1" thickBot="1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</row>
    <row r="80" spans="1:48" ht="14" customHeight="1" thickBot="1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</row>
    <row r="81" spans="1:48" ht="14" customHeight="1" thickBot="1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</row>
    <row r="82" spans="1:48" ht="14" customHeight="1" thickBot="1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</row>
    <row r="83" spans="1:48" ht="14" customHeight="1" thickBot="1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</row>
    <row r="84" spans="1:48" ht="14" customHeight="1" thickBot="1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</row>
    <row r="85" spans="1:48" ht="14" customHeight="1" thickBot="1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</row>
    <row r="86" spans="1:48" ht="14" customHeight="1" thickBot="1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</row>
    <row r="87" spans="1:48" ht="14" customHeight="1" thickBot="1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</row>
    <row r="88" spans="1:48" ht="14" customHeight="1" thickBot="1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</row>
    <row r="89" spans="1:48" ht="14" customHeight="1" thickBot="1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</row>
    <row r="90" spans="1:48" ht="14" customHeight="1" thickBot="1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</row>
    <row r="91" spans="1:48" ht="14" customHeight="1" thickBot="1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</row>
    <row r="92" spans="1:48" ht="14" customHeight="1" thickBot="1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</row>
    <row r="93" spans="1:48" ht="14" customHeight="1" thickBot="1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</row>
    <row r="94" spans="1:48" ht="14" customHeight="1" thickBot="1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</row>
    <row r="95" spans="1:48" ht="14" customHeight="1" thickBot="1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</row>
    <row r="96" spans="1:48" ht="14" customHeight="1" thickBot="1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</row>
    <row r="97" spans="1:48" ht="14" customHeight="1" thickBot="1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</row>
    <row r="98" spans="1:48" ht="14" customHeight="1" thickBot="1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</row>
    <row r="99" spans="1:48" ht="14" customHeight="1" thickBot="1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</row>
    <row r="100" spans="1:48" ht="14" customHeight="1" thickBot="1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</row>
    <row r="101" spans="1:48" ht="14" customHeight="1" thickBot="1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</row>
    <row r="102" spans="1:48" ht="14" customHeight="1" thickBot="1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</row>
    <row r="103" spans="1:48" ht="14" customHeight="1" thickBot="1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</row>
    <row r="104" spans="1:48" ht="14" customHeight="1" thickBot="1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</row>
    <row r="105" spans="1:48" ht="14" customHeight="1" thickBot="1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</row>
    <row r="106" spans="1:48" ht="14" customHeight="1" thickBot="1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</row>
    <row r="107" spans="1:48" ht="14" customHeight="1" thickBot="1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</row>
    <row r="108" spans="1:48" ht="14" customHeight="1" thickBot="1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</row>
    <row r="109" spans="1:48" ht="14" customHeight="1" thickBot="1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</row>
    <row r="110" spans="1:48" ht="14" customHeight="1" thickBot="1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</row>
    <row r="111" spans="1:48" ht="14" customHeight="1" thickBot="1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</row>
    <row r="112" spans="1:48" ht="14" customHeight="1" thickBot="1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</row>
    <row r="113" spans="1:48" ht="14" customHeight="1" thickBot="1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</row>
    <row r="114" spans="1:48" ht="14" customHeight="1" thickBot="1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</row>
    <row r="115" spans="1:48" ht="14" customHeight="1" thickBot="1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</row>
    <row r="116" spans="1:48" ht="14" customHeight="1" thickBo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</row>
    <row r="117" spans="1:48" ht="14" customHeight="1" thickBot="1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</row>
    <row r="118" spans="1:48" ht="14" customHeight="1" thickBot="1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</row>
    <row r="119" spans="1:48" ht="14" customHeight="1" thickBot="1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</row>
    <row r="120" spans="1:48" ht="14" customHeight="1" thickBot="1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</row>
    <row r="121" spans="1:48" ht="14" customHeight="1" thickBot="1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</row>
    <row r="122" spans="1:48" ht="14" customHeight="1" thickBot="1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</row>
    <row r="123" spans="1:48" ht="14" customHeight="1" thickBot="1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</row>
    <row r="124" spans="1:48" ht="14" customHeight="1" thickBot="1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</row>
    <row r="125" spans="1:48" ht="14" customHeight="1" thickBot="1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</row>
    <row r="126" spans="1:48" ht="14" customHeight="1" thickBot="1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</row>
    <row r="127" spans="1:48" ht="14" customHeight="1" thickBot="1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</row>
    <row r="128" spans="1:48" ht="14" customHeight="1" thickBot="1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</row>
    <row r="129" spans="1:48" ht="14" customHeight="1" thickBot="1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</row>
    <row r="130" spans="1:48" ht="14" customHeight="1" thickBot="1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</row>
    <row r="131" spans="1:48" ht="14" customHeight="1" thickBot="1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</row>
    <row r="132" spans="1:48" ht="14" customHeight="1" thickBot="1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</row>
    <row r="133" spans="1:48" ht="14" customHeight="1" thickBot="1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</row>
    <row r="134" spans="1:48" ht="14" customHeight="1" thickBot="1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</row>
    <row r="135" spans="1:48" ht="14" customHeight="1" thickBot="1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</row>
    <row r="136" spans="1:48" ht="14" customHeight="1" thickBot="1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</row>
    <row r="137" spans="1:48" ht="14" customHeight="1" thickBot="1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</row>
    <row r="138" spans="1:48" ht="14" customHeight="1" thickBot="1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</row>
    <row r="139" spans="1:48" ht="14" customHeight="1" thickBot="1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</row>
    <row r="140" spans="1:48" ht="14" customHeight="1" thickBot="1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</row>
    <row r="141" spans="1:48" ht="14" customHeight="1" thickBot="1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</row>
    <row r="142" spans="1:48" ht="14" customHeight="1" thickBot="1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</row>
    <row r="143" spans="1:48" ht="14" customHeight="1" thickBot="1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</row>
    <row r="144" spans="1:48" ht="14" customHeight="1" thickBot="1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</row>
    <row r="145" spans="1:48" ht="14" customHeight="1" thickBot="1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</row>
    <row r="146" spans="1:48" ht="14" customHeight="1" thickBot="1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</row>
    <row r="147" spans="1:48" ht="14" customHeight="1" thickBot="1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</row>
    <row r="148" spans="1:48" ht="14" customHeight="1" thickBot="1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</row>
    <row r="149" spans="1:48" ht="14" customHeight="1" thickBot="1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</row>
    <row r="150" spans="1:48" ht="14" customHeight="1" thickBot="1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</row>
    <row r="151" spans="1:48" ht="14" customHeight="1" thickBot="1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</row>
    <row r="152" spans="1:48" ht="14" customHeight="1" thickBot="1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</row>
    <row r="153" spans="1:48" ht="14" customHeight="1" thickBot="1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</row>
    <row r="154" spans="1:48" ht="14" customHeight="1" thickBot="1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</row>
    <row r="155" spans="1:48" ht="14" customHeight="1" thickBot="1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</row>
    <row r="156" spans="1:48" ht="14" customHeight="1" thickBot="1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</row>
    <row r="157" spans="1:48" ht="14" customHeight="1" thickBot="1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</row>
    <row r="158" spans="1:48" ht="14" customHeight="1" thickBot="1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</row>
    <row r="159" spans="1:48" ht="14" customHeight="1" thickBot="1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</row>
    <row r="160" spans="1:48" ht="14" customHeight="1" thickBot="1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</row>
    <row r="161" spans="1:48" ht="14" customHeight="1" thickBot="1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</row>
    <row r="162" spans="1:48" ht="14" customHeight="1" thickBot="1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</row>
    <row r="163" spans="1:48" ht="14" customHeight="1" thickBot="1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</row>
    <row r="164" spans="1:48" ht="14" customHeight="1" thickBot="1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</row>
    <row r="165" spans="1:48" ht="14" customHeight="1" thickBot="1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</row>
    <row r="166" spans="1:48" ht="14" customHeight="1" thickBot="1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</row>
    <row r="167" spans="1:48" ht="14" customHeight="1" thickBot="1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</row>
    <row r="168" spans="1:48" ht="14" customHeight="1" thickBot="1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</row>
    <row r="169" spans="1:48" ht="14" customHeight="1" thickBot="1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</row>
    <row r="170" spans="1:48" ht="14" customHeight="1" thickBot="1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</row>
    <row r="171" spans="1:48" ht="14" customHeight="1" thickBot="1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</row>
    <row r="172" spans="1:48" ht="14" customHeight="1" thickBot="1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</row>
    <row r="173" spans="1:48" ht="14" customHeight="1" thickBot="1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</row>
    <row r="174" spans="1:48" ht="14" customHeight="1" thickBot="1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</row>
    <row r="175" spans="1:48" ht="14" customHeight="1" thickBot="1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</row>
    <row r="176" spans="1:48" ht="14" customHeight="1" thickBot="1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</row>
    <row r="177" spans="1:48" ht="14" customHeight="1" thickBot="1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</row>
    <row r="178" spans="1:48" ht="14" customHeight="1" thickBot="1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</row>
    <row r="179" spans="1:48" ht="14" customHeight="1" thickBot="1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</row>
    <row r="180" spans="1:48" ht="14" customHeight="1" thickBot="1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</row>
    <row r="181" spans="1:48" ht="14" customHeight="1" thickBot="1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</row>
    <row r="182" spans="1:48" ht="14" customHeight="1" thickBot="1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</row>
    <row r="183" spans="1:48" ht="14" customHeight="1" thickBot="1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</row>
    <row r="184" spans="1:48" ht="14" customHeight="1" thickBot="1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</row>
    <row r="185" spans="1:48" ht="14" customHeight="1" thickBot="1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</row>
    <row r="186" spans="1:48" ht="14" customHeight="1" thickBot="1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</row>
    <row r="187" spans="1:48" ht="14" customHeight="1" thickBot="1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</row>
    <row r="188" spans="1:48" ht="14" customHeight="1" thickBot="1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</row>
    <row r="189" spans="1:48" ht="14" customHeight="1" thickBot="1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</row>
    <row r="190" spans="1:48" ht="14" customHeight="1" thickBot="1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</row>
    <row r="191" spans="1:48" ht="14" customHeight="1" thickBot="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</row>
    <row r="192" spans="1:48" ht="14" customHeight="1" thickBot="1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</row>
    <row r="193" spans="1:48" ht="14" customHeight="1" thickBot="1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</row>
    <row r="194" spans="1:48" ht="14" customHeight="1" thickBot="1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</row>
    <row r="195" spans="1:48" ht="14" customHeight="1" thickBot="1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</row>
    <row r="196" spans="1:48" ht="14" customHeight="1" thickBot="1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</row>
    <row r="197" spans="1:48" ht="14" customHeight="1" thickBot="1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</row>
    <row r="198" spans="1:48" ht="14" customHeight="1" thickBot="1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</row>
    <row r="199" spans="1:48" ht="14" customHeight="1" thickBot="1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</row>
    <row r="200" spans="1:48" ht="14" customHeight="1" thickBot="1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</row>
    <row r="201" spans="1:48" ht="14" customHeight="1" thickBot="1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</row>
    <row r="202" spans="1:48" ht="14" customHeight="1" thickBot="1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</row>
    <row r="203" spans="1:48" ht="14" customHeight="1" thickBot="1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</row>
    <row r="204" spans="1:48" ht="14" customHeight="1" thickBot="1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</row>
    <row r="205" spans="1:48" ht="14" customHeight="1" thickBot="1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</row>
    <row r="206" spans="1:48" ht="14" customHeight="1" thickBot="1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</row>
    <row r="207" spans="1:48" ht="14" customHeight="1" thickBot="1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</row>
    <row r="208" spans="1:48" ht="14" customHeight="1" thickBot="1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</row>
    <row r="209" spans="1:48" ht="14" customHeight="1" thickBot="1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</row>
    <row r="210" spans="1:48" ht="14" customHeight="1" thickBot="1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</row>
    <row r="211" spans="1:48" ht="14" customHeight="1" thickBot="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</row>
    <row r="212" spans="1:48" ht="14" customHeight="1" thickBot="1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</row>
    <row r="213" spans="1:48" ht="14" customHeight="1" thickBot="1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</row>
    <row r="214" spans="1:48" ht="14" customHeight="1" thickBot="1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</row>
    <row r="215" spans="1:48" ht="14" customHeight="1" thickBot="1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</row>
    <row r="216" spans="1:48" ht="14" customHeight="1" thickBot="1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</row>
    <row r="217" spans="1:48" ht="14" customHeight="1" thickBot="1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</row>
    <row r="218" spans="1:48" ht="14" customHeight="1" thickBot="1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</row>
    <row r="219" spans="1:48" ht="14" customHeight="1" thickBot="1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</row>
    <row r="220" spans="1:48" ht="14" customHeight="1" thickBot="1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</row>
    <row r="221" spans="1:48" ht="14" customHeight="1" thickBot="1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</row>
    <row r="222" spans="1:48" ht="14" customHeight="1" thickBot="1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</row>
    <row r="223" spans="1:48" ht="14" customHeight="1" thickBot="1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</row>
    <row r="224" spans="1:48" ht="14" customHeight="1" thickBot="1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</row>
    <row r="225" spans="1:48" ht="14" customHeight="1" thickBot="1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</row>
    <row r="226" spans="1:48" ht="14" customHeight="1" thickBot="1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</row>
    <row r="227" spans="1:48" ht="14" customHeight="1" thickBot="1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</row>
    <row r="228" spans="1:48" ht="14" customHeight="1" thickBot="1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</row>
    <row r="229" spans="1:48" ht="14" customHeight="1" thickBot="1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</row>
    <row r="230" spans="1:48" ht="14" customHeight="1" thickBot="1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</row>
    <row r="231" spans="1:48" ht="14" customHeight="1" thickBot="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</row>
    <row r="232" spans="1:48" ht="14" customHeight="1" thickBot="1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</row>
    <row r="233" spans="1:48" ht="14" customHeight="1" thickBot="1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</row>
    <row r="234" spans="1:48" ht="14" customHeight="1" thickBot="1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</row>
    <row r="235" spans="1:48" ht="14" customHeight="1" thickBot="1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</row>
    <row r="236" spans="1:48" ht="14" customHeight="1" thickBot="1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</row>
    <row r="237" spans="1:48" ht="14" customHeight="1" thickBot="1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</row>
    <row r="238" spans="1:48" ht="14" customHeight="1" thickBot="1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</row>
    <row r="239" spans="1:48" ht="14" customHeight="1" thickBot="1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</row>
    <row r="240" spans="1:48" ht="14" customHeight="1" thickBot="1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</row>
    <row r="241" spans="1:48" ht="14" customHeight="1" thickBot="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</row>
    <row r="242" spans="1:48" ht="14" customHeight="1" thickBot="1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</row>
    <row r="243" spans="1:48" ht="14" customHeight="1" thickBot="1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</row>
    <row r="244" spans="1:48" ht="14" customHeight="1" thickBot="1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</row>
    <row r="245" spans="1:48" ht="14" customHeight="1" thickBot="1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</row>
    <row r="246" spans="1:48" ht="14" customHeight="1" thickBot="1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</row>
    <row r="247" spans="1:48" ht="14" customHeight="1" thickBot="1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</row>
    <row r="248" spans="1:48" ht="14" customHeight="1" thickBot="1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</row>
    <row r="249" spans="1:48" ht="14" customHeight="1" thickBot="1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</row>
    <row r="250" spans="1:48" ht="14" customHeight="1" thickBot="1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</row>
    <row r="251" spans="1:48" ht="14" customHeight="1" thickBot="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</row>
    <row r="252" spans="1:48" ht="14" customHeight="1" thickBot="1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</row>
    <row r="253" spans="1:48" ht="14" customHeight="1" thickBot="1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</row>
    <row r="254" spans="1:48" ht="14" customHeight="1" thickBot="1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</row>
    <row r="255" spans="1:48" ht="14" customHeight="1" thickBot="1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</row>
    <row r="256" spans="1:48" ht="14" customHeight="1" thickBot="1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</row>
    <row r="257" spans="1:48" ht="14" customHeight="1" thickBot="1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</row>
    <row r="258" spans="1:48" ht="14" customHeight="1" thickBot="1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</row>
    <row r="259" spans="1:48" ht="14" customHeight="1" thickBot="1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</row>
    <row r="260" spans="1:48" ht="14" customHeight="1" thickBot="1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</row>
    <row r="261" spans="1:48" ht="14" customHeight="1" thickBot="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</row>
    <row r="262" spans="1:48" ht="14" customHeight="1" thickBot="1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</row>
    <row r="263" spans="1:48" ht="14" customHeight="1" thickBot="1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</row>
    <row r="264" spans="1:48" ht="14" customHeight="1" thickBot="1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</row>
    <row r="265" spans="1:48" ht="14" customHeight="1" thickBot="1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</row>
    <row r="266" spans="1:48" ht="14" customHeight="1" thickBot="1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</row>
    <row r="267" spans="1:48" ht="14" customHeight="1" thickBot="1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</row>
    <row r="268" spans="1:48" ht="14" customHeight="1" thickBot="1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</row>
    <row r="269" spans="1:48" ht="14" customHeight="1" thickBot="1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</row>
    <row r="270" spans="1:48" ht="14" customHeight="1" thickBot="1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</row>
    <row r="271" spans="1:48" ht="14" customHeight="1" thickBot="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</row>
    <row r="272" spans="1:48" ht="14" customHeight="1" thickBot="1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</row>
    <row r="273" spans="1:48" ht="14" customHeight="1" thickBot="1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</row>
    <row r="274" spans="1:48" ht="14" customHeight="1" thickBot="1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</row>
    <row r="275" spans="1:48" ht="14" customHeight="1" thickBot="1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</row>
    <row r="276" spans="1:48" ht="14" customHeight="1" thickBot="1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</row>
    <row r="277" spans="1:48" ht="14" customHeight="1" thickBot="1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</row>
    <row r="278" spans="1:48" ht="14" customHeight="1" thickBot="1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</row>
    <row r="279" spans="1:48" ht="14" customHeight="1" thickBot="1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</row>
    <row r="280" spans="1:48" ht="14" customHeight="1" thickBot="1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</row>
    <row r="281" spans="1:48" ht="14" customHeight="1" thickBot="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</row>
    <row r="282" spans="1:48" ht="14" customHeight="1" thickBot="1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</row>
    <row r="283" spans="1:48" ht="14" customHeight="1" thickBot="1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</row>
    <row r="284" spans="1:48" ht="14" customHeight="1" thickBot="1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</row>
    <row r="285" spans="1:48" ht="14" customHeight="1" thickBot="1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</row>
    <row r="286" spans="1:48" ht="14" customHeight="1" thickBot="1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</row>
    <row r="287" spans="1:48" ht="14" customHeight="1" thickBot="1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</row>
    <row r="288" spans="1:48" ht="14" customHeight="1" thickBot="1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</row>
    <row r="289" spans="1:48" ht="14" customHeight="1" thickBot="1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</row>
    <row r="290" spans="1:48" ht="14" customHeight="1" thickBot="1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</row>
    <row r="291" spans="1:48" ht="14" customHeight="1" thickBot="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</row>
    <row r="292" spans="1:48" ht="14" customHeight="1" thickBot="1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</row>
    <row r="293" spans="1:48" ht="14" customHeight="1" thickBot="1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</row>
    <row r="294" spans="1:48" ht="14" customHeight="1" thickBot="1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</row>
    <row r="295" spans="1:48" ht="14" customHeight="1" thickBot="1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</row>
    <row r="296" spans="1:48" ht="14" customHeight="1" thickBot="1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</row>
    <row r="297" spans="1:48" ht="14" customHeight="1" thickBot="1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</row>
    <row r="298" spans="1:48" ht="14" customHeight="1" thickBot="1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</row>
    <row r="299" spans="1:48" ht="14" customHeight="1" thickBot="1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</row>
    <row r="300" spans="1:48" ht="14" customHeight="1" thickBot="1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</row>
    <row r="301" spans="1:48" ht="14" customHeight="1" thickBot="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</row>
    <row r="302" spans="1:48" ht="14" customHeight="1" thickBot="1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</row>
    <row r="303" spans="1:48" ht="14" customHeight="1" thickBot="1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</row>
    <row r="304" spans="1:48" ht="14" customHeight="1" thickBot="1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</row>
    <row r="305" spans="1:48" ht="14" customHeight="1" thickBot="1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</row>
    <row r="306" spans="1:48" ht="14" customHeight="1" thickBot="1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</row>
    <row r="307" spans="1:48" ht="14" customHeight="1" thickBot="1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</row>
    <row r="308" spans="1:48" ht="14" customHeight="1" thickBot="1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</row>
    <row r="309" spans="1:48" ht="14" customHeight="1" thickBot="1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</row>
    <row r="310" spans="1:48" ht="14" customHeight="1" thickBot="1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</row>
    <row r="311" spans="1:48" ht="14" customHeight="1" thickBot="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</row>
    <row r="312" spans="1:48" ht="14" customHeight="1" thickBot="1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</row>
    <row r="313" spans="1:48" ht="14" customHeight="1" thickBot="1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</row>
    <row r="314" spans="1:48" ht="14" customHeight="1" thickBot="1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</row>
    <row r="315" spans="1:48" ht="14" customHeight="1" thickBot="1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</row>
    <row r="316" spans="1:48" ht="14" customHeight="1" thickBot="1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</row>
    <row r="317" spans="1:48" ht="14" customHeight="1" thickBot="1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</row>
    <row r="318" spans="1:48" ht="14" customHeight="1" thickBot="1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</row>
    <row r="319" spans="1:48" ht="14" customHeight="1" thickBot="1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</row>
    <row r="320" spans="1:48" ht="14" customHeight="1" thickBot="1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</row>
    <row r="321" spans="1:48" ht="14" customHeight="1" thickBot="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</row>
    <row r="322" spans="1:48" ht="14" customHeight="1" thickBot="1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</row>
    <row r="323" spans="1:48" ht="14" customHeight="1" thickBot="1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</row>
    <row r="324" spans="1:48" ht="14" customHeight="1" thickBot="1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</row>
    <row r="325" spans="1:48" ht="14" customHeight="1" thickBot="1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</row>
    <row r="326" spans="1:48" ht="14" customHeight="1" thickBot="1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</row>
    <row r="327" spans="1:48" ht="14" customHeight="1" thickBot="1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</row>
    <row r="328" spans="1:48" ht="14" customHeight="1" thickBot="1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</row>
    <row r="329" spans="1:48" ht="14" customHeight="1" thickBot="1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</row>
    <row r="330" spans="1:48" ht="14" customHeight="1" thickBot="1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</row>
    <row r="331" spans="1:48" ht="14" customHeight="1" thickBot="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</row>
    <row r="332" spans="1:48" ht="14" customHeight="1" thickBot="1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</row>
    <row r="333" spans="1:48" ht="14" customHeight="1" thickBot="1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</row>
    <row r="334" spans="1:48" ht="14" customHeight="1" thickBot="1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</row>
    <row r="335" spans="1:48" ht="14" customHeight="1" thickBot="1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</row>
    <row r="336" spans="1:48" ht="14" customHeight="1" thickBot="1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</row>
    <row r="337" spans="1:48" ht="14" customHeight="1" thickBot="1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</row>
    <row r="338" spans="1:48" ht="14" customHeight="1" thickBot="1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</row>
    <row r="339" spans="1:48" ht="14" customHeight="1" thickBot="1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</row>
    <row r="340" spans="1:48" ht="14" customHeight="1" thickBot="1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</row>
    <row r="341" spans="1:48" ht="14" customHeight="1" thickBot="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</row>
    <row r="342" spans="1:48" ht="14" customHeight="1" thickBot="1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</row>
    <row r="343" spans="1:48" ht="14" customHeight="1" thickBot="1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</row>
    <row r="344" spans="1:48" ht="14" customHeight="1" thickBot="1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</row>
    <row r="345" spans="1:48" ht="14" customHeight="1" thickBot="1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</row>
    <row r="346" spans="1:48" ht="14" customHeight="1" thickBot="1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</row>
    <row r="347" spans="1:48" ht="14" customHeight="1" thickBot="1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</row>
    <row r="348" spans="1:48" ht="14" customHeight="1" thickBot="1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</row>
    <row r="349" spans="1:48" ht="14" customHeight="1" thickBot="1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</row>
    <row r="350" spans="1:48" ht="14" customHeight="1" thickBot="1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</row>
    <row r="351" spans="1:48" ht="14" customHeight="1" thickBot="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</row>
    <row r="352" spans="1:48" ht="14" customHeight="1" thickBot="1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</row>
    <row r="353" spans="1:48" ht="14" customHeight="1" thickBot="1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</row>
    <row r="354" spans="1:48" ht="14" customHeight="1" thickBot="1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</row>
    <row r="355" spans="1:48" ht="14" customHeight="1" thickBot="1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</row>
    <row r="356" spans="1:48" ht="14" customHeight="1" thickBot="1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</row>
    <row r="357" spans="1:48" ht="14" customHeight="1" thickBot="1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</row>
    <row r="358" spans="1:48" ht="14" customHeight="1" thickBot="1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</row>
    <row r="359" spans="1:48" ht="14" customHeight="1" thickBot="1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</row>
    <row r="360" spans="1:48" ht="14" customHeight="1" thickBot="1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</row>
    <row r="361" spans="1:48" ht="14" customHeight="1" thickBot="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</row>
    <row r="362" spans="1:48" ht="14" customHeight="1" thickBot="1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</row>
    <row r="363" spans="1:48" ht="14" customHeight="1" thickBot="1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</row>
    <row r="364" spans="1:48" ht="14" customHeight="1" thickBot="1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</row>
    <row r="365" spans="1:48" ht="14" customHeight="1" thickBot="1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</row>
    <row r="366" spans="1:48" ht="14" customHeight="1" thickBot="1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</row>
    <row r="367" spans="1:48" ht="14" customHeight="1" thickBot="1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</row>
    <row r="368" spans="1:48" ht="14" customHeight="1" thickBot="1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</row>
    <row r="369" spans="1:48" ht="14" customHeight="1" thickBot="1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</row>
    <row r="370" spans="1:48" ht="14" customHeight="1" thickBot="1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</row>
    <row r="371" spans="1:48" ht="14" customHeight="1" thickBot="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</row>
    <row r="372" spans="1:48" ht="14" customHeight="1" thickBot="1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</row>
    <row r="373" spans="1:48" ht="14" customHeight="1" thickBot="1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</row>
    <row r="374" spans="1:48" ht="14" customHeight="1" thickBot="1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</row>
    <row r="375" spans="1:48" ht="14" customHeight="1" thickBot="1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</row>
    <row r="376" spans="1:48" ht="14" customHeight="1" thickBot="1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</row>
    <row r="377" spans="1:48" ht="14" customHeight="1" thickBot="1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</row>
    <row r="378" spans="1:48" ht="14" customHeight="1" thickBot="1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</row>
    <row r="379" spans="1:48" ht="14" customHeight="1" thickBot="1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</row>
    <row r="380" spans="1:48" ht="14" customHeight="1" thickBot="1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</row>
    <row r="381" spans="1:48" ht="14" customHeight="1" thickBot="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</row>
    <row r="382" spans="1:48" ht="14" customHeight="1" thickBot="1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</row>
    <row r="383" spans="1:48" ht="14" customHeight="1" thickBot="1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</row>
    <row r="384" spans="1:48" ht="14" customHeight="1" thickBot="1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</row>
    <row r="385" spans="1:48" ht="14" customHeight="1" thickBot="1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</row>
    <row r="386" spans="1:48" ht="14" customHeight="1" thickBot="1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</row>
    <row r="387" spans="1:48" ht="14" customHeight="1" thickBot="1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</row>
    <row r="388" spans="1:48" ht="14" customHeight="1" thickBot="1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</row>
    <row r="389" spans="1:48" ht="14" customHeight="1" thickBot="1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</row>
    <row r="390" spans="1:48" ht="14" customHeight="1" thickBot="1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</row>
    <row r="391" spans="1:48" ht="14" customHeight="1" thickBot="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</row>
    <row r="392" spans="1:48" ht="14" customHeight="1" thickBot="1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</row>
    <row r="393" spans="1:48" ht="14" customHeight="1" thickBot="1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</row>
    <row r="394" spans="1:48" ht="14" customHeight="1" thickBot="1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</row>
    <row r="395" spans="1:48" ht="14" customHeight="1" thickBot="1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</row>
    <row r="396" spans="1:48" ht="14" customHeight="1" thickBot="1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</row>
    <row r="397" spans="1:48" ht="14" customHeight="1" thickBot="1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</row>
    <row r="398" spans="1:48" ht="14" customHeight="1" thickBot="1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</row>
    <row r="399" spans="1:48" ht="14" customHeight="1" thickBot="1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</row>
    <row r="400" spans="1:48" ht="14" customHeight="1" thickBot="1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</row>
    <row r="401" spans="1:48" ht="14" customHeight="1" thickBot="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</row>
    <row r="402" spans="1:48" ht="14" customHeight="1" thickBot="1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</row>
    <row r="403" spans="1:48" ht="14" customHeight="1" thickBot="1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</row>
    <row r="404" spans="1:48" ht="14" customHeight="1" thickBot="1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</row>
    <row r="405" spans="1:48" ht="14" customHeight="1" thickBot="1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</row>
    <row r="406" spans="1:48" ht="14" customHeight="1" thickBot="1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</row>
    <row r="407" spans="1:48" ht="14" customHeight="1" thickBot="1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</row>
    <row r="408" spans="1:48" ht="14" customHeight="1" thickBot="1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</row>
    <row r="409" spans="1:48" ht="14" customHeight="1" thickBot="1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</row>
    <row r="410" spans="1:48" ht="14" customHeight="1" thickBot="1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</row>
    <row r="411" spans="1:48" ht="14" customHeight="1" thickBot="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</row>
    <row r="412" spans="1:48" ht="14" customHeight="1" thickBot="1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</row>
    <row r="413" spans="1:48" ht="14" customHeight="1" thickBot="1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</row>
    <row r="414" spans="1:48" ht="14" customHeight="1" thickBot="1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  <c r="AV414" s="9"/>
    </row>
    <row r="415" spans="1:48" ht="14" customHeight="1" thickBot="1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  <c r="AV415" s="9"/>
    </row>
    <row r="416" spans="1:48" ht="14" customHeight="1" thickBot="1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9"/>
      <c r="AV416" s="9"/>
    </row>
    <row r="417" spans="1:48" ht="14" customHeight="1" thickBot="1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9"/>
      <c r="AV417" s="9"/>
    </row>
    <row r="418" spans="1:48" ht="14" customHeight="1" thickBot="1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9"/>
      <c r="AV418" s="9"/>
    </row>
    <row r="419" spans="1:48" ht="14" customHeight="1" thickBot="1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9"/>
      <c r="AV419" s="9"/>
    </row>
    <row r="420" spans="1:48" ht="14" customHeight="1" thickBot="1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9"/>
      <c r="AT420" s="9"/>
      <c r="AU420" s="9"/>
      <c r="AV420" s="9"/>
    </row>
    <row r="421" spans="1:48" ht="14" customHeight="1" thickBot="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  <c r="AS421" s="9"/>
      <c r="AT421" s="9"/>
      <c r="AU421" s="9"/>
      <c r="AV421" s="9"/>
    </row>
    <row r="422" spans="1:48" ht="14" customHeight="1" thickBot="1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  <c r="AT422" s="9"/>
      <c r="AU422" s="9"/>
      <c r="AV422" s="9"/>
    </row>
    <row r="423" spans="1:48" ht="14" customHeight="1" thickBot="1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9"/>
      <c r="AV423" s="9"/>
    </row>
    <row r="424" spans="1:48" ht="14" customHeight="1" thickBot="1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  <c r="AT424" s="9"/>
      <c r="AU424" s="9"/>
      <c r="AV424" s="9"/>
    </row>
    <row r="425" spans="1:48" ht="14" customHeight="1" thickBot="1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  <c r="AU425" s="9"/>
      <c r="AV425" s="9"/>
    </row>
    <row r="426" spans="1:48" ht="14" customHeight="1" thickBot="1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  <c r="AT426" s="9"/>
      <c r="AU426" s="9"/>
      <c r="AV426" s="9"/>
    </row>
    <row r="427" spans="1:48" ht="14" customHeight="1" thickBot="1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  <c r="AT427" s="9"/>
      <c r="AU427" s="9"/>
      <c r="AV427" s="9"/>
    </row>
    <row r="428" spans="1:48" ht="14" customHeight="1" thickBot="1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  <c r="AU428" s="9"/>
      <c r="AV428" s="9"/>
    </row>
    <row r="429" spans="1:48" ht="14" customHeight="1" thickBot="1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  <c r="AT429" s="9"/>
      <c r="AU429" s="9"/>
      <c r="AV429" s="9"/>
    </row>
    <row r="430" spans="1:48" ht="14" customHeight="1" thickBot="1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  <c r="AT430" s="9"/>
      <c r="AU430" s="9"/>
      <c r="AV430" s="9"/>
    </row>
    <row r="431" spans="1:48" ht="14" customHeight="1" thickBot="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  <c r="AS431" s="9"/>
      <c r="AT431" s="9"/>
      <c r="AU431" s="9"/>
      <c r="AV431" s="9"/>
    </row>
    <row r="432" spans="1:48" ht="14" customHeight="1" thickBot="1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  <c r="AT432" s="9"/>
      <c r="AU432" s="9"/>
      <c r="AV432" s="9"/>
    </row>
    <row r="433" spans="1:48" ht="14" customHeight="1" thickBot="1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  <c r="AS433" s="9"/>
      <c r="AT433" s="9"/>
      <c r="AU433" s="9"/>
      <c r="AV433" s="9"/>
    </row>
    <row r="434" spans="1:48" ht="14" customHeight="1" thickBot="1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  <c r="AS434" s="9"/>
      <c r="AT434" s="9"/>
      <c r="AU434" s="9"/>
      <c r="AV434" s="9"/>
    </row>
    <row r="435" spans="1:48" ht="14" customHeight="1" thickBot="1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  <c r="AS435" s="9"/>
      <c r="AT435" s="9"/>
      <c r="AU435" s="9"/>
      <c r="AV435" s="9"/>
    </row>
    <row r="436" spans="1:48" ht="14" customHeight="1" thickBot="1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9"/>
      <c r="AT436" s="9"/>
      <c r="AU436" s="9"/>
      <c r="AV436" s="9"/>
    </row>
    <row r="437" spans="1:48" ht="14" customHeight="1" thickBot="1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9"/>
      <c r="AT437" s="9"/>
      <c r="AU437" s="9"/>
      <c r="AV437" s="9"/>
    </row>
    <row r="438" spans="1:48" ht="14" customHeight="1" thickBot="1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  <c r="AT438" s="9"/>
      <c r="AU438" s="9"/>
      <c r="AV438" s="9"/>
    </row>
    <row r="439" spans="1:48" ht="14" customHeight="1" thickBot="1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  <c r="AT439" s="9"/>
      <c r="AU439" s="9"/>
      <c r="AV439" s="9"/>
    </row>
    <row r="440" spans="1:48" ht="14" customHeight="1" thickBot="1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9"/>
      <c r="AV440" s="9"/>
    </row>
    <row r="441" spans="1:48" ht="14" customHeight="1" thickBot="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  <c r="AT441" s="9"/>
      <c r="AU441" s="9"/>
      <c r="AV441" s="9"/>
    </row>
    <row r="442" spans="1:48" ht="14" customHeight="1" thickBot="1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9"/>
      <c r="AU442" s="9"/>
      <c r="AV442" s="9"/>
    </row>
    <row r="443" spans="1:48" ht="14" customHeight="1" thickBot="1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9"/>
      <c r="AT443" s="9"/>
      <c r="AU443" s="9"/>
      <c r="AV443" s="9"/>
    </row>
    <row r="444" spans="1:48" ht="14" customHeight="1" thickBot="1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  <c r="AT444" s="9"/>
      <c r="AU444" s="9"/>
      <c r="AV444" s="9"/>
    </row>
    <row r="445" spans="1:48" ht="14" customHeight="1" thickBot="1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9"/>
      <c r="AT445" s="9"/>
      <c r="AU445" s="9"/>
      <c r="AV445" s="9"/>
    </row>
    <row r="446" spans="1:48" ht="14" customHeight="1" thickBot="1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9"/>
      <c r="AT446" s="9"/>
      <c r="AU446" s="9"/>
      <c r="AV446" s="9"/>
    </row>
    <row r="447" spans="1:48" ht="14" customHeight="1" thickBot="1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9"/>
      <c r="AT447" s="9"/>
      <c r="AU447" s="9"/>
      <c r="AV447" s="9"/>
    </row>
    <row r="448" spans="1:48" ht="14" customHeight="1" thickBot="1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  <c r="AT448" s="9"/>
      <c r="AU448" s="9"/>
      <c r="AV448" s="9"/>
    </row>
    <row r="449" spans="1:48" ht="14" customHeight="1" thickBot="1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  <c r="AT449" s="9"/>
      <c r="AU449" s="9"/>
      <c r="AV449" s="9"/>
    </row>
    <row r="450" spans="1:48" ht="14" customHeight="1" thickBot="1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  <c r="AT450" s="9"/>
      <c r="AU450" s="9"/>
      <c r="AV450" s="9"/>
    </row>
    <row r="451" spans="1:48" ht="14" customHeight="1" thickBot="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  <c r="AU451" s="9"/>
      <c r="AV451" s="9"/>
    </row>
    <row r="452" spans="1:48" ht="14" customHeight="1" thickBot="1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  <c r="AT452" s="9"/>
      <c r="AU452" s="9"/>
      <c r="AV452" s="9"/>
    </row>
    <row r="453" spans="1:48" ht="14" customHeight="1" thickBot="1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  <c r="AT453" s="9"/>
      <c r="AU453" s="9"/>
      <c r="AV453" s="9"/>
    </row>
    <row r="454" spans="1:48" ht="14" customHeight="1" thickBot="1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9"/>
      <c r="AT454" s="9"/>
      <c r="AU454" s="9"/>
      <c r="AV454" s="9"/>
    </row>
    <row r="455" spans="1:48" ht="14" customHeight="1" thickBot="1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9"/>
      <c r="AT455" s="9"/>
      <c r="AU455" s="9"/>
      <c r="AV455" s="9"/>
    </row>
    <row r="456" spans="1:48" ht="14" customHeight="1" thickBot="1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  <c r="AT456" s="9"/>
      <c r="AU456" s="9"/>
      <c r="AV456" s="9"/>
    </row>
    <row r="457" spans="1:48" ht="14" customHeight="1" thickBot="1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9"/>
      <c r="AT457" s="9"/>
      <c r="AU457" s="9"/>
      <c r="AV457" s="9"/>
    </row>
    <row r="458" spans="1:48" ht="14" customHeight="1" thickBot="1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9"/>
      <c r="AT458" s="9"/>
      <c r="AU458" s="9"/>
      <c r="AV458" s="9"/>
    </row>
    <row r="459" spans="1:48" ht="14" customHeight="1" thickBot="1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  <c r="AT459" s="9"/>
      <c r="AU459" s="9"/>
      <c r="AV459" s="9"/>
    </row>
    <row r="460" spans="1:48" ht="14" customHeight="1" thickBot="1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  <c r="AT460" s="9"/>
      <c r="AU460" s="9"/>
      <c r="AV460" s="9"/>
    </row>
    <row r="461" spans="1:48" ht="14" customHeight="1" thickBot="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  <c r="AS461" s="9"/>
      <c r="AT461" s="9"/>
      <c r="AU461" s="9"/>
      <c r="AV461" s="9"/>
    </row>
    <row r="462" spans="1:48" ht="14" customHeight="1" thickBot="1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9"/>
      <c r="AU462" s="9"/>
      <c r="AV462" s="9"/>
    </row>
    <row r="463" spans="1:48" ht="14" customHeight="1" thickBot="1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  <c r="AT463" s="9"/>
      <c r="AU463" s="9"/>
      <c r="AV463" s="9"/>
    </row>
    <row r="464" spans="1:48" ht="14" customHeight="1" thickBot="1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  <c r="AU464" s="9"/>
      <c r="AV464" s="9"/>
    </row>
    <row r="465" spans="1:48" ht="14" customHeight="1" thickBot="1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9"/>
      <c r="AT465" s="9"/>
      <c r="AU465" s="9"/>
      <c r="AV465" s="9"/>
    </row>
    <row r="466" spans="1:48" ht="14" customHeight="1" thickBot="1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9"/>
      <c r="AT466" s="9"/>
      <c r="AU466" s="9"/>
      <c r="AV466" s="9"/>
    </row>
    <row r="467" spans="1:48" ht="14" customHeight="1" thickBot="1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9"/>
      <c r="AT467" s="9"/>
      <c r="AU467" s="9"/>
      <c r="AV467" s="9"/>
    </row>
    <row r="468" spans="1:48" ht="14" customHeight="1" thickBot="1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9"/>
      <c r="AT468" s="9"/>
      <c r="AU468" s="9"/>
      <c r="AV468" s="9"/>
    </row>
    <row r="469" spans="1:48" ht="14" customHeight="1" thickBot="1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  <c r="AR469" s="9"/>
      <c r="AS469" s="9"/>
      <c r="AT469" s="9"/>
      <c r="AU469" s="9"/>
      <c r="AV469" s="9"/>
    </row>
    <row r="470" spans="1:48" ht="14" customHeight="1" thickBot="1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9"/>
      <c r="AS470" s="9"/>
      <c r="AT470" s="9"/>
      <c r="AU470" s="9"/>
      <c r="AV470" s="9"/>
    </row>
    <row r="471" spans="1:48" ht="14" customHeight="1" thickBot="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  <c r="AS471" s="9"/>
      <c r="AT471" s="9"/>
      <c r="AU471" s="9"/>
      <c r="AV471" s="9"/>
    </row>
    <row r="472" spans="1:48" ht="14" customHeight="1" thickBot="1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  <c r="AS472" s="9"/>
      <c r="AT472" s="9"/>
      <c r="AU472" s="9"/>
      <c r="AV472" s="9"/>
    </row>
    <row r="473" spans="1:48" ht="14" customHeight="1" thickBot="1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9"/>
      <c r="AT473" s="9"/>
      <c r="AU473" s="9"/>
      <c r="AV473" s="9"/>
    </row>
    <row r="474" spans="1:48" ht="14" customHeight="1" thickBot="1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  <c r="AT474" s="9"/>
      <c r="AU474" s="9"/>
      <c r="AV474" s="9"/>
    </row>
    <row r="475" spans="1:48" ht="14" customHeight="1" thickBot="1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9"/>
      <c r="AT475" s="9"/>
      <c r="AU475" s="9"/>
      <c r="AV475" s="9"/>
    </row>
    <row r="476" spans="1:48" ht="14" customHeight="1" thickBot="1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9"/>
      <c r="AT476" s="9"/>
      <c r="AU476" s="9"/>
      <c r="AV476" s="9"/>
    </row>
    <row r="477" spans="1:48" ht="14" customHeight="1" thickBot="1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  <c r="AS477" s="9"/>
      <c r="AT477" s="9"/>
      <c r="AU477" s="9"/>
      <c r="AV477" s="9"/>
    </row>
    <row r="478" spans="1:48" ht="14" customHeight="1" thickBot="1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  <c r="AT478" s="9"/>
      <c r="AU478" s="9"/>
      <c r="AV478" s="9"/>
    </row>
    <row r="479" spans="1:48" ht="14" customHeight="1" thickBot="1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9"/>
      <c r="AT479" s="9"/>
      <c r="AU479" s="9"/>
      <c r="AV479" s="9"/>
    </row>
    <row r="480" spans="1:48" ht="14" customHeight="1" thickBot="1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9"/>
      <c r="AT480" s="9"/>
      <c r="AU480" s="9"/>
      <c r="AV480" s="9"/>
    </row>
    <row r="481" spans="1:48" ht="14" customHeight="1" thickBot="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  <c r="AT481" s="9"/>
      <c r="AU481" s="9"/>
      <c r="AV481" s="9"/>
    </row>
    <row r="482" spans="1:48" ht="14" customHeight="1" thickBot="1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  <c r="AT482" s="9"/>
      <c r="AU482" s="9"/>
      <c r="AV482" s="9"/>
    </row>
    <row r="483" spans="1:48" ht="14" customHeight="1" thickBot="1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9"/>
      <c r="AT483" s="9"/>
      <c r="AU483" s="9"/>
      <c r="AV483" s="9"/>
    </row>
    <row r="484" spans="1:48" ht="14" customHeight="1" thickBot="1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  <c r="AS484" s="9"/>
      <c r="AT484" s="9"/>
      <c r="AU484" s="9"/>
      <c r="AV484" s="9"/>
    </row>
    <row r="485" spans="1:48" ht="14" customHeight="1" thickBot="1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  <c r="AR485" s="9"/>
      <c r="AS485" s="9"/>
      <c r="AT485" s="9"/>
      <c r="AU485" s="9"/>
      <c r="AV485" s="9"/>
    </row>
    <row r="486" spans="1:48" ht="14" customHeight="1" thickBot="1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  <c r="AS486" s="9"/>
      <c r="AT486" s="9"/>
      <c r="AU486" s="9"/>
      <c r="AV486" s="9"/>
    </row>
    <row r="487" spans="1:48" ht="14" customHeight="1" thickBot="1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9"/>
      <c r="AS487" s="9"/>
      <c r="AT487" s="9"/>
      <c r="AU487" s="9"/>
      <c r="AV487" s="9"/>
    </row>
    <row r="488" spans="1:48" ht="14" customHeight="1" thickBot="1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  <c r="AS488" s="9"/>
      <c r="AT488" s="9"/>
      <c r="AU488" s="9"/>
      <c r="AV488" s="9"/>
    </row>
    <row r="489" spans="1:48" ht="14" customHeight="1" thickBot="1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  <c r="AS489" s="9"/>
      <c r="AT489" s="9"/>
      <c r="AU489" s="9"/>
      <c r="AV489" s="9"/>
    </row>
    <row r="490" spans="1:48" ht="14" customHeight="1" thickBot="1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  <c r="AS490" s="9"/>
      <c r="AT490" s="9"/>
      <c r="AU490" s="9"/>
      <c r="AV490" s="9"/>
    </row>
    <row r="491" spans="1:48" ht="14" customHeight="1" thickBot="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  <c r="AR491" s="9"/>
      <c r="AS491" s="9"/>
      <c r="AT491" s="9"/>
      <c r="AU491" s="9"/>
      <c r="AV491" s="9"/>
    </row>
    <row r="492" spans="1:48" ht="14" customHeight="1" thickBot="1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  <c r="AR492" s="9"/>
      <c r="AS492" s="9"/>
      <c r="AT492" s="9"/>
      <c r="AU492" s="9"/>
      <c r="AV492" s="9"/>
    </row>
    <row r="493" spans="1:48" ht="14" customHeight="1" thickBot="1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  <c r="AR493" s="9"/>
      <c r="AS493" s="9"/>
      <c r="AT493" s="9"/>
      <c r="AU493" s="9"/>
      <c r="AV493" s="9"/>
    </row>
    <row r="494" spans="1:48" ht="14" customHeight="1" thickBot="1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  <c r="AR494" s="9"/>
      <c r="AS494" s="9"/>
      <c r="AT494" s="9"/>
      <c r="AU494" s="9"/>
      <c r="AV494" s="9"/>
    </row>
    <row r="495" spans="1:48" ht="14" customHeight="1" thickBot="1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  <c r="AQ495" s="9"/>
      <c r="AR495" s="9"/>
      <c r="AS495" s="9"/>
      <c r="AT495" s="9"/>
      <c r="AU495" s="9"/>
      <c r="AV495" s="9"/>
    </row>
    <row r="496" spans="1:48" ht="14" customHeight="1" thickBot="1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  <c r="AQ496" s="9"/>
      <c r="AR496" s="9"/>
      <c r="AS496" s="9"/>
      <c r="AT496" s="9"/>
      <c r="AU496" s="9"/>
      <c r="AV496" s="9"/>
    </row>
    <row r="497" spans="1:48" ht="14" customHeight="1" thickBot="1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  <c r="AQ497" s="9"/>
      <c r="AR497" s="9"/>
      <c r="AS497" s="9"/>
      <c r="AT497" s="9"/>
      <c r="AU497" s="9"/>
      <c r="AV497" s="9"/>
    </row>
    <row r="498" spans="1:48" ht="14" customHeight="1" thickBot="1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  <c r="AQ498" s="9"/>
      <c r="AR498" s="9"/>
      <c r="AS498" s="9"/>
      <c r="AT498" s="9"/>
      <c r="AU498" s="9"/>
      <c r="AV498" s="9"/>
    </row>
    <row r="499" spans="1:48" ht="14" customHeight="1" thickBot="1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  <c r="AM499" s="9"/>
      <c r="AN499" s="9"/>
      <c r="AO499" s="9"/>
      <c r="AP499" s="9"/>
      <c r="AQ499" s="9"/>
      <c r="AR499" s="9"/>
      <c r="AS499" s="9"/>
      <c r="AT499" s="9"/>
      <c r="AU499" s="9"/>
      <c r="AV499" s="9"/>
    </row>
    <row r="500" spans="1:48" ht="14" customHeight="1" thickBot="1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  <c r="AL500" s="9"/>
      <c r="AM500" s="9"/>
      <c r="AN500" s="9"/>
      <c r="AO500" s="9"/>
      <c r="AP500" s="9"/>
      <c r="AQ500" s="9"/>
      <c r="AR500" s="9"/>
      <c r="AS500" s="9"/>
      <c r="AT500" s="9"/>
      <c r="AU500" s="9"/>
      <c r="AV500" s="9"/>
    </row>
    <row r="501" spans="1:48" ht="14" customHeight="1" thickBot="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9"/>
      <c r="AL501" s="9"/>
      <c r="AM501" s="9"/>
      <c r="AN501" s="9"/>
      <c r="AO501" s="9"/>
      <c r="AP501" s="9"/>
      <c r="AQ501" s="9"/>
      <c r="AR501" s="9"/>
      <c r="AS501" s="9"/>
      <c r="AT501" s="9"/>
      <c r="AU501" s="9"/>
      <c r="AV501" s="9"/>
    </row>
    <row r="502" spans="1:48" ht="14" customHeight="1" thickBot="1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9"/>
      <c r="AL502" s="9"/>
      <c r="AM502" s="9"/>
      <c r="AN502" s="9"/>
      <c r="AO502" s="9"/>
      <c r="AP502" s="9"/>
      <c r="AQ502" s="9"/>
      <c r="AR502" s="9"/>
      <c r="AS502" s="9"/>
      <c r="AT502" s="9"/>
      <c r="AU502" s="9"/>
      <c r="AV502" s="9"/>
    </row>
    <row r="503" spans="1:48" ht="14" customHeight="1" thickBot="1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9"/>
      <c r="AL503" s="9"/>
      <c r="AM503" s="9"/>
      <c r="AN503" s="9"/>
      <c r="AO503" s="9"/>
      <c r="AP503" s="9"/>
      <c r="AQ503" s="9"/>
      <c r="AR503" s="9"/>
      <c r="AS503" s="9"/>
      <c r="AT503" s="9"/>
      <c r="AU503" s="9"/>
      <c r="AV503" s="9"/>
    </row>
    <row r="504" spans="1:48" ht="14" customHeight="1" thickBot="1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9"/>
      <c r="AL504" s="9"/>
      <c r="AM504" s="9"/>
      <c r="AN504" s="9"/>
      <c r="AO504" s="9"/>
      <c r="AP504" s="9"/>
      <c r="AQ504" s="9"/>
      <c r="AR504" s="9"/>
      <c r="AS504" s="9"/>
      <c r="AT504" s="9"/>
      <c r="AU504" s="9"/>
      <c r="AV504" s="9"/>
    </row>
    <row r="505" spans="1:48" ht="14" customHeight="1" thickBot="1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9"/>
      <c r="AL505" s="9"/>
      <c r="AM505" s="9"/>
      <c r="AN505" s="9"/>
      <c r="AO505" s="9"/>
      <c r="AP505" s="9"/>
      <c r="AQ505" s="9"/>
      <c r="AR505" s="9"/>
      <c r="AS505" s="9"/>
      <c r="AT505" s="9"/>
      <c r="AU505" s="9"/>
      <c r="AV505" s="9"/>
    </row>
    <row r="506" spans="1:48" ht="14" customHeight="1" thickBot="1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9"/>
      <c r="AK506" s="9"/>
      <c r="AL506" s="9"/>
      <c r="AM506" s="9"/>
      <c r="AN506" s="9"/>
      <c r="AO506" s="9"/>
      <c r="AP506" s="9"/>
      <c r="AQ506" s="9"/>
      <c r="AR506" s="9"/>
      <c r="AS506" s="9"/>
      <c r="AT506" s="9"/>
      <c r="AU506" s="9"/>
      <c r="AV506" s="9"/>
    </row>
    <row r="507" spans="1:48" ht="14" customHeight="1" thickBot="1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9"/>
      <c r="AL507" s="9"/>
      <c r="AM507" s="9"/>
      <c r="AN507" s="9"/>
      <c r="AO507" s="9"/>
      <c r="AP507" s="9"/>
      <c r="AQ507" s="9"/>
      <c r="AR507" s="9"/>
      <c r="AS507" s="9"/>
      <c r="AT507" s="9"/>
      <c r="AU507" s="9"/>
      <c r="AV507" s="9"/>
    </row>
    <row r="508" spans="1:48" ht="14" customHeight="1" thickBot="1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9"/>
      <c r="AL508" s="9"/>
      <c r="AM508" s="9"/>
      <c r="AN508" s="9"/>
      <c r="AO508" s="9"/>
      <c r="AP508" s="9"/>
      <c r="AQ508" s="9"/>
      <c r="AR508" s="9"/>
      <c r="AS508" s="9"/>
      <c r="AT508" s="9"/>
      <c r="AU508" s="9"/>
      <c r="AV508" s="9"/>
    </row>
    <row r="509" spans="1:48" ht="14" customHeight="1" thickBot="1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9"/>
      <c r="AK509" s="9"/>
      <c r="AL509" s="9"/>
      <c r="AM509" s="9"/>
      <c r="AN509" s="9"/>
      <c r="AO509" s="9"/>
      <c r="AP509" s="9"/>
      <c r="AQ509" s="9"/>
      <c r="AR509" s="9"/>
      <c r="AS509" s="9"/>
      <c r="AT509" s="9"/>
      <c r="AU509" s="9"/>
      <c r="AV509" s="9"/>
    </row>
    <row r="510" spans="1:48" ht="14" customHeight="1" thickBot="1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9"/>
      <c r="AK510" s="9"/>
      <c r="AL510" s="9"/>
      <c r="AM510" s="9"/>
      <c r="AN510" s="9"/>
      <c r="AO510" s="9"/>
      <c r="AP510" s="9"/>
      <c r="AQ510" s="9"/>
      <c r="AR510" s="9"/>
      <c r="AS510" s="9"/>
      <c r="AT510" s="9"/>
      <c r="AU510" s="9"/>
      <c r="AV510" s="9"/>
    </row>
    <row r="511" spans="1:48" ht="14" customHeight="1" thickBot="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9"/>
      <c r="AK511" s="9"/>
      <c r="AL511" s="9"/>
      <c r="AM511" s="9"/>
      <c r="AN511" s="9"/>
      <c r="AO511" s="9"/>
      <c r="AP511" s="9"/>
      <c r="AQ511" s="9"/>
      <c r="AR511" s="9"/>
      <c r="AS511" s="9"/>
      <c r="AT511" s="9"/>
      <c r="AU511" s="9"/>
      <c r="AV511" s="9"/>
    </row>
    <row r="512" spans="1:48" ht="14" customHeight="1" thickBot="1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9"/>
      <c r="AL512" s="9"/>
      <c r="AM512" s="9"/>
      <c r="AN512" s="9"/>
      <c r="AO512" s="9"/>
      <c r="AP512" s="9"/>
      <c r="AQ512" s="9"/>
      <c r="AR512" s="9"/>
      <c r="AS512" s="9"/>
      <c r="AT512" s="9"/>
      <c r="AU512" s="9"/>
      <c r="AV512" s="9"/>
    </row>
    <row r="513" spans="1:48" ht="14" customHeight="1" thickBot="1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9"/>
      <c r="AK513" s="9"/>
      <c r="AL513" s="9"/>
      <c r="AM513" s="9"/>
      <c r="AN513" s="9"/>
      <c r="AO513" s="9"/>
      <c r="AP513" s="9"/>
      <c r="AQ513" s="9"/>
      <c r="AR513" s="9"/>
      <c r="AS513" s="9"/>
      <c r="AT513" s="9"/>
      <c r="AU513" s="9"/>
      <c r="AV513" s="9"/>
    </row>
    <row r="514" spans="1:48" ht="14" customHeight="1" thickBot="1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9"/>
      <c r="AK514" s="9"/>
      <c r="AL514" s="9"/>
      <c r="AM514" s="9"/>
      <c r="AN514" s="9"/>
      <c r="AO514" s="9"/>
      <c r="AP514" s="9"/>
      <c r="AQ514" s="9"/>
      <c r="AR514" s="9"/>
      <c r="AS514" s="9"/>
      <c r="AT514" s="9"/>
      <c r="AU514" s="9"/>
      <c r="AV514" s="9"/>
    </row>
    <row r="515" spans="1:48" ht="14" customHeight="1" thickBot="1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9"/>
      <c r="AK515" s="9"/>
      <c r="AL515" s="9"/>
      <c r="AM515" s="9"/>
      <c r="AN515" s="9"/>
      <c r="AO515" s="9"/>
      <c r="AP515" s="9"/>
      <c r="AQ515" s="9"/>
      <c r="AR515" s="9"/>
      <c r="AS515" s="9"/>
      <c r="AT515" s="9"/>
      <c r="AU515" s="9"/>
      <c r="AV515" s="9"/>
    </row>
    <row r="516" spans="1:48" ht="14" customHeight="1" thickBot="1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9"/>
      <c r="AL516" s="9"/>
      <c r="AM516" s="9"/>
      <c r="AN516" s="9"/>
      <c r="AO516" s="9"/>
      <c r="AP516" s="9"/>
      <c r="AQ516" s="9"/>
      <c r="AR516" s="9"/>
      <c r="AS516" s="9"/>
      <c r="AT516" s="9"/>
      <c r="AU516" s="9"/>
      <c r="AV516" s="9"/>
    </row>
    <row r="517" spans="1:48" ht="14" customHeight="1" thickBot="1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9"/>
      <c r="AL517" s="9"/>
      <c r="AM517" s="9"/>
      <c r="AN517" s="9"/>
      <c r="AO517" s="9"/>
      <c r="AP517" s="9"/>
      <c r="AQ517" s="9"/>
      <c r="AR517" s="9"/>
      <c r="AS517" s="9"/>
      <c r="AT517" s="9"/>
      <c r="AU517" s="9"/>
      <c r="AV517" s="9"/>
    </row>
    <row r="518" spans="1:48" ht="14" customHeight="1" thickBot="1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9"/>
      <c r="AK518" s="9"/>
      <c r="AL518" s="9"/>
      <c r="AM518" s="9"/>
      <c r="AN518" s="9"/>
      <c r="AO518" s="9"/>
      <c r="AP518" s="9"/>
      <c r="AQ518" s="9"/>
      <c r="AR518" s="9"/>
      <c r="AS518" s="9"/>
      <c r="AT518" s="9"/>
      <c r="AU518" s="9"/>
      <c r="AV518" s="9"/>
    </row>
    <row r="519" spans="1:48" ht="14" customHeight="1" thickBot="1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9"/>
      <c r="AK519" s="9"/>
      <c r="AL519" s="9"/>
      <c r="AM519" s="9"/>
      <c r="AN519" s="9"/>
      <c r="AO519" s="9"/>
      <c r="AP519" s="9"/>
      <c r="AQ519" s="9"/>
      <c r="AR519" s="9"/>
      <c r="AS519" s="9"/>
      <c r="AT519" s="9"/>
      <c r="AU519" s="9"/>
      <c r="AV519" s="9"/>
    </row>
    <row r="520" spans="1:48" ht="14" customHeight="1" thickBot="1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9"/>
      <c r="AL520" s="9"/>
      <c r="AM520" s="9"/>
      <c r="AN520" s="9"/>
      <c r="AO520" s="9"/>
      <c r="AP520" s="9"/>
      <c r="AQ520" s="9"/>
      <c r="AR520" s="9"/>
      <c r="AS520" s="9"/>
      <c r="AT520" s="9"/>
      <c r="AU520" s="9"/>
      <c r="AV520" s="9"/>
    </row>
    <row r="521" spans="1:48" ht="14" customHeight="1" thickBot="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9"/>
      <c r="AK521" s="9"/>
      <c r="AL521" s="9"/>
      <c r="AM521" s="9"/>
      <c r="AN521" s="9"/>
      <c r="AO521" s="9"/>
      <c r="AP521" s="9"/>
      <c r="AQ521" s="9"/>
      <c r="AR521" s="9"/>
      <c r="AS521" s="9"/>
      <c r="AT521" s="9"/>
      <c r="AU521" s="9"/>
      <c r="AV521" s="9"/>
    </row>
    <row r="522" spans="1:48" ht="14" customHeight="1" thickBot="1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9"/>
      <c r="AL522" s="9"/>
      <c r="AM522" s="9"/>
      <c r="AN522" s="9"/>
      <c r="AO522" s="9"/>
      <c r="AP522" s="9"/>
      <c r="AQ522" s="9"/>
      <c r="AR522" s="9"/>
      <c r="AS522" s="9"/>
      <c r="AT522" s="9"/>
      <c r="AU522" s="9"/>
      <c r="AV522" s="9"/>
    </row>
    <row r="523" spans="1:48" ht="14" customHeight="1" thickBot="1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9"/>
      <c r="AK523" s="9"/>
      <c r="AL523" s="9"/>
      <c r="AM523" s="9"/>
      <c r="AN523" s="9"/>
      <c r="AO523" s="9"/>
      <c r="AP523" s="9"/>
      <c r="AQ523" s="9"/>
      <c r="AR523" s="9"/>
      <c r="AS523" s="9"/>
      <c r="AT523" s="9"/>
      <c r="AU523" s="9"/>
      <c r="AV523" s="9"/>
    </row>
    <row r="524" spans="1:48" ht="14" customHeight="1" thickBot="1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9"/>
      <c r="AL524" s="9"/>
      <c r="AM524" s="9"/>
      <c r="AN524" s="9"/>
      <c r="AO524" s="9"/>
      <c r="AP524" s="9"/>
      <c r="AQ524" s="9"/>
      <c r="AR524" s="9"/>
      <c r="AS524" s="9"/>
      <c r="AT524" s="9"/>
      <c r="AU524" s="9"/>
      <c r="AV524" s="9"/>
    </row>
    <row r="525" spans="1:48" ht="14" customHeight="1" thickBot="1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  <c r="AJ525" s="9"/>
      <c r="AK525" s="9"/>
      <c r="AL525" s="9"/>
      <c r="AM525" s="9"/>
      <c r="AN525" s="9"/>
      <c r="AO525" s="9"/>
      <c r="AP525" s="9"/>
      <c r="AQ525" s="9"/>
      <c r="AR525" s="9"/>
      <c r="AS525" s="9"/>
      <c r="AT525" s="9"/>
      <c r="AU525" s="9"/>
      <c r="AV525" s="9"/>
    </row>
    <row r="526" spans="1:48" ht="14" customHeight="1" thickBot="1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9"/>
      <c r="AK526" s="9"/>
      <c r="AL526" s="9"/>
      <c r="AM526" s="9"/>
      <c r="AN526" s="9"/>
      <c r="AO526" s="9"/>
      <c r="AP526" s="9"/>
      <c r="AQ526" s="9"/>
      <c r="AR526" s="9"/>
      <c r="AS526" s="9"/>
      <c r="AT526" s="9"/>
      <c r="AU526" s="9"/>
      <c r="AV526" s="9"/>
    </row>
    <row r="527" spans="1:48" ht="14" customHeight="1" thickBot="1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9"/>
      <c r="AK527" s="9"/>
      <c r="AL527" s="9"/>
      <c r="AM527" s="9"/>
      <c r="AN527" s="9"/>
      <c r="AO527" s="9"/>
      <c r="AP527" s="9"/>
      <c r="AQ527" s="9"/>
      <c r="AR527" s="9"/>
      <c r="AS527" s="9"/>
      <c r="AT527" s="9"/>
      <c r="AU527" s="9"/>
      <c r="AV527" s="9"/>
    </row>
    <row r="528" spans="1:48" ht="14" customHeight="1" thickBot="1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9"/>
      <c r="AK528" s="9"/>
      <c r="AL528" s="9"/>
      <c r="AM528" s="9"/>
      <c r="AN528" s="9"/>
      <c r="AO528" s="9"/>
      <c r="AP528" s="9"/>
      <c r="AQ528" s="9"/>
      <c r="AR528" s="9"/>
      <c r="AS528" s="9"/>
      <c r="AT528" s="9"/>
      <c r="AU528" s="9"/>
      <c r="AV528" s="9"/>
    </row>
    <row r="529" spans="1:48" ht="14" customHeight="1" thickBot="1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9"/>
      <c r="AK529" s="9"/>
      <c r="AL529" s="9"/>
      <c r="AM529" s="9"/>
      <c r="AN529" s="9"/>
      <c r="AO529" s="9"/>
      <c r="AP529" s="9"/>
      <c r="AQ529" s="9"/>
      <c r="AR529" s="9"/>
      <c r="AS529" s="9"/>
      <c r="AT529" s="9"/>
      <c r="AU529" s="9"/>
      <c r="AV529" s="9"/>
    </row>
    <row r="530" spans="1:48" ht="14" customHeight="1" thickBot="1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9"/>
      <c r="AK530" s="9"/>
      <c r="AL530" s="9"/>
      <c r="AM530" s="9"/>
      <c r="AN530" s="9"/>
      <c r="AO530" s="9"/>
      <c r="AP530" s="9"/>
      <c r="AQ530" s="9"/>
      <c r="AR530" s="9"/>
      <c r="AS530" s="9"/>
      <c r="AT530" s="9"/>
      <c r="AU530" s="9"/>
      <c r="AV530" s="9"/>
    </row>
    <row r="531" spans="1:48" ht="14" customHeight="1" thickBot="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9"/>
      <c r="AK531" s="9"/>
      <c r="AL531" s="9"/>
      <c r="AM531" s="9"/>
      <c r="AN531" s="9"/>
      <c r="AO531" s="9"/>
      <c r="AP531" s="9"/>
      <c r="AQ531" s="9"/>
      <c r="AR531" s="9"/>
      <c r="AS531" s="9"/>
      <c r="AT531" s="9"/>
      <c r="AU531" s="9"/>
      <c r="AV531" s="9"/>
    </row>
    <row r="532" spans="1:48" ht="14" customHeight="1" thickBot="1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9"/>
      <c r="AK532" s="9"/>
      <c r="AL532" s="9"/>
      <c r="AM532" s="9"/>
      <c r="AN532" s="9"/>
      <c r="AO532" s="9"/>
      <c r="AP532" s="9"/>
      <c r="AQ532" s="9"/>
      <c r="AR532" s="9"/>
      <c r="AS532" s="9"/>
      <c r="AT532" s="9"/>
      <c r="AU532" s="9"/>
      <c r="AV532" s="9"/>
    </row>
    <row r="533" spans="1:48" ht="14" customHeight="1" thickBot="1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9"/>
      <c r="AK533" s="9"/>
      <c r="AL533" s="9"/>
      <c r="AM533" s="9"/>
      <c r="AN533" s="9"/>
      <c r="AO533" s="9"/>
      <c r="AP533" s="9"/>
      <c r="AQ533" s="9"/>
      <c r="AR533" s="9"/>
      <c r="AS533" s="9"/>
      <c r="AT533" s="9"/>
      <c r="AU533" s="9"/>
      <c r="AV533" s="9"/>
    </row>
    <row r="534" spans="1:48" ht="14" customHeight="1" thickBot="1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9"/>
      <c r="AK534" s="9"/>
      <c r="AL534" s="9"/>
      <c r="AM534" s="9"/>
      <c r="AN534" s="9"/>
      <c r="AO534" s="9"/>
      <c r="AP534" s="9"/>
      <c r="AQ534" s="9"/>
      <c r="AR534" s="9"/>
      <c r="AS534" s="9"/>
      <c r="AT534" s="9"/>
      <c r="AU534" s="9"/>
      <c r="AV534" s="9"/>
    </row>
    <row r="535" spans="1:48" ht="14" customHeight="1" thickBot="1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9"/>
      <c r="AK535" s="9"/>
      <c r="AL535" s="9"/>
      <c r="AM535" s="9"/>
      <c r="AN535" s="9"/>
      <c r="AO535" s="9"/>
      <c r="AP535" s="9"/>
      <c r="AQ535" s="9"/>
      <c r="AR535" s="9"/>
      <c r="AS535" s="9"/>
      <c r="AT535" s="9"/>
      <c r="AU535" s="9"/>
      <c r="AV535" s="9"/>
    </row>
    <row r="536" spans="1:48" ht="14" customHeight="1" thickBot="1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9"/>
      <c r="AK536" s="9"/>
      <c r="AL536" s="9"/>
      <c r="AM536" s="9"/>
      <c r="AN536" s="9"/>
      <c r="AO536" s="9"/>
      <c r="AP536" s="9"/>
      <c r="AQ536" s="9"/>
      <c r="AR536" s="9"/>
      <c r="AS536" s="9"/>
      <c r="AT536" s="9"/>
      <c r="AU536" s="9"/>
      <c r="AV536" s="9"/>
    </row>
    <row r="537" spans="1:48" ht="14" customHeight="1" thickBot="1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  <c r="AJ537" s="9"/>
      <c r="AK537" s="9"/>
      <c r="AL537" s="9"/>
      <c r="AM537" s="9"/>
      <c r="AN537" s="9"/>
      <c r="AO537" s="9"/>
      <c r="AP537" s="9"/>
      <c r="AQ537" s="9"/>
      <c r="AR537" s="9"/>
      <c r="AS537" s="9"/>
      <c r="AT537" s="9"/>
      <c r="AU537" s="9"/>
      <c r="AV537" s="9"/>
    </row>
    <row r="538" spans="1:48" ht="14" customHeight="1" thickBot="1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9"/>
      <c r="AK538" s="9"/>
      <c r="AL538" s="9"/>
      <c r="AM538" s="9"/>
      <c r="AN538" s="9"/>
      <c r="AO538" s="9"/>
      <c r="AP538" s="9"/>
      <c r="AQ538" s="9"/>
      <c r="AR538" s="9"/>
      <c r="AS538" s="9"/>
      <c r="AT538" s="9"/>
      <c r="AU538" s="9"/>
      <c r="AV538" s="9"/>
    </row>
    <row r="539" spans="1:48" ht="14" customHeight="1" thickBot="1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9"/>
      <c r="AK539" s="9"/>
      <c r="AL539" s="9"/>
      <c r="AM539" s="9"/>
      <c r="AN539" s="9"/>
      <c r="AO539" s="9"/>
      <c r="AP539" s="9"/>
      <c r="AQ539" s="9"/>
      <c r="AR539" s="9"/>
      <c r="AS539" s="9"/>
      <c r="AT539" s="9"/>
      <c r="AU539" s="9"/>
      <c r="AV539" s="9"/>
    </row>
    <row r="540" spans="1:48" ht="14" customHeight="1" thickBot="1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9"/>
      <c r="AK540" s="9"/>
      <c r="AL540" s="9"/>
      <c r="AM540" s="9"/>
      <c r="AN540" s="9"/>
      <c r="AO540" s="9"/>
      <c r="AP540" s="9"/>
      <c r="AQ540" s="9"/>
      <c r="AR540" s="9"/>
      <c r="AS540" s="9"/>
      <c r="AT540" s="9"/>
      <c r="AU540" s="9"/>
      <c r="AV540" s="9"/>
    </row>
    <row r="541" spans="1:48" ht="14" customHeight="1" thickBot="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9"/>
      <c r="AK541" s="9"/>
      <c r="AL541" s="9"/>
      <c r="AM541" s="9"/>
      <c r="AN541" s="9"/>
      <c r="AO541" s="9"/>
      <c r="AP541" s="9"/>
      <c r="AQ541" s="9"/>
      <c r="AR541" s="9"/>
      <c r="AS541" s="9"/>
      <c r="AT541" s="9"/>
      <c r="AU541" s="9"/>
      <c r="AV541" s="9"/>
    </row>
    <row r="542" spans="1:48" ht="14" customHeight="1" thickBot="1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9"/>
      <c r="AK542" s="9"/>
      <c r="AL542" s="9"/>
      <c r="AM542" s="9"/>
      <c r="AN542" s="9"/>
      <c r="AO542" s="9"/>
      <c r="AP542" s="9"/>
      <c r="AQ542" s="9"/>
      <c r="AR542" s="9"/>
      <c r="AS542" s="9"/>
      <c r="AT542" s="9"/>
      <c r="AU542" s="9"/>
      <c r="AV542" s="9"/>
    </row>
    <row r="543" spans="1:48" ht="14" customHeight="1" thickBot="1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9"/>
      <c r="AL543" s="9"/>
      <c r="AM543" s="9"/>
      <c r="AN543" s="9"/>
      <c r="AO543" s="9"/>
      <c r="AP543" s="9"/>
      <c r="AQ543" s="9"/>
      <c r="AR543" s="9"/>
      <c r="AS543" s="9"/>
      <c r="AT543" s="9"/>
      <c r="AU543" s="9"/>
      <c r="AV543" s="9"/>
    </row>
    <row r="544" spans="1:48" ht="14" customHeight="1" thickBot="1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9"/>
      <c r="AL544" s="9"/>
      <c r="AM544" s="9"/>
      <c r="AN544" s="9"/>
      <c r="AO544" s="9"/>
      <c r="AP544" s="9"/>
      <c r="AQ544" s="9"/>
      <c r="AR544" s="9"/>
      <c r="AS544" s="9"/>
      <c r="AT544" s="9"/>
      <c r="AU544" s="9"/>
      <c r="AV544" s="9"/>
    </row>
    <row r="545" spans="1:48" ht="14" customHeight="1" thickBot="1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9"/>
      <c r="AL545" s="9"/>
      <c r="AM545" s="9"/>
      <c r="AN545" s="9"/>
      <c r="AO545" s="9"/>
      <c r="AP545" s="9"/>
      <c r="AQ545" s="9"/>
      <c r="AR545" s="9"/>
      <c r="AS545" s="9"/>
      <c r="AT545" s="9"/>
      <c r="AU545" s="9"/>
      <c r="AV545" s="9"/>
    </row>
    <row r="546" spans="1:48" ht="14" customHeight="1" thickBot="1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9"/>
      <c r="AL546" s="9"/>
      <c r="AM546" s="9"/>
      <c r="AN546" s="9"/>
      <c r="AO546" s="9"/>
      <c r="AP546" s="9"/>
      <c r="AQ546" s="9"/>
      <c r="AR546" s="9"/>
      <c r="AS546" s="9"/>
      <c r="AT546" s="9"/>
      <c r="AU546" s="9"/>
      <c r="AV546" s="9"/>
    </row>
    <row r="547" spans="1:48" ht="14" customHeight="1" thickBot="1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9"/>
      <c r="AK547" s="9"/>
      <c r="AL547" s="9"/>
      <c r="AM547" s="9"/>
      <c r="AN547" s="9"/>
      <c r="AO547" s="9"/>
      <c r="AP547" s="9"/>
      <c r="AQ547" s="9"/>
      <c r="AR547" s="9"/>
      <c r="AS547" s="9"/>
      <c r="AT547" s="9"/>
      <c r="AU547" s="9"/>
      <c r="AV547" s="9"/>
    </row>
    <row r="548" spans="1:48" ht="14" customHeight="1" thickBot="1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9"/>
      <c r="AL548" s="9"/>
      <c r="AM548" s="9"/>
      <c r="AN548" s="9"/>
      <c r="AO548" s="9"/>
      <c r="AP548" s="9"/>
      <c r="AQ548" s="9"/>
      <c r="AR548" s="9"/>
      <c r="AS548" s="9"/>
      <c r="AT548" s="9"/>
      <c r="AU548" s="9"/>
      <c r="AV548" s="9"/>
    </row>
    <row r="549" spans="1:48" ht="14" customHeight="1" thickBot="1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9"/>
      <c r="AK549" s="9"/>
      <c r="AL549" s="9"/>
      <c r="AM549" s="9"/>
      <c r="AN549" s="9"/>
      <c r="AO549" s="9"/>
      <c r="AP549" s="9"/>
      <c r="AQ549" s="9"/>
      <c r="AR549" s="9"/>
      <c r="AS549" s="9"/>
      <c r="AT549" s="9"/>
      <c r="AU549" s="9"/>
      <c r="AV549" s="9"/>
    </row>
    <row r="550" spans="1:48" ht="14" customHeight="1" thickBot="1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9"/>
      <c r="AL550" s="9"/>
      <c r="AM550" s="9"/>
      <c r="AN550" s="9"/>
      <c r="AO550" s="9"/>
      <c r="AP550" s="9"/>
      <c r="AQ550" s="9"/>
      <c r="AR550" s="9"/>
      <c r="AS550" s="9"/>
      <c r="AT550" s="9"/>
      <c r="AU550" s="9"/>
      <c r="AV550" s="9"/>
    </row>
    <row r="551" spans="1:48" ht="14" customHeight="1" thickBot="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9"/>
      <c r="AK551" s="9"/>
      <c r="AL551" s="9"/>
      <c r="AM551" s="9"/>
      <c r="AN551" s="9"/>
      <c r="AO551" s="9"/>
      <c r="AP551" s="9"/>
      <c r="AQ551" s="9"/>
      <c r="AR551" s="9"/>
      <c r="AS551" s="9"/>
      <c r="AT551" s="9"/>
      <c r="AU551" s="9"/>
      <c r="AV551" s="9"/>
    </row>
    <row r="552" spans="1:48" ht="14" customHeight="1" thickBot="1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9"/>
      <c r="AK552" s="9"/>
      <c r="AL552" s="9"/>
      <c r="AM552" s="9"/>
      <c r="AN552" s="9"/>
      <c r="AO552" s="9"/>
      <c r="AP552" s="9"/>
      <c r="AQ552" s="9"/>
      <c r="AR552" s="9"/>
      <c r="AS552" s="9"/>
      <c r="AT552" s="9"/>
      <c r="AU552" s="9"/>
      <c r="AV552" s="9"/>
    </row>
    <row r="553" spans="1:48" ht="14" customHeight="1" thickBot="1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9"/>
      <c r="AK553" s="9"/>
      <c r="AL553" s="9"/>
      <c r="AM553" s="9"/>
      <c r="AN553" s="9"/>
      <c r="AO553" s="9"/>
      <c r="AP553" s="9"/>
      <c r="AQ553" s="9"/>
      <c r="AR553" s="9"/>
      <c r="AS553" s="9"/>
      <c r="AT553" s="9"/>
      <c r="AU553" s="9"/>
      <c r="AV553" s="9"/>
    </row>
    <row r="554" spans="1:48" ht="14" customHeight="1" thickBot="1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9"/>
      <c r="AK554" s="9"/>
      <c r="AL554" s="9"/>
      <c r="AM554" s="9"/>
      <c r="AN554" s="9"/>
      <c r="AO554" s="9"/>
      <c r="AP554" s="9"/>
      <c r="AQ554" s="9"/>
      <c r="AR554" s="9"/>
      <c r="AS554" s="9"/>
      <c r="AT554" s="9"/>
      <c r="AU554" s="9"/>
      <c r="AV554" s="9"/>
    </row>
    <row r="555" spans="1:48" ht="14" customHeight="1" thickBot="1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9"/>
      <c r="AK555" s="9"/>
      <c r="AL555" s="9"/>
      <c r="AM555" s="9"/>
      <c r="AN555" s="9"/>
      <c r="AO555" s="9"/>
      <c r="AP555" s="9"/>
      <c r="AQ555" s="9"/>
      <c r="AR555" s="9"/>
      <c r="AS555" s="9"/>
      <c r="AT555" s="9"/>
      <c r="AU555" s="9"/>
      <c r="AV555" s="9"/>
    </row>
    <row r="556" spans="1:48" ht="14" customHeight="1" thickBot="1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9"/>
      <c r="AK556" s="9"/>
      <c r="AL556" s="9"/>
      <c r="AM556" s="9"/>
      <c r="AN556" s="9"/>
      <c r="AO556" s="9"/>
      <c r="AP556" s="9"/>
      <c r="AQ556" s="9"/>
      <c r="AR556" s="9"/>
      <c r="AS556" s="9"/>
      <c r="AT556" s="9"/>
      <c r="AU556" s="9"/>
      <c r="AV556" s="9"/>
    </row>
    <row r="557" spans="1:48" ht="14" customHeight="1" thickBot="1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9"/>
      <c r="AK557" s="9"/>
      <c r="AL557" s="9"/>
      <c r="AM557" s="9"/>
      <c r="AN557" s="9"/>
      <c r="AO557" s="9"/>
      <c r="AP557" s="9"/>
      <c r="AQ557" s="9"/>
      <c r="AR557" s="9"/>
      <c r="AS557" s="9"/>
      <c r="AT557" s="9"/>
      <c r="AU557" s="9"/>
      <c r="AV557" s="9"/>
    </row>
    <row r="558" spans="1:48" ht="14" customHeight="1" thickBot="1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9"/>
      <c r="AK558" s="9"/>
      <c r="AL558" s="9"/>
      <c r="AM558" s="9"/>
      <c r="AN558" s="9"/>
      <c r="AO558" s="9"/>
      <c r="AP558" s="9"/>
      <c r="AQ558" s="9"/>
      <c r="AR558" s="9"/>
      <c r="AS558" s="9"/>
      <c r="AT558" s="9"/>
      <c r="AU558" s="9"/>
      <c r="AV558" s="9"/>
    </row>
    <row r="559" spans="1:48" ht="14" customHeight="1" thickBot="1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9"/>
      <c r="AK559" s="9"/>
      <c r="AL559" s="9"/>
      <c r="AM559" s="9"/>
      <c r="AN559" s="9"/>
      <c r="AO559" s="9"/>
      <c r="AP559" s="9"/>
      <c r="AQ559" s="9"/>
      <c r="AR559" s="9"/>
      <c r="AS559" s="9"/>
      <c r="AT559" s="9"/>
      <c r="AU559" s="9"/>
      <c r="AV559" s="9"/>
    </row>
    <row r="560" spans="1:48" ht="14" customHeight="1" thickBot="1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9"/>
      <c r="AK560" s="9"/>
      <c r="AL560" s="9"/>
      <c r="AM560" s="9"/>
      <c r="AN560" s="9"/>
      <c r="AO560" s="9"/>
      <c r="AP560" s="9"/>
      <c r="AQ560" s="9"/>
      <c r="AR560" s="9"/>
      <c r="AS560" s="9"/>
      <c r="AT560" s="9"/>
      <c r="AU560" s="9"/>
      <c r="AV560" s="9"/>
    </row>
    <row r="561" spans="1:48" ht="14" customHeight="1" thickBot="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9"/>
      <c r="AK561" s="9"/>
      <c r="AL561" s="9"/>
      <c r="AM561" s="9"/>
      <c r="AN561" s="9"/>
      <c r="AO561" s="9"/>
      <c r="AP561" s="9"/>
      <c r="AQ561" s="9"/>
      <c r="AR561" s="9"/>
      <c r="AS561" s="9"/>
      <c r="AT561" s="9"/>
      <c r="AU561" s="9"/>
      <c r="AV561" s="9"/>
    </row>
    <row r="562" spans="1:48" ht="14" customHeight="1" thickBot="1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9"/>
      <c r="AK562" s="9"/>
      <c r="AL562" s="9"/>
      <c r="AM562" s="9"/>
      <c r="AN562" s="9"/>
      <c r="AO562" s="9"/>
      <c r="AP562" s="9"/>
      <c r="AQ562" s="9"/>
      <c r="AR562" s="9"/>
      <c r="AS562" s="9"/>
      <c r="AT562" s="9"/>
      <c r="AU562" s="9"/>
      <c r="AV562" s="9"/>
    </row>
    <row r="563" spans="1:48" ht="14" customHeight="1" thickBot="1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9"/>
      <c r="AK563" s="9"/>
      <c r="AL563" s="9"/>
      <c r="AM563" s="9"/>
      <c r="AN563" s="9"/>
      <c r="AO563" s="9"/>
      <c r="AP563" s="9"/>
      <c r="AQ563" s="9"/>
      <c r="AR563" s="9"/>
      <c r="AS563" s="9"/>
      <c r="AT563" s="9"/>
      <c r="AU563" s="9"/>
      <c r="AV563" s="9"/>
    </row>
    <row r="564" spans="1:48" ht="14" customHeight="1" thickBot="1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9"/>
      <c r="AK564" s="9"/>
      <c r="AL564" s="9"/>
      <c r="AM564" s="9"/>
      <c r="AN564" s="9"/>
      <c r="AO564" s="9"/>
      <c r="AP564" s="9"/>
      <c r="AQ564" s="9"/>
      <c r="AR564" s="9"/>
      <c r="AS564" s="9"/>
      <c r="AT564" s="9"/>
      <c r="AU564" s="9"/>
      <c r="AV564" s="9"/>
    </row>
    <row r="565" spans="1:48" ht="14" customHeight="1" thickBot="1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  <c r="AJ565" s="9"/>
      <c r="AK565" s="9"/>
      <c r="AL565" s="9"/>
      <c r="AM565" s="9"/>
      <c r="AN565" s="9"/>
      <c r="AO565" s="9"/>
      <c r="AP565" s="9"/>
      <c r="AQ565" s="9"/>
      <c r="AR565" s="9"/>
      <c r="AS565" s="9"/>
      <c r="AT565" s="9"/>
      <c r="AU565" s="9"/>
      <c r="AV565" s="9"/>
    </row>
    <row r="566" spans="1:48" ht="14" customHeight="1" thickBot="1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9"/>
      <c r="AK566" s="9"/>
      <c r="AL566" s="9"/>
      <c r="AM566" s="9"/>
      <c r="AN566" s="9"/>
      <c r="AO566" s="9"/>
      <c r="AP566" s="9"/>
      <c r="AQ566" s="9"/>
      <c r="AR566" s="9"/>
      <c r="AS566" s="9"/>
      <c r="AT566" s="9"/>
      <c r="AU566" s="9"/>
      <c r="AV566" s="9"/>
    </row>
    <row r="567" spans="1:48" ht="14" customHeight="1" thickBot="1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9"/>
      <c r="AK567" s="9"/>
      <c r="AL567" s="9"/>
      <c r="AM567" s="9"/>
      <c r="AN567" s="9"/>
      <c r="AO567" s="9"/>
      <c r="AP567" s="9"/>
      <c r="AQ567" s="9"/>
      <c r="AR567" s="9"/>
      <c r="AS567" s="9"/>
      <c r="AT567" s="9"/>
      <c r="AU567" s="9"/>
      <c r="AV567" s="9"/>
    </row>
    <row r="568" spans="1:48" ht="14" customHeight="1" thickBot="1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9"/>
      <c r="AK568" s="9"/>
      <c r="AL568" s="9"/>
      <c r="AM568" s="9"/>
      <c r="AN568" s="9"/>
      <c r="AO568" s="9"/>
      <c r="AP568" s="9"/>
      <c r="AQ568" s="9"/>
      <c r="AR568" s="9"/>
      <c r="AS568" s="9"/>
      <c r="AT568" s="9"/>
      <c r="AU568" s="9"/>
      <c r="AV568" s="9"/>
    </row>
    <row r="569" spans="1:48" ht="14" customHeight="1" thickBot="1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9"/>
      <c r="AK569" s="9"/>
      <c r="AL569" s="9"/>
      <c r="AM569" s="9"/>
      <c r="AN569" s="9"/>
      <c r="AO569" s="9"/>
      <c r="AP569" s="9"/>
      <c r="AQ569" s="9"/>
      <c r="AR569" s="9"/>
      <c r="AS569" s="9"/>
      <c r="AT569" s="9"/>
      <c r="AU569" s="9"/>
      <c r="AV569" s="9"/>
    </row>
    <row r="570" spans="1:48" ht="14" customHeight="1" thickBot="1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9"/>
      <c r="AK570" s="9"/>
      <c r="AL570" s="9"/>
      <c r="AM570" s="9"/>
      <c r="AN570" s="9"/>
      <c r="AO570" s="9"/>
      <c r="AP570" s="9"/>
      <c r="AQ570" s="9"/>
      <c r="AR570" s="9"/>
      <c r="AS570" s="9"/>
      <c r="AT570" s="9"/>
      <c r="AU570" s="9"/>
      <c r="AV570" s="9"/>
    </row>
    <row r="571" spans="1:48" ht="14" customHeight="1" thickBot="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9"/>
      <c r="AK571" s="9"/>
      <c r="AL571" s="9"/>
      <c r="AM571" s="9"/>
      <c r="AN571" s="9"/>
      <c r="AO571" s="9"/>
      <c r="AP571" s="9"/>
      <c r="AQ571" s="9"/>
      <c r="AR571" s="9"/>
      <c r="AS571" s="9"/>
      <c r="AT571" s="9"/>
      <c r="AU571" s="9"/>
      <c r="AV571" s="9"/>
    </row>
    <row r="572" spans="1:48" ht="14" customHeight="1" thickBot="1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9"/>
      <c r="AL572" s="9"/>
      <c r="AM572" s="9"/>
      <c r="AN572" s="9"/>
      <c r="AO572" s="9"/>
      <c r="AP572" s="9"/>
      <c r="AQ572" s="9"/>
      <c r="AR572" s="9"/>
      <c r="AS572" s="9"/>
      <c r="AT572" s="9"/>
      <c r="AU572" s="9"/>
      <c r="AV572" s="9"/>
    </row>
    <row r="573" spans="1:48" ht="14" customHeight="1" thickBot="1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9"/>
      <c r="AK573" s="9"/>
      <c r="AL573" s="9"/>
      <c r="AM573" s="9"/>
      <c r="AN573" s="9"/>
      <c r="AO573" s="9"/>
      <c r="AP573" s="9"/>
      <c r="AQ573" s="9"/>
      <c r="AR573" s="9"/>
      <c r="AS573" s="9"/>
      <c r="AT573" s="9"/>
      <c r="AU573" s="9"/>
      <c r="AV573" s="9"/>
    </row>
    <row r="574" spans="1:48" ht="14" customHeight="1" thickBot="1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9"/>
      <c r="AK574" s="9"/>
      <c r="AL574" s="9"/>
      <c r="AM574" s="9"/>
      <c r="AN574" s="9"/>
      <c r="AO574" s="9"/>
      <c r="AP574" s="9"/>
      <c r="AQ574" s="9"/>
      <c r="AR574" s="9"/>
      <c r="AS574" s="9"/>
      <c r="AT574" s="9"/>
      <c r="AU574" s="9"/>
      <c r="AV574" s="9"/>
    </row>
    <row r="575" spans="1:48" ht="14" customHeight="1" thickBot="1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9"/>
      <c r="AK575" s="9"/>
      <c r="AL575" s="9"/>
      <c r="AM575" s="9"/>
      <c r="AN575" s="9"/>
      <c r="AO575" s="9"/>
      <c r="AP575" s="9"/>
      <c r="AQ575" s="9"/>
      <c r="AR575" s="9"/>
      <c r="AS575" s="9"/>
      <c r="AT575" s="9"/>
      <c r="AU575" s="9"/>
      <c r="AV575" s="9"/>
    </row>
    <row r="576" spans="1:48" ht="14" customHeight="1" thickBot="1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9"/>
      <c r="AK576" s="9"/>
      <c r="AL576" s="9"/>
      <c r="AM576" s="9"/>
      <c r="AN576" s="9"/>
      <c r="AO576" s="9"/>
      <c r="AP576" s="9"/>
      <c r="AQ576" s="9"/>
      <c r="AR576" s="9"/>
      <c r="AS576" s="9"/>
      <c r="AT576" s="9"/>
      <c r="AU576" s="9"/>
      <c r="AV576" s="9"/>
    </row>
    <row r="577" spans="1:48" ht="14" customHeight="1" thickBot="1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9"/>
      <c r="AK577" s="9"/>
      <c r="AL577" s="9"/>
      <c r="AM577" s="9"/>
      <c r="AN577" s="9"/>
      <c r="AO577" s="9"/>
      <c r="AP577" s="9"/>
      <c r="AQ577" s="9"/>
      <c r="AR577" s="9"/>
      <c r="AS577" s="9"/>
      <c r="AT577" s="9"/>
      <c r="AU577" s="9"/>
      <c r="AV577" s="9"/>
    </row>
    <row r="578" spans="1:48" ht="14" customHeight="1" thickBot="1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9"/>
      <c r="AK578" s="9"/>
      <c r="AL578" s="9"/>
      <c r="AM578" s="9"/>
      <c r="AN578" s="9"/>
      <c r="AO578" s="9"/>
      <c r="AP578" s="9"/>
      <c r="AQ578" s="9"/>
      <c r="AR578" s="9"/>
      <c r="AS578" s="9"/>
      <c r="AT578" s="9"/>
      <c r="AU578" s="9"/>
      <c r="AV578" s="9"/>
    </row>
    <row r="579" spans="1:48" ht="14" customHeight="1" thickBot="1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9"/>
      <c r="AK579" s="9"/>
      <c r="AL579" s="9"/>
      <c r="AM579" s="9"/>
      <c r="AN579" s="9"/>
      <c r="AO579" s="9"/>
      <c r="AP579" s="9"/>
      <c r="AQ579" s="9"/>
      <c r="AR579" s="9"/>
      <c r="AS579" s="9"/>
      <c r="AT579" s="9"/>
      <c r="AU579" s="9"/>
      <c r="AV579" s="9"/>
    </row>
    <row r="580" spans="1:48" ht="14" customHeight="1" thickBot="1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9"/>
      <c r="AK580" s="9"/>
      <c r="AL580" s="9"/>
      <c r="AM580" s="9"/>
      <c r="AN580" s="9"/>
      <c r="AO580" s="9"/>
      <c r="AP580" s="9"/>
      <c r="AQ580" s="9"/>
      <c r="AR580" s="9"/>
      <c r="AS580" s="9"/>
      <c r="AT580" s="9"/>
      <c r="AU580" s="9"/>
      <c r="AV580" s="9"/>
    </row>
    <row r="581" spans="1:48" ht="14" customHeight="1" thickBot="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9"/>
      <c r="AK581" s="9"/>
      <c r="AL581" s="9"/>
      <c r="AM581" s="9"/>
      <c r="AN581" s="9"/>
      <c r="AO581" s="9"/>
      <c r="AP581" s="9"/>
      <c r="AQ581" s="9"/>
      <c r="AR581" s="9"/>
      <c r="AS581" s="9"/>
      <c r="AT581" s="9"/>
      <c r="AU581" s="9"/>
      <c r="AV581" s="9"/>
    </row>
    <row r="582" spans="1:48" ht="14" customHeight="1" thickBot="1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9"/>
      <c r="AK582" s="9"/>
      <c r="AL582" s="9"/>
      <c r="AM582" s="9"/>
      <c r="AN582" s="9"/>
      <c r="AO582" s="9"/>
      <c r="AP582" s="9"/>
      <c r="AQ582" s="9"/>
      <c r="AR582" s="9"/>
      <c r="AS582" s="9"/>
      <c r="AT582" s="9"/>
      <c r="AU582" s="9"/>
      <c r="AV582" s="9"/>
    </row>
    <row r="583" spans="1:48" ht="14" customHeight="1" thickBot="1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9"/>
      <c r="AK583" s="9"/>
      <c r="AL583" s="9"/>
      <c r="AM583" s="9"/>
      <c r="AN583" s="9"/>
      <c r="AO583" s="9"/>
      <c r="AP583" s="9"/>
      <c r="AQ583" s="9"/>
      <c r="AR583" s="9"/>
      <c r="AS583" s="9"/>
      <c r="AT583" s="9"/>
      <c r="AU583" s="9"/>
      <c r="AV583" s="9"/>
    </row>
    <row r="584" spans="1:48" ht="14" customHeight="1" thickBot="1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9"/>
      <c r="AK584" s="9"/>
      <c r="AL584" s="9"/>
      <c r="AM584" s="9"/>
      <c r="AN584" s="9"/>
      <c r="AO584" s="9"/>
      <c r="AP584" s="9"/>
      <c r="AQ584" s="9"/>
      <c r="AR584" s="9"/>
      <c r="AS584" s="9"/>
      <c r="AT584" s="9"/>
      <c r="AU584" s="9"/>
      <c r="AV584" s="9"/>
    </row>
    <row r="585" spans="1:48" ht="14" customHeight="1" thickBot="1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9"/>
      <c r="AK585" s="9"/>
      <c r="AL585" s="9"/>
      <c r="AM585" s="9"/>
      <c r="AN585" s="9"/>
      <c r="AO585" s="9"/>
      <c r="AP585" s="9"/>
      <c r="AQ585" s="9"/>
      <c r="AR585" s="9"/>
      <c r="AS585" s="9"/>
      <c r="AT585" s="9"/>
      <c r="AU585" s="9"/>
      <c r="AV585" s="9"/>
    </row>
    <row r="586" spans="1:48" ht="14" customHeight="1" thickBot="1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9"/>
      <c r="AK586" s="9"/>
      <c r="AL586" s="9"/>
      <c r="AM586" s="9"/>
      <c r="AN586" s="9"/>
      <c r="AO586" s="9"/>
      <c r="AP586" s="9"/>
      <c r="AQ586" s="9"/>
      <c r="AR586" s="9"/>
      <c r="AS586" s="9"/>
      <c r="AT586" s="9"/>
      <c r="AU586" s="9"/>
      <c r="AV586" s="9"/>
    </row>
    <row r="587" spans="1:48" ht="14" customHeight="1" thickBot="1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  <c r="AJ587" s="9"/>
      <c r="AK587" s="9"/>
      <c r="AL587" s="9"/>
      <c r="AM587" s="9"/>
      <c r="AN587" s="9"/>
      <c r="AO587" s="9"/>
      <c r="AP587" s="9"/>
      <c r="AQ587" s="9"/>
      <c r="AR587" s="9"/>
      <c r="AS587" s="9"/>
      <c r="AT587" s="9"/>
      <c r="AU587" s="9"/>
      <c r="AV587" s="9"/>
    </row>
    <row r="588" spans="1:48" ht="14" customHeight="1" thickBot="1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  <c r="AJ588" s="9"/>
      <c r="AK588" s="9"/>
      <c r="AL588" s="9"/>
      <c r="AM588" s="9"/>
      <c r="AN588" s="9"/>
      <c r="AO588" s="9"/>
      <c r="AP588" s="9"/>
      <c r="AQ588" s="9"/>
      <c r="AR588" s="9"/>
      <c r="AS588" s="9"/>
      <c r="AT588" s="9"/>
      <c r="AU588" s="9"/>
      <c r="AV588" s="9"/>
    </row>
    <row r="589" spans="1:48" ht="14" customHeight="1" thickBot="1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  <c r="AJ589" s="9"/>
      <c r="AK589" s="9"/>
      <c r="AL589" s="9"/>
      <c r="AM589" s="9"/>
      <c r="AN589" s="9"/>
      <c r="AO589" s="9"/>
      <c r="AP589" s="9"/>
      <c r="AQ589" s="9"/>
      <c r="AR589" s="9"/>
      <c r="AS589" s="9"/>
      <c r="AT589" s="9"/>
      <c r="AU589" s="9"/>
      <c r="AV589" s="9"/>
    </row>
    <row r="590" spans="1:48" ht="14" customHeight="1" thickBot="1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9"/>
      <c r="AK590" s="9"/>
      <c r="AL590" s="9"/>
      <c r="AM590" s="9"/>
      <c r="AN590" s="9"/>
      <c r="AO590" s="9"/>
      <c r="AP590" s="9"/>
      <c r="AQ590" s="9"/>
      <c r="AR590" s="9"/>
      <c r="AS590" s="9"/>
      <c r="AT590" s="9"/>
      <c r="AU590" s="9"/>
      <c r="AV590" s="9"/>
    </row>
    <row r="591" spans="1:48" ht="14" customHeight="1" thickBot="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  <c r="AJ591" s="9"/>
      <c r="AK591" s="9"/>
      <c r="AL591" s="9"/>
      <c r="AM591" s="9"/>
      <c r="AN591" s="9"/>
      <c r="AO591" s="9"/>
      <c r="AP591" s="9"/>
      <c r="AQ591" s="9"/>
      <c r="AR591" s="9"/>
      <c r="AS591" s="9"/>
      <c r="AT591" s="9"/>
      <c r="AU591" s="9"/>
      <c r="AV591" s="9"/>
    </row>
    <row r="592" spans="1:48" ht="14" customHeight="1" thickBot="1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  <c r="AJ592" s="9"/>
      <c r="AK592" s="9"/>
      <c r="AL592" s="9"/>
      <c r="AM592" s="9"/>
      <c r="AN592" s="9"/>
      <c r="AO592" s="9"/>
      <c r="AP592" s="9"/>
      <c r="AQ592" s="9"/>
      <c r="AR592" s="9"/>
      <c r="AS592" s="9"/>
      <c r="AT592" s="9"/>
      <c r="AU592" s="9"/>
      <c r="AV592" s="9"/>
    </row>
    <row r="593" spans="1:48" ht="14" customHeight="1" thickBot="1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  <c r="AJ593" s="9"/>
      <c r="AK593" s="9"/>
      <c r="AL593" s="9"/>
      <c r="AM593" s="9"/>
      <c r="AN593" s="9"/>
      <c r="AO593" s="9"/>
      <c r="AP593" s="9"/>
      <c r="AQ593" s="9"/>
      <c r="AR593" s="9"/>
      <c r="AS593" s="9"/>
      <c r="AT593" s="9"/>
      <c r="AU593" s="9"/>
      <c r="AV593" s="9"/>
    </row>
    <row r="594" spans="1:48" ht="14" customHeight="1" thickBot="1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  <c r="AJ594" s="9"/>
      <c r="AK594" s="9"/>
      <c r="AL594" s="9"/>
      <c r="AM594" s="9"/>
      <c r="AN594" s="9"/>
      <c r="AO594" s="9"/>
      <c r="AP594" s="9"/>
      <c r="AQ594" s="9"/>
      <c r="AR594" s="9"/>
      <c r="AS594" s="9"/>
      <c r="AT594" s="9"/>
      <c r="AU594" s="9"/>
      <c r="AV594" s="9"/>
    </row>
    <row r="595" spans="1:48" ht="14" customHeight="1" thickBot="1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  <c r="AJ595" s="9"/>
      <c r="AK595" s="9"/>
      <c r="AL595" s="9"/>
      <c r="AM595" s="9"/>
      <c r="AN595" s="9"/>
      <c r="AO595" s="9"/>
      <c r="AP595" s="9"/>
      <c r="AQ595" s="9"/>
      <c r="AR595" s="9"/>
      <c r="AS595" s="9"/>
      <c r="AT595" s="9"/>
      <c r="AU595" s="9"/>
      <c r="AV595" s="9"/>
    </row>
    <row r="596" spans="1:48" ht="14" customHeight="1" thickBot="1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  <c r="AJ596" s="9"/>
      <c r="AK596" s="9"/>
      <c r="AL596" s="9"/>
      <c r="AM596" s="9"/>
      <c r="AN596" s="9"/>
      <c r="AO596" s="9"/>
      <c r="AP596" s="9"/>
      <c r="AQ596" s="9"/>
      <c r="AR596" s="9"/>
      <c r="AS596" s="9"/>
      <c r="AT596" s="9"/>
      <c r="AU596" s="9"/>
      <c r="AV596" s="9"/>
    </row>
    <row r="597" spans="1:48" ht="14" customHeight="1" thickBot="1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  <c r="AJ597" s="9"/>
      <c r="AK597" s="9"/>
      <c r="AL597" s="9"/>
      <c r="AM597" s="9"/>
      <c r="AN597" s="9"/>
      <c r="AO597" s="9"/>
      <c r="AP597" s="9"/>
      <c r="AQ597" s="9"/>
      <c r="AR597" s="9"/>
      <c r="AS597" s="9"/>
      <c r="AT597" s="9"/>
      <c r="AU597" s="9"/>
      <c r="AV597" s="9"/>
    </row>
    <row r="598" spans="1:48" ht="14" customHeight="1" thickBot="1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  <c r="AJ598" s="9"/>
      <c r="AK598" s="9"/>
      <c r="AL598" s="9"/>
      <c r="AM598" s="9"/>
      <c r="AN598" s="9"/>
      <c r="AO598" s="9"/>
      <c r="AP598" s="9"/>
      <c r="AQ598" s="9"/>
      <c r="AR598" s="9"/>
      <c r="AS598" s="9"/>
      <c r="AT598" s="9"/>
      <c r="AU598" s="9"/>
      <c r="AV598" s="9"/>
    </row>
    <row r="599" spans="1:48" ht="14" customHeight="1" thickBot="1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  <c r="AJ599" s="9"/>
      <c r="AK599" s="9"/>
      <c r="AL599" s="9"/>
      <c r="AM599" s="9"/>
      <c r="AN599" s="9"/>
      <c r="AO599" s="9"/>
      <c r="AP599" s="9"/>
      <c r="AQ599" s="9"/>
      <c r="AR599" s="9"/>
      <c r="AS599" s="9"/>
      <c r="AT599" s="9"/>
      <c r="AU599" s="9"/>
      <c r="AV599" s="9"/>
    </row>
    <row r="600" spans="1:48" ht="14" customHeight="1" thickBot="1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  <c r="AJ600" s="9"/>
      <c r="AK600" s="9"/>
      <c r="AL600" s="9"/>
      <c r="AM600" s="9"/>
      <c r="AN600" s="9"/>
      <c r="AO600" s="9"/>
      <c r="AP600" s="9"/>
      <c r="AQ600" s="9"/>
      <c r="AR600" s="9"/>
      <c r="AS600" s="9"/>
      <c r="AT600" s="9"/>
      <c r="AU600" s="9"/>
      <c r="AV600" s="9"/>
    </row>
    <row r="601" spans="1:48" ht="14" customHeight="1" thickBot="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  <c r="AJ601" s="9"/>
      <c r="AK601" s="9"/>
      <c r="AL601" s="9"/>
      <c r="AM601" s="9"/>
      <c r="AN601" s="9"/>
      <c r="AO601" s="9"/>
      <c r="AP601" s="9"/>
      <c r="AQ601" s="9"/>
      <c r="AR601" s="9"/>
      <c r="AS601" s="9"/>
      <c r="AT601" s="9"/>
      <c r="AU601" s="9"/>
      <c r="AV601" s="9"/>
    </row>
    <row r="602" spans="1:48" ht="14" customHeight="1" thickBot="1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  <c r="AJ602" s="9"/>
      <c r="AK602" s="9"/>
      <c r="AL602" s="9"/>
      <c r="AM602" s="9"/>
      <c r="AN602" s="9"/>
      <c r="AO602" s="9"/>
      <c r="AP602" s="9"/>
      <c r="AQ602" s="9"/>
      <c r="AR602" s="9"/>
      <c r="AS602" s="9"/>
      <c r="AT602" s="9"/>
      <c r="AU602" s="9"/>
      <c r="AV602" s="9"/>
    </row>
    <row r="603" spans="1:48" ht="14" customHeight="1" thickBot="1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  <c r="AJ603" s="9"/>
      <c r="AK603" s="9"/>
      <c r="AL603" s="9"/>
      <c r="AM603" s="9"/>
      <c r="AN603" s="9"/>
      <c r="AO603" s="9"/>
      <c r="AP603" s="9"/>
      <c r="AQ603" s="9"/>
      <c r="AR603" s="9"/>
      <c r="AS603" s="9"/>
      <c r="AT603" s="9"/>
      <c r="AU603" s="9"/>
      <c r="AV603" s="9"/>
    </row>
    <row r="604" spans="1:48" ht="14" customHeight="1" thickBot="1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9"/>
      <c r="AJ604" s="9"/>
      <c r="AK604" s="9"/>
      <c r="AL604" s="9"/>
      <c r="AM604" s="9"/>
      <c r="AN604" s="9"/>
      <c r="AO604" s="9"/>
      <c r="AP604" s="9"/>
      <c r="AQ604" s="9"/>
      <c r="AR604" s="9"/>
      <c r="AS604" s="9"/>
      <c r="AT604" s="9"/>
      <c r="AU604" s="9"/>
      <c r="AV604" s="9"/>
    </row>
    <row r="605" spans="1:48" ht="14" customHeight="1" thickBot="1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  <c r="AJ605" s="9"/>
      <c r="AK605" s="9"/>
      <c r="AL605" s="9"/>
      <c r="AM605" s="9"/>
      <c r="AN605" s="9"/>
      <c r="AO605" s="9"/>
      <c r="AP605" s="9"/>
      <c r="AQ605" s="9"/>
      <c r="AR605" s="9"/>
      <c r="AS605" s="9"/>
      <c r="AT605" s="9"/>
      <c r="AU605" s="9"/>
      <c r="AV605" s="9"/>
    </row>
    <row r="606" spans="1:48" ht="14" customHeight="1" thickBot="1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9"/>
      <c r="AJ606" s="9"/>
      <c r="AK606" s="9"/>
      <c r="AL606" s="9"/>
      <c r="AM606" s="9"/>
      <c r="AN606" s="9"/>
      <c r="AO606" s="9"/>
      <c r="AP606" s="9"/>
      <c r="AQ606" s="9"/>
      <c r="AR606" s="9"/>
      <c r="AS606" s="9"/>
      <c r="AT606" s="9"/>
      <c r="AU606" s="9"/>
      <c r="AV606" s="9"/>
    </row>
    <row r="607" spans="1:48" ht="14" customHeight="1" thickBot="1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9"/>
      <c r="AJ607" s="9"/>
      <c r="AK607" s="9"/>
      <c r="AL607" s="9"/>
      <c r="AM607" s="9"/>
      <c r="AN607" s="9"/>
      <c r="AO607" s="9"/>
      <c r="AP607" s="9"/>
      <c r="AQ607" s="9"/>
      <c r="AR607" s="9"/>
      <c r="AS607" s="9"/>
      <c r="AT607" s="9"/>
      <c r="AU607" s="9"/>
      <c r="AV607" s="9"/>
    </row>
    <row r="608" spans="1:48" ht="14" customHeight="1" thickBot="1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  <c r="AJ608" s="9"/>
      <c r="AK608" s="9"/>
      <c r="AL608" s="9"/>
      <c r="AM608" s="9"/>
      <c r="AN608" s="9"/>
      <c r="AO608" s="9"/>
      <c r="AP608" s="9"/>
      <c r="AQ608" s="9"/>
      <c r="AR608" s="9"/>
      <c r="AS608" s="9"/>
      <c r="AT608" s="9"/>
      <c r="AU608" s="9"/>
      <c r="AV608" s="9"/>
    </row>
    <row r="609" spans="1:48" ht="14" customHeight="1" thickBot="1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9"/>
      <c r="AJ609" s="9"/>
      <c r="AK609" s="9"/>
      <c r="AL609" s="9"/>
      <c r="AM609" s="9"/>
      <c r="AN609" s="9"/>
      <c r="AO609" s="9"/>
      <c r="AP609" s="9"/>
      <c r="AQ609" s="9"/>
      <c r="AR609" s="9"/>
      <c r="AS609" s="9"/>
      <c r="AT609" s="9"/>
      <c r="AU609" s="9"/>
      <c r="AV609" s="9"/>
    </row>
    <row r="610" spans="1:48" ht="14" customHeight="1" thickBot="1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9"/>
      <c r="AJ610" s="9"/>
      <c r="AK610" s="9"/>
      <c r="AL610" s="9"/>
      <c r="AM610" s="9"/>
      <c r="AN610" s="9"/>
      <c r="AO610" s="9"/>
      <c r="AP610" s="9"/>
      <c r="AQ610" s="9"/>
      <c r="AR610" s="9"/>
      <c r="AS610" s="9"/>
      <c r="AT610" s="9"/>
      <c r="AU610" s="9"/>
      <c r="AV610" s="9"/>
    </row>
    <row r="611" spans="1:48" ht="14" customHeight="1" thickBot="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  <c r="AJ611" s="9"/>
      <c r="AK611" s="9"/>
      <c r="AL611" s="9"/>
      <c r="AM611" s="9"/>
      <c r="AN611" s="9"/>
      <c r="AO611" s="9"/>
      <c r="AP611" s="9"/>
      <c r="AQ611" s="9"/>
      <c r="AR611" s="9"/>
      <c r="AS611" s="9"/>
      <c r="AT611" s="9"/>
      <c r="AU611" s="9"/>
      <c r="AV611" s="9"/>
    </row>
    <row r="612" spans="1:48" ht="14" customHeight="1" thickBot="1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  <c r="AJ612" s="9"/>
      <c r="AK612" s="9"/>
      <c r="AL612" s="9"/>
      <c r="AM612" s="9"/>
      <c r="AN612" s="9"/>
      <c r="AO612" s="9"/>
      <c r="AP612" s="9"/>
      <c r="AQ612" s="9"/>
      <c r="AR612" s="9"/>
      <c r="AS612" s="9"/>
      <c r="AT612" s="9"/>
      <c r="AU612" s="9"/>
      <c r="AV612" s="9"/>
    </row>
    <row r="613" spans="1:48" ht="14" customHeight="1" thickBot="1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  <c r="AJ613" s="9"/>
      <c r="AK613" s="9"/>
      <c r="AL613" s="9"/>
      <c r="AM613" s="9"/>
      <c r="AN613" s="9"/>
      <c r="AO613" s="9"/>
      <c r="AP613" s="9"/>
      <c r="AQ613" s="9"/>
      <c r="AR613" s="9"/>
      <c r="AS613" s="9"/>
      <c r="AT613" s="9"/>
      <c r="AU613" s="9"/>
      <c r="AV613" s="9"/>
    </row>
    <row r="614" spans="1:48" ht="14" customHeight="1" thickBot="1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  <c r="AJ614" s="9"/>
      <c r="AK614" s="9"/>
      <c r="AL614" s="9"/>
      <c r="AM614" s="9"/>
      <c r="AN614" s="9"/>
      <c r="AO614" s="9"/>
      <c r="AP614" s="9"/>
      <c r="AQ614" s="9"/>
      <c r="AR614" s="9"/>
      <c r="AS614" s="9"/>
      <c r="AT614" s="9"/>
      <c r="AU614" s="9"/>
      <c r="AV614" s="9"/>
    </row>
    <row r="615" spans="1:48" ht="14" customHeight="1" thickBot="1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  <c r="AJ615" s="9"/>
      <c r="AK615" s="9"/>
      <c r="AL615" s="9"/>
      <c r="AM615" s="9"/>
      <c r="AN615" s="9"/>
      <c r="AO615" s="9"/>
      <c r="AP615" s="9"/>
      <c r="AQ615" s="9"/>
      <c r="AR615" s="9"/>
      <c r="AS615" s="9"/>
      <c r="AT615" s="9"/>
      <c r="AU615" s="9"/>
      <c r="AV615" s="9"/>
    </row>
    <row r="616" spans="1:48" ht="14" customHeight="1" thickBot="1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  <c r="AJ616" s="9"/>
      <c r="AK616" s="9"/>
      <c r="AL616" s="9"/>
      <c r="AM616" s="9"/>
      <c r="AN616" s="9"/>
      <c r="AO616" s="9"/>
      <c r="AP616" s="9"/>
      <c r="AQ616" s="9"/>
      <c r="AR616" s="9"/>
      <c r="AS616" s="9"/>
      <c r="AT616" s="9"/>
      <c r="AU616" s="9"/>
      <c r="AV616" s="9"/>
    </row>
    <row r="617" spans="1:48" ht="14" customHeight="1" thickBot="1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9"/>
      <c r="AJ617" s="9"/>
      <c r="AK617" s="9"/>
      <c r="AL617" s="9"/>
      <c r="AM617" s="9"/>
      <c r="AN617" s="9"/>
      <c r="AO617" s="9"/>
      <c r="AP617" s="9"/>
      <c r="AQ617" s="9"/>
      <c r="AR617" s="9"/>
      <c r="AS617" s="9"/>
      <c r="AT617" s="9"/>
      <c r="AU617" s="9"/>
      <c r="AV617" s="9"/>
    </row>
    <row r="618" spans="1:48" ht="14" customHeight="1" thickBot="1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9"/>
      <c r="AJ618" s="9"/>
      <c r="AK618" s="9"/>
      <c r="AL618" s="9"/>
      <c r="AM618" s="9"/>
      <c r="AN618" s="9"/>
      <c r="AO618" s="9"/>
      <c r="AP618" s="9"/>
      <c r="AQ618" s="9"/>
      <c r="AR618" s="9"/>
      <c r="AS618" s="9"/>
      <c r="AT618" s="9"/>
      <c r="AU618" s="9"/>
      <c r="AV618" s="9"/>
    </row>
    <row r="619" spans="1:48" ht="14" customHeight="1" thickBot="1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9"/>
      <c r="AJ619" s="9"/>
      <c r="AK619" s="9"/>
      <c r="AL619" s="9"/>
      <c r="AM619" s="9"/>
      <c r="AN619" s="9"/>
      <c r="AO619" s="9"/>
      <c r="AP619" s="9"/>
      <c r="AQ619" s="9"/>
      <c r="AR619" s="9"/>
      <c r="AS619" s="9"/>
      <c r="AT619" s="9"/>
      <c r="AU619" s="9"/>
      <c r="AV619" s="9"/>
    </row>
    <row r="620" spans="1:48" ht="14" customHeight="1" thickBot="1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  <c r="AJ620" s="9"/>
      <c r="AK620" s="9"/>
      <c r="AL620" s="9"/>
      <c r="AM620" s="9"/>
      <c r="AN620" s="9"/>
      <c r="AO620" s="9"/>
      <c r="AP620" s="9"/>
      <c r="AQ620" s="9"/>
      <c r="AR620" s="9"/>
      <c r="AS620" s="9"/>
      <c r="AT620" s="9"/>
      <c r="AU620" s="9"/>
      <c r="AV620" s="9"/>
    </row>
    <row r="621" spans="1:48" ht="14" customHeight="1" thickBot="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/>
      <c r="AJ621" s="9"/>
      <c r="AK621" s="9"/>
      <c r="AL621" s="9"/>
      <c r="AM621" s="9"/>
      <c r="AN621" s="9"/>
      <c r="AO621" s="9"/>
      <c r="AP621" s="9"/>
      <c r="AQ621" s="9"/>
      <c r="AR621" s="9"/>
      <c r="AS621" s="9"/>
      <c r="AT621" s="9"/>
      <c r="AU621" s="9"/>
      <c r="AV621" s="9"/>
    </row>
    <row r="622" spans="1:48" ht="14" customHeight="1" thickBot="1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9"/>
      <c r="AJ622" s="9"/>
      <c r="AK622" s="9"/>
      <c r="AL622" s="9"/>
      <c r="AM622" s="9"/>
      <c r="AN622" s="9"/>
      <c r="AO622" s="9"/>
      <c r="AP622" s="9"/>
      <c r="AQ622" s="9"/>
      <c r="AR622" s="9"/>
      <c r="AS622" s="9"/>
      <c r="AT622" s="9"/>
      <c r="AU622" s="9"/>
      <c r="AV622" s="9"/>
    </row>
    <row r="623" spans="1:48" ht="14" customHeight="1" thickBot="1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  <c r="AI623" s="9"/>
      <c r="AJ623" s="9"/>
      <c r="AK623" s="9"/>
      <c r="AL623" s="9"/>
      <c r="AM623" s="9"/>
      <c r="AN623" s="9"/>
      <c r="AO623" s="9"/>
      <c r="AP623" s="9"/>
      <c r="AQ623" s="9"/>
      <c r="AR623" s="9"/>
      <c r="AS623" s="9"/>
      <c r="AT623" s="9"/>
      <c r="AU623" s="9"/>
      <c r="AV623" s="9"/>
    </row>
    <row r="624" spans="1:48" ht="14" customHeight="1" thickBot="1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  <c r="AI624" s="9"/>
      <c r="AJ624" s="9"/>
      <c r="AK624" s="9"/>
      <c r="AL624" s="9"/>
      <c r="AM624" s="9"/>
      <c r="AN624" s="9"/>
      <c r="AO624" s="9"/>
      <c r="AP624" s="9"/>
      <c r="AQ624" s="9"/>
      <c r="AR624" s="9"/>
      <c r="AS624" s="9"/>
      <c r="AT624" s="9"/>
      <c r="AU624" s="9"/>
      <c r="AV624" s="9"/>
    </row>
    <row r="625" spans="1:48" ht="14" customHeight="1" thickBot="1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  <c r="AI625" s="9"/>
      <c r="AJ625" s="9"/>
      <c r="AK625" s="9"/>
      <c r="AL625" s="9"/>
      <c r="AM625" s="9"/>
      <c r="AN625" s="9"/>
      <c r="AO625" s="9"/>
      <c r="AP625" s="9"/>
      <c r="AQ625" s="9"/>
      <c r="AR625" s="9"/>
      <c r="AS625" s="9"/>
      <c r="AT625" s="9"/>
      <c r="AU625" s="9"/>
      <c r="AV625" s="9"/>
    </row>
    <row r="626" spans="1:48" ht="14" customHeight="1" thickBot="1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9"/>
      <c r="AJ626" s="9"/>
      <c r="AK626" s="9"/>
      <c r="AL626" s="9"/>
      <c r="AM626" s="9"/>
      <c r="AN626" s="9"/>
      <c r="AO626" s="9"/>
      <c r="AP626" s="9"/>
      <c r="AQ626" s="9"/>
      <c r="AR626" s="9"/>
      <c r="AS626" s="9"/>
      <c r="AT626" s="9"/>
      <c r="AU626" s="9"/>
      <c r="AV626" s="9"/>
    </row>
    <row r="627" spans="1:48" ht="14" customHeight="1" thickBot="1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9"/>
      <c r="AJ627" s="9"/>
      <c r="AK627" s="9"/>
      <c r="AL627" s="9"/>
      <c r="AM627" s="9"/>
      <c r="AN627" s="9"/>
      <c r="AO627" s="9"/>
      <c r="AP627" s="9"/>
      <c r="AQ627" s="9"/>
      <c r="AR627" s="9"/>
      <c r="AS627" s="9"/>
      <c r="AT627" s="9"/>
      <c r="AU627" s="9"/>
      <c r="AV627" s="9"/>
    </row>
    <row r="628" spans="1:48" ht="14" customHeight="1" thickBot="1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9"/>
      <c r="AJ628" s="9"/>
      <c r="AK628" s="9"/>
      <c r="AL628" s="9"/>
      <c r="AM628" s="9"/>
      <c r="AN628" s="9"/>
      <c r="AO628" s="9"/>
      <c r="AP628" s="9"/>
      <c r="AQ628" s="9"/>
      <c r="AR628" s="9"/>
      <c r="AS628" s="9"/>
      <c r="AT628" s="9"/>
      <c r="AU628" s="9"/>
      <c r="AV628" s="9"/>
    </row>
    <row r="629" spans="1:48" ht="14" customHeight="1" thickBot="1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9"/>
      <c r="AJ629" s="9"/>
      <c r="AK629" s="9"/>
      <c r="AL629" s="9"/>
      <c r="AM629" s="9"/>
      <c r="AN629" s="9"/>
      <c r="AO629" s="9"/>
      <c r="AP629" s="9"/>
      <c r="AQ629" s="9"/>
      <c r="AR629" s="9"/>
      <c r="AS629" s="9"/>
      <c r="AT629" s="9"/>
      <c r="AU629" s="9"/>
      <c r="AV629" s="9"/>
    </row>
    <row r="630" spans="1:48" ht="14" customHeight="1" thickBot="1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9"/>
      <c r="AJ630" s="9"/>
      <c r="AK630" s="9"/>
      <c r="AL630" s="9"/>
      <c r="AM630" s="9"/>
      <c r="AN630" s="9"/>
      <c r="AO630" s="9"/>
      <c r="AP630" s="9"/>
      <c r="AQ630" s="9"/>
      <c r="AR630" s="9"/>
      <c r="AS630" s="9"/>
      <c r="AT630" s="9"/>
      <c r="AU630" s="9"/>
      <c r="AV630" s="9"/>
    </row>
    <row r="631" spans="1:48" ht="14" customHeight="1" thickBot="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9"/>
      <c r="AJ631" s="9"/>
      <c r="AK631" s="9"/>
      <c r="AL631" s="9"/>
      <c r="AM631" s="9"/>
      <c r="AN631" s="9"/>
      <c r="AO631" s="9"/>
      <c r="AP631" s="9"/>
      <c r="AQ631" s="9"/>
      <c r="AR631" s="9"/>
      <c r="AS631" s="9"/>
      <c r="AT631" s="9"/>
      <c r="AU631" s="9"/>
      <c r="AV631" s="9"/>
    </row>
    <row r="632" spans="1:48" ht="14" customHeight="1" thickBot="1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9"/>
      <c r="AJ632" s="9"/>
      <c r="AK632" s="9"/>
      <c r="AL632" s="9"/>
      <c r="AM632" s="9"/>
      <c r="AN632" s="9"/>
      <c r="AO632" s="9"/>
      <c r="AP632" s="9"/>
      <c r="AQ632" s="9"/>
      <c r="AR632" s="9"/>
      <c r="AS632" s="9"/>
      <c r="AT632" s="9"/>
      <c r="AU632" s="9"/>
      <c r="AV632" s="9"/>
    </row>
    <row r="633" spans="1:48" ht="14" customHeight="1" thickBot="1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  <c r="AI633" s="9"/>
      <c r="AJ633" s="9"/>
      <c r="AK633" s="9"/>
      <c r="AL633" s="9"/>
      <c r="AM633" s="9"/>
      <c r="AN633" s="9"/>
      <c r="AO633" s="9"/>
      <c r="AP633" s="9"/>
      <c r="AQ633" s="9"/>
      <c r="AR633" s="9"/>
      <c r="AS633" s="9"/>
      <c r="AT633" s="9"/>
      <c r="AU633" s="9"/>
      <c r="AV633" s="9"/>
    </row>
    <row r="634" spans="1:48" ht="14" customHeight="1" thickBot="1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  <c r="AI634" s="9"/>
      <c r="AJ634" s="9"/>
      <c r="AK634" s="9"/>
      <c r="AL634" s="9"/>
      <c r="AM634" s="9"/>
      <c r="AN634" s="9"/>
      <c r="AO634" s="9"/>
      <c r="AP634" s="9"/>
      <c r="AQ634" s="9"/>
      <c r="AR634" s="9"/>
      <c r="AS634" s="9"/>
      <c r="AT634" s="9"/>
      <c r="AU634" s="9"/>
      <c r="AV634" s="9"/>
    </row>
    <row r="635" spans="1:48" ht="14" customHeight="1" thickBot="1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  <c r="AI635" s="9"/>
      <c r="AJ635" s="9"/>
      <c r="AK635" s="9"/>
      <c r="AL635" s="9"/>
      <c r="AM635" s="9"/>
      <c r="AN635" s="9"/>
      <c r="AO635" s="9"/>
      <c r="AP635" s="9"/>
      <c r="AQ635" s="9"/>
      <c r="AR635" s="9"/>
      <c r="AS635" s="9"/>
      <c r="AT635" s="9"/>
      <c r="AU635" s="9"/>
      <c r="AV635" s="9"/>
    </row>
    <row r="636" spans="1:48" ht="14" customHeight="1" thickBot="1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  <c r="AI636" s="9"/>
      <c r="AJ636" s="9"/>
      <c r="AK636" s="9"/>
      <c r="AL636" s="9"/>
      <c r="AM636" s="9"/>
      <c r="AN636" s="9"/>
      <c r="AO636" s="9"/>
      <c r="AP636" s="9"/>
      <c r="AQ636" s="9"/>
      <c r="AR636" s="9"/>
      <c r="AS636" s="9"/>
      <c r="AT636" s="9"/>
      <c r="AU636" s="9"/>
      <c r="AV636" s="9"/>
    </row>
    <row r="637" spans="1:48" ht="14" customHeight="1" thickBot="1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  <c r="AI637" s="9"/>
      <c r="AJ637" s="9"/>
      <c r="AK637" s="9"/>
      <c r="AL637" s="9"/>
      <c r="AM637" s="9"/>
      <c r="AN637" s="9"/>
      <c r="AO637" s="9"/>
      <c r="AP637" s="9"/>
      <c r="AQ637" s="9"/>
      <c r="AR637" s="9"/>
      <c r="AS637" s="9"/>
      <c r="AT637" s="9"/>
      <c r="AU637" s="9"/>
      <c r="AV637" s="9"/>
    </row>
    <row r="638" spans="1:48" ht="14" customHeight="1" thickBot="1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  <c r="AJ638" s="9"/>
      <c r="AK638" s="9"/>
      <c r="AL638" s="9"/>
      <c r="AM638" s="9"/>
      <c r="AN638" s="9"/>
      <c r="AO638" s="9"/>
      <c r="AP638" s="9"/>
      <c r="AQ638" s="9"/>
      <c r="AR638" s="9"/>
      <c r="AS638" s="9"/>
      <c r="AT638" s="9"/>
      <c r="AU638" s="9"/>
      <c r="AV638" s="9"/>
    </row>
    <row r="639" spans="1:48" ht="14" customHeight="1" thickBot="1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  <c r="AJ639" s="9"/>
      <c r="AK639" s="9"/>
      <c r="AL639" s="9"/>
      <c r="AM639" s="9"/>
      <c r="AN639" s="9"/>
      <c r="AO639" s="9"/>
      <c r="AP639" s="9"/>
      <c r="AQ639" s="9"/>
      <c r="AR639" s="9"/>
      <c r="AS639" s="9"/>
      <c r="AT639" s="9"/>
      <c r="AU639" s="9"/>
      <c r="AV639" s="9"/>
    </row>
    <row r="640" spans="1:48" ht="14" customHeight="1" thickBot="1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9"/>
      <c r="AJ640" s="9"/>
      <c r="AK640" s="9"/>
      <c r="AL640" s="9"/>
      <c r="AM640" s="9"/>
      <c r="AN640" s="9"/>
      <c r="AO640" s="9"/>
      <c r="AP640" s="9"/>
      <c r="AQ640" s="9"/>
      <c r="AR640" s="9"/>
      <c r="AS640" s="9"/>
      <c r="AT640" s="9"/>
      <c r="AU640" s="9"/>
      <c r="AV640" s="9"/>
    </row>
    <row r="641" spans="1:48" ht="14" customHeight="1" thickBot="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9"/>
      <c r="AJ641" s="9"/>
      <c r="AK641" s="9"/>
      <c r="AL641" s="9"/>
      <c r="AM641" s="9"/>
      <c r="AN641" s="9"/>
      <c r="AO641" s="9"/>
      <c r="AP641" s="9"/>
      <c r="AQ641" s="9"/>
      <c r="AR641" s="9"/>
      <c r="AS641" s="9"/>
      <c r="AT641" s="9"/>
      <c r="AU641" s="9"/>
      <c r="AV641" s="9"/>
    </row>
    <row r="642" spans="1:48" ht="14" customHeight="1" thickBot="1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  <c r="AI642" s="9"/>
      <c r="AJ642" s="9"/>
      <c r="AK642" s="9"/>
      <c r="AL642" s="9"/>
      <c r="AM642" s="9"/>
      <c r="AN642" s="9"/>
      <c r="AO642" s="9"/>
      <c r="AP642" s="9"/>
      <c r="AQ642" s="9"/>
      <c r="AR642" s="9"/>
      <c r="AS642" s="9"/>
      <c r="AT642" s="9"/>
      <c r="AU642" s="9"/>
      <c r="AV642" s="9"/>
    </row>
    <row r="643" spans="1:48" ht="14" customHeight="1" thickBot="1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9"/>
      <c r="AJ643" s="9"/>
      <c r="AK643" s="9"/>
      <c r="AL643" s="9"/>
      <c r="AM643" s="9"/>
      <c r="AN643" s="9"/>
      <c r="AO643" s="9"/>
      <c r="AP643" s="9"/>
      <c r="AQ643" s="9"/>
      <c r="AR643" s="9"/>
      <c r="AS643" s="9"/>
      <c r="AT643" s="9"/>
      <c r="AU643" s="9"/>
      <c r="AV643" s="9"/>
    </row>
    <row r="644" spans="1:48" ht="14" customHeight="1" thickBot="1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  <c r="AI644" s="9"/>
      <c r="AJ644" s="9"/>
      <c r="AK644" s="9"/>
      <c r="AL644" s="9"/>
      <c r="AM644" s="9"/>
      <c r="AN644" s="9"/>
      <c r="AO644" s="9"/>
      <c r="AP644" s="9"/>
      <c r="AQ644" s="9"/>
      <c r="AR644" s="9"/>
      <c r="AS644" s="9"/>
      <c r="AT644" s="9"/>
      <c r="AU644" s="9"/>
      <c r="AV644" s="9"/>
    </row>
    <row r="645" spans="1:48" ht="14" customHeight="1" thickBot="1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  <c r="AI645" s="9"/>
      <c r="AJ645" s="9"/>
      <c r="AK645" s="9"/>
      <c r="AL645" s="9"/>
      <c r="AM645" s="9"/>
      <c r="AN645" s="9"/>
      <c r="AO645" s="9"/>
      <c r="AP645" s="9"/>
      <c r="AQ645" s="9"/>
      <c r="AR645" s="9"/>
      <c r="AS645" s="9"/>
      <c r="AT645" s="9"/>
      <c r="AU645" s="9"/>
      <c r="AV645" s="9"/>
    </row>
    <row r="646" spans="1:48" ht="14" customHeight="1" thickBot="1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  <c r="AI646" s="9"/>
      <c r="AJ646" s="9"/>
      <c r="AK646" s="9"/>
      <c r="AL646" s="9"/>
      <c r="AM646" s="9"/>
      <c r="AN646" s="9"/>
      <c r="AO646" s="9"/>
      <c r="AP646" s="9"/>
      <c r="AQ646" s="9"/>
      <c r="AR646" s="9"/>
      <c r="AS646" s="9"/>
      <c r="AT646" s="9"/>
      <c r="AU646" s="9"/>
      <c r="AV646" s="9"/>
    </row>
    <row r="647" spans="1:48" ht="14" customHeight="1" thickBot="1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  <c r="AI647" s="9"/>
      <c r="AJ647" s="9"/>
      <c r="AK647" s="9"/>
      <c r="AL647" s="9"/>
      <c r="AM647" s="9"/>
      <c r="AN647" s="9"/>
      <c r="AO647" s="9"/>
      <c r="AP647" s="9"/>
      <c r="AQ647" s="9"/>
      <c r="AR647" s="9"/>
      <c r="AS647" s="9"/>
      <c r="AT647" s="9"/>
      <c r="AU647" s="9"/>
      <c r="AV647" s="9"/>
    </row>
    <row r="648" spans="1:48" ht="14" customHeight="1" thickBot="1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  <c r="AI648" s="9"/>
      <c r="AJ648" s="9"/>
      <c r="AK648" s="9"/>
      <c r="AL648" s="9"/>
      <c r="AM648" s="9"/>
      <c r="AN648" s="9"/>
      <c r="AO648" s="9"/>
      <c r="AP648" s="9"/>
      <c r="AQ648" s="9"/>
      <c r="AR648" s="9"/>
      <c r="AS648" s="9"/>
      <c r="AT648" s="9"/>
      <c r="AU648" s="9"/>
      <c r="AV648" s="9"/>
    </row>
    <row r="649" spans="1:48" ht="14" customHeight="1" thickBot="1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  <c r="AI649" s="9"/>
      <c r="AJ649" s="9"/>
      <c r="AK649" s="9"/>
      <c r="AL649" s="9"/>
      <c r="AM649" s="9"/>
      <c r="AN649" s="9"/>
      <c r="AO649" s="9"/>
      <c r="AP649" s="9"/>
      <c r="AQ649" s="9"/>
      <c r="AR649" s="9"/>
      <c r="AS649" s="9"/>
      <c r="AT649" s="9"/>
      <c r="AU649" s="9"/>
      <c r="AV649" s="9"/>
    </row>
    <row r="650" spans="1:48" ht="14" customHeight="1" thickBot="1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9"/>
      <c r="AJ650" s="9"/>
      <c r="AK650" s="9"/>
      <c r="AL650" s="9"/>
      <c r="AM650" s="9"/>
      <c r="AN650" s="9"/>
      <c r="AO650" s="9"/>
      <c r="AP650" s="9"/>
      <c r="AQ650" s="9"/>
      <c r="AR650" s="9"/>
      <c r="AS650" s="9"/>
      <c r="AT650" s="9"/>
      <c r="AU650" s="9"/>
      <c r="AV650" s="9"/>
    </row>
    <row r="651" spans="1:48" ht="14" customHeight="1" thickBot="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  <c r="AI651" s="9"/>
      <c r="AJ651" s="9"/>
      <c r="AK651" s="9"/>
      <c r="AL651" s="9"/>
      <c r="AM651" s="9"/>
      <c r="AN651" s="9"/>
      <c r="AO651" s="9"/>
      <c r="AP651" s="9"/>
      <c r="AQ651" s="9"/>
      <c r="AR651" s="9"/>
      <c r="AS651" s="9"/>
      <c r="AT651" s="9"/>
      <c r="AU651" s="9"/>
      <c r="AV651" s="9"/>
    </row>
    <row r="652" spans="1:48" ht="14" customHeight="1" thickBot="1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  <c r="AI652" s="9"/>
      <c r="AJ652" s="9"/>
      <c r="AK652" s="9"/>
      <c r="AL652" s="9"/>
      <c r="AM652" s="9"/>
      <c r="AN652" s="9"/>
      <c r="AO652" s="9"/>
      <c r="AP652" s="9"/>
      <c r="AQ652" s="9"/>
      <c r="AR652" s="9"/>
      <c r="AS652" s="9"/>
      <c r="AT652" s="9"/>
      <c r="AU652" s="9"/>
      <c r="AV652" s="9"/>
    </row>
    <row r="653" spans="1:48" ht="14" customHeight="1" thickBot="1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  <c r="AI653" s="9"/>
      <c r="AJ653" s="9"/>
      <c r="AK653" s="9"/>
      <c r="AL653" s="9"/>
      <c r="AM653" s="9"/>
      <c r="AN653" s="9"/>
      <c r="AO653" s="9"/>
      <c r="AP653" s="9"/>
      <c r="AQ653" s="9"/>
      <c r="AR653" s="9"/>
      <c r="AS653" s="9"/>
      <c r="AT653" s="9"/>
      <c r="AU653" s="9"/>
      <c r="AV653" s="9"/>
    </row>
    <row r="654" spans="1:48" ht="14" customHeight="1" thickBot="1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  <c r="AH654" s="9"/>
      <c r="AI654" s="9"/>
      <c r="AJ654" s="9"/>
      <c r="AK654" s="9"/>
      <c r="AL654" s="9"/>
      <c r="AM654" s="9"/>
      <c r="AN654" s="9"/>
      <c r="AO654" s="9"/>
      <c r="AP654" s="9"/>
      <c r="AQ654" s="9"/>
      <c r="AR654" s="9"/>
      <c r="AS654" s="9"/>
      <c r="AT654" s="9"/>
      <c r="AU654" s="9"/>
      <c r="AV654" s="9"/>
    </row>
    <row r="655" spans="1:48" ht="14" customHeight="1" thickBot="1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  <c r="AI655" s="9"/>
      <c r="AJ655" s="9"/>
      <c r="AK655" s="9"/>
      <c r="AL655" s="9"/>
      <c r="AM655" s="9"/>
      <c r="AN655" s="9"/>
      <c r="AO655" s="9"/>
      <c r="AP655" s="9"/>
      <c r="AQ655" s="9"/>
      <c r="AR655" s="9"/>
      <c r="AS655" s="9"/>
      <c r="AT655" s="9"/>
      <c r="AU655" s="9"/>
      <c r="AV655" s="9"/>
    </row>
    <row r="656" spans="1:48" ht="14" customHeight="1" thickBot="1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  <c r="AI656" s="9"/>
      <c r="AJ656" s="9"/>
      <c r="AK656" s="9"/>
      <c r="AL656" s="9"/>
      <c r="AM656" s="9"/>
      <c r="AN656" s="9"/>
      <c r="AO656" s="9"/>
      <c r="AP656" s="9"/>
      <c r="AQ656" s="9"/>
      <c r="AR656" s="9"/>
      <c r="AS656" s="9"/>
      <c r="AT656" s="9"/>
      <c r="AU656" s="9"/>
      <c r="AV656" s="9"/>
    </row>
    <row r="657" spans="1:48" ht="14" customHeight="1" thickBot="1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  <c r="AI657" s="9"/>
      <c r="AJ657" s="9"/>
      <c r="AK657" s="9"/>
      <c r="AL657" s="9"/>
      <c r="AM657" s="9"/>
      <c r="AN657" s="9"/>
      <c r="AO657" s="9"/>
      <c r="AP657" s="9"/>
      <c r="AQ657" s="9"/>
      <c r="AR657" s="9"/>
      <c r="AS657" s="9"/>
      <c r="AT657" s="9"/>
      <c r="AU657" s="9"/>
      <c r="AV657" s="9"/>
    </row>
    <row r="658" spans="1:48" ht="14" customHeight="1" thickBot="1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  <c r="AI658" s="9"/>
      <c r="AJ658" s="9"/>
      <c r="AK658" s="9"/>
      <c r="AL658" s="9"/>
      <c r="AM658" s="9"/>
      <c r="AN658" s="9"/>
      <c r="AO658" s="9"/>
      <c r="AP658" s="9"/>
      <c r="AQ658" s="9"/>
      <c r="AR658" s="9"/>
      <c r="AS658" s="9"/>
      <c r="AT658" s="9"/>
      <c r="AU658" s="9"/>
      <c r="AV658" s="9"/>
    </row>
    <row r="659" spans="1:48" ht="14" customHeight="1" thickBot="1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  <c r="AI659" s="9"/>
      <c r="AJ659" s="9"/>
      <c r="AK659" s="9"/>
      <c r="AL659" s="9"/>
      <c r="AM659" s="9"/>
      <c r="AN659" s="9"/>
      <c r="AO659" s="9"/>
      <c r="AP659" s="9"/>
      <c r="AQ659" s="9"/>
      <c r="AR659" s="9"/>
      <c r="AS659" s="9"/>
      <c r="AT659" s="9"/>
      <c r="AU659" s="9"/>
      <c r="AV659" s="9"/>
    </row>
    <row r="660" spans="1:48" ht="14" customHeight="1" thickBot="1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  <c r="AH660" s="9"/>
      <c r="AI660" s="9"/>
      <c r="AJ660" s="9"/>
      <c r="AK660" s="9"/>
      <c r="AL660" s="9"/>
      <c r="AM660" s="9"/>
      <c r="AN660" s="9"/>
      <c r="AO660" s="9"/>
      <c r="AP660" s="9"/>
      <c r="AQ660" s="9"/>
      <c r="AR660" s="9"/>
      <c r="AS660" s="9"/>
      <c r="AT660" s="9"/>
      <c r="AU660" s="9"/>
      <c r="AV660" s="9"/>
    </row>
    <row r="661" spans="1:48" ht="14" customHeight="1" thickBot="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  <c r="AI661" s="9"/>
      <c r="AJ661" s="9"/>
      <c r="AK661" s="9"/>
      <c r="AL661" s="9"/>
      <c r="AM661" s="9"/>
      <c r="AN661" s="9"/>
      <c r="AO661" s="9"/>
      <c r="AP661" s="9"/>
      <c r="AQ661" s="9"/>
      <c r="AR661" s="9"/>
      <c r="AS661" s="9"/>
      <c r="AT661" s="9"/>
      <c r="AU661" s="9"/>
      <c r="AV661" s="9"/>
    </row>
    <row r="662" spans="1:48" ht="14" customHeight="1" thickBot="1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  <c r="AJ662" s="9"/>
      <c r="AK662" s="9"/>
      <c r="AL662" s="9"/>
      <c r="AM662" s="9"/>
      <c r="AN662" s="9"/>
      <c r="AO662" s="9"/>
      <c r="AP662" s="9"/>
      <c r="AQ662" s="9"/>
      <c r="AR662" s="9"/>
      <c r="AS662" s="9"/>
      <c r="AT662" s="9"/>
      <c r="AU662" s="9"/>
      <c r="AV662" s="9"/>
    </row>
    <row r="663" spans="1:48" ht="14" customHeight="1" thickBot="1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  <c r="AI663" s="9"/>
      <c r="AJ663" s="9"/>
      <c r="AK663" s="9"/>
      <c r="AL663" s="9"/>
      <c r="AM663" s="9"/>
      <c r="AN663" s="9"/>
      <c r="AO663" s="9"/>
      <c r="AP663" s="9"/>
      <c r="AQ663" s="9"/>
      <c r="AR663" s="9"/>
      <c r="AS663" s="9"/>
      <c r="AT663" s="9"/>
      <c r="AU663" s="9"/>
      <c r="AV663" s="9"/>
    </row>
    <row r="664" spans="1:48" ht="14" customHeight="1" thickBot="1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9"/>
      <c r="AJ664" s="9"/>
      <c r="AK664" s="9"/>
      <c r="AL664" s="9"/>
      <c r="AM664" s="9"/>
      <c r="AN664" s="9"/>
      <c r="AO664" s="9"/>
      <c r="AP664" s="9"/>
      <c r="AQ664" s="9"/>
      <c r="AR664" s="9"/>
      <c r="AS664" s="9"/>
      <c r="AT664" s="9"/>
      <c r="AU664" s="9"/>
      <c r="AV664" s="9"/>
    </row>
    <row r="665" spans="1:48" ht="14" customHeight="1" thickBot="1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  <c r="AI665" s="9"/>
      <c r="AJ665" s="9"/>
      <c r="AK665" s="9"/>
      <c r="AL665" s="9"/>
      <c r="AM665" s="9"/>
      <c r="AN665" s="9"/>
      <c r="AO665" s="9"/>
      <c r="AP665" s="9"/>
      <c r="AQ665" s="9"/>
      <c r="AR665" s="9"/>
      <c r="AS665" s="9"/>
      <c r="AT665" s="9"/>
      <c r="AU665" s="9"/>
      <c r="AV665" s="9"/>
    </row>
    <row r="666" spans="1:48" ht="14" customHeight="1" thickBot="1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9"/>
      <c r="AJ666" s="9"/>
      <c r="AK666" s="9"/>
      <c r="AL666" s="9"/>
      <c r="AM666" s="9"/>
      <c r="AN666" s="9"/>
      <c r="AO666" s="9"/>
      <c r="AP666" s="9"/>
      <c r="AQ666" s="9"/>
      <c r="AR666" s="9"/>
      <c r="AS666" s="9"/>
      <c r="AT666" s="9"/>
      <c r="AU666" s="9"/>
      <c r="AV666" s="9"/>
    </row>
    <row r="667" spans="1:48" ht="14" customHeight="1" thickBot="1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  <c r="AI667" s="9"/>
      <c r="AJ667" s="9"/>
      <c r="AK667" s="9"/>
      <c r="AL667" s="9"/>
      <c r="AM667" s="9"/>
      <c r="AN667" s="9"/>
      <c r="AO667" s="9"/>
      <c r="AP667" s="9"/>
      <c r="AQ667" s="9"/>
      <c r="AR667" s="9"/>
      <c r="AS667" s="9"/>
      <c r="AT667" s="9"/>
      <c r="AU667" s="9"/>
      <c r="AV667" s="9"/>
    </row>
    <row r="668" spans="1:48" ht="14" customHeight="1" thickBot="1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  <c r="AI668" s="9"/>
      <c r="AJ668" s="9"/>
      <c r="AK668" s="9"/>
      <c r="AL668" s="9"/>
      <c r="AM668" s="9"/>
      <c r="AN668" s="9"/>
      <c r="AO668" s="9"/>
      <c r="AP668" s="9"/>
      <c r="AQ668" s="9"/>
      <c r="AR668" s="9"/>
      <c r="AS668" s="9"/>
      <c r="AT668" s="9"/>
      <c r="AU668" s="9"/>
      <c r="AV668" s="9"/>
    </row>
    <row r="669" spans="1:48" ht="14" customHeight="1" thickBot="1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  <c r="AI669" s="9"/>
      <c r="AJ669" s="9"/>
      <c r="AK669" s="9"/>
      <c r="AL669" s="9"/>
      <c r="AM669" s="9"/>
      <c r="AN669" s="9"/>
      <c r="AO669" s="9"/>
      <c r="AP669" s="9"/>
      <c r="AQ669" s="9"/>
      <c r="AR669" s="9"/>
      <c r="AS669" s="9"/>
      <c r="AT669" s="9"/>
      <c r="AU669" s="9"/>
      <c r="AV669" s="9"/>
    </row>
    <row r="670" spans="1:48" ht="14" customHeight="1" thickBot="1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  <c r="AI670" s="9"/>
      <c r="AJ670" s="9"/>
      <c r="AK670" s="9"/>
      <c r="AL670" s="9"/>
      <c r="AM670" s="9"/>
      <c r="AN670" s="9"/>
      <c r="AO670" s="9"/>
      <c r="AP670" s="9"/>
      <c r="AQ670" s="9"/>
      <c r="AR670" s="9"/>
      <c r="AS670" s="9"/>
      <c r="AT670" s="9"/>
      <c r="AU670" s="9"/>
      <c r="AV670" s="9"/>
    </row>
    <row r="671" spans="1:48" ht="14" customHeight="1" thickBot="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  <c r="AI671" s="9"/>
      <c r="AJ671" s="9"/>
      <c r="AK671" s="9"/>
      <c r="AL671" s="9"/>
      <c r="AM671" s="9"/>
      <c r="AN671" s="9"/>
      <c r="AO671" s="9"/>
      <c r="AP671" s="9"/>
      <c r="AQ671" s="9"/>
      <c r="AR671" s="9"/>
      <c r="AS671" s="9"/>
      <c r="AT671" s="9"/>
      <c r="AU671" s="9"/>
      <c r="AV671" s="9"/>
    </row>
    <row r="672" spans="1:48" ht="14" customHeight="1" thickBot="1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9"/>
      <c r="AJ672" s="9"/>
      <c r="AK672" s="9"/>
      <c r="AL672" s="9"/>
      <c r="AM672" s="9"/>
      <c r="AN672" s="9"/>
      <c r="AO672" s="9"/>
      <c r="AP672" s="9"/>
      <c r="AQ672" s="9"/>
      <c r="AR672" s="9"/>
      <c r="AS672" s="9"/>
      <c r="AT672" s="9"/>
      <c r="AU672" s="9"/>
      <c r="AV672" s="9"/>
    </row>
    <row r="673" spans="1:48" ht="14" customHeight="1" thickBot="1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9"/>
      <c r="AJ673" s="9"/>
      <c r="AK673" s="9"/>
      <c r="AL673" s="9"/>
      <c r="AM673" s="9"/>
      <c r="AN673" s="9"/>
      <c r="AO673" s="9"/>
      <c r="AP673" s="9"/>
      <c r="AQ673" s="9"/>
      <c r="AR673" s="9"/>
      <c r="AS673" s="9"/>
      <c r="AT673" s="9"/>
      <c r="AU673" s="9"/>
      <c r="AV673" s="9"/>
    </row>
    <row r="674" spans="1:48" ht="14" customHeight="1" thickBot="1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9"/>
      <c r="AJ674" s="9"/>
      <c r="AK674" s="9"/>
      <c r="AL674" s="9"/>
      <c r="AM674" s="9"/>
      <c r="AN674" s="9"/>
      <c r="AO674" s="9"/>
      <c r="AP674" s="9"/>
      <c r="AQ674" s="9"/>
      <c r="AR674" s="9"/>
      <c r="AS674" s="9"/>
      <c r="AT674" s="9"/>
      <c r="AU674" s="9"/>
      <c r="AV674" s="9"/>
    </row>
    <row r="675" spans="1:48" ht="14" customHeight="1" thickBot="1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9"/>
      <c r="AJ675" s="9"/>
      <c r="AK675" s="9"/>
      <c r="AL675" s="9"/>
      <c r="AM675" s="9"/>
      <c r="AN675" s="9"/>
      <c r="AO675" s="9"/>
      <c r="AP675" s="9"/>
      <c r="AQ675" s="9"/>
      <c r="AR675" s="9"/>
      <c r="AS675" s="9"/>
      <c r="AT675" s="9"/>
      <c r="AU675" s="9"/>
      <c r="AV675" s="9"/>
    </row>
    <row r="676" spans="1:48" ht="14" customHeight="1" thickBot="1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9"/>
      <c r="AJ676" s="9"/>
      <c r="AK676" s="9"/>
      <c r="AL676" s="9"/>
      <c r="AM676" s="9"/>
      <c r="AN676" s="9"/>
      <c r="AO676" s="9"/>
      <c r="AP676" s="9"/>
      <c r="AQ676" s="9"/>
      <c r="AR676" s="9"/>
      <c r="AS676" s="9"/>
      <c r="AT676" s="9"/>
      <c r="AU676" s="9"/>
      <c r="AV676" s="9"/>
    </row>
    <row r="677" spans="1:48" ht="14" customHeight="1" thickBot="1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9"/>
      <c r="AJ677" s="9"/>
      <c r="AK677" s="9"/>
      <c r="AL677" s="9"/>
      <c r="AM677" s="9"/>
      <c r="AN677" s="9"/>
      <c r="AO677" s="9"/>
      <c r="AP677" s="9"/>
      <c r="AQ677" s="9"/>
      <c r="AR677" s="9"/>
      <c r="AS677" s="9"/>
      <c r="AT677" s="9"/>
      <c r="AU677" s="9"/>
      <c r="AV677" s="9"/>
    </row>
    <row r="678" spans="1:48" ht="14" customHeight="1" thickBot="1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9"/>
      <c r="AJ678" s="9"/>
      <c r="AK678" s="9"/>
      <c r="AL678" s="9"/>
      <c r="AM678" s="9"/>
      <c r="AN678" s="9"/>
      <c r="AO678" s="9"/>
      <c r="AP678" s="9"/>
      <c r="AQ678" s="9"/>
      <c r="AR678" s="9"/>
      <c r="AS678" s="9"/>
      <c r="AT678" s="9"/>
      <c r="AU678" s="9"/>
      <c r="AV678" s="9"/>
    </row>
    <row r="679" spans="1:48" ht="14" customHeight="1" thickBot="1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9"/>
      <c r="AJ679" s="9"/>
      <c r="AK679" s="9"/>
      <c r="AL679" s="9"/>
      <c r="AM679" s="9"/>
      <c r="AN679" s="9"/>
      <c r="AO679" s="9"/>
      <c r="AP679" s="9"/>
      <c r="AQ679" s="9"/>
      <c r="AR679" s="9"/>
      <c r="AS679" s="9"/>
      <c r="AT679" s="9"/>
      <c r="AU679" s="9"/>
      <c r="AV679" s="9"/>
    </row>
    <row r="680" spans="1:48" ht="14" customHeight="1" thickBot="1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  <c r="AJ680" s="9"/>
      <c r="AK680" s="9"/>
      <c r="AL680" s="9"/>
      <c r="AM680" s="9"/>
      <c r="AN680" s="9"/>
      <c r="AO680" s="9"/>
      <c r="AP680" s="9"/>
      <c r="AQ680" s="9"/>
      <c r="AR680" s="9"/>
      <c r="AS680" s="9"/>
      <c r="AT680" s="9"/>
      <c r="AU680" s="9"/>
      <c r="AV680" s="9"/>
    </row>
    <row r="681" spans="1:48" ht="14" customHeight="1" thickBot="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  <c r="AI681" s="9"/>
      <c r="AJ681" s="9"/>
      <c r="AK681" s="9"/>
      <c r="AL681" s="9"/>
      <c r="AM681" s="9"/>
      <c r="AN681" s="9"/>
      <c r="AO681" s="9"/>
      <c r="AP681" s="9"/>
      <c r="AQ681" s="9"/>
      <c r="AR681" s="9"/>
      <c r="AS681" s="9"/>
      <c r="AT681" s="9"/>
      <c r="AU681" s="9"/>
      <c r="AV681" s="9"/>
    </row>
    <row r="682" spans="1:48" ht="14" customHeight="1" thickBot="1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  <c r="AJ682" s="9"/>
      <c r="AK682" s="9"/>
      <c r="AL682" s="9"/>
      <c r="AM682" s="9"/>
      <c r="AN682" s="9"/>
      <c r="AO682" s="9"/>
      <c r="AP682" s="9"/>
      <c r="AQ682" s="9"/>
      <c r="AR682" s="9"/>
      <c r="AS682" s="9"/>
      <c r="AT682" s="9"/>
      <c r="AU682" s="9"/>
      <c r="AV682" s="9"/>
    </row>
    <row r="683" spans="1:48" ht="14" customHeight="1" thickBot="1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9"/>
      <c r="AJ683" s="9"/>
      <c r="AK683" s="9"/>
      <c r="AL683" s="9"/>
      <c r="AM683" s="9"/>
      <c r="AN683" s="9"/>
      <c r="AO683" s="9"/>
      <c r="AP683" s="9"/>
      <c r="AQ683" s="9"/>
      <c r="AR683" s="9"/>
      <c r="AS683" s="9"/>
      <c r="AT683" s="9"/>
      <c r="AU683" s="9"/>
      <c r="AV683" s="9"/>
    </row>
    <row r="684" spans="1:48" ht="14" customHeight="1" thickBot="1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9"/>
      <c r="AJ684" s="9"/>
      <c r="AK684" s="9"/>
      <c r="AL684" s="9"/>
      <c r="AM684" s="9"/>
      <c r="AN684" s="9"/>
      <c r="AO684" s="9"/>
      <c r="AP684" s="9"/>
      <c r="AQ684" s="9"/>
      <c r="AR684" s="9"/>
      <c r="AS684" s="9"/>
      <c r="AT684" s="9"/>
      <c r="AU684" s="9"/>
      <c r="AV684" s="9"/>
    </row>
    <row r="685" spans="1:48" ht="14" customHeight="1" thickBot="1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  <c r="AI685" s="9"/>
      <c r="AJ685" s="9"/>
      <c r="AK685" s="9"/>
      <c r="AL685" s="9"/>
      <c r="AM685" s="9"/>
      <c r="AN685" s="9"/>
      <c r="AO685" s="9"/>
      <c r="AP685" s="9"/>
      <c r="AQ685" s="9"/>
      <c r="AR685" s="9"/>
      <c r="AS685" s="9"/>
      <c r="AT685" s="9"/>
      <c r="AU685" s="9"/>
      <c r="AV685" s="9"/>
    </row>
    <row r="686" spans="1:48" ht="14" customHeight="1" thickBot="1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  <c r="AI686" s="9"/>
      <c r="AJ686" s="9"/>
      <c r="AK686" s="9"/>
      <c r="AL686" s="9"/>
      <c r="AM686" s="9"/>
      <c r="AN686" s="9"/>
      <c r="AO686" s="9"/>
      <c r="AP686" s="9"/>
      <c r="AQ686" s="9"/>
      <c r="AR686" s="9"/>
      <c r="AS686" s="9"/>
      <c r="AT686" s="9"/>
      <c r="AU686" s="9"/>
      <c r="AV686" s="9"/>
    </row>
    <row r="687" spans="1:48" ht="14" customHeight="1" thickBot="1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  <c r="AH687" s="9"/>
      <c r="AI687" s="9"/>
      <c r="AJ687" s="9"/>
      <c r="AK687" s="9"/>
      <c r="AL687" s="9"/>
      <c r="AM687" s="9"/>
      <c r="AN687" s="9"/>
      <c r="AO687" s="9"/>
      <c r="AP687" s="9"/>
      <c r="AQ687" s="9"/>
      <c r="AR687" s="9"/>
      <c r="AS687" s="9"/>
      <c r="AT687" s="9"/>
      <c r="AU687" s="9"/>
      <c r="AV687" s="9"/>
    </row>
    <row r="688" spans="1:48" ht="14" customHeight="1" thickBot="1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  <c r="AI688" s="9"/>
      <c r="AJ688" s="9"/>
      <c r="AK688" s="9"/>
      <c r="AL688" s="9"/>
      <c r="AM688" s="9"/>
      <c r="AN688" s="9"/>
      <c r="AO688" s="9"/>
      <c r="AP688" s="9"/>
      <c r="AQ688" s="9"/>
      <c r="AR688" s="9"/>
      <c r="AS688" s="9"/>
      <c r="AT688" s="9"/>
      <c r="AU688" s="9"/>
      <c r="AV688" s="9"/>
    </row>
    <row r="689" spans="1:48" ht="14" customHeight="1" thickBot="1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  <c r="AI689" s="9"/>
      <c r="AJ689" s="9"/>
      <c r="AK689" s="9"/>
      <c r="AL689" s="9"/>
      <c r="AM689" s="9"/>
      <c r="AN689" s="9"/>
      <c r="AO689" s="9"/>
      <c r="AP689" s="9"/>
      <c r="AQ689" s="9"/>
      <c r="AR689" s="9"/>
      <c r="AS689" s="9"/>
      <c r="AT689" s="9"/>
      <c r="AU689" s="9"/>
      <c r="AV689" s="9"/>
    </row>
    <row r="690" spans="1:48" ht="14" customHeight="1" thickBot="1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  <c r="AI690" s="9"/>
      <c r="AJ690" s="9"/>
      <c r="AK690" s="9"/>
      <c r="AL690" s="9"/>
      <c r="AM690" s="9"/>
      <c r="AN690" s="9"/>
      <c r="AO690" s="9"/>
      <c r="AP690" s="9"/>
      <c r="AQ690" s="9"/>
      <c r="AR690" s="9"/>
      <c r="AS690" s="9"/>
      <c r="AT690" s="9"/>
      <c r="AU690" s="9"/>
      <c r="AV690" s="9"/>
    </row>
    <row r="691" spans="1:48" ht="14" customHeight="1" thickBot="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  <c r="AI691" s="9"/>
      <c r="AJ691" s="9"/>
      <c r="AK691" s="9"/>
      <c r="AL691" s="9"/>
      <c r="AM691" s="9"/>
      <c r="AN691" s="9"/>
      <c r="AO691" s="9"/>
      <c r="AP691" s="9"/>
      <c r="AQ691" s="9"/>
      <c r="AR691" s="9"/>
      <c r="AS691" s="9"/>
      <c r="AT691" s="9"/>
      <c r="AU691" s="9"/>
      <c r="AV691" s="9"/>
    </row>
    <row r="692" spans="1:48" ht="14" customHeight="1" thickBot="1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  <c r="AI692" s="9"/>
      <c r="AJ692" s="9"/>
      <c r="AK692" s="9"/>
      <c r="AL692" s="9"/>
      <c r="AM692" s="9"/>
      <c r="AN692" s="9"/>
      <c r="AO692" s="9"/>
      <c r="AP692" s="9"/>
      <c r="AQ692" s="9"/>
      <c r="AR692" s="9"/>
      <c r="AS692" s="9"/>
      <c r="AT692" s="9"/>
      <c r="AU692" s="9"/>
      <c r="AV692" s="9"/>
    </row>
    <row r="693" spans="1:48" ht="14" customHeight="1" thickBot="1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9"/>
      <c r="AJ693" s="9"/>
      <c r="AK693" s="9"/>
      <c r="AL693" s="9"/>
      <c r="AM693" s="9"/>
      <c r="AN693" s="9"/>
      <c r="AO693" s="9"/>
      <c r="AP693" s="9"/>
      <c r="AQ693" s="9"/>
      <c r="AR693" s="9"/>
      <c r="AS693" s="9"/>
      <c r="AT693" s="9"/>
      <c r="AU693" s="9"/>
      <c r="AV693" s="9"/>
    </row>
    <row r="694" spans="1:48" ht="14" customHeight="1" thickBot="1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9"/>
      <c r="AJ694" s="9"/>
      <c r="AK694" s="9"/>
      <c r="AL694" s="9"/>
      <c r="AM694" s="9"/>
      <c r="AN694" s="9"/>
      <c r="AO694" s="9"/>
      <c r="AP694" s="9"/>
      <c r="AQ694" s="9"/>
      <c r="AR694" s="9"/>
      <c r="AS694" s="9"/>
      <c r="AT694" s="9"/>
      <c r="AU694" s="9"/>
      <c r="AV694" s="9"/>
    </row>
    <row r="695" spans="1:48" ht="14" customHeight="1" thickBot="1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9"/>
      <c r="AJ695" s="9"/>
      <c r="AK695" s="9"/>
      <c r="AL695" s="9"/>
      <c r="AM695" s="9"/>
      <c r="AN695" s="9"/>
      <c r="AO695" s="9"/>
      <c r="AP695" s="9"/>
      <c r="AQ695" s="9"/>
      <c r="AR695" s="9"/>
      <c r="AS695" s="9"/>
      <c r="AT695" s="9"/>
      <c r="AU695" s="9"/>
      <c r="AV695" s="9"/>
    </row>
    <row r="696" spans="1:48" ht="14" customHeight="1" thickBot="1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  <c r="AJ696" s="9"/>
      <c r="AK696" s="9"/>
      <c r="AL696" s="9"/>
      <c r="AM696" s="9"/>
      <c r="AN696" s="9"/>
      <c r="AO696" s="9"/>
      <c r="AP696" s="9"/>
      <c r="AQ696" s="9"/>
      <c r="AR696" s="9"/>
      <c r="AS696" s="9"/>
      <c r="AT696" s="9"/>
      <c r="AU696" s="9"/>
      <c r="AV696" s="9"/>
    </row>
    <row r="697" spans="1:48" ht="14" customHeight="1" thickBot="1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9"/>
      <c r="AJ697" s="9"/>
      <c r="AK697" s="9"/>
      <c r="AL697" s="9"/>
      <c r="AM697" s="9"/>
      <c r="AN697" s="9"/>
      <c r="AO697" s="9"/>
      <c r="AP697" s="9"/>
      <c r="AQ697" s="9"/>
      <c r="AR697" s="9"/>
      <c r="AS697" s="9"/>
      <c r="AT697" s="9"/>
      <c r="AU697" s="9"/>
      <c r="AV697" s="9"/>
    </row>
    <row r="698" spans="1:48" ht="14" customHeight="1" thickBot="1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  <c r="AJ698" s="9"/>
      <c r="AK698" s="9"/>
      <c r="AL698" s="9"/>
      <c r="AM698" s="9"/>
      <c r="AN698" s="9"/>
      <c r="AO698" s="9"/>
      <c r="AP698" s="9"/>
      <c r="AQ698" s="9"/>
      <c r="AR698" s="9"/>
      <c r="AS698" s="9"/>
      <c r="AT698" s="9"/>
      <c r="AU698" s="9"/>
      <c r="AV698" s="9"/>
    </row>
    <row r="699" spans="1:48" ht="14" customHeight="1" thickBot="1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9"/>
      <c r="AJ699" s="9"/>
      <c r="AK699" s="9"/>
      <c r="AL699" s="9"/>
      <c r="AM699" s="9"/>
      <c r="AN699" s="9"/>
      <c r="AO699" s="9"/>
      <c r="AP699" s="9"/>
      <c r="AQ699" s="9"/>
      <c r="AR699" s="9"/>
      <c r="AS699" s="9"/>
      <c r="AT699" s="9"/>
      <c r="AU699" s="9"/>
      <c r="AV699" s="9"/>
    </row>
    <row r="700" spans="1:48" ht="14" customHeight="1" thickBot="1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9"/>
      <c r="AJ700" s="9"/>
      <c r="AK700" s="9"/>
      <c r="AL700" s="9"/>
      <c r="AM700" s="9"/>
      <c r="AN700" s="9"/>
      <c r="AO700" s="9"/>
      <c r="AP700" s="9"/>
      <c r="AQ700" s="9"/>
      <c r="AR700" s="9"/>
      <c r="AS700" s="9"/>
      <c r="AT700" s="9"/>
      <c r="AU700" s="9"/>
      <c r="AV700" s="9"/>
    </row>
    <row r="701" spans="1:48" ht="14" customHeight="1" thickBot="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9"/>
      <c r="AJ701" s="9"/>
      <c r="AK701" s="9"/>
      <c r="AL701" s="9"/>
      <c r="AM701" s="9"/>
      <c r="AN701" s="9"/>
      <c r="AO701" s="9"/>
      <c r="AP701" s="9"/>
      <c r="AQ701" s="9"/>
      <c r="AR701" s="9"/>
      <c r="AS701" s="9"/>
      <c r="AT701" s="9"/>
      <c r="AU701" s="9"/>
      <c r="AV701" s="9"/>
    </row>
    <row r="702" spans="1:48" ht="14" customHeight="1" thickBot="1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9"/>
      <c r="AJ702" s="9"/>
      <c r="AK702" s="9"/>
      <c r="AL702" s="9"/>
      <c r="AM702" s="9"/>
      <c r="AN702" s="9"/>
      <c r="AO702" s="9"/>
      <c r="AP702" s="9"/>
      <c r="AQ702" s="9"/>
      <c r="AR702" s="9"/>
      <c r="AS702" s="9"/>
      <c r="AT702" s="9"/>
      <c r="AU702" s="9"/>
      <c r="AV702" s="9"/>
    </row>
    <row r="703" spans="1:48" ht="14" customHeight="1" thickBot="1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  <c r="AJ703" s="9"/>
      <c r="AK703" s="9"/>
      <c r="AL703" s="9"/>
      <c r="AM703" s="9"/>
      <c r="AN703" s="9"/>
      <c r="AO703" s="9"/>
      <c r="AP703" s="9"/>
      <c r="AQ703" s="9"/>
      <c r="AR703" s="9"/>
      <c r="AS703" s="9"/>
      <c r="AT703" s="9"/>
      <c r="AU703" s="9"/>
      <c r="AV703" s="9"/>
    </row>
    <row r="704" spans="1:48" ht="14" customHeight="1" thickBot="1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  <c r="AJ704" s="9"/>
      <c r="AK704" s="9"/>
      <c r="AL704" s="9"/>
      <c r="AM704" s="9"/>
      <c r="AN704" s="9"/>
      <c r="AO704" s="9"/>
      <c r="AP704" s="9"/>
      <c r="AQ704" s="9"/>
      <c r="AR704" s="9"/>
      <c r="AS704" s="9"/>
      <c r="AT704" s="9"/>
      <c r="AU704" s="9"/>
      <c r="AV704" s="9"/>
    </row>
    <row r="705" spans="1:48" ht="14" customHeight="1" thickBot="1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  <c r="AI705" s="9"/>
      <c r="AJ705" s="9"/>
      <c r="AK705" s="9"/>
      <c r="AL705" s="9"/>
      <c r="AM705" s="9"/>
      <c r="AN705" s="9"/>
      <c r="AO705" s="9"/>
      <c r="AP705" s="9"/>
      <c r="AQ705" s="9"/>
      <c r="AR705" s="9"/>
      <c r="AS705" s="9"/>
      <c r="AT705" s="9"/>
      <c r="AU705" s="9"/>
      <c r="AV705" s="9"/>
    </row>
    <row r="706" spans="1:48" ht="14" customHeight="1" thickBot="1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  <c r="AJ706" s="9"/>
      <c r="AK706" s="9"/>
      <c r="AL706" s="9"/>
      <c r="AM706" s="9"/>
      <c r="AN706" s="9"/>
      <c r="AO706" s="9"/>
      <c r="AP706" s="9"/>
      <c r="AQ706" s="9"/>
      <c r="AR706" s="9"/>
      <c r="AS706" s="9"/>
      <c r="AT706" s="9"/>
      <c r="AU706" s="9"/>
      <c r="AV706" s="9"/>
    </row>
    <row r="707" spans="1:48" ht="14" customHeight="1" thickBot="1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  <c r="AJ707" s="9"/>
      <c r="AK707" s="9"/>
      <c r="AL707" s="9"/>
      <c r="AM707" s="9"/>
      <c r="AN707" s="9"/>
      <c r="AO707" s="9"/>
      <c r="AP707" s="9"/>
      <c r="AQ707" s="9"/>
      <c r="AR707" s="9"/>
      <c r="AS707" s="9"/>
      <c r="AT707" s="9"/>
      <c r="AU707" s="9"/>
      <c r="AV707" s="9"/>
    </row>
    <row r="708" spans="1:48" ht="14" customHeight="1" thickBot="1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9"/>
      <c r="AJ708" s="9"/>
      <c r="AK708" s="9"/>
      <c r="AL708" s="9"/>
      <c r="AM708" s="9"/>
      <c r="AN708" s="9"/>
      <c r="AO708" s="9"/>
      <c r="AP708" s="9"/>
      <c r="AQ708" s="9"/>
      <c r="AR708" s="9"/>
      <c r="AS708" s="9"/>
      <c r="AT708" s="9"/>
      <c r="AU708" s="9"/>
      <c r="AV708" s="9"/>
    </row>
    <row r="709" spans="1:48" ht="14" customHeight="1" thickBot="1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  <c r="AI709" s="9"/>
      <c r="AJ709" s="9"/>
      <c r="AK709" s="9"/>
      <c r="AL709" s="9"/>
      <c r="AM709" s="9"/>
      <c r="AN709" s="9"/>
      <c r="AO709" s="9"/>
      <c r="AP709" s="9"/>
      <c r="AQ709" s="9"/>
      <c r="AR709" s="9"/>
      <c r="AS709" s="9"/>
      <c r="AT709" s="9"/>
      <c r="AU709" s="9"/>
      <c r="AV709" s="9"/>
    </row>
    <row r="710" spans="1:48" ht="14" customHeight="1" thickBot="1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  <c r="AI710" s="9"/>
      <c r="AJ710" s="9"/>
      <c r="AK710" s="9"/>
      <c r="AL710" s="9"/>
      <c r="AM710" s="9"/>
      <c r="AN710" s="9"/>
      <c r="AO710" s="9"/>
      <c r="AP710" s="9"/>
      <c r="AQ710" s="9"/>
      <c r="AR710" s="9"/>
      <c r="AS710" s="9"/>
      <c r="AT710" s="9"/>
      <c r="AU710" s="9"/>
      <c r="AV710" s="9"/>
    </row>
    <row r="711" spans="1:48" ht="14" customHeight="1" thickBot="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  <c r="AI711" s="9"/>
      <c r="AJ711" s="9"/>
      <c r="AK711" s="9"/>
      <c r="AL711" s="9"/>
      <c r="AM711" s="9"/>
      <c r="AN711" s="9"/>
      <c r="AO711" s="9"/>
      <c r="AP711" s="9"/>
      <c r="AQ711" s="9"/>
      <c r="AR711" s="9"/>
      <c r="AS711" s="9"/>
      <c r="AT711" s="9"/>
      <c r="AU711" s="9"/>
      <c r="AV711" s="9"/>
    </row>
    <row r="712" spans="1:48" ht="14" customHeight="1" thickBot="1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  <c r="AI712" s="9"/>
      <c r="AJ712" s="9"/>
      <c r="AK712" s="9"/>
      <c r="AL712" s="9"/>
      <c r="AM712" s="9"/>
      <c r="AN712" s="9"/>
      <c r="AO712" s="9"/>
      <c r="AP712" s="9"/>
      <c r="AQ712" s="9"/>
      <c r="AR712" s="9"/>
      <c r="AS712" s="9"/>
      <c r="AT712" s="9"/>
      <c r="AU712" s="9"/>
      <c r="AV712" s="9"/>
    </row>
    <row r="713" spans="1:48" ht="14" customHeight="1" thickBot="1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  <c r="AH713" s="9"/>
      <c r="AI713" s="9"/>
      <c r="AJ713" s="9"/>
      <c r="AK713" s="9"/>
      <c r="AL713" s="9"/>
      <c r="AM713" s="9"/>
      <c r="AN713" s="9"/>
      <c r="AO713" s="9"/>
      <c r="AP713" s="9"/>
      <c r="AQ713" s="9"/>
      <c r="AR713" s="9"/>
      <c r="AS713" s="9"/>
      <c r="AT713" s="9"/>
      <c r="AU713" s="9"/>
      <c r="AV713" s="9"/>
    </row>
    <row r="714" spans="1:48" ht="14" customHeight="1" thickBot="1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  <c r="AH714" s="9"/>
      <c r="AI714" s="9"/>
      <c r="AJ714" s="9"/>
      <c r="AK714" s="9"/>
      <c r="AL714" s="9"/>
      <c r="AM714" s="9"/>
      <c r="AN714" s="9"/>
      <c r="AO714" s="9"/>
      <c r="AP714" s="9"/>
      <c r="AQ714" s="9"/>
      <c r="AR714" s="9"/>
      <c r="AS714" s="9"/>
      <c r="AT714" s="9"/>
      <c r="AU714" s="9"/>
      <c r="AV714" s="9"/>
    </row>
    <row r="715" spans="1:48" ht="14" customHeight="1" thickBot="1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9"/>
      <c r="AI715" s="9"/>
      <c r="AJ715" s="9"/>
      <c r="AK715" s="9"/>
      <c r="AL715" s="9"/>
      <c r="AM715" s="9"/>
      <c r="AN715" s="9"/>
      <c r="AO715" s="9"/>
      <c r="AP715" s="9"/>
      <c r="AQ715" s="9"/>
      <c r="AR715" s="9"/>
      <c r="AS715" s="9"/>
      <c r="AT715" s="9"/>
      <c r="AU715" s="9"/>
      <c r="AV715" s="9"/>
    </row>
    <row r="716" spans="1:48" ht="14" customHeight="1" thickBot="1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  <c r="AH716" s="9"/>
      <c r="AI716" s="9"/>
      <c r="AJ716" s="9"/>
      <c r="AK716" s="9"/>
      <c r="AL716" s="9"/>
      <c r="AM716" s="9"/>
      <c r="AN716" s="9"/>
      <c r="AO716" s="9"/>
      <c r="AP716" s="9"/>
      <c r="AQ716" s="9"/>
      <c r="AR716" s="9"/>
      <c r="AS716" s="9"/>
      <c r="AT716" s="9"/>
      <c r="AU716" s="9"/>
      <c r="AV716" s="9"/>
    </row>
    <row r="717" spans="1:48" ht="14" customHeight="1" thickBot="1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  <c r="AI717" s="9"/>
      <c r="AJ717" s="9"/>
      <c r="AK717" s="9"/>
      <c r="AL717" s="9"/>
      <c r="AM717" s="9"/>
      <c r="AN717" s="9"/>
      <c r="AO717" s="9"/>
      <c r="AP717" s="9"/>
      <c r="AQ717" s="9"/>
      <c r="AR717" s="9"/>
      <c r="AS717" s="9"/>
      <c r="AT717" s="9"/>
      <c r="AU717" s="9"/>
      <c r="AV717" s="9"/>
    </row>
    <row r="718" spans="1:48" ht="14" customHeight="1" thickBot="1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9"/>
      <c r="AJ718" s="9"/>
      <c r="AK718" s="9"/>
      <c r="AL718" s="9"/>
      <c r="AM718" s="9"/>
      <c r="AN718" s="9"/>
      <c r="AO718" s="9"/>
      <c r="AP718" s="9"/>
      <c r="AQ718" s="9"/>
      <c r="AR718" s="9"/>
      <c r="AS718" s="9"/>
      <c r="AT718" s="9"/>
      <c r="AU718" s="9"/>
      <c r="AV718" s="9"/>
    </row>
    <row r="719" spans="1:48" ht="14" customHeight="1" thickBot="1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  <c r="AI719" s="9"/>
      <c r="AJ719" s="9"/>
      <c r="AK719" s="9"/>
      <c r="AL719" s="9"/>
      <c r="AM719" s="9"/>
      <c r="AN719" s="9"/>
      <c r="AO719" s="9"/>
      <c r="AP719" s="9"/>
      <c r="AQ719" s="9"/>
      <c r="AR719" s="9"/>
      <c r="AS719" s="9"/>
      <c r="AT719" s="9"/>
      <c r="AU719" s="9"/>
      <c r="AV719" s="9"/>
    </row>
    <row r="720" spans="1:48" ht="14" customHeight="1" thickBot="1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  <c r="AI720" s="9"/>
      <c r="AJ720" s="9"/>
      <c r="AK720" s="9"/>
      <c r="AL720" s="9"/>
      <c r="AM720" s="9"/>
      <c r="AN720" s="9"/>
      <c r="AO720" s="9"/>
      <c r="AP720" s="9"/>
      <c r="AQ720" s="9"/>
      <c r="AR720" s="9"/>
      <c r="AS720" s="9"/>
      <c r="AT720" s="9"/>
      <c r="AU720" s="9"/>
      <c r="AV720" s="9"/>
    </row>
    <row r="721" spans="1:48" ht="14" customHeight="1" thickBot="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  <c r="AI721" s="9"/>
      <c r="AJ721" s="9"/>
      <c r="AK721" s="9"/>
      <c r="AL721" s="9"/>
      <c r="AM721" s="9"/>
      <c r="AN721" s="9"/>
      <c r="AO721" s="9"/>
      <c r="AP721" s="9"/>
      <c r="AQ721" s="9"/>
      <c r="AR721" s="9"/>
      <c r="AS721" s="9"/>
      <c r="AT721" s="9"/>
      <c r="AU721" s="9"/>
      <c r="AV721" s="9"/>
    </row>
    <row r="722" spans="1:48" ht="14" customHeight="1" thickBot="1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9"/>
      <c r="AJ722" s="9"/>
      <c r="AK722" s="9"/>
      <c r="AL722" s="9"/>
      <c r="AM722" s="9"/>
      <c r="AN722" s="9"/>
      <c r="AO722" s="9"/>
      <c r="AP722" s="9"/>
      <c r="AQ722" s="9"/>
      <c r="AR722" s="9"/>
      <c r="AS722" s="9"/>
      <c r="AT722" s="9"/>
      <c r="AU722" s="9"/>
      <c r="AV722" s="9"/>
    </row>
    <row r="723" spans="1:48" ht="14" customHeight="1" thickBot="1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  <c r="AH723" s="9"/>
      <c r="AI723" s="9"/>
      <c r="AJ723" s="9"/>
      <c r="AK723" s="9"/>
      <c r="AL723" s="9"/>
      <c r="AM723" s="9"/>
      <c r="AN723" s="9"/>
      <c r="AO723" s="9"/>
      <c r="AP723" s="9"/>
      <c r="AQ723" s="9"/>
      <c r="AR723" s="9"/>
      <c r="AS723" s="9"/>
      <c r="AT723" s="9"/>
      <c r="AU723" s="9"/>
      <c r="AV723" s="9"/>
    </row>
    <row r="724" spans="1:48" ht="14" customHeight="1" thickBot="1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9"/>
      <c r="AJ724" s="9"/>
      <c r="AK724" s="9"/>
      <c r="AL724" s="9"/>
      <c r="AM724" s="9"/>
      <c r="AN724" s="9"/>
      <c r="AO724" s="9"/>
      <c r="AP724" s="9"/>
      <c r="AQ724" s="9"/>
      <c r="AR724" s="9"/>
      <c r="AS724" s="9"/>
      <c r="AT724" s="9"/>
      <c r="AU724" s="9"/>
      <c r="AV724" s="9"/>
    </row>
    <row r="725" spans="1:48" ht="14" customHeight="1" thickBot="1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9"/>
      <c r="AJ725" s="9"/>
      <c r="AK725" s="9"/>
      <c r="AL725" s="9"/>
      <c r="AM725" s="9"/>
      <c r="AN725" s="9"/>
      <c r="AO725" s="9"/>
      <c r="AP725" s="9"/>
      <c r="AQ725" s="9"/>
      <c r="AR725" s="9"/>
      <c r="AS725" s="9"/>
      <c r="AT725" s="9"/>
      <c r="AU725" s="9"/>
      <c r="AV725" s="9"/>
    </row>
    <row r="726" spans="1:48" ht="14" customHeight="1" thickBot="1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9"/>
      <c r="AJ726" s="9"/>
      <c r="AK726" s="9"/>
      <c r="AL726" s="9"/>
      <c r="AM726" s="9"/>
      <c r="AN726" s="9"/>
      <c r="AO726" s="9"/>
      <c r="AP726" s="9"/>
      <c r="AQ726" s="9"/>
      <c r="AR726" s="9"/>
      <c r="AS726" s="9"/>
      <c r="AT726" s="9"/>
      <c r="AU726" s="9"/>
      <c r="AV726" s="9"/>
    </row>
    <row r="727" spans="1:48" ht="14" customHeight="1" thickBot="1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  <c r="AI727" s="9"/>
      <c r="AJ727" s="9"/>
      <c r="AK727" s="9"/>
      <c r="AL727" s="9"/>
      <c r="AM727" s="9"/>
      <c r="AN727" s="9"/>
      <c r="AO727" s="9"/>
      <c r="AP727" s="9"/>
      <c r="AQ727" s="9"/>
      <c r="AR727" s="9"/>
      <c r="AS727" s="9"/>
      <c r="AT727" s="9"/>
      <c r="AU727" s="9"/>
      <c r="AV727" s="9"/>
    </row>
    <row r="728" spans="1:48" ht="14" customHeight="1" thickBot="1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  <c r="AI728" s="9"/>
      <c r="AJ728" s="9"/>
      <c r="AK728" s="9"/>
      <c r="AL728" s="9"/>
      <c r="AM728" s="9"/>
      <c r="AN728" s="9"/>
      <c r="AO728" s="9"/>
      <c r="AP728" s="9"/>
      <c r="AQ728" s="9"/>
      <c r="AR728" s="9"/>
      <c r="AS728" s="9"/>
      <c r="AT728" s="9"/>
      <c r="AU728" s="9"/>
      <c r="AV728" s="9"/>
    </row>
    <row r="729" spans="1:48" ht="14" customHeight="1" thickBot="1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  <c r="AH729" s="9"/>
      <c r="AI729" s="9"/>
      <c r="AJ729" s="9"/>
      <c r="AK729" s="9"/>
      <c r="AL729" s="9"/>
      <c r="AM729" s="9"/>
      <c r="AN729" s="9"/>
      <c r="AO729" s="9"/>
      <c r="AP729" s="9"/>
      <c r="AQ729" s="9"/>
      <c r="AR729" s="9"/>
      <c r="AS729" s="9"/>
      <c r="AT729" s="9"/>
      <c r="AU729" s="9"/>
      <c r="AV729" s="9"/>
    </row>
    <row r="730" spans="1:48" ht="14" customHeight="1" thickBot="1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  <c r="AH730" s="9"/>
      <c r="AI730" s="9"/>
      <c r="AJ730" s="9"/>
      <c r="AK730" s="9"/>
      <c r="AL730" s="9"/>
      <c r="AM730" s="9"/>
      <c r="AN730" s="9"/>
      <c r="AO730" s="9"/>
      <c r="AP730" s="9"/>
      <c r="AQ730" s="9"/>
      <c r="AR730" s="9"/>
      <c r="AS730" s="9"/>
      <c r="AT730" s="9"/>
      <c r="AU730" s="9"/>
      <c r="AV730" s="9"/>
    </row>
    <row r="731" spans="1:48" ht="14" customHeight="1" thickBot="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  <c r="AH731" s="9"/>
      <c r="AI731" s="9"/>
      <c r="AJ731" s="9"/>
      <c r="AK731" s="9"/>
      <c r="AL731" s="9"/>
      <c r="AM731" s="9"/>
      <c r="AN731" s="9"/>
      <c r="AO731" s="9"/>
      <c r="AP731" s="9"/>
      <c r="AQ731" s="9"/>
      <c r="AR731" s="9"/>
      <c r="AS731" s="9"/>
      <c r="AT731" s="9"/>
      <c r="AU731" s="9"/>
      <c r="AV731" s="9"/>
    </row>
    <row r="732" spans="1:48" ht="14" customHeight="1" thickBot="1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  <c r="AH732" s="9"/>
      <c r="AI732" s="9"/>
      <c r="AJ732" s="9"/>
      <c r="AK732" s="9"/>
      <c r="AL732" s="9"/>
      <c r="AM732" s="9"/>
      <c r="AN732" s="9"/>
      <c r="AO732" s="9"/>
      <c r="AP732" s="9"/>
      <c r="AQ732" s="9"/>
      <c r="AR732" s="9"/>
      <c r="AS732" s="9"/>
      <c r="AT732" s="9"/>
      <c r="AU732" s="9"/>
      <c r="AV732" s="9"/>
    </row>
    <row r="733" spans="1:48" ht="14" customHeight="1" thickBot="1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  <c r="AH733" s="9"/>
      <c r="AI733" s="9"/>
      <c r="AJ733" s="9"/>
      <c r="AK733" s="9"/>
      <c r="AL733" s="9"/>
      <c r="AM733" s="9"/>
      <c r="AN733" s="9"/>
      <c r="AO733" s="9"/>
      <c r="AP733" s="9"/>
      <c r="AQ733" s="9"/>
      <c r="AR733" s="9"/>
      <c r="AS733" s="9"/>
      <c r="AT733" s="9"/>
      <c r="AU733" s="9"/>
      <c r="AV733" s="9"/>
    </row>
    <row r="734" spans="1:48" ht="14" customHeight="1" thickBot="1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  <c r="AH734" s="9"/>
      <c r="AI734" s="9"/>
      <c r="AJ734" s="9"/>
      <c r="AK734" s="9"/>
      <c r="AL734" s="9"/>
      <c r="AM734" s="9"/>
      <c r="AN734" s="9"/>
      <c r="AO734" s="9"/>
      <c r="AP734" s="9"/>
      <c r="AQ734" s="9"/>
      <c r="AR734" s="9"/>
      <c r="AS734" s="9"/>
      <c r="AT734" s="9"/>
      <c r="AU734" s="9"/>
      <c r="AV734" s="9"/>
    </row>
    <row r="735" spans="1:48" ht="14" customHeight="1" thickBot="1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  <c r="AH735" s="9"/>
      <c r="AI735" s="9"/>
      <c r="AJ735" s="9"/>
      <c r="AK735" s="9"/>
      <c r="AL735" s="9"/>
      <c r="AM735" s="9"/>
      <c r="AN735" s="9"/>
      <c r="AO735" s="9"/>
      <c r="AP735" s="9"/>
      <c r="AQ735" s="9"/>
      <c r="AR735" s="9"/>
      <c r="AS735" s="9"/>
      <c r="AT735" s="9"/>
      <c r="AU735" s="9"/>
      <c r="AV735" s="9"/>
    </row>
    <row r="736" spans="1:48" ht="14" customHeight="1" thickBot="1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  <c r="AH736" s="9"/>
      <c r="AI736" s="9"/>
      <c r="AJ736" s="9"/>
      <c r="AK736" s="9"/>
      <c r="AL736" s="9"/>
      <c r="AM736" s="9"/>
      <c r="AN736" s="9"/>
      <c r="AO736" s="9"/>
      <c r="AP736" s="9"/>
      <c r="AQ736" s="9"/>
      <c r="AR736" s="9"/>
      <c r="AS736" s="9"/>
      <c r="AT736" s="9"/>
      <c r="AU736" s="9"/>
      <c r="AV736" s="9"/>
    </row>
    <row r="737" spans="1:48" ht="14" customHeight="1" thickBot="1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  <c r="AH737" s="9"/>
      <c r="AI737" s="9"/>
      <c r="AJ737" s="9"/>
      <c r="AK737" s="9"/>
      <c r="AL737" s="9"/>
      <c r="AM737" s="9"/>
      <c r="AN737" s="9"/>
      <c r="AO737" s="9"/>
      <c r="AP737" s="9"/>
      <c r="AQ737" s="9"/>
      <c r="AR737" s="9"/>
      <c r="AS737" s="9"/>
      <c r="AT737" s="9"/>
      <c r="AU737" s="9"/>
      <c r="AV737" s="9"/>
    </row>
    <row r="738" spans="1:48" ht="14" customHeight="1" thickBot="1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  <c r="AH738" s="9"/>
      <c r="AI738" s="9"/>
      <c r="AJ738" s="9"/>
      <c r="AK738" s="9"/>
      <c r="AL738" s="9"/>
      <c r="AM738" s="9"/>
      <c r="AN738" s="9"/>
      <c r="AO738" s="9"/>
      <c r="AP738" s="9"/>
      <c r="AQ738" s="9"/>
      <c r="AR738" s="9"/>
      <c r="AS738" s="9"/>
      <c r="AT738" s="9"/>
      <c r="AU738" s="9"/>
      <c r="AV738" s="9"/>
    </row>
    <row r="739" spans="1:48" ht="14" customHeight="1" thickBot="1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  <c r="AH739" s="9"/>
      <c r="AI739" s="9"/>
      <c r="AJ739" s="9"/>
      <c r="AK739" s="9"/>
      <c r="AL739" s="9"/>
      <c r="AM739" s="9"/>
      <c r="AN739" s="9"/>
      <c r="AO739" s="9"/>
      <c r="AP739" s="9"/>
      <c r="AQ739" s="9"/>
      <c r="AR739" s="9"/>
      <c r="AS739" s="9"/>
      <c r="AT739" s="9"/>
      <c r="AU739" s="9"/>
      <c r="AV739" s="9"/>
    </row>
    <row r="740" spans="1:48" ht="14" customHeight="1" thickBot="1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  <c r="AH740" s="9"/>
      <c r="AI740" s="9"/>
      <c r="AJ740" s="9"/>
      <c r="AK740" s="9"/>
      <c r="AL740" s="9"/>
      <c r="AM740" s="9"/>
      <c r="AN740" s="9"/>
      <c r="AO740" s="9"/>
      <c r="AP740" s="9"/>
      <c r="AQ740" s="9"/>
      <c r="AR740" s="9"/>
      <c r="AS740" s="9"/>
      <c r="AT740" s="9"/>
      <c r="AU740" s="9"/>
      <c r="AV740" s="9"/>
    </row>
    <row r="741" spans="1:48" ht="14" customHeight="1" thickBot="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  <c r="AH741" s="9"/>
      <c r="AI741" s="9"/>
      <c r="AJ741" s="9"/>
      <c r="AK741" s="9"/>
      <c r="AL741" s="9"/>
      <c r="AM741" s="9"/>
      <c r="AN741" s="9"/>
      <c r="AO741" s="9"/>
      <c r="AP741" s="9"/>
      <c r="AQ741" s="9"/>
      <c r="AR741" s="9"/>
      <c r="AS741" s="9"/>
      <c r="AT741" s="9"/>
      <c r="AU741" s="9"/>
      <c r="AV741" s="9"/>
    </row>
    <row r="742" spans="1:48" ht="14" customHeight="1" thickBot="1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  <c r="AI742" s="9"/>
      <c r="AJ742" s="9"/>
      <c r="AK742" s="9"/>
      <c r="AL742" s="9"/>
      <c r="AM742" s="9"/>
      <c r="AN742" s="9"/>
      <c r="AO742" s="9"/>
      <c r="AP742" s="9"/>
      <c r="AQ742" s="9"/>
      <c r="AR742" s="9"/>
      <c r="AS742" s="9"/>
      <c r="AT742" s="9"/>
      <c r="AU742" s="9"/>
      <c r="AV742" s="9"/>
    </row>
    <row r="743" spans="1:48" ht="14" customHeight="1" thickBot="1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  <c r="AI743" s="9"/>
      <c r="AJ743" s="9"/>
      <c r="AK743" s="9"/>
      <c r="AL743" s="9"/>
      <c r="AM743" s="9"/>
      <c r="AN743" s="9"/>
      <c r="AO743" s="9"/>
      <c r="AP743" s="9"/>
      <c r="AQ743" s="9"/>
      <c r="AR743" s="9"/>
      <c r="AS743" s="9"/>
      <c r="AT743" s="9"/>
      <c r="AU743" s="9"/>
      <c r="AV743" s="9"/>
    </row>
    <row r="744" spans="1:48" ht="14" customHeight="1" thickBot="1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  <c r="AH744" s="9"/>
      <c r="AI744" s="9"/>
      <c r="AJ744" s="9"/>
      <c r="AK744" s="9"/>
      <c r="AL744" s="9"/>
      <c r="AM744" s="9"/>
      <c r="AN744" s="9"/>
      <c r="AO744" s="9"/>
      <c r="AP744" s="9"/>
      <c r="AQ744" s="9"/>
      <c r="AR744" s="9"/>
      <c r="AS744" s="9"/>
      <c r="AT744" s="9"/>
      <c r="AU744" s="9"/>
      <c r="AV744" s="9"/>
    </row>
    <row r="745" spans="1:48" ht="14" customHeight="1" thickBot="1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  <c r="AI745" s="9"/>
      <c r="AJ745" s="9"/>
      <c r="AK745" s="9"/>
      <c r="AL745" s="9"/>
      <c r="AM745" s="9"/>
      <c r="AN745" s="9"/>
      <c r="AO745" s="9"/>
      <c r="AP745" s="9"/>
      <c r="AQ745" s="9"/>
      <c r="AR745" s="9"/>
      <c r="AS745" s="9"/>
      <c r="AT745" s="9"/>
      <c r="AU745" s="9"/>
      <c r="AV745" s="9"/>
    </row>
    <row r="746" spans="1:48" ht="14" customHeight="1" thickBot="1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  <c r="AI746" s="9"/>
      <c r="AJ746" s="9"/>
      <c r="AK746" s="9"/>
      <c r="AL746" s="9"/>
      <c r="AM746" s="9"/>
      <c r="AN746" s="9"/>
      <c r="AO746" s="9"/>
      <c r="AP746" s="9"/>
      <c r="AQ746" s="9"/>
      <c r="AR746" s="9"/>
      <c r="AS746" s="9"/>
      <c r="AT746" s="9"/>
      <c r="AU746" s="9"/>
      <c r="AV746" s="9"/>
    </row>
    <row r="747" spans="1:48" ht="14" customHeight="1" thickBot="1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  <c r="AJ747" s="9"/>
      <c r="AK747" s="9"/>
      <c r="AL747" s="9"/>
      <c r="AM747" s="9"/>
      <c r="AN747" s="9"/>
      <c r="AO747" s="9"/>
      <c r="AP747" s="9"/>
      <c r="AQ747" s="9"/>
      <c r="AR747" s="9"/>
      <c r="AS747" s="9"/>
      <c r="AT747" s="9"/>
      <c r="AU747" s="9"/>
      <c r="AV747" s="9"/>
    </row>
    <row r="748" spans="1:48" ht="14" customHeight="1" thickBot="1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  <c r="AI748" s="9"/>
      <c r="AJ748" s="9"/>
      <c r="AK748" s="9"/>
      <c r="AL748" s="9"/>
      <c r="AM748" s="9"/>
      <c r="AN748" s="9"/>
      <c r="AO748" s="9"/>
      <c r="AP748" s="9"/>
      <c r="AQ748" s="9"/>
      <c r="AR748" s="9"/>
      <c r="AS748" s="9"/>
      <c r="AT748" s="9"/>
      <c r="AU748" s="9"/>
      <c r="AV748" s="9"/>
    </row>
    <row r="749" spans="1:48" ht="14" customHeight="1" thickBot="1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  <c r="AJ749" s="9"/>
      <c r="AK749" s="9"/>
      <c r="AL749" s="9"/>
      <c r="AM749" s="9"/>
      <c r="AN749" s="9"/>
      <c r="AO749" s="9"/>
      <c r="AP749" s="9"/>
      <c r="AQ749" s="9"/>
      <c r="AR749" s="9"/>
      <c r="AS749" s="9"/>
      <c r="AT749" s="9"/>
      <c r="AU749" s="9"/>
      <c r="AV749" s="9"/>
    </row>
    <row r="750" spans="1:48" ht="14" customHeight="1" thickBot="1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  <c r="AI750" s="9"/>
      <c r="AJ750" s="9"/>
      <c r="AK750" s="9"/>
      <c r="AL750" s="9"/>
      <c r="AM750" s="9"/>
      <c r="AN750" s="9"/>
      <c r="AO750" s="9"/>
      <c r="AP750" s="9"/>
      <c r="AQ750" s="9"/>
      <c r="AR750" s="9"/>
      <c r="AS750" s="9"/>
      <c r="AT750" s="9"/>
      <c r="AU750" s="9"/>
      <c r="AV750" s="9"/>
    </row>
    <row r="751" spans="1:48" ht="14" customHeight="1" thickBot="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  <c r="AJ751" s="9"/>
      <c r="AK751" s="9"/>
      <c r="AL751" s="9"/>
      <c r="AM751" s="9"/>
      <c r="AN751" s="9"/>
      <c r="AO751" s="9"/>
      <c r="AP751" s="9"/>
      <c r="AQ751" s="9"/>
      <c r="AR751" s="9"/>
      <c r="AS751" s="9"/>
      <c r="AT751" s="9"/>
      <c r="AU751" s="9"/>
      <c r="AV751" s="9"/>
    </row>
    <row r="752" spans="1:48" ht="14" customHeight="1" thickBot="1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  <c r="AH752" s="9"/>
      <c r="AI752" s="9"/>
      <c r="AJ752" s="9"/>
      <c r="AK752" s="9"/>
      <c r="AL752" s="9"/>
      <c r="AM752" s="9"/>
      <c r="AN752" s="9"/>
      <c r="AO752" s="9"/>
      <c r="AP752" s="9"/>
      <c r="AQ752" s="9"/>
      <c r="AR752" s="9"/>
      <c r="AS752" s="9"/>
      <c r="AT752" s="9"/>
      <c r="AU752" s="9"/>
      <c r="AV752" s="9"/>
    </row>
    <row r="753" spans="1:48" ht="14" customHeight="1" thickBot="1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9"/>
      <c r="AI753" s="9"/>
      <c r="AJ753" s="9"/>
      <c r="AK753" s="9"/>
      <c r="AL753" s="9"/>
      <c r="AM753" s="9"/>
      <c r="AN753" s="9"/>
      <c r="AO753" s="9"/>
      <c r="AP753" s="9"/>
      <c r="AQ753" s="9"/>
      <c r="AR753" s="9"/>
      <c r="AS753" s="9"/>
      <c r="AT753" s="9"/>
      <c r="AU753" s="9"/>
      <c r="AV753" s="9"/>
    </row>
    <row r="754" spans="1:48" ht="14" customHeight="1" thickBot="1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  <c r="AH754" s="9"/>
      <c r="AI754" s="9"/>
      <c r="AJ754" s="9"/>
      <c r="AK754" s="9"/>
      <c r="AL754" s="9"/>
      <c r="AM754" s="9"/>
      <c r="AN754" s="9"/>
      <c r="AO754" s="9"/>
      <c r="AP754" s="9"/>
      <c r="AQ754" s="9"/>
      <c r="AR754" s="9"/>
      <c r="AS754" s="9"/>
      <c r="AT754" s="9"/>
      <c r="AU754" s="9"/>
      <c r="AV754" s="9"/>
    </row>
    <row r="755" spans="1:48" ht="14" customHeight="1" thickBot="1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  <c r="AI755" s="9"/>
      <c r="AJ755" s="9"/>
      <c r="AK755" s="9"/>
      <c r="AL755" s="9"/>
      <c r="AM755" s="9"/>
      <c r="AN755" s="9"/>
      <c r="AO755" s="9"/>
      <c r="AP755" s="9"/>
      <c r="AQ755" s="9"/>
      <c r="AR755" s="9"/>
      <c r="AS755" s="9"/>
      <c r="AT755" s="9"/>
      <c r="AU755" s="9"/>
      <c r="AV755" s="9"/>
    </row>
    <row r="756" spans="1:48" ht="14" customHeight="1" thickBot="1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  <c r="AH756" s="9"/>
      <c r="AI756" s="9"/>
      <c r="AJ756" s="9"/>
      <c r="AK756" s="9"/>
      <c r="AL756" s="9"/>
      <c r="AM756" s="9"/>
      <c r="AN756" s="9"/>
      <c r="AO756" s="9"/>
      <c r="AP756" s="9"/>
      <c r="AQ756" s="9"/>
      <c r="AR756" s="9"/>
      <c r="AS756" s="9"/>
      <c r="AT756" s="9"/>
      <c r="AU756" s="9"/>
      <c r="AV756" s="9"/>
    </row>
    <row r="757" spans="1:48" ht="14" customHeight="1" thickBot="1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  <c r="AI757" s="9"/>
      <c r="AJ757" s="9"/>
      <c r="AK757" s="9"/>
      <c r="AL757" s="9"/>
      <c r="AM757" s="9"/>
      <c r="AN757" s="9"/>
      <c r="AO757" s="9"/>
      <c r="AP757" s="9"/>
      <c r="AQ757" s="9"/>
      <c r="AR757" s="9"/>
      <c r="AS757" s="9"/>
      <c r="AT757" s="9"/>
      <c r="AU757" s="9"/>
      <c r="AV757" s="9"/>
    </row>
    <row r="758" spans="1:48" ht="14" customHeight="1" thickBot="1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  <c r="AH758" s="9"/>
      <c r="AI758" s="9"/>
      <c r="AJ758" s="9"/>
      <c r="AK758" s="9"/>
      <c r="AL758" s="9"/>
      <c r="AM758" s="9"/>
      <c r="AN758" s="9"/>
      <c r="AO758" s="9"/>
      <c r="AP758" s="9"/>
      <c r="AQ758" s="9"/>
      <c r="AR758" s="9"/>
      <c r="AS758" s="9"/>
      <c r="AT758" s="9"/>
      <c r="AU758" s="9"/>
      <c r="AV758" s="9"/>
    </row>
    <row r="759" spans="1:48" ht="14" customHeight="1" thickBot="1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  <c r="AH759" s="9"/>
      <c r="AI759" s="9"/>
      <c r="AJ759" s="9"/>
      <c r="AK759" s="9"/>
      <c r="AL759" s="9"/>
      <c r="AM759" s="9"/>
      <c r="AN759" s="9"/>
      <c r="AO759" s="9"/>
      <c r="AP759" s="9"/>
      <c r="AQ759" s="9"/>
      <c r="AR759" s="9"/>
      <c r="AS759" s="9"/>
      <c r="AT759" s="9"/>
      <c r="AU759" s="9"/>
      <c r="AV759" s="9"/>
    </row>
    <row r="760" spans="1:48" ht="14" customHeight="1" thickBot="1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  <c r="AI760" s="9"/>
      <c r="AJ760" s="9"/>
      <c r="AK760" s="9"/>
      <c r="AL760" s="9"/>
      <c r="AM760" s="9"/>
      <c r="AN760" s="9"/>
      <c r="AO760" s="9"/>
      <c r="AP760" s="9"/>
      <c r="AQ760" s="9"/>
      <c r="AR760" s="9"/>
      <c r="AS760" s="9"/>
      <c r="AT760" s="9"/>
      <c r="AU760" s="9"/>
      <c r="AV760" s="9"/>
    </row>
    <row r="761" spans="1:48" ht="14" customHeight="1" thickBot="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  <c r="AI761" s="9"/>
      <c r="AJ761" s="9"/>
      <c r="AK761" s="9"/>
      <c r="AL761" s="9"/>
      <c r="AM761" s="9"/>
      <c r="AN761" s="9"/>
      <c r="AO761" s="9"/>
      <c r="AP761" s="9"/>
      <c r="AQ761" s="9"/>
      <c r="AR761" s="9"/>
      <c r="AS761" s="9"/>
      <c r="AT761" s="9"/>
      <c r="AU761" s="9"/>
      <c r="AV761" s="9"/>
    </row>
    <row r="762" spans="1:48" ht="14" customHeight="1" thickBot="1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  <c r="AH762" s="9"/>
      <c r="AI762" s="9"/>
      <c r="AJ762" s="9"/>
      <c r="AK762" s="9"/>
      <c r="AL762" s="9"/>
      <c r="AM762" s="9"/>
      <c r="AN762" s="9"/>
      <c r="AO762" s="9"/>
      <c r="AP762" s="9"/>
      <c r="AQ762" s="9"/>
      <c r="AR762" s="9"/>
      <c r="AS762" s="9"/>
      <c r="AT762" s="9"/>
      <c r="AU762" s="9"/>
      <c r="AV762" s="9"/>
    </row>
    <row r="763" spans="1:48" ht="14" customHeight="1" thickBot="1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  <c r="AH763" s="9"/>
      <c r="AI763" s="9"/>
      <c r="AJ763" s="9"/>
      <c r="AK763" s="9"/>
      <c r="AL763" s="9"/>
      <c r="AM763" s="9"/>
      <c r="AN763" s="9"/>
      <c r="AO763" s="9"/>
      <c r="AP763" s="9"/>
      <c r="AQ763" s="9"/>
      <c r="AR763" s="9"/>
      <c r="AS763" s="9"/>
      <c r="AT763" s="9"/>
      <c r="AU763" s="9"/>
      <c r="AV763" s="9"/>
    </row>
    <row r="764" spans="1:48" ht="14" customHeight="1" thickBot="1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  <c r="AH764" s="9"/>
      <c r="AI764" s="9"/>
      <c r="AJ764" s="9"/>
      <c r="AK764" s="9"/>
      <c r="AL764" s="9"/>
      <c r="AM764" s="9"/>
      <c r="AN764" s="9"/>
      <c r="AO764" s="9"/>
      <c r="AP764" s="9"/>
      <c r="AQ764" s="9"/>
      <c r="AR764" s="9"/>
      <c r="AS764" s="9"/>
      <c r="AT764" s="9"/>
      <c r="AU764" s="9"/>
      <c r="AV764" s="9"/>
    </row>
    <row r="765" spans="1:48" ht="14" customHeight="1" thickBot="1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  <c r="AI765" s="9"/>
      <c r="AJ765" s="9"/>
      <c r="AK765" s="9"/>
      <c r="AL765" s="9"/>
      <c r="AM765" s="9"/>
      <c r="AN765" s="9"/>
      <c r="AO765" s="9"/>
      <c r="AP765" s="9"/>
      <c r="AQ765" s="9"/>
      <c r="AR765" s="9"/>
      <c r="AS765" s="9"/>
      <c r="AT765" s="9"/>
      <c r="AU765" s="9"/>
      <c r="AV765" s="9"/>
    </row>
    <row r="766" spans="1:48" ht="14" customHeight="1" thickBot="1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9"/>
      <c r="AJ766" s="9"/>
      <c r="AK766" s="9"/>
      <c r="AL766" s="9"/>
      <c r="AM766" s="9"/>
      <c r="AN766" s="9"/>
      <c r="AO766" s="9"/>
      <c r="AP766" s="9"/>
      <c r="AQ766" s="9"/>
      <c r="AR766" s="9"/>
      <c r="AS766" s="9"/>
      <c r="AT766" s="9"/>
      <c r="AU766" s="9"/>
      <c r="AV766" s="9"/>
    </row>
    <row r="767" spans="1:48" ht="14" customHeight="1" thickBot="1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9"/>
      <c r="AI767" s="9"/>
      <c r="AJ767" s="9"/>
      <c r="AK767" s="9"/>
      <c r="AL767" s="9"/>
      <c r="AM767" s="9"/>
      <c r="AN767" s="9"/>
      <c r="AO767" s="9"/>
      <c r="AP767" s="9"/>
      <c r="AQ767" s="9"/>
      <c r="AR767" s="9"/>
      <c r="AS767" s="9"/>
      <c r="AT767" s="9"/>
      <c r="AU767" s="9"/>
      <c r="AV767" s="9"/>
    </row>
    <row r="768" spans="1:48" ht="14" customHeight="1" thickBot="1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  <c r="AH768" s="9"/>
      <c r="AI768" s="9"/>
      <c r="AJ768" s="9"/>
      <c r="AK768" s="9"/>
      <c r="AL768" s="9"/>
      <c r="AM768" s="9"/>
      <c r="AN768" s="9"/>
      <c r="AO768" s="9"/>
      <c r="AP768" s="9"/>
      <c r="AQ768" s="9"/>
      <c r="AR768" s="9"/>
      <c r="AS768" s="9"/>
      <c r="AT768" s="9"/>
      <c r="AU768" s="9"/>
      <c r="AV768" s="9"/>
    </row>
    <row r="769" spans="1:48" ht="14" customHeight="1" thickBot="1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  <c r="AH769" s="9"/>
      <c r="AI769" s="9"/>
      <c r="AJ769" s="9"/>
      <c r="AK769" s="9"/>
      <c r="AL769" s="9"/>
      <c r="AM769" s="9"/>
      <c r="AN769" s="9"/>
      <c r="AO769" s="9"/>
      <c r="AP769" s="9"/>
      <c r="AQ769" s="9"/>
      <c r="AR769" s="9"/>
      <c r="AS769" s="9"/>
      <c r="AT769" s="9"/>
      <c r="AU769" s="9"/>
      <c r="AV769" s="9"/>
    </row>
    <row r="770" spans="1:48" ht="14" customHeight="1" thickBot="1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  <c r="AH770" s="9"/>
      <c r="AI770" s="9"/>
      <c r="AJ770" s="9"/>
      <c r="AK770" s="9"/>
      <c r="AL770" s="9"/>
      <c r="AM770" s="9"/>
      <c r="AN770" s="9"/>
      <c r="AO770" s="9"/>
      <c r="AP770" s="9"/>
      <c r="AQ770" s="9"/>
      <c r="AR770" s="9"/>
      <c r="AS770" s="9"/>
      <c r="AT770" s="9"/>
      <c r="AU770" s="9"/>
      <c r="AV770" s="9"/>
    </row>
    <row r="771" spans="1:48" ht="14" customHeight="1" thickBot="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  <c r="AH771" s="9"/>
      <c r="AI771" s="9"/>
      <c r="AJ771" s="9"/>
      <c r="AK771" s="9"/>
      <c r="AL771" s="9"/>
      <c r="AM771" s="9"/>
      <c r="AN771" s="9"/>
      <c r="AO771" s="9"/>
      <c r="AP771" s="9"/>
      <c r="AQ771" s="9"/>
      <c r="AR771" s="9"/>
      <c r="AS771" s="9"/>
      <c r="AT771" s="9"/>
      <c r="AU771" s="9"/>
      <c r="AV771" s="9"/>
    </row>
    <row r="772" spans="1:48" ht="14" customHeight="1" thickBot="1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  <c r="AH772" s="9"/>
      <c r="AI772" s="9"/>
      <c r="AJ772" s="9"/>
      <c r="AK772" s="9"/>
      <c r="AL772" s="9"/>
      <c r="AM772" s="9"/>
      <c r="AN772" s="9"/>
      <c r="AO772" s="9"/>
      <c r="AP772" s="9"/>
      <c r="AQ772" s="9"/>
      <c r="AR772" s="9"/>
      <c r="AS772" s="9"/>
      <c r="AT772" s="9"/>
      <c r="AU772" s="9"/>
      <c r="AV772" s="9"/>
    </row>
    <row r="773" spans="1:48" ht="14" customHeight="1" thickBot="1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  <c r="AH773" s="9"/>
      <c r="AI773" s="9"/>
      <c r="AJ773" s="9"/>
      <c r="AK773" s="9"/>
      <c r="AL773" s="9"/>
      <c r="AM773" s="9"/>
      <c r="AN773" s="9"/>
      <c r="AO773" s="9"/>
      <c r="AP773" s="9"/>
      <c r="AQ773" s="9"/>
      <c r="AR773" s="9"/>
      <c r="AS773" s="9"/>
      <c r="AT773" s="9"/>
      <c r="AU773" s="9"/>
      <c r="AV773" s="9"/>
    </row>
    <row r="774" spans="1:48" ht="14" customHeight="1" thickBot="1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  <c r="AH774" s="9"/>
      <c r="AI774" s="9"/>
      <c r="AJ774" s="9"/>
      <c r="AK774" s="9"/>
      <c r="AL774" s="9"/>
      <c r="AM774" s="9"/>
      <c r="AN774" s="9"/>
      <c r="AO774" s="9"/>
      <c r="AP774" s="9"/>
      <c r="AQ774" s="9"/>
      <c r="AR774" s="9"/>
      <c r="AS774" s="9"/>
      <c r="AT774" s="9"/>
      <c r="AU774" s="9"/>
      <c r="AV774" s="9"/>
    </row>
    <row r="775" spans="1:48" ht="14" customHeight="1" thickBot="1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  <c r="AH775" s="9"/>
      <c r="AI775" s="9"/>
      <c r="AJ775" s="9"/>
      <c r="AK775" s="9"/>
      <c r="AL775" s="9"/>
      <c r="AM775" s="9"/>
      <c r="AN775" s="9"/>
      <c r="AO775" s="9"/>
      <c r="AP775" s="9"/>
      <c r="AQ775" s="9"/>
      <c r="AR775" s="9"/>
      <c r="AS775" s="9"/>
      <c r="AT775" s="9"/>
      <c r="AU775" s="9"/>
      <c r="AV775" s="9"/>
    </row>
    <row r="776" spans="1:48" ht="14" customHeight="1" thickBot="1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  <c r="AH776" s="9"/>
      <c r="AI776" s="9"/>
      <c r="AJ776" s="9"/>
      <c r="AK776" s="9"/>
      <c r="AL776" s="9"/>
      <c r="AM776" s="9"/>
      <c r="AN776" s="9"/>
      <c r="AO776" s="9"/>
      <c r="AP776" s="9"/>
      <c r="AQ776" s="9"/>
      <c r="AR776" s="9"/>
      <c r="AS776" s="9"/>
      <c r="AT776" s="9"/>
      <c r="AU776" s="9"/>
      <c r="AV776" s="9"/>
    </row>
    <row r="777" spans="1:48" ht="14" customHeight="1" thickBot="1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  <c r="AH777" s="9"/>
      <c r="AI777" s="9"/>
      <c r="AJ777" s="9"/>
      <c r="AK777" s="9"/>
      <c r="AL777" s="9"/>
      <c r="AM777" s="9"/>
      <c r="AN777" s="9"/>
      <c r="AO777" s="9"/>
      <c r="AP777" s="9"/>
      <c r="AQ777" s="9"/>
      <c r="AR777" s="9"/>
      <c r="AS777" s="9"/>
      <c r="AT777" s="9"/>
      <c r="AU777" s="9"/>
      <c r="AV777" s="9"/>
    </row>
    <row r="778" spans="1:48" ht="14" customHeight="1" thickBot="1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  <c r="AH778" s="9"/>
      <c r="AI778" s="9"/>
      <c r="AJ778" s="9"/>
      <c r="AK778" s="9"/>
      <c r="AL778" s="9"/>
      <c r="AM778" s="9"/>
      <c r="AN778" s="9"/>
      <c r="AO778" s="9"/>
      <c r="AP778" s="9"/>
      <c r="AQ778" s="9"/>
      <c r="AR778" s="9"/>
      <c r="AS778" s="9"/>
      <c r="AT778" s="9"/>
      <c r="AU778" s="9"/>
      <c r="AV778" s="9"/>
    </row>
    <row r="779" spans="1:48" ht="14" customHeight="1" thickBot="1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  <c r="AH779" s="9"/>
      <c r="AI779" s="9"/>
      <c r="AJ779" s="9"/>
      <c r="AK779" s="9"/>
      <c r="AL779" s="9"/>
      <c r="AM779" s="9"/>
      <c r="AN779" s="9"/>
      <c r="AO779" s="9"/>
      <c r="AP779" s="9"/>
      <c r="AQ779" s="9"/>
      <c r="AR779" s="9"/>
      <c r="AS779" s="9"/>
      <c r="AT779" s="9"/>
      <c r="AU779" s="9"/>
      <c r="AV779" s="9"/>
    </row>
    <row r="780" spans="1:48" ht="14" customHeight="1" thickBot="1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  <c r="AH780" s="9"/>
      <c r="AI780" s="9"/>
      <c r="AJ780" s="9"/>
      <c r="AK780" s="9"/>
      <c r="AL780" s="9"/>
      <c r="AM780" s="9"/>
      <c r="AN780" s="9"/>
      <c r="AO780" s="9"/>
      <c r="AP780" s="9"/>
      <c r="AQ780" s="9"/>
      <c r="AR780" s="9"/>
      <c r="AS780" s="9"/>
      <c r="AT780" s="9"/>
      <c r="AU780" s="9"/>
      <c r="AV780" s="9"/>
    </row>
    <row r="781" spans="1:48" ht="14" customHeight="1" thickBot="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  <c r="AH781" s="9"/>
      <c r="AI781" s="9"/>
      <c r="AJ781" s="9"/>
      <c r="AK781" s="9"/>
      <c r="AL781" s="9"/>
      <c r="AM781" s="9"/>
      <c r="AN781" s="9"/>
      <c r="AO781" s="9"/>
      <c r="AP781" s="9"/>
      <c r="AQ781" s="9"/>
      <c r="AR781" s="9"/>
      <c r="AS781" s="9"/>
      <c r="AT781" s="9"/>
      <c r="AU781" s="9"/>
      <c r="AV781" s="9"/>
    </row>
    <row r="782" spans="1:48" ht="14" customHeight="1" thickBot="1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  <c r="AH782" s="9"/>
      <c r="AI782" s="9"/>
      <c r="AJ782" s="9"/>
      <c r="AK782" s="9"/>
      <c r="AL782" s="9"/>
      <c r="AM782" s="9"/>
      <c r="AN782" s="9"/>
      <c r="AO782" s="9"/>
      <c r="AP782" s="9"/>
      <c r="AQ782" s="9"/>
      <c r="AR782" s="9"/>
      <c r="AS782" s="9"/>
      <c r="AT782" s="9"/>
      <c r="AU782" s="9"/>
      <c r="AV782" s="9"/>
    </row>
    <row r="783" spans="1:48" ht="14" customHeight="1" thickBot="1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  <c r="AH783" s="9"/>
      <c r="AI783" s="9"/>
      <c r="AJ783" s="9"/>
      <c r="AK783" s="9"/>
      <c r="AL783" s="9"/>
      <c r="AM783" s="9"/>
      <c r="AN783" s="9"/>
      <c r="AO783" s="9"/>
      <c r="AP783" s="9"/>
      <c r="AQ783" s="9"/>
      <c r="AR783" s="9"/>
      <c r="AS783" s="9"/>
      <c r="AT783" s="9"/>
      <c r="AU783" s="9"/>
      <c r="AV783" s="9"/>
    </row>
    <row r="784" spans="1:48" ht="14" customHeight="1" thickBot="1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  <c r="AH784" s="9"/>
      <c r="AI784" s="9"/>
      <c r="AJ784" s="9"/>
      <c r="AK784" s="9"/>
      <c r="AL784" s="9"/>
      <c r="AM784" s="9"/>
      <c r="AN784" s="9"/>
      <c r="AO784" s="9"/>
      <c r="AP784" s="9"/>
      <c r="AQ784" s="9"/>
      <c r="AR784" s="9"/>
      <c r="AS784" s="9"/>
      <c r="AT784" s="9"/>
      <c r="AU784" s="9"/>
      <c r="AV784" s="9"/>
    </row>
    <row r="785" spans="1:48" ht="14" customHeight="1" thickBot="1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  <c r="AH785" s="9"/>
      <c r="AI785" s="9"/>
      <c r="AJ785" s="9"/>
      <c r="AK785" s="9"/>
      <c r="AL785" s="9"/>
      <c r="AM785" s="9"/>
      <c r="AN785" s="9"/>
      <c r="AO785" s="9"/>
      <c r="AP785" s="9"/>
      <c r="AQ785" s="9"/>
      <c r="AR785" s="9"/>
      <c r="AS785" s="9"/>
      <c r="AT785" s="9"/>
      <c r="AU785" s="9"/>
      <c r="AV785" s="9"/>
    </row>
    <row r="786" spans="1:48" ht="14" customHeight="1" thickBot="1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  <c r="AH786" s="9"/>
      <c r="AI786" s="9"/>
      <c r="AJ786" s="9"/>
      <c r="AK786" s="9"/>
      <c r="AL786" s="9"/>
      <c r="AM786" s="9"/>
      <c r="AN786" s="9"/>
      <c r="AO786" s="9"/>
      <c r="AP786" s="9"/>
      <c r="AQ786" s="9"/>
      <c r="AR786" s="9"/>
      <c r="AS786" s="9"/>
      <c r="AT786" s="9"/>
      <c r="AU786" s="9"/>
      <c r="AV786" s="9"/>
    </row>
    <row r="787" spans="1:48" ht="14" customHeight="1" thickBot="1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  <c r="AI787" s="9"/>
      <c r="AJ787" s="9"/>
      <c r="AK787" s="9"/>
      <c r="AL787" s="9"/>
      <c r="AM787" s="9"/>
      <c r="AN787" s="9"/>
      <c r="AO787" s="9"/>
      <c r="AP787" s="9"/>
      <c r="AQ787" s="9"/>
      <c r="AR787" s="9"/>
      <c r="AS787" s="9"/>
      <c r="AT787" s="9"/>
      <c r="AU787" s="9"/>
      <c r="AV787" s="9"/>
    </row>
    <row r="788" spans="1:48" ht="14" customHeight="1" thickBot="1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  <c r="AI788" s="9"/>
      <c r="AJ788" s="9"/>
      <c r="AK788" s="9"/>
      <c r="AL788" s="9"/>
      <c r="AM788" s="9"/>
      <c r="AN788" s="9"/>
      <c r="AO788" s="9"/>
      <c r="AP788" s="9"/>
      <c r="AQ788" s="9"/>
      <c r="AR788" s="9"/>
      <c r="AS788" s="9"/>
      <c r="AT788" s="9"/>
      <c r="AU788" s="9"/>
      <c r="AV788" s="9"/>
    </row>
    <row r="789" spans="1:48" ht="14" customHeight="1" thickBot="1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  <c r="AH789" s="9"/>
      <c r="AI789" s="9"/>
      <c r="AJ789" s="9"/>
      <c r="AK789" s="9"/>
      <c r="AL789" s="9"/>
      <c r="AM789" s="9"/>
      <c r="AN789" s="9"/>
      <c r="AO789" s="9"/>
      <c r="AP789" s="9"/>
      <c r="AQ789" s="9"/>
      <c r="AR789" s="9"/>
      <c r="AS789" s="9"/>
      <c r="AT789" s="9"/>
      <c r="AU789" s="9"/>
      <c r="AV789" s="9"/>
    </row>
    <row r="790" spans="1:48" ht="14" customHeight="1" thickBot="1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  <c r="AI790" s="9"/>
      <c r="AJ790" s="9"/>
      <c r="AK790" s="9"/>
      <c r="AL790" s="9"/>
      <c r="AM790" s="9"/>
      <c r="AN790" s="9"/>
      <c r="AO790" s="9"/>
      <c r="AP790" s="9"/>
      <c r="AQ790" s="9"/>
      <c r="AR790" s="9"/>
      <c r="AS790" s="9"/>
      <c r="AT790" s="9"/>
      <c r="AU790" s="9"/>
      <c r="AV790" s="9"/>
    </row>
    <row r="791" spans="1:48" ht="14" customHeight="1" thickBot="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9"/>
      <c r="AI791" s="9"/>
      <c r="AJ791" s="9"/>
      <c r="AK791" s="9"/>
      <c r="AL791" s="9"/>
      <c r="AM791" s="9"/>
      <c r="AN791" s="9"/>
      <c r="AO791" s="9"/>
      <c r="AP791" s="9"/>
      <c r="AQ791" s="9"/>
      <c r="AR791" s="9"/>
      <c r="AS791" s="9"/>
      <c r="AT791" s="9"/>
      <c r="AU791" s="9"/>
      <c r="AV791" s="9"/>
    </row>
    <row r="792" spans="1:48" ht="14" customHeight="1" thickBot="1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  <c r="AH792" s="9"/>
      <c r="AI792" s="9"/>
      <c r="AJ792" s="9"/>
      <c r="AK792" s="9"/>
      <c r="AL792" s="9"/>
      <c r="AM792" s="9"/>
      <c r="AN792" s="9"/>
      <c r="AO792" s="9"/>
      <c r="AP792" s="9"/>
      <c r="AQ792" s="9"/>
      <c r="AR792" s="9"/>
      <c r="AS792" s="9"/>
      <c r="AT792" s="9"/>
      <c r="AU792" s="9"/>
      <c r="AV792" s="9"/>
    </row>
    <row r="793" spans="1:48" ht="14" customHeight="1" thickBot="1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  <c r="AH793" s="9"/>
      <c r="AI793" s="9"/>
      <c r="AJ793" s="9"/>
      <c r="AK793" s="9"/>
      <c r="AL793" s="9"/>
      <c r="AM793" s="9"/>
      <c r="AN793" s="9"/>
      <c r="AO793" s="9"/>
      <c r="AP793" s="9"/>
      <c r="AQ793" s="9"/>
      <c r="AR793" s="9"/>
      <c r="AS793" s="9"/>
      <c r="AT793" s="9"/>
      <c r="AU793" s="9"/>
      <c r="AV793" s="9"/>
    </row>
    <row r="794" spans="1:48" ht="14" customHeight="1" thickBot="1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9"/>
      <c r="AI794" s="9"/>
      <c r="AJ794" s="9"/>
      <c r="AK794" s="9"/>
      <c r="AL794" s="9"/>
      <c r="AM794" s="9"/>
      <c r="AN794" s="9"/>
      <c r="AO794" s="9"/>
      <c r="AP794" s="9"/>
      <c r="AQ794" s="9"/>
      <c r="AR794" s="9"/>
      <c r="AS794" s="9"/>
      <c r="AT794" s="9"/>
      <c r="AU794" s="9"/>
      <c r="AV794" s="9"/>
    </row>
    <row r="795" spans="1:48" ht="14" customHeight="1" thickBot="1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  <c r="AI795" s="9"/>
      <c r="AJ795" s="9"/>
      <c r="AK795" s="9"/>
      <c r="AL795" s="9"/>
      <c r="AM795" s="9"/>
      <c r="AN795" s="9"/>
      <c r="AO795" s="9"/>
      <c r="AP795" s="9"/>
      <c r="AQ795" s="9"/>
      <c r="AR795" s="9"/>
      <c r="AS795" s="9"/>
      <c r="AT795" s="9"/>
      <c r="AU795" s="9"/>
      <c r="AV795" s="9"/>
    </row>
    <row r="796" spans="1:48" ht="14" customHeight="1" thickBot="1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  <c r="AI796" s="9"/>
      <c r="AJ796" s="9"/>
      <c r="AK796" s="9"/>
      <c r="AL796" s="9"/>
      <c r="AM796" s="9"/>
      <c r="AN796" s="9"/>
      <c r="AO796" s="9"/>
      <c r="AP796" s="9"/>
      <c r="AQ796" s="9"/>
      <c r="AR796" s="9"/>
      <c r="AS796" s="9"/>
      <c r="AT796" s="9"/>
      <c r="AU796" s="9"/>
      <c r="AV796" s="9"/>
    </row>
    <row r="797" spans="1:48" ht="14" customHeight="1" thickBot="1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9"/>
      <c r="AI797" s="9"/>
      <c r="AJ797" s="9"/>
      <c r="AK797" s="9"/>
      <c r="AL797" s="9"/>
      <c r="AM797" s="9"/>
      <c r="AN797" s="9"/>
      <c r="AO797" s="9"/>
      <c r="AP797" s="9"/>
      <c r="AQ797" s="9"/>
      <c r="AR797" s="9"/>
      <c r="AS797" s="9"/>
      <c r="AT797" s="9"/>
      <c r="AU797" s="9"/>
      <c r="AV797" s="9"/>
    </row>
    <row r="798" spans="1:48" ht="14" customHeight="1" thickBot="1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  <c r="AH798" s="9"/>
      <c r="AI798" s="9"/>
      <c r="AJ798" s="9"/>
      <c r="AK798" s="9"/>
      <c r="AL798" s="9"/>
      <c r="AM798" s="9"/>
      <c r="AN798" s="9"/>
      <c r="AO798" s="9"/>
      <c r="AP798" s="9"/>
      <c r="AQ798" s="9"/>
      <c r="AR798" s="9"/>
      <c r="AS798" s="9"/>
      <c r="AT798" s="9"/>
      <c r="AU798" s="9"/>
      <c r="AV798" s="9"/>
    </row>
    <row r="799" spans="1:48" ht="14" customHeight="1" thickBot="1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9"/>
      <c r="AI799" s="9"/>
      <c r="AJ799" s="9"/>
      <c r="AK799" s="9"/>
      <c r="AL799" s="9"/>
      <c r="AM799" s="9"/>
      <c r="AN799" s="9"/>
      <c r="AO799" s="9"/>
      <c r="AP799" s="9"/>
      <c r="AQ799" s="9"/>
      <c r="AR799" s="9"/>
      <c r="AS799" s="9"/>
      <c r="AT799" s="9"/>
      <c r="AU799" s="9"/>
      <c r="AV799" s="9"/>
    </row>
    <row r="800" spans="1:48" ht="14" customHeight="1" thickBot="1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9"/>
      <c r="AI800" s="9"/>
      <c r="AJ800" s="9"/>
      <c r="AK800" s="9"/>
      <c r="AL800" s="9"/>
      <c r="AM800" s="9"/>
      <c r="AN800" s="9"/>
      <c r="AO800" s="9"/>
      <c r="AP800" s="9"/>
      <c r="AQ800" s="9"/>
      <c r="AR800" s="9"/>
      <c r="AS800" s="9"/>
      <c r="AT800" s="9"/>
      <c r="AU800" s="9"/>
      <c r="AV800" s="9"/>
    </row>
    <row r="801" spans="1:48" ht="14" customHeight="1" thickBot="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9"/>
      <c r="AI801" s="9"/>
      <c r="AJ801" s="9"/>
      <c r="AK801" s="9"/>
      <c r="AL801" s="9"/>
      <c r="AM801" s="9"/>
      <c r="AN801" s="9"/>
      <c r="AO801" s="9"/>
      <c r="AP801" s="9"/>
      <c r="AQ801" s="9"/>
      <c r="AR801" s="9"/>
      <c r="AS801" s="9"/>
      <c r="AT801" s="9"/>
      <c r="AU801" s="9"/>
      <c r="AV801" s="9"/>
    </row>
    <row r="802" spans="1:48" ht="14" customHeight="1" thickBot="1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  <c r="AI802" s="9"/>
      <c r="AJ802" s="9"/>
      <c r="AK802" s="9"/>
      <c r="AL802" s="9"/>
      <c r="AM802" s="9"/>
      <c r="AN802" s="9"/>
      <c r="AO802" s="9"/>
      <c r="AP802" s="9"/>
      <c r="AQ802" s="9"/>
      <c r="AR802" s="9"/>
      <c r="AS802" s="9"/>
      <c r="AT802" s="9"/>
      <c r="AU802" s="9"/>
      <c r="AV802" s="9"/>
    </row>
    <row r="803" spans="1:48" ht="14" customHeight="1" thickBot="1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  <c r="AH803" s="9"/>
      <c r="AI803" s="9"/>
      <c r="AJ803" s="9"/>
      <c r="AK803" s="9"/>
      <c r="AL803" s="9"/>
      <c r="AM803" s="9"/>
      <c r="AN803" s="9"/>
      <c r="AO803" s="9"/>
      <c r="AP803" s="9"/>
      <c r="AQ803" s="9"/>
      <c r="AR803" s="9"/>
      <c r="AS803" s="9"/>
      <c r="AT803" s="9"/>
      <c r="AU803" s="9"/>
      <c r="AV803" s="9"/>
    </row>
    <row r="804" spans="1:48" ht="14" customHeight="1" thickBot="1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  <c r="AH804" s="9"/>
      <c r="AI804" s="9"/>
      <c r="AJ804" s="9"/>
      <c r="AK804" s="9"/>
      <c r="AL804" s="9"/>
      <c r="AM804" s="9"/>
      <c r="AN804" s="9"/>
      <c r="AO804" s="9"/>
      <c r="AP804" s="9"/>
      <c r="AQ804" s="9"/>
      <c r="AR804" s="9"/>
      <c r="AS804" s="9"/>
      <c r="AT804" s="9"/>
      <c r="AU804" s="9"/>
      <c r="AV804" s="9"/>
    </row>
    <row r="805" spans="1:48" ht="14" customHeight="1" thickBot="1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  <c r="AH805" s="9"/>
      <c r="AI805" s="9"/>
      <c r="AJ805" s="9"/>
      <c r="AK805" s="9"/>
      <c r="AL805" s="9"/>
      <c r="AM805" s="9"/>
      <c r="AN805" s="9"/>
      <c r="AO805" s="9"/>
      <c r="AP805" s="9"/>
      <c r="AQ805" s="9"/>
      <c r="AR805" s="9"/>
      <c r="AS805" s="9"/>
      <c r="AT805" s="9"/>
      <c r="AU805" s="9"/>
      <c r="AV805" s="9"/>
    </row>
    <row r="806" spans="1:48" ht="14" customHeight="1" thickBot="1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9"/>
      <c r="AI806" s="9"/>
      <c r="AJ806" s="9"/>
      <c r="AK806" s="9"/>
      <c r="AL806" s="9"/>
      <c r="AM806" s="9"/>
      <c r="AN806" s="9"/>
      <c r="AO806" s="9"/>
      <c r="AP806" s="9"/>
      <c r="AQ806" s="9"/>
      <c r="AR806" s="9"/>
      <c r="AS806" s="9"/>
      <c r="AT806" s="9"/>
      <c r="AU806" s="9"/>
      <c r="AV806" s="9"/>
    </row>
    <row r="807" spans="1:48" ht="14" customHeight="1" thickBot="1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  <c r="AH807" s="9"/>
      <c r="AI807" s="9"/>
      <c r="AJ807" s="9"/>
      <c r="AK807" s="9"/>
      <c r="AL807" s="9"/>
      <c r="AM807" s="9"/>
      <c r="AN807" s="9"/>
      <c r="AO807" s="9"/>
      <c r="AP807" s="9"/>
      <c r="AQ807" s="9"/>
      <c r="AR807" s="9"/>
      <c r="AS807" s="9"/>
      <c r="AT807" s="9"/>
      <c r="AU807" s="9"/>
      <c r="AV807" s="9"/>
    </row>
    <row r="808" spans="1:48" ht="14" customHeight="1" thickBot="1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9"/>
      <c r="AI808" s="9"/>
      <c r="AJ808" s="9"/>
      <c r="AK808" s="9"/>
      <c r="AL808" s="9"/>
      <c r="AM808" s="9"/>
      <c r="AN808" s="9"/>
      <c r="AO808" s="9"/>
      <c r="AP808" s="9"/>
      <c r="AQ808" s="9"/>
      <c r="AR808" s="9"/>
      <c r="AS808" s="9"/>
      <c r="AT808" s="9"/>
      <c r="AU808" s="9"/>
      <c r="AV808" s="9"/>
    </row>
    <row r="809" spans="1:48" ht="14" customHeight="1" thickBot="1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  <c r="AH809" s="9"/>
      <c r="AI809" s="9"/>
      <c r="AJ809" s="9"/>
      <c r="AK809" s="9"/>
      <c r="AL809" s="9"/>
      <c r="AM809" s="9"/>
      <c r="AN809" s="9"/>
      <c r="AO809" s="9"/>
      <c r="AP809" s="9"/>
      <c r="AQ809" s="9"/>
      <c r="AR809" s="9"/>
      <c r="AS809" s="9"/>
      <c r="AT809" s="9"/>
      <c r="AU809" s="9"/>
      <c r="AV809" s="9"/>
    </row>
    <row r="810" spans="1:48" ht="14" customHeight="1" thickBot="1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  <c r="AH810" s="9"/>
      <c r="AI810" s="9"/>
      <c r="AJ810" s="9"/>
      <c r="AK810" s="9"/>
      <c r="AL810" s="9"/>
      <c r="AM810" s="9"/>
      <c r="AN810" s="9"/>
      <c r="AO810" s="9"/>
      <c r="AP810" s="9"/>
      <c r="AQ810" s="9"/>
      <c r="AR810" s="9"/>
      <c r="AS810" s="9"/>
      <c r="AT810" s="9"/>
      <c r="AU810" s="9"/>
      <c r="AV810" s="9"/>
    </row>
    <row r="811" spans="1:48" ht="14" customHeight="1" thickBot="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  <c r="AH811" s="9"/>
      <c r="AI811" s="9"/>
      <c r="AJ811" s="9"/>
      <c r="AK811" s="9"/>
      <c r="AL811" s="9"/>
      <c r="AM811" s="9"/>
      <c r="AN811" s="9"/>
      <c r="AO811" s="9"/>
      <c r="AP811" s="9"/>
      <c r="AQ811" s="9"/>
      <c r="AR811" s="9"/>
      <c r="AS811" s="9"/>
      <c r="AT811" s="9"/>
      <c r="AU811" s="9"/>
      <c r="AV811" s="9"/>
    </row>
    <row r="812" spans="1:48" ht="14" customHeight="1" thickBot="1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  <c r="AH812" s="9"/>
      <c r="AI812" s="9"/>
      <c r="AJ812" s="9"/>
      <c r="AK812" s="9"/>
      <c r="AL812" s="9"/>
      <c r="AM812" s="9"/>
      <c r="AN812" s="9"/>
      <c r="AO812" s="9"/>
      <c r="AP812" s="9"/>
      <c r="AQ812" s="9"/>
      <c r="AR812" s="9"/>
      <c r="AS812" s="9"/>
      <c r="AT812" s="9"/>
      <c r="AU812" s="9"/>
      <c r="AV812" s="9"/>
    </row>
    <row r="813" spans="1:48" ht="14" customHeight="1" thickBot="1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9"/>
      <c r="AI813" s="9"/>
      <c r="AJ813" s="9"/>
      <c r="AK813" s="9"/>
      <c r="AL813" s="9"/>
      <c r="AM813" s="9"/>
      <c r="AN813" s="9"/>
      <c r="AO813" s="9"/>
      <c r="AP813" s="9"/>
      <c r="AQ813" s="9"/>
      <c r="AR813" s="9"/>
      <c r="AS813" s="9"/>
      <c r="AT813" s="9"/>
      <c r="AU813" s="9"/>
      <c r="AV813" s="9"/>
    </row>
    <row r="814" spans="1:48" ht="14" customHeight="1" thickBot="1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  <c r="AI814" s="9"/>
      <c r="AJ814" s="9"/>
      <c r="AK814" s="9"/>
      <c r="AL814" s="9"/>
      <c r="AM814" s="9"/>
      <c r="AN814" s="9"/>
      <c r="AO814" s="9"/>
      <c r="AP814" s="9"/>
      <c r="AQ814" s="9"/>
      <c r="AR814" s="9"/>
      <c r="AS814" s="9"/>
      <c r="AT814" s="9"/>
      <c r="AU814" s="9"/>
      <c r="AV814" s="9"/>
    </row>
    <row r="815" spans="1:48" ht="14" customHeight="1" thickBot="1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  <c r="AH815" s="9"/>
      <c r="AI815" s="9"/>
      <c r="AJ815" s="9"/>
      <c r="AK815" s="9"/>
      <c r="AL815" s="9"/>
      <c r="AM815" s="9"/>
      <c r="AN815" s="9"/>
      <c r="AO815" s="9"/>
      <c r="AP815" s="9"/>
      <c r="AQ815" s="9"/>
      <c r="AR815" s="9"/>
      <c r="AS815" s="9"/>
      <c r="AT815" s="9"/>
      <c r="AU815" s="9"/>
      <c r="AV815" s="9"/>
    </row>
    <row r="816" spans="1:48" ht="14" customHeight="1" thickBot="1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  <c r="AH816" s="9"/>
      <c r="AI816" s="9"/>
      <c r="AJ816" s="9"/>
      <c r="AK816" s="9"/>
      <c r="AL816" s="9"/>
      <c r="AM816" s="9"/>
      <c r="AN816" s="9"/>
      <c r="AO816" s="9"/>
      <c r="AP816" s="9"/>
      <c r="AQ816" s="9"/>
      <c r="AR816" s="9"/>
      <c r="AS816" s="9"/>
      <c r="AT816" s="9"/>
      <c r="AU816" s="9"/>
      <c r="AV816" s="9"/>
    </row>
    <row r="817" spans="1:48" ht="14" customHeight="1" thickBot="1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  <c r="AH817" s="9"/>
      <c r="AI817" s="9"/>
      <c r="AJ817" s="9"/>
      <c r="AK817" s="9"/>
      <c r="AL817" s="9"/>
      <c r="AM817" s="9"/>
      <c r="AN817" s="9"/>
      <c r="AO817" s="9"/>
      <c r="AP817" s="9"/>
      <c r="AQ817" s="9"/>
      <c r="AR817" s="9"/>
      <c r="AS817" s="9"/>
      <c r="AT817" s="9"/>
      <c r="AU817" s="9"/>
      <c r="AV817" s="9"/>
    </row>
    <row r="818" spans="1:48" ht="14" customHeight="1" thickBot="1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  <c r="AH818" s="9"/>
      <c r="AI818" s="9"/>
      <c r="AJ818" s="9"/>
      <c r="AK818" s="9"/>
      <c r="AL818" s="9"/>
      <c r="AM818" s="9"/>
      <c r="AN818" s="9"/>
      <c r="AO818" s="9"/>
      <c r="AP818" s="9"/>
      <c r="AQ818" s="9"/>
      <c r="AR818" s="9"/>
      <c r="AS818" s="9"/>
      <c r="AT818" s="9"/>
      <c r="AU818" s="9"/>
      <c r="AV818" s="9"/>
    </row>
    <row r="819" spans="1:48" ht="14" customHeight="1" thickBot="1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  <c r="AH819" s="9"/>
      <c r="AI819" s="9"/>
      <c r="AJ819" s="9"/>
      <c r="AK819" s="9"/>
      <c r="AL819" s="9"/>
      <c r="AM819" s="9"/>
      <c r="AN819" s="9"/>
      <c r="AO819" s="9"/>
      <c r="AP819" s="9"/>
      <c r="AQ819" s="9"/>
      <c r="AR819" s="9"/>
      <c r="AS819" s="9"/>
      <c r="AT819" s="9"/>
      <c r="AU819" s="9"/>
      <c r="AV819" s="9"/>
    </row>
    <row r="820" spans="1:48" ht="14" customHeight="1" thickBot="1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9"/>
      <c r="AI820" s="9"/>
      <c r="AJ820" s="9"/>
      <c r="AK820" s="9"/>
      <c r="AL820" s="9"/>
      <c r="AM820" s="9"/>
      <c r="AN820" s="9"/>
      <c r="AO820" s="9"/>
      <c r="AP820" s="9"/>
      <c r="AQ820" s="9"/>
      <c r="AR820" s="9"/>
      <c r="AS820" s="9"/>
      <c r="AT820" s="9"/>
      <c r="AU820" s="9"/>
      <c r="AV820" s="9"/>
    </row>
    <row r="821" spans="1:48" ht="14" customHeight="1" thickBot="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9"/>
      <c r="AI821" s="9"/>
      <c r="AJ821" s="9"/>
      <c r="AK821" s="9"/>
      <c r="AL821" s="9"/>
      <c r="AM821" s="9"/>
      <c r="AN821" s="9"/>
      <c r="AO821" s="9"/>
      <c r="AP821" s="9"/>
      <c r="AQ821" s="9"/>
      <c r="AR821" s="9"/>
      <c r="AS821" s="9"/>
      <c r="AT821" s="9"/>
      <c r="AU821" s="9"/>
      <c r="AV821" s="9"/>
    </row>
    <row r="822" spans="1:48" ht="14" customHeight="1" thickBot="1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  <c r="AH822" s="9"/>
      <c r="AI822" s="9"/>
      <c r="AJ822" s="9"/>
      <c r="AK822" s="9"/>
      <c r="AL822" s="9"/>
      <c r="AM822" s="9"/>
      <c r="AN822" s="9"/>
      <c r="AO822" s="9"/>
      <c r="AP822" s="9"/>
      <c r="AQ822" s="9"/>
      <c r="AR822" s="9"/>
      <c r="AS822" s="9"/>
      <c r="AT822" s="9"/>
      <c r="AU822" s="9"/>
      <c r="AV822" s="9"/>
    </row>
    <row r="823" spans="1:48" ht="14" customHeight="1" thickBot="1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  <c r="AH823" s="9"/>
      <c r="AI823" s="9"/>
      <c r="AJ823" s="9"/>
      <c r="AK823" s="9"/>
      <c r="AL823" s="9"/>
      <c r="AM823" s="9"/>
      <c r="AN823" s="9"/>
      <c r="AO823" s="9"/>
      <c r="AP823" s="9"/>
      <c r="AQ823" s="9"/>
      <c r="AR823" s="9"/>
      <c r="AS823" s="9"/>
      <c r="AT823" s="9"/>
      <c r="AU823" s="9"/>
      <c r="AV823" s="9"/>
    </row>
    <row r="824" spans="1:48" ht="14" customHeight="1" thickBot="1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  <c r="AH824" s="9"/>
      <c r="AI824" s="9"/>
      <c r="AJ824" s="9"/>
      <c r="AK824" s="9"/>
      <c r="AL824" s="9"/>
      <c r="AM824" s="9"/>
      <c r="AN824" s="9"/>
      <c r="AO824" s="9"/>
      <c r="AP824" s="9"/>
      <c r="AQ824" s="9"/>
      <c r="AR824" s="9"/>
      <c r="AS824" s="9"/>
      <c r="AT824" s="9"/>
      <c r="AU824" s="9"/>
      <c r="AV824" s="9"/>
    </row>
    <row r="825" spans="1:48" ht="14" customHeight="1" thickBot="1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  <c r="AH825" s="9"/>
      <c r="AI825" s="9"/>
      <c r="AJ825" s="9"/>
      <c r="AK825" s="9"/>
      <c r="AL825" s="9"/>
      <c r="AM825" s="9"/>
      <c r="AN825" s="9"/>
      <c r="AO825" s="9"/>
      <c r="AP825" s="9"/>
      <c r="AQ825" s="9"/>
      <c r="AR825" s="9"/>
      <c r="AS825" s="9"/>
      <c r="AT825" s="9"/>
      <c r="AU825" s="9"/>
      <c r="AV825" s="9"/>
    </row>
    <row r="826" spans="1:48" ht="14" customHeight="1" thickBot="1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  <c r="AH826" s="9"/>
      <c r="AI826" s="9"/>
      <c r="AJ826" s="9"/>
      <c r="AK826" s="9"/>
      <c r="AL826" s="9"/>
      <c r="AM826" s="9"/>
      <c r="AN826" s="9"/>
      <c r="AO826" s="9"/>
      <c r="AP826" s="9"/>
      <c r="AQ826" s="9"/>
      <c r="AR826" s="9"/>
      <c r="AS826" s="9"/>
      <c r="AT826" s="9"/>
      <c r="AU826" s="9"/>
      <c r="AV826" s="9"/>
    </row>
    <row r="827" spans="1:48" ht="14" customHeight="1" thickBot="1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  <c r="AH827" s="9"/>
      <c r="AI827" s="9"/>
      <c r="AJ827" s="9"/>
      <c r="AK827" s="9"/>
      <c r="AL827" s="9"/>
      <c r="AM827" s="9"/>
      <c r="AN827" s="9"/>
      <c r="AO827" s="9"/>
      <c r="AP827" s="9"/>
      <c r="AQ827" s="9"/>
      <c r="AR827" s="9"/>
      <c r="AS827" s="9"/>
      <c r="AT827" s="9"/>
      <c r="AU827" s="9"/>
      <c r="AV827" s="9"/>
    </row>
    <row r="828" spans="1:48" ht="14" customHeight="1" thickBot="1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  <c r="AH828" s="9"/>
      <c r="AI828" s="9"/>
      <c r="AJ828" s="9"/>
      <c r="AK828" s="9"/>
      <c r="AL828" s="9"/>
      <c r="AM828" s="9"/>
      <c r="AN828" s="9"/>
      <c r="AO828" s="9"/>
      <c r="AP828" s="9"/>
      <c r="AQ828" s="9"/>
      <c r="AR828" s="9"/>
      <c r="AS828" s="9"/>
      <c r="AT828" s="9"/>
      <c r="AU828" s="9"/>
      <c r="AV828" s="9"/>
    </row>
    <row r="829" spans="1:48" ht="14" customHeight="1" thickBot="1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  <c r="AH829" s="9"/>
      <c r="AI829" s="9"/>
      <c r="AJ829" s="9"/>
      <c r="AK829" s="9"/>
      <c r="AL829" s="9"/>
      <c r="AM829" s="9"/>
      <c r="AN829" s="9"/>
      <c r="AO829" s="9"/>
      <c r="AP829" s="9"/>
      <c r="AQ829" s="9"/>
      <c r="AR829" s="9"/>
      <c r="AS829" s="9"/>
      <c r="AT829" s="9"/>
      <c r="AU829" s="9"/>
      <c r="AV829" s="9"/>
    </row>
    <row r="830" spans="1:48" ht="14" customHeight="1" thickBot="1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  <c r="AI830" s="9"/>
      <c r="AJ830" s="9"/>
      <c r="AK830" s="9"/>
      <c r="AL830" s="9"/>
      <c r="AM830" s="9"/>
      <c r="AN830" s="9"/>
      <c r="AO830" s="9"/>
      <c r="AP830" s="9"/>
      <c r="AQ830" s="9"/>
      <c r="AR830" s="9"/>
      <c r="AS830" s="9"/>
      <c r="AT830" s="9"/>
      <c r="AU830" s="9"/>
      <c r="AV830" s="9"/>
    </row>
    <row r="831" spans="1:48" ht="14" customHeight="1" thickBot="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  <c r="AH831" s="9"/>
      <c r="AI831" s="9"/>
      <c r="AJ831" s="9"/>
      <c r="AK831" s="9"/>
      <c r="AL831" s="9"/>
      <c r="AM831" s="9"/>
      <c r="AN831" s="9"/>
      <c r="AO831" s="9"/>
      <c r="AP831" s="9"/>
      <c r="AQ831" s="9"/>
      <c r="AR831" s="9"/>
      <c r="AS831" s="9"/>
      <c r="AT831" s="9"/>
      <c r="AU831" s="9"/>
      <c r="AV831" s="9"/>
    </row>
    <row r="832" spans="1:48" ht="14" customHeight="1" thickBot="1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  <c r="AH832" s="9"/>
      <c r="AI832" s="9"/>
      <c r="AJ832" s="9"/>
      <c r="AK832" s="9"/>
      <c r="AL832" s="9"/>
      <c r="AM832" s="9"/>
      <c r="AN832" s="9"/>
      <c r="AO832" s="9"/>
      <c r="AP832" s="9"/>
      <c r="AQ832" s="9"/>
      <c r="AR832" s="9"/>
      <c r="AS832" s="9"/>
      <c r="AT832" s="9"/>
      <c r="AU832" s="9"/>
      <c r="AV832" s="9"/>
    </row>
    <row r="833" spans="1:48" ht="14" customHeight="1" thickBot="1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  <c r="AH833" s="9"/>
      <c r="AI833" s="9"/>
      <c r="AJ833" s="9"/>
      <c r="AK833" s="9"/>
      <c r="AL833" s="9"/>
      <c r="AM833" s="9"/>
      <c r="AN833" s="9"/>
      <c r="AO833" s="9"/>
      <c r="AP833" s="9"/>
      <c r="AQ833" s="9"/>
      <c r="AR833" s="9"/>
      <c r="AS833" s="9"/>
      <c r="AT833" s="9"/>
      <c r="AU833" s="9"/>
      <c r="AV833" s="9"/>
    </row>
    <row r="834" spans="1:48" ht="14" customHeight="1" thickBot="1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  <c r="AH834" s="9"/>
      <c r="AI834" s="9"/>
      <c r="AJ834" s="9"/>
      <c r="AK834" s="9"/>
      <c r="AL834" s="9"/>
      <c r="AM834" s="9"/>
      <c r="AN834" s="9"/>
      <c r="AO834" s="9"/>
      <c r="AP834" s="9"/>
      <c r="AQ834" s="9"/>
      <c r="AR834" s="9"/>
      <c r="AS834" s="9"/>
      <c r="AT834" s="9"/>
      <c r="AU834" s="9"/>
      <c r="AV834" s="9"/>
    </row>
    <row r="835" spans="1:48" ht="14" customHeight="1" thickBot="1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  <c r="AH835" s="9"/>
      <c r="AI835" s="9"/>
      <c r="AJ835" s="9"/>
      <c r="AK835" s="9"/>
      <c r="AL835" s="9"/>
      <c r="AM835" s="9"/>
      <c r="AN835" s="9"/>
      <c r="AO835" s="9"/>
      <c r="AP835" s="9"/>
      <c r="AQ835" s="9"/>
      <c r="AR835" s="9"/>
      <c r="AS835" s="9"/>
      <c r="AT835" s="9"/>
      <c r="AU835" s="9"/>
      <c r="AV835" s="9"/>
    </row>
    <row r="836" spans="1:48" ht="14" customHeight="1" thickBot="1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9"/>
      <c r="AJ836" s="9"/>
      <c r="AK836" s="9"/>
      <c r="AL836" s="9"/>
      <c r="AM836" s="9"/>
      <c r="AN836" s="9"/>
      <c r="AO836" s="9"/>
      <c r="AP836" s="9"/>
      <c r="AQ836" s="9"/>
      <c r="AR836" s="9"/>
      <c r="AS836" s="9"/>
      <c r="AT836" s="9"/>
      <c r="AU836" s="9"/>
      <c r="AV836" s="9"/>
    </row>
    <row r="837" spans="1:48" ht="14" customHeight="1" thickBot="1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  <c r="AI837" s="9"/>
      <c r="AJ837" s="9"/>
      <c r="AK837" s="9"/>
      <c r="AL837" s="9"/>
      <c r="AM837" s="9"/>
      <c r="AN837" s="9"/>
      <c r="AO837" s="9"/>
      <c r="AP837" s="9"/>
      <c r="AQ837" s="9"/>
      <c r="AR837" s="9"/>
      <c r="AS837" s="9"/>
      <c r="AT837" s="9"/>
      <c r="AU837" s="9"/>
      <c r="AV837" s="9"/>
    </row>
    <row r="838" spans="1:48" ht="14" customHeight="1" thickBot="1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  <c r="AH838" s="9"/>
      <c r="AI838" s="9"/>
      <c r="AJ838" s="9"/>
      <c r="AK838" s="9"/>
      <c r="AL838" s="9"/>
      <c r="AM838" s="9"/>
      <c r="AN838" s="9"/>
      <c r="AO838" s="9"/>
      <c r="AP838" s="9"/>
      <c r="AQ838" s="9"/>
      <c r="AR838" s="9"/>
      <c r="AS838" s="9"/>
      <c r="AT838" s="9"/>
      <c r="AU838" s="9"/>
      <c r="AV838" s="9"/>
    </row>
    <row r="839" spans="1:48" ht="14" customHeight="1" thickBot="1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  <c r="AH839" s="9"/>
      <c r="AI839" s="9"/>
      <c r="AJ839" s="9"/>
      <c r="AK839" s="9"/>
      <c r="AL839" s="9"/>
      <c r="AM839" s="9"/>
      <c r="AN839" s="9"/>
      <c r="AO839" s="9"/>
      <c r="AP839" s="9"/>
      <c r="AQ839" s="9"/>
      <c r="AR839" s="9"/>
      <c r="AS839" s="9"/>
      <c r="AT839" s="9"/>
      <c r="AU839" s="9"/>
      <c r="AV839" s="9"/>
    </row>
    <row r="840" spans="1:48" ht="14" customHeight="1" thickBot="1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  <c r="AH840" s="9"/>
      <c r="AI840" s="9"/>
      <c r="AJ840" s="9"/>
      <c r="AK840" s="9"/>
      <c r="AL840" s="9"/>
      <c r="AM840" s="9"/>
      <c r="AN840" s="9"/>
      <c r="AO840" s="9"/>
      <c r="AP840" s="9"/>
      <c r="AQ840" s="9"/>
      <c r="AR840" s="9"/>
      <c r="AS840" s="9"/>
      <c r="AT840" s="9"/>
      <c r="AU840" s="9"/>
      <c r="AV840" s="9"/>
    </row>
    <row r="841" spans="1:48" ht="14" customHeight="1" thickBot="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  <c r="AH841" s="9"/>
      <c r="AI841" s="9"/>
      <c r="AJ841" s="9"/>
      <c r="AK841" s="9"/>
      <c r="AL841" s="9"/>
      <c r="AM841" s="9"/>
      <c r="AN841" s="9"/>
      <c r="AO841" s="9"/>
      <c r="AP841" s="9"/>
      <c r="AQ841" s="9"/>
      <c r="AR841" s="9"/>
      <c r="AS841" s="9"/>
      <c r="AT841" s="9"/>
      <c r="AU841" s="9"/>
      <c r="AV841" s="9"/>
    </row>
    <row r="842" spans="1:48" ht="14" customHeight="1" thickBot="1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  <c r="AI842" s="9"/>
      <c r="AJ842" s="9"/>
      <c r="AK842" s="9"/>
      <c r="AL842" s="9"/>
      <c r="AM842" s="9"/>
      <c r="AN842" s="9"/>
      <c r="AO842" s="9"/>
      <c r="AP842" s="9"/>
      <c r="AQ842" s="9"/>
      <c r="AR842" s="9"/>
      <c r="AS842" s="9"/>
      <c r="AT842" s="9"/>
      <c r="AU842" s="9"/>
      <c r="AV842" s="9"/>
    </row>
    <row r="843" spans="1:48" ht="14" customHeight="1" thickBot="1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9"/>
      <c r="AI843" s="9"/>
      <c r="AJ843" s="9"/>
      <c r="AK843" s="9"/>
      <c r="AL843" s="9"/>
      <c r="AM843" s="9"/>
      <c r="AN843" s="9"/>
      <c r="AO843" s="9"/>
      <c r="AP843" s="9"/>
      <c r="AQ843" s="9"/>
      <c r="AR843" s="9"/>
      <c r="AS843" s="9"/>
      <c r="AT843" s="9"/>
      <c r="AU843" s="9"/>
      <c r="AV843" s="9"/>
    </row>
    <row r="844" spans="1:48" ht="14" customHeight="1" thickBot="1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9"/>
      <c r="AI844" s="9"/>
      <c r="AJ844" s="9"/>
      <c r="AK844" s="9"/>
      <c r="AL844" s="9"/>
      <c r="AM844" s="9"/>
      <c r="AN844" s="9"/>
      <c r="AO844" s="9"/>
      <c r="AP844" s="9"/>
      <c r="AQ844" s="9"/>
      <c r="AR844" s="9"/>
      <c r="AS844" s="9"/>
      <c r="AT844" s="9"/>
      <c r="AU844" s="9"/>
      <c r="AV844" s="9"/>
    </row>
    <row r="845" spans="1:48" ht="14" customHeight="1" thickBot="1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  <c r="AH845" s="9"/>
      <c r="AI845" s="9"/>
      <c r="AJ845" s="9"/>
      <c r="AK845" s="9"/>
      <c r="AL845" s="9"/>
      <c r="AM845" s="9"/>
      <c r="AN845" s="9"/>
      <c r="AO845" s="9"/>
      <c r="AP845" s="9"/>
      <c r="AQ845" s="9"/>
      <c r="AR845" s="9"/>
      <c r="AS845" s="9"/>
      <c r="AT845" s="9"/>
      <c r="AU845" s="9"/>
      <c r="AV845" s="9"/>
    </row>
    <row r="846" spans="1:48" ht="14" customHeight="1" thickBot="1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  <c r="AH846" s="9"/>
      <c r="AI846" s="9"/>
      <c r="AJ846" s="9"/>
      <c r="AK846" s="9"/>
      <c r="AL846" s="9"/>
      <c r="AM846" s="9"/>
      <c r="AN846" s="9"/>
      <c r="AO846" s="9"/>
      <c r="AP846" s="9"/>
      <c r="AQ846" s="9"/>
      <c r="AR846" s="9"/>
      <c r="AS846" s="9"/>
      <c r="AT846" s="9"/>
      <c r="AU846" s="9"/>
      <c r="AV846" s="9"/>
    </row>
    <row r="847" spans="1:48" ht="14" customHeight="1" thickBot="1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9"/>
      <c r="AI847" s="9"/>
      <c r="AJ847" s="9"/>
      <c r="AK847" s="9"/>
      <c r="AL847" s="9"/>
      <c r="AM847" s="9"/>
      <c r="AN847" s="9"/>
      <c r="AO847" s="9"/>
      <c r="AP847" s="9"/>
      <c r="AQ847" s="9"/>
      <c r="AR847" s="9"/>
      <c r="AS847" s="9"/>
      <c r="AT847" s="9"/>
      <c r="AU847" s="9"/>
      <c r="AV847" s="9"/>
    </row>
    <row r="848" spans="1:48" ht="14" customHeight="1" thickBot="1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/>
      <c r="AI848" s="9"/>
      <c r="AJ848" s="9"/>
      <c r="AK848" s="9"/>
      <c r="AL848" s="9"/>
      <c r="AM848" s="9"/>
      <c r="AN848" s="9"/>
      <c r="AO848" s="9"/>
      <c r="AP848" s="9"/>
      <c r="AQ848" s="9"/>
      <c r="AR848" s="9"/>
      <c r="AS848" s="9"/>
      <c r="AT848" s="9"/>
      <c r="AU848" s="9"/>
      <c r="AV848" s="9"/>
    </row>
    <row r="849" spans="1:48" ht="14" customHeight="1" thickBot="1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  <c r="AI849" s="9"/>
      <c r="AJ849" s="9"/>
      <c r="AK849" s="9"/>
      <c r="AL849" s="9"/>
      <c r="AM849" s="9"/>
      <c r="AN849" s="9"/>
      <c r="AO849" s="9"/>
      <c r="AP849" s="9"/>
      <c r="AQ849" s="9"/>
      <c r="AR849" s="9"/>
      <c r="AS849" s="9"/>
      <c r="AT849" s="9"/>
      <c r="AU849" s="9"/>
      <c r="AV849" s="9"/>
    </row>
    <row r="850" spans="1:48" ht="14" customHeight="1" thickBot="1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9"/>
      <c r="AI850" s="9"/>
      <c r="AJ850" s="9"/>
      <c r="AK850" s="9"/>
      <c r="AL850" s="9"/>
      <c r="AM850" s="9"/>
      <c r="AN850" s="9"/>
      <c r="AO850" s="9"/>
      <c r="AP850" s="9"/>
      <c r="AQ850" s="9"/>
      <c r="AR850" s="9"/>
      <c r="AS850" s="9"/>
      <c r="AT850" s="9"/>
      <c r="AU850" s="9"/>
      <c r="AV850" s="9"/>
    </row>
    <row r="851" spans="1:48" ht="14" customHeight="1" thickBot="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9"/>
      <c r="AI851" s="9"/>
      <c r="AJ851" s="9"/>
      <c r="AK851" s="9"/>
      <c r="AL851" s="9"/>
      <c r="AM851" s="9"/>
      <c r="AN851" s="9"/>
      <c r="AO851" s="9"/>
      <c r="AP851" s="9"/>
      <c r="AQ851" s="9"/>
      <c r="AR851" s="9"/>
      <c r="AS851" s="9"/>
      <c r="AT851" s="9"/>
      <c r="AU851" s="9"/>
      <c r="AV851" s="9"/>
    </row>
    <row r="852" spans="1:48" ht="14" customHeight="1" thickBot="1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  <c r="AH852" s="9"/>
      <c r="AI852" s="9"/>
      <c r="AJ852" s="9"/>
      <c r="AK852" s="9"/>
      <c r="AL852" s="9"/>
      <c r="AM852" s="9"/>
      <c r="AN852" s="9"/>
      <c r="AO852" s="9"/>
      <c r="AP852" s="9"/>
      <c r="AQ852" s="9"/>
      <c r="AR852" s="9"/>
      <c r="AS852" s="9"/>
      <c r="AT852" s="9"/>
      <c r="AU852" s="9"/>
      <c r="AV852" s="9"/>
    </row>
    <row r="853" spans="1:48" ht="14" customHeight="1" thickBot="1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  <c r="AH853" s="9"/>
      <c r="AI853" s="9"/>
      <c r="AJ853" s="9"/>
      <c r="AK853" s="9"/>
      <c r="AL853" s="9"/>
      <c r="AM853" s="9"/>
      <c r="AN853" s="9"/>
      <c r="AO853" s="9"/>
      <c r="AP853" s="9"/>
      <c r="AQ853" s="9"/>
      <c r="AR853" s="9"/>
      <c r="AS853" s="9"/>
      <c r="AT853" s="9"/>
      <c r="AU853" s="9"/>
      <c r="AV853" s="9"/>
    </row>
    <row r="854" spans="1:48" ht="14" customHeight="1" thickBot="1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  <c r="AH854" s="9"/>
      <c r="AI854" s="9"/>
      <c r="AJ854" s="9"/>
      <c r="AK854" s="9"/>
      <c r="AL854" s="9"/>
      <c r="AM854" s="9"/>
      <c r="AN854" s="9"/>
      <c r="AO854" s="9"/>
      <c r="AP854" s="9"/>
      <c r="AQ854" s="9"/>
      <c r="AR854" s="9"/>
      <c r="AS854" s="9"/>
      <c r="AT854" s="9"/>
      <c r="AU854" s="9"/>
      <c r="AV854" s="9"/>
    </row>
    <row r="855" spans="1:48" ht="14" customHeight="1" thickBot="1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  <c r="AH855" s="9"/>
      <c r="AI855" s="9"/>
      <c r="AJ855" s="9"/>
      <c r="AK855" s="9"/>
      <c r="AL855" s="9"/>
      <c r="AM855" s="9"/>
      <c r="AN855" s="9"/>
      <c r="AO855" s="9"/>
      <c r="AP855" s="9"/>
      <c r="AQ855" s="9"/>
      <c r="AR855" s="9"/>
      <c r="AS855" s="9"/>
      <c r="AT855" s="9"/>
      <c r="AU855" s="9"/>
      <c r="AV855" s="9"/>
    </row>
    <row r="856" spans="1:48" ht="14" customHeight="1" thickBot="1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  <c r="AH856" s="9"/>
      <c r="AI856" s="9"/>
      <c r="AJ856" s="9"/>
      <c r="AK856" s="9"/>
      <c r="AL856" s="9"/>
      <c r="AM856" s="9"/>
      <c r="AN856" s="9"/>
      <c r="AO856" s="9"/>
      <c r="AP856" s="9"/>
      <c r="AQ856" s="9"/>
      <c r="AR856" s="9"/>
      <c r="AS856" s="9"/>
      <c r="AT856" s="9"/>
      <c r="AU856" s="9"/>
      <c r="AV856" s="9"/>
    </row>
    <row r="857" spans="1:48" ht="14" customHeight="1" thickBot="1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  <c r="AH857" s="9"/>
      <c r="AI857" s="9"/>
      <c r="AJ857" s="9"/>
      <c r="AK857" s="9"/>
      <c r="AL857" s="9"/>
      <c r="AM857" s="9"/>
      <c r="AN857" s="9"/>
      <c r="AO857" s="9"/>
      <c r="AP857" s="9"/>
      <c r="AQ857" s="9"/>
      <c r="AR857" s="9"/>
      <c r="AS857" s="9"/>
      <c r="AT857" s="9"/>
      <c r="AU857" s="9"/>
      <c r="AV857" s="9"/>
    </row>
    <row r="858" spans="1:48" ht="14" customHeight="1" thickBot="1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  <c r="AH858" s="9"/>
      <c r="AI858" s="9"/>
      <c r="AJ858" s="9"/>
      <c r="AK858" s="9"/>
      <c r="AL858" s="9"/>
      <c r="AM858" s="9"/>
      <c r="AN858" s="9"/>
      <c r="AO858" s="9"/>
      <c r="AP858" s="9"/>
      <c r="AQ858" s="9"/>
      <c r="AR858" s="9"/>
      <c r="AS858" s="9"/>
      <c r="AT858" s="9"/>
      <c r="AU858" s="9"/>
      <c r="AV858" s="9"/>
    </row>
    <row r="859" spans="1:48" ht="14" customHeight="1" thickBot="1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  <c r="AH859" s="9"/>
      <c r="AI859" s="9"/>
      <c r="AJ859" s="9"/>
      <c r="AK859" s="9"/>
      <c r="AL859" s="9"/>
      <c r="AM859" s="9"/>
      <c r="AN859" s="9"/>
      <c r="AO859" s="9"/>
      <c r="AP859" s="9"/>
      <c r="AQ859" s="9"/>
      <c r="AR859" s="9"/>
      <c r="AS859" s="9"/>
      <c r="AT859" s="9"/>
      <c r="AU859" s="9"/>
      <c r="AV859" s="9"/>
    </row>
    <row r="860" spans="1:48" ht="14" customHeight="1" thickBot="1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  <c r="AH860" s="9"/>
      <c r="AI860" s="9"/>
      <c r="AJ860" s="9"/>
      <c r="AK860" s="9"/>
      <c r="AL860" s="9"/>
      <c r="AM860" s="9"/>
      <c r="AN860" s="9"/>
      <c r="AO860" s="9"/>
      <c r="AP860" s="9"/>
      <c r="AQ860" s="9"/>
      <c r="AR860" s="9"/>
      <c r="AS860" s="9"/>
      <c r="AT860" s="9"/>
      <c r="AU860" s="9"/>
      <c r="AV860" s="9"/>
    </row>
    <row r="861" spans="1:48" ht="14" customHeight="1" thickBot="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  <c r="AH861" s="9"/>
      <c r="AI861" s="9"/>
      <c r="AJ861" s="9"/>
      <c r="AK861" s="9"/>
      <c r="AL861" s="9"/>
      <c r="AM861" s="9"/>
      <c r="AN861" s="9"/>
      <c r="AO861" s="9"/>
      <c r="AP861" s="9"/>
      <c r="AQ861" s="9"/>
      <c r="AR861" s="9"/>
      <c r="AS861" s="9"/>
      <c r="AT861" s="9"/>
      <c r="AU861" s="9"/>
      <c r="AV861" s="9"/>
    </row>
    <row r="862" spans="1:48" ht="14" customHeight="1" thickBot="1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  <c r="AH862" s="9"/>
      <c r="AI862" s="9"/>
      <c r="AJ862" s="9"/>
      <c r="AK862" s="9"/>
      <c r="AL862" s="9"/>
      <c r="AM862" s="9"/>
      <c r="AN862" s="9"/>
      <c r="AO862" s="9"/>
      <c r="AP862" s="9"/>
      <c r="AQ862" s="9"/>
      <c r="AR862" s="9"/>
      <c r="AS862" s="9"/>
      <c r="AT862" s="9"/>
      <c r="AU862" s="9"/>
      <c r="AV862" s="9"/>
    </row>
    <row r="863" spans="1:48" ht="14" customHeight="1" thickBot="1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  <c r="AH863" s="9"/>
      <c r="AI863" s="9"/>
      <c r="AJ863" s="9"/>
      <c r="AK863" s="9"/>
      <c r="AL863" s="9"/>
      <c r="AM863" s="9"/>
      <c r="AN863" s="9"/>
      <c r="AO863" s="9"/>
      <c r="AP863" s="9"/>
      <c r="AQ863" s="9"/>
      <c r="AR863" s="9"/>
      <c r="AS863" s="9"/>
      <c r="AT863" s="9"/>
      <c r="AU863" s="9"/>
      <c r="AV863" s="9"/>
    </row>
    <row r="864" spans="1:48" ht="14" customHeight="1" thickBot="1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9"/>
      <c r="AI864" s="9"/>
      <c r="AJ864" s="9"/>
      <c r="AK864" s="9"/>
      <c r="AL864" s="9"/>
      <c r="AM864" s="9"/>
      <c r="AN864" s="9"/>
      <c r="AO864" s="9"/>
      <c r="AP864" s="9"/>
      <c r="AQ864" s="9"/>
      <c r="AR864" s="9"/>
      <c r="AS864" s="9"/>
      <c r="AT864" s="9"/>
      <c r="AU864" s="9"/>
      <c r="AV864" s="9"/>
    </row>
    <row r="865" spans="1:48" ht="14" customHeight="1" thickBot="1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9"/>
      <c r="AI865" s="9"/>
      <c r="AJ865" s="9"/>
      <c r="AK865" s="9"/>
      <c r="AL865" s="9"/>
      <c r="AM865" s="9"/>
      <c r="AN865" s="9"/>
      <c r="AO865" s="9"/>
      <c r="AP865" s="9"/>
      <c r="AQ865" s="9"/>
      <c r="AR865" s="9"/>
      <c r="AS865" s="9"/>
      <c r="AT865" s="9"/>
      <c r="AU865" s="9"/>
      <c r="AV865" s="9"/>
    </row>
    <row r="866" spans="1:48" ht="14" customHeight="1" thickBot="1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9"/>
      <c r="AI866" s="9"/>
      <c r="AJ866" s="9"/>
      <c r="AK866" s="9"/>
      <c r="AL866" s="9"/>
      <c r="AM866" s="9"/>
      <c r="AN866" s="9"/>
      <c r="AO866" s="9"/>
      <c r="AP866" s="9"/>
      <c r="AQ866" s="9"/>
      <c r="AR866" s="9"/>
      <c r="AS866" s="9"/>
      <c r="AT866" s="9"/>
      <c r="AU866" s="9"/>
      <c r="AV866" s="9"/>
    </row>
    <row r="867" spans="1:48" ht="14" customHeight="1" thickBot="1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  <c r="AH867" s="9"/>
      <c r="AI867" s="9"/>
      <c r="AJ867" s="9"/>
      <c r="AK867" s="9"/>
      <c r="AL867" s="9"/>
      <c r="AM867" s="9"/>
      <c r="AN867" s="9"/>
      <c r="AO867" s="9"/>
      <c r="AP867" s="9"/>
      <c r="AQ867" s="9"/>
      <c r="AR867" s="9"/>
      <c r="AS867" s="9"/>
      <c r="AT867" s="9"/>
      <c r="AU867" s="9"/>
      <c r="AV867" s="9"/>
    </row>
    <row r="868" spans="1:48" ht="14" customHeight="1" thickBot="1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  <c r="AH868" s="9"/>
      <c r="AI868" s="9"/>
      <c r="AJ868" s="9"/>
      <c r="AK868" s="9"/>
      <c r="AL868" s="9"/>
      <c r="AM868" s="9"/>
      <c r="AN868" s="9"/>
      <c r="AO868" s="9"/>
      <c r="AP868" s="9"/>
      <c r="AQ868" s="9"/>
      <c r="AR868" s="9"/>
      <c r="AS868" s="9"/>
      <c r="AT868" s="9"/>
      <c r="AU868" s="9"/>
      <c r="AV868" s="9"/>
    </row>
    <row r="869" spans="1:48" ht="14" customHeight="1" thickBot="1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  <c r="AH869" s="9"/>
      <c r="AI869" s="9"/>
      <c r="AJ869" s="9"/>
      <c r="AK869" s="9"/>
      <c r="AL869" s="9"/>
      <c r="AM869" s="9"/>
      <c r="AN869" s="9"/>
      <c r="AO869" s="9"/>
      <c r="AP869" s="9"/>
      <c r="AQ869" s="9"/>
      <c r="AR869" s="9"/>
      <c r="AS869" s="9"/>
      <c r="AT869" s="9"/>
      <c r="AU869" s="9"/>
      <c r="AV869" s="9"/>
    </row>
    <row r="870" spans="1:48" ht="14" customHeight="1" thickBot="1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  <c r="AH870" s="9"/>
      <c r="AI870" s="9"/>
      <c r="AJ870" s="9"/>
      <c r="AK870" s="9"/>
      <c r="AL870" s="9"/>
      <c r="AM870" s="9"/>
      <c r="AN870" s="9"/>
      <c r="AO870" s="9"/>
      <c r="AP870" s="9"/>
      <c r="AQ870" s="9"/>
      <c r="AR870" s="9"/>
      <c r="AS870" s="9"/>
      <c r="AT870" s="9"/>
      <c r="AU870" s="9"/>
      <c r="AV870" s="9"/>
    </row>
    <row r="871" spans="1:48" ht="14" customHeight="1" thickBot="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9"/>
      <c r="AI871" s="9"/>
      <c r="AJ871" s="9"/>
      <c r="AK871" s="9"/>
      <c r="AL871" s="9"/>
      <c r="AM871" s="9"/>
      <c r="AN871" s="9"/>
      <c r="AO871" s="9"/>
      <c r="AP871" s="9"/>
      <c r="AQ871" s="9"/>
      <c r="AR871" s="9"/>
      <c r="AS871" s="9"/>
      <c r="AT871" s="9"/>
      <c r="AU871" s="9"/>
      <c r="AV871" s="9"/>
    </row>
    <row r="872" spans="1:48" ht="14" customHeight="1" thickBot="1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9"/>
      <c r="AI872" s="9"/>
      <c r="AJ872" s="9"/>
      <c r="AK872" s="9"/>
      <c r="AL872" s="9"/>
      <c r="AM872" s="9"/>
      <c r="AN872" s="9"/>
      <c r="AO872" s="9"/>
      <c r="AP872" s="9"/>
      <c r="AQ872" s="9"/>
      <c r="AR872" s="9"/>
      <c r="AS872" s="9"/>
      <c r="AT872" s="9"/>
      <c r="AU872" s="9"/>
      <c r="AV872" s="9"/>
    </row>
    <row r="873" spans="1:48" ht="14" customHeight="1" thickBot="1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  <c r="AH873" s="9"/>
      <c r="AI873" s="9"/>
      <c r="AJ873" s="9"/>
      <c r="AK873" s="9"/>
      <c r="AL873" s="9"/>
      <c r="AM873" s="9"/>
      <c r="AN873" s="9"/>
      <c r="AO873" s="9"/>
      <c r="AP873" s="9"/>
      <c r="AQ873" s="9"/>
      <c r="AR873" s="9"/>
      <c r="AS873" s="9"/>
      <c r="AT873" s="9"/>
      <c r="AU873" s="9"/>
      <c r="AV873" s="9"/>
    </row>
    <row r="874" spans="1:48" ht="14" customHeight="1" thickBot="1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  <c r="AH874" s="9"/>
      <c r="AI874" s="9"/>
      <c r="AJ874" s="9"/>
      <c r="AK874" s="9"/>
      <c r="AL874" s="9"/>
      <c r="AM874" s="9"/>
      <c r="AN874" s="9"/>
      <c r="AO874" s="9"/>
      <c r="AP874" s="9"/>
      <c r="AQ874" s="9"/>
      <c r="AR874" s="9"/>
      <c r="AS874" s="9"/>
      <c r="AT874" s="9"/>
      <c r="AU874" s="9"/>
      <c r="AV874" s="9"/>
    </row>
    <row r="875" spans="1:48" ht="14" customHeight="1" thickBot="1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  <c r="AH875" s="9"/>
      <c r="AI875" s="9"/>
      <c r="AJ875" s="9"/>
      <c r="AK875" s="9"/>
      <c r="AL875" s="9"/>
      <c r="AM875" s="9"/>
      <c r="AN875" s="9"/>
      <c r="AO875" s="9"/>
      <c r="AP875" s="9"/>
      <c r="AQ875" s="9"/>
      <c r="AR875" s="9"/>
      <c r="AS875" s="9"/>
      <c r="AT875" s="9"/>
      <c r="AU875" s="9"/>
      <c r="AV875" s="9"/>
    </row>
    <row r="876" spans="1:48" ht="14" customHeight="1" thickBot="1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  <c r="AH876" s="9"/>
      <c r="AI876" s="9"/>
      <c r="AJ876" s="9"/>
      <c r="AK876" s="9"/>
      <c r="AL876" s="9"/>
      <c r="AM876" s="9"/>
      <c r="AN876" s="9"/>
      <c r="AO876" s="9"/>
      <c r="AP876" s="9"/>
      <c r="AQ876" s="9"/>
      <c r="AR876" s="9"/>
      <c r="AS876" s="9"/>
      <c r="AT876" s="9"/>
      <c r="AU876" s="9"/>
      <c r="AV876" s="9"/>
    </row>
    <row r="877" spans="1:48" ht="14" customHeight="1" thickBot="1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  <c r="AH877" s="9"/>
      <c r="AI877" s="9"/>
      <c r="AJ877" s="9"/>
      <c r="AK877" s="9"/>
      <c r="AL877" s="9"/>
      <c r="AM877" s="9"/>
      <c r="AN877" s="9"/>
      <c r="AO877" s="9"/>
      <c r="AP877" s="9"/>
      <c r="AQ877" s="9"/>
      <c r="AR877" s="9"/>
      <c r="AS877" s="9"/>
      <c r="AT877" s="9"/>
      <c r="AU877" s="9"/>
      <c r="AV877" s="9"/>
    </row>
    <row r="878" spans="1:48" ht="14" customHeight="1" thickBot="1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  <c r="AH878" s="9"/>
      <c r="AI878" s="9"/>
      <c r="AJ878" s="9"/>
      <c r="AK878" s="9"/>
      <c r="AL878" s="9"/>
      <c r="AM878" s="9"/>
      <c r="AN878" s="9"/>
      <c r="AO878" s="9"/>
      <c r="AP878" s="9"/>
      <c r="AQ878" s="9"/>
      <c r="AR878" s="9"/>
      <c r="AS878" s="9"/>
      <c r="AT878" s="9"/>
      <c r="AU878" s="9"/>
      <c r="AV878" s="9"/>
    </row>
    <row r="879" spans="1:48" ht="14" customHeight="1" thickBot="1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  <c r="AH879" s="9"/>
      <c r="AI879" s="9"/>
      <c r="AJ879" s="9"/>
      <c r="AK879" s="9"/>
      <c r="AL879" s="9"/>
      <c r="AM879" s="9"/>
      <c r="AN879" s="9"/>
      <c r="AO879" s="9"/>
      <c r="AP879" s="9"/>
      <c r="AQ879" s="9"/>
      <c r="AR879" s="9"/>
      <c r="AS879" s="9"/>
      <c r="AT879" s="9"/>
      <c r="AU879" s="9"/>
      <c r="AV879" s="9"/>
    </row>
    <row r="880" spans="1:48" ht="14" customHeight="1" thickBot="1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  <c r="AH880" s="9"/>
      <c r="AI880" s="9"/>
      <c r="AJ880" s="9"/>
      <c r="AK880" s="9"/>
      <c r="AL880" s="9"/>
      <c r="AM880" s="9"/>
      <c r="AN880" s="9"/>
      <c r="AO880" s="9"/>
      <c r="AP880" s="9"/>
      <c r="AQ880" s="9"/>
      <c r="AR880" s="9"/>
      <c r="AS880" s="9"/>
      <c r="AT880" s="9"/>
      <c r="AU880" s="9"/>
      <c r="AV880" s="9"/>
    </row>
    <row r="881" spans="1:48" ht="14" customHeight="1" thickBot="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  <c r="AH881" s="9"/>
      <c r="AI881" s="9"/>
      <c r="AJ881" s="9"/>
      <c r="AK881" s="9"/>
      <c r="AL881" s="9"/>
      <c r="AM881" s="9"/>
      <c r="AN881" s="9"/>
      <c r="AO881" s="9"/>
      <c r="AP881" s="9"/>
      <c r="AQ881" s="9"/>
      <c r="AR881" s="9"/>
      <c r="AS881" s="9"/>
      <c r="AT881" s="9"/>
      <c r="AU881" s="9"/>
      <c r="AV881" s="9"/>
    </row>
    <row r="882" spans="1:48" ht="14" customHeight="1" thickBot="1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  <c r="AH882" s="9"/>
      <c r="AI882" s="9"/>
      <c r="AJ882" s="9"/>
      <c r="AK882" s="9"/>
      <c r="AL882" s="9"/>
      <c r="AM882" s="9"/>
      <c r="AN882" s="9"/>
      <c r="AO882" s="9"/>
      <c r="AP882" s="9"/>
      <c r="AQ882" s="9"/>
      <c r="AR882" s="9"/>
      <c r="AS882" s="9"/>
      <c r="AT882" s="9"/>
      <c r="AU882" s="9"/>
      <c r="AV882" s="9"/>
    </row>
    <row r="883" spans="1:48" ht="14" customHeight="1" thickBot="1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  <c r="AH883" s="9"/>
      <c r="AI883" s="9"/>
      <c r="AJ883" s="9"/>
      <c r="AK883" s="9"/>
      <c r="AL883" s="9"/>
      <c r="AM883" s="9"/>
      <c r="AN883" s="9"/>
      <c r="AO883" s="9"/>
      <c r="AP883" s="9"/>
      <c r="AQ883" s="9"/>
      <c r="AR883" s="9"/>
      <c r="AS883" s="9"/>
      <c r="AT883" s="9"/>
      <c r="AU883" s="9"/>
      <c r="AV883" s="9"/>
    </row>
    <row r="884" spans="1:48" ht="14" customHeight="1" thickBot="1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  <c r="AH884" s="9"/>
      <c r="AI884" s="9"/>
      <c r="AJ884" s="9"/>
      <c r="AK884" s="9"/>
      <c r="AL884" s="9"/>
      <c r="AM884" s="9"/>
      <c r="AN884" s="9"/>
      <c r="AO884" s="9"/>
      <c r="AP884" s="9"/>
      <c r="AQ884" s="9"/>
      <c r="AR884" s="9"/>
      <c r="AS884" s="9"/>
      <c r="AT884" s="9"/>
      <c r="AU884" s="9"/>
      <c r="AV884" s="9"/>
    </row>
    <row r="885" spans="1:48" ht="14" customHeight="1" thickBot="1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  <c r="AH885" s="9"/>
      <c r="AI885" s="9"/>
      <c r="AJ885" s="9"/>
      <c r="AK885" s="9"/>
      <c r="AL885" s="9"/>
      <c r="AM885" s="9"/>
      <c r="AN885" s="9"/>
      <c r="AO885" s="9"/>
      <c r="AP885" s="9"/>
      <c r="AQ885" s="9"/>
      <c r="AR885" s="9"/>
      <c r="AS885" s="9"/>
      <c r="AT885" s="9"/>
      <c r="AU885" s="9"/>
      <c r="AV885" s="9"/>
    </row>
    <row r="886" spans="1:48" ht="14" customHeight="1" thickBot="1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  <c r="AH886" s="9"/>
      <c r="AI886" s="9"/>
      <c r="AJ886" s="9"/>
      <c r="AK886" s="9"/>
      <c r="AL886" s="9"/>
      <c r="AM886" s="9"/>
      <c r="AN886" s="9"/>
      <c r="AO886" s="9"/>
      <c r="AP886" s="9"/>
      <c r="AQ886" s="9"/>
      <c r="AR886" s="9"/>
      <c r="AS886" s="9"/>
      <c r="AT886" s="9"/>
      <c r="AU886" s="9"/>
      <c r="AV886" s="9"/>
    </row>
    <row r="887" spans="1:48" ht="14" customHeight="1" thickBot="1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  <c r="AH887" s="9"/>
      <c r="AI887" s="9"/>
      <c r="AJ887" s="9"/>
      <c r="AK887" s="9"/>
      <c r="AL887" s="9"/>
      <c r="AM887" s="9"/>
      <c r="AN887" s="9"/>
      <c r="AO887" s="9"/>
      <c r="AP887" s="9"/>
      <c r="AQ887" s="9"/>
      <c r="AR887" s="9"/>
      <c r="AS887" s="9"/>
      <c r="AT887" s="9"/>
      <c r="AU887" s="9"/>
      <c r="AV887" s="9"/>
    </row>
    <row r="888" spans="1:48" ht="14" customHeight="1" thickBot="1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  <c r="AH888" s="9"/>
      <c r="AI888" s="9"/>
      <c r="AJ888" s="9"/>
      <c r="AK888" s="9"/>
      <c r="AL888" s="9"/>
      <c r="AM888" s="9"/>
      <c r="AN888" s="9"/>
      <c r="AO888" s="9"/>
      <c r="AP888" s="9"/>
      <c r="AQ888" s="9"/>
      <c r="AR888" s="9"/>
      <c r="AS888" s="9"/>
      <c r="AT888" s="9"/>
      <c r="AU888" s="9"/>
      <c r="AV888" s="9"/>
    </row>
    <row r="889" spans="1:48" ht="14" customHeight="1" thickBot="1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  <c r="AH889" s="9"/>
      <c r="AI889" s="9"/>
      <c r="AJ889" s="9"/>
      <c r="AK889" s="9"/>
      <c r="AL889" s="9"/>
      <c r="AM889" s="9"/>
      <c r="AN889" s="9"/>
      <c r="AO889" s="9"/>
      <c r="AP889" s="9"/>
      <c r="AQ889" s="9"/>
      <c r="AR889" s="9"/>
      <c r="AS889" s="9"/>
      <c r="AT889" s="9"/>
      <c r="AU889" s="9"/>
      <c r="AV889" s="9"/>
    </row>
    <row r="890" spans="1:48" ht="14" customHeight="1" thickBot="1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  <c r="AH890" s="9"/>
      <c r="AI890" s="9"/>
      <c r="AJ890" s="9"/>
      <c r="AK890" s="9"/>
      <c r="AL890" s="9"/>
      <c r="AM890" s="9"/>
      <c r="AN890" s="9"/>
      <c r="AO890" s="9"/>
      <c r="AP890" s="9"/>
      <c r="AQ890" s="9"/>
      <c r="AR890" s="9"/>
      <c r="AS890" s="9"/>
      <c r="AT890" s="9"/>
      <c r="AU890" s="9"/>
      <c r="AV890" s="9"/>
    </row>
    <row r="891" spans="1:48" ht="14" customHeight="1" thickBot="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  <c r="AH891" s="9"/>
      <c r="AI891" s="9"/>
      <c r="AJ891" s="9"/>
      <c r="AK891" s="9"/>
      <c r="AL891" s="9"/>
      <c r="AM891" s="9"/>
      <c r="AN891" s="9"/>
      <c r="AO891" s="9"/>
      <c r="AP891" s="9"/>
      <c r="AQ891" s="9"/>
      <c r="AR891" s="9"/>
      <c r="AS891" s="9"/>
      <c r="AT891" s="9"/>
      <c r="AU891" s="9"/>
      <c r="AV891" s="9"/>
    </row>
    <row r="892" spans="1:48" ht="14" customHeight="1" thickBot="1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  <c r="AH892" s="9"/>
      <c r="AI892" s="9"/>
      <c r="AJ892" s="9"/>
      <c r="AK892" s="9"/>
      <c r="AL892" s="9"/>
      <c r="AM892" s="9"/>
      <c r="AN892" s="9"/>
      <c r="AO892" s="9"/>
      <c r="AP892" s="9"/>
      <c r="AQ892" s="9"/>
      <c r="AR892" s="9"/>
      <c r="AS892" s="9"/>
      <c r="AT892" s="9"/>
      <c r="AU892" s="9"/>
      <c r="AV892" s="9"/>
    </row>
    <row r="893" spans="1:48" ht="14" customHeight="1" thickBot="1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  <c r="AH893" s="9"/>
      <c r="AI893" s="9"/>
      <c r="AJ893" s="9"/>
      <c r="AK893" s="9"/>
      <c r="AL893" s="9"/>
      <c r="AM893" s="9"/>
      <c r="AN893" s="9"/>
      <c r="AO893" s="9"/>
      <c r="AP893" s="9"/>
      <c r="AQ893" s="9"/>
      <c r="AR893" s="9"/>
      <c r="AS893" s="9"/>
      <c r="AT893" s="9"/>
      <c r="AU893" s="9"/>
      <c r="AV893" s="9"/>
    </row>
    <row r="894" spans="1:48" ht="14" customHeight="1" thickBot="1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  <c r="AH894" s="9"/>
      <c r="AI894" s="9"/>
      <c r="AJ894" s="9"/>
      <c r="AK894" s="9"/>
      <c r="AL894" s="9"/>
      <c r="AM894" s="9"/>
      <c r="AN894" s="9"/>
      <c r="AO894" s="9"/>
      <c r="AP894" s="9"/>
      <c r="AQ894" s="9"/>
      <c r="AR894" s="9"/>
      <c r="AS894" s="9"/>
      <c r="AT894" s="9"/>
      <c r="AU894" s="9"/>
      <c r="AV894" s="9"/>
    </row>
    <row r="895" spans="1:48" ht="14" customHeight="1" thickBot="1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  <c r="AH895" s="9"/>
      <c r="AI895" s="9"/>
      <c r="AJ895" s="9"/>
      <c r="AK895" s="9"/>
      <c r="AL895" s="9"/>
      <c r="AM895" s="9"/>
      <c r="AN895" s="9"/>
      <c r="AO895" s="9"/>
      <c r="AP895" s="9"/>
      <c r="AQ895" s="9"/>
      <c r="AR895" s="9"/>
      <c r="AS895" s="9"/>
      <c r="AT895" s="9"/>
      <c r="AU895" s="9"/>
      <c r="AV895" s="9"/>
    </row>
    <row r="896" spans="1:48" ht="14" customHeight="1" thickBot="1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  <c r="AH896" s="9"/>
      <c r="AI896" s="9"/>
      <c r="AJ896" s="9"/>
      <c r="AK896" s="9"/>
      <c r="AL896" s="9"/>
      <c r="AM896" s="9"/>
      <c r="AN896" s="9"/>
      <c r="AO896" s="9"/>
      <c r="AP896" s="9"/>
      <c r="AQ896" s="9"/>
      <c r="AR896" s="9"/>
      <c r="AS896" s="9"/>
      <c r="AT896" s="9"/>
      <c r="AU896" s="9"/>
      <c r="AV896" s="9"/>
    </row>
    <row r="897" spans="1:48" ht="14" customHeight="1" thickBot="1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  <c r="AH897" s="9"/>
      <c r="AI897" s="9"/>
      <c r="AJ897" s="9"/>
      <c r="AK897" s="9"/>
      <c r="AL897" s="9"/>
      <c r="AM897" s="9"/>
      <c r="AN897" s="9"/>
      <c r="AO897" s="9"/>
      <c r="AP897" s="9"/>
      <c r="AQ897" s="9"/>
      <c r="AR897" s="9"/>
      <c r="AS897" s="9"/>
      <c r="AT897" s="9"/>
      <c r="AU897" s="9"/>
      <c r="AV897" s="9"/>
    </row>
    <row r="898" spans="1:48" ht="14" customHeight="1" thickBot="1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  <c r="AH898" s="9"/>
      <c r="AI898" s="9"/>
      <c r="AJ898" s="9"/>
      <c r="AK898" s="9"/>
      <c r="AL898" s="9"/>
      <c r="AM898" s="9"/>
      <c r="AN898" s="9"/>
      <c r="AO898" s="9"/>
      <c r="AP898" s="9"/>
      <c r="AQ898" s="9"/>
      <c r="AR898" s="9"/>
      <c r="AS898" s="9"/>
      <c r="AT898" s="9"/>
      <c r="AU898" s="9"/>
      <c r="AV898" s="9"/>
    </row>
    <row r="899" spans="1:48" ht="14" customHeight="1" thickBot="1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  <c r="AH899" s="9"/>
      <c r="AI899" s="9"/>
      <c r="AJ899" s="9"/>
      <c r="AK899" s="9"/>
      <c r="AL899" s="9"/>
      <c r="AM899" s="9"/>
      <c r="AN899" s="9"/>
      <c r="AO899" s="9"/>
      <c r="AP899" s="9"/>
      <c r="AQ899" s="9"/>
      <c r="AR899" s="9"/>
      <c r="AS899" s="9"/>
      <c r="AT899" s="9"/>
      <c r="AU899" s="9"/>
      <c r="AV899" s="9"/>
    </row>
    <row r="900" spans="1:48" ht="14" customHeight="1" thickBot="1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  <c r="AH900" s="9"/>
      <c r="AI900" s="9"/>
      <c r="AJ900" s="9"/>
      <c r="AK900" s="9"/>
      <c r="AL900" s="9"/>
      <c r="AM900" s="9"/>
      <c r="AN900" s="9"/>
      <c r="AO900" s="9"/>
      <c r="AP900" s="9"/>
      <c r="AQ900" s="9"/>
      <c r="AR900" s="9"/>
      <c r="AS900" s="9"/>
      <c r="AT900" s="9"/>
      <c r="AU900" s="9"/>
      <c r="AV900" s="9"/>
    </row>
    <row r="901" spans="1:48" ht="14" customHeight="1" thickBot="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  <c r="AH901" s="9"/>
      <c r="AI901" s="9"/>
      <c r="AJ901" s="9"/>
      <c r="AK901" s="9"/>
      <c r="AL901" s="9"/>
      <c r="AM901" s="9"/>
      <c r="AN901" s="9"/>
      <c r="AO901" s="9"/>
      <c r="AP901" s="9"/>
      <c r="AQ901" s="9"/>
      <c r="AR901" s="9"/>
      <c r="AS901" s="9"/>
      <c r="AT901" s="9"/>
      <c r="AU901" s="9"/>
      <c r="AV901" s="9"/>
    </row>
    <row r="902" spans="1:48" ht="14" customHeight="1" thickBot="1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  <c r="AH902" s="9"/>
      <c r="AI902" s="9"/>
      <c r="AJ902" s="9"/>
      <c r="AK902" s="9"/>
      <c r="AL902" s="9"/>
      <c r="AM902" s="9"/>
      <c r="AN902" s="9"/>
      <c r="AO902" s="9"/>
      <c r="AP902" s="9"/>
      <c r="AQ902" s="9"/>
      <c r="AR902" s="9"/>
      <c r="AS902" s="9"/>
      <c r="AT902" s="9"/>
      <c r="AU902" s="9"/>
      <c r="AV902" s="9"/>
    </row>
    <row r="903" spans="1:48" ht="14" customHeight="1" thickBot="1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  <c r="AH903" s="9"/>
      <c r="AI903" s="9"/>
      <c r="AJ903" s="9"/>
      <c r="AK903" s="9"/>
      <c r="AL903" s="9"/>
      <c r="AM903" s="9"/>
      <c r="AN903" s="9"/>
      <c r="AO903" s="9"/>
      <c r="AP903" s="9"/>
      <c r="AQ903" s="9"/>
      <c r="AR903" s="9"/>
      <c r="AS903" s="9"/>
      <c r="AT903" s="9"/>
      <c r="AU903" s="9"/>
      <c r="AV903" s="9"/>
    </row>
    <row r="904" spans="1:48" ht="14" customHeight="1" thickBot="1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  <c r="AH904" s="9"/>
      <c r="AI904" s="9"/>
      <c r="AJ904" s="9"/>
      <c r="AK904" s="9"/>
      <c r="AL904" s="9"/>
      <c r="AM904" s="9"/>
      <c r="AN904" s="9"/>
      <c r="AO904" s="9"/>
      <c r="AP904" s="9"/>
      <c r="AQ904" s="9"/>
      <c r="AR904" s="9"/>
      <c r="AS904" s="9"/>
      <c r="AT904" s="9"/>
      <c r="AU904" s="9"/>
      <c r="AV904" s="9"/>
    </row>
    <row r="905" spans="1:48" ht="14" customHeight="1" thickBot="1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  <c r="AH905" s="9"/>
      <c r="AI905" s="9"/>
      <c r="AJ905" s="9"/>
      <c r="AK905" s="9"/>
      <c r="AL905" s="9"/>
      <c r="AM905" s="9"/>
      <c r="AN905" s="9"/>
      <c r="AO905" s="9"/>
      <c r="AP905" s="9"/>
      <c r="AQ905" s="9"/>
      <c r="AR905" s="9"/>
      <c r="AS905" s="9"/>
      <c r="AT905" s="9"/>
      <c r="AU905" s="9"/>
      <c r="AV905" s="9"/>
    </row>
    <row r="906" spans="1:48" ht="14" customHeight="1" thickBot="1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  <c r="AH906" s="9"/>
      <c r="AI906" s="9"/>
      <c r="AJ906" s="9"/>
      <c r="AK906" s="9"/>
      <c r="AL906" s="9"/>
      <c r="AM906" s="9"/>
      <c r="AN906" s="9"/>
      <c r="AO906" s="9"/>
      <c r="AP906" s="9"/>
      <c r="AQ906" s="9"/>
      <c r="AR906" s="9"/>
      <c r="AS906" s="9"/>
      <c r="AT906" s="9"/>
      <c r="AU906" s="9"/>
      <c r="AV906" s="9"/>
    </row>
    <row r="907" spans="1:48" ht="14" customHeight="1" thickBot="1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  <c r="AH907" s="9"/>
      <c r="AI907" s="9"/>
      <c r="AJ907" s="9"/>
      <c r="AK907" s="9"/>
      <c r="AL907" s="9"/>
      <c r="AM907" s="9"/>
      <c r="AN907" s="9"/>
      <c r="AO907" s="9"/>
      <c r="AP907" s="9"/>
      <c r="AQ907" s="9"/>
      <c r="AR907" s="9"/>
      <c r="AS907" s="9"/>
      <c r="AT907" s="9"/>
      <c r="AU907" s="9"/>
      <c r="AV907" s="9"/>
    </row>
    <row r="908" spans="1:48" ht="14" customHeight="1" thickBot="1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  <c r="AH908" s="9"/>
      <c r="AI908" s="9"/>
      <c r="AJ908" s="9"/>
      <c r="AK908" s="9"/>
      <c r="AL908" s="9"/>
      <c r="AM908" s="9"/>
      <c r="AN908" s="9"/>
      <c r="AO908" s="9"/>
      <c r="AP908" s="9"/>
      <c r="AQ908" s="9"/>
      <c r="AR908" s="9"/>
      <c r="AS908" s="9"/>
      <c r="AT908" s="9"/>
      <c r="AU908" s="9"/>
      <c r="AV908" s="9"/>
    </row>
    <row r="909" spans="1:48" ht="14" customHeight="1" thickBot="1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  <c r="AH909" s="9"/>
      <c r="AI909" s="9"/>
      <c r="AJ909" s="9"/>
      <c r="AK909" s="9"/>
      <c r="AL909" s="9"/>
      <c r="AM909" s="9"/>
      <c r="AN909" s="9"/>
      <c r="AO909" s="9"/>
      <c r="AP909" s="9"/>
      <c r="AQ909" s="9"/>
      <c r="AR909" s="9"/>
      <c r="AS909" s="9"/>
      <c r="AT909" s="9"/>
      <c r="AU909" s="9"/>
      <c r="AV909" s="9"/>
    </row>
    <row r="910" spans="1:48" ht="14" customHeight="1" thickBot="1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  <c r="AH910" s="9"/>
      <c r="AI910" s="9"/>
      <c r="AJ910" s="9"/>
      <c r="AK910" s="9"/>
      <c r="AL910" s="9"/>
      <c r="AM910" s="9"/>
      <c r="AN910" s="9"/>
      <c r="AO910" s="9"/>
      <c r="AP910" s="9"/>
      <c r="AQ910" s="9"/>
      <c r="AR910" s="9"/>
      <c r="AS910" s="9"/>
      <c r="AT910" s="9"/>
      <c r="AU910" s="9"/>
      <c r="AV910" s="9"/>
    </row>
    <row r="911" spans="1:48" ht="14" customHeight="1" thickBot="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  <c r="AH911" s="9"/>
      <c r="AI911" s="9"/>
      <c r="AJ911" s="9"/>
      <c r="AK911" s="9"/>
      <c r="AL911" s="9"/>
      <c r="AM911" s="9"/>
      <c r="AN911" s="9"/>
      <c r="AO911" s="9"/>
      <c r="AP911" s="9"/>
      <c r="AQ911" s="9"/>
      <c r="AR911" s="9"/>
      <c r="AS911" s="9"/>
      <c r="AT911" s="9"/>
      <c r="AU911" s="9"/>
      <c r="AV911" s="9"/>
    </row>
    <row r="912" spans="1:48" ht="14" customHeight="1" thickBot="1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  <c r="AH912" s="9"/>
      <c r="AI912" s="9"/>
      <c r="AJ912" s="9"/>
      <c r="AK912" s="9"/>
      <c r="AL912" s="9"/>
      <c r="AM912" s="9"/>
      <c r="AN912" s="9"/>
      <c r="AO912" s="9"/>
      <c r="AP912" s="9"/>
      <c r="AQ912" s="9"/>
      <c r="AR912" s="9"/>
      <c r="AS912" s="9"/>
      <c r="AT912" s="9"/>
      <c r="AU912" s="9"/>
      <c r="AV912" s="9"/>
    </row>
    <row r="913" spans="1:48" ht="14" customHeight="1" thickBot="1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  <c r="AH913" s="9"/>
      <c r="AI913" s="9"/>
      <c r="AJ913" s="9"/>
      <c r="AK913" s="9"/>
      <c r="AL913" s="9"/>
      <c r="AM913" s="9"/>
      <c r="AN913" s="9"/>
      <c r="AO913" s="9"/>
      <c r="AP913" s="9"/>
      <c r="AQ913" s="9"/>
      <c r="AR913" s="9"/>
      <c r="AS913" s="9"/>
      <c r="AT913" s="9"/>
      <c r="AU913" s="9"/>
      <c r="AV913" s="9"/>
    </row>
    <row r="914" spans="1:48" ht="14" customHeight="1" thickBot="1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  <c r="AH914" s="9"/>
      <c r="AI914" s="9"/>
      <c r="AJ914" s="9"/>
      <c r="AK914" s="9"/>
      <c r="AL914" s="9"/>
      <c r="AM914" s="9"/>
      <c r="AN914" s="9"/>
      <c r="AO914" s="9"/>
      <c r="AP914" s="9"/>
      <c r="AQ914" s="9"/>
      <c r="AR914" s="9"/>
      <c r="AS914" s="9"/>
      <c r="AT914" s="9"/>
      <c r="AU914" s="9"/>
      <c r="AV914" s="9"/>
    </row>
    <row r="915" spans="1:48" ht="14" customHeight="1" thickBot="1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  <c r="AH915" s="9"/>
      <c r="AI915" s="9"/>
      <c r="AJ915" s="9"/>
      <c r="AK915" s="9"/>
      <c r="AL915" s="9"/>
      <c r="AM915" s="9"/>
      <c r="AN915" s="9"/>
      <c r="AO915" s="9"/>
      <c r="AP915" s="9"/>
      <c r="AQ915" s="9"/>
      <c r="AR915" s="9"/>
      <c r="AS915" s="9"/>
      <c r="AT915" s="9"/>
      <c r="AU915" s="9"/>
      <c r="AV915" s="9"/>
    </row>
    <row r="916" spans="1:48" ht="14" customHeight="1" thickBot="1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  <c r="AH916" s="9"/>
      <c r="AI916" s="9"/>
      <c r="AJ916" s="9"/>
      <c r="AK916" s="9"/>
      <c r="AL916" s="9"/>
      <c r="AM916" s="9"/>
      <c r="AN916" s="9"/>
      <c r="AO916" s="9"/>
      <c r="AP916" s="9"/>
      <c r="AQ916" s="9"/>
      <c r="AR916" s="9"/>
      <c r="AS916" s="9"/>
      <c r="AT916" s="9"/>
      <c r="AU916" s="9"/>
      <c r="AV916" s="9"/>
    </row>
    <row r="917" spans="1:48" ht="14" customHeight="1" thickBot="1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  <c r="AH917" s="9"/>
      <c r="AI917" s="9"/>
      <c r="AJ917" s="9"/>
      <c r="AK917" s="9"/>
      <c r="AL917" s="9"/>
      <c r="AM917" s="9"/>
      <c r="AN917" s="9"/>
      <c r="AO917" s="9"/>
      <c r="AP917" s="9"/>
      <c r="AQ917" s="9"/>
      <c r="AR917" s="9"/>
      <c r="AS917" s="9"/>
      <c r="AT917" s="9"/>
      <c r="AU917" s="9"/>
      <c r="AV917" s="9"/>
    </row>
    <row r="918" spans="1:48" ht="14" customHeight="1" thickBot="1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  <c r="AH918" s="9"/>
      <c r="AI918" s="9"/>
      <c r="AJ918" s="9"/>
      <c r="AK918" s="9"/>
      <c r="AL918" s="9"/>
      <c r="AM918" s="9"/>
      <c r="AN918" s="9"/>
      <c r="AO918" s="9"/>
      <c r="AP918" s="9"/>
      <c r="AQ918" s="9"/>
      <c r="AR918" s="9"/>
      <c r="AS918" s="9"/>
      <c r="AT918" s="9"/>
      <c r="AU918" s="9"/>
      <c r="AV918" s="9"/>
    </row>
    <row r="919" spans="1:48" ht="14" customHeight="1" thickBot="1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  <c r="AH919" s="9"/>
      <c r="AI919" s="9"/>
      <c r="AJ919" s="9"/>
      <c r="AK919" s="9"/>
      <c r="AL919" s="9"/>
      <c r="AM919" s="9"/>
      <c r="AN919" s="9"/>
      <c r="AO919" s="9"/>
      <c r="AP919" s="9"/>
      <c r="AQ919" s="9"/>
      <c r="AR919" s="9"/>
      <c r="AS919" s="9"/>
      <c r="AT919" s="9"/>
      <c r="AU919" s="9"/>
      <c r="AV919" s="9"/>
    </row>
    <row r="920" spans="1:48" ht="14" customHeight="1" thickBot="1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  <c r="AH920" s="9"/>
      <c r="AI920" s="9"/>
      <c r="AJ920" s="9"/>
      <c r="AK920" s="9"/>
      <c r="AL920" s="9"/>
      <c r="AM920" s="9"/>
      <c r="AN920" s="9"/>
      <c r="AO920" s="9"/>
      <c r="AP920" s="9"/>
      <c r="AQ920" s="9"/>
      <c r="AR920" s="9"/>
      <c r="AS920" s="9"/>
      <c r="AT920" s="9"/>
      <c r="AU920" s="9"/>
      <c r="AV920" s="9"/>
    </row>
    <row r="921" spans="1:48" ht="14" customHeight="1" thickBot="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  <c r="AH921" s="9"/>
      <c r="AI921" s="9"/>
      <c r="AJ921" s="9"/>
      <c r="AK921" s="9"/>
      <c r="AL921" s="9"/>
      <c r="AM921" s="9"/>
      <c r="AN921" s="9"/>
      <c r="AO921" s="9"/>
      <c r="AP921" s="9"/>
      <c r="AQ921" s="9"/>
      <c r="AR921" s="9"/>
      <c r="AS921" s="9"/>
      <c r="AT921" s="9"/>
      <c r="AU921" s="9"/>
      <c r="AV921" s="9"/>
    </row>
    <row r="922" spans="1:48" ht="14" customHeight="1" thickBot="1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  <c r="AH922" s="9"/>
      <c r="AI922" s="9"/>
      <c r="AJ922" s="9"/>
      <c r="AK922" s="9"/>
      <c r="AL922" s="9"/>
      <c r="AM922" s="9"/>
      <c r="AN922" s="9"/>
      <c r="AO922" s="9"/>
      <c r="AP922" s="9"/>
      <c r="AQ922" s="9"/>
      <c r="AR922" s="9"/>
      <c r="AS922" s="9"/>
      <c r="AT922" s="9"/>
      <c r="AU922" s="9"/>
      <c r="AV922" s="9"/>
    </row>
    <row r="923" spans="1:48" ht="14" customHeight="1" thickBot="1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  <c r="AH923" s="9"/>
      <c r="AI923" s="9"/>
      <c r="AJ923" s="9"/>
      <c r="AK923" s="9"/>
      <c r="AL923" s="9"/>
      <c r="AM923" s="9"/>
      <c r="AN923" s="9"/>
      <c r="AO923" s="9"/>
      <c r="AP923" s="9"/>
      <c r="AQ923" s="9"/>
      <c r="AR923" s="9"/>
      <c r="AS923" s="9"/>
      <c r="AT923" s="9"/>
      <c r="AU923" s="9"/>
      <c r="AV923" s="9"/>
    </row>
    <row r="924" spans="1:48" ht="14" customHeight="1" thickBot="1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  <c r="AH924" s="9"/>
      <c r="AI924" s="9"/>
      <c r="AJ924" s="9"/>
      <c r="AK924" s="9"/>
      <c r="AL924" s="9"/>
      <c r="AM924" s="9"/>
      <c r="AN924" s="9"/>
      <c r="AO924" s="9"/>
      <c r="AP924" s="9"/>
      <c r="AQ924" s="9"/>
      <c r="AR924" s="9"/>
      <c r="AS924" s="9"/>
      <c r="AT924" s="9"/>
      <c r="AU924" s="9"/>
      <c r="AV924" s="9"/>
    </row>
    <row r="925" spans="1:48" ht="14" customHeight="1" thickBot="1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  <c r="AH925" s="9"/>
      <c r="AI925" s="9"/>
      <c r="AJ925" s="9"/>
      <c r="AK925" s="9"/>
      <c r="AL925" s="9"/>
      <c r="AM925" s="9"/>
      <c r="AN925" s="9"/>
      <c r="AO925" s="9"/>
      <c r="AP925" s="9"/>
      <c r="AQ925" s="9"/>
      <c r="AR925" s="9"/>
      <c r="AS925" s="9"/>
      <c r="AT925" s="9"/>
      <c r="AU925" s="9"/>
      <c r="AV925" s="9"/>
    </row>
    <row r="926" spans="1:48" ht="14" customHeight="1" thickBot="1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  <c r="AH926" s="9"/>
      <c r="AI926" s="9"/>
      <c r="AJ926" s="9"/>
      <c r="AK926" s="9"/>
      <c r="AL926" s="9"/>
      <c r="AM926" s="9"/>
      <c r="AN926" s="9"/>
      <c r="AO926" s="9"/>
      <c r="AP926" s="9"/>
      <c r="AQ926" s="9"/>
      <c r="AR926" s="9"/>
      <c r="AS926" s="9"/>
      <c r="AT926" s="9"/>
      <c r="AU926" s="9"/>
      <c r="AV926" s="9"/>
    </row>
    <row r="927" spans="1:48" ht="14" customHeight="1" thickBot="1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  <c r="AH927" s="9"/>
      <c r="AI927" s="9"/>
      <c r="AJ927" s="9"/>
      <c r="AK927" s="9"/>
      <c r="AL927" s="9"/>
      <c r="AM927" s="9"/>
      <c r="AN927" s="9"/>
      <c r="AO927" s="9"/>
      <c r="AP927" s="9"/>
      <c r="AQ927" s="9"/>
      <c r="AR927" s="9"/>
      <c r="AS927" s="9"/>
      <c r="AT927" s="9"/>
      <c r="AU927" s="9"/>
      <c r="AV927" s="9"/>
    </row>
    <row r="928" spans="1:48" ht="14" customHeight="1" thickBot="1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  <c r="AH928" s="9"/>
      <c r="AI928" s="9"/>
      <c r="AJ928" s="9"/>
      <c r="AK928" s="9"/>
      <c r="AL928" s="9"/>
      <c r="AM928" s="9"/>
      <c r="AN928" s="9"/>
      <c r="AO928" s="9"/>
      <c r="AP928" s="9"/>
      <c r="AQ928" s="9"/>
      <c r="AR928" s="9"/>
      <c r="AS928" s="9"/>
      <c r="AT928" s="9"/>
      <c r="AU928" s="9"/>
      <c r="AV928" s="9"/>
    </row>
    <row r="929" spans="1:48" ht="14" customHeight="1" thickBot="1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  <c r="AH929" s="9"/>
      <c r="AI929" s="9"/>
      <c r="AJ929" s="9"/>
      <c r="AK929" s="9"/>
      <c r="AL929" s="9"/>
      <c r="AM929" s="9"/>
      <c r="AN929" s="9"/>
      <c r="AO929" s="9"/>
      <c r="AP929" s="9"/>
      <c r="AQ929" s="9"/>
      <c r="AR929" s="9"/>
      <c r="AS929" s="9"/>
      <c r="AT929" s="9"/>
      <c r="AU929" s="9"/>
      <c r="AV929" s="9"/>
    </row>
    <row r="930" spans="1:48" ht="14" customHeight="1" thickBot="1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  <c r="AH930" s="9"/>
      <c r="AI930" s="9"/>
      <c r="AJ930" s="9"/>
      <c r="AK930" s="9"/>
      <c r="AL930" s="9"/>
      <c r="AM930" s="9"/>
      <c r="AN930" s="9"/>
      <c r="AO930" s="9"/>
      <c r="AP930" s="9"/>
      <c r="AQ930" s="9"/>
      <c r="AR930" s="9"/>
      <c r="AS930" s="9"/>
      <c r="AT930" s="9"/>
      <c r="AU930" s="9"/>
      <c r="AV930" s="9"/>
    </row>
    <row r="931" spans="1:48" ht="14" customHeight="1" thickBot="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  <c r="AH931" s="9"/>
      <c r="AI931" s="9"/>
      <c r="AJ931" s="9"/>
      <c r="AK931" s="9"/>
      <c r="AL931" s="9"/>
      <c r="AM931" s="9"/>
      <c r="AN931" s="9"/>
      <c r="AO931" s="9"/>
      <c r="AP931" s="9"/>
      <c r="AQ931" s="9"/>
      <c r="AR931" s="9"/>
      <c r="AS931" s="9"/>
      <c r="AT931" s="9"/>
      <c r="AU931" s="9"/>
      <c r="AV931" s="9"/>
    </row>
    <row r="932" spans="1:48" ht="14" customHeight="1" thickBot="1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  <c r="AH932" s="9"/>
      <c r="AI932" s="9"/>
      <c r="AJ932" s="9"/>
      <c r="AK932" s="9"/>
      <c r="AL932" s="9"/>
      <c r="AM932" s="9"/>
      <c r="AN932" s="9"/>
      <c r="AO932" s="9"/>
      <c r="AP932" s="9"/>
      <c r="AQ932" s="9"/>
      <c r="AR932" s="9"/>
      <c r="AS932" s="9"/>
      <c r="AT932" s="9"/>
      <c r="AU932" s="9"/>
      <c r="AV932" s="9"/>
    </row>
    <row r="933" spans="1:48" ht="14" customHeight="1" thickBot="1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  <c r="AH933" s="9"/>
      <c r="AI933" s="9"/>
      <c r="AJ933" s="9"/>
      <c r="AK933" s="9"/>
      <c r="AL933" s="9"/>
      <c r="AM933" s="9"/>
      <c r="AN933" s="9"/>
      <c r="AO933" s="9"/>
      <c r="AP933" s="9"/>
      <c r="AQ933" s="9"/>
      <c r="AR933" s="9"/>
      <c r="AS933" s="9"/>
      <c r="AT933" s="9"/>
      <c r="AU933" s="9"/>
      <c r="AV933" s="9"/>
    </row>
    <row r="934" spans="1:48" ht="14" customHeight="1" thickBot="1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  <c r="AH934" s="9"/>
      <c r="AI934" s="9"/>
      <c r="AJ934" s="9"/>
      <c r="AK934" s="9"/>
      <c r="AL934" s="9"/>
      <c r="AM934" s="9"/>
      <c r="AN934" s="9"/>
      <c r="AO934" s="9"/>
      <c r="AP934" s="9"/>
      <c r="AQ934" s="9"/>
      <c r="AR934" s="9"/>
      <c r="AS934" s="9"/>
      <c r="AT934" s="9"/>
      <c r="AU934" s="9"/>
      <c r="AV934" s="9"/>
    </row>
    <row r="935" spans="1:48" ht="14" customHeight="1" thickBot="1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  <c r="AH935" s="9"/>
      <c r="AI935" s="9"/>
      <c r="AJ935" s="9"/>
      <c r="AK935" s="9"/>
      <c r="AL935" s="9"/>
      <c r="AM935" s="9"/>
      <c r="AN935" s="9"/>
      <c r="AO935" s="9"/>
      <c r="AP935" s="9"/>
      <c r="AQ935" s="9"/>
      <c r="AR935" s="9"/>
      <c r="AS935" s="9"/>
      <c r="AT935" s="9"/>
      <c r="AU935" s="9"/>
      <c r="AV935" s="9"/>
    </row>
    <row r="936" spans="1:48" ht="14" customHeight="1" thickBot="1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  <c r="AH936" s="9"/>
      <c r="AI936" s="9"/>
      <c r="AJ936" s="9"/>
      <c r="AK936" s="9"/>
      <c r="AL936" s="9"/>
      <c r="AM936" s="9"/>
      <c r="AN936" s="9"/>
      <c r="AO936" s="9"/>
      <c r="AP936" s="9"/>
      <c r="AQ936" s="9"/>
      <c r="AR936" s="9"/>
      <c r="AS936" s="9"/>
      <c r="AT936" s="9"/>
      <c r="AU936" s="9"/>
      <c r="AV936" s="9"/>
    </row>
    <row r="937" spans="1:48" ht="14" customHeight="1" thickBot="1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  <c r="AH937" s="9"/>
      <c r="AI937" s="9"/>
      <c r="AJ937" s="9"/>
      <c r="AK937" s="9"/>
      <c r="AL937" s="9"/>
      <c r="AM937" s="9"/>
      <c r="AN937" s="9"/>
      <c r="AO937" s="9"/>
      <c r="AP937" s="9"/>
      <c r="AQ937" s="9"/>
      <c r="AR937" s="9"/>
      <c r="AS937" s="9"/>
      <c r="AT937" s="9"/>
      <c r="AU937" s="9"/>
      <c r="AV937" s="9"/>
    </row>
    <row r="938" spans="1:48" ht="14" customHeight="1" thickBot="1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  <c r="AH938" s="9"/>
      <c r="AI938" s="9"/>
      <c r="AJ938" s="9"/>
      <c r="AK938" s="9"/>
      <c r="AL938" s="9"/>
      <c r="AM938" s="9"/>
      <c r="AN938" s="9"/>
      <c r="AO938" s="9"/>
      <c r="AP938" s="9"/>
      <c r="AQ938" s="9"/>
      <c r="AR938" s="9"/>
      <c r="AS938" s="9"/>
      <c r="AT938" s="9"/>
      <c r="AU938" s="9"/>
      <c r="AV938" s="9"/>
    </row>
  </sheetData>
  <mergeCells count="1">
    <mergeCell ref="A10:E10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88CD1-7886-4823-974E-B600145CC16B}">
  <sheetPr>
    <pageSetUpPr fitToPage="1"/>
  </sheetPr>
  <dimension ref="A1:V68"/>
  <sheetViews>
    <sheetView view="pageBreakPreview" zoomScaleNormal="120" zoomScaleSheetLayoutView="100" workbookViewId="0">
      <selection activeCell="F51" sqref="F51"/>
    </sheetView>
  </sheetViews>
  <sheetFormatPr defaultRowHeight="14"/>
  <cols>
    <col min="1" max="1" width="4" customWidth="1"/>
    <col min="2" max="2" width="12.83203125" customWidth="1"/>
    <col min="3" max="3" width="34.83203125" customWidth="1"/>
    <col min="4" max="4" width="13.08203125" customWidth="1"/>
    <col min="5" max="5" width="15.25" customWidth="1"/>
    <col min="6" max="6" width="12.6640625" customWidth="1"/>
    <col min="9" max="9" width="13" customWidth="1"/>
  </cols>
  <sheetData>
    <row r="1" spans="1:22" ht="18">
      <c r="A1" s="212" t="s">
        <v>79</v>
      </c>
      <c r="B1" s="212"/>
      <c r="C1" s="212"/>
      <c r="D1" s="212"/>
      <c r="E1" s="212"/>
      <c r="F1" s="212"/>
      <c r="G1" s="212"/>
      <c r="H1" s="212"/>
      <c r="I1" s="33"/>
    </row>
    <row r="2" spans="1:22" ht="18.5" thickBot="1">
      <c r="A2" s="213" t="s">
        <v>80</v>
      </c>
      <c r="B2" s="213"/>
      <c r="C2" s="213"/>
      <c r="D2" s="213"/>
      <c r="E2" s="213"/>
      <c r="F2" s="213"/>
      <c r="G2" s="213"/>
      <c r="H2" s="213"/>
      <c r="I2" s="33"/>
    </row>
    <row r="4" spans="1:22">
      <c r="A4" t="s">
        <v>81</v>
      </c>
      <c r="C4" t="s">
        <v>82</v>
      </c>
      <c r="E4" t="s">
        <v>83</v>
      </c>
      <c r="F4" t="s">
        <v>207</v>
      </c>
    </row>
    <row r="5" spans="1:22">
      <c r="A5" t="s">
        <v>41</v>
      </c>
      <c r="C5" s="34" t="s">
        <v>208</v>
      </c>
      <c r="E5" t="s">
        <v>85</v>
      </c>
      <c r="F5" t="s">
        <v>209</v>
      </c>
    </row>
    <row r="6" spans="1:22">
      <c r="A6" t="s">
        <v>42</v>
      </c>
      <c r="C6" t="s">
        <v>210</v>
      </c>
    </row>
    <row r="7" spans="1:22">
      <c r="A7" t="s">
        <v>87</v>
      </c>
      <c r="C7" t="s">
        <v>112</v>
      </c>
    </row>
    <row r="8" spans="1:22">
      <c r="A8" t="s">
        <v>89</v>
      </c>
      <c r="C8" t="s">
        <v>90</v>
      </c>
    </row>
    <row r="9" spans="1:22">
      <c r="A9" t="s">
        <v>91</v>
      </c>
      <c r="C9" t="s">
        <v>211</v>
      </c>
    </row>
    <row r="10" spans="1:22">
      <c r="C10" t="s">
        <v>212</v>
      </c>
    </row>
    <row r="11" spans="1:22">
      <c r="C11" s="35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</row>
    <row r="12" spans="1:22" s="114" customFormat="1" ht="12.5">
      <c r="C12" s="115"/>
      <c r="D12" s="214" t="s">
        <v>47</v>
      </c>
      <c r="E12" s="215"/>
      <c r="F12" s="216" t="s">
        <v>92</v>
      </c>
      <c r="G12" s="216" t="s">
        <v>93</v>
      </c>
    </row>
    <row r="13" spans="1:22" s="114" customFormat="1" ht="12.5">
      <c r="C13" s="115"/>
      <c r="D13" s="214" t="s">
        <v>191</v>
      </c>
      <c r="E13" s="215"/>
      <c r="F13" s="217"/>
      <c r="G13" s="217"/>
    </row>
    <row r="14" spans="1:22" s="114" customFormat="1" ht="12.5">
      <c r="C14" s="115"/>
      <c r="D14" s="214" t="s">
        <v>192</v>
      </c>
      <c r="E14" s="215"/>
      <c r="F14" s="217"/>
      <c r="G14" s="217"/>
    </row>
    <row r="15" spans="1:22" s="114" customFormat="1" ht="12.5">
      <c r="C15" s="115"/>
      <c r="D15" s="116" t="s">
        <v>118</v>
      </c>
      <c r="E15" s="116" t="s">
        <v>118</v>
      </c>
      <c r="F15" s="217"/>
      <c r="G15" s="217"/>
    </row>
    <row r="16" spans="1:22" s="114" customFormat="1" ht="12.5">
      <c r="C16" s="115"/>
      <c r="D16" s="116" t="s">
        <v>120</v>
      </c>
      <c r="E16" s="116" t="s">
        <v>154</v>
      </c>
      <c r="F16" s="217"/>
      <c r="G16" s="217"/>
    </row>
    <row r="17" spans="1:7" s="114" customFormat="1" ht="12.5">
      <c r="C17" s="115"/>
      <c r="D17" s="116">
        <v>50</v>
      </c>
      <c r="E17" s="116">
        <v>50</v>
      </c>
      <c r="F17" s="218"/>
      <c r="G17" s="218"/>
    </row>
    <row r="18" spans="1:7" s="114" customFormat="1" ht="13">
      <c r="A18" s="117" t="s">
        <v>0</v>
      </c>
      <c r="B18" s="117" t="s">
        <v>1</v>
      </c>
      <c r="C18" s="117" t="s">
        <v>2</v>
      </c>
      <c r="D18" s="117"/>
      <c r="E18" s="117"/>
      <c r="F18" s="117"/>
      <c r="G18" s="117"/>
    </row>
    <row r="19" spans="1:7" s="114" customFormat="1">
      <c r="A19" s="118">
        <v>1</v>
      </c>
      <c r="B19" s="4" t="s">
        <v>280</v>
      </c>
      <c r="C19" s="4" t="s">
        <v>281</v>
      </c>
      <c r="D19" s="119">
        <v>84.9</v>
      </c>
      <c r="E19" s="119">
        <v>98.4</v>
      </c>
      <c r="F19" s="119">
        <f t="shared" ref="F19:F55" si="0">IFERROR((D19*($D$17/100))+(E19*($E$17/100)),"")</f>
        <v>91.65</v>
      </c>
      <c r="G19" s="119" t="str">
        <f>IFERROR(VLOOKUP(F19,[1]Sheet1!$AA$1:$AB$10,2),"")</f>
        <v>A</v>
      </c>
    </row>
    <row r="20" spans="1:7" s="114" customFormat="1">
      <c r="A20" s="118">
        <v>2</v>
      </c>
      <c r="B20" s="4" t="s">
        <v>282</v>
      </c>
      <c r="C20" s="4" t="s">
        <v>283</v>
      </c>
      <c r="D20" s="119">
        <v>77.5</v>
      </c>
      <c r="E20" s="119">
        <v>82</v>
      </c>
      <c r="F20" s="119">
        <f t="shared" si="0"/>
        <v>79.75</v>
      </c>
      <c r="G20" s="119" t="str">
        <f>IFERROR(VLOOKUP(F20,[1]Sheet1!$AA$1:$AB$10,2),"")</f>
        <v>B+</v>
      </c>
    </row>
    <row r="21" spans="1:7" s="114" customFormat="1">
      <c r="A21" s="118">
        <v>3</v>
      </c>
      <c r="B21" s="4" t="s">
        <v>284</v>
      </c>
      <c r="C21" s="4" t="s">
        <v>285</v>
      </c>
      <c r="D21" s="119">
        <v>81.5</v>
      </c>
      <c r="E21" s="119">
        <v>83.5</v>
      </c>
      <c r="F21" s="119">
        <f t="shared" si="0"/>
        <v>82.5</v>
      </c>
      <c r="G21" s="119" t="str">
        <f>IFERROR(VLOOKUP(F21,[1]Sheet1!$AA$1:$AB$10,2),"")</f>
        <v>B+</v>
      </c>
    </row>
    <row r="22" spans="1:7" s="114" customFormat="1">
      <c r="A22" s="118">
        <v>4</v>
      </c>
      <c r="B22" s="4" t="s">
        <v>286</v>
      </c>
      <c r="C22" s="4" t="s">
        <v>287</v>
      </c>
      <c r="D22" s="119">
        <v>72.099999999999994</v>
      </c>
      <c r="E22" s="119">
        <v>76.099999999999994</v>
      </c>
      <c r="F22" s="119">
        <f t="shared" si="0"/>
        <v>74.099999999999994</v>
      </c>
      <c r="G22" s="119" t="str">
        <f>IFERROR(VLOOKUP(F22,[1]Sheet1!$AA$1:$AB$10,2),"")</f>
        <v>B</v>
      </c>
    </row>
    <row r="23" spans="1:7" s="114" customFormat="1">
      <c r="A23" s="118">
        <v>5</v>
      </c>
      <c r="B23" s="4" t="s">
        <v>288</v>
      </c>
      <c r="C23" s="4" t="s">
        <v>289</v>
      </c>
      <c r="D23" s="119">
        <v>80.900000000000006</v>
      </c>
      <c r="E23" s="119">
        <v>82.9</v>
      </c>
      <c r="F23" s="119">
        <f t="shared" si="0"/>
        <v>81.900000000000006</v>
      </c>
      <c r="G23" s="119" t="str">
        <f>IFERROR(VLOOKUP(F23,[1]Sheet1!$AA$1:$AB$10,2),"")</f>
        <v>B+</v>
      </c>
    </row>
    <row r="24" spans="1:7" s="114" customFormat="1">
      <c r="A24" s="118">
        <v>6</v>
      </c>
      <c r="B24" s="4" t="s">
        <v>290</v>
      </c>
      <c r="C24" s="4" t="s">
        <v>291</v>
      </c>
      <c r="D24" s="119">
        <v>80.900000000000006</v>
      </c>
      <c r="E24" s="119">
        <v>81.900000000000006</v>
      </c>
      <c r="F24" s="119">
        <f t="shared" si="0"/>
        <v>81.400000000000006</v>
      </c>
      <c r="G24" s="119" t="str">
        <f>IFERROR(VLOOKUP(F24,[1]Sheet1!$AA$1:$AB$10,2),"")</f>
        <v>B+</v>
      </c>
    </row>
    <row r="25" spans="1:7" s="114" customFormat="1">
      <c r="A25" s="118">
        <v>7</v>
      </c>
      <c r="B25" s="4" t="s">
        <v>292</v>
      </c>
      <c r="C25" s="4" t="s">
        <v>293</v>
      </c>
      <c r="D25" s="119">
        <v>81.5</v>
      </c>
      <c r="E25" s="119">
        <v>87</v>
      </c>
      <c r="F25" s="119">
        <f t="shared" si="0"/>
        <v>84.25</v>
      </c>
      <c r="G25" s="119" t="str">
        <f>IFERROR(VLOOKUP(F25,[1]Sheet1!$AA$1:$AB$10,2),"")</f>
        <v>B+</v>
      </c>
    </row>
    <row r="26" spans="1:7" s="114" customFormat="1">
      <c r="A26" s="118">
        <v>8</v>
      </c>
      <c r="B26" s="4" t="s">
        <v>294</v>
      </c>
      <c r="C26" s="4" t="s">
        <v>295</v>
      </c>
      <c r="D26" s="119">
        <v>81.5</v>
      </c>
      <c r="E26" s="119">
        <v>83</v>
      </c>
      <c r="F26" s="119">
        <f t="shared" si="0"/>
        <v>82.25</v>
      </c>
      <c r="G26" s="119" t="str">
        <f>IFERROR(VLOOKUP(F26,[1]Sheet1!$AA$1:$AB$10,2),"")</f>
        <v>B+</v>
      </c>
    </row>
    <row r="27" spans="1:7" s="114" customFormat="1">
      <c r="A27" s="118">
        <v>9</v>
      </c>
      <c r="B27" s="4" t="s">
        <v>296</v>
      </c>
      <c r="C27" s="4" t="s">
        <v>297</v>
      </c>
      <c r="D27" s="119">
        <v>81.5</v>
      </c>
      <c r="E27" s="119">
        <v>82.5</v>
      </c>
      <c r="F27" s="119">
        <f t="shared" si="0"/>
        <v>82</v>
      </c>
      <c r="G27" s="119" t="str">
        <f>IFERROR(VLOOKUP(F27,[1]Sheet1!$AA$1:$AB$10,2),"")</f>
        <v>B+</v>
      </c>
    </row>
    <row r="28" spans="1:7" s="114" customFormat="1">
      <c r="A28" s="118">
        <v>10</v>
      </c>
      <c r="B28" s="4" t="s">
        <v>298</v>
      </c>
      <c r="C28" s="4" t="s">
        <v>299</v>
      </c>
      <c r="D28" s="119">
        <v>89.5</v>
      </c>
      <c r="E28" s="119">
        <v>99.5</v>
      </c>
      <c r="F28" s="119">
        <f t="shared" si="0"/>
        <v>94.5</v>
      </c>
      <c r="G28" s="119" t="str">
        <f>IFERROR(VLOOKUP(F28,[1]Sheet1!$AA$1:$AB$10,2),"")</f>
        <v>A</v>
      </c>
    </row>
    <row r="29" spans="1:7" s="114" customFormat="1">
      <c r="A29" s="118">
        <v>11</v>
      </c>
      <c r="B29" s="4" t="s">
        <v>300</v>
      </c>
      <c r="C29" s="4" t="s">
        <v>301</v>
      </c>
      <c r="D29" s="119">
        <v>86</v>
      </c>
      <c r="E29" s="119">
        <v>95</v>
      </c>
      <c r="F29" s="119">
        <f t="shared" si="0"/>
        <v>90.5</v>
      </c>
      <c r="G29" s="119" t="str">
        <f>IFERROR(VLOOKUP(F29,[1]Sheet1!$AA$1:$AB$10,2),"")</f>
        <v>A</v>
      </c>
    </row>
    <row r="30" spans="1:7" s="114" customFormat="1">
      <c r="A30" s="118">
        <v>12</v>
      </c>
      <c r="B30" s="4" t="s">
        <v>302</v>
      </c>
      <c r="C30" s="4" t="s">
        <v>303</v>
      </c>
      <c r="D30" s="119">
        <v>78</v>
      </c>
      <c r="E30" s="119">
        <v>83</v>
      </c>
      <c r="F30" s="119">
        <f t="shared" si="0"/>
        <v>80.5</v>
      </c>
      <c r="G30" s="119" t="str">
        <f>IFERROR(VLOOKUP(F30,[1]Sheet1!$AA$1:$AB$10,2),"")</f>
        <v>B+</v>
      </c>
    </row>
    <row r="31" spans="1:7" s="114" customFormat="1">
      <c r="A31" s="118">
        <v>13</v>
      </c>
      <c r="B31" s="4" t="s">
        <v>304</v>
      </c>
      <c r="C31" s="4" t="s">
        <v>305</v>
      </c>
      <c r="D31" s="119">
        <v>81.5</v>
      </c>
      <c r="E31" s="119">
        <v>82.5</v>
      </c>
      <c r="F31" s="119">
        <f t="shared" si="0"/>
        <v>82</v>
      </c>
      <c r="G31" s="119" t="str">
        <f>IFERROR(VLOOKUP(F31,[1]Sheet1!$AA$1:$AB$10,2),"")</f>
        <v>B+</v>
      </c>
    </row>
    <row r="32" spans="1:7" s="114" customFormat="1">
      <c r="A32" s="118">
        <v>14</v>
      </c>
      <c r="B32" s="4" t="s">
        <v>306</v>
      </c>
      <c r="C32" s="4" t="s">
        <v>307</v>
      </c>
      <c r="D32" s="119">
        <v>87.9</v>
      </c>
      <c r="E32" s="119">
        <v>94.4</v>
      </c>
      <c r="F32" s="119">
        <f t="shared" si="0"/>
        <v>91.15</v>
      </c>
      <c r="G32" s="119" t="str">
        <f>IFERROR(VLOOKUP(F32,[1]Sheet1!$AA$1:$AB$10,2),"")</f>
        <v>A</v>
      </c>
    </row>
    <row r="33" spans="1:7" s="114" customFormat="1">
      <c r="A33" s="118">
        <v>15</v>
      </c>
      <c r="B33" s="4" t="s">
        <v>308</v>
      </c>
      <c r="C33" s="4" t="s">
        <v>309</v>
      </c>
      <c r="D33" s="119">
        <v>77.5</v>
      </c>
      <c r="E33" s="119">
        <v>82</v>
      </c>
      <c r="F33" s="119">
        <f t="shared" si="0"/>
        <v>79.75</v>
      </c>
      <c r="G33" s="119" t="str">
        <f>IFERROR(VLOOKUP(F33,[1]Sheet1!$AA$1:$AB$10,2),"")</f>
        <v>B+</v>
      </c>
    </row>
    <row r="34" spans="1:7" s="114" customFormat="1">
      <c r="A34" s="118">
        <v>16</v>
      </c>
      <c r="B34" s="4" t="s">
        <v>310</v>
      </c>
      <c r="C34" s="4" t="s">
        <v>311</v>
      </c>
      <c r="D34" s="119">
        <v>81.5</v>
      </c>
      <c r="E34" s="119">
        <v>82.5</v>
      </c>
      <c r="F34" s="119">
        <f t="shared" si="0"/>
        <v>82</v>
      </c>
      <c r="G34" s="119" t="str">
        <f>IFERROR(VLOOKUP(F34,[1]Sheet1!$AA$1:$AB$10,2),"")</f>
        <v>B+</v>
      </c>
    </row>
    <row r="35" spans="1:7" s="114" customFormat="1">
      <c r="A35" s="118">
        <v>17</v>
      </c>
      <c r="B35" s="4" t="s">
        <v>312</v>
      </c>
      <c r="C35" s="4" t="s">
        <v>313</v>
      </c>
      <c r="D35" s="119">
        <v>86</v>
      </c>
      <c r="E35" s="119">
        <v>91.5</v>
      </c>
      <c r="F35" s="119">
        <f t="shared" si="0"/>
        <v>88.75</v>
      </c>
      <c r="G35" s="119" t="str">
        <f>IFERROR(VLOOKUP(F35,[1]Sheet1!$AA$1:$AB$10,2),"")</f>
        <v>A-</v>
      </c>
    </row>
    <row r="36" spans="1:7" s="114" customFormat="1">
      <c r="A36" s="118">
        <v>18</v>
      </c>
      <c r="B36" s="4" t="s">
        <v>314</v>
      </c>
      <c r="C36" s="4" t="s">
        <v>315</v>
      </c>
      <c r="D36" s="119">
        <v>81.5</v>
      </c>
      <c r="E36" s="119">
        <v>83</v>
      </c>
      <c r="F36" s="119">
        <f t="shared" si="0"/>
        <v>82.25</v>
      </c>
      <c r="G36" s="119" t="str">
        <f>IFERROR(VLOOKUP(F36,[1]Sheet1!$AA$1:$AB$10,2),"")</f>
        <v>B+</v>
      </c>
    </row>
    <row r="37" spans="1:7" s="114" customFormat="1">
      <c r="A37" s="118">
        <v>19</v>
      </c>
      <c r="B37" s="4" t="s">
        <v>316</v>
      </c>
      <c r="C37" s="4" t="s">
        <v>317</v>
      </c>
      <c r="D37" s="119">
        <v>85.5</v>
      </c>
      <c r="E37" s="119">
        <v>87.5</v>
      </c>
      <c r="F37" s="119">
        <f t="shared" si="0"/>
        <v>86.5</v>
      </c>
      <c r="G37" s="119" t="str">
        <f>IFERROR(VLOOKUP(F37,[1]Sheet1!$AA$1:$AB$10,2),"")</f>
        <v>A-</v>
      </c>
    </row>
    <row r="38" spans="1:7" s="114" customFormat="1">
      <c r="A38" s="118">
        <v>20</v>
      </c>
      <c r="B38" s="4" t="s">
        <v>318</v>
      </c>
      <c r="C38" s="4" t="s">
        <v>319</v>
      </c>
      <c r="D38" s="119">
        <v>93.5</v>
      </c>
      <c r="E38" s="119">
        <v>99.5</v>
      </c>
      <c r="F38" s="119">
        <f t="shared" si="0"/>
        <v>96.5</v>
      </c>
      <c r="G38" s="119" t="str">
        <f>IFERROR(VLOOKUP(F38,[1]Sheet1!$AA$1:$AB$10,2),"")</f>
        <v>A</v>
      </c>
    </row>
    <row r="39" spans="1:7" s="114" customFormat="1">
      <c r="A39" s="118">
        <v>21</v>
      </c>
      <c r="B39" s="4" t="s">
        <v>320</v>
      </c>
      <c r="C39" s="4" t="s">
        <v>321</v>
      </c>
      <c r="D39" s="119">
        <v>93.5</v>
      </c>
      <c r="E39" s="119">
        <v>99.5</v>
      </c>
      <c r="F39" s="119">
        <f t="shared" si="0"/>
        <v>96.5</v>
      </c>
      <c r="G39" s="119" t="str">
        <f>IFERROR(VLOOKUP(F39,[1]Sheet1!$AA$1:$AB$10,2),"")</f>
        <v>A</v>
      </c>
    </row>
    <row r="40" spans="1:7" s="114" customFormat="1">
      <c r="A40" s="118">
        <v>22</v>
      </c>
      <c r="B40" s="4" t="s">
        <v>322</v>
      </c>
      <c r="C40" s="4" t="s">
        <v>323</v>
      </c>
      <c r="D40" s="119">
        <v>86</v>
      </c>
      <c r="E40" s="119">
        <v>92.5</v>
      </c>
      <c r="F40" s="119">
        <f t="shared" si="0"/>
        <v>89.25</v>
      </c>
      <c r="G40" s="119" t="str">
        <f>IFERROR(VLOOKUP(F40,[1]Sheet1!$AA$1:$AB$10,2),"")</f>
        <v>A-</v>
      </c>
    </row>
    <row r="41" spans="1:7" s="114" customFormat="1">
      <c r="A41" s="118">
        <v>23</v>
      </c>
      <c r="B41" s="4" t="s">
        <v>324</v>
      </c>
      <c r="C41" s="4" t="s">
        <v>325</v>
      </c>
      <c r="D41" s="119">
        <v>81.5</v>
      </c>
      <c r="E41" s="119">
        <v>86</v>
      </c>
      <c r="F41" s="119">
        <f t="shared" si="0"/>
        <v>83.75</v>
      </c>
      <c r="G41" s="119" t="str">
        <f>IFERROR(VLOOKUP(F41,[1]Sheet1!$AA$1:$AB$10,2),"")</f>
        <v>B+</v>
      </c>
    </row>
    <row r="42" spans="1:7" s="114" customFormat="1">
      <c r="A42" s="118">
        <v>24</v>
      </c>
      <c r="B42" s="4" t="s">
        <v>326</v>
      </c>
      <c r="C42" s="4" t="s">
        <v>327</v>
      </c>
      <c r="D42" s="119">
        <v>81.5</v>
      </c>
      <c r="E42" s="119">
        <v>82</v>
      </c>
      <c r="F42" s="119">
        <f t="shared" si="0"/>
        <v>81.75</v>
      </c>
      <c r="G42" s="119" t="str">
        <f>IFERROR(VLOOKUP(F42,[1]Sheet1!$AA$1:$AB$10,2),"")</f>
        <v>B+</v>
      </c>
    </row>
    <row r="43" spans="1:7" s="114" customFormat="1">
      <c r="A43" s="118">
        <v>25</v>
      </c>
      <c r="B43" s="4" t="s">
        <v>328</v>
      </c>
      <c r="C43" s="4" t="s">
        <v>329</v>
      </c>
      <c r="D43" s="119">
        <v>81.5</v>
      </c>
      <c r="E43" s="119">
        <v>91.5</v>
      </c>
      <c r="F43" s="119">
        <f t="shared" si="0"/>
        <v>86.5</v>
      </c>
      <c r="G43" s="119" t="str">
        <f>IFERROR(VLOOKUP(F43,[1]Sheet1!$AA$1:$AB$10,2),"")</f>
        <v>A-</v>
      </c>
    </row>
    <row r="44" spans="1:7" s="114" customFormat="1">
      <c r="A44" s="118">
        <v>26</v>
      </c>
      <c r="B44" s="4" t="s">
        <v>330</v>
      </c>
      <c r="C44" s="4" t="s">
        <v>331</v>
      </c>
      <c r="D44" s="119">
        <v>80.25</v>
      </c>
      <c r="E44" s="119">
        <v>80.25</v>
      </c>
      <c r="F44" s="119">
        <f t="shared" si="0"/>
        <v>80.25</v>
      </c>
      <c r="G44" s="119" t="str">
        <f>IFERROR(VLOOKUP(F44,[1]Sheet1!$AA$1:$AB$10,2),"")</f>
        <v>B+</v>
      </c>
    </row>
    <row r="45" spans="1:7" s="114" customFormat="1">
      <c r="A45" s="118">
        <v>27</v>
      </c>
      <c r="B45" s="4" t="s">
        <v>332</v>
      </c>
      <c r="C45" s="4" t="s">
        <v>333</v>
      </c>
      <c r="D45" s="119">
        <v>85.5</v>
      </c>
      <c r="E45" s="119">
        <v>85.5</v>
      </c>
      <c r="F45" s="119">
        <f t="shared" si="0"/>
        <v>85.5</v>
      </c>
      <c r="G45" s="119" t="str">
        <f>IFERROR(VLOOKUP(F45,[1]Sheet1!$AA$1:$AB$10,2),"")</f>
        <v>A-</v>
      </c>
    </row>
    <row r="46" spans="1:7" s="114" customFormat="1">
      <c r="A46" s="118">
        <v>28</v>
      </c>
      <c r="B46" s="4" t="s">
        <v>334</v>
      </c>
      <c r="C46" s="4" t="s">
        <v>335</v>
      </c>
      <c r="D46" s="119">
        <v>85.5</v>
      </c>
      <c r="E46" s="119">
        <v>85.5</v>
      </c>
      <c r="F46" s="119">
        <f t="shared" si="0"/>
        <v>85.5</v>
      </c>
      <c r="G46" s="119" t="str">
        <f>IFERROR(VLOOKUP(F46,[1]Sheet1!$AA$1:$AB$10,2),"")</f>
        <v>A-</v>
      </c>
    </row>
    <row r="47" spans="1:7" s="114" customFormat="1">
      <c r="A47" s="118">
        <v>29</v>
      </c>
      <c r="B47" s="4" t="s">
        <v>336</v>
      </c>
      <c r="C47" s="4" t="s">
        <v>337</v>
      </c>
      <c r="D47" s="119">
        <v>82</v>
      </c>
      <c r="E47" s="119">
        <v>82</v>
      </c>
      <c r="F47" s="119">
        <f t="shared" si="0"/>
        <v>82</v>
      </c>
      <c r="G47" s="119" t="str">
        <f>IFERROR(VLOOKUP(F47,[1]Sheet1!$AA$1:$AB$10,2),"")</f>
        <v>B+</v>
      </c>
    </row>
    <row r="48" spans="1:7" s="114" customFormat="1">
      <c r="A48" s="118">
        <v>30</v>
      </c>
      <c r="B48" s="4" t="s">
        <v>338</v>
      </c>
      <c r="C48" s="4" t="s">
        <v>339</v>
      </c>
      <c r="D48" s="119">
        <v>82</v>
      </c>
      <c r="E48" s="119">
        <v>82</v>
      </c>
      <c r="F48" s="119">
        <f t="shared" si="0"/>
        <v>82</v>
      </c>
      <c r="G48" s="119" t="str">
        <f>IFERROR(VLOOKUP(F48,[1]Sheet1!$AA$1:$AB$10,2),"")</f>
        <v>B+</v>
      </c>
    </row>
    <row r="49" spans="1:7" s="114" customFormat="1">
      <c r="A49" s="118">
        <v>31</v>
      </c>
      <c r="B49" s="4" t="s">
        <v>340</v>
      </c>
      <c r="C49" s="4" t="s">
        <v>341</v>
      </c>
      <c r="D49" s="119">
        <v>82</v>
      </c>
      <c r="E49" s="119">
        <v>82</v>
      </c>
      <c r="F49" s="119">
        <f t="shared" si="0"/>
        <v>82</v>
      </c>
      <c r="G49" s="119" t="str">
        <f>IFERROR(VLOOKUP(F49,[1]Sheet1!$AA$1:$AB$10,2),"")</f>
        <v>B+</v>
      </c>
    </row>
    <row r="50" spans="1:7" s="114" customFormat="1">
      <c r="A50" s="118">
        <v>32</v>
      </c>
      <c r="B50" s="4" t="s">
        <v>342</v>
      </c>
      <c r="C50" s="4" t="s">
        <v>343</v>
      </c>
      <c r="D50" s="119">
        <v>82</v>
      </c>
      <c r="E50" s="119">
        <v>82</v>
      </c>
      <c r="F50" s="119">
        <f t="shared" si="0"/>
        <v>82</v>
      </c>
      <c r="G50" s="119" t="str">
        <f>IFERROR(VLOOKUP(F50,[1]Sheet1!$AA$1:$AB$10,2),"")</f>
        <v>B+</v>
      </c>
    </row>
    <row r="51" spans="1:7" s="114" customFormat="1">
      <c r="A51" s="118">
        <v>33</v>
      </c>
      <c r="B51" s="4" t="s">
        <v>344</v>
      </c>
      <c r="C51" s="4" t="s">
        <v>345</v>
      </c>
      <c r="D51" s="119">
        <v>85.5</v>
      </c>
      <c r="E51" s="119">
        <v>85.5</v>
      </c>
      <c r="F51" s="119">
        <f t="shared" si="0"/>
        <v>85.5</v>
      </c>
      <c r="G51" s="119" t="str">
        <f>IFERROR(VLOOKUP(F51,[1]Sheet1!$AA$1:$AB$10,2),"")</f>
        <v>A-</v>
      </c>
    </row>
    <row r="52" spans="1:7" s="114" customFormat="1">
      <c r="A52" s="118">
        <v>34</v>
      </c>
      <c r="B52" s="4" t="s">
        <v>346</v>
      </c>
      <c r="C52" s="4" t="s">
        <v>347</v>
      </c>
      <c r="D52" s="119">
        <v>82</v>
      </c>
      <c r="E52" s="119">
        <v>82</v>
      </c>
      <c r="F52" s="119">
        <f t="shared" si="0"/>
        <v>82</v>
      </c>
      <c r="G52" s="119" t="str">
        <f>IFERROR(VLOOKUP(F52,[1]Sheet1!$AA$1:$AB$10,2),"")</f>
        <v>B+</v>
      </c>
    </row>
    <row r="53" spans="1:7" s="114" customFormat="1">
      <c r="A53" s="118">
        <v>35</v>
      </c>
      <c r="B53" s="4" t="s">
        <v>348</v>
      </c>
      <c r="C53" s="4" t="s">
        <v>349</v>
      </c>
      <c r="D53" s="119">
        <v>82</v>
      </c>
      <c r="E53" s="119">
        <v>82</v>
      </c>
      <c r="F53" s="119">
        <f t="shared" si="0"/>
        <v>82</v>
      </c>
      <c r="G53" s="119" t="str">
        <f>IFERROR(VLOOKUP(F53,[1]Sheet1!$AA$1:$AB$10,2),"")</f>
        <v>B+</v>
      </c>
    </row>
    <row r="54" spans="1:7" s="114" customFormat="1">
      <c r="A54" s="118">
        <v>36</v>
      </c>
      <c r="B54" s="4" t="s">
        <v>350</v>
      </c>
      <c r="C54" s="4" t="s">
        <v>351</v>
      </c>
      <c r="D54" s="119">
        <v>85.5</v>
      </c>
      <c r="E54" s="119">
        <v>85.5</v>
      </c>
      <c r="F54" s="119">
        <f t="shared" si="0"/>
        <v>85.5</v>
      </c>
      <c r="G54" s="119" t="str">
        <f>IFERROR(VLOOKUP(F54,[1]Sheet1!$AA$1:$AB$10,2),"")</f>
        <v>A-</v>
      </c>
    </row>
    <row r="55" spans="1:7" s="114" customFormat="1">
      <c r="A55" s="118">
        <v>37</v>
      </c>
      <c r="B55" s="4" t="s">
        <v>352</v>
      </c>
      <c r="C55" s="4" t="s">
        <v>353</v>
      </c>
      <c r="D55" s="119">
        <v>85.5</v>
      </c>
      <c r="E55" s="119">
        <v>85.5</v>
      </c>
      <c r="F55" s="119">
        <f t="shared" si="0"/>
        <v>85.5</v>
      </c>
      <c r="G55" s="119" t="str">
        <f>IFERROR(VLOOKUP(F55,[1]Sheet1!$AA$1:$AB$10,2),"")</f>
        <v>A-</v>
      </c>
    </row>
    <row r="56" spans="1:7" s="114" customFormat="1" ht="12.5">
      <c r="A56" s="120"/>
      <c r="B56" s="121"/>
      <c r="C56" s="121"/>
      <c r="D56" s="120"/>
      <c r="E56" s="120"/>
      <c r="F56" s="122"/>
      <c r="G56" s="122"/>
    </row>
    <row r="57" spans="1:7" s="114" customFormat="1" ht="13" thickBot="1">
      <c r="C57" s="115"/>
      <c r="D57" s="123" t="str">
        <f t="shared" ref="D57:E57" si="1">D16</f>
        <v>CPMK021</v>
      </c>
      <c r="E57" s="123" t="str">
        <f t="shared" si="1"/>
        <v>CPMK023</v>
      </c>
      <c r="F57" s="123" t="str">
        <f>F12</f>
        <v>Nilai Akhir MK</v>
      </c>
    </row>
    <row r="58" spans="1:7" s="114" customFormat="1" ht="13" thickBot="1">
      <c r="C58" s="124" t="s">
        <v>188</v>
      </c>
      <c r="D58" s="125">
        <f>IFERROR(COUNTIF(D19:D55,""),"")</f>
        <v>0</v>
      </c>
      <c r="E58" s="125">
        <f>IFERROR(COUNTIF(E19:E55,""),"")</f>
        <v>0</v>
      </c>
      <c r="F58" s="125">
        <f>IFERROR(COUNTIF(F19:F55,""),"")</f>
        <v>0</v>
      </c>
    </row>
    <row r="59" spans="1:7" s="114" customFormat="1" ht="13" thickBot="1">
      <c r="C59" s="126" t="s">
        <v>98</v>
      </c>
      <c r="D59" s="142">
        <f>IFERROR(COUNTIF(D19:D55,C59)+COUNTIF(D19:D55,""),"")-D58</f>
        <v>0</v>
      </c>
      <c r="E59" s="127">
        <f>COUNTIF(E19:E55,C59)+COUNTIF(E19:E55,"")-E58</f>
        <v>0</v>
      </c>
      <c r="F59" s="142">
        <f>IFERROR(COUNTIF(F19:F55,C59)+COUNTIF(F19:F55,""),"")-F58</f>
        <v>0</v>
      </c>
    </row>
    <row r="60" spans="1:7" s="114" customFormat="1" ht="13" thickBot="1">
      <c r="C60" s="128" t="s">
        <v>99</v>
      </c>
      <c r="D60" s="129">
        <f>IFERROR(COUNTIF(D19:D55,C60)-D59,"")</f>
        <v>24</v>
      </c>
      <c r="E60" s="129">
        <f>COUNTIF(E19:E55,C60)-E59</f>
        <v>20</v>
      </c>
      <c r="F60" s="130">
        <f>IFERROR(COUNTIF(F19:F55,C60)-F59,"")</f>
        <v>22</v>
      </c>
    </row>
    <row r="61" spans="1:7" s="114" customFormat="1" ht="13" thickBot="1">
      <c r="C61" s="131" t="s">
        <v>100</v>
      </c>
      <c r="D61" s="132">
        <f>COUNTIF(D19:D55,C61)</f>
        <v>13</v>
      </c>
      <c r="E61" s="132">
        <f>COUNTIF(E19:E55,C61)</f>
        <v>17</v>
      </c>
      <c r="F61" s="132">
        <f>IFERROR(COUNTIF(F19:F55,C61),"")</f>
        <v>15</v>
      </c>
    </row>
    <row r="62" spans="1:7" s="114" customFormat="1" ht="13" thickBot="1">
      <c r="C62" s="133" t="s">
        <v>78</v>
      </c>
      <c r="D62" s="134">
        <f>SUM(D58:D61)</f>
        <v>37</v>
      </c>
      <c r="E62" s="134">
        <f t="shared" ref="E62:F62" si="2">SUM(E58:E61)</f>
        <v>37</v>
      </c>
      <c r="F62" s="134">
        <f t="shared" si="2"/>
        <v>37</v>
      </c>
    </row>
    <row r="63" spans="1:7" s="114" customFormat="1" ht="13" thickBot="1">
      <c r="C63" s="135"/>
      <c r="D63" s="123"/>
      <c r="E63" s="123"/>
      <c r="F63" s="123"/>
    </row>
    <row r="64" spans="1:7" s="114" customFormat="1" ht="13" thickBot="1">
      <c r="C64" s="136" t="s">
        <v>101</v>
      </c>
      <c r="D64" s="137">
        <f>(D60+D61)/(D62-D58)</f>
        <v>1</v>
      </c>
      <c r="E64" s="137">
        <f>(E60+E61)/(E62-E58)</f>
        <v>1</v>
      </c>
      <c r="F64" s="137">
        <f>(F60+F61)/(F62-F58)</f>
        <v>1</v>
      </c>
    </row>
    <row r="65" spans="3:6" s="114" customFormat="1" ht="13" thickBot="1">
      <c r="C65" s="135"/>
      <c r="D65" s="123"/>
      <c r="E65" s="123"/>
      <c r="F65" s="123"/>
    </row>
    <row r="66" spans="3:6" s="114" customFormat="1" ht="13" thickBot="1">
      <c r="C66" s="136" t="s">
        <v>102</v>
      </c>
      <c r="D66" s="138">
        <f>MIN(D19:D55)</f>
        <v>72.099999999999994</v>
      </c>
      <c r="E66" s="138">
        <f>MIN(E19:E55)</f>
        <v>76.099999999999994</v>
      </c>
      <c r="F66" s="138">
        <f>IFERROR(MIN(F19:F55),"")</f>
        <v>74.099999999999994</v>
      </c>
    </row>
    <row r="67" spans="3:6" s="114" customFormat="1" ht="13" thickBot="1">
      <c r="C67" s="136" t="s">
        <v>103</v>
      </c>
      <c r="D67" s="138">
        <f>MAX(D19:D37)</f>
        <v>89.5</v>
      </c>
      <c r="E67" s="138">
        <f>MAX(E19:E55)</f>
        <v>99.5</v>
      </c>
      <c r="F67" s="138">
        <f>IFERROR(MAX(F19:F55),"")</f>
        <v>96.5</v>
      </c>
    </row>
    <row r="68" spans="3:6" s="114" customFormat="1" ht="13" thickBot="1">
      <c r="C68" s="136" t="s">
        <v>104</v>
      </c>
      <c r="D68" s="139">
        <f>AVERAGE(D19:D55)</f>
        <v>83.093243243243236</v>
      </c>
      <c r="E68" s="139">
        <f>AVERAGE(E19:E55)</f>
        <v>86.187837837837833</v>
      </c>
      <c r="F68" s="139">
        <f>IFERROR(AVERAGE(F19:F55),"")</f>
        <v>84.640540540540542</v>
      </c>
    </row>
  </sheetData>
  <mergeCells count="7">
    <mergeCell ref="A1:H1"/>
    <mergeCell ref="A2:H2"/>
    <mergeCell ref="D12:E12"/>
    <mergeCell ref="F12:F17"/>
    <mergeCell ref="G12:G17"/>
    <mergeCell ref="D13:E13"/>
    <mergeCell ref="D14:E14"/>
  </mergeCells>
  <printOptions horizontalCentered="1"/>
  <pageMargins left="0.19685039370078741" right="0.11811023622047245" top="0.15748031496062992" bottom="0.15748031496062992" header="0" footer="0"/>
  <pageSetup paperSize="9" scale="8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32041-C74A-47E8-90FF-E348C56994EA}">
  <sheetPr>
    <pageSetUpPr fitToPage="1"/>
  </sheetPr>
  <dimension ref="A1:Y69"/>
  <sheetViews>
    <sheetView view="pageBreakPreview" zoomScaleNormal="100" zoomScaleSheetLayoutView="100" workbookViewId="0">
      <selection activeCell="I49" sqref="I49"/>
    </sheetView>
  </sheetViews>
  <sheetFormatPr defaultRowHeight="14"/>
  <cols>
    <col min="1" max="1" width="4" customWidth="1"/>
    <col min="2" max="2" width="12.83203125" customWidth="1"/>
    <col min="3" max="3" width="32.6640625" customWidth="1"/>
    <col min="4" max="8" width="5.83203125" customWidth="1"/>
    <col min="9" max="9" width="8" customWidth="1"/>
    <col min="12" max="12" width="13" customWidth="1"/>
  </cols>
  <sheetData>
    <row r="1" spans="1:25" ht="18">
      <c r="A1" s="212" t="s">
        <v>79</v>
      </c>
      <c r="B1" s="212"/>
      <c r="C1" s="212"/>
      <c r="D1" s="212"/>
      <c r="E1" s="212"/>
      <c r="F1" s="212"/>
      <c r="G1" s="212"/>
      <c r="H1" s="212"/>
      <c r="I1" s="212"/>
      <c r="J1" s="212"/>
      <c r="K1" s="212"/>
      <c r="L1" s="33"/>
    </row>
    <row r="2" spans="1:25" ht="18.5" thickBot="1">
      <c r="A2" s="213" t="s">
        <v>80</v>
      </c>
      <c r="B2" s="213"/>
      <c r="C2" s="213"/>
      <c r="D2" s="213"/>
      <c r="E2" s="213"/>
      <c r="F2" s="213"/>
      <c r="G2" s="213"/>
      <c r="H2" s="213"/>
      <c r="I2" s="213"/>
      <c r="J2" s="213"/>
      <c r="K2" s="213"/>
      <c r="L2" s="33"/>
    </row>
    <row r="4" spans="1:25">
      <c r="A4" t="s">
        <v>81</v>
      </c>
      <c r="C4" t="s">
        <v>82</v>
      </c>
      <c r="H4" t="s">
        <v>83</v>
      </c>
      <c r="I4" t="s">
        <v>207</v>
      </c>
    </row>
    <row r="5" spans="1:25">
      <c r="A5" t="s">
        <v>41</v>
      </c>
      <c r="C5" s="34" t="s">
        <v>213</v>
      </c>
      <c r="D5" s="34"/>
      <c r="E5" s="34"/>
      <c r="F5" s="34"/>
      <c r="H5" t="s">
        <v>85</v>
      </c>
      <c r="I5" t="s">
        <v>209</v>
      </c>
    </row>
    <row r="6" spans="1:25">
      <c r="A6" t="s">
        <v>42</v>
      </c>
      <c r="C6" t="s">
        <v>214</v>
      </c>
    </row>
    <row r="7" spans="1:25">
      <c r="A7" t="s">
        <v>87</v>
      </c>
      <c r="C7" t="s">
        <v>88</v>
      </c>
    </row>
    <row r="8" spans="1:25">
      <c r="A8" t="s">
        <v>89</v>
      </c>
      <c r="C8" t="s">
        <v>90</v>
      </c>
    </row>
    <row r="9" spans="1:25">
      <c r="A9" t="s">
        <v>91</v>
      </c>
      <c r="C9" t="s">
        <v>216</v>
      </c>
    </row>
    <row r="10" spans="1:25">
      <c r="C10" t="s">
        <v>215</v>
      </c>
    </row>
    <row r="11" spans="1:25">
      <c r="C11" s="35"/>
      <c r="D11" s="35"/>
      <c r="E11" s="35"/>
      <c r="F11" s="35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</row>
    <row r="12" spans="1:25" s="114" customFormat="1" ht="12.5">
      <c r="C12" s="115"/>
      <c r="D12" s="219" t="s">
        <v>53</v>
      </c>
      <c r="E12" s="219"/>
      <c r="F12" s="219"/>
      <c r="G12" s="219"/>
      <c r="H12" s="219"/>
      <c r="I12" s="216" t="s">
        <v>92</v>
      </c>
      <c r="J12" s="216" t="s">
        <v>93</v>
      </c>
    </row>
    <row r="13" spans="1:25" s="114" customFormat="1" ht="12.5">
      <c r="C13" s="115"/>
      <c r="D13" s="219" t="str">
        <f>TRIM(MID(C5,3,100))</f>
        <v>P.24.01.52.1.02</v>
      </c>
      <c r="E13" s="219"/>
      <c r="F13" s="219"/>
      <c r="G13" s="219"/>
      <c r="H13" s="219"/>
      <c r="I13" s="217"/>
      <c r="J13" s="217"/>
    </row>
    <row r="14" spans="1:25" s="114" customFormat="1" ht="12.5">
      <c r="C14" s="115"/>
      <c r="D14" s="219" t="str">
        <f>TRIM(MID(C6,3,100))</f>
        <v>Perpajakan 1</v>
      </c>
      <c r="E14" s="219"/>
      <c r="F14" s="219"/>
      <c r="G14" s="219"/>
      <c r="H14" s="219"/>
      <c r="I14" s="217"/>
      <c r="J14" s="217"/>
    </row>
    <row r="15" spans="1:25" s="114" customFormat="1" ht="12.5">
      <c r="C15" s="115"/>
      <c r="D15" s="145" t="s">
        <v>121</v>
      </c>
      <c r="E15" s="145" t="s">
        <v>121</v>
      </c>
      <c r="F15" s="145" t="s">
        <v>121</v>
      </c>
      <c r="G15" s="116" t="s">
        <v>121</v>
      </c>
      <c r="H15" s="116" t="s">
        <v>149</v>
      </c>
      <c r="I15" s="217"/>
      <c r="J15" s="217"/>
    </row>
    <row r="16" spans="1:25" s="114" customFormat="1" ht="12.5">
      <c r="C16" s="115"/>
      <c r="D16" s="145" t="s">
        <v>124</v>
      </c>
      <c r="E16" s="145" t="s">
        <v>168</v>
      </c>
      <c r="F16" s="145" t="s">
        <v>217</v>
      </c>
      <c r="G16" s="116" t="s">
        <v>218</v>
      </c>
      <c r="H16" s="116" t="s">
        <v>169</v>
      </c>
      <c r="I16" s="217"/>
      <c r="J16" s="217"/>
    </row>
    <row r="17" spans="1:11" s="114" customFormat="1" ht="12.5">
      <c r="C17" s="115"/>
      <c r="D17" s="145">
        <v>16</v>
      </c>
      <c r="E17" s="145">
        <v>16</v>
      </c>
      <c r="F17" s="145">
        <v>26</v>
      </c>
      <c r="G17" s="116">
        <v>21</v>
      </c>
      <c r="H17" s="116">
        <v>21</v>
      </c>
      <c r="I17" s="218"/>
      <c r="J17" s="218"/>
    </row>
    <row r="18" spans="1:11" s="146" customFormat="1" ht="13">
      <c r="A18" s="117" t="s">
        <v>0</v>
      </c>
      <c r="B18" s="117" t="s">
        <v>1</v>
      </c>
      <c r="C18" s="117" t="s">
        <v>2</v>
      </c>
      <c r="D18" s="117"/>
      <c r="E18" s="117"/>
      <c r="F18" s="117"/>
      <c r="G18" s="117"/>
      <c r="H18" s="117"/>
      <c r="I18" s="117"/>
      <c r="J18" s="117"/>
      <c r="K18" s="147"/>
    </row>
    <row r="19" spans="1:11" s="114" customFormat="1">
      <c r="A19" s="118">
        <v>1</v>
      </c>
      <c r="B19" s="4" t="s">
        <v>280</v>
      </c>
      <c r="C19" s="4" t="s">
        <v>281</v>
      </c>
      <c r="D19" s="148">
        <v>94.38</v>
      </c>
      <c r="E19" s="148">
        <v>91.88</v>
      </c>
      <c r="F19" s="148">
        <v>90.77</v>
      </c>
      <c r="G19" s="119">
        <v>94.52</v>
      </c>
      <c r="H19" s="119">
        <v>90.95</v>
      </c>
      <c r="I19" s="119">
        <f>IFERROR((D19*($D$17/100))+(E19*($E$17/100))+(F19*($F$17/100))+(G19*($G$17/100))+(H19*($H$17/100)),"")</f>
        <v>92.350500000000011</v>
      </c>
      <c r="J19" s="119" t="str">
        <f>IFERROR(VLOOKUP(I19,[2]Sheet1!$AA$1:$AB$10,2),"")</f>
        <v>A</v>
      </c>
    </row>
    <row r="20" spans="1:11" s="114" customFormat="1">
      <c r="A20" s="118">
        <v>2</v>
      </c>
      <c r="B20" s="4" t="s">
        <v>282</v>
      </c>
      <c r="C20" s="4" t="s">
        <v>283</v>
      </c>
      <c r="D20" s="148">
        <v>94.38</v>
      </c>
      <c r="E20" s="148">
        <v>91.88</v>
      </c>
      <c r="F20" s="148">
        <v>90.77</v>
      </c>
      <c r="G20" s="119">
        <v>94.52</v>
      </c>
      <c r="H20" s="119">
        <v>90.95</v>
      </c>
      <c r="I20" s="119">
        <f t="shared" ref="I20:I55" si="0">IFERROR((D20*($D$17/100))+(E20*($E$17/100))+(F20*($F$17/100))+(G20*($G$17/100))+(H20*($H$17/100)),"")</f>
        <v>92.350500000000011</v>
      </c>
      <c r="J20" s="119" t="str">
        <f>IFERROR(VLOOKUP(I20,[2]Sheet1!$AA$1:$AB$10,2),"")</f>
        <v>A</v>
      </c>
    </row>
    <row r="21" spans="1:11" s="114" customFormat="1">
      <c r="A21" s="118">
        <v>3</v>
      </c>
      <c r="B21" s="4" t="s">
        <v>284</v>
      </c>
      <c r="C21" s="4" t="s">
        <v>285</v>
      </c>
      <c r="D21" s="148">
        <v>94.38</v>
      </c>
      <c r="E21" s="148">
        <v>91.88</v>
      </c>
      <c r="F21" s="148">
        <v>83.08</v>
      </c>
      <c r="G21" s="119">
        <v>94.52</v>
      </c>
      <c r="H21" s="119">
        <v>83.81</v>
      </c>
      <c r="I21" s="119">
        <f t="shared" si="0"/>
        <v>88.851699999999994</v>
      </c>
      <c r="J21" s="119" t="str">
        <f>IFERROR(VLOOKUP(I21,[2]Sheet1!$AA$1:$AB$10,2),"")</f>
        <v>A-</v>
      </c>
    </row>
    <row r="22" spans="1:11" s="114" customFormat="1">
      <c r="A22" s="118">
        <v>4</v>
      </c>
      <c r="B22" s="4" t="s">
        <v>286</v>
      </c>
      <c r="C22" s="4" t="s">
        <v>287</v>
      </c>
      <c r="D22" s="148">
        <v>35</v>
      </c>
      <c r="E22" s="148">
        <v>12.5</v>
      </c>
      <c r="F22" s="148">
        <v>7.69</v>
      </c>
      <c r="G22" s="119">
        <v>9.52</v>
      </c>
      <c r="H22" s="119">
        <v>9.52</v>
      </c>
      <c r="I22" s="119">
        <f t="shared" si="0"/>
        <v>13.597800000000001</v>
      </c>
      <c r="J22" s="119" t="str">
        <f>IFERROR(VLOOKUP(I22,[2]Sheet1!$AA$1:$AB$10,2),"")</f>
        <v>E</v>
      </c>
    </row>
    <row r="23" spans="1:11" s="114" customFormat="1">
      <c r="A23" s="118">
        <v>5</v>
      </c>
      <c r="B23" s="4" t="s">
        <v>288</v>
      </c>
      <c r="C23" s="4" t="s">
        <v>289</v>
      </c>
      <c r="D23" s="148">
        <v>94.38</v>
      </c>
      <c r="E23" s="148">
        <v>91.88</v>
      </c>
      <c r="F23" s="148">
        <v>90.77</v>
      </c>
      <c r="G23" s="119">
        <v>94.52</v>
      </c>
      <c r="H23" s="119">
        <v>90.95</v>
      </c>
      <c r="I23" s="119">
        <f t="shared" si="0"/>
        <v>92.350500000000011</v>
      </c>
      <c r="J23" s="119" t="str">
        <f>IFERROR(VLOOKUP(I23,[2]Sheet1!$AA$1:$AB$10,2),"")</f>
        <v>A</v>
      </c>
    </row>
    <row r="24" spans="1:11" s="114" customFormat="1">
      <c r="A24" s="118">
        <v>6</v>
      </c>
      <c r="B24" s="4" t="s">
        <v>290</v>
      </c>
      <c r="C24" s="4" t="s">
        <v>291</v>
      </c>
      <c r="D24" s="148">
        <v>94.38</v>
      </c>
      <c r="E24" s="148">
        <v>91.88</v>
      </c>
      <c r="F24" s="148">
        <v>83.08</v>
      </c>
      <c r="G24" s="119">
        <v>94.52</v>
      </c>
      <c r="H24" s="119">
        <v>83.81</v>
      </c>
      <c r="I24" s="119">
        <f t="shared" si="0"/>
        <v>88.851699999999994</v>
      </c>
      <c r="J24" s="119" t="str">
        <f>IFERROR(VLOOKUP(I24,[2]Sheet1!$AA$1:$AB$10,2),"")</f>
        <v>A-</v>
      </c>
    </row>
    <row r="25" spans="1:11" s="114" customFormat="1">
      <c r="A25" s="118">
        <v>7</v>
      </c>
      <c r="B25" s="4" t="s">
        <v>292</v>
      </c>
      <c r="C25" s="4" t="s">
        <v>293</v>
      </c>
      <c r="D25" s="148">
        <v>94.38</v>
      </c>
      <c r="E25" s="148">
        <v>91.88</v>
      </c>
      <c r="F25" s="148">
        <v>86.92</v>
      </c>
      <c r="G25" s="119">
        <v>94.52</v>
      </c>
      <c r="H25" s="119">
        <v>87.38</v>
      </c>
      <c r="I25" s="119">
        <f t="shared" si="0"/>
        <v>90.599800000000002</v>
      </c>
      <c r="J25" s="119" t="str">
        <f>IFERROR(VLOOKUP(I25,[2]Sheet1!$AA$1:$AB$10,2),"")</f>
        <v>A</v>
      </c>
    </row>
    <row r="26" spans="1:11" s="114" customFormat="1">
      <c r="A26" s="118">
        <v>8</v>
      </c>
      <c r="B26" s="4" t="s">
        <v>294</v>
      </c>
      <c r="C26" s="4" t="s">
        <v>295</v>
      </c>
      <c r="D26" s="148">
        <v>94.38</v>
      </c>
      <c r="E26" s="148">
        <v>91.88</v>
      </c>
      <c r="F26" s="148">
        <v>90.77</v>
      </c>
      <c r="G26" s="119">
        <v>94.52</v>
      </c>
      <c r="H26" s="119">
        <v>90.95</v>
      </c>
      <c r="I26" s="119">
        <f t="shared" si="0"/>
        <v>92.350500000000011</v>
      </c>
      <c r="J26" s="119" t="str">
        <f>IFERROR(VLOOKUP(I26,[2]Sheet1!$AA$1:$AB$10,2),"")</f>
        <v>A</v>
      </c>
    </row>
    <row r="27" spans="1:11" s="114" customFormat="1">
      <c r="A27" s="118">
        <v>9</v>
      </c>
      <c r="B27" s="4" t="s">
        <v>296</v>
      </c>
      <c r="C27" s="4" t="s">
        <v>297</v>
      </c>
      <c r="D27" s="148">
        <v>94.38</v>
      </c>
      <c r="E27" s="148">
        <v>91.88</v>
      </c>
      <c r="F27" s="148">
        <v>83.08</v>
      </c>
      <c r="G27" s="119">
        <v>94.52</v>
      </c>
      <c r="H27" s="119">
        <v>83.81</v>
      </c>
      <c r="I27" s="119">
        <f t="shared" si="0"/>
        <v>88.851699999999994</v>
      </c>
      <c r="J27" s="119" t="str">
        <f>IFERROR(VLOOKUP(I27,[2]Sheet1!$AA$1:$AB$10,2),"")</f>
        <v>A-</v>
      </c>
    </row>
    <row r="28" spans="1:11" s="114" customFormat="1">
      <c r="A28" s="118">
        <v>10</v>
      </c>
      <c r="B28" s="4" t="s">
        <v>298</v>
      </c>
      <c r="C28" s="4" t="s">
        <v>299</v>
      </c>
      <c r="D28" s="148">
        <v>94.38</v>
      </c>
      <c r="E28" s="148">
        <v>91.88</v>
      </c>
      <c r="F28" s="148">
        <v>90.77</v>
      </c>
      <c r="G28" s="119">
        <v>94.52</v>
      </c>
      <c r="H28" s="119">
        <v>90.95</v>
      </c>
      <c r="I28" s="119">
        <f t="shared" si="0"/>
        <v>92.350500000000011</v>
      </c>
      <c r="J28" s="119" t="str">
        <f>IFERROR(VLOOKUP(I28,[2]Sheet1!$AA$1:$AB$10,2),"")</f>
        <v>A</v>
      </c>
    </row>
    <row r="29" spans="1:11" s="114" customFormat="1">
      <c r="A29" s="118">
        <v>11</v>
      </c>
      <c r="B29" s="4" t="s">
        <v>300</v>
      </c>
      <c r="C29" s="4" t="s">
        <v>301</v>
      </c>
      <c r="D29" s="148">
        <v>94.38</v>
      </c>
      <c r="E29" s="148">
        <v>91.88</v>
      </c>
      <c r="F29" s="148">
        <v>89.23</v>
      </c>
      <c r="G29" s="119">
        <v>94.52</v>
      </c>
      <c r="H29" s="119">
        <v>89.52</v>
      </c>
      <c r="I29" s="119">
        <f t="shared" si="0"/>
        <v>91.649799999999999</v>
      </c>
      <c r="J29" s="119" t="str">
        <f>IFERROR(VLOOKUP(I29,[2]Sheet1!$AA$1:$AB$10,2),"")</f>
        <v>A</v>
      </c>
    </row>
    <row r="30" spans="1:11" s="114" customFormat="1">
      <c r="A30" s="118">
        <v>12</v>
      </c>
      <c r="B30" s="4" t="s">
        <v>302</v>
      </c>
      <c r="C30" s="4" t="s">
        <v>303</v>
      </c>
      <c r="D30" s="148">
        <v>94.38</v>
      </c>
      <c r="E30" s="148">
        <v>91.88</v>
      </c>
      <c r="F30" s="148">
        <v>83.08</v>
      </c>
      <c r="G30" s="119">
        <v>94.52</v>
      </c>
      <c r="H30" s="119">
        <v>83.81</v>
      </c>
      <c r="I30" s="119">
        <f t="shared" si="0"/>
        <v>88.851699999999994</v>
      </c>
      <c r="J30" s="119" t="str">
        <f>IFERROR(VLOOKUP(I30,[2]Sheet1!$AA$1:$AB$10,2),"")</f>
        <v>A-</v>
      </c>
    </row>
    <row r="31" spans="1:11" s="114" customFormat="1">
      <c r="A31" s="118">
        <v>13</v>
      </c>
      <c r="B31" s="4" t="s">
        <v>304</v>
      </c>
      <c r="C31" s="4" t="s">
        <v>305</v>
      </c>
      <c r="D31" s="148">
        <v>94.38</v>
      </c>
      <c r="E31" s="148">
        <v>91.88</v>
      </c>
      <c r="F31" s="148">
        <v>90.77</v>
      </c>
      <c r="G31" s="119">
        <v>94.52</v>
      </c>
      <c r="H31" s="119">
        <v>90.95</v>
      </c>
      <c r="I31" s="119">
        <f t="shared" si="0"/>
        <v>92.350500000000011</v>
      </c>
      <c r="J31" s="119" t="str">
        <f>IFERROR(VLOOKUP(I31,[2]Sheet1!$AA$1:$AB$10,2),"")</f>
        <v>A</v>
      </c>
    </row>
    <row r="32" spans="1:11" s="114" customFormat="1">
      <c r="A32" s="118">
        <v>14</v>
      </c>
      <c r="B32" s="4" t="s">
        <v>306</v>
      </c>
      <c r="C32" s="4" t="s">
        <v>307</v>
      </c>
      <c r="D32" s="148">
        <v>94.38</v>
      </c>
      <c r="E32" s="148">
        <v>91.88</v>
      </c>
      <c r="F32" s="148">
        <v>90.77</v>
      </c>
      <c r="G32" s="119">
        <v>94.52</v>
      </c>
      <c r="H32" s="119">
        <v>90.95</v>
      </c>
      <c r="I32" s="119">
        <f t="shared" si="0"/>
        <v>92.350500000000011</v>
      </c>
      <c r="J32" s="119" t="str">
        <f>IFERROR(VLOOKUP(I32,[2]Sheet1!$AA$1:$AB$10,2),"")</f>
        <v>A</v>
      </c>
    </row>
    <row r="33" spans="1:10" s="114" customFormat="1">
      <c r="A33" s="118">
        <v>15</v>
      </c>
      <c r="B33" s="4" t="s">
        <v>308</v>
      </c>
      <c r="C33" s="4" t="s">
        <v>309</v>
      </c>
      <c r="D33" s="148">
        <v>94.38</v>
      </c>
      <c r="E33" s="148">
        <v>91.88</v>
      </c>
      <c r="F33" s="148">
        <v>83.08</v>
      </c>
      <c r="G33" s="119">
        <v>94.52</v>
      </c>
      <c r="H33" s="119">
        <v>83.81</v>
      </c>
      <c r="I33" s="119">
        <f t="shared" si="0"/>
        <v>88.851699999999994</v>
      </c>
      <c r="J33" s="119" t="str">
        <f>IFERROR(VLOOKUP(I33,[2]Sheet1!$AA$1:$AB$10,2),"")</f>
        <v>A-</v>
      </c>
    </row>
    <row r="34" spans="1:10" s="114" customFormat="1">
      <c r="A34" s="118">
        <v>16</v>
      </c>
      <c r="B34" s="4" t="s">
        <v>310</v>
      </c>
      <c r="C34" s="4" t="s">
        <v>311</v>
      </c>
      <c r="D34" s="148">
        <v>94.38</v>
      </c>
      <c r="E34" s="148">
        <v>91.88</v>
      </c>
      <c r="F34" s="148">
        <v>90.77</v>
      </c>
      <c r="G34" s="119">
        <v>94.52</v>
      </c>
      <c r="H34" s="119">
        <v>90.95</v>
      </c>
      <c r="I34" s="119">
        <f t="shared" si="0"/>
        <v>92.350500000000011</v>
      </c>
      <c r="J34" s="119" t="str">
        <f>IFERROR(VLOOKUP(I34,[2]Sheet1!$AA$1:$AB$10,2),"")</f>
        <v>A</v>
      </c>
    </row>
    <row r="35" spans="1:10" s="114" customFormat="1">
      <c r="A35" s="118">
        <v>17</v>
      </c>
      <c r="B35" s="4" t="s">
        <v>312</v>
      </c>
      <c r="C35" s="4" t="s">
        <v>313</v>
      </c>
      <c r="D35" s="148">
        <v>94.38</v>
      </c>
      <c r="E35" s="148">
        <v>91.88</v>
      </c>
      <c r="F35" s="148">
        <v>90.77</v>
      </c>
      <c r="G35" s="119">
        <v>94.52</v>
      </c>
      <c r="H35" s="119">
        <v>90.95</v>
      </c>
      <c r="I35" s="119">
        <f t="shared" si="0"/>
        <v>92.350500000000011</v>
      </c>
      <c r="J35" s="119" t="str">
        <f>IFERROR(VLOOKUP(I35,[2]Sheet1!$AA$1:$AB$10,2),"")</f>
        <v>A</v>
      </c>
    </row>
    <row r="36" spans="1:10" s="114" customFormat="1">
      <c r="A36" s="118">
        <v>18</v>
      </c>
      <c r="B36" s="4" t="s">
        <v>314</v>
      </c>
      <c r="C36" s="4" t="s">
        <v>315</v>
      </c>
      <c r="D36" s="148">
        <v>94.38</v>
      </c>
      <c r="E36" s="148">
        <v>91.88</v>
      </c>
      <c r="F36" s="148">
        <v>90.77</v>
      </c>
      <c r="G36" s="119">
        <v>94.52</v>
      </c>
      <c r="H36" s="119">
        <v>90.95</v>
      </c>
      <c r="I36" s="119">
        <f t="shared" si="0"/>
        <v>92.350500000000011</v>
      </c>
      <c r="J36" s="119" t="str">
        <f>IFERROR(VLOOKUP(I36,[2]Sheet1!$AA$1:$AB$10,2),"")</f>
        <v>A</v>
      </c>
    </row>
    <row r="37" spans="1:10" s="114" customFormat="1">
      <c r="A37" s="118">
        <v>19</v>
      </c>
      <c r="B37" s="4" t="s">
        <v>316</v>
      </c>
      <c r="C37" s="4" t="s">
        <v>317</v>
      </c>
      <c r="D37" s="148">
        <v>94.38</v>
      </c>
      <c r="E37" s="148">
        <v>91.88</v>
      </c>
      <c r="F37" s="148">
        <v>90.77</v>
      </c>
      <c r="G37" s="119">
        <v>94.52</v>
      </c>
      <c r="H37" s="119">
        <v>90.95</v>
      </c>
      <c r="I37" s="119">
        <f t="shared" si="0"/>
        <v>92.350500000000011</v>
      </c>
      <c r="J37" s="119" t="str">
        <f>IFERROR(VLOOKUP(I37,[2]Sheet1!$AA$1:$AB$10,2),"")</f>
        <v>A</v>
      </c>
    </row>
    <row r="38" spans="1:10" s="114" customFormat="1">
      <c r="A38" s="118">
        <v>20</v>
      </c>
      <c r="B38" s="4" t="s">
        <v>318</v>
      </c>
      <c r="C38" s="4" t="s">
        <v>319</v>
      </c>
      <c r="D38" s="148">
        <v>94.38</v>
      </c>
      <c r="E38" s="148">
        <v>91.88</v>
      </c>
      <c r="F38" s="148">
        <v>86.92</v>
      </c>
      <c r="G38" s="119">
        <v>94.52</v>
      </c>
      <c r="H38" s="119">
        <v>87.38</v>
      </c>
      <c r="I38" s="119">
        <f t="shared" si="0"/>
        <v>90.599800000000002</v>
      </c>
      <c r="J38" s="119" t="str">
        <f>IFERROR(VLOOKUP(I38,[2]Sheet1!$AA$1:$AB$10,2),"")</f>
        <v>A</v>
      </c>
    </row>
    <row r="39" spans="1:10" s="114" customFormat="1">
      <c r="A39" s="118">
        <v>21</v>
      </c>
      <c r="B39" s="4" t="s">
        <v>320</v>
      </c>
      <c r="C39" s="4" t="s">
        <v>321</v>
      </c>
      <c r="D39" s="148">
        <v>94.38</v>
      </c>
      <c r="E39" s="148">
        <v>91.88</v>
      </c>
      <c r="F39" s="148">
        <v>86.92</v>
      </c>
      <c r="G39" s="119">
        <v>94.52</v>
      </c>
      <c r="H39" s="119">
        <v>87.38</v>
      </c>
      <c r="I39" s="119">
        <f t="shared" si="0"/>
        <v>90.599800000000002</v>
      </c>
      <c r="J39" s="119" t="str">
        <f>IFERROR(VLOOKUP(I39,[2]Sheet1!$AA$1:$AB$10,2),"")</f>
        <v>A</v>
      </c>
    </row>
    <row r="40" spans="1:10" s="114" customFormat="1">
      <c r="A40" s="118">
        <v>22</v>
      </c>
      <c r="B40" s="4" t="s">
        <v>322</v>
      </c>
      <c r="C40" s="4" t="s">
        <v>323</v>
      </c>
      <c r="D40" s="148">
        <v>94.38</v>
      </c>
      <c r="E40" s="148">
        <v>91.88</v>
      </c>
      <c r="F40" s="148">
        <v>90.77</v>
      </c>
      <c r="G40" s="119">
        <v>94.52</v>
      </c>
      <c r="H40" s="119">
        <v>90.95</v>
      </c>
      <c r="I40" s="119">
        <f t="shared" si="0"/>
        <v>92.350500000000011</v>
      </c>
      <c r="J40" s="119" t="str">
        <f>IFERROR(VLOOKUP(I40,[2]Sheet1!$AA$1:$AB$10,2),"")</f>
        <v>A</v>
      </c>
    </row>
    <row r="41" spans="1:10" s="114" customFormat="1">
      <c r="A41" s="118">
        <v>23</v>
      </c>
      <c r="B41" s="4" t="s">
        <v>324</v>
      </c>
      <c r="C41" s="4" t="s">
        <v>325</v>
      </c>
      <c r="D41" s="148">
        <v>94.38</v>
      </c>
      <c r="E41" s="148">
        <v>91.88</v>
      </c>
      <c r="F41" s="148">
        <v>86.92</v>
      </c>
      <c r="G41" s="119">
        <v>94.52</v>
      </c>
      <c r="H41" s="119">
        <v>87.38</v>
      </c>
      <c r="I41" s="119">
        <f t="shared" si="0"/>
        <v>90.599800000000002</v>
      </c>
      <c r="J41" s="119" t="str">
        <f>IFERROR(VLOOKUP(I41,[2]Sheet1!$AA$1:$AB$10,2),"")</f>
        <v>A</v>
      </c>
    </row>
    <row r="42" spans="1:10" s="114" customFormat="1">
      <c r="A42" s="118">
        <v>24</v>
      </c>
      <c r="B42" s="4" t="s">
        <v>326</v>
      </c>
      <c r="C42" s="4" t="s">
        <v>327</v>
      </c>
      <c r="D42" s="208">
        <v>89.25</v>
      </c>
      <c r="E42" s="208">
        <v>88</v>
      </c>
      <c r="F42" s="208">
        <v>88.38</v>
      </c>
      <c r="G42" s="208">
        <v>91.57</v>
      </c>
      <c r="H42" s="208">
        <v>88</v>
      </c>
      <c r="I42" s="119">
        <f t="shared" si="0"/>
        <v>89.048500000000004</v>
      </c>
      <c r="J42" s="119" t="str">
        <f>IFERROR(VLOOKUP(I42,[2]Sheet1!$AA$1:$AB$10,2),"")</f>
        <v>A-</v>
      </c>
    </row>
    <row r="43" spans="1:10" s="114" customFormat="1">
      <c r="A43" s="118">
        <v>25</v>
      </c>
      <c r="B43" s="4" t="s">
        <v>328</v>
      </c>
      <c r="C43" s="4" t="s">
        <v>329</v>
      </c>
      <c r="D43" s="208">
        <v>89.25</v>
      </c>
      <c r="E43" s="208">
        <v>88</v>
      </c>
      <c r="F43" s="208">
        <v>88.38</v>
      </c>
      <c r="G43" s="208">
        <v>91.57</v>
      </c>
      <c r="H43" s="208">
        <v>88</v>
      </c>
      <c r="I43" s="119">
        <f t="shared" si="0"/>
        <v>89.048500000000004</v>
      </c>
      <c r="J43" s="119" t="str">
        <f>IFERROR(VLOOKUP(I43,[2]Sheet1!$AA$1:$AB$10,2),"")</f>
        <v>A-</v>
      </c>
    </row>
    <row r="44" spans="1:10" s="114" customFormat="1">
      <c r="A44" s="118">
        <v>26</v>
      </c>
      <c r="B44" s="4" t="s">
        <v>330</v>
      </c>
      <c r="C44" s="4" t="s">
        <v>331</v>
      </c>
      <c r="D44" s="208">
        <v>76.38</v>
      </c>
      <c r="E44" s="208">
        <v>76.38</v>
      </c>
      <c r="F44" s="208">
        <v>75.08</v>
      </c>
      <c r="G44" s="208">
        <v>75.569999999999993</v>
      </c>
      <c r="H44" s="208">
        <v>75.569999999999993</v>
      </c>
      <c r="I44" s="119">
        <f t="shared" si="0"/>
        <v>75.701799999999992</v>
      </c>
      <c r="J44" s="119" t="str">
        <f>IFERROR(VLOOKUP(I44,[2]Sheet1!$AA$1:$AB$10,2),"")</f>
        <v>B+</v>
      </c>
    </row>
    <row r="45" spans="1:10" s="114" customFormat="1">
      <c r="A45" s="118">
        <v>27</v>
      </c>
      <c r="B45" s="4" t="s">
        <v>332</v>
      </c>
      <c r="C45" s="4" t="s">
        <v>333</v>
      </c>
      <c r="D45" s="208">
        <v>86.88</v>
      </c>
      <c r="E45" s="208">
        <v>86.88</v>
      </c>
      <c r="F45" s="208">
        <v>86.15</v>
      </c>
      <c r="G45" s="208">
        <v>86.43</v>
      </c>
      <c r="H45" s="208">
        <v>86.43</v>
      </c>
      <c r="I45" s="119">
        <f t="shared" si="0"/>
        <v>86.501199999999997</v>
      </c>
      <c r="J45" s="119" t="str">
        <f>IFERROR(VLOOKUP(I45,[2]Sheet1!$AA$1:$AB$10,2),"")</f>
        <v>A-</v>
      </c>
    </row>
    <row r="46" spans="1:10" s="114" customFormat="1">
      <c r="A46" s="118">
        <v>28</v>
      </c>
      <c r="B46" s="4" t="s">
        <v>334</v>
      </c>
      <c r="C46" s="4" t="s">
        <v>335</v>
      </c>
      <c r="D46" s="208">
        <v>83.38</v>
      </c>
      <c r="E46" s="208">
        <v>83.38</v>
      </c>
      <c r="F46" s="208">
        <v>82.46</v>
      </c>
      <c r="G46" s="208">
        <v>82.81</v>
      </c>
      <c r="H46" s="208">
        <v>82.81</v>
      </c>
      <c r="I46" s="119">
        <f t="shared" si="0"/>
        <v>82.90140000000001</v>
      </c>
      <c r="J46" s="119" t="str">
        <f>IFERROR(VLOOKUP(I46,[2]Sheet1!$AA$1:$AB$10,2),"")</f>
        <v>B+</v>
      </c>
    </row>
    <row r="47" spans="1:10" s="114" customFormat="1">
      <c r="A47" s="118">
        <v>29</v>
      </c>
      <c r="B47" s="4" t="s">
        <v>336</v>
      </c>
      <c r="C47" s="4" t="s">
        <v>337</v>
      </c>
      <c r="D47" s="208">
        <v>89.5</v>
      </c>
      <c r="E47" s="208">
        <v>89.5</v>
      </c>
      <c r="F47" s="208">
        <v>88.92</v>
      </c>
      <c r="G47" s="208">
        <v>89.14</v>
      </c>
      <c r="H47" s="208">
        <v>89.14</v>
      </c>
      <c r="I47" s="119">
        <f t="shared" si="0"/>
        <v>89.198000000000008</v>
      </c>
      <c r="J47" s="119" t="str">
        <f>IFERROR(VLOOKUP(I47,[2]Sheet1!$AA$1:$AB$10,2),"")</f>
        <v>A-</v>
      </c>
    </row>
    <row r="48" spans="1:10" s="114" customFormat="1">
      <c r="A48" s="118">
        <v>30</v>
      </c>
      <c r="B48" s="4" t="s">
        <v>338</v>
      </c>
      <c r="C48" s="4" t="s">
        <v>339</v>
      </c>
      <c r="D48" s="208">
        <v>83.38</v>
      </c>
      <c r="E48" s="208">
        <v>83.38</v>
      </c>
      <c r="F48" s="208">
        <v>82.46</v>
      </c>
      <c r="G48" s="208">
        <v>82.81</v>
      </c>
      <c r="H48" s="208">
        <v>82.81</v>
      </c>
      <c r="I48" s="119">
        <f t="shared" si="0"/>
        <v>82.90140000000001</v>
      </c>
      <c r="J48" s="119" t="str">
        <f>IFERROR(VLOOKUP(I48,[2]Sheet1!$AA$1:$AB$10,2),"")</f>
        <v>B+</v>
      </c>
    </row>
    <row r="49" spans="1:10" s="114" customFormat="1">
      <c r="A49" s="118">
        <v>31</v>
      </c>
      <c r="B49" s="4" t="s">
        <v>340</v>
      </c>
      <c r="C49" s="4" t="s">
        <v>341</v>
      </c>
      <c r="D49" s="208">
        <v>80.75</v>
      </c>
      <c r="E49" s="208">
        <v>80.75</v>
      </c>
      <c r="F49" s="208">
        <v>79.69</v>
      </c>
      <c r="G49" s="208">
        <v>80.099999999999994</v>
      </c>
      <c r="H49" s="208">
        <v>80.099999999999994</v>
      </c>
      <c r="I49" s="119">
        <f t="shared" si="0"/>
        <v>80.201399999999992</v>
      </c>
      <c r="J49" s="119" t="str">
        <f>IFERROR(VLOOKUP(I49,[2]Sheet1!$AA$1:$AB$10,2),"")</f>
        <v>B+</v>
      </c>
    </row>
    <row r="50" spans="1:10" s="114" customFormat="1">
      <c r="A50" s="118">
        <v>32</v>
      </c>
      <c r="B50" s="4" t="s">
        <v>342</v>
      </c>
      <c r="C50" s="4" t="s">
        <v>343</v>
      </c>
      <c r="D50" s="208">
        <v>82.5</v>
      </c>
      <c r="E50" s="208">
        <v>82.5</v>
      </c>
      <c r="F50" s="208">
        <v>81.540000000000006</v>
      </c>
      <c r="G50" s="208">
        <v>81.900000000000006</v>
      </c>
      <c r="H50" s="208">
        <v>81.900000000000006</v>
      </c>
      <c r="I50" s="119">
        <f t="shared" si="0"/>
        <v>81.998400000000004</v>
      </c>
      <c r="J50" s="119" t="str">
        <f>IFERROR(VLOOKUP(I50,[2]Sheet1!$AA$1:$AB$10,2),"")</f>
        <v>B+</v>
      </c>
    </row>
    <row r="51" spans="1:10" s="114" customFormat="1">
      <c r="A51" s="118">
        <v>33</v>
      </c>
      <c r="B51" s="4" t="s">
        <v>344</v>
      </c>
      <c r="C51" s="4" t="s">
        <v>345</v>
      </c>
      <c r="D51" s="208">
        <v>89.5</v>
      </c>
      <c r="E51" s="208">
        <v>89.5</v>
      </c>
      <c r="F51" s="208">
        <v>88.92</v>
      </c>
      <c r="G51" s="208">
        <v>89.14</v>
      </c>
      <c r="H51" s="208">
        <v>89.14</v>
      </c>
      <c r="I51" s="119">
        <f t="shared" si="0"/>
        <v>89.198000000000008</v>
      </c>
      <c r="J51" s="119" t="str">
        <f>IFERROR(VLOOKUP(I51,[2]Sheet1!$AA$1:$AB$10,2),"")</f>
        <v>A-</v>
      </c>
    </row>
    <row r="52" spans="1:10" s="114" customFormat="1">
      <c r="A52" s="118">
        <v>34</v>
      </c>
      <c r="B52" s="4" t="s">
        <v>346</v>
      </c>
      <c r="C52" s="4" t="s">
        <v>347</v>
      </c>
      <c r="D52" s="208">
        <v>81.63</v>
      </c>
      <c r="E52" s="208">
        <v>81.63</v>
      </c>
      <c r="F52" s="208">
        <v>80.62</v>
      </c>
      <c r="G52" s="208">
        <v>81</v>
      </c>
      <c r="H52" s="208">
        <v>81</v>
      </c>
      <c r="I52" s="119">
        <f t="shared" si="0"/>
        <v>81.102800000000002</v>
      </c>
      <c r="J52" s="119" t="str">
        <f>IFERROR(VLOOKUP(I52,[2]Sheet1!$AA$1:$AB$10,2),"")</f>
        <v>B+</v>
      </c>
    </row>
    <row r="53" spans="1:10" s="114" customFormat="1">
      <c r="A53" s="118">
        <v>35</v>
      </c>
      <c r="B53" s="4" t="s">
        <v>348</v>
      </c>
      <c r="C53" s="4" t="s">
        <v>349</v>
      </c>
      <c r="D53" s="208">
        <v>86.88</v>
      </c>
      <c r="E53" s="208">
        <v>86.88</v>
      </c>
      <c r="F53" s="208">
        <v>86.15</v>
      </c>
      <c r="G53" s="208">
        <v>86.43</v>
      </c>
      <c r="H53" s="208">
        <v>86.43</v>
      </c>
      <c r="I53" s="119">
        <f t="shared" si="0"/>
        <v>86.501199999999997</v>
      </c>
      <c r="J53" s="119" t="str">
        <f>IFERROR(VLOOKUP(I53,[2]Sheet1!$AA$1:$AB$10,2),"")</f>
        <v>A-</v>
      </c>
    </row>
    <row r="54" spans="1:10" s="114" customFormat="1">
      <c r="A54" s="118">
        <v>36</v>
      </c>
      <c r="B54" s="4" t="s">
        <v>350</v>
      </c>
      <c r="C54" s="4" t="s">
        <v>351</v>
      </c>
      <c r="D54" s="208">
        <v>85.25</v>
      </c>
      <c r="E54" s="208">
        <v>85.25</v>
      </c>
      <c r="F54" s="208">
        <v>84.77</v>
      </c>
      <c r="G54" s="208">
        <v>84.95</v>
      </c>
      <c r="H54" s="208">
        <v>84.95</v>
      </c>
      <c r="I54" s="119">
        <f t="shared" si="0"/>
        <v>84.999200000000002</v>
      </c>
      <c r="J54" s="119" t="str">
        <f>IFERROR(VLOOKUP(I54,[2]Sheet1!$AA$1:$AB$10,2),"")</f>
        <v>A-</v>
      </c>
    </row>
    <row r="55" spans="1:10" s="114" customFormat="1">
      <c r="A55" s="118">
        <v>37</v>
      </c>
      <c r="B55" s="4" t="s">
        <v>352</v>
      </c>
      <c r="C55" s="4" t="s">
        <v>353</v>
      </c>
      <c r="D55" s="208">
        <v>85.13</v>
      </c>
      <c r="E55" s="208">
        <v>85.13</v>
      </c>
      <c r="F55" s="208">
        <v>84.31</v>
      </c>
      <c r="G55" s="208">
        <v>84.62</v>
      </c>
      <c r="H55" s="208">
        <v>84.62</v>
      </c>
      <c r="I55" s="119">
        <f t="shared" si="0"/>
        <v>84.702600000000004</v>
      </c>
      <c r="J55" s="119" t="str">
        <f>IFERROR(VLOOKUP(I55,[2]Sheet1!$AA$1:$AB$10,2),"")</f>
        <v>A-</v>
      </c>
    </row>
    <row r="56" spans="1:10">
      <c r="A56" s="112"/>
      <c r="B56" s="112"/>
      <c r="C56" s="113"/>
      <c r="D56" s="143"/>
      <c r="E56" s="143"/>
      <c r="F56" s="143"/>
      <c r="G56" s="144"/>
      <c r="H56" s="144"/>
      <c r="I56" s="144"/>
      <c r="J56" s="144"/>
    </row>
    <row r="57" spans="1:10">
      <c r="C57" s="35"/>
      <c r="D57" s="35"/>
      <c r="E57" s="35"/>
      <c r="F57" s="35"/>
      <c r="G57" s="36"/>
      <c r="H57" s="36"/>
      <c r="I57" s="36"/>
    </row>
    <row r="58" spans="1:10" s="114" customFormat="1" ht="13" thickBot="1">
      <c r="C58" s="115"/>
      <c r="D58" s="123">
        <f t="shared" ref="D58:I58" si="1">D17</f>
        <v>16</v>
      </c>
      <c r="E58" s="123">
        <f t="shared" si="1"/>
        <v>16</v>
      </c>
      <c r="F58" s="123">
        <f t="shared" si="1"/>
        <v>26</v>
      </c>
      <c r="G58" s="123">
        <f t="shared" si="1"/>
        <v>21</v>
      </c>
      <c r="H58" s="123">
        <f t="shared" si="1"/>
        <v>21</v>
      </c>
      <c r="I58" s="123">
        <f t="shared" si="1"/>
        <v>0</v>
      </c>
    </row>
    <row r="59" spans="1:10" s="114" customFormat="1" ht="13" thickBot="1">
      <c r="C59" s="124" t="s">
        <v>188</v>
      </c>
      <c r="D59" s="125">
        <f>IFERROR(COUNTIF(D19:D55,""),"")</f>
        <v>0</v>
      </c>
      <c r="E59" s="125">
        <f t="shared" ref="E59:H59" si="2">IFERROR(COUNTIF(E19:E55,""),"")</f>
        <v>0</v>
      </c>
      <c r="F59" s="125">
        <f t="shared" si="2"/>
        <v>0</v>
      </c>
      <c r="G59" s="125">
        <f t="shared" si="2"/>
        <v>0</v>
      </c>
      <c r="H59" s="125">
        <f t="shared" si="2"/>
        <v>0</v>
      </c>
      <c r="I59" s="125">
        <f>IFERROR(COUNTIF(I19:I55,""),"")</f>
        <v>0</v>
      </c>
    </row>
    <row r="60" spans="1:10" s="168" customFormat="1" ht="13" thickBot="1">
      <c r="C60" s="169" t="s">
        <v>98</v>
      </c>
      <c r="D60" s="170">
        <f>IFERROR(COUNTIF(D19:D55,C60)-D59,"")</f>
        <v>1</v>
      </c>
      <c r="E60" s="170">
        <f t="shared" ref="E60:G60" si="3">IFERROR(COUNTIF(E19:E55,D60)+COUNTIF(E19:E55,""),"")-E59</f>
        <v>0</v>
      </c>
      <c r="F60" s="170">
        <f t="shared" si="3"/>
        <v>0</v>
      </c>
      <c r="G60" s="170">
        <f t="shared" si="3"/>
        <v>0</v>
      </c>
      <c r="H60" s="170">
        <f>IFERROR(COUNTIF(H19:H55,C60)+COUNTIF(H19:H55,""),"")-H59</f>
        <v>1</v>
      </c>
      <c r="I60" s="170">
        <f>IFERROR(COUNTIF(I19:I55,C60)+COUNTIF(I19:I55,""),"")-I59</f>
        <v>1</v>
      </c>
    </row>
    <row r="61" spans="1:10" s="114" customFormat="1" ht="13" thickBot="1">
      <c r="C61" s="128" t="s">
        <v>99</v>
      </c>
      <c r="D61" s="129">
        <f>IFERROR(COUNTIF(D19:D55,C61)-D60,"")</f>
        <v>6</v>
      </c>
      <c r="E61" s="129">
        <f>IFERROR(COUNTIF(E19:E55,C61)-E60,"")</f>
        <v>7</v>
      </c>
      <c r="F61" s="129">
        <f>IFERROR(COUNTIF(F19:F55,C61)-F60,"")</f>
        <v>14</v>
      </c>
      <c r="G61" s="129">
        <f>IFERROR(COUNTIF(G19:G55,C61)-G60,"")</f>
        <v>9</v>
      </c>
      <c r="H61" s="129">
        <f>IFERROR(COUNTIF(H19:H55,C61)-H60,"")</f>
        <v>13</v>
      </c>
      <c r="I61" s="130">
        <f>IFERROR(COUNTIF(I19:I55,C61)-I60,"")</f>
        <v>8</v>
      </c>
    </row>
    <row r="62" spans="1:10" s="114" customFormat="1" ht="13" thickBot="1">
      <c r="C62" s="131" t="s">
        <v>100</v>
      </c>
      <c r="D62" s="132">
        <f>COUNTIF(D20:D56,C62)</f>
        <v>29</v>
      </c>
      <c r="E62" s="132">
        <f>COUNTIF(E20:E56,C62)</f>
        <v>29</v>
      </c>
      <c r="F62" s="132">
        <f>IFERROR(COUNTIF(F19:F55,C62),"")</f>
        <v>23</v>
      </c>
      <c r="G62" s="132">
        <f t="shared" ref="G62" si="4">IFERROR(COUNTIF(G20:G56,D62),"")</f>
        <v>0</v>
      </c>
      <c r="H62" s="132">
        <f>IFERROR(COUNTIF(H19:H55,C62),"")</f>
        <v>23</v>
      </c>
      <c r="I62" s="132">
        <f>IFERROR(COUNTIF(I19:I55,C62),"")</f>
        <v>28</v>
      </c>
    </row>
    <row r="63" spans="1:10" s="114" customFormat="1" ht="13" thickBot="1">
      <c r="C63" s="133" t="s">
        <v>78</v>
      </c>
      <c r="D63" s="134">
        <f>SUM(D59:D62)</f>
        <v>36</v>
      </c>
      <c r="E63" s="134">
        <f t="shared" ref="E63:F63" si="5">SUM(E59:E62)</f>
        <v>36</v>
      </c>
      <c r="F63" s="134">
        <f t="shared" si="5"/>
        <v>37</v>
      </c>
      <c r="G63" s="134">
        <f t="shared" ref="G63:I63" si="6">SUM(G59:G62)</f>
        <v>9</v>
      </c>
      <c r="H63" s="134">
        <f>SUM(H59:H62)</f>
        <v>37</v>
      </c>
      <c r="I63" s="134">
        <f t="shared" si="6"/>
        <v>37</v>
      </c>
    </row>
    <row r="64" spans="1:10" s="114" customFormat="1" ht="13" thickBot="1">
      <c r="C64" s="135"/>
      <c r="D64" s="123"/>
      <c r="E64" s="123"/>
      <c r="F64" s="123"/>
    </row>
    <row r="65" spans="3:9" s="114" customFormat="1" ht="13" thickBot="1">
      <c r="C65" s="136" t="s">
        <v>101</v>
      </c>
      <c r="D65" s="137">
        <f>(D61+D62)/(D63-D59)</f>
        <v>0.97222222222222221</v>
      </c>
      <c r="E65" s="137">
        <f>(E61+E62)/(E63-E59)</f>
        <v>1</v>
      </c>
      <c r="F65" s="137">
        <f>(F61+F62)/(F63-F59)</f>
        <v>1</v>
      </c>
      <c r="G65" s="137">
        <f t="shared" ref="G65:I65" si="7">(G61+G62)/(G63-G59)</f>
        <v>1</v>
      </c>
      <c r="H65" s="137">
        <f t="shared" si="7"/>
        <v>0.97297297297297303</v>
      </c>
      <c r="I65" s="137">
        <f t="shared" si="7"/>
        <v>0.97297297297297303</v>
      </c>
    </row>
    <row r="66" spans="3:9" s="114" customFormat="1" ht="13" thickBot="1">
      <c r="C66" s="135"/>
      <c r="D66" s="123"/>
      <c r="E66" s="123"/>
      <c r="F66" s="123"/>
    </row>
    <row r="67" spans="3:9" s="114" customFormat="1" ht="13" thickBot="1">
      <c r="C67" s="136" t="s">
        <v>102</v>
      </c>
      <c r="D67" s="139">
        <f>MIN(D19:D55)</f>
        <v>35</v>
      </c>
      <c r="E67" s="139">
        <f t="shared" ref="E67:H67" si="8">MIN(E19:E55)</f>
        <v>12.5</v>
      </c>
      <c r="F67" s="139">
        <f t="shared" si="8"/>
        <v>7.69</v>
      </c>
      <c r="G67" s="139">
        <f t="shared" si="8"/>
        <v>9.52</v>
      </c>
      <c r="H67" s="139">
        <f t="shared" si="8"/>
        <v>9.52</v>
      </c>
      <c r="I67" s="139">
        <f>IFERROR(MIN(I19:I55),"")</f>
        <v>13.597800000000001</v>
      </c>
    </row>
    <row r="68" spans="3:9" s="114" customFormat="1" ht="13" thickBot="1">
      <c r="C68" s="136" t="s">
        <v>103</v>
      </c>
      <c r="D68" s="139">
        <f>MAX(D19:D55)</f>
        <v>94.38</v>
      </c>
      <c r="E68" s="139">
        <f t="shared" ref="E68:H68" si="9">MAX(E19:E55)</f>
        <v>91.88</v>
      </c>
      <c r="F68" s="139">
        <f t="shared" si="9"/>
        <v>90.77</v>
      </c>
      <c r="G68" s="139">
        <f t="shared" si="9"/>
        <v>94.52</v>
      </c>
      <c r="H68" s="139">
        <f t="shared" si="9"/>
        <v>90.95</v>
      </c>
      <c r="I68" s="139">
        <f>IFERROR(MAX(I19:I55),"")</f>
        <v>92.350500000000011</v>
      </c>
    </row>
    <row r="69" spans="3:9" s="114" customFormat="1" ht="13" thickBot="1">
      <c r="C69" s="136" t="s">
        <v>104</v>
      </c>
      <c r="D69" s="139">
        <f>AVERAGE(D19:D55)</f>
        <v>89.216756756756808</v>
      </c>
      <c r="E69" s="139">
        <f t="shared" ref="E69:H69" si="10">AVERAGE(E19:E55)</f>
        <v>87.054594594594647</v>
      </c>
      <c r="F69" s="139">
        <f t="shared" si="10"/>
        <v>84.515405405405403</v>
      </c>
      <c r="G69" s="139">
        <f t="shared" si="10"/>
        <v>88.567567567567551</v>
      </c>
      <c r="H69" s="139">
        <f t="shared" si="10"/>
        <v>84.862432432432414</v>
      </c>
      <c r="I69" s="139">
        <f>IFERROR(AVERAGE(I19:I55),"")</f>
        <v>86.597721621621631</v>
      </c>
    </row>
  </sheetData>
  <mergeCells count="7">
    <mergeCell ref="A1:K1"/>
    <mergeCell ref="A2:K2"/>
    <mergeCell ref="I12:I17"/>
    <mergeCell ref="J12:J17"/>
    <mergeCell ref="D12:H12"/>
    <mergeCell ref="D13:H13"/>
    <mergeCell ref="D14:H14"/>
  </mergeCells>
  <printOptions horizontalCentered="1"/>
  <pageMargins left="0.19685039370078741" right="0.11811023622047245" top="0.19685039370078741" bottom="0.15748031496062992" header="0" footer="0"/>
  <pageSetup paperSize="9" scale="87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BFDD3-037F-4AD2-9867-87004BE6F4EA}">
  <dimension ref="A1:V68"/>
  <sheetViews>
    <sheetView view="pageBreakPreview" topLeftCell="A7" zoomScale="90" zoomScaleNormal="100" zoomScaleSheetLayoutView="90" workbookViewId="0">
      <selection activeCell="G48" sqref="G48"/>
    </sheetView>
  </sheetViews>
  <sheetFormatPr defaultRowHeight="14"/>
  <cols>
    <col min="1" max="1" width="4" customWidth="1"/>
    <col min="2" max="2" width="12.83203125" customWidth="1"/>
    <col min="3" max="3" width="35" customWidth="1"/>
    <col min="4" max="4" width="13.08203125" customWidth="1"/>
    <col min="5" max="5" width="15.25" customWidth="1"/>
    <col min="6" max="6" width="12.6640625" customWidth="1"/>
    <col min="9" max="9" width="13" customWidth="1"/>
  </cols>
  <sheetData>
    <row r="1" spans="1:22" ht="18">
      <c r="A1" s="212" t="s">
        <v>79</v>
      </c>
      <c r="B1" s="212"/>
      <c r="C1" s="212"/>
      <c r="D1" s="212"/>
      <c r="E1" s="212"/>
      <c r="F1" s="212"/>
      <c r="G1" s="212"/>
      <c r="H1" s="212"/>
      <c r="I1" s="33"/>
    </row>
    <row r="2" spans="1:22" ht="18.5" thickBot="1">
      <c r="A2" s="213" t="s">
        <v>80</v>
      </c>
      <c r="B2" s="213"/>
      <c r="C2" s="213"/>
      <c r="D2" s="213"/>
      <c r="E2" s="213"/>
      <c r="F2" s="213"/>
      <c r="G2" s="213"/>
      <c r="H2" s="213"/>
      <c r="I2" s="33"/>
    </row>
    <row r="4" spans="1:22">
      <c r="A4" t="s">
        <v>81</v>
      </c>
      <c r="C4" t="s">
        <v>82</v>
      </c>
      <c r="E4" t="s">
        <v>83</v>
      </c>
      <c r="F4" t="s">
        <v>207</v>
      </c>
    </row>
    <row r="5" spans="1:22">
      <c r="A5" t="s">
        <v>41</v>
      </c>
      <c r="C5" s="34" t="s">
        <v>219</v>
      </c>
      <c r="E5" t="s">
        <v>85</v>
      </c>
      <c r="F5" t="s">
        <v>209</v>
      </c>
    </row>
    <row r="6" spans="1:22">
      <c r="A6" t="s">
        <v>42</v>
      </c>
      <c r="C6" t="s">
        <v>220</v>
      </c>
    </row>
    <row r="7" spans="1:22">
      <c r="A7" t="s">
        <v>87</v>
      </c>
      <c r="C7" t="s">
        <v>88</v>
      </c>
    </row>
    <row r="8" spans="1:22">
      <c r="A8" t="s">
        <v>89</v>
      </c>
      <c r="C8" t="s">
        <v>90</v>
      </c>
    </row>
    <row r="9" spans="1:22">
      <c r="A9" t="s">
        <v>91</v>
      </c>
      <c r="C9" t="s">
        <v>221</v>
      </c>
    </row>
    <row r="10" spans="1:22">
      <c r="C10" t="s">
        <v>222</v>
      </c>
    </row>
    <row r="11" spans="1:22">
      <c r="C11" s="35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</row>
    <row r="12" spans="1:22">
      <c r="C12" s="35"/>
      <c r="D12" s="220" t="s">
        <v>56</v>
      </c>
      <c r="E12" s="221"/>
      <c r="F12" s="222" t="s">
        <v>92</v>
      </c>
      <c r="G12" s="222" t="s">
        <v>93</v>
      </c>
    </row>
    <row r="13" spans="1:22">
      <c r="C13" s="35"/>
      <c r="D13" s="225" t="str">
        <f>TRIM(MID(C5,2,20))</f>
        <v>P.24.05.52.1.03</v>
      </c>
      <c r="E13" s="225"/>
      <c r="F13" s="223"/>
      <c r="G13" s="223"/>
    </row>
    <row r="14" spans="1:22">
      <c r="C14" s="35"/>
      <c r="D14" s="226" t="str">
        <f>TRIM(MID(C6,2,100))</f>
        <v>Etika Bisnis dan Profesi</v>
      </c>
      <c r="E14" s="227"/>
      <c r="F14" s="223"/>
      <c r="G14" s="223"/>
    </row>
    <row r="15" spans="1:22">
      <c r="C15" s="35"/>
      <c r="D15" s="37" t="s">
        <v>148</v>
      </c>
      <c r="E15" s="37" t="s">
        <v>114</v>
      </c>
      <c r="F15" s="223"/>
      <c r="G15" s="223"/>
    </row>
    <row r="16" spans="1:22">
      <c r="C16" s="35"/>
      <c r="D16" s="37" t="s">
        <v>226</v>
      </c>
      <c r="E16" s="37" t="s">
        <v>227</v>
      </c>
      <c r="F16" s="223"/>
      <c r="G16" s="223"/>
    </row>
    <row r="17" spans="1:7">
      <c r="C17" s="35"/>
      <c r="D17" s="37">
        <v>50</v>
      </c>
      <c r="E17" s="37">
        <v>50</v>
      </c>
      <c r="F17" s="224"/>
      <c r="G17" s="224"/>
    </row>
    <row r="18" spans="1:7">
      <c r="A18" s="1" t="s">
        <v>0</v>
      </c>
      <c r="B18" s="1" t="s">
        <v>1</v>
      </c>
      <c r="C18" s="1" t="s">
        <v>2</v>
      </c>
      <c r="D18" s="1"/>
      <c r="E18" s="1"/>
      <c r="F18" s="1"/>
      <c r="G18" s="1"/>
    </row>
    <row r="19" spans="1:7">
      <c r="A19" s="118">
        <v>1</v>
      </c>
      <c r="B19" s="4" t="s">
        <v>280</v>
      </c>
      <c r="C19" s="4" t="s">
        <v>281</v>
      </c>
      <c r="D19" s="38">
        <v>85</v>
      </c>
      <c r="E19" s="38">
        <v>85</v>
      </c>
      <c r="F19" s="38">
        <f>IFERROR((D19*($D$17/100))+(E19*($E$17/100)),"")</f>
        <v>85</v>
      </c>
      <c r="G19" s="38" t="str">
        <f>IFERROR(VLOOKUP(F19,[3]Sheet1!$AA$1:$AB$10,2),"")</f>
        <v>A-</v>
      </c>
    </row>
    <row r="20" spans="1:7">
      <c r="A20" s="118">
        <v>2</v>
      </c>
      <c r="B20" s="4" t="s">
        <v>282</v>
      </c>
      <c r="C20" s="4" t="s">
        <v>283</v>
      </c>
      <c r="D20" s="38">
        <v>85</v>
      </c>
      <c r="E20" s="38">
        <v>85</v>
      </c>
      <c r="F20" s="38">
        <f t="shared" ref="F20:F55" si="0">IFERROR((D20*($D$17/100))+(E20*($E$17/100)),"")</f>
        <v>85</v>
      </c>
      <c r="G20" s="38" t="str">
        <f>IFERROR(VLOOKUP(F20,[2]Sheet1!$AA$1:$AB$10,2),"")</f>
        <v>A-</v>
      </c>
    </row>
    <row r="21" spans="1:7">
      <c r="A21" s="118">
        <v>3</v>
      </c>
      <c r="B21" s="4" t="s">
        <v>284</v>
      </c>
      <c r="C21" s="4" t="s">
        <v>285</v>
      </c>
      <c r="D21" s="38">
        <v>85</v>
      </c>
      <c r="E21" s="38">
        <v>85</v>
      </c>
      <c r="F21" s="38">
        <f t="shared" si="0"/>
        <v>85</v>
      </c>
      <c r="G21" s="38" t="str">
        <f>IFERROR(VLOOKUP(F21,[2]Sheet1!$AA$1:$AB$10,2),"")</f>
        <v>A-</v>
      </c>
    </row>
    <row r="22" spans="1:7">
      <c r="A22" s="118">
        <v>4</v>
      </c>
      <c r="B22" s="4" t="s">
        <v>286</v>
      </c>
      <c r="C22" s="4" t="s">
        <v>287</v>
      </c>
      <c r="D22" s="38">
        <v>0</v>
      </c>
      <c r="E22" s="38">
        <v>0</v>
      </c>
      <c r="F22" s="38">
        <f t="shared" si="0"/>
        <v>0</v>
      </c>
      <c r="G22" s="38" t="str">
        <f>IFERROR(VLOOKUP(F22,[2]Sheet1!$AA$1:$AB$10,2),"")</f>
        <v>E</v>
      </c>
    </row>
    <row r="23" spans="1:7">
      <c r="A23" s="118">
        <v>5</v>
      </c>
      <c r="B23" s="4" t="s">
        <v>288</v>
      </c>
      <c r="C23" s="4" t="s">
        <v>289</v>
      </c>
      <c r="D23" s="38">
        <v>85</v>
      </c>
      <c r="E23" s="38">
        <v>85</v>
      </c>
      <c r="F23" s="38">
        <f t="shared" si="0"/>
        <v>85</v>
      </c>
      <c r="G23" s="38" t="str">
        <f>IFERROR(VLOOKUP(F23,[2]Sheet1!$AA$1:$AB$10,2),"")</f>
        <v>A-</v>
      </c>
    </row>
    <row r="24" spans="1:7">
      <c r="A24" s="118">
        <v>6</v>
      </c>
      <c r="B24" s="4" t="s">
        <v>290</v>
      </c>
      <c r="C24" s="4" t="s">
        <v>291</v>
      </c>
      <c r="D24" s="38">
        <v>85</v>
      </c>
      <c r="E24" s="38">
        <v>85</v>
      </c>
      <c r="F24" s="38">
        <f t="shared" si="0"/>
        <v>85</v>
      </c>
      <c r="G24" s="38" t="str">
        <f>IFERROR(VLOOKUP(F24,[2]Sheet1!$AA$1:$AB$10,2),"")</f>
        <v>A-</v>
      </c>
    </row>
    <row r="25" spans="1:7">
      <c r="A25" s="118">
        <v>7</v>
      </c>
      <c r="B25" s="4" t="s">
        <v>292</v>
      </c>
      <c r="C25" s="4" t="s">
        <v>293</v>
      </c>
      <c r="D25" s="38">
        <v>85</v>
      </c>
      <c r="E25" s="38">
        <v>85</v>
      </c>
      <c r="F25" s="38">
        <f t="shared" si="0"/>
        <v>85</v>
      </c>
      <c r="G25" s="38" t="str">
        <f>IFERROR(VLOOKUP(F25,[2]Sheet1!$AA$1:$AB$10,2),"")</f>
        <v>A-</v>
      </c>
    </row>
    <row r="26" spans="1:7">
      <c r="A26" s="118">
        <v>8</v>
      </c>
      <c r="B26" s="4" t="s">
        <v>294</v>
      </c>
      <c r="C26" s="4" t="s">
        <v>295</v>
      </c>
      <c r="D26" s="38">
        <v>85</v>
      </c>
      <c r="E26" s="38">
        <v>85</v>
      </c>
      <c r="F26" s="38">
        <f t="shared" si="0"/>
        <v>85</v>
      </c>
      <c r="G26" s="38" t="str">
        <f>IFERROR(VLOOKUP(F26,[2]Sheet1!$AA$1:$AB$10,2),"")</f>
        <v>A-</v>
      </c>
    </row>
    <row r="27" spans="1:7">
      <c r="A27" s="118">
        <v>9</v>
      </c>
      <c r="B27" s="4" t="s">
        <v>296</v>
      </c>
      <c r="C27" s="4" t="s">
        <v>297</v>
      </c>
      <c r="D27" s="38">
        <v>85</v>
      </c>
      <c r="E27" s="38">
        <v>85</v>
      </c>
      <c r="F27" s="38">
        <f t="shared" si="0"/>
        <v>85</v>
      </c>
      <c r="G27" s="38" t="str">
        <f>IFERROR(VLOOKUP(F27,[2]Sheet1!$AA$1:$AB$10,2),"")</f>
        <v>A-</v>
      </c>
    </row>
    <row r="28" spans="1:7">
      <c r="A28" s="118">
        <v>10</v>
      </c>
      <c r="B28" s="4" t="s">
        <v>298</v>
      </c>
      <c r="C28" s="4" t="s">
        <v>299</v>
      </c>
      <c r="D28" s="38">
        <v>85</v>
      </c>
      <c r="E28" s="38">
        <v>85</v>
      </c>
      <c r="F28" s="38">
        <f t="shared" si="0"/>
        <v>85</v>
      </c>
      <c r="G28" s="38" t="str">
        <f>IFERROR(VLOOKUP(F28,[2]Sheet1!$AA$1:$AB$10,2),"")</f>
        <v>A-</v>
      </c>
    </row>
    <row r="29" spans="1:7">
      <c r="A29" s="118">
        <v>11</v>
      </c>
      <c r="B29" s="4" t="s">
        <v>300</v>
      </c>
      <c r="C29" s="4" t="s">
        <v>301</v>
      </c>
      <c r="D29" s="38">
        <v>85</v>
      </c>
      <c r="E29" s="38">
        <v>85</v>
      </c>
      <c r="F29" s="38">
        <f t="shared" si="0"/>
        <v>85</v>
      </c>
      <c r="G29" s="38" t="str">
        <f>IFERROR(VLOOKUP(F29,[2]Sheet1!$AA$1:$AB$10,2),"")</f>
        <v>A-</v>
      </c>
    </row>
    <row r="30" spans="1:7">
      <c r="A30" s="118">
        <v>12</v>
      </c>
      <c r="B30" s="4" t="s">
        <v>302</v>
      </c>
      <c r="C30" s="4" t="s">
        <v>303</v>
      </c>
      <c r="D30" s="38">
        <v>85</v>
      </c>
      <c r="E30" s="38">
        <v>85</v>
      </c>
      <c r="F30" s="38">
        <f t="shared" si="0"/>
        <v>85</v>
      </c>
      <c r="G30" s="38" t="str">
        <f>IFERROR(VLOOKUP(F30,[2]Sheet1!$AA$1:$AB$10,2),"")</f>
        <v>A-</v>
      </c>
    </row>
    <row r="31" spans="1:7">
      <c r="A31" s="118">
        <v>13</v>
      </c>
      <c r="B31" s="4" t="s">
        <v>304</v>
      </c>
      <c r="C31" s="4" t="s">
        <v>305</v>
      </c>
      <c r="D31" s="38">
        <v>85</v>
      </c>
      <c r="E31" s="38">
        <v>85</v>
      </c>
      <c r="F31" s="38">
        <f t="shared" si="0"/>
        <v>85</v>
      </c>
      <c r="G31" s="38" t="str">
        <f>IFERROR(VLOOKUP(F31,[2]Sheet1!$AA$1:$AB$10,2),"")</f>
        <v>A-</v>
      </c>
    </row>
    <row r="32" spans="1:7">
      <c r="A32" s="118">
        <v>14</v>
      </c>
      <c r="B32" s="4" t="s">
        <v>306</v>
      </c>
      <c r="C32" s="4" t="s">
        <v>307</v>
      </c>
      <c r="D32" s="38">
        <v>85</v>
      </c>
      <c r="E32" s="38">
        <v>85</v>
      </c>
      <c r="F32" s="38">
        <f t="shared" si="0"/>
        <v>85</v>
      </c>
      <c r="G32" s="38" t="str">
        <f>IFERROR(VLOOKUP(F32,[2]Sheet1!$AA$1:$AB$10,2),"")</f>
        <v>A-</v>
      </c>
    </row>
    <row r="33" spans="1:7">
      <c r="A33" s="118">
        <v>15</v>
      </c>
      <c r="B33" s="4" t="s">
        <v>308</v>
      </c>
      <c r="C33" s="4" t="s">
        <v>309</v>
      </c>
      <c r="D33" s="38">
        <v>85</v>
      </c>
      <c r="E33" s="38">
        <v>85</v>
      </c>
      <c r="F33" s="38">
        <f t="shared" si="0"/>
        <v>85</v>
      </c>
      <c r="G33" s="38" t="str">
        <f>IFERROR(VLOOKUP(F33,[2]Sheet1!$AA$1:$AB$10,2),"")</f>
        <v>A-</v>
      </c>
    </row>
    <row r="34" spans="1:7">
      <c r="A34" s="118">
        <v>16</v>
      </c>
      <c r="B34" s="4" t="s">
        <v>310</v>
      </c>
      <c r="C34" s="4" t="s">
        <v>311</v>
      </c>
      <c r="D34" s="38">
        <v>85</v>
      </c>
      <c r="E34" s="38">
        <v>85</v>
      </c>
      <c r="F34" s="38">
        <f t="shared" si="0"/>
        <v>85</v>
      </c>
      <c r="G34" s="38" t="str">
        <f>IFERROR(VLOOKUP(F34,[2]Sheet1!$AA$1:$AB$10,2),"")</f>
        <v>A-</v>
      </c>
    </row>
    <row r="35" spans="1:7">
      <c r="A35" s="118">
        <v>17</v>
      </c>
      <c r="B35" s="4" t="s">
        <v>312</v>
      </c>
      <c r="C35" s="4" t="s">
        <v>313</v>
      </c>
      <c r="D35" s="38">
        <v>85</v>
      </c>
      <c r="E35" s="38">
        <v>85</v>
      </c>
      <c r="F35" s="38">
        <f t="shared" si="0"/>
        <v>85</v>
      </c>
      <c r="G35" s="38" t="str">
        <f>IFERROR(VLOOKUP(F35,[2]Sheet1!$AA$1:$AB$10,2),"")</f>
        <v>A-</v>
      </c>
    </row>
    <row r="36" spans="1:7">
      <c r="A36" s="118">
        <v>18</v>
      </c>
      <c r="B36" s="4" t="s">
        <v>314</v>
      </c>
      <c r="C36" s="4" t="s">
        <v>315</v>
      </c>
      <c r="D36" s="38">
        <v>85</v>
      </c>
      <c r="E36" s="38">
        <v>85</v>
      </c>
      <c r="F36" s="38">
        <f t="shared" si="0"/>
        <v>85</v>
      </c>
      <c r="G36" s="38" t="str">
        <f>IFERROR(VLOOKUP(F36,[2]Sheet1!$AA$1:$AB$10,2),"")</f>
        <v>A-</v>
      </c>
    </row>
    <row r="37" spans="1:7">
      <c r="A37" s="118">
        <v>19</v>
      </c>
      <c r="B37" s="4" t="s">
        <v>316</v>
      </c>
      <c r="C37" s="4" t="s">
        <v>317</v>
      </c>
      <c r="D37" s="38">
        <v>85</v>
      </c>
      <c r="E37" s="38">
        <v>85</v>
      </c>
      <c r="F37" s="38">
        <f t="shared" si="0"/>
        <v>85</v>
      </c>
      <c r="G37" s="38" t="str">
        <f>IFERROR(VLOOKUP(F37,[2]Sheet1!$AA$1:$AB$10,2),"")</f>
        <v>A-</v>
      </c>
    </row>
    <row r="38" spans="1:7">
      <c r="A38" s="118">
        <v>20</v>
      </c>
      <c r="B38" s="4" t="s">
        <v>318</v>
      </c>
      <c r="C38" s="4" t="s">
        <v>319</v>
      </c>
      <c r="D38" s="38">
        <v>85</v>
      </c>
      <c r="E38" s="38">
        <v>85</v>
      </c>
      <c r="F38" s="38">
        <f t="shared" si="0"/>
        <v>85</v>
      </c>
      <c r="G38" s="38" t="str">
        <f>IFERROR(VLOOKUP(F38,[2]Sheet1!$AA$1:$AB$10,2),"")</f>
        <v>A-</v>
      </c>
    </row>
    <row r="39" spans="1:7">
      <c r="A39" s="118">
        <v>21</v>
      </c>
      <c r="B39" s="4" t="s">
        <v>320</v>
      </c>
      <c r="C39" s="4" t="s">
        <v>321</v>
      </c>
      <c r="D39" s="38">
        <v>85</v>
      </c>
      <c r="E39" s="38">
        <v>85</v>
      </c>
      <c r="F39" s="38">
        <f t="shared" si="0"/>
        <v>85</v>
      </c>
      <c r="G39" s="38" t="str">
        <f>IFERROR(VLOOKUP(F39,[2]Sheet1!$AA$1:$AB$10,2),"")</f>
        <v>A-</v>
      </c>
    </row>
    <row r="40" spans="1:7">
      <c r="A40" s="118">
        <v>22</v>
      </c>
      <c r="B40" s="4" t="s">
        <v>322</v>
      </c>
      <c r="C40" s="4" t="s">
        <v>323</v>
      </c>
      <c r="D40" s="38">
        <v>85</v>
      </c>
      <c r="E40" s="38">
        <v>85</v>
      </c>
      <c r="F40" s="38">
        <f t="shared" si="0"/>
        <v>85</v>
      </c>
      <c r="G40" s="38" t="str">
        <f>IFERROR(VLOOKUP(F40,[2]Sheet1!$AA$1:$AB$10,2),"")</f>
        <v>A-</v>
      </c>
    </row>
    <row r="41" spans="1:7">
      <c r="A41" s="118">
        <v>23</v>
      </c>
      <c r="B41" s="4" t="s">
        <v>324</v>
      </c>
      <c r="C41" s="4" t="s">
        <v>325</v>
      </c>
      <c r="D41" s="38">
        <v>85</v>
      </c>
      <c r="E41" s="38">
        <v>85</v>
      </c>
      <c r="F41" s="38">
        <f t="shared" si="0"/>
        <v>85</v>
      </c>
      <c r="G41" s="38" t="str">
        <f>IFERROR(VLOOKUP(F41,[2]Sheet1!$AA$1:$AB$10,2),"")</f>
        <v>A-</v>
      </c>
    </row>
    <row r="42" spans="1:7">
      <c r="A42" s="118">
        <v>24</v>
      </c>
      <c r="B42" s="4" t="s">
        <v>326</v>
      </c>
      <c r="C42" s="4" t="s">
        <v>327</v>
      </c>
      <c r="D42" s="38">
        <v>85</v>
      </c>
      <c r="E42" s="38">
        <v>85</v>
      </c>
      <c r="F42" s="38">
        <f t="shared" si="0"/>
        <v>85</v>
      </c>
      <c r="G42" s="38" t="str">
        <f>IFERROR(VLOOKUP(F42,[2]Sheet1!$AA$1:$AB$10,2),"")</f>
        <v>A-</v>
      </c>
    </row>
    <row r="43" spans="1:7">
      <c r="A43" s="118">
        <v>25</v>
      </c>
      <c r="B43" s="4" t="s">
        <v>328</v>
      </c>
      <c r="C43" s="4" t="s">
        <v>329</v>
      </c>
      <c r="D43" s="38">
        <v>85</v>
      </c>
      <c r="E43" s="38">
        <v>85</v>
      </c>
      <c r="F43" s="38">
        <f t="shared" si="0"/>
        <v>85</v>
      </c>
      <c r="G43" s="38" t="str">
        <f>IFERROR(VLOOKUP(F43,[2]Sheet1!$AA$1:$AB$10,2),"")</f>
        <v>A-</v>
      </c>
    </row>
    <row r="44" spans="1:7">
      <c r="A44" s="118">
        <v>26</v>
      </c>
      <c r="B44" s="4" t="s">
        <v>330</v>
      </c>
      <c r="C44" s="4" t="s">
        <v>331</v>
      </c>
      <c r="D44" s="38">
        <v>50.3</v>
      </c>
      <c r="E44" s="38">
        <v>43.3</v>
      </c>
      <c r="F44" s="38">
        <f t="shared" si="0"/>
        <v>46.8</v>
      </c>
      <c r="G44" s="38" t="str">
        <f>IFERROR(VLOOKUP(F44,[2]Sheet1!$AA$1:$AB$10,2),"")</f>
        <v>D</v>
      </c>
    </row>
    <row r="45" spans="1:7">
      <c r="A45" s="118">
        <v>27</v>
      </c>
      <c r="B45" s="4" t="s">
        <v>332</v>
      </c>
      <c r="C45" s="4" t="s">
        <v>333</v>
      </c>
      <c r="D45" s="38">
        <v>79.5</v>
      </c>
      <c r="E45" s="38">
        <v>93</v>
      </c>
      <c r="F45" s="38">
        <f t="shared" si="0"/>
        <v>86.25</v>
      </c>
      <c r="G45" s="38" t="str">
        <f>IFERROR(VLOOKUP(F45,[2]Sheet1!$AA$1:$AB$10,2),"")</f>
        <v>A-</v>
      </c>
    </row>
    <row r="46" spans="1:7">
      <c r="A46" s="118">
        <v>28</v>
      </c>
      <c r="B46" s="4" t="s">
        <v>334</v>
      </c>
      <c r="C46" s="4" t="s">
        <v>335</v>
      </c>
      <c r="D46" s="38">
        <v>88.3</v>
      </c>
      <c r="E46" s="38">
        <v>91.8</v>
      </c>
      <c r="F46" s="38">
        <f t="shared" si="0"/>
        <v>90.05</v>
      </c>
      <c r="G46" s="38" t="str">
        <f>IFERROR(VLOOKUP(F46,[2]Sheet1!$AA$1:$AB$10,2),"")</f>
        <v>A-</v>
      </c>
    </row>
    <row r="47" spans="1:7">
      <c r="A47" s="118">
        <v>29</v>
      </c>
      <c r="B47" s="4" t="s">
        <v>336</v>
      </c>
      <c r="C47" s="4" t="s">
        <v>337</v>
      </c>
      <c r="D47" s="38">
        <v>84.1</v>
      </c>
      <c r="E47" s="38">
        <v>98.1</v>
      </c>
      <c r="F47" s="38">
        <f t="shared" si="0"/>
        <v>91.1</v>
      </c>
      <c r="G47" s="38" t="str">
        <f>IFERROR(VLOOKUP(F47,[2]Sheet1!$AA$1:$AB$10,2),"")</f>
        <v>A</v>
      </c>
    </row>
    <row r="48" spans="1:7">
      <c r="A48" s="118">
        <v>30</v>
      </c>
      <c r="B48" s="4" t="s">
        <v>338</v>
      </c>
      <c r="C48" s="4" t="s">
        <v>339</v>
      </c>
      <c r="D48" s="38">
        <v>79.5</v>
      </c>
      <c r="E48" s="38">
        <v>68.5</v>
      </c>
      <c r="F48" s="38">
        <f t="shared" si="0"/>
        <v>74</v>
      </c>
      <c r="G48" s="38" t="str">
        <f>IFERROR(VLOOKUP(F48,[2]Sheet1!$AA$1:$AB$10,2),"")</f>
        <v>B</v>
      </c>
    </row>
    <row r="49" spans="1:7">
      <c r="A49" s="118">
        <v>31</v>
      </c>
      <c r="B49" s="4" t="s">
        <v>340</v>
      </c>
      <c r="C49" s="4" t="s">
        <v>341</v>
      </c>
      <c r="D49" s="38">
        <v>70.599999999999994</v>
      </c>
      <c r="E49" s="38">
        <v>73.599999999999994</v>
      </c>
      <c r="F49" s="38">
        <f t="shared" si="0"/>
        <v>72.099999999999994</v>
      </c>
      <c r="G49" s="38" t="str">
        <f>IFERROR(VLOOKUP(F49,[2]Sheet1!$AA$1:$AB$10,2),"")</f>
        <v>B</v>
      </c>
    </row>
    <row r="50" spans="1:7">
      <c r="A50" s="118">
        <v>32</v>
      </c>
      <c r="B50" s="4" t="s">
        <v>342</v>
      </c>
      <c r="C50" s="4" t="s">
        <v>343</v>
      </c>
      <c r="D50" s="38">
        <v>74.8</v>
      </c>
      <c r="E50" s="38">
        <v>8.8000000000000007</v>
      </c>
      <c r="F50" s="38">
        <f t="shared" si="0"/>
        <v>41.8</v>
      </c>
      <c r="G50" s="38" t="str">
        <f>IFERROR(VLOOKUP(F50,[2]Sheet1!$AA$1:$AB$10,2),"")</f>
        <v>E</v>
      </c>
    </row>
    <row r="51" spans="1:7">
      <c r="A51" s="118">
        <v>33</v>
      </c>
      <c r="B51" s="4" t="s">
        <v>344</v>
      </c>
      <c r="C51" s="4" t="s">
        <v>345</v>
      </c>
      <c r="D51" s="38">
        <v>66.5</v>
      </c>
      <c r="E51" s="38">
        <v>80.5</v>
      </c>
      <c r="F51" s="38">
        <f t="shared" si="0"/>
        <v>73.5</v>
      </c>
      <c r="G51" s="38" t="str">
        <f>IFERROR(VLOOKUP(F51,[2]Sheet1!$AA$1:$AB$10,2),"")</f>
        <v>B</v>
      </c>
    </row>
    <row r="52" spans="1:7">
      <c r="A52" s="118">
        <v>34</v>
      </c>
      <c r="B52" s="4" t="s">
        <v>346</v>
      </c>
      <c r="C52" s="4" t="s">
        <v>347</v>
      </c>
      <c r="D52" s="38">
        <v>87.6</v>
      </c>
      <c r="E52" s="38">
        <v>84.1</v>
      </c>
      <c r="F52" s="38">
        <f t="shared" si="0"/>
        <v>85.85</v>
      </c>
      <c r="G52" s="38" t="str">
        <f>IFERROR(VLOOKUP(F52,[2]Sheet1!$AA$1:$AB$10,2),"")</f>
        <v>A-</v>
      </c>
    </row>
    <row r="53" spans="1:7">
      <c r="A53" s="118">
        <v>35</v>
      </c>
      <c r="B53" s="4" t="s">
        <v>348</v>
      </c>
      <c r="C53" s="4" t="s">
        <v>349</v>
      </c>
      <c r="D53" s="38">
        <v>72.5</v>
      </c>
      <c r="E53" s="38">
        <v>72</v>
      </c>
      <c r="F53" s="38">
        <f t="shared" si="0"/>
        <v>72.25</v>
      </c>
      <c r="G53" s="38" t="str">
        <f>IFERROR(VLOOKUP(F53,[2]Sheet1!$AA$1:$AB$10,2),"")</f>
        <v>B</v>
      </c>
    </row>
    <row r="54" spans="1:7">
      <c r="A54" s="118">
        <v>36</v>
      </c>
      <c r="B54" s="4" t="s">
        <v>350</v>
      </c>
      <c r="C54" s="4" t="s">
        <v>351</v>
      </c>
      <c r="D54" s="38">
        <v>74.8</v>
      </c>
      <c r="E54" s="38">
        <v>77.8</v>
      </c>
      <c r="F54" s="38">
        <f t="shared" si="0"/>
        <v>76.3</v>
      </c>
      <c r="G54" s="38" t="str">
        <f>IFERROR(VLOOKUP(F54,[2]Sheet1!$AA$1:$AB$10,2),"")</f>
        <v>B+</v>
      </c>
    </row>
    <row r="55" spans="1:7">
      <c r="A55" s="118">
        <v>37</v>
      </c>
      <c r="B55" s="4" t="s">
        <v>352</v>
      </c>
      <c r="C55" s="4" t="s">
        <v>353</v>
      </c>
      <c r="D55" s="38">
        <v>95.9</v>
      </c>
      <c r="E55" s="38">
        <v>71.400000000000006</v>
      </c>
      <c r="F55" s="38">
        <f t="shared" si="0"/>
        <v>83.65</v>
      </c>
      <c r="G55" s="38" t="str">
        <f>IFERROR(VLOOKUP(F55,[2]Sheet1!$AA$1:$AB$10,2),"")</f>
        <v>B+</v>
      </c>
    </row>
    <row r="56" spans="1:7">
      <c r="C56" s="35"/>
      <c r="D56" s="36"/>
      <c r="E56" s="36"/>
      <c r="F56" s="36"/>
    </row>
    <row r="57" spans="1:7" s="114" customFormat="1" ht="13" thickBot="1">
      <c r="C57" s="115"/>
      <c r="D57" s="123" t="str">
        <f t="shared" ref="D57:E57" si="1">D16</f>
        <v>CPMK81</v>
      </c>
      <c r="E57" s="123" t="str">
        <f t="shared" si="1"/>
        <v>CPMK91</v>
      </c>
      <c r="F57" s="123" t="str">
        <f>F12</f>
        <v>Nilai Akhir MK</v>
      </c>
    </row>
    <row r="58" spans="1:7" s="114" customFormat="1" ht="13" thickBot="1">
      <c r="C58" s="124" t="s">
        <v>188</v>
      </c>
      <c r="D58" s="125">
        <f>IFERROR(COUNTIF(D19:D55,""),"")</f>
        <v>0</v>
      </c>
      <c r="E58" s="125">
        <f>IFERROR(COUNTIF(E19:E55,""),"")</f>
        <v>0</v>
      </c>
      <c r="F58" s="125">
        <f>IFERROR(COUNTIF(F19:F55,""),"")</f>
        <v>0</v>
      </c>
    </row>
    <row r="59" spans="1:7" s="114" customFormat="1" ht="13" thickBot="1">
      <c r="C59" s="126" t="s">
        <v>98</v>
      </c>
      <c r="D59" s="127">
        <f>IFERROR(COUNTIF(D19:D55,C59)+COUNTIF(D19:D55,""),"")-D58</f>
        <v>2</v>
      </c>
      <c r="E59" s="142">
        <f>COUNTIF(E19:E55,C59)+COUNTIF(E19:E55,"")-E58</f>
        <v>3</v>
      </c>
      <c r="F59" s="142">
        <f>IFERROR(COUNTIF(F19:F55,C59)+COUNTIF(F19:F55,""),"")-F58</f>
        <v>3</v>
      </c>
    </row>
    <row r="60" spans="1:7" s="114" customFormat="1" ht="13" thickBot="1">
      <c r="C60" s="128" t="s">
        <v>99</v>
      </c>
      <c r="D60" s="129">
        <f>IFERROR(COUNTIF(D19:D55,C60)-D59,"")</f>
        <v>8</v>
      </c>
      <c r="E60" s="129">
        <f>COUNTIF(E19:E55,C60)-E59</f>
        <v>7</v>
      </c>
      <c r="F60" s="130">
        <f>IFERROR(COUNTIF(F19:F55,C60)-F59,"")</f>
        <v>6</v>
      </c>
    </row>
    <row r="61" spans="1:7" s="114" customFormat="1" ht="13" thickBot="1">
      <c r="C61" s="131" t="s">
        <v>100</v>
      </c>
      <c r="D61" s="132">
        <f>COUNTIF(D19:D55,C61)</f>
        <v>27</v>
      </c>
      <c r="E61" s="132">
        <f>COUNTIF(E19:E55,C61)</f>
        <v>27</v>
      </c>
      <c r="F61" s="132">
        <f>IFERROR(COUNTIF(F19:F55,C61),"")</f>
        <v>28</v>
      </c>
    </row>
    <row r="62" spans="1:7" s="114" customFormat="1" ht="13" thickBot="1">
      <c r="C62" s="133" t="s">
        <v>78</v>
      </c>
      <c r="D62" s="134">
        <f>SUM(D58:D61)</f>
        <v>37</v>
      </c>
      <c r="E62" s="134">
        <f t="shared" ref="E62:F62" si="2">SUM(E58:E61)</f>
        <v>37</v>
      </c>
      <c r="F62" s="134">
        <f t="shared" si="2"/>
        <v>37</v>
      </c>
    </row>
    <row r="63" spans="1:7" s="114" customFormat="1" ht="13" thickBot="1">
      <c r="C63" s="135"/>
      <c r="D63" s="123"/>
      <c r="E63" s="123"/>
      <c r="F63" s="123"/>
    </row>
    <row r="64" spans="1:7" s="114" customFormat="1" ht="13" thickBot="1">
      <c r="C64" s="136" t="s">
        <v>101</v>
      </c>
      <c r="D64" s="137">
        <f>(D60+D61)/(D62-D58)</f>
        <v>0.94594594594594594</v>
      </c>
      <c r="E64" s="137">
        <f>(E60+E61)/(E62-E58)</f>
        <v>0.91891891891891897</v>
      </c>
      <c r="F64" s="137">
        <f>(F60+F61)/(F62-F58)</f>
        <v>0.91891891891891897</v>
      </c>
    </row>
    <row r="65" spans="3:6" s="114" customFormat="1" ht="13" thickBot="1">
      <c r="C65" s="135"/>
      <c r="D65" s="123"/>
      <c r="E65" s="123"/>
      <c r="F65" s="123"/>
    </row>
    <row r="66" spans="3:6" s="114" customFormat="1" ht="13" thickBot="1">
      <c r="C66" s="136" t="s">
        <v>102</v>
      </c>
      <c r="D66" s="138">
        <f>MIN(D19:D55)</f>
        <v>0</v>
      </c>
      <c r="E66" s="138">
        <f>MIN(E19:E55)</f>
        <v>0</v>
      </c>
      <c r="F66" s="138">
        <f>IFERROR(MIN(F19:F55),"")</f>
        <v>0</v>
      </c>
    </row>
    <row r="67" spans="3:6" s="114" customFormat="1" ht="13" thickBot="1">
      <c r="C67" s="136" t="s">
        <v>103</v>
      </c>
      <c r="D67" s="138">
        <f>MAX(D19:D37)</f>
        <v>85</v>
      </c>
      <c r="E67" s="138">
        <f>MAX(E19:E55)</f>
        <v>98.1</v>
      </c>
      <c r="F67" s="138">
        <f>IFERROR(MAX(F19:F55),"")</f>
        <v>91.1</v>
      </c>
    </row>
    <row r="68" spans="3:6" s="114" customFormat="1" ht="13" thickBot="1">
      <c r="C68" s="136" t="s">
        <v>104</v>
      </c>
      <c r="D68" s="139">
        <f>AVERAGE(D19:D55)</f>
        <v>80.118918918918936</v>
      </c>
      <c r="E68" s="139">
        <f>AVERAGE(E19:E55)</f>
        <v>78.456756756756775</v>
      </c>
      <c r="F68" s="139">
        <f>IFERROR(AVERAGE(F19:F55),"")</f>
        <v>79.287837837837856</v>
      </c>
    </row>
  </sheetData>
  <mergeCells count="7">
    <mergeCell ref="A1:H1"/>
    <mergeCell ref="A2:H2"/>
    <mergeCell ref="D12:E12"/>
    <mergeCell ref="F12:F17"/>
    <mergeCell ref="G12:G17"/>
    <mergeCell ref="D13:E13"/>
    <mergeCell ref="D14:E14"/>
  </mergeCells>
  <printOptions horizontalCentered="1"/>
  <pageMargins left="0.19685039370078741" right="0.11811023622047245" top="0.19685039370078741" bottom="0.15748031496062992" header="0" footer="0"/>
  <pageSetup paperSize="9" scale="8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C251A-DDE9-4DF8-8A4D-81C080AFA04A}">
  <sheetPr>
    <pageSetUpPr fitToPage="1"/>
  </sheetPr>
  <dimension ref="A1:V68"/>
  <sheetViews>
    <sheetView view="pageBreakPreview" zoomScaleNormal="100" zoomScaleSheetLayoutView="100" workbookViewId="0">
      <selection activeCell="F44" sqref="F44"/>
    </sheetView>
  </sheetViews>
  <sheetFormatPr defaultRowHeight="14"/>
  <cols>
    <col min="1" max="1" width="4" customWidth="1"/>
    <col min="2" max="2" width="12.83203125" customWidth="1"/>
    <col min="3" max="3" width="32.6640625" customWidth="1"/>
    <col min="4" max="4" width="13.08203125" style="36" customWidth="1"/>
    <col min="5" max="5" width="15.25" style="36" customWidth="1"/>
    <col min="6" max="6" width="12.6640625" customWidth="1"/>
    <col min="9" max="9" width="13" customWidth="1"/>
  </cols>
  <sheetData>
    <row r="1" spans="1:22" ht="18">
      <c r="A1" s="212" t="s">
        <v>79</v>
      </c>
      <c r="B1" s="212"/>
      <c r="C1" s="212"/>
      <c r="D1" s="212"/>
      <c r="E1" s="212"/>
      <c r="F1" s="212"/>
      <c r="G1" s="212"/>
      <c r="H1" s="212"/>
      <c r="I1" s="33"/>
    </row>
    <row r="2" spans="1:22" ht="18.5" thickBot="1">
      <c r="A2" s="213" t="s">
        <v>80</v>
      </c>
      <c r="B2" s="213"/>
      <c r="C2" s="213"/>
      <c r="D2" s="213"/>
      <c r="E2" s="213"/>
      <c r="F2" s="213"/>
      <c r="G2" s="213"/>
      <c r="H2" s="213"/>
      <c r="I2" s="33"/>
    </row>
    <row r="4" spans="1:22">
      <c r="A4" t="s">
        <v>81</v>
      </c>
      <c r="C4" t="s">
        <v>82</v>
      </c>
      <c r="E4" s="36" t="s">
        <v>83</v>
      </c>
      <c r="F4" t="s">
        <v>207</v>
      </c>
    </row>
    <row r="5" spans="1:22">
      <c r="A5" t="s">
        <v>41</v>
      </c>
      <c r="C5" s="34" t="s">
        <v>223</v>
      </c>
      <c r="E5" s="36" t="s">
        <v>85</v>
      </c>
      <c r="F5" t="s">
        <v>209</v>
      </c>
    </row>
    <row r="6" spans="1:22">
      <c r="A6" t="s">
        <v>42</v>
      </c>
      <c r="C6" t="s">
        <v>224</v>
      </c>
    </row>
    <row r="7" spans="1:22">
      <c r="A7" t="s">
        <v>87</v>
      </c>
      <c r="C7" t="s">
        <v>112</v>
      </c>
    </row>
    <row r="8" spans="1:22">
      <c r="A8" t="s">
        <v>89</v>
      </c>
      <c r="C8" t="s">
        <v>90</v>
      </c>
    </row>
    <row r="9" spans="1:22">
      <c r="A9" t="s">
        <v>91</v>
      </c>
      <c r="C9" t="s">
        <v>354</v>
      </c>
    </row>
    <row r="10" spans="1:22">
      <c r="C10" t="s">
        <v>245</v>
      </c>
    </row>
    <row r="11" spans="1:22">
      <c r="C11" s="35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</row>
    <row r="12" spans="1:22">
      <c r="C12" s="35"/>
      <c r="D12" s="225" t="s">
        <v>59</v>
      </c>
      <c r="E12" s="225"/>
      <c r="F12" s="228" t="s">
        <v>92</v>
      </c>
      <c r="G12" s="228" t="s">
        <v>93</v>
      </c>
    </row>
    <row r="13" spans="1:22">
      <c r="C13" s="35"/>
      <c r="D13" s="225" t="str">
        <f>TRIM(MID(C5,2,20))</f>
        <v>P.24.05.52.1.04</v>
      </c>
      <c r="E13" s="225"/>
      <c r="F13" s="228"/>
      <c r="G13" s="228"/>
    </row>
    <row r="14" spans="1:22">
      <c r="C14" s="35"/>
      <c r="D14" s="225" t="str">
        <f>TRIM(MID(C6,2,100))</f>
        <v>Teori Ekonomi</v>
      </c>
      <c r="E14" s="225"/>
      <c r="F14" s="228"/>
      <c r="G14" s="228"/>
    </row>
    <row r="15" spans="1:22">
      <c r="C15" s="35"/>
      <c r="D15" s="140" t="s">
        <v>145</v>
      </c>
      <c r="E15" s="140" t="s">
        <v>145</v>
      </c>
      <c r="F15" s="228"/>
      <c r="G15" s="228"/>
    </row>
    <row r="16" spans="1:22">
      <c r="C16" s="35"/>
      <c r="D16" s="140" t="s">
        <v>228</v>
      </c>
      <c r="E16" s="140" t="s">
        <v>229</v>
      </c>
      <c r="F16" s="228"/>
      <c r="G16" s="228"/>
    </row>
    <row r="17" spans="1:7">
      <c r="C17" s="35"/>
      <c r="D17" s="140">
        <v>50</v>
      </c>
      <c r="E17" s="140">
        <v>50</v>
      </c>
      <c r="F17" s="228"/>
      <c r="G17" s="228"/>
    </row>
    <row r="18" spans="1:7">
      <c r="A18" s="1" t="s">
        <v>0</v>
      </c>
      <c r="B18" s="1" t="s">
        <v>1</v>
      </c>
      <c r="C18" s="1" t="s">
        <v>2</v>
      </c>
      <c r="D18" s="1"/>
      <c r="E18" s="1"/>
      <c r="F18" s="1"/>
      <c r="G18" s="1"/>
    </row>
    <row r="19" spans="1:7">
      <c r="A19" s="118">
        <v>1</v>
      </c>
      <c r="B19" s="4" t="s">
        <v>280</v>
      </c>
      <c r="C19" s="4" t="s">
        <v>281</v>
      </c>
      <c r="D19" s="38">
        <v>79</v>
      </c>
      <c r="E19" s="38">
        <v>79</v>
      </c>
      <c r="F19" s="38">
        <f>IFERROR((D19*($D$17/100))+(E19*($E$17/100)),"")</f>
        <v>79</v>
      </c>
      <c r="G19" s="38" t="str">
        <f>IFERROR(VLOOKUP(F21,[4]Sheet1!$AA$1:$AB$10,2),"")</f>
        <v>A-</v>
      </c>
    </row>
    <row r="20" spans="1:7">
      <c r="A20" s="118">
        <v>2</v>
      </c>
      <c r="B20" s="4" t="s">
        <v>282</v>
      </c>
      <c r="C20" s="4" t="s">
        <v>283</v>
      </c>
      <c r="D20" s="38">
        <v>79</v>
      </c>
      <c r="E20" s="38">
        <v>82.5</v>
      </c>
      <c r="F20" s="38">
        <f>IFERROR((D20*($D$17/100))+(E20*($E$17/100)),"")</f>
        <v>80.75</v>
      </c>
      <c r="G20" s="38" t="str">
        <f>IFERROR(VLOOKUP(F20,[4]Sheet1!$AA$1:$AB$10,2),"")</f>
        <v>B+</v>
      </c>
    </row>
    <row r="21" spans="1:7">
      <c r="A21" s="118">
        <v>3</v>
      </c>
      <c r="B21" s="4" t="s">
        <v>284</v>
      </c>
      <c r="C21" s="4" t="s">
        <v>285</v>
      </c>
      <c r="D21" s="38">
        <v>89.5</v>
      </c>
      <c r="E21" s="38">
        <v>89.5</v>
      </c>
      <c r="F21" s="38">
        <f t="shared" ref="F21:F55" si="0">IFERROR((D21*($D$17/100))+(E21*($E$17/100)),"")</f>
        <v>89.5</v>
      </c>
      <c r="G21" s="38" t="str">
        <f>IFERROR(VLOOKUP(F21,[4]Sheet1!$AA$1:$AB$10,2),"")</f>
        <v>A-</v>
      </c>
    </row>
    <row r="22" spans="1:7">
      <c r="A22" s="118">
        <v>4</v>
      </c>
      <c r="B22" s="4" t="s">
        <v>286</v>
      </c>
      <c r="C22" s="4" t="s">
        <v>287</v>
      </c>
      <c r="D22" s="38">
        <v>79</v>
      </c>
      <c r="E22" s="38">
        <v>30</v>
      </c>
      <c r="F22" s="38">
        <f t="shared" si="0"/>
        <v>54.5</v>
      </c>
      <c r="G22" s="38" t="str">
        <f>IFERROR(VLOOKUP(F22,[4]Sheet1!$AA$1:$AB$10,2),"")</f>
        <v>C-</v>
      </c>
    </row>
    <row r="23" spans="1:7">
      <c r="A23" s="118">
        <v>5</v>
      </c>
      <c r="B23" s="4" t="s">
        <v>288</v>
      </c>
      <c r="C23" s="4" t="s">
        <v>289</v>
      </c>
      <c r="D23" s="38">
        <v>79</v>
      </c>
      <c r="E23" s="38">
        <v>72</v>
      </c>
      <c r="F23" s="38">
        <f t="shared" si="0"/>
        <v>75.5</v>
      </c>
      <c r="G23" s="38" t="str">
        <f>IFERROR(VLOOKUP(F23,[4]Sheet1!$AA$1:$AB$10,2),"")</f>
        <v>B+</v>
      </c>
    </row>
    <row r="24" spans="1:7">
      <c r="A24" s="118">
        <v>6</v>
      </c>
      <c r="B24" s="4" t="s">
        <v>290</v>
      </c>
      <c r="C24" s="4" t="s">
        <v>291</v>
      </c>
      <c r="D24" s="38">
        <v>79</v>
      </c>
      <c r="E24" s="38">
        <v>82.5</v>
      </c>
      <c r="F24" s="38">
        <f t="shared" si="0"/>
        <v>80.75</v>
      </c>
      <c r="G24" s="38" t="str">
        <f>IFERROR(VLOOKUP(F24,[4]Sheet1!$AA$1:$AB$10,2),"")</f>
        <v>B+</v>
      </c>
    </row>
    <row r="25" spans="1:7">
      <c r="A25" s="118">
        <v>7</v>
      </c>
      <c r="B25" s="4" t="s">
        <v>292</v>
      </c>
      <c r="C25" s="4" t="s">
        <v>293</v>
      </c>
      <c r="D25" s="38">
        <v>89.5</v>
      </c>
      <c r="E25" s="38">
        <v>89.5</v>
      </c>
      <c r="F25" s="38">
        <f t="shared" si="0"/>
        <v>89.5</v>
      </c>
      <c r="G25" s="38" t="str">
        <f>IFERROR(VLOOKUP(F25,[4]Sheet1!$AA$1:$AB$10,2),"")</f>
        <v>A-</v>
      </c>
    </row>
    <row r="26" spans="1:7">
      <c r="A26" s="118">
        <v>8</v>
      </c>
      <c r="B26" s="4" t="s">
        <v>294</v>
      </c>
      <c r="C26" s="4" t="s">
        <v>295</v>
      </c>
      <c r="D26" s="38">
        <v>79</v>
      </c>
      <c r="E26" s="38">
        <v>79</v>
      </c>
      <c r="F26" s="38">
        <f t="shared" si="0"/>
        <v>79</v>
      </c>
      <c r="G26" s="38" t="str">
        <f>IFERROR(VLOOKUP(F26,[4]Sheet1!$AA$1:$AB$10,2),"")</f>
        <v>B+</v>
      </c>
    </row>
    <row r="27" spans="1:7">
      <c r="A27" s="118">
        <v>9</v>
      </c>
      <c r="B27" s="4" t="s">
        <v>296</v>
      </c>
      <c r="C27" s="4" t="s">
        <v>297</v>
      </c>
      <c r="D27" s="38">
        <v>89.5</v>
      </c>
      <c r="E27" s="38">
        <v>89.5</v>
      </c>
      <c r="F27" s="38">
        <f t="shared" si="0"/>
        <v>89.5</v>
      </c>
      <c r="G27" s="38" t="str">
        <f>IFERROR(VLOOKUP(F27,[4]Sheet1!$AA$1:$AB$10,2),"")</f>
        <v>A-</v>
      </c>
    </row>
    <row r="28" spans="1:7">
      <c r="A28" s="118">
        <v>10</v>
      </c>
      <c r="B28" s="4" t="s">
        <v>298</v>
      </c>
      <c r="C28" s="4" t="s">
        <v>299</v>
      </c>
      <c r="D28" s="38">
        <v>89.5</v>
      </c>
      <c r="E28" s="38">
        <v>89.5</v>
      </c>
      <c r="F28" s="38">
        <f t="shared" si="0"/>
        <v>89.5</v>
      </c>
      <c r="G28" s="38" t="str">
        <f>IFERROR(VLOOKUP(F28,[4]Sheet1!$AA$1:$AB$10,2),"")</f>
        <v>A-</v>
      </c>
    </row>
    <row r="29" spans="1:7">
      <c r="A29" s="118">
        <v>11</v>
      </c>
      <c r="B29" s="4" t="s">
        <v>300</v>
      </c>
      <c r="C29" s="4" t="s">
        <v>301</v>
      </c>
      <c r="D29" s="38">
        <v>89.5</v>
      </c>
      <c r="E29" s="38">
        <v>89.5</v>
      </c>
      <c r="F29" s="38">
        <f t="shared" si="0"/>
        <v>89.5</v>
      </c>
      <c r="G29" s="38" t="str">
        <f>IFERROR(VLOOKUP(F29,[4]Sheet1!$AA$1:$AB$10,2),"")</f>
        <v>A-</v>
      </c>
    </row>
    <row r="30" spans="1:7">
      <c r="A30" s="118">
        <v>12</v>
      </c>
      <c r="B30" s="4" t="s">
        <v>302</v>
      </c>
      <c r="C30" s="4" t="s">
        <v>303</v>
      </c>
      <c r="D30" s="38">
        <v>89.5</v>
      </c>
      <c r="E30" s="38">
        <v>89.5</v>
      </c>
      <c r="F30" s="38">
        <f t="shared" si="0"/>
        <v>89.5</v>
      </c>
      <c r="G30" s="38" t="str">
        <f>IFERROR(VLOOKUP(F30,[4]Sheet1!$AA$1:$AB$10,2),"")</f>
        <v>A-</v>
      </c>
    </row>
    <row r="31" spans="1:7">
      <c r="A31" s="118">
        <v>13</v>
      </c>
      <c r="B31" s="4" t="s">
        <v>304</v>
      </c>
      <c r="C31" s="4" t="s">
        <v>305</v>
      </c>
      <c r="D31" s="38">
        <v>89.5</v>
      </c>
      <c r="E31" s="38">
        <v>89.5</v>
      </c>
      <c r="F31" s="38">
        <f t="shared" si="0"/>
        <v>89.5</v>
      </c>
      <c r="G31" s="38" t="str">
        <f>IFERROR(VLOOKUP(F31,[4]Sheet1!$AA$1:$AB$10,2),"")</f>
        <v>A-</v>
      </c>
    </row>
    <row r="32" spans="1:7">
      <c r="A32" s="118">
        <v>14</v>
      </c>
      <c r="B32" s="4" t="s">
        <v>306</v>
      </c>
      <c r="C32" s="4" t="s">
        <v>307</v>
      </c>
      <c r="D32" s="38">
        <v>79</v>
      </c>
      <c r="E32" s="38">
        <v>75.5</v>
      </c>
      <c r="F32" s="38">
        <f t="shared" si="0"/>
        <v>77.25</v>
      </c>
      <c r="G32" s="38" t="str">
        <f>IFERROR(VLOOKUP(F32,[4]Sheet1!$AA$1:$AB$10,2),"")</f>
        <v>B+</v>
      </c>
    </row>
    <row r="33" spans="1:7">
      <c r="A33" s="118">
        <v>15</v>
      </c>
      <c r="B33" s="4" t="s">
        <v>308</v>
      </c>
      <c r="C33" s="4" t="s">
        <v>309</v>
      </c>
      <c r="D33" s="38">
        <v>79</v>
      </c>
      <c r="E33" s="38">
        <v>79</v>
      </c>
      <c r="F33" s="38">
        <f t="shared" si="0"/>
        <v>79</v>
      </c>
      <c r="G33" s="38" t="str">
        <f>IFERROR(VLOOKUP(F33,[4]Sheet1!$AA$1:$AB$10,2),"")</f>
        <v>B+</v>
      </c>
    </row>
    <row r="34" spans="1:7">
      <c r="A34" s="118">
        <v>16</v>
      </c>
      <c r="B34" s="4" t="s">
        <v>310</v>
      </c>
      <c r="C34" s="4" t="s">
        <v>311</v>
      </c>
      <c r="D34" s="38">
        <v>89.5</v>
      </c>
      <c r="E34" s="38">
        <v>89.5</v>
      </c>
      <c r="F34" s="38">
        <f t="shared" si="0"/>
        <v>89.5</v>
      </c>
      <c r="G34" s="38" t="str">
        <f>IFERROR(VLOOKUP(F34,[4]Sheet1!$AA$1:$AB$10,2),"")</f>
        <v>A-</v>
      </c>
    </row>
    <row r="35" spans="1:7">
      <c r="A35" s="118">
        <v>17</v>
      </c>
      <c r="B35" s="4" t="s">
        <v>312</v>
      </c>
      <c r="C35" s="4" t="s">
        <v>313</v>
      </c>
      <c r="D35" s="38">
        <v>79</v>
      </c>
      <c r="E35" s="38">
        <v>79</v>
      </c>
      <c r="F35" s="38">
        <f t="shared" si="0"/>
        <v>79</v>
      </c>
      <c r="G35" s="38" t="str">
        <f>IFERROR(VLOOKUP(F35,[4]Sheet1!$AA$1:$AB$10,2),"")</f>
        <v>B+</v>
      </c>
    </row>
    <row r="36" spans="1:7">
      <c r="A36" s="118">
        <v>18</v>
      </c>
      <c r="B36" s="4" t="s">
        <v>314</v>
      </c>
      <c r="C36" s="4" t="s">
        <v>315</v>
      </c>
      <c r="D36" s="38">
        <v>89.5</v>
      </c>
      <c r="E36" s="38">
        <v>89.5</v>
      </c>
      <c r="F36" s="38">
        <f t="shared" si="0"/>
        <v>89.5</v>
      </c>
      <c r="G36" s="38" t="str">
        <f>IFERROR(VLOOKUP(F36,[4]Sheet1!$AA$1:$AB$10,2),"")</f>
        <v>A-</v>
      </c>
    </row>
    <row r="37" spans="1:7">
      <c r="A37" s="118">
        <v>19</v>
      </c>
      <c r="B37" s="4" t="s">
        <v>316</v>
      </c>
      <c r="C37" s="4" t="s">
        <v>317</v>
      </c>
      <c r="D37" s="38">
        <v>79</v>
      </c>
      <c r="E37" s="38">
        <v>82.5</v>
      </c>
      <c r="F37" s="38">
        <f t="shared" si="0"/>
        <v>80.75</v>
      </c>
      <c r="G37" s="38" t="str">
        <f>IFERROR(VLOOKUP(F37,[4]Sheet1!$AA$1:$AB$10,2),"")</f>
        <v>B+</v>
      </c>
    </row>
    <row r="38" spans="1:7">
      <c r="A38" s="118">
        <v>20</v>
      </c>
      <c r="B38" s="4" t="s">
        <v>318</v>
      </c>
      <c r="C38" s="4" t="s">
        <v>319</v>
      </c>
      <c r="D38" s="38">
        <v>89.5</v>
      </c>
      <c r="E38" s="38">
        <v>89.5</v>
      </c>
      <c r="F38" s="38">
        <f t="shared" si="0"/>
        <v>89.5</v>
      </c>
      <c r="G38" s="38" t="str">
        <f>IFERROR(VLOOKUP(F38,[4]Sheet1!$AA$1:$AB$10,2),"")</f>
        <v>A-</v>
      </c>
    </row>
    <row r="39" spans="1:7">
      <c r="A39" s="118">
        <v>21</v>
      </c>
      <c r="B39" s="4" t="s">
        <v>320</v>
      </c>
      <c r="C39" s="4" t="s">
        <v>321</v>
      </c>
      <c r="D39" s="38">
        <v>82.5</v>
      </c>
      <c r="E39" s="38">
        <v>89.5</v>
      </c>
      <c r="F39" s="38">
        <f t="shared" si="0"/>
        <v>86</v>
      </c>
      <c r="G39" s="38" t="str">
        <f>IFERROR(VLOOKUP(F39,[4]Sheet1!$AA$1:$AB$10,2),"")</f>
        <v>A-</v>
      </c>
    </row>
    <row r="40" spans="1:7">
      <c r="A40" s="118">
        <v>22</v>
      </c>
      <c r="B40" s="4" t="s">
        <v>322</v>
      </c>
      <c r="C40" s="4" t="s">
        <v>323</v>
      </c>
      <c r="D40" s="38">
        <v>89.5</v>
      </c>
      <c r="E40" s="38">
        <v>89.5</v>
      </c>
      <c r="F40" s="38">
        <f t="shared" si="0"/>
        <v>89.5</v>
      </c>
      <c r="G40" s="38" t="str">
        <f>IFERROR(VLOOKUP(F40,[4]Sheet1!$AA$1:$AB$10,2),"")</f>
        <v>A-</v>
      </c>
    </row>
    <row r="41" spans="1:7">
      <c r="A41" s="118">
        <v>23</v>
      </c>
      <c r="B41" s="4" t="s">
        <v>324</v>
      </c>
      <c r="C41" s="4" t="s">
        <v>325</v>
      </c>
      <c r="D41" s="38">
        <v>89.5</v>
      </c>
      <c r="E41" s="38">
        <v>89.5</v>
      </c>
      <c r="F41" s="38">
        <f t="shared" si="0"/>
        <v>89.5</v>
      </c>
      <c r="G41" s="38" t="str">
        <f>IFERROR(VLOOKUP(F41,[4]Sheet1!$AA$1:$AB$10,2),"")</f>
        <v>A-</v>
      </c>
    </row>
    <row r="42" spans="1:7">
      <c r="A42" s="118">
        <v>24</v>
      </c>
      <c r="B42" s="4" t="s">
        <v>326</v>
      </c>
      <c r="C42" s="4" t="s">
        <v>327</v>
      </c>
      <c r="D42" s="38">
        <v>75.900000000000006</v>
      </c>
      <c r="E42" s="38">
        <v>75.900000000000006</v>
      </c>
      <c r="F42" s="38">
        <f t="shared" si="0"/>
        <v>75.900000000000006</v>
      </c>
      <c r="G42" s="38" t="str">
        <f>IFERROR(VLOOKUP(F42,[4]Sheet1!$AA$1:$AB$10,2),"")</f>
        <v>B+</v>
      </c>
    </row>
    <row r="43" spans="1:7">
      <c r="A43" s="118">
        <v>25</v>
      </c>
      <c r="B43" s="4" t="s">
        <v>328</v>
      </c>
      <c r="C43" s="4" t="s">
        <v>329</v>
      </c>
      <c r="D43" s="38">
        <v>86.4</v>
      </c>
      <c r="E43" s="38">
        <v>86.4</v>
      </c>
      <c r="F43" s="38">
        <f t="shared" si="0"/>
        <v>86.4</v>
      </c>
      <c r="G43" s="38" t="str">
        <f>IFERROR(VLOOKUP(F43,[4]Sheet1!$AA$1:$AB$10,2),"")</f>
        <v>A-</v>
      </c>
    </row>
    <row r="44" spans="1:7">
      <c r="A44" s="118">
        <v>26</v>
      </c>
      <c r="B44" s="4" t="s">
        <v>330</v>
      </c>
      <c r="C44" s="4" t="s">
        <v>331</v>
      </c>
      <c r="D44" s="38">
        <v>46</v>
      </c>
      <c r="E44" s="38">
        <v>59</v>
      </c>
      <c r="F44" s="38">
        <f t="shared" si="0"/>
        <v>52.5</v>
      </c>
      <c r="G44" s="38" t="str">
        <f>IFERROR(VLOOKUP(F44,[4]Sheet1!$AA$1:$AB$10,2),"")</f>
        <v>C-</v>
      </c>
    </row>
    <row r="45" spans="1:7">
      <c r="A45" s="118">
        <v>27</v>
      </c>
      <c r="B45" s="4" t="s">
        <v>332</v>
      </c>
      <c r="C45" s="4" t="s">
        <v>333</v>
      </c>
      <c r="D45" s="38">
        <v>81</v>
      </c>
      <c r="E45" s="38">
        <v>88</v>
      </c>
      <c r="F45" s="38">
        <f t="shared" si="0"/>
        <v>84.5</v>
      </c>
      <c r="G45" s="38" t="str">
        <f>IFERROR(VLOOKUP(F45,[4]Sheet1!$AA$1:$AB$10,2),"")</f>
        <v>A-</v>
      </c>
    </row>
    <row r="46" spans="1:7">
      <c r="A46" s="118">
        <v>28</v>
      </c>
      <c r="B46" s="4" t="s">
        <v>334</v>
      </c>
      <c r="C46" s="4" t="s">
        <v>335</v>
      </c>
      <c r="D46" s="38">
        <v>73</v>
      </c>
      <c r="E46" s="38">
        <v>82</v>
      </c>
      <c r="F46" s="38">
        <f t="shared" si="0"/>
        <v>77.5</v>
      </c>
      <c r="G46" s="38" t="str">
        <f>IFERROR(VLOOKUP(F46,[4]Sheet1!$AA$1:$AB$10,2),"")</f>
        <v>B+</v>
      </c>
    </row>
    <row r="47" spans="1:7">
      <c r="A47" s="118">
        <v>29</v>
      </c>
      <c r="B47" s="4" t="s">
        <v>336</v>
      </c>
      <c r="C47" s="4" t="s">
        <v>337</v>
      </c>
      <c r="D47" s="38">
        <v>81</v>
      </c>
      <c r="E47" s="38">
        <v>88</v>
      </c>
      <c r="F47" s="38">
        <f t="shared" si="0"/>
        <v>84.5</v>
      </c>
      <c r="G47" s="38" t="str">
        <f>IFERROR(VLOOKUP(F47,[4]Sheet1!$AA$1:$AB$10,2),"")</f>
        <v>A-</v>
      </c>
    </row>
    <row r="48" spans="1:7">
      <c r="A48" s="118">
        <v>30</v>
      </c>
      <c r="B48" s="4" t="s">
        <v>338</v>
      </c>
      <c r="C48" s="4" t="s">
        <v>339</v>
      </c>
      <c r="D48" s="38">
        <v>81</v>
      </c>
      <c r="E48" s="38">
        <v>87</v>
      </c>
      <c r="F48" s="38">
        <f t="shared" si="0"/>
        <v>84</v>
      </c>
      <c r="G48" s="38" t="str">
        <f>IFERROR(VLOOKUP(F48,[4]Sheet1!$AA$1:$AB$10,2),"")</f>
        <v>B+</v>
      </c>
    </row>
    <row r="49" spans="1:7">
      <c r="A49" s="118">
        <v>31</v>
      </c>
      <c r="B49" s="4" t="s">
        <v>340</v>
      </c>
      <c r="C49" s="4" t="s">
        <v>341</v>
      </c>
      <c r="D49" s="38">
        <v>74</v>
      </c>
      <c r="E49" s="38">
        <v>80</v>
      </c>
      <c r="F49" s="38">
        <f t="shared" si="0"/>
        <v>77</v>
      </c>
      <c r="G49" s="38" t="str">
        <f>IFERROR(VLOOKUP(F49,[4]Sheet1!$AA$1:$AB$10,2),"")</f>
        <v>B+</v>
      </c>
    </row>
    <row r="50" spans="1:7">
      <c r="A50" s="118">
        <v>32</v>
      </c>
      <c r="B50" s="4" t="s">
        <v>342</v>
      </c>
      <c r="C50" s="4" t="s">
        <v>343</v>
      </c>
      <c r="D50" s="38">
        <v>81</v>
      </c>
      <c r="E50" s="38">
        <v>88</v>
      </c>
      <c r="F50" s="38">
        <f t="shared" si="0"/>
        <v>84.5</v>
      </c>
      <c r="G50" s="38" t="str">
        <f>IFERROR(VLOOKUP(F50,[4]Sheet1!$AA$1:$AB$10,2),"")</f>
        <v>A-</v>
      </c>
    </row>
    <row r="51" spans="1:7">
      <c r="A51" s="118">
        <v>33</v>
      </c>
      <c r="B51" s="4" t="s">
        <v>344</v>
      </c>
      <c r="C51" s="4" t="s">
        <v>345</v>
      </c>
      <c r="D51" s="38">
        <v>73</v>
      </c>
      <c r="E51" s="38">
        <v>82</v>
      </c>
      <c r="F51" s="38">
        <f t="shared" si="0"/>
        <v>77.5</v>
      </c>
      <c r="G51" s="38" t="str">
        <f>IFERROR(VLOOKUP(F51,[4]Sheet1!$AA$1:$AB$10,2),"")</f>
        <v>B+</v>
      </c>
    </row>
    <row r="52" spans="1:7">
      <c r="A52" s="118">
        <v>34</v>
      </c>
      <c r="B52" s="4" t="s">
        <v>346</v>
      </c>
      <c r="C52" s="4" t="s">
        <v>347</v>
      </c>
      <c r="D52" s="38">
        <v>81</v>
      </c>
      <c r="E52" s="38">
        <v>89</v>
      </c>
      <c r="F52" s="38">
        <f t="shared" si="0"/>
        <v>85</v>
      </c>
      <c r="G52" s="38" t="str">
        <f>IFERROR(VLOOKUP(F52,[4]Sheet1!$AA$1:$AB$10,2),"")</f>
        <v>A-</v>
      </c>
    </row>
    <row r="53" spans="1:7">
      <c r="A53" s="118">
        <v>35</v>
      </c>
      <c r="B53" s="4" t="s">
        <v>348</v>
      </c>
      <c r="C53" s="4" t="s">
        <v>349</v>
      </c>
      <c r="D53" s="38">
        <v>80</v>
      </c>
      <c r="E53" s="38">
        <v>89</v>
      </c>
      <c r="F53" s="38">
        <f t="shared" si="0"/>
        <v>84.5</v>
      </c>
      <c r="G53" s="38" t="str">
        <f>IFERROR(VLOOKUP(F53,[4]Sheet1!$AA$1:$AB$10,2),"")</f>
        <v>A-</v>
      </c>
    </row>
    <row r="54" spans="1:7">
      <c r="A54" s="118">
        <v>36</v>
      </c>
      <c r="B54" s="4" t="s">
        <v>350</v>
      </c>
      <c r="C54" s="4" t="s">
        <v>351</v>
      </c>
      <c r="D54" s="38">
        <v>74</v>
      </c>
      <c r="E54" s="38">
        <v>81</v>
      </c>
      <c r="F54" s="38">
        <f t="shared" si="0"/>
        <v>77.5</v>
      </c>
      <c r="G54" s="38" t="str">
        <f>IFERROR(VLOOKUP(F54,[4]Sheet1!$AA$1:$AB$10,2),"")</f>
        <v>B+</v>
      </c>
    </row>
    <row r="55" spans="1:7">
      <c r="A55" s="118">
        <v>37</v>
      </c>
      <c r="B55" s="4" t="s">
        <v>352</v>
      </c>
      <c r="C55" s="4" t="s">
        <v>353</v>
      </c>
      <c r="D55" s="38">
        <v>80</v>
      </c>
      <c r="E55" s="38">
        <v>88</v>
      </c>
      <c r="F55" s="38">
        <f t="shared" si="0"/>
        <v>84</v>
      </c>
      <c r="G55" s="38" t="str">
        <f>IFERROR(VLOOKUP(F55,[4]Sheet1!$AA$1:$AB$10,2),"")</f>
        <v>B+</v>
      </c>
    </row>
    <row r="56" spans="1:7">
      <c r="C56" s="35"/>
      <c r="F56" s="36"/>
    </row>
    <row r="57" spans="1:7" ht="14.5" thickBot="1">
      <c r="C57" s="35"/>
      <c r="D57" s="36" t="str">
        <f t="shared" ref="D57:E57" si="1">D16</f>
        <v>CPMK55</v>
      </c>
      <c r="E57" s="36" t="str">
        <f t="shared" si="1"/>
        <v>CPMK56</v>
      </c>
      <c r="F57" s="36" t="str">
        <f>F12</f>
        <v>Nilai Akhir MK</v>
      </c>
    </row>
    <row r="58" spans="1:7" ht="14.5" thickBot="1">
      <c r="C58" s="39" t="s">
        <v>106</v>
      </c>
      <c r="D58" s="40">
        <f>IFERROR(COUNTIF(D19:D55,""),"")</f>
        <v>0</v>
      </c>
      <c r="E58" s="40">
        <f>IFERROR(COUNTIF(E19:E55,""),"")</f>
        <v>0</v>
      </c>
      <c r="F58" s="40">
        <f>IFERROR(COUNTIF(F19:F55,""),"")</f>
        <v>0</v>
      </c>
    </row>
    <row r="59" spans="1:7" ht="14.5" thickBot="1">
      <c r="C59" s="41" t="s">
        <v>98</v>
      </c>
      <c r="D59" s="42">
        <f>IFERROR(COUNTIF(D19:D55,C59)+COUNTIF(D19:D55,""),"")-D58</f>
        <v>1</v>
      </c>
      <c r="E59" s="42">
        <f>COUNTIF(E19:E55,C59)+COUNTIF(E19:E55,"")-E58</f>
        <v>2</v>
      </c>
      <c r="F59" s="42">
        <f>IFERROR(COUNTIF(F19:F55,C59)+COUNTIF(F19:F55,""),"")</f>
        <v>2</v>
      </c>
    </row>
    <row r="60" spans="1:7" ht="14.5" thickBot="1">
      <c r="C60" s="43" t="s">
        <v>99</v>
      </c>
      <c r="D60" s="44">
        <f>IFERROR(COUNTIF(D19:D55,C60)-D59,"")</f>
        <v>23</v>
      </c>
      <c r="E60" s="44">
        <f>COUNTIF(E19:E55,C60)-E59</f>
        <v>14</v>
      </c>
      <c r="F60" s="45">
        <f>IFERROR(COUNTIF(F19:F55,C60)-F59,"")</f>
        <v>20</v>
      </c>
    </row>
    <row r="61" spans="1:7" ht="14.5" thickBot="1">
      <c r="C61" s="46" t="s">
        <v>100</v>
      </c>
      <c r="D61" s="47">
        <f>COUNTIF(D19:D55,C61)</f>
        <v>13</v>
      </c>
      <c r="E61" s="47">
        <f>COUNTIF(E19:E55,C61)</f>
        <v>21</v>
      </c>
      <c r="F61" s="47">
        <f>IFERROR(COUNTIF(F19:F55,C61),"")</f>
        <v>15</v>
      </c>
    </row>
    <row r="62" spans="1:7" ht="14.5" thickBot="1">
      <c r="C62" s="48" t="s">
        <v>78</v>
      </c>
      <c r="D62" s="49">
        <f>SUM(D58:D61)</f>
        <v>37</v>
      </c>
      <c r="E62" s="49">
        <f t="shared" ref="E62:F62" si="2">SUM(E58:E61)</f>
        <v>37</v>
      </c>
      <c r="F62" s="49">
        <f t="shared" si="2"/>
        <v>37</v>
      </c>
    </row>
    <row r="63" spans="1:7" ht="14.5" thickBot="1">
      <c r="C63" s="50"/>
      <c r="F63" s="36"/>
    </row>
    <row r="64" spans="1:7" ht="14.5" thickBot="1">
      <c r="C64" s="51" t="s">
        <v>101</v>
      </c>
      <c r="D64" s="52">
        <f>(D60+D61)/(D62-D58)</f>
        <v>0.97297297297297303</v>
      </c>
      <c r="E64" s="52">
        <f>(E60+E61)/(E62-E58)</f>
        <v>0.94594594594594594</v>
      </c>
      <c r="F64" s="52">
        <f>(F60+F61)/(F62-F58)</f>
        <v>0.94594594594594594</v>
      </c>
    </row>
    <row r="65" spans="3:6" ht="14.5" thickBot="1">
      <c r="C65" s="50"/>
      <c r="F65" s="36"/>
    </row>
    <row r="66" spans="3:6" ht="14.5" thickBot="1">
      <c r="C66" s="51" t="s">
        <v>102</v>
      </c>
      <c r="D66" s="22">
        <f>MIN(D19:D55)</f>
        <v>46</v>
      </c>
      <c r="E66" s="22">
        <f>MIN(E19:E55)</f>
        <v>30</v>
      </c>
      <c r="F66" s="53">
        <f>IFERROR(MIN(F19:F55),"")</f>
        <v>52.5</v>
      </c>
    </row>
    <row r="67" spans="3:6" ht="14.5" thickBot="1">
      <c r="C67" s="51" t="s">
        <v>103</v>
      </c>
      <c r="D67" s="22">
        <f>MAX(D19:D55)</f>
        <v>89.5</v>
      </c>
      <c r="E67" s="22">
        <f>MAX(E19:E55)</f>
        <v>89.5</v>
      </c>
      <c r="F67" s="53">
        <f>IFERROR(MAX(F19:F55),"")</f>
        <v>89.5</v>
      </c>
    </row>
    <row r="68" spans="3:6" ht="14.5" thickBot="1">
      <c r="C68" s="51" t="s">
        <v>104</v>
      </c>
      <c r="D68" s="53">
        <f>AVERAGE(D19:D55)</f>
        <v>81.454054054054055</v>
      </c>
      <c r="E68" s="53">
        <f>AVERAGE(E19:E55)</f>
        <v>82.913513513513522</v>
      </c>
      <c r="F68" s="53">
        <f>IFERROR(AVERAGE(F19:F55),"")</f>
        <v>82.183783783783795</v>
      </c>
    </row>
  </sheetData>
  <mergeCells count="7">
    <mergeCell ref="A1:H1"/>
    <mergeCell ref="A2:H2"/>
    <mergeCell ref="D12:E12"/>
    <mergeCell ref="F12:F17"/>
    <mergeCell ref="G12:G17"/>
    <mergeCell ref="D13:E13"/>
    <mergeCell ref="D14:E14"/>
  </mergeCells>
  <printOptions horizontalCentered="1"/>
  <pageMargins left="0.19685039370078741" right="0.11811023622047245" top="0.19685039370078741" bottom="0.15748031496062992" header="0" footer="0"/>
  <pageSetup paperSize="9" scale="86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29A6C-959A-4D6B-A858-19FE8B001863}">
  <sheetPr>
    <pageSetUpPr fitToPage="1"/>
  </sheetPr>
  <dimension ref="A1:V68"/>
  <sheetViews>
    <sheetView view="pageBreakPreview" zoomScale="110" zoomScaleNormal="100" zoomScaleSheetLayoutView="110" workbookViewId="0">
      <selection activeCell="G48" sqref="G48:G51"/>
    </sheetView>
  </sheetViews>
  <sheetFormatPr defaultRowHeight="14"/>
  <cols>
    <col min="1" max="1" width="4" customWidth="1"/>
    <col min="2" max="2" width="12.83203125" customWidth="1"/>
    <col min="3" max="3" width="32.6640625" customWidth="1"/>
    <col min="4" max="4" width="13.08203125" customWidth="1"/>
    <col min="5" max="5" width="15.25" customWidth="1"/>
    <col min="6" max="6" width="12.6640625" customWidth="1"/>
    <col min="9" max="9" width="13" customWidth="1"/>
  </cols>
  <sheetData>
    <row r="1" spans="1:22" ht="18">
      <c r="A1" s="212" t="s">
        <v>79</v>
      </c>
      <c r="B1" s="212"/>
      <c r="C1" s="212"/>
      <c r="D1" s="212"/>
      <c r="E1" s="212"/>
      <c r="F1" s="212"/>
      <c r="G1" s="212"/>
      <c r="H1" s="212"/>
      <c r="I1" s="33"/>
    </row>
    <row r="2" spans="1:22" ht="18.5" thickBot="1">
      <c r="A2" s="213" t="s">
        <v>80</v>
      </c>
      <c r="B2" s="213"/>
      <c r="C2" s="213"/>
      <c r="D2" s="213"/>
      <c r="E2" s="213"/>
      <c r="F2" s="213"/>
      <c r="G2" s="213"/>
      <c r="H2" s="213"/>
      <c r="I2" s="33"/>
    </row>
    <row r="4" spans="1:22">
      <c r="A4" t="s">
        <v>81</v>
      </c>
      <c r="C4" t="s">
        <v>82</v>
      </c>
      <c r="E4" t="s">
        <v>83</v>
      </c>
      <c r="F4" t="s">
        <v>207</v>
      </c>
    </row>
    <row r="5" spans="1:22">
      <c r="A5" t="s">
        <v>41</v>
      </c>
      <c r="C5" s="34" t="s">
        <v>230</v>
      </c>
      <c r="E5" t="s">
        <v>85</v>
      </c>
      <c r="F5" t="s">
        <v>209</v>
      </c>
    </row>
    <row r="6" spans="1:22">
      <c r="A6" t="s">
        <v>42</v>
      </c>
      <c r="C6" t="s">
        <v>231</v>
      </c>
    </row>
    <row r="7" spans="1:22">
      <c r="A7" t="s">
        <v>87</v>
      </c>
      <c r="C7" t="s">
        <v>88</v>
      </c>
    </row>
    <row r="8" spans="1:22">
      <c r="A8" t="s">
        <v>89</v>
      </c>
      <c r="C8" t="s">
        <v>90</v>
      </c>
    </row>
    <row r="9" spans="1:22">
      <c r="A9" t="s">
        <v>91</v>
      </c>
      <c r="C9" t="s">
        <v>240</v>
      </c>
    </row>
    <row r="10" spans="1:22">
      <c r="C10" t="s">
        <v>241</v>
      </c>
    </row>
    <row r="11" spans="1:22">
      <c r="C11" s="35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</row>
    <row r="12" spans="1:22" ht="14.5">
      <c r="C12" s="171"/>
      <c r="D12" s="220" t="s">
        <v>62</v>
      </c>
      <c r="E12" s="221"/>
      <c r="F12" s="222" t="s">
        <v>92</v>
      </c>
      <c r="G12" s="222" t="s">
        <v>93</v>
      </c>
    </row>
    <row r="13" spans="1:22" ht="14.5">
      <c r="C13" s="171"/>
      <c r="D13" s="225" t="str">
        <f>TRIM(MID(C5,2,20))</f>
        <v>P.24.05.52.1.05</v>
      </c>
      <c r="E13" s="225"/>
      <c r="F13" s="223"/>
      <c r="G13" s="223"/>
    </row>
    <row r="14" spans="1:22">
      <c r="C14" s="35"/>
      <c r="D14" s="226" t="str">
        <f>TRIM(MID(C6,2,100))</f>
        <v>Hukum Bisnis dan Perikatan</v>
      </c>
      <c r="E14" s="227"/>
      <c r="F14" s="223"/>
      <c r="G14" s="223"/>
    </row>
    <row r="15" spans="1:22">
      <c r="C15" s="35"/>
      <c r="D15" s="37" t="s">
        <v>149</v>
      </c>
      <c r="E15" s="37" t="s">
        <v>149</v>
      </c>
      <c r="F15" s="223"/>
      <c r="G15" s="223"/>
    </row>
    <row r="16" spans="1:22">
      <c r="C16" s="35"/>
      <c r="D16" s="37" t="s">
        <v>232</v>
      </c>
      <c r="E16" s="37" t="s">
        <v>233</v>
      </c>
      <c r="F16" s="223"/>
      <c r="G16" s="223"/>
    </row>
    <row r="17" spans="1:7">
      <c r="C17" s="35"/>
      <c r="D17" s="37">
        <v>50</v>
      </c>
      <c r="E17" s="37">
        <v>50</v>
      </c>
      <c r="F17" s="224"/>
      <c r="G17" s="224"/>
    </row>
    <row r="18" spans="1:7">
      <c r="A18" s="1" t="s">
        <v>0</v>
      </c>
      <c r="B18" s="1" t="s">
        <v>1</v>
      </c>
      <c r="C18" s="1" t="s">
        <v>2</v>
      </c>
      <c r="D18" s="1"/>
      <c r="E18" s="1"/>
      <c r="F18" s="1"/>
      <c r="G18" s="1"/>
    </row>
    <row r="19" spans="1:7">
      <c r="A19" s="118">
        <v>1</v>
      </c>
      <c r="B19" s="4" t="s">
        <v>280</v>
      </c>
      <c r="C19" s="4" t="s">
        <v>281</v>
      </c>
      <c r="D19" s="38">
        <v>81.900000000000006</v>
      </c>
      <c r="E19" s="38">
        <v>92.4</v>
      </c>
      <c r="F19" s="38">
        <f>IFERROR((D20*($D$17/100))+(E20*($E$17/100)),"")</f>
        <v>67.2</v>
      </c>
      <c r="G19" s="38" t="str">
        <f>IFERROR(VLOOKUP(F21,[4]Sheet1!$AA$1:$AB$10,2),"")</f>
        <v>B</v>
      </c>
    </row>
    <row r="20" spans="1:7">
      <c r="A20" s="118">
        <v>2</v>
      </c>
      <c r="B20" s="4" t="s">
        <v>282</v>
      </c>
      <c r="C20" s="4" t="s">
        <v>283</v>
      </c>
      <c r="D20" s="38">
        <v>66.5</v>
      </c>
      <c r="E20" s="38">
        <v>67.900000000000006</v>
      </c>
      <c r="F20" s="38">
        <f>IFERROR((D20*($D$17/100))+(E20*($E$17/100)),"")</f>
        <v>67.2</v>
      </c>
      <c r="G20" s="38" t="str">
        <f>IFERROR(VLOOKUP(F20,[5]Sheet1!$AA$1:$AB$10,2),"")</f>
        <v>B-</v>
      </c>
    </row>
    <row r="21" spans="1:7">
      <c r="A21" s="118">
        <v>3</v>
      </c>
      <c r="B21" s="4" t="s">
        <v>284</v>
      </c>
      <c r="C21" s="4" t="s">
        <v>285</v>
      </c>
      <c r="D21" s="38">
        <v>72.099999999999994</v>
      </c>
      <c r="E21" s="38">
        <v>74.2</v>
      </c>
      <c r="F21" s="38">
        <f t="shared" ref="F21:F55" si="0">IFERROR((D21*($D$17/100))+(E21*($E$17/100)),"")</f>
        <v>73.150000000000006</v>
      </c>
      <c r="G21" s="38" t="str">
        <f>IFERROR(VLOOKUP(F21,[5]Sheet1!$AA$1:$AB$10,2),"")</f>
        <v>B</v>
      </c>
    </row>
    <row r="22" spans="1:7">
      <c r="A22" s="118">
        <v>4</v>
      </c>
      <c r="B22" s="4" t="s">
        <v>286</v>
      </c>
      <c r="C22" s="4" t="s">
        <v>287</v>
      </c>
      <c r="D22" s="38">
        <v>22.5</v>
      </c>
      <c r="E22" s="38">
        <v>22.5</v>
      </c>
      <c r="F22" s="38">
        <f t="shared" si="0"/>
        <v>22.5</v>
      </c>
      <c r="G22" s="38" t="str">
        <f>IFERROR(VLOOKUP(F22,[5]Sheet1!$AA$1:$AB$10,2),"")</f>
        <v>E</v>
      </c>
    </row>
    <row r="23" spans="1:7">
      <c r="A23" s="118">
        <v>5</v>
      </c>
      <c r="B23" s="4" t="s">
        <v>288</v>
      </c>
      <c r="C23" s="4" t="s">
        <v>289</v>
      </c>
      <c r="D23" s="38">
        <v>67.3</v>
      </c>
      <c r="E23" s="38">
        <v>63.8</v>
      </c>
      <c r="F23" s="38">
        <f t="shared" si="0"/>
        <v>65.55</v>
      </c>
      <c r="G23" s="38" t="str">
        <f>IFERROR(VLOOKUP(F23,[5]Sheet1!$AA$1:$AB$10,2),"")</f>
        <v>B-</v>
      </c>
    </row>
    <row r="24" spans="1:7">
      <c r="A24" s="118">
        <v>6</v>
      </c>
      <c r="B24" s="4" t="s">
        <v>290</v>
      </c>
      <c r="C24" s="4" t="s">
        <v>291</v>
      </c>
      <c r="D24" s="38">
        <v>64.099999999999994</v>
      </c>
      <c r="E24" s="38">
        <v>71.8</v>
      </c>
      <c r="F24" s="38">
        <f t="shared" si="0"/>
        <v>67.949999999999989</v>
      </c>
      <c r="G24" s="38" t="str">
        <f>IFERROR(VLOOKUP(F24,[5]Sheet1!$AA$1:$AB$10,2),"")</f>
        <v>B-</v>
      </c>
    </row>
    <row r="25" spans="1:7">
      <c r="A25" s="118">
        <v>7</v>
      </c>
      <c r="B25" s="4" t="s">
        <v>292</v>
      </c>
      <c r="C25" s="4" t="s">
        <v>293</v>
      </c>
      <c r="D25" s="38">
        <v>78.400000000000006</v>
      </c>
      <c r="E25" s="38">
        <v>86.1</v>
      </c>
      <c r="F25" s="38">
        <f t="shared" si="0"/>
        <v>82.25</v>
      </c>
      <c r="G25" s="38" t="str">
        <f>IFERROR(VLOOKUP(F25,[5]Sheet1!$AA$1:$AB$10,2),"")</f>
        <v>B+</v>
      </c>
    </row>
    <row r="26" spans="1:7">
      <c r="A26" s="118">
        <v>8</v>
      </c>
      <c r="B26" s="4" t="s">
        <v>294</v>
      </c>
      <c r="C26" s="4" t="s">
        <v>295</v>
      </c>
      <c r="D26" s="38">
        <v>67.2</v>
      </c>
      <c r="E26" s="38">
        <v>67.900000000000006</v>
      </c>
      <c r="F26" s="38">
        <f t="shared" si="0"/>
        <v>67.550000000000011</v>
      </c>
      <c r="G26" s="38" t="str">
        <f>IFERROR(VLOOKUP(F26,[5]Sheet1!$AA$1:$AB$10,2),"")</f>
        <v>B-</v>
      </c>
    </row>
    <row r="27" spans="1:7">
      <c r="A27" s="118">
        <v>9</v>
      </c>
      <c r="B27" s="4" t="s">
        <v>296</v>
      </c>
      <c r="C27" s="4" t="s">
        <v>297</v>
      </c>
      <c r="D27" s="38">
        <v>64.400000000000006</v>
      </c>
      <c r="E27" s="38">
        <v>68.599999999999994</v>
      </c>
      <c r="F27" s="38">
        <f t="shared" si="0"/>
        <v>66.5</v>
      </c>
      <c r="G27" s="38" t="str">
        <f>IFERROR(VLOOKUP(F27,[5]Sheet1!$AA$1:$AB$10,2),"")</f>
        <v>B-</v>
      </c>
    </row>
    <row r="28" spans="1:7">
      <c r="A28" s="118">
        <v>10</v>
      </c>
      <c r="B28" s="4" t="s">
        <v>298</v>
      </c>
      <c r="C28" s="4" t="s">
        <v>299</v>
      </c>
      <c r="D28" s="38">
        <v>71.400000000000006</v>
      </c>
      <c r="E28" s="38">
        <v>71.400000000000006</v>
      </c>
      <c r="F28" s="38">
        <f t="shared" si="0"/>
        <v>71.400000000000006</v>
      </c>
      <c r="G28" s="38" t="str">
        <f>IFERROR(VLOOKUP(F28,[5]Sheet1!$AA$1:$AB$10,2),"")</f>
        <v>B</v>
      </c>
    </row>
    <row r="29" spans="1:7">
      <c r="A29" s="118">
        <v>11</v>
      </c>
      <c r="B29" s="4" t="s">
        <v>300</v>
      </c>
      <c r="C29" s="4" t="s">
        <v>301</v>
      </c>
      <c r="D29" s="38">
        <v>66.400000000000006</v>
      </c>
      <c r="E29" s="38">
        <v>67.900000000000006</v>
      </c>
      <c r="F29" s="38">
        <f t="shared" si="0"/>
        <v>67.150000000000006</v>
      </c>
      <c r="G29" s="38" t="str">
        <f>IFERROR(VLOOKUP(F29,[5]Sheet1!$AA$1:$AB$10,2),"")</f>
        <v>B-</v>
      </c>
    </row>
    <row r="30" spans="1:7">
      <c r="A30" s="118">
        <v>12</v>
      </c>
      <c r="B30" s="4" t="s">
        <v>302</v>
      </c>
      <c r="C30" s="4" t="s">
        <v>303</v>
      </c>
      <c r="D30" s="38">
        <v>71.3</v>
      </c>
      <c r="E30" s="38">
        <v>64.400000000000006</v>
      </c>
      <c r="F30" s="38">
        <f t="shared" si="0"/>
        <v>67.849999999999994</v>
      </c>
      <c r="G30" s="38" t="str">
        <f>IFERROR(VLOOKUP(F30,[5]Sheet1!$AA$1:$AB$10,2),"")</f>
        <v>B-</v>
      </c>
    </row>
    <row r="31" spans="1:7">
      <c r="A31" s="118">
        <v>13</v>
      </c>
      <c r="B31" s="4" t="s">
        <v>304</v>
      </c>
      <c r="C31" s="4" t="s">
        <v>305</v>
      </c>
      <c r="D31" s="38">
        <v>64.400000000000006</v>
      </c>
      <c r="E31" s="38">
        <v>70</v>
      </c>
      <c r="F31" s="38">
        <f t="shared" si="0"/>
        <v>67.2</v>
      </c>
      <c r="G31" s="38" t="str">
        <f>IFERROR(VLOOKUP(F31,[5]Sheet1!$AA$1:$AB$10,2),"")</f>
        <v>B-</v>
      </c>
    </row>
    <row r="32" spans="1:7">
      <c r="A32" s="118">
        <v>14</v>
      </c>
      <c r="B32" s="4" t="s">
        <v>306</v>
      </c>
      <c r="C32" s="4" t="s">
        <v>307</v>
      </c>
      <c r="D32" s="38">
        <v>64.400000000000006</v>
      </c>
      <c r="E32" s="38">
        <v>71.400000000000006</v>
      </c>
      <c r="F32" s="38">
        <f t="shared" si="0"/>
        <v>67.900000000000006</v>
      </c>
      <c r="G32" s="38" t="str">
        <f>IFERROR(VLOOKUP(F32,[5]Sheet1!$AA$1:$AB$10,2),"")</f>
        <v>B-</v>
      </c>
    </row>
    <row r="33" spans="1:7">
      <c r="A33" s="118">
        <v>15</v>
      </c>
      <c r="B33" s="4" t="s">
        <v>308</v>
      </c>
      <c r="C33" s="4" t="s">
        <v>309</v>
      </c>
      <c r="D33" s="38">
        <v>70</v>
      </c>
      <c r="E33" s="38">
        <v>64.400000000000006</v>
      </c>
      <c r="F33" s="38">
        <f t="shared" si="0"/>
        <v>67.2</v>
      </c>
      <c r="G33" s="38" t="str">
        <f>IFERROR(VLOOKUP(F33,[5]Sheet1!$AA$1:$AB$10,2),"")</f>
        <v>B-</v>
      </c>
    </row>
    <row r="34" spans="1:7">
      <c r="A34" s="118">
        <v>16</v>
      </c>
      <c r="B34" s="4" t="s">
        <v>310</v>
      </c>
      <c r="C34" s="4" t="s">
        <v>311</v>
      </c>
      <c r="D34" s="38">
        <v>68.599999999999994</v>
      </c>
      <c r="E34" s="38">
        <v>68.599999999999994</v>
      </c>
      <c r="F34" s="38">
        <f t="shared" si="0"/>
        <v>68.599999999999994</v>
      </c>
      <c r="G34" s="38" t="str">
        <f>IFERROR(VLOOKUP(F34,[5]Sheet1!$AA$1:$AB$10,2),"")</f>
        <v>B-</v>
      </c>
    </row>
    <row r="35" spans="1:7">
      <c r="A35" s="118">
        <v>17</v>
      </c>
      <c r="B35" s="4" t="s">
        <v>312</v>
      </c>
      <c r="C35" s="4" t="s">
        <v>313</v>
      </c>
      <c r="D35" s="38">
        <v>83.3</v>
      </c>
      <c r="E35" s="38">
        <v>80.5</v>
      </c>
      <c r="F35" s="38">
        <f t="shared" si="0"/>
        <v>81.900000000000006</v>
      </c>
      <c r="G35" s="38" t="str">
        <f>IFERROR(VLOOKUP(F35,[5]Sheet1!$AA$1:$AB$10,2),"")</f>
        <v>B+</v>
      </c>
    </row>
    <row r="36" spans="1:7">
      <c r="A36" s="118">
        <v>18</v>
      </c>
      <c r="B36" s="4" t="s">
        <v>314</v>
      </c>
      <c r="C36" s="4" t="s">
        <v>315</v>
      </c>
      <c r="D36" s="38">
        <v>71.400000000000006</v>
      </c>
      <c r="E36" s="38">
        <v>64.400000000000006</v>
      </c>
      <c r="F36" s="38">
        <f t="shared" si="0"/>
        <v>67.900000000000006</v>
      </c>
      <c r="G36" s="38" t="str">
        <f>IFERROR(VLOOKUP(F36,[5]Sheet1!$AA$1:$AB$10,2),"")</f>
        <v>B-</v>
      </c>
    </row>
    <row r="37" spans="1:7">
      <c r="A37" s="118">
        <v>19</v>
      </c>
      <c r="B37" s="4" t="s">
        <v>316</v>
      </c>
      <c r="C37" s="4" t="s">
        <v>317</v>
      </c>
      <c r="D37" s="38">
        <v>71.400000000000006</v>
      </c>
      <c r="E37" s="38">
        <v>67.8</v>
      </c>
      <c r="F37" s="38">
        <f t="shared" si="0"/>
        <v>69.599999999999994</v>
      </c>
      <c r="G37" s="38" t="str">
        <f>IFERROR(VLOOKUP(F37,[5]Sheet1!$AA$1:$AB$10,2),"")</f>
        <v>B-</v>
      </c>
    </row>
    <row r="38" spans="1:7">
      <c r="A38" s="118">
        <v>20</v>
      </c>
      <c r="B38" s="4" t="s">
        <v>318</v>
      </c>
      <c r="C38" s="4" t="s">
        <v>319</v>
      </c>
      <c r="D38" s="38">
        <v>71.400000000000006</v>
      </c>
      <c r="E38" s="38">
        <v>94.4</v>
      </c>
      <c r="F38" s="38">
        <f t="shared" si="0"/>
        <v>82.9</v>
      </c>
      <c r="G38" s="38" t="str">
        <f>IFERROR(VLOOKUP(F38,[5]Sheet1!$AA$1:$AB$10,2),"")</f>
        <v>B+</v>
      </c>
    </row>
    <row r="39" spans="1:7">
      <c r="A39" s="118">
        <v>21</v>
      </c>
      <c r="B39" s="4" t="s">
        <v>320</v>
      </c>
      <c r="C39" s="4" t="s">
        <v>321</v>
      </c>
      <c r="D39" s="38">
        <v>81.900000000000006</v>
      </c>
      <c r="E39" s="38">
        <v>90.9</v>
      </c>
      <c r="F39" s="38">
        <f t="shared" si="0"/>
        <v>86.4</v>
      </c>
      <c r="G39" s="38" t="str">
        <f>IFERROR(VLOOKUP(F39,[5]Sheet1!$AA$1:$AB$10,2),"")</f>
        <v>A-</v>
      </c>
    </row>
    <row r="40" spans="1:7">
      <c r="A40" s="118">
        <v>22</v>
      </c>
      <c r="B40" s="4" t="s">
        <v>322</v>
      </c>
      <c r="C40" s="4" t="s">
        <v>323</v>
      </c>
      <c r="D40" s="38">
        <v>77.7</v>
      </c>
      <c r="E40" s="38">
        <v>95.1</v>
      </c>
      <c r="F40" s="38">
        <f t="shared" si="0"/>
        <v>86.4</v>
      </c>
      <c r="G40" s="38" t="str">
        <f>IFERROR(VLOOKUP(F40,[5]Sheet1!$AA$1:$AB$10,2),"")</f>
        <v>A-</v>
      </c>
    </row>
    <row r="41" spans="1:7">
      <c r="A41" s="118">
        <v>23</v>
      </c>
      <c r="B41" s="4" t="s">
        <v>324</v>
      </c>
      <c r="C41" s="4" t="s">
        <v>325</v>
      </c>
      <c r="D41" s="38">
        <v>65.8</v>
      </c>
      <c r="E41" s="38">
        <v>67.2</v>
      </c>
      <c r="F41" s="38">
        <f t="shared" si="0"/>
        <v>66.5</v>
      </c>
      <c r="G41" s="38" t="str">
        <f>IFERROR(VLOOKUP(F41,[5]Sheet1!$AA$1:$AB$10,2),"")</f>
        <v>B-</v>
      </c>
    </row>
    <row r="42" spans="1:7">
      <c r="A42" s="118">
        <v>24</v>
      </c>
      <c r="B42" s="4" t="s">
        <v>326</v>
      </c>
      <c r="C42" s="4" t="s">
        <v>327</v>
      </c>
      <c r="D42" s="38">
        <v>65.5</v>
      </c>
      <c r="E42" s="38">
        <v>66.900000000000006</v>
      </c>
      <c r="F42" s="38">
        <f t="shared" si="0"/>
        <v>66.2</v>
      </c>
      <c r="G42" s="38" t="str">
        <f>IFERROR(VLOOKUP(F42,[5]Sheet1!$AA$1:$AB$10,2),"")</f>
        <v>B-</v>
      </c>
    </row>
    <row r="43" spans="1:7">
      <c r="A43" s="118">
        <v>25</v>
      </c>
      <c r="B43" s="4" t="s">
        <v>328</v>
      </c>
      <c r="C43" s="4" t="s">
        <v>329</v>
      </c>
      <c r="D43" s="38">
        <v>64.099999999999994</v>
      </c>
      <c r="E43" s="38">
        <v>80.900000000000006</v>
      </c>
      <c r="F43" s="38">
        <f t="shared" si="0"/>
        <v>72.5</v>
      </c>
      <c r="G43" s="38" t="str">
        <f>IFERROR(VLOOKUP(F43,[5]Sheet1!$AA$1:$AB$10,2),"")</f>
        <v>B</v>
      </c>
    </row>
    <row r="44" spans="1:7">
      <c r="A44" s="118">
        <v>26</v>
      </c>
      <c r="B44" s="4" t="s">
        <v>330</v>
      </c>
      <c r="C44" s="4" t="s">
        <v>331</v>
      </c>
      <c r="D44" s="38">
        <v>85.5</v>
      </c>
      <c r="E44" s="38">
        <v>82.7</v>
      </c>
      <c r="F44" s="38">
        <f t="shared" si="0"/>
        <v>84.1</v>
      </c>
      <c r="G44" s="38" t="str">
        <f>IFERROR(VLOOKUP(F44,[5]Sheet1!$AA$1:$AB$10,2),"")</f>
        <v>B+</v>
      </c>
    </row>
    <row r="45" spans="1:7">
      <c r="A45" s="118">
        <v>27</v>
      </c>
      <c r="B45" s="4" t="s">
        <v>332</v>
      </c>
      <c r="C45" s="4" t="s">
        <v>333</v>
      </c>
      <c r="D45" s="38">
        <v>99.4</v>
      </c>
      <c r="E45" s="38">
        <v>94.5</v>
      </c>
      <c r="F45" s="38">
        <f t="shared" si="0"/>
        <v>96.95</v>
      </c>
      <c r="G45" s="38" t="str">
        <f>IFERROR(VLOOKUP(F45,[5]Sheet1!$AA$1:$AB$10,2),"")</f>
        <v>A</v>
      </c>
    </row>
    <row r="46" spans="1:7">
      <c r="A46" s="118">
        <v>28</v>
      </c>
      <c r="B46" s="4" t="s">
        <v>334</v>
      </c>
      <c r="C46" s="4" t="s">
        <v>335</v>
      </c>
      <c r="D46" s="38">
        <v>100</v>
      </c>
      <c r="E46" s="38">
        <v>100</v>
      </c>
      <c r="F46" s="38">
        <f t="shared" si="0"/>
        <v>100</v>
      </c>
      <c r="G46" s="38" t="str">
        <f>IFERROR(VLOOKUP(F46,[5]Sheet1!$AA$1:$AB$10,2),"")</f>
        <v>A</v>
      </c>
    </row>
    <row r="47" spans="1:7">
      <c r="A47" s="118">
        <v>29</v>
      </c>
      <c r="B47" s="4" t="s">
        <v>336</v>
      </c>
      <c r="C47" s="4" t="s">
        <v>337</v>
      </c>
      <c r="D47" s="38">
        <v>95.9</v>
      </c>
      <c r="E47" s="38">
        <v>85.4</v>
      </c>
      <c r="F47" s="38">
        <f t="shared" si="0"/>
        <v>90.65</v>
      </c>
      <c r="G47" s="38" t="str">
        <f>IFERROR(VLOOKUP(F47,[5]Sheet1!$AA$1:$AB$10,2),"")</f>
        <v>A</v>
      </c>
    </row>
    <row r="48" spans="1:7">
      <c r="A48" s="118">
        <v>30</v>
      </c>
      <c r="B48" s="4" t="s">
        <v>338</v>
      </c>
      <c r="C48" s="4" t="s">
        <v>339</v>
      </c>
      <c r="D48" s="38">
        <v>95.3</v>
      </c>
      <c r="E48" s="38">
        <v>92.7</v>
      </c>
      <c r="F48" s="38">
        <f t="shared" si="0"/>
        <v>94</v>
      </c>
      <c r="G48" s="38" t="str">
        <f>IFERROR(VLOOKUP(F48,[5]Sheet1!$AA$1:$AB$10,2),"")</f>
        <v>A</v>
      </c>
    </row>
    <row r="49" spans="1:7">
      <c r="A49" s="118">
        <v>31</v>
      </c>
      <c r="B49" s="4" t="s">
        <v>340</v>
      </c>
      <c r="C49" s="4" t="s">
        <v>341</v>
      </c>
      <c r="D49" s="38">
        <v>93</v>
      </c>
      <c r="E49" s="38">
        <v>88.1</v>
      </c>
      <c r="F49" s="38">
        <f t="shared" si="0"/>
        <v>90.55</v>
      </c>
      <c r="G49" s="38" t="str">
        <f>IFERROR(VLOOKUP(F49,[5]Sheet1!$AA$1:$AB$10,2),"")</f>
        <v>A</v>
      </c>
    </row>
    <row r="50" spans="1:7">
      <c r="A50" s="118">
        <v>32</v>
      </c>
      <c r="B50" s="4" t="s">
        <v>342</v>
      </c>
      <c r="C50" s="4" t="s">
        <v>343</v>
      </c>
      <c r="D50" s="38">
        <v>87.5</v>
      </c>
      <c r="E50" s="38">
        <v>82.6</v>
      </c>
      <c r="F50" s="38">
        <f t="shared" si="0"/>
        <v>85.05</v>
      </c>
      <c r="G50" s="38" t="str">
        <f>IFERROR(VLOOKUP(F50,[5]Sheet1!$AA$1:$AB$10,2),"")</f>
        <v>A-</v>
      </c>
    </row>
    <row r="51" spans="1:7">
      <c r="A51" s="118">
        <v>33</v>
      </c>
      <c r="B51" s="4" t="s">
        <v>344</v>
      </c>
      <c r="C51" s="4" t="s">
        <v>345</v>
      </c>
      <c r="D51" s="38">
        <v>78.400000000000006</v>
      </c>
      <c r="E51" s="38">
        <v>90.3</v>
      </c>
      <c r="F51" s="38">
        <f t="shared" si="0"/>
        <v>84.35</v>
      </c>
      <c r="G51" s="38" t="str">
        <f>IFERROR(VLOOKUP(F51,[5]Sheet1!$AA$1:$AB$10,2),"")</f>
        <v>B+</v>
      </c>
    </row>
    <row r="52" spans="1:7">
      <c r="A52" s="118">
        <v>34</v>
      </c>
      <c r="B52" s="4" t="s">
        <v>346</v>
      </c>
      <c r="C52" s="4" t="s">
        <v>347</v>
      </c>
      <c r="D52" s="38">
        <v>86</v>
      </c>
      <c r="E52" s="38">
        <v>100</v>
      </c>
      <c r="F52" s="38">
        <f t="shared" si="0"/>
        <v>93</v>
      </c>
      <c r="G52" s="38" t="str">
        <f>IFERROR(VLOOKUP(F52,[5]Sheet1!$AA$1:$AB$10,2),"")</f>
        <v>A</v>
      </c>
    </row>
    <row r="53" spans="1:7">
      <c r="A53" s="118">
        <v>35</v>
      </c>
      <c r="B53" s="4" t="s">
        <v>348</v>
      </c>
      <c r="C53" s="4" t="s">
        <v>349</v>
      </c>
      <c r="D53" s="38">
        <v>99.4</v>
      </c>
      <c r="E53" s="38">
        <v>93.8</v>
      </c>
      <c r="F53" s="38">
        <f t="shared" si="0"/>
        <v>96.6</v>
      </c>
      <c r="G53" s="38" t="str">
        <f>IFERROR(VLOOKUP(F53,[5]Sheet1!$AA$1:$AB$10,2),"")</f>
        <v>A</v>
      </c>
    </row>
    <row r="54" spans="1:7">
      <c r="A54" s="118">
        <v>36</v>
      </c>
      <c r="B54" s="4" t="s">
        <v>350</v>
      </c>
      <c r="C54" s="4" t="s">
        <v>351</v>
      </c>
      <c r="D54" s="38">
        <v>95.9</v>
      </c>
      <c r="E54" s="38">
        <v>81.2</v>
      </c>
      <c r="F54" s="38">
        <f t="shared" si="0"/>
        <v>88.550000000000011</v>
      </c>
      <c r="G54" s="38" t="str">
        <f>IFERROR(VLOOKUP(F54,[5]Sheet1!$AA$1:$AB$10,2),"")</f>
        <v>A-</v>
      </c>
    </row>
    <row r="55" spans="1:7">
      <c r="A55" s="118">
        <v>37</v>
      </c>
      <c r="B55" s="4" t="s">
        <v>352</v>
      </c>
      <c r="C55" s="4" t="s">
        <v>353</v>
      </c>
      <c r="D55" s="38">
        <v>95.9</v>
      </c>
      <c r="E55" s="38">
        <v>88.2</v>
      </c>
      <c r="F55" s="38">
        <f t="shared" si="0"/>
        <v>92.050000000000011</v>
      </c>
      <c r="G55" s="38" t="str">
        <f>IFERROR(VLOOKUP(F55,[5]Sheet1!$AA$1:$AB$10,2),"")</f>
        <v>A</v>
      </c>
    </row>
    <row r="56" spans="1:7">
      <c r="C56" s="35"/>
      <c r="D56" s="36"/>
      <c r="E56" s="36"/>
      <c r="F56" s="36"/>
    </row>
    <row r="57" spans="1:7" ht="14.5" thickBot="1">
      <c r="C57" s="35"/>
      <c r="D57" s="36" t="str">
        <f t="shared" ref="D57:E57" si="1">D16</f>
        <v>CPMK114</v>
      </c>
      <c r="E57" s="36" t="str">
        <f t="shared" si="1"/>
        <v>CPMK115</v>
      </c>
      <c r="F57" s="36" t="str">
        <f>F12</f>
        <v>Nilai Akhir MK</v>
      </c>
    </row>
    <row r="58" spans="1:7" ht="14.5" thickBot="1">
      <c r="C58" s="39" t="s">
        <v>106</v>
      </c>
      <c r="D58" s="40">
        <f>IFERROR(COUNTIF(D19:D55,""),"")</f>
        <v>0</v>
      </c>
      <c r="E58" s="40">
        <f>IFERROR(COUNTIF(E19:E55,""),"")</f>
        <v>0</v>
      </c>
      <c r="F58" s="40">
        <f>IFERROR(COUNTIF(F19:F55,""),"")</f>
        <v>0</v>
      </c>
    </row>
    <row r="59" spans="1:7" ht="14.5" thickBot="1">
      <c r="C59" s="41" t="s">
        <v>98</v>
      </c>
      <c r="D59" s="42">
        <f>IFERROR(COUNTIF(D19:D55,C59)+COUNTIF(D19:D55,""),"")-D58</f>
        <v>6</v>
      </c>
      <c r="E59" s="42">
        <f>COUNTIF(E19:E55,C59)+COUNTIF(E19:E55,"")-E58</f>
        <v>5</v>
      </c>
      <c r="F59" s="42">
        <f>IFERROR(COUNTIF(F19:F55,C59)+COUNTIF(F19:F55,""),"")</f>
        <v>1</v>
      </c>
    </row>
    <row r="60" spans="1:7" ht="14.5" thickBot="1">
      <c r="C60" s="43" t="s">
        <v>99</v>
      </c>
      <c r="D60" s="44">
        <f>IFERROR(COUNTIF(D19:D55,C60)-D59,"")</f>
        <v>20</v>
      </c>
      <c r="E60" s="44">
        <f>COUNTIF(E19:E55,C60)-E59</f>
        <v>18</v>
      </c>
      <c r="F60" s="45">
        <f>IFERROR(COUNTIF(F19:F55,C60)-F59,"")</f>
        <v>24</v>
      </c>
    </row>
    <row r="61" spans="1:7" ht="14.5" thickBot="1">
      <c r="C61" s="46" t="s">
        <v>100</v>
      </c>
      <c r="D61" s="47">
        <f>COUNTIF(D19:D55,C61)</f>
        <v>11</v>
      </c>
      <c r="E61" s="47">
        <f>COUNTIF(E19:E55,C61)</f>
        <v>14</v>
      </c>
      <c r="F61" s="47">
        <f>IFERROR(COUNTIF(F19:F55,C61),"")</f>
        <v>12</v>
      </c>
    </row>
    <row r="62" spans="1:7" ht="14.5" thickBot="1">
      <c r="C62" s="48" t="s">
        <v>78</v>
      </c>
      <c r="D62" s="49">
        <f>SUM(D58:D61)</f>
        <v>37</v>
      </c>
      <c r="E62" s="49">
        <f t="shared" ref="E62:F62" si="2">SUM(E58:E61)</f>
        <v>37</v>
      </c>
      <c r="F62" s="49">
        <f t="shared" si="2"/>
        <v>37</v>
      </c>
    </row>
    <row r="63" spans="1:7" ht="14.5" thickBot="1">
      <c r="C63" s="50"/>
      <c r="D63" s="36"/>
      <c r="E63" s="36"/>
      <c r="F63" s="36"/>
    </row>
    <row r="64" spans="1:7" ht="14.5" thickBot="1">
      <c r="C64" s="51" t="s">
        <v>101</v>
      </c>
      <c r="D64" s="52">
        <f>(D60+D61)/(D62-D58)</f>
        <v>0.83783783783783783</v>
      </c>
      <c r="E64" s="52">
        <f>(E60+E61)/(E62-E58)</f>
        <v>0.86486486486486491</v>
      </c>
      <c r="F64" s="52">
        <f>(F60+F61)/(F62-F58)</f>
        <v>0.97297297297297303</v>
      </c>
    </row>
    <row r="65" spans="3:6" ht="14.5" thickBot="1">
      <c r="C65" s="50"/>
      <c r="D65" s="36"/>
      <c r="E65" s="36"/>
      <c r="F65" s="36"/>
    </row>
    <row r="66" spans="3:6" ht="14.5" thickBot="1">
      <c r="C66" s="51" t="s">
        <v>102</v>
      </c>
      <c r="D66" s="22">
        <f>MIN(D19:D55)</f>
        <v>22.5</v>
      </c>
      <c r="E66" s="22">
        <f>MIN(E19:E55)</f>
        <v>22.5</v>
      </c>
      <c r="F66" s="53">
        <f>IFERROR(MIN(F19:F55),"")</f>
        <v>22.5</v>
      </c>
    </row>
    <row r="67" spans="3:6" ht="14.5" thickBot="1">
      <c r="C67" s="51" t="s">
        <v>103</v>
      </c>
      <c r="D67" s="22">
        <f>MAX(D19:D55)</f>
        <v>100</v>
      </c>
      <c r="E67" s="22">
        <f>MAX(E19:E55)</f>
        <v>100</v>
      </c>
      <c r="F67" s="53">
        <f>IFERROR(MAX(F19:F55),"")</f>
        <v>100</v>
      </c>
    </row>
    <row r="68" spans="3:6" ht="14.5" thickBot="1">
      <c r="C68" s="51" t="s">
        <v>104</v>
      </c>
      <c r="D68" s="53">
        <f>AVERAGE(D19:D55)</f>
        <v>76.36756756756759</v>
      </c>
      <c r="E68" s="53">
        <f>AVERAGE(E19:E55)</f>
        <v>77.862162162162164</v>
      </c>
      <c r="F68" s="53">
        <f>IFERROR(AVERAGE(F19:F55),"")</f>
        <v>76.575675675675711</v>
      </c>
    </row>
  </sheetData>
  <mergeCells count="7">
    <mergeCell ref="A1:H1"/>
    <mergeCell ref="A2:H2"/>
    <mergeCell ref="D12:E12"/>
    <mergeCell ref="F12:F17"/>
    <mergeCell ref="G12:G17"/>
    <mergeCell ref="D13:E13"/>
    <mergeCell ref="D14:E14"/>
  </mergeCells>
  <printOptions horizontalCentered="1"/>
  <pageMargins left="0.19685039370078741" right="0.11811023622047245" top="0.19685039370078741" bottom="0.15748031496062992" header="0" footer="0"/>
  <pageSetup paperSize="9" scale="86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7A158-01A7-4416-AA4F-D2977131719E}">
  <dimension ref="A1:V68"/>
  <sheetViews>
    <sheetView view="pageBreakPreview" zoomScaleNormal="100" zoomScaleSheetLayoutView="100" workbookViewId="0">
      <selection activeCell="D53" sqref="D53:E53"/>
    </sheetView>
  </sheetViews>
  <sheetFormatPr defaultRowHeight="14"/>
  <cols>
    <col min="1" max="1" width="4" customWidth="1"/>
    <col min="2" max="2" width="12.83203125" customWidth="1"/>
    <col min="3" max="3" width="34.6640625" customWidth="1"/>
    <col min="4" max="4" width="13.08203125" customWidth="1"/>
    <col min="5" max="5" width="15.25" customWidth="1"/>
    <col min="6" max="6" width="12.6640625" customWidth="1"/>
    <col min="9" max="9" width="13" customWidth="1"/>
  </cols>
  <sheetData>
    <row r="1" spans="1:22" ht="18">
      <c r="A1" s="212" t="s">
        <v>79</v>
      </c>
      <c r="B1" s="212"/>
      <c r="C1" s="212"/>
      <c r="D1" s="212"/>
      <c r="E1" s="212"/>
      <c r="F1" s="212"/>
      <c r="G1" s="212"/>
      <c r="H1" s="212"/>
      <c r="I1" s="33"/>
    </row>
    <row r="2" spans="1:22" ht="18.5" thickBot="1">
      <c r="A2" s="213" t="s">
        <v>80</v>
      </c>
      <c r="B2" s="213"/>
      <c r="C2" s="213"/>
      <c r="D2" s="213"/>
      <c r="E2" s="213"/>
      <c r="F2" s="213"/>
      <c r="G2" s="213"/>
      <c r="H2" s="213"/>
      <c r="I2" s="33"/>
    </row>
    <row r="4" spans="1:22">
      <c r="A4" t="s">
        <v>81</v>
      </c>
      <c r="C4" t="s">
        <v>82</v>
      </c>
      <c r="E4" t="s">
        <v>83</v>
      </c>
      <c r="F4" t="s">
        <v>207</v>
      </c>
    </row>
    <row r="5" spans="1:22">
      <c r="A5" t="s">
        <v>41</v>
      </c>
      <c r="C5" s="34" t="s">
        <v>234</v>
      </c>
      <c r="E5" t="s">
        <v>85</v>
      </c>
      <c r="F5" t="s">
        <v>209</v>
      </c>
    </row>
    <row r="6" spans="1:22">
      <c r="A6" t="s">
        <v>42</v>
      </c>
      <c r="C6" t="s">
        <v>235</v>
      </c>
    </row>
    <row r="7" spans="1:22">
      <c r="A7" t="s">
        <v>87</v>
      </c>
      <c r="C7" t="s">
        <v>88</v>
      </c>
    </row>
    <row r="8" spans="1:22">
      <c r="A8" t="s">
        <v>89</v>
      </c>
      <c r="C8" t="s">
        <v>90</v>
      </c>
    </row>
    <row r="9" spans="1:22">
      <c r="A9" t="s">
        <v>91</v>
      </c>
      <c r="C9" t="s">
        <v>242</v>
      </c>
    </row>
    <row r="10" spans="1:22">
      <c r="C10" t="s">
        <v>243</v>
      </c>
    </row>
    <row r="11" spans="1:22">
      <c r="C11" s="35" t="s">
        <v>244</v>
      </c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</row>
    <row r="12" spans="1:22">
      <c r="C12" s="35"/>
      <c r="D12" s="229" t="s">
        <v>65</v>
      </c>
      <c r="E12" s="230"/>
      <c r="F12" s="222" t="s">
        <v>92</v>
      </c>
      <c r="G12" s="222" t="s">
        <v>93</v>
      </c>
    </row>
    <row r="13" spans="1:22">
      <c r="C13" s="35"/>
      <c r="D13" s="225" t="str">
        <f>TRIM(MID(C5,2,20))</f>
        <v>U.24.05.52.1.01</v>
      </c>
      <c r="E13" s="225"/>
      <c r="F13" s="223"/>
      <c r="G13" s="223"/>
    </row>
    <row r="14" spans="1:22">
      <c r="C14" s="35"/>
      <c r="D14" s="225" t="str">
        <f>TRIM(MID(C6,2,100))</f>
        <v>Agama</v>
      </c>
      <c r="E14" s="225"/>
      <c r="F14" s="223"/>
      <c r="G14" s="223"/>
    </row>
    <row r="15" spans="1:22">
      <c r="C15" s="35"/>
      <c r="D15" s="37" t="s">
        <v>94</v>
      </c>
      <c r="E15" s="37" t="s">
        <v>246</v>
      </c>
      <c r="F15" s="223"/>
      <c r="G15" s="223"/>
    </row>
    <row r="16" spans="1:22">
      <c r="C16" s="35"/>
      <c r="D16" s="37" t="s">
        <v>251</v>
      </c>
      <c r="E16" s="37" t="s">
        <v>248</v>
      </c>
      <c r="F16" s="223"/>
      <c r="G16" s="223"/>
    </row>
    <row r="17" spans="1:7">
      <c r="C17" s="35"/>
      <c r="D17" s="37">
        <v>50</v>
      </c>
      <c r="E17" s="37">
        <v>50</v>
      </c>
      <c r="F17" s="224"/>
      <c r="G17" s="224"/>
    </row>
    <row r="18" spans="1:7">
      <c r="A18" s="1" t="s">
        <v>0</v>
      </c>
      <c r="B18" s="1" t="s">
        <v>1</v>
      </c>
      <c r="C18" s="1" t="s">
        <v>2</v>
      </c>
      <c r="D18" s="1"/>
      <c r="E18" s="1"/>
      <c r="F18" s="1"/>
      <c r="G18" s="1"/>
    </row>
    <row r="19" spans="1:7">
      <c r="A19" s="118">
        <v>1</v>
      </c>
      <c r="B19" s="4" t="s">
        <v>280</v>
      </c>
      <c r="C19" s="4" t="s">
        <v>281</v>
      </c>
      <c r="D19" s="38">
        <v>81.05</v>
      </c>
      <c r="E19" s="38">
        <v>91.2</v>
      </c>
      <c r="F19" s="38">
        <f>IFERROR((D19*($D$17/100))+(E19*($E$17/100)),"")</f>
        <v>86.125</v>
      </c>
      <c r="G19" s="38" t="str">
        <f>IFERROR(VLOOKUP(F21,[4]Sheet1!$AA$1:$AB$10,2),"")</f>
        <v>A-</v>
      </c>
    </row>
    <row r="20" spans="1:7">
      <c r="A20" s="118">
        <v>2</v>
      </c>
      <c r="B20" s="4" t="s">
        <v>282</v>
      </c>
      <c r="C20" s="4" t="s">
        <v>283</v>
      </c>
      <c r="D20" s="38">
        <v>91.6</v>
      </c>
      <c r="E20" s="38">
        <v>91</v>
      </c>
      <c r="F20" s="38">
        <f t="shared" ref="F20:F55" si="0">IFERROR((D20*($D$17/100))+(E20*($E$17/100)),"")</f>
        <v>91.3</v>
      </c>
      <c r="G20" s="38" t="str">
        <f>IFERROR(VLOOKUP(F20,[6]Sheet1!$AA$1:$AB$10,2),"")</f>
        <v>A</v>
      </c>
    </row>
    <row r="21" spans="1:7">
      <c r="A21" s="118">
        <v>3</v>
      </c>
      <c r="B21" s="4" t="s">
        <v>284</v>
      </c>
      <c r="C21" s="4" t="s">
        <v>285</v>
      </c>
      <c r="D21" s="38">
        <v>81.150000000000006</v>
      </c>
      <c r="E21" s="38">
        <v>90</v>
      </c>
      <c r="F21" s="38">
        <f t="shared" si="0"/>
        <v>85.575000000000003</v>
      </c>
      <c r="G21" s="38" t="str">
        <f>IFERROR(VLOOKUP(F21,[6]Sheet1!$AA$1:$AB$10,2),"")</f>
        <v>A-</v>
      </c>
    </row>
    <row r="22" spans="1:7">
      <c r="A22" s="118">
        <v>4</v>
      </c>
      <c r="B22" s="4" t="s">
        <v>286</v>
      </c>
      <c r="C22" s="4" t="s">
        <v>287</v>
      </c>
      <c r="D22" s="38">
        <v>8.5</v>
      </c>
      <c r="E22" s="38">
        <v>17</v>
      </c>
      <c r="F22" s="38">
        <f t="shared" si="0"/>
        <v>12.75</v>
      </c>
      <c r="G22" s="38" t="str">
        <f>IFERROR(VLOOKUP(F22,[6]Sheet1!$AA$1:$AB$10,2),"")</f>
        <v>E</v>
      </c>
    </row>
    <row r="23" spans="1:7">
      <c r="A23" s="118">
        <v>5</v>
      </c>
      <c r="B23" s="4" t="s">
        <v>288</v>
      </c>
      <c r="C23" s="4" t="s">
        <v>289</v>
      </c>
      <c r="D23" s="38">
        <v>80.150000000000006</v>
      </c>
      <c r="E23" s="38">
        <v>87.3</v>
      </c>
      <c r="F23" s="38">
        <f t="shared" si="0"/>
        <v>83.724999999999994</v>
      </c>
      <c r="G23" s="38" t="str">
        <f>IFERROR(VLOOKUP(F23,[6]Sheet1!$AA$1:$AB$10,2),"")</f>
        <v>B+</v>
      </c>
    </row>
    <row r="24" spans="1:7">
      <c r="A24" s="118">
        <v>6</v>
      </c>
      <c r="B24" s="4" t="s">
        <v>290</v>
      </c>
      <c r="C24" s="4" t="s">
        <v>291</v>
      </c>
      <c r="D24" s="38">
        <v>79.849999999999994</v>
      </c>
      <c r="E24" s="38">
        <v>89.4</v>
      </c>
      <c r="F24" s="38">
        <f t="shared" si="0"/>
        <v>84.625</v>
      </c>
      <c r="G24" s="38" t="str">
        <f>IFERROR(VLOOKUP(F24,[6]Sheet1!$AA$1:$AB$10,2),"")</f>
        <v>A-</v>
      </c>
    </row>
    <row r="25" spans="1:7">
      <c r="A25" s="118">
        <v>7</v>
      </c>
      <c r="B25" s="4" t="s">
        <v>292</v>
      </c>
      <c r="C25" s="4" t="s">
        <v>293</v>
      </c>
      <c r="D25" s="38">
        <v>93.7</v>
      </c>
      <c r="E25" s="38">
        <v>97</v>
      </c>
      <c r="F25" s="38">
        <f t="shared" si="0"/>
        <v>95.35</v>
      </c>
      <c r="G25" s="38" t="str">
        <f>IFERROR(VLOOKUP(F25,[6]Sheet1!$AA$1:$AB$10,2),"")</f>
        <v>A</v>
      </c>
    </row>
    <row r="26" spans="1:7">
      <c r="A26" s="118">
        <v>8</v>
      </c>
      <c r="B26" s="4" t="s">
        <v>294</v>
      </c>
      <c r="C26" s="4" t="s">
        <v>295</v>
      </c>
      <c r="D26" s="38">
        <v>81.150000000000006</v>
      </c>
      <c r="E26" s="38">
        <v>90.6</v>
      </c>
      <c r="F26" s="38">
        <f t="shared" si="0"/>
        <v>85.875</v>
      </c>
      <c r="G26" s="38" t="str">
        <f>IFERROR(VLOOKUP(F26,[6]Sheet1!$AA$1:$AB$10,2),"")</f>
        <v>A-</v>
      </c>
    </row>
    <row r="27" spans="1:7">
      <c r="A27" s="118">
        <v>9</v>
      </c>
      <c r="B27" s="4" t="s">
        <v>296</v>
      </c>
      <c r="C27" s="4" t="s">
        <v>297</v>
      </c>
      <c r="D27" s="38">
        <v>81.55</v>
      </c>
      <c r="E27" s="38">
        <v>90.8</v>
      </c>
      <c r="F27" s="38">
        <f t="shared" si="0"/>
        <v>86.174999999999997</v>
      </c>
      <c r="G27" s="38" t="str">
        <f>IFERROR(VLOOKUP(F27,[6]Sheet1!$AA$1:$AB$10,2),"")</f>
        <v>A-</v>
      </c>
    </row>
    <row r="28" spans="1:7">
      <c r="A28" s="118">
        <v>10</v>
      </c>
      <c r="B28" s="4" t="s">
        <v>298</v>
      </c>
      <c r="C28" s="4" t="s">
        <v>299</v>
      </c>
      <c r="D28" s="38">
        <v>81.25</v>
      </c>
      <c r="E28" s="38">
        <v>92.2</v>
      </c>
      <c r="F28" s="38">
        <f t="shared" si="0"/>
        <v>86.724999999999994</v>
      </c>
      <c r="G28" s="38" t="str">
        <f>IFERROR(VLOOKUP(F28,[6]Sheet1!$AA$1:$AB$10,2),"")</f>
        <v>A-</v>
      </c>
    </row>
    <row r="29" spans="1:7">
      <c r="A29" s="118">
        <v>11</v>
      </c>
      <c r="B29" s="4" t="s">
        <v>300</v>
      </c>
      <c r="C29" s="4" t="s">
        <v>301</v>
      </c>
      <c r="D29" s="38">
        <v>81.55</v>
      </c>
      <c r="E29" s="38">
        <v>92.2</v>
      </c>
      <c r="F29" s="38">
        <f t="shared" si="0"/>
        <v>86.875</v>
      </c>
      <c r="G29" s="38" t="str">
        <f>IFERROR(VLOOKUP(F29,[6]Sheet1!$AA$1:$AB$10,2),"")</f>
        <v>A-</v>
      </c>
    </row>
    <row r="30" spans="1:7">
      <c r="A30" s="118">
        <v>12</v>
      </c>
      <c r="B30" s="4" t="s">
        <v>302</v>
      </c>
      <c r="C30" s="4" t="s">
        <v>303</v>
      </c>
      <c r="D30" s="38">
        <v>82.25</v>
      </c>
      <c r="E30" s="38">
        <v>91.5</v>
      </c>
      <c r="F30" s="38">
        <f t="shared" si="0"/>
        <v>86.875</v>
      </c>
      <c r="G30" s="38" t="str">
        <f>IFERROR(VLOOKUP(F30,[6]Sheet1!$AA$1:$AB$10,2),"")</f>
        <v>A-</v>
      </c>
    </row>
    <row r="31" spans="1:7">
      <c r="A31" s="118">
        <v>13</v>
      </c>
      <c r="B31" s="4" t="s">
        <v>304</v>
      </c>
      <c r="C31" s="4" t="s">
        <v>305</v>
      </c>
      <c r="D31" s="38">
        <v>81</v>
      </c>
      <c r="E31" s="38">
        <v>89.7</v>
      </c>
      <c r="F31" s="38">
        <f t="shared" si="0"/>
        <v>85.35</v>
      </c>
      <c r="G31" s="38" t="str">
        <f>IFERROR(VLOOKUP(F31,[6]Sheet1!$AA$1:$AB$10,2),"")</f>
        <v>A-</v>
      </c>
    </row>
    <row r="32" spans="1:7">
      <c r="A32" s="118">
        <v>14</v>
      </c>
      <c r="B32" s="4" t="s">
        <v>306</v>
      </c>
      <c r="C32" s="4" t="s">
        <v>307</v>
      </c>
      <c r="D32" s="38">
        <v>79.2</v>
      </c>
      <c r="E32" s="38">
        <v>88.1</v>
      </c>
      <c r="F32" s="38">
        <f t="shared" si="0"/>
        <v>83.65</v>
      </c>
      <c r="G32" s="38" t="str">
        <f>IFERROR(VLOOKUP(F32,[6]Sheet1!$AA$1:$AB$10,2),"")</f>
        <v>B+</v>
      </c>
    </row>
    <row r="33" spans="1:7">
      <c r="A33" s="118">
        <v>15</v>
      </c>
      <c r="B33" s="4" t="s">
        <v>308</v>
      </c>
      <c r="C33" s="4" t="s">
        <v>309</v>
      </c>
      <c r="D33" s="38">
        <v>81.55</v>
      </c>
      <c r="E33" s="38">
        <v>89.4</v>
      </c>
      <c r="F33" s="38">
        <f t="shared" si="0"/>
        <v>85.474999999999994</v>
      </c>
      <c r="G33" s="38" t="str">
        <f>IFERROR(VLOOKUP(F33,[6]Sheet1!$AA$1:$AB$10,2),"")</f>
        <v>A-</v>
      </c>
    </row>
    <row r="34" spans="1:7">
      <c r="A34" s="118">
        <v>16</v>
      </c>
      <c r="B34" s="4" t="s">
        <v>310</v>
      </c>
      <c r="C34" s="4" t="s">
        <v>311</v>
      </c>
      <c r="D34" s="38">
        <v>81.650000000000006</v>
      </c>
      <c r="E34" s="38">
        <v>91</v>
      </c>
      <c r="F34" s="38">
        <f t="shared" si="0"/>
        <v>86.325000000000003</v>
      </c>
      <c r="G34" s="38" t="str">
        <f>IFERROR(VLOOKUP(F34,[6]Sheet1!$AA$1:$AB$10,2),"")</f>
        <v>A-</v>
      </c>
    </row>
    <row r="35" spans="1:7">
      <c r="A35" s="118">
        <v>17</v>
      </c>
      <c r="B35" s="4" t="s">
        <v>312</v>
      </c>
      <c r="C35" s="4" t="s">
        <v>313</v>
      </c>
      <c r="D35" s="38">
        <v>80.5</v>
      </c>
      <c r="E35" s="38">
        <v>88.7</v>
      </c>
      <c r="F35" s="38">
        <f t="shared" si="0"/>
        <v>84.6</v>
      </c>
      <c r="G35" s="38" t="str">
        <f>IFERROR(VLOOKUP(F35,[6]Sheet1!$AA$1:$AB$10,2),"")</f>
        <v>A-</v>
      </c>
    </row>
    <row r="36" spans="1:7">
      <c r="A36" s="118">
        <v>18</v>
      </c>
      <c r="B36" s="4" t="s">
        <v>314</v>
      </c>
      <c r="C36" s="4" t="s">
        <v>315</v>
      </c>
      <c r="D36" s="38">
        <v>80.95</v>
      </c>
      <c r="E36" s="38">
        <v>90.3</v>
      </c>
      <c r="F36" s="38">
        <f t="shared" si="0"/>
        <v>85.625</v>
      </c>
      <c r="G36" s="38" t="str">
        <f>IFERROR(VLOOKUP(F36,[6]Sheet1!$AA$1:$AB$10,2),"")</f>
        <v>A-</v>
      </c>
    </row>
    <row r="37" spans="1:7">
      <c r="A37" s="118">
        <v>19</v>
      </c>
      <c r="B37" s="4" t="s">
        <v>316</v>
      </c>
      <c r="C37" s="4" t="s">
        <v>317</v>
      </c>
      <c r="D37" s="38">
        <v>82.6</v>
      </c>
      <c r="E37" s="38">
        <v>92.2</v>
      </c>
      <c r="F37" s="38">
        <f t="shared" si="0"/>
        <v>87.4</v>
      </c>
      <c r="G37" s="38" t="str">
        <f>IFERROR(VLOOKUP(F37,[6]Sheet1!$AA$1:$AB$10,2),"")</f>
        <v>A-</v>
      </c>
    </row>
    <row r="38" spans="1:7">
      <c r="A38" s="118">
        <v>20</v>
      </c>
      <c r="B38" s="4" t="s">
        <v>318</v>
      </c>
      <c r="C38" s="4" t="s">
        <v>319</v>
      </c>
      <c r="D38" s="38">
        <v>82.6</v>
      </c>
      <c r="E38" s="38">
        <v>92.2</v>
      </c>
      <c r="F38" s="38">
        <f t="shared" si="0"/>
        <v>87.4</v>
      </c>
      <c r="G38" s="38" t="str">
        <f>IFERROR(VLOOKUP(F38,[6]Sheet1!$AA$1:$AB$10,2),"")</f>
        <v>A-</v>
      </c>
    </row>
    <row r="39" spans="1:7">
      <c r="A39" s="118">
        <v>21</v>
      </c>
      <c r="B39" s="4" t="s">
        <v>320</v>
      </c>
      <c r="C39" s="4" t="s">
        <v>321</v>
      </c>
      <c r="D39" s="38">
        <v>81.75</v>
      </c>
      <c r="E39" s="38">
        <v>91.2</v>
      </c>
      <c r="F39" s="38">
        <f t="shared" si="0"/>
        <v>86.474999999999994</v>
      </c>
      <c r="G39" s="38" t="str">
        <f>IFERROR(VLOOKUP(F39,[6]Sheet1!$AA$1:$AB$10,2),"")</f>
        <v>A-</v>
      </c>
    </row>
    <row r="40" spans="1:7">
      <c r="A40" s="118">
        <v>22</v>
      </c>
      <c r="B40" s="4" t="s">
        <v>322</v>
      </c>
      <c r="C40" s="4" t="s">
        <v>323</v>
      </c>
      <c r="D40" s="38">
        <v>81.3</v>
      </c>
      <c r="E40" s="38">
        <v>90.3</v>
      </c>
      <c r="F40" s="38">
        <f t="shared" si="0"/>
        <v>85.8</v>
      </c>
      <c r="G40" s="38" t="str">
        <f>IFERROR(VLOOKUP(F40,[6]Sheet1!$AA$1:$AB$10,2),"")</f>
        <v>A-</v>
      </c>
    </row>
    <row r="41" spans="1:7">
      <c r="A41" s="118">
        <v>23</v>
      </c>
      <c r="B41" s="4" t="s">
        <v>324</v>
      </c>
      <c r="C41" s="4" t="s">
        <v>325</v>
      </c>
      <c r="D41" s="38">
        <v>82</v>
      </c>
      <c r="E41" s="38">
        <v>91.7</v>
      </c>
      <c r="F41" s="38">
        <f t="shared" si="0"/>
        <v>86.85</v>
      </c>
      <c r="G41" s="38" t="str">
        <f>IFERROR(VLOOKUP(F41,[6]Sheet1!$AA$1:$AB$10,2),"")</f>
        <v>A-</v>
      </c>
    </row>
    <row r="42" spans="1:7">
      <c r="A42" s="118">
        <v>24</v>
      </c>
      <c r="B42" s="4" t="s">
        <v>326</v>
      </c>
      <c r="C42" s="4" t="s">
        <v>327</v>
      </c>
      <c r="D42" s="38">
        <v>80.650000000000006</v>
      </c>
      <c r="E42" s="38">
        <v>89.6</v>
      </c>
      <c r="F42" s="38">
        <f t="shared" si="0"/>
        <v>85.125</v>
      </c>
      <c r="G42" s="38" t="str">
        <f>IFERROR(VLOOKUP(F42,[6]Sheet1!$AA$1:$AB$10,2),"")</f>
        <v>A-</v>
      </c>
    </row>
    <row r="43" spans="1:7">
      <c r="A43" s="118">
        <v>25</v>
      </c>
      <c r="B43" s="4" t="s">
        <v>328</v>
      </c>
      <c r="C43" s="4" t="s">
        <v>329</v>
      </c>
      <c r="D43" s="38">
        <v>88</v>
      </c>
      <c r="E43" s="38">
        <v>88</v>
      </c>
      <c r="F43" s="38">
        <f t="shared" si="0"/>
        <v>88</v>
      </c>
      <c r="G43" s="38" t="str">
        <f>IFERROR(VLOOKUP(F43,[6]Sheet1!$AA$1:$AB$10,2),"")</f>
        <v>A-</v>
      </c>
    </row>
    <row r="44" spans="1:7">
      <c r="A44" s="118">
        <v>26</v>
      </c>
      <c r="B44" s="4" t="s">
        <v>330</v>
      </c>
      <c r="C44" s="4" t="s">
        <v>331</v>
      </c>
      <c r="D44" s="38">
        <v>90.1</v>
      </c>
      <c r="E44" s="38">
        <v>90.1</v>
      </c>
      <c r="F44" s="38">
        <f t="shared" si="0"/>
        <v>90.1</v>
      </c>
      <c r="G44" s="38" t="str">
        <f>IFERROR(VLOOKUP(F44,[6]Sheet1!$AA$1:$AB$10,2),"")</f>
        <v>A-</v>
      </c>
    </row>
    <row r="45" spans="1:7">
      <c r="A45" s="118">
        <v>27</v>
      </c>
      <c r="B45" s="4" t="s">
        <v>332</v>
      </c>
      <c r="C45" s="4" t="s">
        <v>333</v>
      </c>
      <c r="D45" s="38">
        <v>92.2</v>
      </c>
      <c r="E45" s="38">
        <v>93.2</v>
      </c>
      <c r="F45" s="38">
        <f t="shared" si="0"/>
        <v>92.7</v>
      </c>
      <c r="G45" s="38" t="str">
        <f>IFERROR(VLOOKUP(F45,[6]Sheet1!$AA$1:$AB$10,2),"")</f>
        <v>A</v>
      </c>
    </row>
    <row r="46" spans="1:7">
      <c r="A46" s="118">
        <v>28</v>
      </c>
      <c r="B46" s="4" t="s">
        <v>334</v>
      </c>
      <c r="C46" s="4" t="s">
        <v>335</v>
      </c>
      <c r="D46" s="38">
        <v>90.45</v>
      </c>
      <c r="E46" s="38">
        <v>90.45</v>
      </c>
      <c r="F46" s="38">
        <f t="shared" si="0"/>
        <v>90.45</v>
      </c>
      <c r="G46" s="38" t="str">
        <f>IFERROR(VLOOKUP(F46,[6]Sheet1!$AA$1:$AB$10,2),"")</f>
        <v>A</v>
      </c>
    </row>
    <row r="47" spans="1:7">
      <c r="A47" s="118">
        <v>29</v>
      </c>
      <c r="B47" s="4" t="s">
        <v>336</v>
      </c>
      <c r="C47" s="4" t="s">
        <v>337</v>
      </c>
      <c r="D47" s="38">
        <v>91.25</v>
      </c>
      <c r="E47" s="38">
        <v>91</v>
      </c>
      <c r="F47" s="38">
        <f t="shared" si="0"/>
        <v>91.125</v>
      </c>
      <c r="G47" s="38" t="str">
        <f>IFERROR(VLOOKUP(F47,[6]Sheet1!$AA$1:$AB$10,2),"")</f>
        <v>A</v>
      </c>
    </row>
    <row r="48" spans="1:7">
      <c r="A48" s="118">
        <v>30</v>
      </c>
      <c r="B48" s="4" t="s">
        <v>338</v>
      </c>
      <c r="C48" s="4" t="s">
        <v>339</v>
      </c>
      <c r="D48" s="38">
        <v>94</v>
      </c>
      <c r="E48" s="38">
        <v>94</v>
      </c>
      <c r="F48" s="38">
        <f t="shared" si="0"/>
        <v>94</v>
      </c>
      <c r="G48" s="38" t="str">
        <f>IFERROR(VLOOKUP(F48,[6]Sheet1!$AA$1:$AB$10,2),"")</f>
        <v>A</v>
      </c>
    </row>
    <row r="49" spans="1:7">
      <c r="A49" s="118">
        <v>31</v>
      </c>
      <c r="B49" s="4" t="s">
        <v>340</v>
      </c>
      <c r="C49" s="4" t="s">
        <v>341</v>
      </c>
      <c r="D49" s="38">
        <v>87.35</v>
      </c>
      <c r="E49" s="38">
        <v>87.35</v>
      </c>
      <c r="F49" s="38">
        <f t="shared" si="0"/>
        <v>87.35</v>
      </c>
      <c r="G49" s="38" t="str">
        <f>IFERROR(VLOOKUP(F49,[6]Sheet1!$AA$1:$AB$10,2),"")</f>
        <v>A-</v>
      </c>
    </row>
    <row r="50" spans="1:7">
      <c r="A50" s="118">
        <v>32</v>
      </c>
      <c r="B50" s="4" t="s">
        <v>342</v>
      </c>
      <c r="C50" s="4" t="s">
        <v>343</v>
      </c>
      <c r="D50" s="38">
        <v>91</v>
      </c>
      <c r="E50" s="38">
        <v>91</v>
      </c>
      <c r="F50" s="38">
        <f t="shared" si="0"/>
        <v>91</v>
      </c>
      <c r="G50" s="38" t="str">
        <f>IFERROR(VLOOKUP(F50,[6]Sheet1!$AA$1:$AB$10,2),"")</f>
        <v>A</v>
      </c>
    </row>
    <row r="51" spans="1:7">
      <c r="A51" s="118">
        <v>33</v>
      </c>
      <c r="B51" s="4" t="s">
        <v>344</v>
      </c>
      <c r="C51" s="4" t="s">
        <v>345</v>
      </c>
      <c r="D51" s="38">
        <v>94.5</v>
      </c>
      <c r="E51" s="38">
        <v>94.5</v>
      </c>
      <c r="F51" s="38">
        <f t="shared" si="0"/>
        <v>94.5</v>
      </c>
      <c r="G51" s="38" t="str">
        <f>IFERROR(VLOOKUP(F51,[6]Sheet1!$AA$1:$AB$10,2),"")</f>
        <v>A</v>
      </c>
    </row>
    <row r="52" spans="1:7">
      <c r="A52" s="118">
        <v>34</v>
      </c>
      <c r="B52" s="4" t="s">
        <v>346</v>
      </c>
      <c r="C52" s="4" t="s">
        <v>347</v>
      </c>
      <c r="D52" s="38">
        <v>89.3</v>
      </c>
      <c r="E52" s="38">
        <v>89.3</v>
      </c>
      <c r="F52" s="38">
        <f t="shared" si="0"/>
        <v>89.3</v>
      </c>
      <c r="G52" s="38" t="str">
        <f>IFERROR(VLOOKUP(F52,[6]Sheet1!$AA$1:$AB$10,2),"")</f>
        <v>A-</v>
      </c>
    </row>
    <row r="53" spans="1:7">
      <c r="A53" s="118">
        <v>35</v>
      </c>
      <c r="B53" s="4" t="s">
        <v>348</v>
      </c>
      <c r="C53" s="4" t="s">
        <v>349</v>
      </c>
      <c r="D53" s="38">
        <v>87.4</v>
      </c>
      <c r="E53" s="38">
        <v>87.4</v>
      </c>
      <c r="F53" s="38">
        <f t="shared" si="0"/>
        <v>87.4</v>
      </c>
      <c r="G53" s="38" t="str">
        <f>IFERROR(VLOOKUP(F53,[6]Sheet1!$AA$1:$AB$10,2),"")</f>
        <v>A-</v>
      </c>
    </row>
    <row r="54" spans="1:7">
      <c r="A54" s="118">
        <v>36</v>
      </c>
      <c r="B54" s="4" t="s">
        <v>350</v>
      </c>
      <c r="C54" s="4" t="s">
        <v>351</v>
      </c>
      <c r="D54" s="38">
        <v>91.5</v>
      </c>
      <c r="E54" s="38">
        <v>91.5</v>
      </c>
      <c r="F54" s="38">
        <f t="shared" si="0"/>
        <v>91.5</v>
      </c>
      <c r="G54" s="38" t="str">
        <f>IFERROR(VLOOKUP(F54,[6]Sheet1!$AA$1:$AB$10,2),"")</f>
        <v>A</v>
      </c>
    </row>
    <row r="55" spans="1:7">
      <c r="A55" s="118">
        <v>37</v>
      </c>
      <c r="B55" s="4" t="s">
        <v>352</v>
      </c>
      <c r="C55" s="4" t="s">
        <v>353</v>
      </c>
      <c r="D55" s="38">
        <v>88.35</v>
      </c>
      <c r="E55" s="38">
        <v>88.35</v>
      </c>
      <c r="F55" s="38">
        <f t="shared" si="0"/>
        <v>88.35</v>
      </c>
      <c r="G55" s="38" t="str">
        <f>IFERROR(VLOOKUP(F55,[6]Sheet1!$AA$1:$AB$10,2),"")</f>
        <v>A-</v>
      </c>
    </row>
    <row r="56" spans="1:7">
      <c r="C56" s="35"/>
      <c r="D56" s="36"/>
      <c r="E56" s="36"/>
      <c r="F56" s="36"/>
    </row>
    <row r="57" spans="1:7" ht="14.5" thickBot="1">
      <c r="C57" s="35"/>
      <c r="D57" s="36" t="str">
        <f t="shared" ref="D57:E57" si="1">D16</f>
        <v>CPMK11</v>
      </c>
      <c r="E57" s="36" t="str">
        <f t="shared" si="1"/>
        <v>CPMK13</v>
      </c>
      <c r="F57" s="36" t="str">
        <f>F12</f>
        <v>Nilai Akhir MK</v>
      </c>
    </row>
    <row r="58" spans="1:7" ht="14.5" thickBot="1">
      <c r="C58" s="39" t="s">
        <v>106</v>
      </c>
      <c r="D58" s="40">
        <f>IFERROR(COUNTIF(D19:D55,""),"")</f>
        <v>0</v>
      </c>
      <c r="E58" s="40">
        <f>IFERROR(COUNTIF(E19:E55,""),"")</f>
        <v>0</v>
      </c>
      <c r="F58" s="40">
        <f>IFERROR(COUNTIF(F19:F55,""),"")</f>
        <v>0</v>
      </c>
    </row>
    <row r="59" spans="1:7" ht="14.5" thickBot="1">
      <c r="C59" s="41" t="s">
        <v>98</v>
      </c>
      <c r="D59" s="42">
        <f>IFERROR(COUNTIF(D19:D55,C59)+COUNTIF(D19:D55,""),"")-D58</f>
        <v>1</v>
      </c>
      <c r="E59" s="42">
        <f>COUNTIF(E19:E55,C59)+COUNTIF(E19:E55,"")-E58</f>
        <v>1</v>
      </c>
      <c r="F59" s="42">
        <f>IFERROR(COUNTIF(F19:F55,C59)+COUNTIF(F19:F55,""),"")</f>
        <v>1</v>
      </c>
    </row>
    <row r="60" spans="1:7" ht="14.5" thickBot="1">
      <c r="C60" s="43" t="s">
        <v>99</v>
      </c>
      <c r="D60" s="44">
        <f>IFERROR(COUNTIF(D19:D55,C60)-D59,"")</f>
        <v>21</v>
      </c>
      <c r="E60" s="44">
        <f>COUNTIF(E19:E55,C60)-E59</f>
        <v>0</v>
      </c>
      <c r="F60" s="45">
        <f>IFERROR(COUNTIF(F19:F55,C60)-F59,"")</f>
        <v>4</v>
      </c>
    </row>
    <row r="61" spans="1:7" ht="14.5" thickBot="1">
      <c r="C61" s="46" t="s">
        <v>100</v>
      </c>
      <c r="D61" s="47">
        <f>COUNTIF(D19:D55,C61)</f>
        <v>15</v>
      </c>
      <c r="E61" s="47">
        <f>COUNTIF(E19:E55,C61)</f>
        <v>36</v>
      </c>
      <c r="F61" s="47">
        <f>IFERROR(COUNTIF(F19:F55,C61),"")</f>
        <v>32</v>
      </c>
    </row>
    <row r="62" spans="1:7" ht="14.5" thickBot="1">
      <c r="C62" s="48" t="s">
        <v>78</v>
      </c>
      <c r="D62" s="49">
        <f>SUM(D58:D61)</f>
        <v>37</v>
      </c>
      <c r="E62" s="49">
        <f t="shared" ref="E62:F62" si="2">SUM(E58:E61)</f>
        <v>37</v>
      </c>
      <c r="F62" s="49">
        <f t="shared" si="2"/>
        <v>37</v>
      </c>
    </row>
    <row r="63" spans="1:7" ht="14.5" thickBot="1">
      <c r="C63" s="50"/>
      <c r="D63" s="36"/>
      <c r="E63" s="36"/>
      <c r="F63" s="36"/>
    </row>
    <row r="64" spans="1:7" ht="14.5" thickBot="1">
      <c r="C64" s="51" t="s">
        <v>101</v>
      </c>
      <c r="D64" s="52">
        <f>(D60+D61)/(D62-D58)</f>
        <v>0.97297297297297303</v>
      </c>
      <c r="E64" s="52">
        <f>(E60+E61)/(E62-E58)</f>
        <v>0.97297297297297303</v>
      </c>
      <c r="F64" s="52">
        <f>(F60+F61)/(F62-F58)</f>
        <v>0.97297297297297303</v>
      </c>
    </row>
    <row r="65" spans="3:6" ht="14.5" thickBot="1">
      <c r="C65" s="50"/>
      <c r="D65" s="36"/>
      <c r="E65" s="36"/>
      <c r="F65" s="36"/>
    </row>
    <row r="66" spans="3:6" ht="14.5" thickBot="1">
      <c r="C66" s="51" t="s">
        <v>102</v>
      </c>
      <c r="D66" s="22">
        <f>MIN(D19:D55)</f>
        <v>8.5</v>
      </c>
      <c r="E66" s="22">
        <f>MIN(E19:E55)</f>
        <v>17</v>
      </c>
      <c r="F66" s="53">
        <f>IFERROR(MIN(F19:F55),"")</f>
        <v>12.75</v>
      </c>
    </row>
    <row r="67" spans="3:6" ht="14.5" thickBot="1">
      <c r="C67" s="51" t="s">
        <v>103</v>
      </c>
      <c r="D67" s="22">
        <f>MAX(D19:D55)</f>
        <v>94.5</v>
      </c>
      <c r="E67" s="22">
        <f>MAX(E19:E55)</f>
        <v>97</v>
      </c>
      <c r="F67" s="53">
        <f>IFERROR(MAX(F19:F55),"")</f>
        <v>95.35</v>
      </c>
    </row>
    <row r="68" spans="3:6" ht="14.5" thickBot="1">
      <c r="C68" s="51" t="s">
        <v>104</v>
      </c>
      <c r="D68" s="53">
        <f>AVERAGE(D19:D55)</f>
        <v>83.105405405405392</v>
      </c>
      <c r="E68" s="53">
        <f>AVERAGE(E19:E55)</f>
        <v>88.668918918918919</v>
      </c>
      <c r="F68" s="53">
        <f>IFERROR(AVERAGE(F19:F55),"")</f>
        <v>85.887162162162156</v>
      </c>
    </row>
  </sheetData>
  <mergeCells count="7">
    <mergeCell ref="A1:H1"/>
    <mergeCell ref="A2:H2"/>
    <mergeCell ref="D12:E12"/>
    <mergeCell ref="F12:F17"/>
    <mergeCell ref="G12:G17"/>
    <mergeCell ref="D13:E13"/>
    <mergeCell ref="D14:E14"/>
  </mergeCells>
  <printOptions horizontalCentered="1"/>
  <pageMargins left="0.19685039370078741" right="0.11811023622047245" top="0.19685039370078741" bottom="0.15748031496062992" header="0" footer="0"/>
  <pageSetup paperSize="9" scale="8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BA19C-1C04-4ECB-95D4-7A70CD68868A}">
  <dimension ref="A1:V68"/>
  <sheetViews>
    <sheetView view="pageBreakPreview" zoomScale="90" zoomScaleNormal="100" zoomScaleSheetLayoutView="90" workbookViewId="0">
      <selection activeCell="B22" sqref="B22:C22"/>
    </sheetView>
  </sheetViews>
  <sheetFormatPr defaultRowHeight="14"/>
  <cols>
    <col min="1" max="1" width="4" customWidth="1"/>
    <col min="2" max="2" width="12.83203125" customWidth="1"/>
    <col min="3" max="3" width="32.6640625" customWidth="1"/>
    <col min="4" max="4" width="13.08203125" customWidth="1"/>
    <col min="5" max="5" width="15.25" customWidth="1"/>
    <col min="6" max="6" width="12.6640625" customWidth="1"/>
    <col min="9" max="9" width="13" customWidth="1"/>
  </cols>
  <sheetData>
    <row r="1" spans="1:22" ht="18">
      <c r="A1" s="212" t="s">
        <v>79</v>
      </c>
      <c r="B1" s="212"/>
      <c r="C1" s="212"/>
      <c r="D1" s="212"/>
      <c r="E1" s="212"/>
      <c r="F1" s="212"/>
      <c r="G1" s="212"/>
      <c r="H1" s="212"/>
      <c r="I1" s="33"/>
    </row>
    <row r="2" spans="1:22" ht="18.5" thickBot="1">
      <c r="A2" s="213" t="s">
        <v>80</v>
      </c>
      <c r="B2" s="213"/>
      <c r="C2" s="213"/>
      <c r="D2" s="213"/>
      <c r="E2" s="213"/>
      <c r="F2" s="213"/>
      <c r="G2" s="213"/>
      <c r="H2" s="213"/>
      <c r="I2" s="33"/>
    </row>
    <row r="4" spans="1:22">
      <c r="A4" t="s">
        <v>81</v>
      </c>
      <c r="C4" t="s">
        <v>82</v>
      </c>
      <c r="E4" t="s">
        <v>83</v>
      </c>
      <c r="F4" t="s">
        <v>207</v>
      </c>
    </row>
    <row r="5" spans="1:22">
      <c r="A5" t="s">
        <v>41</v>
      </c>
      <c r="C5" s="34" t="s">
        <v>236</v>
      </c>
      <c r="E5" t="s">
        <v>85</v>
      </c>
      <c r="F5" t="s">
        <v>209</v>
      </c>
    </row>
    <row r="6" spans="1:22">
      <c r="A6" t="s">
        <v>42</v>
      </c>
      <c r="C6" t="s">
        <v>237</v>
      </c>
    </row>
    <row r="7" spans="1:22">
      <c r="A7" t="s">
        <v>87</v>
      </c>
      <c r="C7" t="s">
        <v>88</v>
      </c>
    </row>
    <row r="8" spans="1:22">
      <c r="A8" t="s">
        <v>89</v>
      </c>
      <c r="C8" t="s">
        <v>90</v>
      </c>
    </row>
    <row r="9" spans="1:22">
      <c r="A9" t="s">
        <v>91</v>
      </c>
      <c r="C9" t="s">
        <v>225</v>
      </c>
    </row>
    <row r="10" spans="1:22">
      <c r="C10" t="s">
        <v>113</v>
      </c>
    </row>
    <row r="11" spans="1:22">
      <c r="C11" s="35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</row>
    <row r="12" spans="1:22">
      <c r="C12" s="35"/>
      <c r="D12" s="225" t="s">
        <v>68</v>
      </c>
      <c r="E12" s="225"/>
      <c r="F12" s="228" t="s">
        <v>92</v>
      </c>
      <c r="G12" s="228" t="s">
        <v>93</v>
      </c>
    </row>
    <row r="13" spans="1:22">
      <c r="C13" s="35"/>
      <c r="D13" s="225" t="str">
        <f>TRIM(MID(C5,2,20))</f>
        <v>U.24.05.52.1.02</v>
      </c>
      <c r="E13" s="225"/>
      <c r="F13" s="228"/>
      <c r="G13" s="228"/>
    </row>
    <row r="14" spans="1:22">
      <c r="C14" s="35"/>
      <c r="D14" s="225" t="str">
        <f>TRIM(MID(C6,2,100))</f>
        <v>Kewarganegaraan</v>
      </c>
      <c r="E14" s="225"/>
      <c r="F14" s="228"/>
      <c r="G14" s="228"/>
    </row>
    <row r="15" spans="1:22">
      <c r="C15" s="35"/>
      <c r="D15" s="140" t="s">
        <v>94</v>
      </c>
      <c r="E15" s="140" t="s">
        <v>94</v>
      </c>
      <c r="F15" s="228"/>
      <c r="G15" s="228"/>
    </row>
    <row r="16" spans="1:22">
      <c r="C16" s="35"/>
      <c r="D16" s="140" t="s">
        <v>247</v>
      </c>
      <c r="E16" s="140" t="s">
        <v>248</v>
      </c>
      <c r="F16" s="228"/>
      <c r="G16" s="228"/>
    </row>
    <row r="17" spans="1:7">
      <c r="C17" s="35"/>
      <c r="D17" s="140">
        <v>50</v>
      </c>
      <c r="E17" s="140">
        <v>50</v>
      </c>
      <c r="F17" s="228"/>
      <c r="G17" s="228"/>
    </row>
    <row r="18" spans="1:7">
      <c r="A18" s="1" t="s">
        <v>0</v>
      </c>
      <c r="B18" s="1" t="s">
        <v>1</v>
      </c>
      <c r="C18" s="1" t="s">
        <v>2</v>
      </c>
      <c r="D18" s="1"/>
      <c r="E18" s="1"/>
      <c r="F18" s="1"/>
      <c r="G18" s="1"/>
    </row>
    <row r="19" spans="1:7">
      <c r="A19" s="118">
        <v>1</v>
      </c>
      <c r="B19" s="4" t="s">
        <v>280</v>
      </c>
      <c r="C19" s="4" t="s">
        <v>281</v>
      </c>
      <c r="D19" s="38">
        <v>82.8</v>
      </c>
      <c r="E19" s="38">
        <v>82.8</v>
      </c>
      <c r="F19" s="38">
        <f>IFERROR((D19*($D$17/100))+(E19*($E$17/100)),"")</f>
        <v>82.8</v>
      </c>
      <c r="G19" s="38" t="str">
        <f>IFERROR(VLOOKUP(F20,[7]Sheet1!$AA$1:$AB$10,2),"")</f>
        <v>B+</v>
      </c>
    </row>
    <row r="20" spans="1:7">
      <c r="A20" s="118">
        <v>2</v>
      </c>
      <c r="B20" s="4" t="s">
        <v>282</v>
      </c>
      <c r="C20" s="4" t="s">
        <v>283</v>
      </c>
      <c r="D20" s="38">
        <v>80.7</v>
      </c>
      <c r="E20" s="38">
        <v>80.7</v>
      </c>
      <c r="F20" s="38">
        <f t="shared" ref="F20:F55" si="0">IFERROR((D20*($D$17/100))+(E20*($E$17/100)),"")</f>
        <v>80.7</v>
      </c>
      <c r="G20" s="38" t="str">
        <f>IFERROR(VLOOKUP(F20,[7]Sheet1!$AA$1:$AB$10,2),"")</f>
        <v>B+</v>
      </c>
    </row>
    <row r="21" spans="1:7">
      <c r="A21" s="118">
        <v>3</v>
      </c>
      <c r="B21" s="4" t="s">
        <v>284</v>
      </c>
      <c r="C21" s="4" t="s">
        <v>285</v>
      </c>
      <c r="D21" s="38">
        <v>93.55</v>
      </c>
      <c r="E21" s="38">
        <v>93.55</v>
      </c>
      <c r="F21" s="38">
        <f t="shared" si="0"/>
        <v>93.55</v>
      </c>
      <c r="G21" s="38" t="str">
        <f>IFERROR(VLOOKUP(F21,[7]Sheet1!$AA$1:$AB$10,2),"")</f>
        <v>A</v>
      </c>
    </row>
    <row r="22" spans="1:7">
      <c r="A22" s="118">
        <v>4</v>
      </c>
      <c r="B22" s="4" t="s">
        <v>286</v>
      </c>
      <c r="C22" s="4" t="s">
        <v>287</v>
      </c>
      <c r="D22" s="38">
        <v>0</v>
      </c>
      <c r="E22" s="38">
        <v>0</v>
      </c>
      <c r="F22" s="38">
        <f t="shared" si="0"/>
        <v>0</v>
      </c>
      <c r="G22" s="38" t="str">
        <f>IFERROR(VLOOKUP(F22,[7]Sheet1!$AA$1:$AB$10,2),"")</f>
        <v>E</v>
      </c>
    </row>
    <row r="23" spans="1:7">
      <c r="A23" s="118">
        <v>5</v>
      </c>
      <c r="B23" s="4" t="s">
        <v>288</v>
      </c>
      <c r="C23" s="4" t="s">
        <v>289</v>
      </c>
      <c r="D23" s="38">
        <v>82.9</v>
      </c>
      <c r="E23" s="38">
        <v>82.9</v>
      </c>
      <c r="F23" s="38">
        <f t="shared" si="0"/>
        <v>82.9</v>
      </c>
      <c r="G23" s="38" t="str">
        <f>IFERROR(VLOOKUP(F23,[7]Sheet1!$AA$1:$AB$10,2),"")</f>
        <v>B+</v>
      </c>
    </row>
    <row r="24" spans="1:7">
      <c r="A24" s="118">
        <v>6</v>
      </c>
      <c r="B24" s="4" t="s">
        <v>290</v>
      </c>
      <c r="C24" s="4" t="s">
        <v>291</v>
      </c>
      <c r="D24" s="38">
        <v>79.25</v>
      </c>
      <c r="E24" s="38">
        <v>79.25</v>
      </c>
      <c r="F24" s="38">
        <f t="shared" si="0"/>
        <v>79.25</v>
      </c>
      <c r="G24" s="38" t="str">
        <f>IFERROR(VLOOKUP(F24,[7]Sheet1!$AA$1:$AB$10,2),"")</f>
        <v>B+</v>
      </c>
    </row>
    <row r="25" spans="1:7">
      <c r="A25" s="118">
        <v>7</v>
      </c>
      <c r="B25" s="4" t="s">
        <v>292</v>
      </c>
      <c r="C25" s="4" t="s">
        <v>293</v>
      </c>
      <c r="D25" s="38">
        <v>89.55</v>
      </c>
      <c r="E25" s="38">
        <v>89.55</v>
      </c>
      <c r="F25" s="38">
        <f t="shared" si="0"/>
        <v>89.55</v>
      </c>
      <c r="G25" s="38" t="str">
        <f>IFERROR(VLOOKUP(F25,[7]Sheet1!$AA$1:$AB$10,2),"")</f>
        <v>A-</v>
      </c>
    </row>
    <row r="26" spans="1:7">
      <c r="A26" s="118">
        <v>8</v>
      </c>
      <c r="B26" s="4" t="s">
        <v>294</v>
      </c>
      <c r="C26" s="4" t="s">
        <v>295</v>
      </c>
      <c r="D26" s="38">
        <v>81.5</v>
      </c>
      <c r="E26" s="38">
        <v>81.5</v>
      </c>
      <c r="F26" s="38">
        <f t="shared" si="0"/>
        <v>81.5</v>
      </c>
      <c r="G26" s="38" t="str">
        <f>IFERROR(VLOOKUP(F26,[7]Sheet1!$AA$1:$AB$10,2),"")</f>
        <v>B+</v>
      </c>
    </row>
    <row r="27" spans="1:7">
      <c r="A27" s="118">
        <v>9</v>
      </c>
      <c r="B27" s="4" t="s">
        <v>296</v>
      </c>
      <c r="C27" s="4" t="s">
        <v>297</v>
      </c>
      <c r="D27" s="38">
        <v>82.45</v>
      </c>
      <c r="E27" s="38">
        <v>82.45</v>
      </c>
      <c r="F27" s="38">
        <f t="shared" si="0"/>
        <v>82.45</v>
      </c>
      <c r="G27" s="38" t="str">
        <f>IFERROR(VLOOKUP(F27,[7]Sheet1!$AA$1:$AB$10,2),"")</f>
        <v>B+</v>
      </c>
    </row>
    <row r="28" spans="1:7">
      <c r="A28" s="118">
        <v>10</v>
      </c>
      <c r="B28" s="4" t="s">
        <v>298</v>
      </c>
      <c r="C28" s="4" t="s">
        <v>299</v>
      </c>
      <c r="D28" s="38">
        <v>92.4</v>
      </c>
      <c r="E28" s="38">
        <v>92.4</v>
      </c>
      <c r="F28" s="38">
        <f t="shared" si="0"/>
        <v>92.4</v>
      </c>
      <c r="G28" s="38" t="str">
        <f>IFERROR(VLOOKUP(F28,[7]Sheet1!$AA$1:$AB$10,2),"")</f>
        <v>A</v>
      </c>
    </row>
    <row r="29" spans="1:7">
      <c r="A29" s="118">
        <v>11</v>
      </c>
      <c r="B29" s="4" t="s">
        <v>300</v>
      </c>
      <c r="C29" s="4" t="s">
        <v>301</v>
      </c>
      <c r="D29" s="38">
        <v>83.85</v>
      </c>
      <c r="E29" s="38">
        <v>83.85</v>
      </c>
      <c r="F29" s="38">
        <f t="shared" si="0"/>
        <v>83.85</v>
      </c>
      <c r="G29" s="38" t="str">
        <f>IFERROR(VLOOKUP(F29,[7]Sheet1!$AA$1:$AB$10,2),"")</f>
        <v>B+</v>
      </c>
    </row>
    <row r="30" spans="1:7">
      <c r="A30" s="118">
        <v>12</v>
      </c>
      <c r="B30" s="4" t="s">
        <v>302</v>
      </c>
      <c r="C30" s="4" t="s">
        <v>303</v>
      </c>
      <c r="D30" s="38">
        <v>82.45</v>
      </c>
      <c r="E30" s="38">
        <v>82.45</v>
      </c>
      <c r="F30" s="38">
        <f t="shared" si="0"/>
        <v>82.45</v>
      </c>
      <c r="G30" s="38" t="str">
        <f>IFERROR(VLOOKUP(F30,[7]Sheet1!$AA$1:$AB$10,2),"")</f>
        <v>B+</v>
      </c>
    </row>
    <row r="31" spans="1:7">
      <c r="A31" s="118">
        <v>13</v>
      </c>
      <c r="B31" s="4" t="s">
        <v>304</v>
      </c>
      <c r="C31" s="4" t="s">
        <v>305</v>
      </c>
      <c r="D31" s="38">
        <v>89.8</v>
      </c>
      <c r="E31" s="38">
        <v>89.8</v>
      </c>
      <c r="F31" s="38">
        <f t="shared" si="0"/>
        <v>89.8</v>
      </c>
      <c r="G31" s="38" t="str">
        <f>IFERROR(VLOOKUP(F31,[7]Sheet1!$AA$1:$AB$10,2),"")</f>
        <v>A-</v>
      </c>
    </row>
    <row r="32" spans="1:7">
      <c r="A32" s="118">
        <v>14</v>
      </c>
      <c r="B32" s="4" t="s">
        <v>306</v>
      </c>
      <c r="C32" s="4" t="s">
        <v>307</v>
      </c>
      <c r="D32" s="38">
        <v>99.4</v>
      </c>
      <c r="E32" s="38">
        <v>99.4</v>
      </c>
      <c r="F32" s="38">
        <f t="shared" si="0"/>
        <v>99.4</v>
      </c>
      <c r="G32" s="38" t="str">
        <f>IFERROR(VLOOKUP(F32,[7]Sheet1!$AA$1:$AB$10,2),"")</f>
        <v>A</v>
      </c>
    </row>
    <row r="33" spans="1:7">
      <c r="A33" s="118">
        <v>15</v>
      </c>
      <c r="B33" s="4" t="s">
        <v>308</v>
      </c>
      <c r="C33" s="4" t="s">
        <v>309</v>
      </c>
      <c r="D33" s="38">
        <v>80.650000000000006</v>
      </c>
      <c r="E33" s="38">
        <v>80.650000000000006</v>
      </c>
      <c r="F33" s="38">
        <f t="shared" si="0"/>
        <v>80.650000000000006</v>
      </c>
      <c r="G33" s="38" t="str">
        <f>IFERROR(VLOOKUP(F33,[7]Sheet1!$AA$1:$AB$10,2),"")</f>
        <v>B+</v>
      </c>
    </row>
    <row r="34" spans="1:7">
      <c r="A34" s="118">
        <v>16</v>
      </c>
      <c r="B34" s="4" t="s">
        <v>310</v>
      </c>
      <c r="C34" s="4" t="s">
        <v>311</v>
      </c>
      <c r="D34" s="38">
        <v>93.45</v>
      </c>
      <c r="E34" s="38">
        <v>93.45</v>
      </c>
      <c r="F34" s="38">
        <f t="shared" si="0"/>
        <v>93.45</v>
      </c>
      <c r="G34" s="38" t="str">
        <f>IFERROR(VLOOKUP(F34,[7]Sheet1!$AA$1:$AB$10,2),"")</f>
        <v>A</v>
      </c>
    </row>
    <row r="35" spans="1:7">
      <c r="A35" s="118">
        <v>17</v>
      </c>
      <c r="B35" s="4" t="s">
        <v>312</v>
      </c>
      <c r="C35" s="4" t="s">
        <v>313</v>
      </c>
      <c r="D35" s="38">
        <v>82.45</v>
      </c>
      <c r="E35" s="38">
        <v>82.45</v>
      </c>
      <c r="F35" s="38">
        <f t="shared" si="0"/>
        <v>82.45</v>
      </c>
      <c r="G35" s="38" t="str">
        <f>IFERROR(VLOOKUP(F35,[7]Sheet1!$AA$1:$AB$10,2),"")</f>
        <v>B+</v>
      </c>
    </row>
    <row r="36" spans="1:7">
      <c r="A36" s="118">
        <v>18</v>
      </c>
      <c r="B36" s="4" t="s">
        <v>314</v>
      </c>
      <c r="C36" s="4" t="s">
        <v>315</v>
      </c>
      <c r="D36" s="38">
        <v>91.7</v>
      </c>
      <c r="E36" s="38">
        <v>91.7</v>
      </c>
      <c r="F36" s="38">
        <f t="shared" si="0"/>
        <v>91.7</v>
      </c>
      <c r="G36" s="38" t="str">
        <f>IFERROR(VLOOKUP(F36,[7]Sheet1!$AA$1:$AB$10,2),"")</f>
        <v>A</v>
      </c>
    </row>
    <row r="37" spans="1:7">
      <c r="A37" s="118">
        <v>19</v>
      </c>
      <c r="B37" s="4" t="s">
        <v>316</v>
      </c>
      <c r="C37" s="4" t="s">
        <v>317</v>
      </c>
      <c r="D37" s="38">
        <v>82.45</v>
      </c>
      <c r="E37" s="38">
        <v>82.45</v>
      </c>
      <c r="F37" s="38">
        <f t="shared" si="0"/>
        <v>82.45</v>
      </c>
      <c r="G37" s="38" t="str">
        <f>IFERROR(VLOOKUP(F37,[7]Sheet1!$AA$1:$AB$10,2),"")</f>
        <v>B+</v>
      </c>
    </row>
    <row r="38" spans="1:7">
      <c r="A38" s="118">
        <v>20</v>
      </c>
      <c r="B38" s="4" t="s">
        <v>318</v>
      </c>
      <c r="C38" s="4" t="s">
        <v>319</v>
      </c>
      <c r="D38" s="38">
        <v>82.8</v>
      </c>
      <c r="E38" s="38">
        <v>82.8</v>
      </c>
      <c r="F38" s="38">
        <f t="shared" si="0"/>
        <v>82.8</v>
      </c>
      <c r="G38" s="38" t="str">
        <f>IFERROR(VLOOKUP(F38,[7]Sheet1!$AA$1:$AB$10,2),"")</f>
        <v>B+</v>
      </c>
    </row>
    <row r="39" spans="1:7">
      <c r="A39" s="118">
        <v>21</v>
      </c>
      <c r="B39" s="4" t="s">
        <v>320</v>
      </c>
      <c r="C39" s="4" t="s">
        <v>321</v>
      </c>
      <c r="D39" s="38">
        <v>83.15</v>
      </c>
      <c r="E39" s="38">
        <v>83.15</v>
      </c>
      <c r="F39" s="38">
        <f t="shared" si="0"/>
        <v>83.15</v>
      </c>
      <c r="G39" s="38" t="str">
        <f>IFERROR(VLOOKUP(F39,[7]Sheet1!$AA$1:$AB$10,2),"")</f>
        <v>B+</v>
      </c>
    </row>
    <row r="40" spans="1:7">
      <c r="A40" s="118">
        <v>22</v>
      </c>
      <c r="B40" s="4" t="s">
        <v>322</v>
      </c>
      <c r="C40" s="4" t="s">
        <v>323</v>
      </c>
      <c r="D40" s="38">
        <v>89.8</v>
      </c>
      <c r="E40" s="38">
        <v>89.8</v>
      </c>
      <c r="F40" s="38">
        <f t="shared" si="0"/>
        <v>89.8</v>
      </c>
      <c r="G40" s="38" t="str">
        <f>IFERROR(VLOOKUP(F40,[7]Sheet1!$AA$1:$AB$10,2),"")</f>
        <v>A-</v>
      </c>
    </row>
    <row r="41" spans="1:7">
      <c r="A41" s="118">
        <v>23</v>
      </c>
      <c r="B41" s="4" t="s">
        <v>324</v>
      </c>
      <c r="C41" s="4" t="s">
        <v>325</v>
      </c>
      <c r="D41" s="38">
        <v>83.15</v>
      </c>
      <c r="E41" s="38">
        <v>83.15</v>
      </c>
      <c r="F41" s="38">
        <f t="shared" si="0"/>
        <v>83.15</v>
      </c>
      <c r="G41" s="38" t="str">
        <f>IFERROR(VLOOKUP(F41,[7]Sheet1!$AA$1:$AB$10,2),"")</f>
        <v>B+</v>
      </c>
    </row>
    <row r="42" spans="1:7">
      <c r="A42" s="118">
        <v>24</v>
      </c>
      <c r="B42" s="4" t="s">
        <v>326</v>
      </c>
      <c r="C42" s="4" t="s">
        <v>327</v>
      </c>
      <c r="D42" s="38">
        <v>80.400000000000006</v>
      </c>
      <c r="E42" s="38">
        <v>80.400000000000006</v>
      </c>
      <c r="F42" s="38">
        <f t="shared" si="0"/>
        <v>80.400000000000006</v>
      </c>
      <c r="G42" s="38" t="str">
        <f>IFERROR(VLOOKUP(F42,[7]Sheet1!$AA$1:$AB$10,2),"")</f>
        <v>B+</v>
      </c>
    </row>
    <row r="43" spans="1:7">
      <c r="A43" s="118">
        <v>25</v>
      </c>
      <c r="B43" s="4" t="s">
        <v>328</v>
      </c>
      <c r="C43" s="4" t="s">
        <v>329</v>
      </c>
      <c r="D43" s="38">
        <v>79</v>
      </c>
      <c r="E43" s="38">
        <v>79</v>
      </c>
      <c r="F43" s="38">
        <f t="shared" si="0"/>
        <v>79</v>
      </c>
      <c r="G43" s="38" t="str">
        <f>IFERROR(VLOOKUP(F43,[7]Sheet1!$AA$1:$AB$10,2),"")</f>
        <v>B+</v>
      </c>
    </row>
    <row r="44" spans="1:7">
      <c r="A44" s="118">
        <v>26</v>
      </c>
      <c r="B44" s="4" t="s">
        <v>330</v>
      </c>
      <c r="C44" s="4" t="s">
        <v>331</v>
      </c>
      <c r="D44" s="38">
        <v>79.7</v>
      </c>
      <c r="E44" s="38">
        <v>79.7</v>
      </c>
      <c r="F44" s="38">
        <f t="shared" si="0"/>
        <v>79.7</v>
      </c>
      <c r="G44" s="38" t="str">
        <f>IFERROR(VLOOKUP(F44,[7]Sheet1!$AA$1:$AB$10,2),"")</f>
        <v>B+</v>
      </c>
    </row>
    <row r="45" spans="1:7">
      <c r="A45" s="118">
        <v>27</v>
      </c>
      <c r="B45" s="4" t="s">
        <v>332</v>
      </c>
      <c r="C45" s="4" t="s">
        <v>333</v>
      </c>
      <c r="D45" s="38">
        <v>83.5</v>
      </c>
      <c r="E45" s="38">
        <v>83.5</v>
      </c>
      <c r="F45" s="38">
        <f t="shared" si="0"/>
        <v>83.5</v>
      </c>
      <c r="G45" s="38" t="str">
        <f>IFERROR(VLOOKUP(F45,[7]Sheet1!$AA$1:$AB$10,2),"")</f>
        <v>B+</v>
      </c>
    </row>
    <row r="46" spans="1:7">
      <c r="A46" s="118">
        <v>28</v>
      </c>
      <c r="B46" s="4" t="s">
        <v>334</v>
      </c>
      <c r="C46" s="4" t="s">
        <v>335</v>
      </c>
      <c r="D46" s="38">
        <v>89.75</v>
      </c>
      <c r="E46" s="38">
        <v>89.75</v>
      </c>
      <c r="F46" s="38">
        <f t="shared" si="0"/>
        <v>89.75</v>
      </c>
      <c r="G46" s="38" t="str">
        <f>IFERROR(VLOOKUP(F46,[7]Sheet1!$AA$1:$AB$10,2),"")</f>
        <v>A-</v>
      </c>
    </row>
    <row r="47" spans="1:7">
      <c r="A47" s="118">
        <v>29</v>
      </c>
      <c r="B47" s="4" t="s">
        <v>336</v>
      </c>
      <c r="C47" s="4" t="s">
        <v>337</v>
      </c>
      <c r="D47" s="38">
        <v>82.05</v>
      </c>
      <c r="E47" s="38">
        <v>82.05</v>
      </c>
      <c r="F47" s="38">
        <f t="shared" si="0"/>
        <v>82.05</v>
      </c>
      <c r="G47" s="38" t="str">
        <f>IFERROR(VLOOKUP(F47,[7]Sheet1!$AA$1:$AB$10,2),"")</f>
        <v>B+</v>
      </c>
    </row>
    <row r="48" spans="1:7">
      <c r="A48" s="118">
        <v>30</v>
      </c>
      <c r="B48" s="4" t="s">
        <v>338</v>
      </c>
      <c r="C48" s="4" t="s">
        <v>339</v>
      </c>
      <c r="D48" s="38">
        <v>94.15</v>
      </c>
      <c r="E48" s="38">
        <v>94.15</v>
      </c>
      <c r="F48" s="38">
        <f t="shared" si="0"/>
        <v>94.15</v>
      </c>
      <c r="G48" s="38" t="str">
        <f>IFERROR(VLOOKUP(F48,[7]Sheet1!$AA$1:$AB$10,2),"")</f>
        <v>A</v>
      </c>
    </row>
    <row r="49" spans="1:7">
      <c r="A49" s="118">
        <v>31</v>
      </c>
      <c r="B49" s="4" t="s">
        <v>340</v>
      </c>
      <c r="C49" s="4" t="s">
        <v>341</v>
      </c>
      <c r="D49" s="38">
        <v>83.75</v>
      </c>
      <c r="E49" s="38">
        <v>83.75</v>
      </c>
      <c r="F49" s="38">
        <f t="shared" si="0"/>
        <v>83.75</v>
      </c>
      <c r="G49" s="38" t="str">
        <f>IFERROR(VLOOKUP(F49,[7]Sheet1!$AA$1:$AB$10,2),"")</f>
        <v>B+</v>
      </c>
    </row>
    <row r="50" spans="1:7">
      <c r="A50" s="118">
        <v>32</v>
      </c>
      <c r="B50" s="4" t="s">
        <v>342</v>
      </c>
      <c r="C50" s="4" t="s">
        <v>343</v>
      </c>
      <c r="D50" s="38">
        <v>83.6</v>
      </c>
      <c r="E50" s="38">
        <v>83.6</v>
      </c>
      <c r="F50" s="38">
        <f t="shared" si="0"/>
        <v>83.6</v>
      </c>
      <c r="G50" s="38" t="str">
        <f>IFERROR(VLOOKUP(F50,[7]Sheet1!$AA$1:$AB$10,2),"")</f>
        <v>B+</v>
      </c>
    </row>
    <row r="51" spans="1:7">
      <c r="A51" s="118">
        <v>33</v>
      </c>
      <c r="B51" s="4" t="s">
        <v>344</v>
      </c>
      <c r="C51" s="4" t="s">
        <v>345</v>
      </c>
      <c r="D51" s="38">
        <v>81</v>
      </c>
      <c r="E51" s="38">
        <v>81</v>
      </c>
      <c r="F51" s="38">
        <f t="shared" si="0"/>
        <v>81</v>
      </c>
      <c r="G51" s="38" t="str">
        <f>IFERROR(VLOOKUP(F51,[7]Sheet1!$AA$1:$AB$10,2),"")</f>
        <v>B+</v>
      </c>
    </row>
    <row r="52" spans="1:7">
      <c r="A52" s="118">
        <v>34</v>
      </c>
      <c r="B52" s="4" t="s">
        <v>346</v>
      </c>
      <c r="C52" s="4" t="s">
        <v>347</v>
      </c>
      <c r="D52" s="38">
        <v>82.2</v>
      </c>
      <c r="E52" s="38">
        <v>82.2</v>
      </c>
      <c r="F52" s="38">
        <f t="shared" si="0"/>
        <v>82.2</v>
      </c>
      <c r="G52" s="38" t="str">
        <f>IFERROR(VLOOKUP(F52,[7]Sheet1!$AA$1:$AB$10,2),"")</f>
        <v>B+</v>
      </c>
    </row>
    <row r="53" spans="1:7">
      <c r="A53" s="118">
        <v>35</v>
      </c>
      <c r="B53" s="4" t="s">
        <v>348</v>
      </c>
      <c r="C53" s="4" t="s">
        <v>349</v>
      </c>
      <c r="D53" s="38">
        <v>85.5</v>
      </c>
      <c r="E53" s="38">
        <v>85.5</v>
      </c>
      <c r="F53" s="38">
        <f t="shared" si="0"/>
        <v>85.5</v>
      </c>
      <c r="G53" s="38" t="str">
        <f>IFERROR(VLOOKUP(F53,[7]Sheet1!$AA$1:$AB$10,2),"")</f>
        <v>A-</v>
      </c>
    </row>
    <row r="54" spans="1:7">
      <c r="A54" s="118">
        <v>36</v>
      </c>
      <c r="B54" s="4" t="s">
        <v>350</v>
      </c>
      <c r="C54" s="4" t="s">
        <v>351</v>
      </c>
      <c r="D54" s="38">
        <v>91.9</v>
      </c>
      <c r="E54" s="38">
        <v>91.9</v>
      </c>
      <c r="F54" s="38">
        <f t="shared" si="0"/>
        <v>91.9</v>
      </c>
      <c r="G54" s="38" t="str">
        <f>IFERROR(VLOOKUP(F54,[7]Sheet1!$AA$1:$AB$10,2),"")</f>
        <v>A</v>
      </c>
    </row>
    <row r="55" spans="1:7">
      <c r="A55" s="118">
        <v>37</v>
      </c>
      <c r="B55" s="4" t="s">
        <v>352</v>
      </c>
      <c r="C55" s="4" t="s">
        <v>353</v>
      </c>
      <c r="D55" s="38">
        <v>77.8</v>
      </c>
      <c r="E55" s="38">
        <v>77.8</v>
      </c>
      <c r="F55" s="38">
        <f t="shared" si="0"/>
        <v>77.8</v>
      </c>
      <c r="G55" s="38" t="str">
        <f>IFERROR(VLOOKUP(F55,[7]Sheet1!$AA$1:$AB$10,2),"")</f>
        <v>B+</v>
      </c>
    </row>
    <row r="56" spans="1:7">
      <c r="C56" s="35"/>
      <c r="D56" s="36"/>
      <c r="E56" s="36"/>
      <c r="F56" s="36"/>
    </row>
    <row r="57" spans="1:7" ht="14.5" thickBot="1">
      <c r="C57" s="35"/>
      <c r="D57" s="36" t="str">
        <f>D16</f>
        <v>CPMK12</v>
      </c>
      <c r="E57" s="36" t="str">
        <f>E16</f>
        <v>CPMK13</v>
      </c>
      <c r="F57" s="36" t="str">
        <f>F12</f>
        <v>Nilai Akhir MK</v>
      </c>
    </row>
    <row r="58" spans="1:7" ht="14.5" thickBot="1">
      <c r="C58" s="39" t="s">
        <v>106</v>
      </c>
      <c r="D58" s="40">
        <f>IFERROR(COUNTIF(D19:D55,""),"")</f>
        <v>0</v>
      </c>
      <c r="E58" s="40">
        <f>IFERROR(COUNTIF(E19:E55,""),"")</f>
        <v>0</v>
      </c>
      <c r="F58" s="40">
        <f>IFERROR(COUNTIF(F19:F55,""),"")</f>
        <v>0</v>
      </c>
    </row>
    <row r="59" spans="1:7" ht="14.5" thickBot="1">
      <c r="C59" s="41" t="s">
        <v>98</v>
      </c>
      <c r="D59" s="42">
        <f>IFERROR(COUNTIF(D19:D55,C59)+COUNTIF(D19:D55,""),"")-D58</f>
        <v>1</v>
      </c>
      <c r="E59" s="42">
        <f>COUNTIF(E19:E55,C59)+COUNTIF(E19:E55,"")-E58</f>
        <v>1</v>
      </c>
      <c r="F59" s="42">
        <f>IFERROR(COUNTIF(F19:F55,C59)+COUNTIF(F19:F55,""),"")</f>
        <v>1</v>
      </c>
    </row>
    <row r="60" spans="1:7" ht="14.5" thickBot="1">
      <c r="C60" s="43" t="s">
        <v>99</v>
      </c>
      <c r="D60" s="44">
        <f>IFERROR(COUNTIF(D19:D55,C60)-D59,"")</f>
        <v>24</v>
      </c>
      <c r="E60" s="44">
        <f>COUNTIF(E19:E55,C60)-E59</f>
        <v>24</v>
      </c>
      <c r="F60" s="45">
        <f>IFERROR(COUNTIF(F19:F55,C60)-F59,"")</f>
        <v>24</v>
      </c>
    </row>
    <row r="61" spans="1:7" ht="14.5" thickBot="1">
      <c r="C61" s="46" t="s">
        <v>100</v>
      </c>
      <c r="D61" s="47">
        <f>COUNTIF(D19:D55,C61)</f>
        <v>12</v>
      </c>
      <c r="E61" s="47">
        <f>COUNTIF(E19:E55,C61)</f>
        <v>12</v>
      </c>
      <c r="F61" s="47">
        <f>IFERROR(COUNTIF(F19:F55,C61),"")</f>
        <v>12</v>
      </c>
    </row>
    <row r="62" spans="1:7" ht="14.5" thickBot="1">
      <c r="C62" s="48" t="s">
        <v>78</v>
      </c>
      <c r="D62" s="49">
        <f>SUM(D58:D61)</f>
        <v>37</v>
      </c>
      <c r="E62" s="49">
        <f t="shared" ref="E62:F62" si="1">SUM(E58:E61)</f>
        <v>37</v>
      </c>
      <c r="F62" s="49">
        <f t="shared" si="1"/>
        <v>37</v>
      </c>
    </row>
    <row r="63" spans="1:7" ht="14.5" thickBot="1">
      <c r="C63" s="50"/>
      <c r="D63" s="36"/>
      <c r="E63" s="36"/>
      <c r="F63" s="36"/>
    </row>
    <row r="64" spans="1:7" ht="14.5" thickBot="1">
      <c r="C64" s="51" t="s">
        <v>101</v>
      </c>
      <c r="D64" s="52">
        <f>(D60+D61)/(D62-D58)</f>
        <v>0.97297297297297303</v>
      </c>
      <c r="E64" s="52">
        <f>(E60+E61)/(E62-E58)</f>
        <v>0.97297297297297303</v>
      </c>
      <c r="F64" s="52">
        <f>(F60+F61)/(F62-F58)</f>
        <v>0.97297297297297303</v>
      </c>
    </row>
    <row r="65" spans="3:6" ht="14.5" thickBot="1">
      <c r="C65" s="50"/>
      <c r="D65" s="36"/>
      <c r="E65" s="36"/>
      <c r="F65" s="36"/>
    </row>
    <row r="66" spans="3:6" ht="14.5" thickBot="1">
      <c r="C66" s="51" t="s">
        <v>102</v>
      </c>
      <c r="D66" s="22">
        <f>MIN(D19:D55)</f>
        <v>0</v>
      </c>
      <c r="E66" s="22">
        <f>MIN(E19:E55)</f>
        <v>0</v>
      </c>
      <c r="F66" s="53">
        <f>IFERROR(MIN(F19:F55),"")</f>
        <v>0</v>
      </c>
    </row>
    <row r="67" spans="3:6" ht="14.5" thickBot="1">
      <c r="C67" s="51" t="s">
        <v>103</v>
      </c>
      <c r="D67" s="22">
        <f>MAX(D19:D55)</f>
        <v>99.4</v>
      </c>
      <c r="E67" s="22">
        <f>MAX(E19:E55)</f>
        <v>99.4</v>
      </c>
      <c r="F67" s="53">
        <f>IFERROR(MAX(F19:F55),"")</f>
        <v>99.4</v>
      </c>
    </row>
    <row r="68" spans="3:6" ht="14.5" thickBot="1">
      <c r="C68" s="51" t="s">
        <v>104</v>
      </c>
      <c r="D68" s="53">
        <f>AVERAGE(D19:D55)</f>
        <v>82.824324324324337</v>
      </c>
      <c r="E68" s="53">
        <f>AVERAGE(E19:E55)</f>
        <v>82.824324324324337</v>
      </c>
      <c r="F68" s="53">
        <f>IFERROR(AVERAGE(F19:F55),"")</f>
        <v>82.824324324324337</v>
      </c>
    </row>
  </sheetData>
  <mergeCells count="7">
    <mergeCell ref="A1:H1"/>
    <mergeCell ref="A2:H2"/>
    <mergeCell ref="F12:F17"/>
    <mergeCell ref="G12:G17"/>
    <mergeCell ref="D13:E13"/>
    <mergeCell ref="D14:E14"/>
    <mergeCell ref="D12:E12"/>
  </mergeCells>
  <printOptions horizontalCentered="1"/>
  <pageMargins left="0.19685039370078741" right="0.11811023622047245" top="0.19685039370078741" bottom="0.15748031496062992" header="0" footer="0"/>
  <pageSetup paperSize="9" scale="82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404DD-9707-45AE-97F6-1CE0CA08D6FF}">
  <dimension ref="A1:V68"/>
  <sheetViews>
    <sheetView view="pageBreakPreview" zoomScaleNormal="100" zoomScaleSheetLayoutView="100" workbookViewId="0">
      <selection activeCell="F22" sqref="F22"/>
    </sheetView>
  </sheetViews>
  <sheetFormatPr defaultRowHeight="14"/>
  <cols>
    <col min="1" max="1" width="4" customWidth="1"/>
    <col min="2" max="2" width="12.83203125" customWidth="1"/>
    <col min="3" max="3" width="32.6640625" customWidth="1"/>
    <col min="4" max="4" width="13.08203125" customWidth="1"/>
    <col min="5" max="5" width="15.25" customWidth="1"/>
    <col min="6" max="6" width="12.6640625" customWidth="1"/>
    <col min="9" max="9" width="13" customWidth="1"/>
  </cols>
  <sheetData>
    <row r="1" spans="1:22" ht="18">
      <c r="A1" s="212" t="s">
        <v>79</v>
      </c>
      <c r="B1" s="212"/>
      <c r="C1" s="212"/>
      <c r="D1" s="212"/>
      <c r="E1" s="212"/>
      <c r="F1" s="212"/>
      <c r="G1" s="212"/>
      <c r="H1" s="212"/>
      <c r="I1" s="33"/>
    </row>
    <row r="2" spans="1:22" ht="18.5" thickBot="1">
      <c r="A2" s="213" t="s">
        <v>80</v>
      </c>
      <c r="B2" s="213"/>
      <c r="C2" s="213"/>
      <c r="D2" s="213"/>
      <c r="E2" s="213"/>
      <c r="F2" s="213"/>
      <c r="G2" s="213"/>
      <c r="H2" s="213"/>
      <c r="I2" s="33"/>
    </row>
    <row r="4" spans="1:22">
      <c r="A4" t="s">
        <v>81</v>
      </c>
      <c r="C4" t="s">
        <v>82</v>
      </c>
      <c r="E4" t="s">
        <v>83</v>
      </c>
      <c r="F4" t="s">
        <v>207</v>
      </c>
    </row>
    <row r="5" spans="1:22">
      <c r="A5" t="s">
        <v>41</v>
      </c>
      <c r="C5" s="34" t="s">
        <v>239</v>
      </c>
      <c r="E5" t="s">
        <v>85</v>
      </c>
      <c r="F5" t="s">
        <v>209</v>
      </c>
    </row>
    <row r="6" spans="1:22">
      <c r="A6" t="s">
        <v>42</v>
      </c>
      <c r="C6" t="s">
        <v>238</v>
      </c>
    </row>
    <row r="7" spans="1:22">
      <c r="A7" t="s">
        <v>87</v>
      </c>
      <c r="C7" t="s">
        <v>88</v>
      </c>
    </row>
    <row r="8" spans="1:22">
      <c r="A8" t="s">
        <v>89</v>
      </c>
      <c r="C8" t="s">
        <v>90</v>
      </c>
    </row>
    <row r="9" spans="1:22">
      <c r="A9" t="s">
        <v>91</v>
      </c>
      <c r="C9" t="s">
        <v>250</v>
      </c>
    </row>
    <row r="10" spans="1:22">
      <c r="C10" t="s">
        <v>113</v>
      </c>
    </row>
    <row r="11" spans="1:22">
      <c r="C11" s="35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</row>
    <row r="12" spans="1:22">
      <c r="C12" s="35"/>
      <c r="D12" s="229" t="s">
        <v>71</v>
      </c>
      <c r="E12" s="230"/>
      <c r="F12" s="222" t="str">
        <f>CONCATENATE("Nilai Akhir MK","     ",D17+E17)</f>
        <v>Nilai Akhir MK     100</v>
      </c>
      <c r="G12" s="222" t="s">
        <v>93</v>
      </c>
    </row>
    <row r="13" spans="1:22">
      <c r="C13" s="35"/>
      <c r="D13" s="225" t="str">
        <f>TRIM(MID(C5,3,100))</f>
        <v>UU.24.05.52.1.03</v>
      </c>
      <c r="E13" s="225"/>
      <c r="F13" s="223"/>
      <c r="G13" s="223"/>
    </row>
    <row r="14" spans="1:22">
      <c r="C14" s="35"/>
      <c r="D14" s="225" t="str">
        <f>TRIM(MID(C6,3,100))</f>
        <v>English for Business</v>
      </c>
      <c r="E14" s="225"/>
      <c r="F14" s="223"/>
      <c r="G14" s="223"/>
    </row>
    <row r="15" spans="1:22">
      <c r="C15" s="35"/>
      <c r="D15" s="37" t="s">
        <v>122</v>
      </c>
      <c r="E15" s="37" t="s">
        <v>122</v>
      </c>
      <c r="F15" s="223"/>
      <c r="G15" s="223"/>
    </row>
    <row r="16" spans="1:22">
      <c r="C16" s="35"/>
      <c r="D16" s="37" t="s">
        <v>130</v>
      </c>
      <c r="E16" s="37" t="s">
        <v>249</v>
      </c>
      <c r="F16" s="223"/>
      <c r="G16" s="223"/>
    </row>
    <row r="17" spans="1:7">
      <c r="C17" s="35"/>
      <c r="D17" s="37">
        <v>50</v>
      </c>
      <c r="E17" s="37">
        <v>50</v>
      </c>
      <c r="F17" s="224"/>
      <c r="G17" s="224"/>
    </row>
    <row r="18" spans="1:7">
      <c r="A18" s="1" t="s">
        <v>0</v>
      </c>
      <c r="B18" s="1" t="s">
        <v>1</v>
      </c>
      <c r="C18" s="1" t="s">
        <v>2</v>
      </c>
      <c r="D18" s="1"/>
      <c r="E18" s="1"/>
      <c r="F18" s="1"/>
      <c r="G18" s="1"/>
    </row>
    <row r="19" spans="1:7">
      <c r="A19" s="118">
        <v>1</v>
      </c>
      <c r="B19" s="4" t="s">
        <v>280</v>
      </c>
      <c r="C19" s="4" t="s">
        <v>281</v>
      </c>
      <c r="D19" s="38">
        <v>86.45</v>
      </c>
      <c r="E19" s="38">
        <v>86.45</v>
      </c>
      <c r="F19" s="38">
        <f>IFERROR((D19*($D$17/100))+(E19*($E$17/100)),"")</f>
        <v>86.45</v>
      </c>
      <c r="G19" s="38" t="str">
        <f>IFERROR(VLOOKUP(F20,[7]Sheet1!$AA$1:$AB$10,2),"")</f>
        <v>A</v>
      </c>
    </row>
    <row r="20" spans="1:7">
      <c r="A20" s="118">
        <v>2</v>
      </c>
      <c r="B20" s="4" t="s">
        <v>282</v>
      </c>
      <c r="C20" s="4" t="s">
        <v>283</v>
      </c>
      <c r="D20" s="38">
        <v>91</v>
      </c>
      <c r="E20" s="38">
        <v>91</v>
      </c>
      <c r="F20" s="38">
        <f t="shared" ref="F20:F55" si="0">IFERROR((D20*($D$17/100))+(E20*($E$17/100)),"")</f>
        <v>91</v>
      </c>
      <c r="G20" s="38" t="str">
        <f>IFERROR(VLOOKUP(F20,[8]Sheet1!$AA$1:$AB$10,2),"")</f>
        <v>A</v>
      </c>
    </row>
    <row r="21" spans="1:7">
      <c r="A21" s="118">
        <v>3</v>
      </c>
      <c r="B21" s="4" t="s">
        <v>284</v>
      </c>
      <c r="C21" s="4" t="s">
        <v>285</v>
      </c>
      <c r="D21" s="38">
        <v>92.45</v>
      </c>
      <c r="E21" s="38">
        <v>92.45</v>
      </c>
      <c r="F21" s="38">
        <f t="shared" si="0"/>
        <v>92.45</v>
      </c>
      <c r="G21" s="38" t="str">
        <f>IFERROR(VLOOKUP(F21,[8]Sheet1!$AA$1:$AB$10,2),"")</f>
        <v>A</v>
      </c>
    </row>
    <row r="22" spans="1:7">
      <c r="A22" s="118">
        <v>4</v>
      </c>
      <c r="B22" s="4" t="s">
        <v>286</v>
      </c>
      <c r="C22" s="4" t="s">
        <v>287</v>
      </c>
      <c r="D22" s="38">
        <v>0</v>
      </c>
      <c r="E22" s="38">
        <v>0</v>
      </c>
      <c r="F22" s="38">
        <f t="shared" si="0"/>
        <v>0</v>
      </c>
      <c r="G22" s="38" t="str">
        <f>IFERROR(VLOOKUP(F22,[8]Sheet1!$AA$1:$AB$10,2),"")</f>
        <v>E</v>
      </c>
    </row>
    <row r="23" spans="1:7">
      <c r="A23" s="118">
        <v>5</v>
      </c>
      <c r="B23" s="4" t="s">
        <v>288</v>
      </c>
      <c r="C23" s="4" t="s">
        <v>289</v>
      </c>
      <c r="D23" s="38">
        <v>84.75</v>
      </c>
      <c r="E23" s="38">
        <v>84.75</v>
      </c>
      <c r="F23" s="38">
        <f t="shared" si="0"/>
        <v>84.75</v>
      </c>
      <c r="G23" s="38" t="str">
        <f>IFERROR(VLOOKUP(F23,[8]Sheet1!$AA$1:$AB$10,2),"")</f>
        <v>A-</v>
      </c>
    </row>
    <row r="24" spans="1:7">
      <c r="A24" s="118">
        <v>6</v>
      </c>
      <c r="B24" s="4" t="s">
        <v>290</v>
      </c>
      <c r="C24" s="4" t="s">
        <v>291</v>
      </c>
      <c r="D24" s="38">
        <v>91</v>
      </c>
      <c r="E24" s="38">
        <v>91</v>
      </c>
      <c r="F24" s="38">
        <f t="shared" si="0"/>
        <v>91</v>
      </c>
      <c r="G24" s="38" t="str">
        <f>IFERROR(VLOOKUP(F24,[8]Sheet1!$AA$1:$AB$10,2),"")</f>
        <v>A</v>
      </c>
    </row>
    <row r="25" spans="1:7">
      <c r="A25" s="118">
        <v>7</v>
      </c>
      <c r="B25" s="4" t="s">
        <v>292</v>
      </c>
      <c r="C25" s="4" t="s">
        <v>293</v>
      </c>
      <c r="D25" s="38">
        <v>91.45</v>
      </c>
      <c r="E25" s="38">
        <v>91.45</v>
      </c>
      <c r="F25" s="38">
        <f t="shared" si="0"/>
        <v>91.45</v>
      </c>
      <c r="G25" s="38" t="str">
        <f>IFERROR(VLOOKUP(F25,[8]Sheet1!$AA$1:$AB$10,2),"")</f>
        <v>A</v>
      </c>
    </row>
    <row r="26" spans="1:7">
      <c r="A26" s="118">
        <v>8</v>
      </c>
      <c r="B26" s="4" t="s">
        <v>294</v>
      </c>
      <c r="C26" s="4" t="s">
        <v>295</v>
      </c>
      <c r="D26" s="38">
        <v>81.25</v>
      </c>
      <c r="E26" s="38">
        <v>81.25</v>
      </c>
      <c r="F26" s="38">
        <f t="shared" si="0"/>
        <v>81.25</v>
      </c>
      <c r="G26" s="38" t="str">
        <f>IFERROR(VLOOKUP(F26,[8]Sheet1!$AA$1:$AB$10,2),"")</f>
        <v>B+</v>
      </c>
    </row>
    <row r="27" spans="1:7">
      <c r="A27" s="118">
        <v>9</v>
      </c>
      <c r="B27" s="4" t="s">
        <v>296</v>
      </c>
      <c r="C27" s="4" t="s">
        <v>297</v>
      </c>
      <c r="D27" s="38">
        <v>90.65</v>
      </c>
      <c r="E27" s="38">
        <v>90.65</v>
      </c>
      <c r="F27" s="38">
        <f t="shared" si="0"/>
        <v>90.65</v>
      </c>
      <c r="G27" s="38" t="str">
        <f>IFERROR(VLOOKUP(F27,[8]Sheet1!$AA$1:$AB$10,2),"")</f>
        <v>A</v>
      </c>
    </row>
    <row r="28" spans="1:7">
      <c r="A28" s="118">
        <v>10</v>
      </c>
      <c r="B28" s="4" t="s">
        <v>298</v>
      </c>
      <c r="C28" s="4" t="s">
        <v>299</v>
      </c>
      <c r="D28" s="38">
        <v>92.1</v>
      </c>
      <c r="E28" s="38">
        <v>92.1</v>
      </c>
      <c r="F28" s="38">
        <f t="shared" si="0"/>
        <v>92.1</v>
      </c>
      <c r="G28" s="38" t="str">
        <f>IFERROR(VLOOKUP(F28,[8]Sheet1!$AA$1:$AB$10,2),"")</f>
        <v>A</v>
      </c>
    </row>
    <row r="29" spans="1:7">
      <c r="A29" s="118">
        <v>11</v>
      </c>
      <c r="B29" s="4" t="s">
        <v>300</v>
      </c>
      <c r="C29" s="4" t="s">
        <v>301</v>
      </c>
      <c r="D29" s="38">
        <v>88.25</v>
      </c>
      <c r="E29" s="38">
        <v>88.25</v>
      </c>
      <c r="F29" s="38">
        <f t="shared" si="0"/>
        <v>88.25</v>
      </c>
      <c r="G29" s="38" t="str">
        <f>IFERROR(VLOOKUP(F29,[8]Sheet1!$AA$1:$AB$10,2),"")</f>
        <v>A-</v>
      </c>
    </row>
    <row r="30" spans="1:7">
      <c r="A30" s="118">
        <v>12</v>
      </c>
      <c r="B30" s="4" t="s">
        <v>302</v>
      </c>
      <c r="C30" s="4" t="s">
        <v>303</v>
      </c>
      <c r="D30" s="38">
        <v>93.8</v>
      </c>
      <c r="E30" s="38">
        <v>93.8</v>
      </c>
      <c r="F30" s="38">
        <f t="shared" si="0"/>
        <v>93.8</v>
      </c>
      <c r="G30" s="38" t="str">
        <f>IFERROR(VLOOKUP(F30,[8]Sheet1!$AA$1:$AB$10,2),"")</f>
        <v>A</v>
      </c>
    </row>
    <row r="31" spans="1:7">
      <c r="A31" s="118">
        <v>13</v>
      </c>
      <c r="B31" s="4" t="s">
        <v>304</v>
      </c>
      <c r="C31" s="4" t="s">
        <v>305</v>
      </c>
      <c r="D31" s="38">
        <v>91.45</v>
      </c>
      <c r="E31" s="38">
        <v>91.45</v>
      </c>
      <c r="F31" s="38">
        <f t="shared" si="0"/>
        <v>91.45</v>
      </c>
      <c r="G31" s="38" t="str">
        <f>IFERROR(VLOOKUP(F31,[8]Sheet1!$AA$1:$AB$10,2),"")</f>
        <v>A</v>
      </c>
    </row>
    <row r="32" spans="1:7">
      <c r="A32" s="118">
        <v>14</v>
      </c>
      <c r="B32" s="4" t="s">
        <v>306</v>
      </c>
      <c r="C32" s="4" t="s">
        <v>307</v>
      </c>
      <c r="D32" s="38">
        <v>86.1</v>
      </c>
      <c r="E32" s="38">
        <v>86.1</v>
      </c>
      <c r="F32" s="38">
        <f t="shared" si="0"/>
        <v>86.1</v>
      </c>
      <c r="G32" s="38" t="str">
        <f>IFERROR(VLOOKUP(F32,[8]Sheet1!$AA$1:$AB$10,2),"")</f>
        <v>A-</v>
      </c>
    </row>
    <row r="33" spans="1:7">
      <c r="A33" s="118">
        <v>15</v>
      </c>
      <c r="B33" s="4" t="s">
        <v>308</v>
      </c>
      <c r="C33" s="4" t="s">
        <v>309</v>
      </c>
      <c r="D33" s="38">
        <v>85.45</v>
      </c>
      <c r="E33" s="38">
        <v>85.45</v>
      </c>
      <c r="F33" s="38">
        <f t="shared" si="0"/>
        <v>85.45</v>
      </c>
      <c r="G33" s="38" t="str">
        <f>IFERROR(VLOOKUP(F33,[8]Sheet1!$AA$1:$AB$10,2),"")</f>
        <v>A-</v>
      </c>
    </row>
    <row r="34" spans="1:7">
      <c r="A34" s="118">
        <v>16</v>
      </c>
      <c r="B34" s="4" t="s">
        <v>310</v>
      </c>
      <c r="C34" s="4" t="s">
        <v>311</v>
      </c>
      <c r="D34" s="38">
        <v>89.65</v>
      </c>
      <c r="E34" s="38">
        <v>89.65</v>
      </c>
      <c r="F34" s="38">
        <f t="shared" si="0"/>
        <v>89.65</v>
      </c>
      <c r="G34" s="38" t="str">
        <f>IFERROR(VLOOKUP(F34,[8]Sheet1!$AA$1:$AB$10,2),"")</f>
        <v>A-</v>
      </c>
    </row>
    <row r="35" spans="1:7">
      <c r="A35" s="118">
        <v>17</v>
      </c>
      <c r="B35" s="4" t="s">
        <v>312</v>
      </c>
      <c r="C35" s="4" t="s">
        <v>313</v>
      </c>
      <c r="D35" s="38">
        <v>93.5</v>
      </c>
      <c r="E35" s="38">
        <v>93.5</v>
      </c>
      <c r="F35" s="38">
        <f t="shared" si="0"/>
        <v>93.5</v>
      </c>
      <c r="G35" s="38" t="str">
        <f>IFERROR(VLOOKUP(F35,[8]Sheet1!$AA$1:$AB$10,2),"")</f>
        <v>A</v>
      </c>
    </row>
    <row r="36" spans="1:7">
      <c r="A36" s="118">
        <v>18</v>
      </c>
      <c r="B36" s="4" t="s">
        <v>314</v>
      </c>
      <c r="C36" s="4" t="s">
        <v>315</v>
      </c>
      <c r="D36" s="38">
        <v>90</v>
      </c>
      <c r="E36" s="38">
        <v>90</v>
      </c>
      <c r="F36" s="38">
        <f t="shared" si="0"/>
        <v>90</v>
      </c>
      <c r="G36" s="38" t="str">
        <f>IFERROR(VLOOKUP(F36,[8]Sheet1!$AA$1:$AB$10,2),"")</f>
        <v>A-</v>
      </c>
    </row>
    <row r="37" spans="1:7">
      <c r="A37" s="118">
        <v>19</v>
      </c>
      <c r="B37" s="4" t="s">
        <v>316</v>
      </c>
      <c r="C37" s="4" t="s">
        <v>317</v>
      </c>
      <c r="D37" s="38">
        <v>81.2</v>
      </c>
      <c r="E37" s="38">
        <v>81.2</v>
      </c>
      <c r="F37" s="38">
        <f t="shared" si="0"/>
        <v>81.2</v>
      </c>
      <c r="G37" s="38" t="str">
        <f>IFERROR(VLOOKUP(F37,[8]Sheet1!$AA$1:$AB$10,2),"")</f>
        <v>B+</v>
      </c>
    </row>
    <row r="38" spans="1:7">
      <c r="A38" s="118">
        <v>20</v>
      </c>
      <c r="B38" s="4" t="s">
        <v>318</v>
      </c>
      <c r="C38" s="4" t="s">
        <v>319</v>
      </c>
      <c r="D38" s="38">
        <v>89.25</v>
      </c>
      <c r="E38" s="38">
        <v>89.25</v>
      </c>
      <c r="F38" s="38">
        <f t="shared" si="0"/>
        <v>89.25</v>
      </c>
      <c r="G38" s="38" t="str">
        <f>IFERROR(VLOOKUP(F38,[8]Sheet1!$AA$1:$AB$10,2),"")</f>
        <v>A-</v>
      </c>
    </row>
    <row r="39" spans="1:7">
      <c r="A39" s="118">
        <v>21</v>
      </c>
      <c r="B39" s="4" t="s">
        <v>320</v>
      </c>
      <c r="C39" s="4" t="s">
        <v>321</v>
      </c>
      <c r="D39" s="38">
        <v>87.15</v>
      </c>
      <c r="E39" s="38">
        <v>87.15</v>
      </c>
      <c r="F39" s="38">
        <f t="shared" si="0"/>
        <v>87.15</v>
      </c>
      <c r="G39" s="38" t="str">
        <f>IFERROR(VLOOKUP(F39,[8]Sheet1!$AA$1:$AB$10,2),"")</f>
        <v>A-</v>
      </c>
    </row>
    <row r="40" spans="1:7">
      <c r="A40" s="118">
        <v>22</v>
      </c>
      <c r="B40" s="4" t="s">
        <v>322</v>
      </c>
      <c r="C40" s="4" t="s">
        <v>323</v>
      </c>
      <c r="D40" s="38">
        <v>87.15</v>
      </c>
      <c r="E40" s="38">
        <v>87.15</v>
      </c>
      <c r="F40" s="38">
        <f t="shared" si="0"/>
        <v>87.15</v>
      </c>
      <c r="G40" s="38" t="str">
        <f>IFERROR(VLOOKUP(F40,[8]Sheet1!$AA$1:$AB$10,2),"")</f>
        <v>A-</v>
      </c>
    </row>
    <row r="41" spans="1:7">
      <c r="A41" s="118">
        <v>23</v>
      </c>
      <c r="B41" s="4" t="s">
        <v>324</v>
      </c>
      <c r="C41" s="4" t="s">
        <v>325</v>
      </c>
      <c r="D41" s="38">
        <v>80.25</v>
      </c>
      <c r="E41" s="38">
        <v>80.25</v>
      </c>
      <c r="F41" s="38">
        <f t="shared" si="0"/>
        <v>80.25</v>
      </c>
      <c r="G41" s="38" t="str">
        <f>IFERROR(VLOOKUP(F41,[8]Sheet1!$AA$1:$AB$10,2),"")</f>
        <v>B+</v>
      </c>
    </row>
    <row r="42" spans="1:7">
      <c r="A42" s="118">
        <v>24</v>
      </c>
      <c r="B42" s="4" t="s">
        <v>326</v>
      </c>
      <c r="C42" s="4" t="s">
        <v>327</v>
      </c>
      <c r="D42" s="38">
        <v>91</v>
      </c>
      <c r="E42" s="38">
        <v>91</v>
      </c>
      <c r="F42" s="38">
        <f t="shared" si="0"/>
        <v>91</v>
      </c>
      <c r="G42" s="38" t="str">
        <f>IFERROR(VLOOKUP(F42,[8]Sheet1!$AA$1:$AB$10,2),"")</f>
        <v>A</v>
      </c>
    </row>
    <row r="43" spans="1:7">
      <c r="A43" s="118">
        <v>25</v>
      </c>
      <c r="B43" s="4" t="s">
        <v>328</v>
      </c>
      <c r="C43" s="4" t="s">
        <v>329</v>
      </c>
      <c r="D43" s="38">
        <v>90.65</v>
      </c>
      <c r="E43" s="38">
        <v>90.65</v>
      </c>
      <c r="F43" s="38">
        <f t="shared" si="0"/>
        <v>90.65</v>
      </c>
      <c r="G43" s="38" t="str">
        <f>IFERROR(VLOOKUP(F43,[8]Sheet1!$AA$1:$AB$10,2),"")</f>
        <v>A</v>
      </c>
    </row>
    <row r="44" spans="1:7">
      <c r="A44" s="118">
        <v>26</v>
      </c>
      <c r="B44" s="4" t="s">
        <v>330</v>
      </c>
      <c r="C44" s="4" t="s">
        <v>331</v>
      </c>
      <c r="D44" s="38">
        <v>90.2</v>
      </c>
      <c r="E44" s="38">
        <v>89</v>
      </c>
      <c r="F44" s="38">
        <f t="shared" si="0"/>
        <v>89.6</v>
      </c>
      <c r="G44" s="38" t="str">
        <f>IFERROR(VLOOKUP(F44,[8]Sheet1!$AA$1:$AB$10,2),"")</f>
        <v>A-</v>
      </c>
    </row>
    <row r="45" spans="1:7">
      <c r="A45" s="118">
        <v>27</v>
      </c>
      <c r="B45" s="4" t="s">
        <v>332</v>
      </c>
      <c r="C45" s="4" t="s">
        <v>333</v>
      </c>
      <c r="D45" s="38">
        <v>91</v>
      </c>
      <c r="E45" s="38">
        <v>93.1</v>
      </c>
      <c r="F45" s="38">
        <f t="shared" si="0"/>
        <v>92.05</v>
      </c>
      <c r="G45" s="38" t="str">
        <f>IFERROR(VLOOKUP(F45,[8]Sheet1!$AA$1:$AB$10,2),"")</f>
        <v>A</v>
      </c>
    </row>
    <row r="46" spans="1:7">
      <c r="A46" s="118">
        <v>28</v>
      </c>
      <c r="B46" s="4" t="s">
        <v>334</v>
      </c>
      <c r="C46" s="4" t="s">
        <v>335</v>
      </c>
      <c r="D46" s="38">
        <v>91</v>
      </c>
      <c r="E46" s="38">
        <v>91.4</v>
      </c>
      <c r="F46" s="38">
        <f t="shared" si="0"/>
        <v>91.2</v>
      </c>
      <c r="G46" s="38" t="str">
        <f>IFERROR(VLOOKUP(F46,[8]Sheet1!$AA$1:$AB$10,2),"")</f>
        <v>A</v>
      </c>
    </row>
    <row r="47" spans="1:7">
      <c r="A47" s="118">
        <v>29</v>
      </c>
      <c r="B47" s="4" t="s">
        <v>336</v>
      </c>
      <c r="C47" s="4" t="s">
        <v>337</v>
      </c>
      <c r="D47" s="38">
        <v>91.5</v>
      </c>
      <c r="E47" s="38">
        <v>93.8</v>
      </c>
      <c r="F47" s="38">
        <f t="shared" si="0"/>
        <v>92.65</v>
      </c>
      <c r="G47" s="38" t="str">
        <f>IFERROR(VLOOKUP(F47,[8]Sheet1!$AA$1:$AB$10,2),"")</f>
        <v>A</v>
      </c>
    </row>
    <row r="48" spans="1:7">
      <c r="A48" s="118">
        <v>30</v>
      </c>
      <c r="B48" s="4" t="s">
        <v>338</v>
      </c>
      <c r="C48" s="4" t="s">
        <v>339</v>
      </c>
      <c r="D48" s="38">
        <v>91</v>
      </c>
      <c r="E48" s="38">
        <v>91.5</v>
      </c>
      <c r="F48" s="38">
        <f t="shared" si="0"/>
        <v>91.25</v>
      </c>
      <c r="G48" s="38" t="str">
        <f>IFERROR(VLOOKUP(F48,[8]Sheet1!$AA$1:$AB$10,2),"")</f>
        <v>A</v>
      </c>
    </row>
    <row r="49" spans="1:7">
      <c r="A49" s="118">
        <v>31</v>
      </c>
      <c r="B49" s="4" t="s">
        <v>340</v>
      </c>
      <c r="C49" s="4" t="s">
        <v>341</v>
      </c>
      <c r="D49" s="38">
        <v>91</v>
      </c>
      <c r="E49" s="38">
        <v>91</v>
      </c>
      <c r="F49" s="38">
        <f t="shared" si="0"/>
        <v>91</v>
      </c>
      <c r="G49" s="38" t="str">
        <f>IFERROR(VLOOKUP(F49,[8]Sheet1!$AA$1:$AB$10,2),"")</f>
        <v>A</v>
      </c>
    </row>
    <row r="50" spans="1:7">
      <c r="A50" s="118">
        <v>32</v>
      </c>
      <c r="B50" s="4" t="s">
        <v>342</v>
      </c>
      <c r="C50" s="4" t="s">
        <v>343</v>
      </c>
      <c r="D50" s="38">
        <v>85.5</v>
      </c>
      <c r="E50" s="38">
        <v>87.6</v>
      </c>
      <c r="F50" s="38">
        <f t="shared" si="0"/>
        <v>86.55</v>
      </c>
      <c r="G50" s="38" t="str">
        <f>IFERROR(VLOOKUP(F50,[8]Sheet1!$AA$1:$AB$10,2),"")</f>
        <v>A-</v>
      </c>
    </row>
    <row r="51" spans="1:7">
      <c r="A51" s="118">
        <v>33</v>
      </c>
      <c r="B51" s="4" t="s">
        <v>344</v>
      </c>
      <c r="C51" s="4" t="s">
        <v>345</v>
      </c>
      <c r="D51" s="38">
        <v>91</v>
      </c>
      <c r="E51" s="38">
        <v>91</v>
      </c>
      <c r="F51" s="38">
        <f t="shared" si="0"/>
        <v>91</v>
      </c>
      <c r="G51" s="38" t="str">
        <f>IFERROR(VLOOKUP(F51,[8]Sheet1!$AA$1:$AB$10,2),"")</f>
        <v>A</v>
      </c>
    </row>
    <row r="52" spans="1:7">
      <c r="A52" s="118">
        <v>34</v>
      </c>
      <c r="B52" s="4" t="s">
        <v>346</v>
      </c>
      <c r="C52" s="4" t="s">
        <v>347</v>
      </c>
      <c r="D52" s="38">
        <v>91.5</v>
      </c>
      <c r="E52" s="38">
        <v>92.4</v>
      </c>
      <c r="F52" s="38">
        <f t="shared" si="0"/>
        <v>91.95</v>
      </c>
      <c r="G52" s="38" t="str">
        <f>IFERROR(VLOOKUP(F52,[8]Sheet1!$AA$1:$AB$10,2),"")</f>
        <v>A</v>
      </c>
    </row>
    <row r="53" spans="1:7">
      <c r="A53" s="118">
        <v>35</v>
      </c>
      <c r="B53" s="4" t="s">
        <v>348</v>
      </c>
      <c r="C53" s="4" t="s">
        <v>349</v>
      </c>
      <c r="D53" s="38">
        <v>95.5</v>
      </c>
      <c r="E53" s="38">
        <v>91.3</v>
      </c>
      <c r="F53" s="38">
        <f t="shared" si="0"/>
        <v>93.4</v>
      </c>
      <c r="G53" s="38" t="str">
        <f>IFERROR(VLOOKUP(F53,[8]Sheet1!$AA$1:$AB$10,2),"")</f>
        <v>A</v>
      </c>
    </row>
    <row r="54" spans="1:7">
      <c r="A54" s="118">
        <v>36</v>
      </c>
      <c r="B54" s="4" t="s">
        <v>350</v>
      </c>
      <c r="C54" s="4" t="s">
        <v>351</v>
      </c>
      <c r="D54" s="38">
        <v>91.5</v>
      </c>
      <c r="E54" s="38">
        <v>95.5</v>
      </c>
      <c r="F54" s="38">
        <f t="shared" si="0"/>
        <v>93.5</v>
      </c>
      <c r="G54" s="38" t="str">
        <f>IFERROR(VLOOKUP(F54,[8]Sheet1!$AA$1:$AB$10,2),"")</f>
        <v>A</v>
      </c>
    </row>
    <row r="55" spans="1:7">
      <c r="A55" s="118">
        <v>37</v>
      </c>
      <c r="B55" s="4" t="s">
        <v>352</v>
      </c>
      <c r="C55" s="4" t="s">
        <v>353</v>
      </c>
      <c r="D55" s="38">
        <v>93.8</v>
      </c>
      <c r="E55" s="38">
        <v>91</v>
      </c>
      <c r="F55" s="38">
        <f t="shared" si="0"/>
        <v>92.4</v>
      </c>
      <c r="G55" s="38" t="str">
        <f>IFERROR(VLOOKUP(F55,[8]Sheet1!$AA$1:$AB$10,2),"")</f>
        <v>A</v>
      </c>
    </row>
    <row r="56" spans="1:7">
      <c r="C56" s="35"/>
      <c r="D56" s="36"/>
      <c r="E56" s="36"/>
      <c r="F56" s="36"/>
    </row>
    <row r="57" spans="1:7" ht="28.5" thickBot="1">
      <c r="C57" s="35"/>
      <c r="D57" s="36" t="str">
        <f t="shared" ref="D57:E57" si="1">D16</f>
        <v>CPMK122</v>
      </c>
      <c r="E57" s="36" t="str">
        <f t="shared" si="1"/>
        <v>CPMK123</v>
      </c>
      <c r="F57" s="21" t="str">
        <f>F12</f>
        <v>Nilai Akhir MK     100</v>
      </c>
    </row>
    <row r="58" spans="1:7" ht="14.5" thickBot="1">
      <c r="C58" s="39" t="s">
        <v>106</v>
      </c>
      <c r="D58" s="40">
        <f>IFERROR(COUNTIF(D19:D55,""),"")</f>
        <v>0</v>
      </c>
      <c r="E58" s="40">
        <f>IFERROR(COUNTIF(E19:E55,""),"")</f>
        <v>0</v>
      </c>
      <c r="F58" s="40">
        <f>IFERROR(COUNTIF(F19:F55,""),"")</f>
        <v>0</v>
      </c>
    </row>
    <row r="59" spans="1:7" ht="14.5" thickBot="1">
      <c r="C59" s="41" t="s">
        <v>98</v>
      </c>
      <c r="D59" s="42">
        <f>IFERROR(COUNTIF(D19:D55,C59)+COUNTIF(D19:D55,""),"")-D58</f>
        <v>1</v>
      </c>
      <c r="E59" s="42">
        <f>COUNTIF(E19:E55,C59)+COUNTIF(E19:E55,"")-E58</f>
        <v>1</v>
      </c>
      <c r="F59" s="42">
        <f>IFERROR(COUNTIF(F19:F55,C59)+COUNTIF(F19:F55,""),"")</f>
        <v>1</v>
      </c>
    </row>
    <row r="60" spans="1:7" ht="14.5" thickBot="1">
      <c r="C60" s="43" t="s">
        <v>99</v>
      </c>
      <c r="D60" s="44">
        <f>IFERROR(COUNTIF(D19:D55,C60)-D59,"")</f>
        <v>4</v>
      </c>
      <c r="E60" s="44">
        <f>COUNTIF(E19:E55,C60)-E59</f>
        <v>4</v>
      </c>
      <c r="F60" s="45">
        <f>IFERROR(COUNTIF(F19:F55,C60)-F59,"")</f>
        <v>4</v>
      </c>
    </row>
    <row r="61" spans="1:7" ht="14.5" thickBot="1">
      <c r="C61" s="46" t="s">
        <v>100</v>
      </c>
      <c r="D61" s="47">
        <f>COUNTIF(D19:D55,C61)</f>
        <v>32</v>
      </c>
      <c r="E61" s="47">
        <f>COUNTIF(E19:E55,C61)</f>
        <v>32</v>
      </c>
      <c r="F61" s="47">
        <f>IFERROR(COUNTIF(F19:F55,C61),"")</f>
        <v>32</v>
      </c>
    </row>
    <row r="62" spans="1:7" ht="14.5" thickBot="1">
      <c r="C62" s="48" t="s">
        <v>78</v>
      </c>
      <c r="D62" s="49">
        <f>SUM(D58:D61)</f>
        <v>37</v>
      </c>
      <c r="E62" s="49">
        <f t="shared" ref="E62:F62" si="2">SUM(E58:E61)</f>
        <v>37</v>
      </c>
      <c r="F62" s="49">
        <f t="shared" si="2"/>
        <v>37</v>
      </c>
    </row>
    <row r="63" spans="1:7">
      <c r="C63" s="54"/>
      <c r="D63" s="36"/>
      <c r="E63" s="36"/>
      <c r="F63" s="36"/>
    </row>
    <row r="64" spans="1:7">
      <c r="C64" s="55" t="s">
        <v>101</v>
      </c>
      <c r="D64" s="56">
        <f>(D60+D61)/(D62-D58)</f>
        <v>0.97297297297297303</v>
      </c>
      <c r="E64" s="56">
        <f>(E60+E61)/(E62-E58)</f>
        <v>0.97297297297297303</v>
      </c>
      <c r="F64" s="56">
        <f>(F60+F61)/(F62-F58)</f>
        <v>0.97297297297297303</v>
      </c>
    </row>
    <row r="65" spans="3:6">
      <c r="C65" s="34"/>
      <c r="D65" s="36"/>
      <c r="E65" s="36"/>
      <c r="F65" s="36"/>
    </row>
    <row r="66" spans="3:6">
      <c r="C66" s="55" t="s">
        <v>102</v>
      </c>
      <c r="D66" s="57">
        <f>MIN(D19:D55)</f>
        <v>0</v>
      </c>
      <c r="E66" s="57">
        <f>MIN(E19:E55)</f>
        <v>0</v>
      </c>
      <c r="F66" s="58">
        <f>IFERROR(MIN(F19:F55),"")</f>
        <v>0</v>
      </c>
    </row>
    <row r="67" spans="3:6">
      <c r="C67" s="55" t="s">
        <v>103</v>
      </c>
      <c r="D67" s="57">
        <f>MAX(D19:D55)</f>
        <v>95.5</v>
      </c>
      <c r="E67" s="57">
        <f>MAX(E19:E55)</f>
        <v>95.5</v>
      </c>
      <c r="F67" s="58">
        <f>IFERROR(MAX(F19:F55),"")</f>
        <v>93.8</v>
      </c>
    </row>
    <row r="68" spans="3:6">
      <c r="C68" s="55" t="s">
        <v>104</v>
      </c>
      <c r="D68" s="58">
        <f>AVERAGE(D19:D55)</f>
        <v>87.039189189189202</v>
      </c>
      <c r="E68" s="58">
        <f>AVERAGE(E19:E55)</f>
        <v>87.15000000000002</v>
      </c>
      <c r="F68" s="58">
        <f>IFERROR(AVERAGE(F19:F55),"")</f>
        <v>87.094594594594611</v>
      </c>
    </row>
  </sheetData>
  <mergeCells count="7">
    <mergeCell ref="A1:H1"/>
    <mergeCell ref="A2:H2"/>
    <mergeCell ref="D12:E12"/>
    <mergeCell ref="F12:F17"/>
    <mergeCell ref="G12:G17"/>
    <mergeCell ref="D13:E13"/>
    <mergeCell ref="D14:E14"/>
  </mergeCells>
  <printOptions horizontalCentered="1"/>
  <pageMargins left="0.19685039370078741" right="0.11811023622047245" top="0.19685039370078741" bottom="0.15748031496062992" header="0" footer="0"/>
  <pageSetup paperSize="9" scale="82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E36A7-6292-42D8-896D-D7C99B257EF7}">
  <dimension ref="A1:W50"/>
  <sheetViews>
    <sheetView view="pageBreakPreview" zoomScaleNormal="100" zoomScaleSheetLayoutView="100" workbookViewId="0">
      <selection activeCell="D47" sqref="D47"/>
    </sheetView>
  </sheetViews>
  <sheetFormatPr defaultRowHeight="14"/>
  <cols>
    <col min="1" max="1" width="4" customWidth="1"/>
    <col min="2" max="2" width="12.83203125" customWidth="1"/>
    <col min="3" max="3" width="32.6640625" customWidth="1"/>
    <col min="4" max="4" width="13.08203125" customWidth="1"/>
    <col min="5" max="6" width="15.25" customWidth="1"/>
    <col min="7" max="7" width="12.6640625" customWidth="1"/>
    <col min="10" max="10" width="13" customWidth="1"/>
  </cols>
  <sheetData>
    <row r="1" spans="1:23" ht="18">
      <c r="A1" s="231" t="s">
        <v>79</v>
      </c>
      <c r="B1" s="231"/>
      <c r="C1" s="231"/>
      <c r="D1" s="231"/>
      <c r="E1" s="231"/>
      <c r="F1" s="231"/>
      <c r="G1" s="231"/>
      <c r="H1" s="231"/>
      <c r="I1" s="231"/>
      <c r="J1" s="33"/>
    </row>
    <row r="2" spans="1:23" ht="18.5" thickBot="1">
      <c r="A2" s="232" t="s">
        <v>80</v>
      </c>
      <c r="B2" s="232"/>
      <c r="C2" s="232"/>
      <c r="D2" s="232"/>
      <c r="E2" s="232"/>
      <c r="F2" s="232"/>
      <c r="G2" s="232"/>
      <c r="H2" s="232"/>
      <c r="I2" s="232"/>
      <c r="J2" s="33"/>
    </row>
    <row r="3" spans="1:23">
      <c r="A3" s="151"/>
      <c r="B3" s="151"/>
      <c r="C3" s="151"/>
      <c r="D3" s="151"/>
      <c r="E3" s="151"/>
      <c r="F3" s="151"/>
      <c r="G3" s="151"/>
      <c r="H3" s="151"/>
      <c r="I3" s="151"/>
    </row>
    <row r="4" spans="1:23">
      <c r="A4" s="151" t="s">
        <v>81</v>
      </c>
      <c r="B4" s="151"/>
      <c r="C4" s="151" t="s">
        <v>82</v>
      </c>
      <c r="D4" s="151"/>
      <c r="E4" s="151" t="s">
        <v>83</v>
      </c>
      <c r="F4" s="151" t="s">
        <v>84</v>
      </c>
      <c r="G4" s="151"/>
      <c r="H4" s="151"/>
      <c r="I4" s="151"/>
    </row>
    <row r="5" spans="1:23">
      <c r="A5" s="151" t="s">
        <v>41</v>
      </c>
      <c r="B5" s="151"/>
      <c r="C5" s="152" t="s">
        <v>127</v>
      </c>
      <c r="D5" s="151"/>
      <c r="E5" s="151" t="s">
        <v>85</v>
      </c>
      <c r="F5" s="151" t="s">
        <v>86</v>
      </c>
      <c r="G5" s="151"/>
      <c r="H5" s="151"/>
      <c r="I5" s="151"/>
    </row>
    <row r="6" spans="1:23">
      <c r="A6" s="151" t="s">
        <v>42</v>
      </c>
      <c r="B6" s="151"/>
      <c r="C6" s="151" t="s">
        <v>128</v>
      </c>
      <c r="D6" s="151"/>
      <c r="E6" s="151"/>
      <c r="F6" s="151"/>
      <c r="G6" s="151"/>
      <c r="H6" s="151"/>
      <c r="I6" s="151"/>
    </row>
    <row r="7" spans="1:23">
      <c r="A7" s="151" t="s">
        <v>87</v>
      </c>
      <c r="B7" s="151"/>
      <c r="C7" s="151" t="s">
        <v>88</v>
      </c>
      <c r="D7" s="151"/>
      <c r="E7" s="151"/>
      <c r="F7" s="151"/>
      <c r="G7" s="151"/>
      <c r="H7" s="151"/>
      <c r="I7" s="151"/>
    </row>
    <row r="8" spans="1:23">
      <c r="A8" s="151" t="s">
        <v>89</v>
      </c>
      <c r="B8" s="151"/>
      <c r="C8" s="151" t="s">
        <v>90</v>
      </c>
      <c r="D8" s="151"/>
      <c r="E8" s="151"/>
      <c r="F8" s="151"/>
      <c r="G8" s="151"/>
      <c r="H8" s="151"/>
      <c r="I8" s="151"/>
    </row>
    <row r="9" spans="1:23">
      <c r="A9" s="151" t="s">
        <v>91</v>
      </c>
      <c r="B9" s="151"/>
      <c r="C9" s="151" t="s">
        <v>129</v>
      </c>
      <c r="D9" s="151"/>
      <c r="E9" s="151"/>
      <c r="F9" s="151"/>
      <c r="G9" s="151"/>
      <c r="H9" s="151"/>
      <c r="I9" s="151"/>
    </row>
    <row r="10" spans="1:23">
      <c r="A10" s="151"/>
      <c r="B10" s="151"/>
      <c r="C10" s="151" t="s">
        <v>113</v>
      </c>
      <c r="D10" s="151"/>
      <c r="E10" s="151"/>
      <c r="F10" s="151"/>
      <c r="G10" s="151"/>
      <c r="H10" s="151"/>
      <c r="I10" s="151"/>
    </row>
    <row r="11" spans="1:23">
      <c r="A11" s="151"/>
      <c r="B11" s="151"/>
      <c r="C11" s="153"/>
      <c r="D11" s="154"/>
      <c r="E11" s="154"/>
      <c r="F11" s="154"/>
      <c r="G11" s="154"/>
      <c r="H11" s="154"/>
      <c r="I11" s="154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</row>
    <row r="12" spans="1:23">
      <c r="A12" s="151"/>
      <c r="B12" s="151"/>
      <c r="C12" s="153"/>
      <c r="D12" s="233" t="s">
        <v>74</v>
      </c>
      <c r="E12" s="234"/>
      <c r="F12" s="235"/>
      <c r="G12" s="236" t="str">
        <f>CONCATENATE("Nilai Akhir MK","     ",D17+E17+F17)</f>
        <v>Nilai Akhir MK     100</v>
      </c>
      <c r="H12" s="236" t="s">
        <v>93</v>
      </c>
      <c r="I12" s="151"/>
    </row>
    <row r="13" spans="1:23">
      <c r="A13" s="151"/>
      <c r="B13" s="151"/>
      <c r="C13" s="153"/>
      <c r="D13" s="239" t="str">
        <f>TRIM(MID(C5,3,100))</f>
        <v>U.24.01.55.1.03</v>
      </c>
      <c r="E13" s="239"/>
      <c r="F13" s="239"/>
      <c r="G13" s="237"/>
      <c r="H13" s="237"/>
      <c r="I13" s="151"/>
    </row>
    <row r="14" spans="1:23">
      <c r="A14" s="151"/>
      <c r="B14" s="151"/>
      <c r="C14" s="153"/>
      <c r="D14" s="239" t="str">
        <f>TRIM(MID(C6,3,100))</f>
        <v>KEWARGANEGARAAN</v>
      </c>
      <c r="E14" s="239"/>
      <c r="F14" s="239"/>
      <c r="G14" s="237"/>
      <c r="H14" s="237"/>
      <c r="I14" s="151"/>
    </row>
    <row r="15" spans="1:23">
      <c r="A15" s="151"/>
      <c r="B15" s="151"/>
      <c r="C15" s="153"/>
      <c r="D15" s="99" t="s">
        <v>121</v>
      </c>
      <c r="E15" s="99" t="s">
        <v>122</v>
      </c>
      <c r="F15" s="99" t="s">
        <v>123</v>
      </c>
      <c r="G15" s="237"/>
      <c r="H15" s="237"/>
      <c r="I15" s="151"/>
    </row>
    <row r="16" spans="1:23">
      <c r="A16" s="151"/>
      <c r="B16" s="151"/>
      <c r="C16" s="153"/>
      <c r="D16" s="99" t="s">
        <v>124</v>
      </c>
      <c r="E16" s="99" t="s">
        <v>130</v>
      </c>
      <c r="F16" s="99" t="s">
        <v>126</v>
      </c>
      <c r="G16" s="237"/>
      <c r="H16" s="237"/>
      <c r="I16" s="151"/>
    </row>
    <row r="17" spans="1:9">
      <c r="A17" s="151"/>
      <c r="B17" s="151"/>
      <c r="C17" s="153"/>
      <c r="D17" s="99">
        <v>25</v>
      </c>
      <c r="E17" s="99">
        <v>45</v>
      </c>
      <c r="F17" s="99">
        <v>30</v>
      </c>
      <c r="G17" s="238"/>
      <c r="H17" s="238"/>
      <c r="I17" s="151"/>
    </row>
    <row r="18" spans="1:9">
      <c r="A18" s="1" t="s">
        <v>0</v>
      </c>
      <c r="B18" s="1" t="s">
        <v>1</v>
      </c>
      <c r="C18" s="1" t="s">
        <v>2</v>
      </c>
      <c r="D18" s="1"/>
      <c r="E18" s="1"/>
      <c r="F18" s="1"/>
      <c r="G18" s="1"/>
      <c r="H18" s="1"/>
      <c r="I18" s="151"/>
    </row>
    <row r="19" spans="1:9">
      <c r="A19" s="99">
        <v>1</v>
      </c>
      <c r="B19" s="99" t="s">
        <v>3</v>
      </c>
      <c r="C19" s="155" t="s">
        <v>4</v>
      </c>
      <c r="D19" s="156"/>
      <c r="E19" s="156"/>
      <c r="F19" s="156"/>
      <c r="G19" s="156"/>
      <c r="H19" s="156"/>
      <c r="I19" s="151"/>
    </row>
    <row r="20" spans="1:9">
      <c r="A20" s="99">
        <v>2</v>
      </c>
      <c r="B20" s="99" t="s">
        <v>5</v>
      </c>
      <c r="C20" s="155" t="s">
        <v>6</v>
      </c>
      <c r="D20" s="156">
        <v>93.86</v>
      </c>
      <c r="E20" s="156">
        <v>88.75</v>
      </c>
      <c r="F20" s="156">
        <v>85</v>
      </c>
      <c r="G20" s="156">
        <f t="shared" ref="G20:G37" si="0">IFERROR((D20*($D$17/100))+(E20*($E$17/100))+(F20*($F$17/100)),"")</f>
        <v>88.902500000000003</v>
      </c>
      <c r="H20" s="156" t="str">
        <f>IFERROR(VLOOKUP(G20,[9]Sheet1!$AA$1:$AB$10,2),"")</f>
        <v>A-</v>
      </c>
      <c r="I20" s="151"/>
    </row>
    <row r="21" spans="1:9">
      <c r="A21" s="99">
        <v>3</v>
      </c>
      <c r="B21" s="99" t="s">
        <v>7</v>
      </c>
      <c r="C21" s="155" t="s">
        <v>8</v>
      </c>
      <c r="D21" s="156">
        <v>88.21</v>
      </c>
      <c r="E21" s="156">
        <v>55</v>
      </c>
      <c r="F21" s="156">
        <v>70</v>
      </c>
      <c r="G21" s="156">
        <f t="shared" si="0"/>
        <v>67.802499999999995</v>
      </c>
      <c r="H21" s="156" t="str">
        <f>IFERROR(VLOOKUP(G21,[9]Sheet1!$AA$1:$AB$10,2),"")</f>
        <v>B-</v>
      </c>
      <c r="I21" s="151"/>
    </row>
    <row r="22" spans="1:9">
      <c r="A22" s="99">
        <v>4</v>
      </c>
      <c r="B22" s="99" t="s">
        <v>9</v>
      </c>
      <c r="C22" s="155" t="s">
        <v>10</v>
      </c>
      <c r="D22" s="156">
        <v>87.64</v>
      </c>
      <c r="E22" s="156">
        <v>69.25</v>
      </c>
      <c r="F22" s="156">
        <v>59</v>
      </c>
      <c r="G22" s="156">
        <f t="shared" si="0"/>
        <v>70.772500000000008</v>
      </c>
      <c r="H22" s="156" t="str">
        <f>IFERROR(VLOOKUP(G22,[9]Sheet1!$AA$1:$AB$10,2),"")</f>
        <v>B</v>
      </c>
      <c r="I22" s="151"/>
    </row>
    <row r="23" spans="1:9">
      <c r="A23" s="99">
        <v>5</v>
      </c>
      <c r="B23" s="99" t="s">
        <v>11</v>
      </c>
      <c r="C23" s="155" t="s">
        <v>12</v>
      </c>
      <c r="D23" s="156">
        <v>91</v>
      </c>
      <c r="E23" s="156">
        <v>79</v>
      </c>
      <c r="F23" s="156">
        <v>72</v>
      </c>
      <c r="G23" s="156">
        <f t="shared" si="0"/>
        <v>79.900000000000006</v>
      </c>
      <c r="H23" s="156" t="str">
        <f>IFERROR(VLOOKUP(G23,[9]Sheet1!$AA$1:$AB$10,2),"")</f>
        <v>B+</v>
      </c>
      <c r="I23" s="151"/>
    </row>
    <row r="24" spans="1:9">
      <c r="A24" s="99">
        <v>6</v>
      </c>
      <c r="B24" s="99" t="s">
        <v>13</v>
      </c>
      <c r="C24" s="155" t="s">
        <v>14</v>
      </c>
      <c r="D24" s="156">
        <v>84.64</v>
      </c>
      <c r="E24" s="156">
        <v>85</v>
      </c>
      <c r="F24" s="156">
        <v>80</v>
      </c>
      <c r="G24" s="156">
        <f t="shared" si="0"/>
        <v>83.41</v>
      </c>
      <c r="H24" s="156" t="str">
        <f>IFERROR(VLOOKUP(G24,[9]Sheet1!$AA$1:$AB$10,2),"")</f>
        <v>B+</v>
      </c>
      <c r="I24" s="151"/>
    </row>
    <row r="25" spans="1:9">
      <c r="A25" s="99">
        <v>7</v>
      </c>
      <c r="B25" s="99" t="s">
        <v>15</v>
      </c>
      <c r="C25" s="155" t="s">
        <v>16</v>
      </c>
      <c r="D25" s="156">
        <v>53.86</v>
      </c>
      <c r="E25" s="156">
        <v>12.5</v>
      </c>
      <c r="F25" s="156">
        <v>0</v>
      </c>
      <c r="G25" s="156">
        <f t="shared" si="0"/>
        <v>19.09</v>
      </c>
      <c r="H25" s="156" t="str">
        <f>IFERROR(VLOOKUP(G25,[9]Sheet1!$AA$1:$AB$10,2),"")</f>
        <v>E</v>
      </c>
      <c r="I25" s="151"/>
    </row>
    <row r="26" spans="1:9">
      <c r="A26" s="99">
        <v>8</v>
      </c>
      <c r="B26" s="99" t="s">
        <v>17</v>
      </c>
      <c r="C26" s="155" t="s">
        <v>18</v>
      </c>
      <c r="D26" s="156">
        <v>67.069999999999993</v>
      </c>
      <c r="E26" s="156">
        <v>62.75</v>
      </c>
      <c r="F26" s="156">
        <v>67</v>
      </c>
      <c r="G26" s="156">
        <f t="shared" si="0"/>
        <v>65.10499999999999</v>
      </c>
      <c r="H26" s="156" t="str">
        <f>IFERROR(VLOOKUP(G26,[9]Sheet1!$AA$1:$AB$10,2),"")</f>
        <v>C+</v>
      </c>
      <c r="I26" s="151"/>
    </row>
    <row r="27" spans="1:9">
      <c r="A27" s="99">
        <v>9</v>
      </c>
      <c r="B27" s="99" t="s">
        <v>19</v>
      </c>
      <c r="C27" s="155" t="s">
        <v>20</v>
      </c>
      <c r="D27" s="156">
        <v>85.5</v>
      </c>
      <c r="E27" s="156">
        <v>86.5</v>
      </c>
      <c r="F27" s="156">
        <v>82</v>
      </c>
      <c r="G27" s="156">
        <f t="shared" si="0"/>
        <v>84.9</v>
      </c>
      <c r="H27" s="156" t="str">
        <f>IFERROR(VLOOKUP(G27,[9]Sheet1!$AA$1:$AB$10,2),"")</f>
        <v>A-</v>
      </c>
      <c r="I27" s="151"/>
    </row>
    <row r="28" spans="1:9">
      <c r="A28" s="99">
        <v>10</v>
      </c>
      <c r="B28" s="99" t="s">
        <v>21</v>
      </c>
      <c r="C28" s="155" t="s">
        <v>22</v>
      </c>
      <c r="D28" s="156">
        <v>78.86</v>
      </c>
      <c r="E28" s="156">
        <v>86.25</v>
      </c>
      <c r="F28" s="156">
        <v>85</v>
      </c>
      <c r="G28" s="156">
        <f t="shared" si="0"/>
        <v>84.027500000000003</v>
      </c>
      <c r="H28" s="156" t="str">
        <f>IFERROR(VLOOKUP(G28,[9]Sheet1!$AA$1:$AB$10,2),"")</f>
        <v>B+</v>
      </c>
      <c r="I28" s="151"/>
    </row>
    <row r="29" spans="1:9">
      <c r="A29" s="99">
        <v>11</v>
      </c>
      <c r="B29" s="99" t="s">
        <v>23</v>
      </c>
      <c r="C29" s="155" t="s">
        <v>24</v>
      </c>
      <c r="D29" s="156">
        <v>82.64</v>
      </c>
      <c r="E29" s="156">
        <v>82.5</v>
      </c>
      <c r="F29" s="156">
        <v>80</v>
      </c>
      <c r="G29" s="156">
        <f t="shared" si="0"/>
        <v>81.784999999999997</v>
      </c>
      <c r="H29" s="156" t="str">
        <f>IFERROR(VLOOKUP(G29,[9]Sheet1!$AA$1:$AB$10,2),"")</f>
        <v>B+</v>
      </c>
      <c r="I29" s="151"/>
    </row>
    <row r="30" spans="1:9">
      <c r="A30" s="99">
        <v>12</v>
      </c>
      <c r="B30" s="99" t="s">
        <v>25</v>
      </c>
      <c r="C30" s="155" t="s">
        <v>26</v>
      </c>
      <c r="D30" s="156">
        <v>75.5</v>
      </c>
      <c r="E30" s="156">
        <v>79</v>
      </c>
      <c r="F30" s="156">
        <v>82</v>
      </c>
      <c r="G30" s="156">
        <f t="shared" si="0"/>
        <v>79.025000000000006</v>
      </c>
      <c r="H30" s="156" t="str">
        <f>IFERROR(VLOOKUP(G30,[9]Sheet1!$AA$1:$AB$10,2),"")</f>
        <v>B+</v>
      </c>
      <c r="I30" s="151"/>
    </row>
    <row r="31" spans="1:9">
      <c r="A31" s="99">
        <v>13</v>
      </c>
      <c r="B31" s="99" t="s">
        <v>27</v>
      </c>
      <c r="C31" s="155" t="s">
        <v>28</v>
      </c>
      <c r="D31" s="156">
        <v>89.93</v>
      </c>
      <c r="E31" s="156">
        <v>86.5</v>
      </c>
      <c r="F31" s="156">
        <v>82</v>
      </c>
      <c r="G31" s="156">
        <f t="shared" si="0"/>
        <v>86.007500000000007</v>
      </c>
      <c r="H31" s="156" t="str">
        <f>IFERROR(VLOOKUP(G31,[9]Sheet1!$AA$1:$AB$10,2),"")</f>
        <v>A-</v>
      </c>
      <c r="I31" s="151"/>
    </row>
    <row r="32" spans="1:9">
      <c r="A32" s="99">
        <v>14</v>
      </c>
      <c r="B32" s="99" t="s">
        <v>29</v>
      </c>
      <c r="C32" s="155" t="s">
        <v>30</v>
      </c>
      <c r="D32" s="156">
        <v>76.290000000000006</v>
      </c>
      <c r="E32" s="156">
        <v>84</v>
      </c>
      <c r="F32" s="156">
        <v>82</v>
      </c>
      <c r="G32" s="156">
        <f t="shared" si="0"/>
        <v>81.472499999999997</v>
      </c>
      <c r="H32" s="156" t="str">
        <f>IFERROR(VLOOKUP(G32,[9]Sheet1!$AA$1:$AB$10,2),"")</f>
        <v>B+</v>
      </c>
      <c r="I32" s="151"/>
    </row>
    <row r="33" spans="1:9">
      <c r="A33" s="99">
        <v>15</v>
      </c>
      <c r="B33" s="99" t="s">
        <v>31</v>
      </c>
      <c r="C33" s="155" t="s">
        <v>32</v>
      </c>
      <c r="D33" s="156">
        <v>71.64</v>
      </c>
      <c r="E33" s="156">
        <v>70</v>
      </c>
      <c r="F33" s="156">
        <v>70</v>
      </c>
      <c r="G33" s="156">
        <f t="shared" si="0"/>
        <v>70.41</v>
      </c>
      <c r="H33" s="156" t="str">
        <f>IFERROR(VLOOKUP(G33,[9]Sheet1!$AA$1:$AB$10,2),"")</f>
        <v>B</v>
      </c>
      <c r="I33" s="151"/>
    </row>
    <row r="34" spans="1:9">
      <c r="A34" s="99">
        <v>16</v>
      </c>
      <c r="B34" s="99" t="s">
        <v>33</v>
      </c>
      <c r="C34" s="155" t="s">
        <v>34</v>
      </c>
      <c r="D34" s="156">
        <v>83.29</v>
      </c>
      <c r="E34" s="156">
        <v>77.5</v>
      </c>
      <c r="F34" s="156">
        <v>70</v>
      </c>
      <c r="G34" s="156">
        <f t="shared" si="0"/>
        <v>76.697500000000005</v>
      </c>
      <c r="H34" s="156" t="str">
        <f>IFERROR(VLOOKUP(G34,[9]Sheet1!$AA$1:$AB$10,2),"")</f>
        <v>B+</v>
      </c>
      <c r="I34" s="151"/>
    </row>
    <row r="35" spans="1:9">
      <c r="A35" s="99">
        <v>17</v>
      </c>
      <c r="B35" s="99" t="s">
        <v>35</v>
      </c>
      <c r="C35" s="155" t="s">
        <v>36</v>
      </c>
      <c r="D35" s="156">
        <v>82.57</v>
      </c>
      <c r="E35" s="156">
        <v>78</v>
      </c>
      <c r="F35" s="156">
        <v>74</v>
      </c>
      <c r="G35" s="156">
        <f t="shared" si="0"/>
        <v>77.942499999999995</v>
      </c>
      <c r="H35" s="156" t="str">
        <f>IFERROR(VLOOKUP(G35,[9]Sheet1!$AA$1:$AB$10,2),"")</f>
        <v>B+</v>
      </c>
      <c r="I35" s="151"/>
    </row>
    <row r="36" spans="1:9">
      <c r="A36" s="99">
        <v>18</v>
      </c>
      <c r="B36" s="99" t="s">
        <v>37</v>
      </c>
      <c r="C36" s="155" t="s">
        <v>38</v>
      </c>
      <c r="D36" s="156">
        <v>77.430000000000007</v>
      </c>
      <c r="E36" s="156">
        <v>72.75</v>
      </c>
      <c r="F36" s="156">
        <v>77</v>
      </c>
      <c r="G36" s="156">
        <f t="shared" si="0"/>
        <v>75.195000000000007</v>
      </c>
      <c r="H36" s="156" t="str">
        <f>IFERROR(VLOOKUP(G36,[9]Sheet1!$AA$1:$AB$10,2),"")</f>
        <v>B</v>
      </c>
      <c r="I36" s="151"/>
    </row>
    <row r="37" spans="1:9">
      <c r="A37" s="99">
        <v>19</v>
      </c>
      <c r="B37" s="99" t="s">
        <v>39</v>
      </c>
      <c r="C37" s="155" t="s">
        <v>40</v>
      </c>
      <c r="D37" s="156">
        <v>77.5</v>
      </c>
      <c r="E37" s="156">
        <v>70.5</v>
      </c>
      <c r="F37" s="156">
        <v>74</v>
      </c>
      <c r="G37" s="156">
        <f t="shared" si="0"/>
        <v>73.3</v>
      </c>
      <c r="H37" s="156" t="str">
        <f>IFERROR(VLOOKUP(G37,[9]Sheet1!$AA$1:$AB$10,2),"")</f>
        <v>B</v>
      </c>
      <c r="I37" s="151"/>
    </row>
    <row r="38" spans="1:9">
      <c r="A38" s="151"/>
      <c r="B38" s="151"/>
      <c r="C38" s="153"/>
      <c r="D38" s="154"/>
      <c r="E38" s="154"/>
      <c r="F38" s="154"/>
      <c r="G38" s="154"/>
      <c r="H38" s="151"/>
      <c r="I38" s="151"/>
    </row>
    <row r="39" spans="1:9" ht="28.5" thickBot="1">
      <c r="A39" s="151"/>
      <c r="B39" s="151"/>
      <c r="C39" s="153"/>
      <c r="D39" s="154" t="str">
        <f t="shared" ref="D39:F39" si="1">D16</f>
        <v>CPMK101</v>
      </c>
      <c r="E39" s="154" t="str">
        <f t="shared" si="1"/>
        <v>CPMK122</v>
      </c>
      <c r="F39" s="154" t="str">
        <f t="shared" si="1"/>
        <v>CPMK141</v>
      </c>
      <c r="G39" s="157" t="str">
        <f>G12</f>
        <v>Nilai Akhir MK     100</v>
      </c>
      <c r="H39" s="151"/>
      <c r="I39" s="151"/>
    </row>
    <row r="40" spans="1:9" ht="14.5" thickBot="1">
      <c r="A40" s="151"/>
      <c r="B40" s="151"/>
      <c r="C40" s="158" t="s">
        <v>106</v>
      </c>
      <c r="D40" s="159">
        <f>IFERROR(COUNTIF(D19:D37,""),"")</f>
        <v>1</v>
      </c>
      <c r="E40" s="159">
        <f>IFERROR(COUNTIF(E19:E37,""),"")</f>
        <v>1</v>
      </c>
      <c r="F40" s="159">
        <f>IFERROR(COUNTIF(F19:F37,""),"")</f>
        <v>1</v>
      </c>
      <c r="G40" s="159">
        <f>IFERROR(COUNTIF(G19:G37,""),"")</f>
        <v>1</v>
      </c>
      <c r="H40" s="151"/>
      <c r="I40" s="151"/>
    </row>
    <row r="41" spans="1:9" ht="14.5" thickBot="1">
      <c r="A41" s="151"/>
      <c r="B41" s="151"/>
      <c r="C41" s="158" t="s">
        <v>98</v>
      </c>
      <c r="D41" s="159">
        <f>IFERROR(COUNTIF(D19:D37,C41)+COUNTIF(D19:D37,""),"")-D40</f>
        <v>1</v>
      </c>
      <c r="E41" s="159">
        <f>COUNTIF(E19:E37,C41)+COUNTIF(E19:E37,"")-E40</f>
        <v>3</v>
      </c>
      <c r="F41" s="159">
        <f>COUNTIF(F19:F37,C41)+COUNTIF(F19:F37,"")-F40</f>
        <v>2</v>
      </c>
      <c r="G41" s="159">
        <f>IFERROR(COUNTIF(G19:G37,C41)+COUNTIF(G19:G37,""),"")</f>
        <v>2</v>
      </c>
      <c r="H41" s="151"/>
      <c r="I41" s="151"/>
    </row>
    <row r="42" spans="1:9" ht="14.5" thickBot="1">
      <c r="A42" s="151"/>
      <c r="B42" s="151"/>
      <c r="C42" s="160" t="s">
        <v>99</v>
      </c>
      <c r="D42" s="161">
        <f>IFERROR(COUNTIF(D19:D37,C42)-D41,"")</f>
        <v>11</v>
      </c>
      <c r="E42" s="161">
        <f>COUNTIF(E19:E37,C42)-E41</f>
        <v>10</v>
      </c>
      <c r="F42" s="161">
        <f>COUNTIF(F19:F37,C42)-F41</f>
        <v>14</v>
      </c>
      <c r="G42" s="162">
        <f>IFERROR(COUNTIF(G19:G37,C42)-G41,"")</f>
        <v>14</v>
      </c>
      <c r="H42" s="151"/>
      <c r="I42" s="151"/>
    </row>
    <row r="43" spans="1:9" ht="14.5" thickBot="1">
      <c r="A43" s="151"/>
      <c r="B43" s="151"/>
      <c r="C43" s="160" t="s">
        <v>100</v>
      </c>
      <c r="D43" s="161">
        <f>COUNTIF(D19:D37,C43)</f>
        <v>6</v>
      </c>
      <c r="E43" s="161">
        <f>COUNTIF(E19:E37,C43)</f>
        <v>5</v>
      </c>
      <c r="F43" s="161">
        <f>COUNTIF(F19:F37,C43)</f>
        <v>2</v>
      </c>
      <c r="G43" s="161">
        <f>IFERROR(COUNTIF(G19:G37,C43),"")</f>
        <v>2</v>
      </c>
      <c r="H43" s="151"/>
      <c r="I43" s="151"/>
    </row>
    <row r="44" spans="1:9" ht="14.5" thickBot="1">
      <c r="A44" s="151"/>
      <c r="B44" s="151"/>
      <c r="C44" s="160" t="s">
        <v>78</v>
      </c>
      <c r="D44" s="161">
        <f>SUM(D40:D43)</f>
        <v>19</v>
      </c>
      <c r="E44" s="161">
        <f t="shared" ref="E44:G44" si="2">SUM(E40:E43)</f>
        <v>19</v>
      </c>
      <c r="F44" s="161">
        <f t="shared" si="2"/>
        <v>19</v>
      </c>
      <c r="G44" s="161">
        <f t="shared" si="2"/>
        <v>19</v>
      </c>
      <c r="H44" s="151"/>
      <c r="I44" s="151"/>
    </row>
    <row r="45" spans="1:9" ht="14.5" thickBot="1">
      <c r="A45" s="151"/>
      <c r="B45" s="151"/>
      <c r="C45" s="163"/>
      <c r="D45" s="154"/>
      <c r="E45" s="154"/>
      <c r="F45" s="154"/>
      <c r="G45" s="154"/>
      <c r="H45" s="151"/>
      <c r="I45" s="151"/>
    </row>
    <row r="46" spans="1:9" ht="14.5" thickBot="1">
      <c r="A46" s="151"/>
      <c r="B46" s="151"/>
      <c r="C46" s="164" t="s">
        <v>101</v>
      </c>
      <c r="D46" s="165">
        <f>(D42+D43)/(D44-D40)</f>
        <v>0.94444444444444442</v>
      </c>
      <c r="E46" s="165">
        <f>(E42+E43)/(E44-E40)</f>
        <v>0.83333333333333337</v>
      </c>
      <c r="F46" s="165">
        <f>(F42+F43)/(F44-F40)</f>
        <v>0.88888888888888884</v>
      </c>
      <c r="G46" s="165">
        <f>(G42+G43)/(G44-G40)</f>
        <v>0.88888888888888884</v>
      </c>
      <c r="H46" s="151"/>
      <c r="I46" s="151"/>
    </row>
    <row r="47" spans="1:9" ht="14.5" thickBot="1">
      <c r="A47" s="151"/>
      <c r="B47" s="151"/>
      <c r="C47" s="163"/>
      <c r="D47" s="154"/>
      <c r="E47" s="154"/>
      <c r="F47" s="154"/>
      <c r="G47" s="154"/>
      <c r="H47" s="151"/>
      <c r="I47" s="151"/>
    </row>
    <row r="48" spans="1:9" ht="14.5" thickBot="1">
      <c r="A48" s="151"/>
      <c r="B48" s="151"/>
      <c r="C48" s="164" t="s">
        <v>102</v>
      </c>
      <c r="D48" s="166">
        <f>MIN(D19:D37)</f>
        <v>53.86</v>
      </c>
      <c r="E48" s="166">
        <f>MIN(E19:E37)</f>
        <v>12.5</v>
      </c>
      <c r="F48" s="166">
        <f>MIN(F19:F37)</f>
        <v>0</v>
      </c>
      <c r="G48" s="167">
        <f>IFERROR(MIN(G19:G37),"")</f>
        <v>19.09</v>
      </c>
      <c r="H48" s="151"/>
      <c r="I48" s="151"/>
    </row>
    <row r="49" spans="1:9" ht="14.5" thickBot="1">
      <c r="A49" s="151"/>
      <c r="B49" s="151"/>
      <c r="C49" s="164" t="s">
        <v>103</v>
      </c>
      <c r="D49" s="166">
        <f>MAX(D19:D37)</f>
        <v>93.86</v>
      </c>
      <c r="E49" s="166">
        <f>MAX(E19:E37)</f>
        <v>88.75</v>
      </c>
      <c r="F49" s="166">
        <f>MAX(F19:F37)</f>
        <v>85</v>
      </c>
      <c r="G49" s="167">
        <f>IFERROR(MAX(G19:G37),"")</f>
        <v>88.902500000000003</v>
      </c>
      <c r="H49" s="151"/>
      <c r="I49" s="151"/>
    </row>
    <row r="50" spans="1:9" ht="14.5" thickBot="1">
      <c r="A50" s="151"/>
      <c r="B50" s="151"/>
      <c r="C50" s="164" t="s">
        <v>104</v>
      </c>
      <c r="D50" s="167">
        <f>AVERAGE(D19:D37)</f>
        <v>80.412777777777777</v>
      </c>
      <c r="E50" s="167">
        <f>AVERAGE(E19:E37)</f>
        <v>73.652777777777771</v>
      </c>
      <c r="F50" s="167">
        <f>AVERAGE(F19:F37)</f>
        <v>71.722222222222229</v>
      </c>
      <c r="G50" s="167">
        <f>IFERROR(AVERAGE(G19:G37),"")</f>
        <v>74.763611111111103</v>
      </c>
      <c r="H50" s="151"/>
      <c r="I50" s="151"/>
    </row>
  </sheetData>
  <mergeCells count="7">
    <mergeCell ref="A1:I1"/>
    <mergeCell ref="A2:I2"/>
    <mergeCell ref="D12:F12"/>
    <mergeCell ref="G12:G17"/>
    <mergeCell ref="H12:H17"/>
    <mergeCell ref="D13:F13"/>
    <mergeCell ref="D14:F14"/>
  </mergeCells>
  <printOptions horizontalCentered="1"/>
  <pageMargins left="0.19685039370078741" right="0.11811023622047245" top="0.19685039370078741" bottom="0.15748031496062992" header="0" footer="0"/>
  <pageSetup paperSize="9" scale="82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61D97-2DE8-4EF7-A949-7C9B002CF8A6}">
  <dimension ref="A1:FO121"/>
  <sheetViews>
    <sheetView view="pageBreakPreview" topLeftCell="A44" zoomScale="69" zoomScaleNormal="82" zoomScaleSheetLayoutView="69" workbookViewId="0">
      <selection activeCell="N106" sqref="N106"/>
    </sheetView>
  </sheetViews>
  <sheetFormatPr defaultRowHeight="14"/>
  <cols>
    <col min="1" max="1" width="6" customWidth="1"/>
    <col min="2" max="2" width="13.1640625" customWidth="1"/>
    <col min="3" max="3" width="27" style="35" customWidth="1"/>
    <col min="4" max="6" width="12.6640625" style="36" customWidth="1"/>
    <col min="7" max="11" width="10.1640625" style="36" customWidth="1"/>
    <col min="12" max="30" width="12.6640625" style="36" customWidth="1"/>
    <col min="31" max="31" width="8.75" style="36"/>
    <col min="32" max="32" width="10.6640625" style="36" hidden="1" customWidth="1"/>
    <col min="33" max="33" width="11.33203125" style="36" hidden="1" customWidth="1"/>
    <col min="34" max="34" width="0" style="36" hidden="1" customWidth="1"/>
    <col min="35" max="35" width="10.33203125" style="36" hidden="1" customWidth="1"/>
    <col min="36" max="36" width="0" hidden="1" customWidth="1"/>
    <col min="37" max="37" width="11.33203125" hidden="1" customWidth="1"/>
    <col min="38" max="38" width="0" hidden="1" customWidth="1"/>
    <col min="39" max="47" width="11.33203125" hidden="1" customWidth="1"/>
    <col min="48" max="48" width="0" hidden="1" customWidth="1"/>
    <col min="49" max="49" width="11.33203125" hidden="1" customWidth="1"/>
    <col min="50" max="50" width="0" hidden="1" customWidth="1"/>
    <col min="51" max="53" width="11.33203125" hidden="1" customWidth="1"/>
    <col min="54" max="54" width="0" hidden="1" customWidth="1"/>
    <col min="55" max="55" width="11.33203125" hidden="1" customWidth="1"/>
    <col min="56" max="56" width="0" hidden="1" customWidth="1"/>
    <col min="57" max="57" width="11.33203125" hidden="1" customWidth="1"/>
    <col min="58" max="58" width="0" hidden="1" customWidth="1"/>
    <col min="59" max="59" width="11.33203125" hidden="1" customWidth="1"/>
    <col min="60" max="61" width="0" hidden="1" customWidth="1"/>
    <col min="63" max="63" width="5.6640625" style="36" customWidth="1"/>
    <col min="65" max="65" width="5.6640625" customWidth="1"/>
    <col min="67" max="67" width="5.6640625" customWidth="1"/>
    <col min="69" max="69" width="7.08203125" customWidth="1"/>
    <col min="79" max="79" width="5.6640625" customWidth="1"/>
    <col min="81" max="81" width="5.6640625" customWidth="1"/>
    <col min="83" max="83" width="5.6640625" customWidth="1"/>
    <col min="94" max="94" width="8.6640625" style="82"/>
    <col min="95" max="95" width="7.1640625" customWidth="1"/>
    <col min="123" max="123" width="8.6640625" style="102"/>
    <col min="129" max="129" width="5.6640625" customWidth="1"/>
    <col min="131" max="131" width="5.6640625" customWidth="1"/>
    <col min="133" max="133" width="5.6640625" customWidth="1"/>
    <col min="134" max="134" width="8.58203125" style="194" customWidth="1"/>
    <col min="135" max="135" width="5.6640625" customWidth="1"/>
    <col min="136" max="136" width="9.08203125" customWidth="1"/>
    <col min="137" max="137" width="5.6640625" customWidth="1"/>
    <col min="138" max="138" width="7.83203125" customWidth="1"/>
    <col min="139" max="139" width="5.6640625" customWidth="1"/>
    <col min="153" max="153" width="5.6640625" customWidth="1"/>
    <col min="154" max="154" width="8.6640625" customWidth="1"/>
    <col min="155" max="155" width="5.6640625" customWidth="1"/>
    <col min="156" max="156" width="8.5" customWidth="1"/>
    <col min="157" max="157" width="5.6640625" customWidth="1"/>
    <col min="158" max="158" width="8.08203125" customWidth="1"/>
    <col min="159" max="159" width="5.6640625" customWidth="1"/>
    <col min="161" max="161" width="5.6640625" customWidth="1"/>
    <col min="162" max="162" width="8.6640625" style="151"/>
    <col min="163" max="163" width="5.6640625" style="151" customWidth="1"/>
    <col min="164" max="166" width="8.6640625" style="151"/>
    <col min="167" max="167" width="5.6640625" style="151" customWidth="1"/>
    <col min="168" max="168" width="8.6640625" style="151"/>
    <col min="169" max="169" width="5.6640625" style="151" customWidth="1"/>
    <col min="170" max="170" width="8.75" style="182"/>
    <col min="171" max="171" width="8.75" style="100"/>
  </cols>
  <sheetData>
    <row r="1" spans="1:171" ht="20">
      <c r="A1" s="59" t="s">
        <v>186</v>
      </c>
    </row>
    <row r="2" spans="1:171" ht="15.5">
      <c r="A2" s="60" t="s">
        <v>131</v>
      </c>
      <c r="AF2" s="61"/>
    </row>
    <row r="4" spans="1:171" ht="14.5" customHeight="1">
      <c r="D4" s="258" t="s">
        <v>47</v>
      </c>
      <c r="E4" s="259"/>
      <c r="F4" s="284" t="s">
        <v>132</v>
      </c>
      <c r="G4" s="260" t="s">
        <v>53</v>
      </c>
      <c r="H4" s="261"/>
      <c r="I4" s="261"/>
      <c r="J4" s="261"/>
      <c r="K4" s="262"/>
      <c r="L4" s="287" t="s">
        <v>132</v>
      </c>
      <c r="M4" s="290" t="s">
        <v>56</v>
      </c>
      <c r="N4" s="291"/>
      <c r="O4" s="292" t="s">
        <v>132</v>
      </c>
      <c r="P4" s="264" t="s">
        <v>59</v>
      </c>
      <c r="Q4" s="265"/>
      <c r="R4" s="278" t="s">
        <v>132</v>
      </c>
      <c r="S4" s="266" t="s">
        <v>62</v>
      </c>
      <c r="T4" s="267"/>
      <c r="U4" s="281" t="s">
        <v>132</v>
      </c>
      <c r="V4" s="229" t="s">
        <v>65</v>
      </c>
      <c r="W4" s="230"/>
      <c r="X4" s="222" t="s">
        <v>132</v>
      </c>
      <c r="Y4" s="268" t="s">
        <v>68</v>
      </c>
      <c r="Z4" s="269"/>
      <c r="AA4" s="272" t="s">
        <v>132</v>
      </c>
      <c r="AB4" s="270" t="s">
        <v>71</v>
      </c>
      <c r="AC4" s="271"/>
      <c r="AD4" s="275" t="s">
        <v>132</v>
      </c>
      <c r="AF4" s="254" t="s">
        <v>133</v>
      </c>
      <c r="AG4" s="255"/>
      <c r="AH4" s="254" t="s">
        <v>133</v>
      </c>
      <c r="AI4" s="255"/>
      <c r="AJ4" s="254" t="s">
        <v>133</v>
      </c>
      <c r="AK4" s="255"/>
      <c r="AL4" s="254" t="s">
        <v>133</v>
      </c>
      <c r="AM4" s="255"/>
      <c r="AN4" s="254" t="s">
        <v>133</v>
      </c>
      <c r="AO4" s="255"/>
      <c r="AP4" s="254" t="s">
        <v>133</v>
      </c>
      <c r="AQ4" s="255"/>
      <c r="AR4" s="254" t="s">
        <v>133</v>
      </c>
      <c r="AS4" s="255"/>
      <c r="AT4" s="254" t="s">
        <v>133</v>
      </c>
      <c r="AU4" s="255"/>
      <c r="AV4" s="254" t="s">
        <v>133</v>
      </c>
      <c r="AW4" s="255"/>
      <c r="AX4" s="254" t="s">
        <v>133</v>
      </c>
      <c r="AY4" s="255"/>
      <c r="AZ4" s="254" t="s">
        <v>133</v>
      </c>
      <c r="BA4" s="255"/>
      <c r="BB4" s="254" t="s">
        <v>133</v>
      </c>
      <c r="BC4" s="255"/>
      <c r="BD4" s="254" t="s">
        <v>133</v>
      </c>
      <c r="BE4" s="255"/>
      <c r="BF4" s="254" t="s">
        <v>133</v>
      </c>
      <c r="BG4" s="255"/>
    </row>
    <row r="5" spans="1:171">
      <c r="D5" s="258" t="s">
        <v>191</v>
      </c>
      <c r="E5" s="259"/>
      <c r="F5" s="285"/>
      <c r="G5" s="260" t="s">
        <v>193</v>
      </c>
      <c r="H5" s="261"/>
      <c r="I5" s="261"/>
      <c r="J5" s="261"/>
      <c r="K5" s="262"/>
      <c r="L5" s="288"/>
      <c r="M5" s="263" t="str">
        <f>'ListMKSmt-1'!D4</f>
        <v>P.24.05.52.1.03</v>
      </c>
      <c r="N5" s="263"/>
      <c r="O5" s="293"/>
      <c r="P5" s="264" t="str">
        <f>'ListMKSmt-1'!D5</f>
        <v>P.24.05.52.1.04</v>
      </c>
      <c r="Q5" s="265"/>
      <c r="R5" s="279"/>
      <c r="S5" s="266" t="str">
        <f>'ListMKSmt-1'!D6</f>
        <v>P.24.05.52.1.05</v>
      </c>
      <c r="T5" s="267"/>
      <c r="U5" s="282"/>
      <c r="V5" s="229" t="str">
        <f>'ListMKSmt-1'!D7</f>
        <v>U.24.05.52.1.01</v>
      </c>
      <c r="W5" s="230"/>
      <c r="X5" s="223"/>
      <c r="Y5" s="268" t="str">
        <f>'ListMKSmt-1'!D8</f>
        <v>U.24.05.52.1.02</v>
      </c>
      <c r="Z5" s="269"/>
      <c r="AA5" s="273"/>
      <c r="AB5" s="270" t="str">
        <f>'ListMKSmt-1'!D9</f>
        <v>U.24.05.52.1.03</v>
      </c>
      <c r="AC5" s="271"/>
      <c r="AD5" s="276"/>
      <c r="AF5" s="256"/>
      <c r="AG5" s="257"/>
      <c r="AH5" s="256"/>
      <c r="AI5" s="257"/>
      <c r="AJ5" s="256"/>
      <c r="AK5" s="257"/>
      <c r="AL5" s="256"/>
      <c r="AM5" s="257"/>
      <c r="AN5" s="256"/>
      <c r="AO5" s="257"/>
      <c r="AP5" s="256"/>
      <c r="AQ5" s="257"/>
      <c r="AR5" s="256"/>
      <c r="AS5" s="257"/>
      <c r="AT5" s="256"/>
      <c r="AU5" s="257"/>
      <c r="AV5" s="256"/>
      <c r="AW5" s="257"/>
      <c r="AX5" s="256"/>
      <c r="AY5" s="257"/>
      <c r="AZ5" s="256"/>
      <c r="BA5" s="257"/>
      <c r="BB5" s="256"/>
      <c r="BC5" s="257"/>
      <c r="BD5" s="256"/>
      <c r="BE5" s="257"/>
      <c r="BF5" s="256"/>
      <c r="BG5" s="257"/>
    </row>
    <row r="6" spans="1:171">
      <c r="D6" s="258" t="s">
        <v>192</v>
      </c>
      <c r="E6" s="259"/>
      <c r="F6" s="285"/>
      <c r="G6" s="260" t="s">
        <v>194</v>
      </c>
      <c r="H6" s="261"/>
      <c r="I6" s="261"/>
      <c r="J6" s="261"/>
      <c r="K6" s="262"/>
      <c r="L6" s="288"/>
      <c r="M6" s="295" t="str">
        <f>'ListMKSmt-1'!E4</f>
        <v>Etika Bisnis dan Profesi</v>
      </c>
      <c r="N6" s="296"/>
      <c r="O6" s="293"/>
      <c r="P6" s="264" t="str">
        <f>'ListMKSmt-1'!E5</f>
        <v>Teori Ekonomi</v>
      </c>
      <c r="Q6" s="265"/>
      <c r="R6" s="279"/>
      <c r="S6" s="266" t="str">
        <f>'ListMKSmt-1'!E6</f>
        <v>Hukum Bisnis dan Perikatan</v>
      </c>
      <c r="T6" s="267"/>
      <c r="U6" s="282"/>
      <c r="V6" s="229" t="str">
        <f>'ListMKSmt-1'!E7</f>
        <v>Agama</v>
      </c>
      <c r="W6" s="230"/>
      <c r="X6" s="223"/>
      <c r="Y6" s="268" t="str">
        <f>'ListMKSmt-1'!E8</f>
        <v>Kewarganegaraan</v>
      </c>
      <c r="Z6" s="269"/>
      <c r="AA6" s="273"/>
      <c r="AB6" s="270" t="str">
        <f>'ListMKSmt-1'!E9</f>
        <v>English for Business</v>
      </c>
      <c r="AC6" s="271"/>
      <c r="AD6" s="276"/>
      <c r="AF6" s="61" t="s">
        <v>134</v>
      </c>
      <c r="AG6" s="61"/>
      <c r="AH6" s="61" t="s">
        <v>135</v>
      </c>
      <c r="AI6" s="61"/>
      <c r="AJ6" s="61" t="s">
        <v>136</v>
      </c>
      <c r="AK6" s="61"/>
      <c r="AL6" s="61" t="s">
        <v>137</v>
      </c>
      <c r="AM6" s="61"/>
      <c r="AN6" s="61"/>
      <c r="AO6" s="61"/>
      <c r="AP6" s="61"/>
      <c r="AQ6" s="61"/>
      <c r="AR6" s="61"/>
      <c r="AS6" s="61"/>
      <c r="AT6" s="61"/>
      <c r="AU6" s="61"/>
      <c r="AV6" s="61" t="s">
        <v>138</v>
      </c>
      <c r="AW6" s="61"/>
      <c r="AX6" s="61" t="s">
        <v>139</v>
      </c>
      <c r="AY6" s="61"/>
      <c r="AZ6" s="61"/>
      <c r="BA6" s="61"/>
      <c r="BB6" s="61" t="s">
        <v>140</v>
      </c>
      <c r="BC6" s="61"/>
      <c r="BD6" s="61" t="s">
        <v>141</v>
      </c>
      <c r="BE6" s="61"/>
      <c r="BF6" s="61" t="s">
        <v>142</v>
      </c>
      <c r="BG6" s="61"/>
      <c r="BJ6" s="244" t="s">
        <v>272</v>
      </c>
      <c r="BK6" s="245"/>
      <c r="BL6" s="245"/>
      <c r="BM6" s="245"/>
      <c r="BN6" s="245"/>
      <c r="BO6" s="245"/>
      <c r="BP6" s="244" t="s">
        <v>135</v>
      </c>
      <c r="BQ6" s="245"/>
      <c r="BR6" s="245"/>
      <c r="BS6" s="245"/>
      <c r="BT6" s="245"/>
      <c r="BU6" s="245"/>
      <c r="BV6" s="245"/>
      <c r="BW6" s="246"/>
      <c r="BX6" s="244" t="s">
        <v>136</v>
      </c>
      <c r="BY6" s="245"/>
      <c r="BZ6" s="245"/>
      <c r="CA6" s="245"/>
      <c r="CB6" s="245"/>
      <c r="CC6" s="246"/>
      <c r="CD6" s="244" t="s">
        <v>137</v>
      </c>
      <c r="CE6" s="245"/>
      <c r="CF6" s="245"/>
      <c r="CG6" s="246"/>
      <c r="CH6" s="244"/>
      <c r="CI6" s="245"/>
      <c r="CJ6" s="245"/>
      <c r="CK6" s="245"/>
      <c r="CL6" s="245"/>
      <c r="CM6" s="245"/>
      <c r="CN6" s="245"/>
      <c r="CO6" s="245"/>
      <c r="CP6" s="245"/>
      <c r="CQ6" s="245"/>
      <c r="CR6" s="245"/>
      <c r="CS6" s="245"/>
      <c r="CT6" s="245"/>
      <c r="CU6" s="245"/>
      <c r="CV6" s="245"/>
      <c r="CW6" s="246"/>
      <c r="CX6" s="244"/>
      <c r="CY6" s="245"/>
      <c r="CZ6" s="245"/>
      <c r="DA6" s="245"/>
      <c r="DB6" s="245"/>
      <c r="DC6" s="245"/>
      <c r="DD6" s="245"/>
      <c r="DE6" s="246"/>
      <c r="DF6" s="244"/>
      <c r="DG6" s="245"/>
      <c r="DH6" s="245"/>
      <c r="DI6" s="245"/>
      <c r="DJ6" s="245"/>
      <c r="DK6" s="245"/>
      <c r="DL6" s="245"/>
      <c r="DM6" s="245"/>
      <c r="DN6" s="245"/>
      <c r="DO6" s="245"/>
      <c r="DP6" s="245"/>
      <c r="DQ6" s="246"/>
      <c r="DR6" s="244"/>
      <c r="DS6" s="245"/>
      <c r="DT6" s="245"/>
      <c r="DU6" s="245"/>
      <c r="DV6" s="245"/>
      <c r="DW6" s="246"/>
      <c r="DX6" s="244" t="s">
        <v>138</v>
      </c>
      <c r="DY6" s="245"/>
      <c r="DZ6" s="245"/>
      <c r="EA6" s="246"/>
      <c r="EB6" s="244" t="s">
        <v>139</v>
      </c>
      <c r="EC6" s="245"/>
      <c r="ED6" s="245"/>
      <c r="EE6" s="245"/>
      <c r="EF6" s="245"/>
      <c r="EG6" s="245"/>
      <c r="EH6" s="245"/>
      <c r="EI6" s="245"/>
      <c r="EJ6" s="245"/>
      <c r="EK6" s="246"/>
      <c r="EL6" s="244"/>
      <c r="EM6" s="245"/>
      <c r="EN6" s="245"/>
      <c r="EO6" s="245"/>
      <c r="EP6" s="245"/>
      <c r="EQ6" s="245"/>
      <c r="ER6" s="245"/>
      <c r="ES6" s="245"/>
      <c r="ET6" s="245"/>
      <c r="EU6" s="246"/>
      <c r="EV6" s="244" t="s">
        <v>140</v>
      </c>
      <c r="EW6" s="245"/>
      <c r="EX6" s="245"/>
      <c r="EY6" s="245"/>
      <c r="EZ6" s="245"/>
      <c r="FA6" s="245"/>
      <c r="FB6" s="245"/>
      <c r="FC6" s="245"/>
      <c r="FD6" s="245"/>
      <c r="FE6" s="246"/>
      <c r="FF6" s="233" t="s">
        <v>143</v>
      </c>
      <c r="FG6" s="234"/>
      <c r="FH6" s="234"/>
      <c r="FI6" s="235"/>
      <c r="FJ6" s="239" t="s">
        <v>142</v>
      </c>
      <c r="FK6" s="239"/>
      <c r="FL6" s="239"/>
      <c r="FM6" s="239"/>
    </row>
    <row r="7" spans="1:171" ht="14.5" customHeight="1">
      <c r="D7" s="172" t="s">
        <v>118</v>
      </c>
      <c r="E7" s="172" t="s">
        <v>118</v>
      </c>
      <c r="F7" s="285"/>
      <c r="G7" s="173" t="s">
        <v>121</v>
      </c>
      <c r="H7" s="173" t="s">
        <v>121</v>
      </c>
      <c r="I7" s="173" t="s">
        <v>121</v>
      </c>
      <c r="J7" s="174" t="s">
        <v>121</v>
      </c>
      <c r="K7" s="174" t="s">
        <v>149</v>
      </c>
      <c r="L7" s="288"/>
      <c r="M7" s="64" t="s">
        <v>148</v>
      </c>
      <c r="N7" s="64" t="s">
        <v>114</v>
      </c>
      <c r="O7" s="293"/>
      <c r="P7" s="65" t="s">
        <v>145</v>
      </c>
      <c r="Q7" s="65" t="s">
        <v>145</v>
      </c>
      <c r="R7" s="279"/>
      <c r="S7" s="66" t="str">
        <f>'MK5-BP'!D15</f>
        <v>CPL11</v>
      </c>
      <c r="T7" s="66" t="str">
        <f>'MK5-BP'!E15</f>
        <v>CPL11</v>
      </c>
      <c r="U7" s="282"/>
      <c r="V7" s="37" t="str">
        <f>'MK7-MBD'!D15</f>
        <v>CPL01</v>
      </c>
      <c r="W7" s="149" t="str">
        <f>'MK7-MBD'!E15</f>
        <v>CPL1</v>
      </c>
      <c r="X7" s="223"/>
      <c r="Y7" s="67" t="str">
        <f>MK8_BID!D15</f>
        <v>CPL01</v>
      </c>
      <c r="Z7" s="67" t="str">
        <f>MK8_BID!E15</f>
        <v>CPL01</v>
      </c>
      <c r="AA7" s="273"/>
      <c r="AB7" s="68" t="str">
        <f>'MK16-AGM'!D15</f>
        <v>CPL12</v>
      </c>
      <c r="AC7" s="68" t="str">
        <f>'MK16-AGM'!E15</f>
        <v>CPL12</v>
      </c>
      <c r="AD7" s="276"/>
      <c r="AF7" s="69" t="s">
        <v>94</v>
      </c>
      <c r="AG7" s="249" t="s">
        <v>144</v>
      </c>
      <c r="AH7" s="69" t="s">
        <v>118</v>
      </c>
      <c r="AI7" s="248" t="s">
        <v>144</v>
      </c>
      <c r="AJ7" s="69" t="s">
        <v>108</v>
      </c>
      <c r="AK7" s="248" t="s">
        <v>144</v>
      </c>
      <c r="AL7" s="69" t="s">
        <v>107</v>
      </c>
      <c r="AM7" s="248" t="s">
        <v>144</v>
      </c>
      <c r="AN7" s="69" t="s">
        <v>145</v>
      </c>
      <c r="AO7" s="248" t="s">
        <v>144</v>
      </c>
      <c r="AP7" s="69" t="s">
        <v>146</v>
      </c>
      <c r="AQ7" s="248" t="s">
        <v>144</v>
      </c>
      <c r="AR7" s="69" t="s">
        <v>147</v>
      </c>
      <c r="AS7" s="248" t="s">
        <v>144</v>
      </c>
      <c r="AT7" s="69" t="s">
        <v>148</v>
      </c>
      <c r="AU7" s="248" t="s">
        <v>144</v>
      </c>
      <c r="AV7" s="69" t="s">
        <v>114</v>
      </c>
      <c r="AW7" s="248" t="s">
        <v>144</v>
      </c>
      <c r="AX7" s="69" t="s">
        <v>121</v>
      </c>
      <c r="AY7" s="248" t="s">
        <v>144</v>
      </c>
      <c r="AZ7" s="69" t="s">
        <v>149</v>
      </c>
      <c r="BA7" s="248" t="s">
        <v>144</v>
      </c>
      <c r="BB7" s="69" t="s">
        <v>122</v>
      </c>
      <c r="BC7" s="248" t="s">
        <v>144</v>
      </c>
      <c r="BD7" s="69" t="s">
        <v>95</v>
      </c>
      <c r="BE7" s="248" t="s">
        <v>144</v>
      </c>
      <c r="BF7" s="69" t="s">
        <v>123</v>
      </c>
      <c r="BG7" s="249" t="s">
        <v>144</v>
      </c>
      <c r="BJ7" s="244" t="s">
        <v>94</v>
      </c>
      <c r="BK7" s="245"/>
      <c r="BL7" s="245"/>
      <c r="BM7" s="245"/>
      <c r="BN7" s="245"/>
      <c r="BO7" s="245"/>
      <c r="BP7" s="244" t="s">
        <v>118</v>
      </c>
      <c r="BQ7" s="245"/>
      <c r="BR7" s="245"/>
      <c r="BS7" s="245"/>
      <c r="BT7" s="245"/>
      <c r="BU7" s="245"/>
      <c r="BV7" s="245"/>
      <c r="BW7" s="246"/>
      <c r="BX7" s="244" t="s">
        <v>108</v>
      </c>
      <c r="BY7" s="245"/>
      <c r="BZ7" s="245"/>
      <c r="CA7" s="245"/>
      <c r="CB7" s="245"/>
      <c r="CC7" s="246"/>
      <c r="CD7" s="244" t="s">
        <v>107</v>
      </c>
      <c r="CE7" s="245"/>
      <c r="CF7" s="245"/>
      <c r="CG7" s="246"/>
      <c r="CH7" s="244" t="s">
        <v>145</v>
      </c>
      <c r="CI7" s="245"/>
      <c r="CJ7" s="245"/>
      <c r="CK7" s="245"/>
      <c r="CL7" s="245"/>
      <c r="CM7" s="245"/>
      <c r="CN7" s="245"/>
      <c r="CO7" s="245"/>
      <c r="CP7" s="245"/>
      <c r="CQ7" s="245"/>
      <c r="CR7" s="245"/>
      <c r="CS7" s="245"/>
      <c r="CT7" s="245"/>
      <c r="CU7" s="245"/>
      <c r="CV7" s="245"/>
      <c r="CW7" s="246"/>
      <c r="CX7" s="244" t="s">
        <v>146</v>
      </c>
      <c r="CY7" s="245"/>
      <c r="CZ7" s="245"/>
      <c r="DA7" s="245"/>
      <c r="DB7" s="245"/>
      <c r="DC7" s="245"/>
      <c r="DD7" s="245"/>
      <c r="DE7" s="246"/>
      <c r="DF7" s="244" t="s">
        <v>147</v>
      </c>
      <c r="DG7" s="245"/>
      <c r="DH7" s="245"/>
      <c r="DI7" s="245"/>
      <c r="DJ7" s="245"/>
      <c r="DK7" s="245"/>
      <c r="DL7" s="245"/>
      <c r="DM7" s="245"/>
      <c r="DN7" s="245"/>
      <c r="DO7" s="245"/>
      <c r="DP7" s="245"/>
      <c r="DQ7" s="246"/>
      <c r="DR7" s="244" t="s">
        <v>148</v>
      </c>
      <c r="DS7" s="245"/>
      <c r="DT7" s="245"/>
      <c r="DU7" s="245"/>
      <c r="DV7" s="245"/>
      <c r="DW7" s="246"/>
      <c r="DX7" s="244" t="s">
        <v>114</v>
      </c>
      <c r="DY7" s="245"/>
      <c r="DZ7" s="245"/>
      <c r="EA7" s="246"/>
      <c r="EB7" s="244" t="s">
        <v>121</v>
      </c>
      <c r="EC7" s="245"/>
      <c r="ED7" s="245"/>
      <c r="EE7" s="245"/>
      <c r="EF7" s="245"/>
      <c r="EG7" s="245"/>
      <c r="EH7" s="245"/>
      <c r="EI7" s="245"/>
      <c r="EJ7" s="245"/>
      <c r="EK7" s="246"/>
      <c r="EL7" s="244" t="s">
        <v>149</v>
      </c>
      <c r="EM7" s="245"/>
      <c r="EN7" s="245"/>
      <c r="EO7" s="245"/>
      <c r="EP7" s="245"/>
      <c r="EQ7" s="245"/>
      <c r="ER7" s="245"/>
      <c r="ES7" s="245"/>
      <c r="ET7" s="245"/>
      <c r="EU7" s="246"/>
      <c r="EV7" s="244" t="s">
        <v>122</v>
      </c>
      <c r="EW7" s="245"/>
      <c r="EX7" s="245"/>
      <c r="EY7" s="245"/>
      <c r="EZ7" s="245"/>
      <c r="FA7" s="245"/>
      <c r="FB7" s="245"/>
      <c r="FC7" s="245"/>
      <c r="FD7" s="245"/>
      <c r="FE7" s="246"/>
      <c r="FF7" s="233" t="s">
        <v>95</v>
      </c>
      <c r="FG7" s="234"/>
      <c r="FH7" s="234"/>
      <c r="FI7" s="235"/>
      <c r="FJ7" s="239" t="s">
        <v>123</v>
      </c>
      <c r="FK7" s="239"/>
      <c r="FL7" s="239"/>
      <c r="FM7" s="239"/>
    </row>
    <row r="8" spans="1:171">
      <c r="D8" s="172" t="s">
        <v>120</v>
      </c>
      <c r="E8" s="172" t="s">
        <v>154</v>
      </c>
      <c r="F8" s="285"/>
      <c r="G8" s="173" t="s">
        <v>124</v>
      </c>
      <c r="H8" s="173" t="s">
        <v>168</v>
      </c>
      <c r="I8" s="173" t="s">
        <v>217</v>
      </c>
      <c r="J8" s="174" t="s">
        <v>218</v>
      </c>
      <c r="K8" s="174" t="s">
        <v>169</v>
      </c>
      <c r="L8" s="288"/>
      <c r="M8" s="64" t="s">
        <v>226</v>
      </c>
      <c r="N8" s="64" t="s">
        <v>227</v>
      </c>
      <c r="O8" s="293"/>
      <c r="P8" s="65" t="s">
        <v>228</v>
      </c>
      <c r="Q8" s="65" t="s">
        <v>229</v>
      </c>
      <c r="R8" s="279"/>
      <c r="S8" s="66" t="str">
        <f>'MK5-BP'!D16</f>
        <v>CPMK114</v>
      </c>
      <c r="T8" s="66" t="str">
        <f>'MK5-BP'!E16</f>
        <v>CPMK115</v>
      </c>
      <c r="U8" s="282"/>
      <c r="V8" s="149" t="str">
        <f>'MK7-MBD'!D16</f>
        <v>CPMK11</v>
      </c>
      <c r="W8" s="149" t="str">
        <f>'MK7-MBD'!E16</f>
        <v>CPMK13</v>
      </c>
      <c r="X8" s="223"/>
      <c r="Y8" s="67" t="str">
        <f>MK8_BID!D16</f>
        <v>CPMK12</v>
      </c>
      <c r="Z8" s="67" t="str">
        <f>MK8_BID!E16</f>
        <v>CPMK13</v>
      </c>
      <c r="AA8" s="273"/>
      <c r="AB8" s="68" t="str">
        <f>'MK16-AGM'!D16</f>
        <v>CPMK122</v>
      </c>
      <c r="AC8" s="68" t="str">
        <f>'MK16-AGM'!E16</f>
        <v>CPMK123</v>
      </c>
      <c r="AD8" s="276"/>
      <c r="AE8" s="36" t="s">
        <v>152</v>
      </c>
      <c r="AF8" s="70">
        <v>215</v>
      </c>
      <c r="AG8" s="250"/>
      <c r="AH8" s="70" t="e">
        <f>#REF!</f>
        <v>#REF!</v>
      </c>
      <c r="AI8" s="248"/>
      <c r="AJ8" s="70">
        <f>P9+S9</f>
        <v>100</v>
      </c>
      <c r="AK8" s="248"/>
      <c r="AL8" s="70" t="e">
        <f>#REF!</f>
        <v>#REF!</v>
      </c>
      <c r="AM8" s="248"/>
      <c r="AN8" s="70"/>
      <c r="AO8" s="248"/>
      <c r="AP8" s="70"/>
      <c r="AQ8" s="248"/>
      <c r="AR8" s="70"/>
      <c r="AS8" s="248"/>
      <c r="AT8" s="70"/>
      <c r="AU8" s="248"/>
      <c r="AV8" s="70">
        <f>Q9+T9</f>
        <v>100</v>
      </c>
      <c r="AW8" s="248"/>
      <c r="AX8" s="70" t="e">
        <f>Y9+AB9+#REF!</f>
        <v>#REF!</v>
      </c>
      <c r="AY8" s="248"/>
      <c r="AZ8" s="70"/>
      <c r="BA8" s="248"/>
      <c r="BB8" s="70" t="e">
        <f>#REF!+#REF!+#REF!</f>
        <v>#REF!</v>
      </c>
      <c r="BC8" s="248"/>
      <c r="BD8" s="70">
        <f>E9+K9+N9+W9</f>
        <v>171</v>
      </c>
      <c r="BE8" s="248"/>
      <c r="BF8" s="70" t="e">
        <f>Z9+AC9+#REF!</f>
        <v>#REF!</v>
      </c>
      <c r="BG8" s="250"/>
      <c r="BJ8" s="4" t="s">
        <v>109</v>
      </c>
      <c r="BK8" s="240" t="s">
        <v>177</v>
      </c>
      <c r="BL8" s="4" t="s">
        <v>105</v>
      </c>
      <c r="BM8" s="240" t="s">
        <v>177</v>
      </c>
      <c r="BN8" s="4" t="s">
        <v>119</v>
      </c>
      <c r="BO8" s="240" t="s">
        <v>177</v>
      </c>
      <c r="BP8" s="4" t="s">
        <v>120</v>
      </c>
      <c r="BQ8" s="240" t="s">
        <v>177</v>
      </c>
      <c r="BR8" s="4" t="s">
        <v>153</v>
      </c>
      <c r="BS8" s="240" t="s">
        <v>177</v>
      </c>
      <c r="BT8" s="4" t="s">
        <v>154</v>
      </c>
      <c r="BU8" s="240" t="s">
        <v>177</v>
      </c>
      <c r="BV8" s="4" t="s">
        <v>155</v>
      </c>
      <c r="BW8" s="240" t="s">
        <v>177</v>
      </c>
      <c r="BX8" s="4" t="s">
        <v>111</v>
      </c>
      <c r="BY8" s="240" t="s">
        <v>177</v>
      </c>
      <c r="BZ8" s="4" t="s">
        <v>117</v>
      </c>
      <c r="CA8" s="240" t="s">
        <v>177</v>
      </c>
      <c r="CB8" s="4" t="s">
        <v>115</v>
      </c>
      <c r="CC8" s="240" t="s">
        <v>177</v>
      </c>
      <c r="CD8" s="4" t="s">
        <v>110</v>
      </c>
      <c r="CE8" s="240" t="s">
        <v>177</v>
      </c>
      <c r="CF8" s="4" t="s">
        <v>156</v>
      </c>
      <c r="CG8" s="240" t="s">
        <v>177</v>
      </c>
      <c r="CH8" s="4" t="s">
        <v>157</v>
      </c>
      <c r="CI8" s="240" t="s">
        <v>177</v>
      </c>
      <c r="CJ8" s="175" t="s">
        <v>158</v>
      </c>
      <c r="CK8" s="240" t="s">
        <v>177</v>
      </c>
      <c r="CL8" s="175" t="s">
        <v>257</v>
      </c>
      <c r="CM8" s="240" t="s">
        <v>177</v>
      </c>
      <c r="CN8" s="175" t="s">
        <v>258</v>
      </c>
      <c r="CO8" s="240" t="s">
        <v>177</v>
      </c>
      <c r="CP8" s="200" t="s">
        <v>259</v>
      </c>
      <c r="CQ8" s="240" t="s">
        <v>177</v>
      </c>
      <c r="CR8" s="175" t="s">
        <v>260</v>
      </c>
      <c r="CS8" s="240" t="s">
        <v>177</v>
      </c>
      <c r="CT8" s="175" t="s">
        <v>261</v>
      </c>
      <c r="CU8" s="240" t="s">
        <v>177</v>
      </c>
      <c r="CV8" s="4" t="s">
        <v>262</v>
      </c>
      <c r="CW8" s="240" t="s">
        <v>177</v>
      </c>
      <c r="CX8" s="4" t="s">
        <v>159</v>
      </c>
      <c r="CY8" s="240" t="s">
        <v>177</v>
      </c>
      <c r="CZ8" s="4" t="s">
        <v>160</v>
      </c>
      <c r="DA8" s="240" t="s">
        <v>177</v>
      </c>
      <c r="DB8" s="4" t="s">
        <v>161</v>
      </c>
      <c r="DC8" s="240" t="s">
        <v>177</v>
      </c>
      <c r="DD8" s="4" t="s">
        <v>162</v>
      </c>
      <c r="DE8" s="240" t="s">
        <v>177</v>
      </c>
      <c r="DF8" s="4" t="s">
        <v>163</v>
      </c>
      <c r="DG8" s="240" t="s">
        <v>177</v>
      </c>
      <c r="DH8" s="4" t="s">
        <v>164</v>
      </c>
      <c r="DI8" s="240" t="s">
        <v>177</v>
      </c>
      <c r="DJ8" s="69" t="s">
        <v>165</v>
      </c>
      <c r="DK8" s="240" t="s">
        <v>177</v>
      </c>
      <c r="DL8" s="69" t="s">
        <v>263</v>
      </c>
      <c r="DM8" s="240" t="s">
        <v>177</v>
      </c>
      <c r="DN8" s="69" t="s">
        <v>264</v>
      </c>
      <c r="DO8" s="240" t="s">
        <v>177</v>
      </c>
      <c r="DP8" s="4" t="s">
        <v>265</v>
      </c>
      <c r="DQ8" s="240" t="s">
        <v>177</v>
      </c>
      <c r="DR8" s="4" t="s">
        <v>166</v>
      </c>
      <c r="DS8" s="252" t="s">
        <v>177</v>
      </c>
      <c r="DT8" s="69" t="s">
        <v>167</v>
      </c>
      <c r="DU8" s="177" t="s">
        <v>177</v>
      </c>
      <c r="DV8" s="4" t="s">
        <v>266</v>
      </c>
      <c r="DW8" s="240" t="s">
        <v>177</v>
      </c>
      <c r="DX8" s="4" t="s">
        <v>150</v>
      </c>
      <c r="DY8" s="240" t="s">
        <v>177</v>
      </c>
      <c r="DZ8" s="4" t="s">
        <v>116</v>
      </c>
      <c r="EA8" s="240" t="s">
        <v>177</v>
      </c>
      <c r="EB8" s="4" t="s">
        <v>124</v>
      </c>
      <c r="EC8" s="240" t="s">
        <v>177</v>
      </c>
      <c r="ED8" s="195" t="s">
        <v>168</v>
      </c>
      <c r="EE8" s="175" t="s">
        <v>177</v>
      </c>
      <c r="EF8" s="175" t="s">
        <v>217</v>
      </c>
      <c r="EG8" s="175" t="s">
        <v>177</v>
      </c>
      <c r="EH8" s="175" t="s">
        <v>218</v>
      </c>
      <c r="EI8" s="175" t="s">
        <v>177</v>
      </c>
      <c r="EJ8" s="4" t="s">
        <v>268</v>
      </c>
      <c r="EK8" s="240" t="s">
        <v>177</v>
      </c>
      <c r="EL8" s="4" t="s">
        <v>169</v>
      </c>
      <c r="EM8" s="240" t="s">
        <v>177</v>
      </c>
      <c r="EN8" s="175" t="s">
        <v>170</v>
      </c>
      <c r="EO8" s="175" t="s">
        <v>177</v>
      </c>
      <c r="EP8" s="175" t="s">
        <v>269</v>
      </c>
      <c r="EQ8" s="175" t="s">
        <v>177</v>
      </c>
      <c r="ER8" s="175" t="s">
        <v>232</v>
      </c>
      <c r="ES8" s="175" t="s">
        <v>177</v>
      </c>
      <c r="ET8" s="4" t="s">
        <v>233</v>
      </c>
      <c r="EU8" s="240" t="s">
        <v>177</v>
      </c>
      <c r="EV8" s="4" t="s">
        <v>125</v>
      </c>
      <c r="EW8" s="240" t="s">
        <v>177</v>
      </c>
      <c r="EX8" s="175" t="s">
        <v>130</v>
      </c>
      <c r="EY8" s="175" t="s">
        <v>177</v>
      </c>
      <c r="EZ8" s="175" t="s">
        <v>249</v>
      </c>
      <c r="FA8" s="175" t="s">
        <v>177</v>
      </c>
      <c r="FB8" s="175" t="s">
        <v>270</v>
      </c>
      <c r="FC8" s="175" t="s">
        <v>177</v>
      </c>
      <c r="FD8" s="4" t="s">
        <v>271</v>
      </c>
      <c r="FE8" s="240" t="s">
        <v>177</v>
      </c>
      <c r="FF8" s="92" t="s">
        <v>97</v>
      </c>
      <c r="FG8" s="242" t="s">
        <v>177</v>
      </c>
      <c r="FH8" s="92" t="s">
        <v>171</v>
      </c>
      <c r="FI8" s="242" t="s">
        <v>177</v>
      </c>
      <c r="FJ8" s="92" t="s">
        <v>126</v>
      </c>
      <c r="FK8" s="242" t="s">
        <v>177</v>
      </c>
      <c r="FL8" s="92" t="s">
        <v>151</v>
      </c>
      <c r="FM8" s="242" t="s">
        <v>177</v>
      </c>
    </row>
    <row r="9" spans="1:171">
      <c r="C9" s="71" t="e">
        <f>SUM(D9,E9,G9,K9,M9,#REF!,N9,P9,Q9,S9,T9,V9,#REF!,W9,Y9,#REF!,Z9,AB9,#REF!,AC9,#REF!,#REF!,#REF!)</f>
        <v>#REF!</v>
      </c>
      <c r="D9" s="172">
        <v>50</v>
      </c>
      <c r="E9" s="172">
        <v>50</v>
      </c>
      <c r="F9" s="286"/>
      <c r="G9" s="173">
        <v>16</v>
      </c>
      <c r="H9" s="173">
        <v>16</v>
      </c>
      <c r="I9" s="173">
        <v>26</v>
      </c>
      <c r="J9" s="174">
        <v>21</v>
      </c>
      <c r="K9" s="174">
        <v>21</v>
      </c>
      <c r="L9" s="289"/>
      <c r="M9" s="64">
        <v>50</v>
      </c>
      <c r="N9" s="64">
        <v>50</v>
      </c>
      <c r="O9" s="294"/>
      <c r="P9" s="65">
        <v>50</v>
      </c>
      <c r="Q9" s="65">
        <v>50</v>
      </c>
      <c r="R9" s="280"/>
      <c r="S9" s="66">
        <f>'MK5-BP'!D17</f>
        <v>50</v>
      </c>
      <c r="T9" s="66">
        <f>'MK5-BP'!E17</f>
        <v>50</v>
      </c>
      <c r="U9" s="283"/>
      <c r="V9" s="149">
        <f>'MK7-MBD'!D17</f>
        <v>50</v>
      </c>
      <c r="W9" s="149">
        <f>'MK7-MBD'!E17</f>
        <v>50</v>
      </c>
      <c r="X9" s="224"/>
      <c r="Y9" s="67">
        <f>MK8_BID!D17</f>
        <v>50</v>
      </c>
      <c r="Z9" s="67">
        <f>MK8_BID!E17</f>
        <v>50</v>
      </c>
      <c r="AA9" s="274"/>
      <c r="AB9" s="68">
        <f>'MK16-AGM'!D17</f>
        <v>50</v>
      </c>
      <c r="AC9" s="68">
        <f>'MK16-AGM'!E17</f>
        <v>50</v>
      </c>
      <c r="AD9" s="277"/>
      <c r="AF9" s="72"/>
      <c r="AG9" s="251"/>
      <c r="AH9" s="72"/>
      <c r="AI9" s="248"/>
      <c r="AJ9" s="72"/>
      <c r="AK9" s="248"/>
      <c r="AL9" s="72"/>
      <c r="AM9" s="248"/>
      <c r="AN9" s="72"/>
      <c r="AO9" s="248"/>
      <c r="AP9" s="72"/>
      <c r="AQ9" s="248"/>
      <c r="AR9" s="72"/>
      <c r="AS9" s="248"/>
      <c r="AT9" s="72"/>
      <c r="AU9" s="248"/>
      <c r="AV9" s="72"/>
      <c r="AW9" s="248"/>
      <c r="AX9" s="72"/>
      <c r="AY9" s="248"/>
      <c r="AZ9" s="72"/>
      <c r="BA9" s="248"/>
      <c r="BB9" s="72"/>
      <c r="BC9" s="248"/>
      <c r="BD9" s="72"/>
      <c r="BE9" s="248"/>
      <c r="BF9" s="72"/>
      <c r="BG9" s="251"/>
      <c r="BJ9" s="4">
        <f>V9</f>
        <v>50</v>
      </c>
      <c r="BK9" s="241"/>
      <c r="BL9" s="4">
        <f>Y9</f>
        <v>50</v>
      </c>
      <c r="BM9" s="241"/>
      <c r="BN9" s="4">
        <f>Z9</f>
        <v>50</v>
      </c>
      <c r="BO9" s="241"/>
      <c r="BP9" s="4">
        <f>D9</f>
        <v>50</v>
      </c>
      <c r="BQ9" s="241"/>
      <c r="BR9" s="4"/>
      <c r="BS9" s="241"/>
      <c r="BT9" s="4">
        <f>E9</f>
        <v>50</v>
      </c>
      <c r="BU9" s="241"/>
      <c r="BV9" s="4"/>
      <c r="BW9" s="241"/>
      <c r="BX9" s="4"/>
      <c r="BY9" s="241"/>
      <c r="BZ9" s="4"/>
      <c r="CA9" s="241"/>
      <c r="CB9" s="4"/>
      <c r="CC9" s="241"/>
      <c r="CD9" s="4"/>
      <c r="CE9" s="241"/>
      <c r="CF9" s="4"/>
      <c r="CG9" s="241"/>
      <c r="CH9" s="4"/>
      <c r="CI9" s="241"/>
      <c r="CJ9" s="176"/>
      <c r="CK9" s="241"/>
      <c r="CL9" s="176"/>
      <c r="CM9" s="241"/>
      <c r="CN9" s="176"/>
      <c r="CO9" s="241"/>
      <c r="CP9" s="201">
        <f>P9</f>
        <v>50</v>
      </c>
      <c r="CQ9" s="241"/>
      <c r="CR9" s="176">
        <v>50</v>
      </c>
      <c r="CS9" s="241"/>
      <c r="CT9" s="176"/>
      <c r="CU9" s="241"/>
      <c r="CV9" s="4"/>
      <c r="CW9" s="241"/>
      <c r="CX9" s="4"/>
      <c r="CY9" s="241"/>
      <c r="CZ9" s="4"/>
      <c r="DA9" s="241"/>
      <c r="DB9" s="4"/>
      <c r="DC9" s="241"/>
      <c r="DD9" s="4"/>
      <c r="DE9" s="241"/>
      <c r="DF9" s="4"/>
      <c r="DG9" s="241"/>
      <c r="DH9" s="4"/>
      <c r="DI9" s="241"/>
      <c r="DJ9" s="176"/>
      <c r="DK9" s="241"/>
      <c r="DL9" s="176"/>
      <c r="DM9" s="241"/>
      <c r="DN9" s="176"/>
      <c r="DO9" s="241"/>
      <c r="DP9" s="4"/>
      <c r="DQ9" s="241"/>
      <c r="DR9" s="4">
        <v>50</v>
      </c>
      <c r="DS9" s="253"/>
      <c r="DT9" s="176"/>
      <c r="DU9" s="178"/>
      <c r="DV9" s="4"/>
      <c r="DW9" s="241"/>
      <c r="DX9" s="4">
        <f>Q9</f>
        <v>50</v>
      </c>
      <c r="DY9" s="241"/>
      <c r="DZ9" s="4"/>
      <c r="EA9" s="241"/>
      <c r="EB9" s="4">
        <v>16</v>
      </c>
      <c r="EC9" s="241"/>
      <c r="ED9" s="196">
        <v>16</v>
      </c>
      <c r="EE9" s="176"/>
      <c r="EF9" s="176">
        <f>I9</f>
        <v>26</v>
      </c>
      <c r="EG9" s="176"/>
      <c r="EH9" s="176">
        <f>J9</f>
        <v>21</v>
      </c>
      <c r="EI9" s="176"/>
      <c r="EJ9" s="4"/>
      <c r="EK9" s="241"/>
      <c r="EL9" s="4">
        <f>K9</f>
        <v>21</v>
      </c>
      <c r="EM9" s="241"/>
      <c r="EN9" s="176"/>
      <c r="EO9" s="176"/>
      <c r="EP9" s="176"/>
      <c r="EQ9" s="176"/>
      <c r="ER9" s="69">
        <f>S9</f>
        <v>50</v>
      </c>
      <c r="ES9" s="176"/>
      <c r="ET9" s="4">
        <f>T9</f>
        <v>50</v>
      </c>
      <c r="EU9" s="241"/>
      <c r="EV9" s="4"/>
      <c r="EW9" s="241"/>
      <c r="EX9" s="176">
        <f>AB9</f>
        <v>50</v>
      </c>
      <c r="EY9" s="176"/>
      <c r="EZ9" s="176">
        <f>AC9</f>
        <v>50</v>
      </c>
      <c r="FA9" s="176"/>
      <c r="FB9" s="176"/>
      <c r="FC9" s="176"/>
      <c r="FD9" s="4"/>
      <c r="FE9" s="241"/>
      <c r="FF9" s="92">
        <f>E9+K9+N9+W9</f>
        <v>171</v>
      </c>
      <c r="FG9" s="243"/>
      <c r="FH9" s="92"/>
      <c r="FI9" s="243"/>
      <c r="FJ9" s="92" t="e">
        <f>AC9+#REF!</f>
        <v>#REF!</v>
      </c>
      <c r="FK9" s="243"/>
      <c r="FL9" s="92">
        <f>Z9</f>
        <v>50</v>
      </c>
      <c r="FM9" s="243"/>
      <c r="FN9" s="182" t="e">
        <f>SUM(BJ9:FL9)</f>
        <v>#REF!</v>
      </c>
    </row>
    <row r="10" spans="1:171">
      <c r="A10" s="1" t="s">
        <v>0</v>
      </c>
      <c r="B10" s="1" t="s">
        <v>1</v>
      </c>
      <c r="C10" s="1" t="s">
        <v>2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J10" s="92"/>
      <c r="BK10" s="99"/>
      <c r="BL10" s="92"/>
      <c r="BM10" s="92"/>
      <c r="BN10" s="92"/>
      <c r="BO10" s="92"/>
      <c r="BP10" s="92"/>
      <c r="BQ10" s="92"/>
      <c r="BR10" s="92"/>
      <c r="BS10" s="92"/>
      <c r="BT10" s="92"/>
      <c r="BU10" s="92"/>
      <c r="BV10" s="92"/>
      <c r="BW10" s="92"/>
      <c r="BX10" s="92"/>
      <c r="BY10" s="92"/>
      <c r="BZ10" s="92"/>
      <c r="CA10" s="92"/>
      <c r="CB10" s="92"/>
      <c r="CC10" s="92"/>
      <c r="CD10" s="92"/>
      <c r="CE10" s="92"/>
      <c r="CF10" s="92"/>
      <c r="CG10" s="92"/>
      <c r="CH10" s="92"/>
      <c r="CI10" s="92"/>
      <c r="CJ10" s="92"/>
      <c r="CK10" s="92"/>
      <c r="CL10" s="92"/>
      <c r="CM10" s="92"/>
      <c r="CN10" s="92"/>
      <c r="CO10" s="92"/>
      <c r="CP10" s="183"/>
      <c r="CQ10" s="92"/>
      <c r="CR10" s="92"/>
      <c r="CS10" s="92"/>
      <c r="CT10" s="92"/>
      <c r="CU10" s="92"/>
      <c r="CV10" s="92"/>
      <c r="CW10" s="92"/>
      <c r="CX10" s="92"/>
      <c r="CY10" s="92"/>
      <c r="CZ10" s="92"/>
      <c r="DA10" s="92"/>
      <c r="DB10" s="92"/>
      <c r="DC10" s="92"/>
      <c r="DD10" s="92"/>
      <c r="DE10" s="92"/>
      <c r="DF10" s="92"/>
      <c r="DG10" s="92"/>
      <c r="DH10" s="92"/>
      <c r="DI10" s="92"/>
      <c r="DJ10" s="92"/>
      <c r="DK10" s="92"/>
      <c r="DL10" s="92"/>
      <c r="DM10" s="92"/>
      <c r="DN10" s="92"/>
      <c r="DO10" s="92"/>
      <c r="DP10" s="92"/>
      <c r="DQ10" s="92"/>
      <c r="DR10" s="92"/>
      <c r="DS10" s="179"/>
      <c r="DT10" s="92"/>
      <c r="DU10" s="92"/>
      <c r="DV10" s="92"/>
      <c r="DW10" s="92"/>
      <c r="DX10" s="92"/>
      <c r="DY10" s="92"/>
      <c r="DZ10" s="92"/>
      <c r="EA10" s="92"/>
      <c r="EB10" s="92"/>
      <c r="EC10" s="92"/>
      <c r="ED10" s="197"/>
      <c r="EE10" s="92"/>
      <c r="EF10" s="92"/>
      <c r="EG10" s="92"/>
      <c r="EH10" s="92"/>
      <c r="EI10" s="92"/>
      <c r="EJ10" s="92"/>
      <c r="EK10" s="92"/>
      <c r="EL10" s="92"/>
      <c r="EM10" s="92"/>
      <c r="EN10" s="92"/>
      <c r="EO10" s="92"/>
      <c r="EP10" s="92"/>
      <c r="EQ10" s="92"/>
      <c r="ER10" s="92"/>
      <c r="ES10" s="92"/>
      <c r="ET10" s="92"/>
      <c r="EU10" s="92"/>
      <c r="EV10" s="92"/>
      <c r="EW10" s="92"/>
      <c r="EX10" s="92"/>
      <c r="EY10" s="92"/>
      <c r="EZ10" s="92"/>
      <c r="FA10" s="92"/>
      <c r="FB10" s="92"/>
      <c r="FC10" s="92"/>
      <c r="FD10" s="92"/>
      <c r="FE10" s="92"/>
      <c r="FF10" s="92"/>
      <c r="FG10" s="92"/>
      <c r="FH10" s="92"/>
      <c r="FI10" s="92"/>
      <c r="FJ10" s="92"/>
      <c r="FK10" s="92"/>
      <c r="FL10" s="92"/>
      <c r="FM10" s="92"/>
    </row>
    <row r="11" spans="1:171">
      <c r="A11" s="206">
        <v>1</v>
      </c>
      <c r="B11" s="207" t="s">
        <v>280</v>
      </c>
      <c r="C11" s="207" t="s">
        <v>281</v>
      </c>
      <c r="D11" s="73">
        <f>'MK1-TM'!D19</f>
        <v>84.9</v>
      </c>
      <c r="E11" s="73">
        <f>'MK1-TM'!E19</f>
        <v>98.4</v>
      </c>
      <c r="F11" s="73">
        <f>IFERROR((D11*($D$9/100))+(E11*($E$9/100)),"")</f>
        <v>91.65</v>
      </c>
      <c r="G11" s="91">
        <f>'MK2-TO'!D19</f>
        <v>94.38</v>
      </c>
      <c r="H11" s="91">
        <f>'MK2-TO'!E19</f>
        <v>91.88</v>
      </c>
      <c r="I11" s="91">
        <v>83.38</v>
      </c>
      <c r="J11" s="91">
        <v>80.86</v>
      </c>
      <c r="K11" s="91">
        <f>'MK2-TO'!H19</f>
        <v>90.95</v>
      </c>
      <c r="L11" s="91">
        <f>IFERROR((G11*($G$9/100))+(H11*($H$9/100))+(I11*($I$9/100))+(J11*($J$9/100)+(K11*($K$9/100))),"")</f>
        <v>87.560500000000005</v>
      </c>
      <c r="M11" s="74">
        <f>'MK3-PSTI'!D19</f>
        <v>85</v>
      </c>
      <c r="N11" s="74">
        <f>'MK3-PSTI'!E19</f>
        <v>85</v>
      </c>
      <c r="O11" s="74">
        <f>IFERROR((M11*($M$9/100))+(N11*($N$9/100)),"")</f>
        <v>85</v>
      </c>
      <c r="P11" s="75">
        <f>IF('MK4-L&amp;A'!D19="","",'MK4-L&amp;A'!D19)</f>
        <v>79</v>
      </c>
      <c r="Q11" s="75">
        <f>IF('MK4-L&amp;A'!E19="","",'MK4-L&amp;A'!E19)</f>
        <v>79</v>
      </c>
      <c r="R11" s="75">
        <f>IFERROR((P11*($P$9/100))+(Q11*($Q$9/100)),"")</f>
        <v>79</v>
      </c>
      <c r="S11" s="76">
        <f>IF('MK5-BP'!D19="","",'MK5-BP'!D19)</f>
        <v>81.900000000000006</v>
      </c>
      <c r="T11" s="76">
        <f>IF('MK5-BP'!E19="","",'MK5-BP'!E19)</f>
        <v>92.4</v>
      </c>
      <c r="U11" s="76">
        <f>IFERROR((S11*($S$9/100))+(T11*($T$9/100)),"")</f>
        <v>87.15</v>
      </c>
      <c r="V11" s="38">
        <f>IF('MK7-MBD'!D19="","",'MK7-MBD'!D19)</f>
        <v>81.05</v>
      </c>
      <c r="W11" s="38">
        <f>IF('MK7-MBD'!E19="","",'MK7-MBD'!E19)</f>
        <v>91.2</v>
      </c>
      <c r="X11" s="38">
        <f>IFERROR((V11*($S$9/100))+(W11*($T$9/100)),"")</f>
        <v>86.125</v>
      </c>
      <c r="Y11" s="77">
        <f>IF(MK8_BID!D19="","",MK8_BID!D19)</f>
        <v>82.8</v>
      </c>
      <c r="Z11" s="77">
        <f>IF(MK8_BID!E19="","",MK8_BID!E19)</f>
        <v>82.8</v>
      </c>
      <c r="AA11" s="77">
        <f>IFERROR((Y11*($S$9/100))+(Z11*($T$9/100)),"")</f>
        <v>82.8</v>
      </c>
      <c r="AB11" s="78">
        <f>IF('MK16-AGM'!D19="","",'MK16-AGM'!D19)</f>
        <v>86.45</v>
      </c>
      <c r="AC11" s="78">
        <f>IF('MK16-AGM'!E19="","",'MK16-AGM'!E19)</f>
        <v>86.45</v>
      </c>
      <c r="AD11" s="78">
        <f>IFERROR((AB11*($AB$9/100))+(AC11*($AC$9/100)),"")</f>
        <v>86.45</v>
      </c>
      <c r="AF11" s="79">
        <f t="shared" ref="AF11:AF19" si="0">IFERROR((D11*($D$9/100)+G11*($G$9/100)+M11*($M$9/100)+V11*($V$9/100)),"")</f>
        <v>140.57580000000002</v>
      </c>
      <c r="AG11" s="80">
        <f>IFERROR(AF11/$AF$8*100,"")</f>
        <v>65.384093023255815</v>
      </c>
      <c r="AH11" s="79"/>
      <c r="AI11" s="80"/>
      <c r="AJ11" s="79"/>
      <c r="AK11" s="80"/>
      <c r="AL11" s="79" t="str">
        <f>IFERROR((#REF!*(#REF!/100)),"")</f>
        <v/>
      </c>
      <c r="AM11" s="80" t="str">
        <f>IFERROR(AL11/$AL$8*100,"")</f>
        <v/>
      </c>
      <c r="AN11" s="80"/>
      <c r="AO11" s="80"/>
      <c r="AP11" s="80"/>
      <c r="AQ11" s="80"/>
      <c r="AR11" s="80"/>
      <c r="AS11" s="80"/>
      <c r="AT11" s="80"/>
      <c r="AU11" s="80"/>
      <c r="AV11" s="79"/>
      <c r="AW11" s="80"/>
      <c r="AX11" s="79"/>
      <c r="AY11" s="80"/>
      <c r="AZ11" s="80"/>
      <c r="BA11" s="80"/>
      <c r="BB11" s="79"/>
      <c r="BC11" s="80"/>
      <c r="BD11" s="79">
        <f t="shared" ref="BD11:BD19" si="1">IFERROR((E11*($E$9/100)+K11*($K$9/100)+N11*($N$9/100)+W11*($W$9/100)),"")</f>
        <v>156.39949999999999</v>
      </c>
      <c r="BE11" s="80">
        <f>IFERROR(BD11/$BD$8*100,"")</f>
        <v>91.461695906432738</v>
      </c>
      <c r="BF11" s="2"/>
      <c r="BG11" s="79"/>
      <c r="BJ11" s="4">
        <f>IF(V11="","",IFERROR(V11*($V$9/100),""))</f>
        <v>40.524999999999999</v>
      </c>
      <c r="BK11" s="89">
        <f>IF(BJ11="","",BJ11/$BJ$9)</f>
        <v>0.8105</v>
      </c>
      <c r="BL11" s="4">
        <f>IF(Y11="","",IFERROR(Y11*($BL$9/100),""))</f>
        <v>41.4</v>
      </c>
      <c r="BM11" s="89">
        <f>IF(BL11="","",BL11/$BL$9)</f>
        <v>0.82799999999999996</v>
      </c>
      <c r="BN11" s="81">
        <f>IF(Z11="","",IFERROR(Z11*($BN$9/100),""))</f>
        <v>41.4</v>
      </c>
      <c r="BO11" s="89">
        <f>IF(BN11="","",BN11/$BN$9)</f>
        <v>0.82799999999999996</v>
      </c>
      <c r="BP11" s="81">
        <f>IF(D11="","",IFERROR(D11*($D$9/100),""))</f>
        <v>42.45</v>
      </c>
      <c r="BQ11" s="89">
        <f>IF(BP11="","",BP11/$BP$9)</f>
        <v>0.84900000000000009</v>
      </c>
      <c r="BR11" s="4"/>
      <c r="BS11" s="4"/>
      <c r="BT11" s="81">
        <f>IF(E11="","",IFERROR(E11*($E$9/100),""))</f>
        <v>49.2</v>
      </c>
      <c r="BU11" s="87">
        <f>IF(BT11="","",BT11/$BT$9)</f>
        <v>0.9840000000000001</v>
      </c>
      <c r="BV11" s="4"/>
      <c r="BW11" s="4"/>
      <c r="BX11" s="4"/>
      <c r="BY11" s="4"/>
      <c r="BZ11" s="81"/>
      <c r="CA11" s="89" t="str">
        <f>IF(BZ11="","",BZ11/$BZ$9)</f>
        <v/>
      </c>
      <c r="CB11" s="81"/>
      <c r="CC11" s="89"/>
      <c r="CD11" s="81"/>
      <c r="CE11" s="89" t="str">
        <f>IF(CD11="","",CD11/$CD$9)</f>
        <v/>
      </c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81">
        <f>IF(P11="","",IFERROR(P11*($P$9/100),""))</f>
        <v>39.5</v>
      </c>
      <c r="CQ11" s="87">
        <f>IF(CP11="","",CP11/$CP$9)</f>
        <v>0.79</v>
      </c>
      <c r="CR11" s="4">
        <f>IF(Q11="","",IFERROR(Q11*($Q$9/100),""))</f>
        <v>39.5</v>
      </c>
      <c r="CS11" s="87">
        <f>IF(CR11="","",CR11/$CR$9)</f>
        <v>0.79</v>
      </c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81">
        <f>IF(M11="","",IFERROR(M11*($M$9/100),""))</f>
        <v>42.5</v>
      </c>
      <c r="DS11" s="87">
        <f>IF(DR11="","",DR11/$DR$9)</f>
        <v>0.85</v>
      </c>
      <c r="DT11" s="4"/>
      <c r="DU11" s="4"/>
      <c r="DV11" s="4"/>
      <c r="DW11" s="4"/>
      <c r="DX11" s="81">
        <f>IF(N11="","",IFERROR(N11*($N$9/100),""))</f>
        <v>42.5</v>
      </c>
      <c r="DY11" s="89">
        <f>IF(DX11="","",DX11/$DX$9)</f>
        <v>0.85</v>
      </c>
      <c r="DZ11" s="81"/>
      <c r="EA11" s="89"/>
      <c r="EB11" s="81">
        <f>IF(G11="","",IFERROR(G11*($G$9/100),""))</f>
        <v>15.1008</v>
      </c>
      <c r="EC11" s="89">
        <f>IF(EB11="","",EB11/$EB$9)</f>
        <v>0.94379999999999997</v>
      </c>
      <c r="ED11" s="80">
        <f>IF(H11="","",IFERROR(H11*($H$9/100),""))</f>
        <v>14.700799999999999</v>
      </c>
      <c r="EE11" s="89">
        <f>IF(ED11="","",ED11/$ED$9)</f>
        <v>0.91879999999999995</v>
      </c>
      <c r="EF11" s="198">
        <f>IF(I11="","",IFERROR(I11*($I$9/100),""))</f>
        <v>21.678799999999999</v>
      </c>
      <c r="EG11" s="89">
        <f>IF(EF11="","",EF11/$EF$9)</f>
        <v>0.83379999999999999</v>
      </c>
      <c r="EH11" s="80">
        <f>IF(J11="","",IFERROR(J11*($J$9/100),""))</f>
        <v>16.980599999999999</v>
      </c>
      <c r="EI11" s="89">
        <f>IF(EH11="","",EH11/$EH$9)</f>
        <v>0.80859999999999999</v>
      </c>
      <c r="EJ11" s="4"/>
      <c r="EK11" s="4"/>
      <c r="EL11" s="81">
        <f>IF(K11="","",IFERROR(K11*($K$9/100),""))</f>
        <v>19.099499999999999</v>
      </c>
      <c r="EM11" s="87">
        <f>IF(EF11="","",EF11/$EF$9)</f>
        <v>0.83379999999999999</v>
      </c>
      <c r="EN11" s="4"/>
      <c r="EO11" s="4"/>
      <c r="EP11" s="4"/>
      <c r="EQ11" s="4"/>
      <c r="ER11" s="4">
        <f>IF(S11="","",IFERROR(S11*($S$9/100),""))</f>
        <v>40.950000000000003</v>
      </c>
      <c r="ES11" s="87">
        <f>IF(ER11="","",ER11/$ER$9)</f>
        <v>0.81900000000000006</v>
      </c>
      <c r="ET11" s="4">
        <f>IF(T11="","",IFERROR(T11*($T$9/100),""))</f>
        <v>46.2</v>
      </c>
      <c r="EU11" s="87">
        <f>IF(ET11="","",ET11/$ET$9)</f>
        <v>0.92400000000000004</v>
      </c>
      <c r="EV11" s="81" t="str">
        <f>IFERROR(IF(#REF!="","",IFERROR(#REF!*(#REF!/100),"")),"")</f>
        <v/>
      </c>
      <c r="EW11" s="89" t="str">
        <f>IF(EV11="","",EV11/$EV$9)</f>
        <v/>
      </c>
      <c r="EX11" s="80">
        <f>IF(AB11="","",IFERROR(AB11*($AB$9/100),""))</f>
        <v>43.225000000000001</v>
      </c>
      <c r="EY11" s="89">
        <f>IF(EX11="","",EX11/$EX$9)</f>
        <v>0.86450000000000005</v>
      </c>
      <c r="EZ11" s="80">
        <f>IF(AC11="","",IFERROR(AC11*($AC$9/100),""))</f>
        <v>43.225000000000001</v>
      </c>
      <c r="FA11" s="89">
        <f>IF(EZ11="","",EZ11/$EZ$9)</f>
        <v>0.86450000000000005</v>
      </c>
      <c r="FB11" s="89"/>
      <c r="FC11" s="89"/>
      <c r="FD11" s="81" t="str">
        <f>IFERROR(IF(#REF!="","",IFERROR(#REF!*(#REF!/100),""))+IF(#REF!="","",IFERROR(#REF!*(#REF!/100),"")),"")</f>
        <v/>
      </c>
      <c r="FE11" s="89" t="str">
        <f>IF(FD11="","",FD11/$FD$9)</f>
        <v/>
      </c>
      <c r="FF11" s="183">
        <f t="shared" ref="FF11:FF19" si="2">IFERROR(IF(E11="","",IFERROR(E11*($E$9/100),""))+IF(K11="","",IFERROR(K11*($K$9/100),""))+IF(N11="","",IFERROR(N11*($N$9/100),""))+IF(W11="","",IFERROR(W11*($W$9/100),"")),"")</f>
        <v>156.39949999999999</v>
      </c>
      <c r="FG11" s="184">
        <f>IF(FF11="","",FF11/$FF$9)</f>
        <v>0.91461695906432738</v>
      </c>
      <c r="FH11" s="92"/>
      <c r="FI11" s="92"/>
      <c r="FJ11" s="183" t="str">
        <f>IFERROR(IF(AC11="","",IFERROR(AC11*($AC$9/100),""))+IF(#REF!="","",IFERROR(#REF!*(#REF!/100),"")),"")</f>
        <v/>
      </c>
      <c r="FK11" s="184" t="str">
        <f>IF(FJ11="","",FJ11/$FJ$9)</f>
        <v/>
      </c>
      <c r="FL11" s="183">
        <f t="shared" ref="FL11:FL19" si="3">IFERROR(IF(Z11="","",IFERROR(Z11*($Z$9/100),"")),"")</f>
        <v>41.4</v>
      </c>
      <c r="FM11" s="184">
        <f>IF(FL11="","",FL11/$FL$9)</f>
        <v>0.82799999999999996</v>
      </c>
      <c r="FN11" s="182">
        <f t="shared" ref="FN11:FN19" si="4">SUM(BJ11:FL11)</f>
        <v>854.23991695906443</v>
      </c>
      <c r="FO11" s="101" t="e">
        <f>FN11/$FN$9</f>
        <v>#REF!</v>
      </c>
    </row>
    <row r="12" spans="1:171">
      <c r="A12" s="206">
        <v>2</v>
      </c>
      <c r="B12" s="207" t="s">
        <v>282</v>
      </c>
      <c r="C12" s="207" t="s">
        <v>283</v>
      </c>
      <c r="D12" s="73">
        <f>'MK1-TM'!D20</f>
        <v>77.5</v>
      </c>
      <c r="E12" s="73">
        <f>'MK1-TM'!E20</f>
        <v>82</v>
      </c>
      <c r="F12" s="73">
        <f t="shared" ref="F12:F47" si="5">IFERROR((D12*($D$9/100))+(E12*($E$9/100)),"")</f>
        <v>79.75</v>
      </c>
      <c r="G12" s="91">
        <f>'MK2-TO'!D20</f>
        <v>94.38</v>
      </c>
      <c r="H12" s="91">
        <f>'MK2-TO'!E20</f>
        <v>91.88</v>
      </c>
      <c r="I12" s="91">
        <f>'MK2-TO'!F20</f>
        <v>90.77</v>
      </c>
      <c r="J12" s="91">
        <v>78.900000000000006</v>
      </c>
      <c r="K12" s="91">
        <f>'MK2-TO'!H20</f>
        <v>90.95</v>
      </c>
      <c r="L12" s="91">
        <f t="shared" ref="L12:L47" si="6">IFERROR((G12*($G$9/100))+(H12*($H$9/100))+(I12*($I$9/100))+(J12*($J$9/100)+(K12*($K$9/100))),"")</f>
        <v>89.070300000000003</v>
      </c>
      <c r="M12" s="74">
        <f>'MK3-PSTI'!D20</f>
        <v>85</v>
      </c>
      <c r="N12" s="74">
        <f>'MK3-PSTI'!E20</f>
        <v>85</v>
      </c>
      <c r="O12" s="74">
        <f t="shared" ref="O12:O47" si="7">IFERROR((M12*($M$9/100))+(N12*($N$9/100)),"")</f>
        <v>85</v>
      </c>
      <c r="P12" s="75">
        <f>IF('MK4-L&amp;A'!D20="","",'MK4-L&amp;A'!D20)</f>
        <v>79</v>
      </c>
      <c r="Q12" s="75">
        <f>IF('MK4-L&amp;A'!E20="","",'MK4-L&amp;A'!E20)</f>
        <v>82.5</v>
      </c>
      <c r="R12" s="75">
        <f t="shared" ref="R12:R47" si="8">IFERROR((P12*($P$9/100))+(Q12*($Q$9/100)),"")</f>
        <v>80.75</v>
      </c>
      <c r="S12" s="76">
        <f>IF('MK5-BP'!D20="","",'MK5-BP'!D20)</f>
        <v>66.5</v>
      </c>
      <c r="T12" s="76">
        <f>IF('MK5-BP'!E20="","",'MK5-BP'!E20)</f>
        <v>67.900000000000006</v>
      </c>
      <c r="U12" s="76">
        <f>IFERROR((S12*($S$9/100))+(T12*($T$9/100)),"")</f>
        <v>67.2</v>
      </c>
      <c r="V12" s="38">
        <f>IF('MK7-MBD'!D20="","",'MK7-MBD'!D20)</f>
        <v>91.6</v>
      </c>
      <c r="W12" s="38">
        <f>IF('MK7-MBD'!E20="","",'MK7-MBD'!E20)</f>
        <v>91</v>
      </c>
      <c r="X12" s="38">
        <f t="shared" ref="X12:X47" si="9">IFERROR((V12*($S$9/100))+(W12*($T$9/100)),"")</f>
        <v>91.3</v>
      </c>
      <c r="Y12" s="77">
        <f>IF(MK8_BID!D20="","",MK8_BID!D20)</f>
        <v>80.7</v>
      </c>
      <c r="Z12" s="77">
        <f>IF(MK8_BID!E20="","",MK8_BID!E20)</f>
        <v>80.7</v>
      </c>
      <c r="AA12" s="77">
        <f t="shared" ref="AA12:AA47" si="10">IFERROR((Y12*($S$9/100))+(Z12*($T$9/100)),"")</f>
        <v>80.7</v>
      </c>
      <c r="AB12" s="78">
        <f>IF('MK16-AGM'!D20="","",'MK16-AGM'!D20)</f>
        <v>91</v>
      </c>
      <c r="AC12" s="78">
        <f>IF('MK16-AGM'!E20="","",'MK16-AGM'!E20)</f>
        <v>91</v>
      </c>
      <c r="AD12" s="78">
        <f t="shared" ref="AD12:AD46" si="11">IFERROR((AB12*($AB$9/100))+(AC12*($AC$9/100)),"")</f>
        <v>91</v>
      </c>
      <c r="AF12" s="79">
        <f t="shared" si="0"/>
        <v>142.1508</v>
      </c>
      <c r="AG12" s="80">
        <f>IFERROR(AF12/$AF$8*100,"")</f>
        <v>66.116651162790703</v>
      </c>
      <c r="AH12" s="79" t="str">
        <f>IFERROR((#REF!*(#REF!/100)),"")</f>
        <v/>
      </c>
      <c r="AI12" s="80" t="str">
        <f t="shared" ref="AI12:AI47" si="12">IFERROR(AH12/$AH$8*100,"")</f>
        <v/>
      </c>
      <c r="AJ12" s="79">
        <f t="shared" ref="AJ12:AJ19" si="13">IFERROR((P12*($P$9/100)+S12*($S$9/100)),"")</f>
        <v>72.75</v>
      </c>
      <c r="AK12" s="80">
        <f t="shared" ref="AK12:AK46" si="14">IFERROR(AJ12/$AJ$8*100,"")</f>
        <v>72.75</v>
      </c>
      <c r="AL12" s="79" t="str">
        <f>IFERROR((#REF!*(#REF!/100)),"")</f>
        <v/>
      </c>
      <c r="AM12" s="80" t="str">
        <f t="shared" ref="AM12:AM47" si="15">IFERROR(AL12/$AL$8*100,"")</f>
        <v/>
      </c>
      <c r="AN12" s="80"/>
      <c r="AO12" s="80"/>
      <c r="AP12" s="80"/>
      <c r="AQ12" s="80"/>
      <c r="AR12" s="80"/>
      <c r="AS12" s="80"/>
      <c r="AT12" s="80"/>
      <c r="AU12" s="80"/>
      <c r="AV12" s="79">
        <f t="shared" ref="AV12:AV19" si="16">IFERROR((Q12*($Q$9/100)+T12*($T$9/100)),"")</f>
        <v>75.2</v>
      </c>
      <c r="AW12" s="80">
        <f>IFERROR(AV12/$AV$8*100,"")</f>
        <v>75.2</v>
      </c>
      <c r="AX12" s="79" t="str">
        <f>IFERROR((Y12*($Y$9/100)+AB12*($AB$9/100)+#REF!*(#REF!/100)),"")</f>
        <v/>
      </c>
      <c r="AY12" s="80" t="str">
        <f t="shared" ref="AY12:AY47" si="17">IFERROR(AX12/$AX$8*100,"")</f>
        <v/>
      </c>
      <c r="AZ12" s="80"/>
      <c r="BA12" s="80"/>
      <c r="BB12" s="79" t="str">
        <f>IFERROR((#REF!*(#REF!/100)+#REF!*(#REF!/100)+#REF!*(#REF!/100)),"")</f>
        <v/>
      </c>
      <c r="BC12" s="80" t="str">
        <f>IFERROR(BB12/$BB$8*100,"")</f>
        <v/>
      </c>
      <c r="BD12" s="79">
        <f t="shared" si="1"/>
        <v>148.09950000000001</v>
      </c>
      <c r="BE12" s="80">
        <f>IFERROR(BD12/$BD$8*100,"")</f>
        <v>86.607894736842113</v>
      </c>
      <c r="BF12" s="2" t="str">
        <f>IFERROR((Z12*($Z$9/100)+(AC12*($AC$9/100))+(#REF!*(#REF!/100))),"")</f>
        <v/>
      </c>
      <c r="BG12" s="79" t="str">
        <f>IFERROR(BF12/$BF$8*100,"")</f>
        <v/>
      </c>
      <c r="BJ12" s="4">
        <f t="shared" ref="BJ12:BJ62" si="18">IF(V12="","",IFERROR(V12*($V$9/100),""))</f>
        <v>45.8</v>
      </c>
      <c r="BK12" s="89">
        <f>IF(BJ12="","",BJ12/$BJ$9)</f>
        <v>0.91599999999999993</v>
      </c>
      <c r="BL12" s="4">
        <f t="shared" ref="BL12:BL62" si="19">IF(Y12="","",IFERROR(Y12*($BL$9/100),""))</f>
        <v>40.35</v>
      </c>
      <c r="BM12" s="89">
        <f>IF(BL12="","",BL12/$BL$9)</f>
        <v>0.80700000000000005</v>
      </c>
      <c r="BN12" s="81">
        <f t="shared" ref="BN12:BN46" si="20">IF(Z12="","",IFERROR(Z12*($BN$9/100),""))</f>
        <v>40.35</v>
      </c>
      <c r="BO12" s="89">
        <f>IF(BN12="","",BN12/$BN$9)</f>
        <v>0.80700000000000005</v>
      </c>
      <c r="BP12" s="81">
        <f t="shared" ref="BP12:BP47" si="21">IF(D12="","",IFERROR(D12*($D$9/100),""))</f>
        <v>38.75</v>
      </c>
      <c r="BQ12" s="89">
        <f t="shared" ref="BQ12:BQ47" si="22">IF(BP12="","",BP12/$BP$9)</f>
        <v>0.77500000000000002</v>
      </c>
      <c r="BR12" s="4"/>
      <c r="BS12" s="4"/>
      <c r="BT12" s="81">
        <f>IF(E12="","",IFERROR(E12*($E$9/100),""))</f>
        <v>41</v>
      </c>
      <c r="BU12" s="87">
        <f t="shared" ref="BU12:BU58" si="23">IF(BT12="","",BT12/$BT$9)</f>
        <v>0.82</v>
      </c>
      <c r="BV12" s="4"/>
      <c r="BW12" s="4"/>
      <c r="BX12" s="4"/>
      <c r="BY12" s="4"/>
      <c r="BZ12" s="81"/>
      <c r="CA12" s="89" t="str">
        <f t="shared" ref="CA12:CA47" si="24">IF(BZ12="","",BZ12/$BZ$9)</f>
        <v/>
      </c>
      <c r="CB12" s="81"/>
      <c r="CC12" s="89"/>
      <c r="CD12" s="81"/>
      <c r="CE12" s="89" t="str">
        <f t="shared" ref="CE12:CE47" si="25">IF(CD12="","",CD12/$CD$9)</f>
        <v/>
      </c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81">
        <f t="shared" ref="CP12:CP58" si="26">IF(P12="","",IFERROR(P12*($P$9/100),""))</f>
        <v>39.5</v>
      </c>
      <c r="CQ12" s="87">
        <f t="shared" ref="CQ12:CQ58" si="27">IF(CP12="","",CP12/$CP$9)</f>
        <v>0.79</v>
      </c>
      <c r="CR12" s="4">
        <f t="shared" ref="CR12:CR61" si="28">IF(Q12="","",IFERROR(Q12*($Q$9/100),""))</f>
        <v>41.25</v>
      </c>
      <c r="CS12" s="87">
        <f t="shared" ref="CS12:CS58" si="29">IF(CR12="","",CR12/$CR$9)</f>
        <v>0.82499999999999996</v>
      </c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81">
        <f t="shared" ref="DR12:DR61" si="30">IF(M12="","",IFERROR(M12*($M$9/100),""))</f>
        <v>42.5</v>
      </c>
      <c r="DS12" s="87">
        <f t="shared" ref="DS12:DS59" si="31">IF(DR12="","",DR12/$DR$9)</f>
        <v>0.85</v>
      </c>
      <c r="DT12" s="4"/>
      <c r="DU12" s="4"/>
      <c r="DV12" s="4"/>
      <c r="DW12" s="4"/>
      <c r="DX12" s="81">
        <f t="shared" ref="DX12:DX61" si="32">IF(N12="","",IFERROR(N12*($N$9/100),""))</f>
        <v>42.5</v>
      </c>
      <c r="DY12" s="89">
        <f t="shared" ref="DY12:DY47" si="33">IF(DX12="","",DX12/$DX$9)</f>
        <v>0.85</v>
      </c>
      <c r="DZ12" s="81"/>
      <c r="EA12" s="89"/>
      <c r="EB12" s="81">
        <f t="shared" ref="EB12:EB61" si="34">IF(G12="","",IFERROR(G12*($G$9/100),""))</f>
        <v>15.1008</v>
      </c>
      <c r="EC12" s="89">
        <f t="shared" ref="EC12:EC47" si="35">IF(EB12="","",EB12/$EB$9)</f>
        <v>0.94379999999999997</v>
      </c>
      <c r="ED12" s="80">
        <f>IF(H12="","",IFERROR(H12*($H$9/100),""))</f>
        <v>14.700799999999999</v>
      </c>
      <c r="EE12" s="89">
        <f t="shared" ref="EE12:EE59" si="36">IF(ED12="","",ED12/$ED$9)</f>
        <v>0.91879999999999995</v>
      </c>
      <c r="EF12" s="198">
        <f t="shared" ref="EF12:EF20" si="37">IF(I12="","",IFERROR(I12*($I$9/100),""))</f>
        <v>23.600200000000001</v>
      </c>
      <c r="EG12" s="89">
        <f t="shared" ref="EG12:EG58" si="38">IF(EF12="","",EF12/$EF$9)</f>
        <v>0.90770000000000006</v>
      </c>
      <c r="EH12" s="80">
        <f t="shared" ref="EH12:EH20" si="39">IF(J12="","",IFERROR(J12*($J$9/100),""))</f>
        <v>16.568999999999999</v>
      </c>
      <c r="EI12" s="89">
        <f t="shared" ref="EI12:EI47" si="40">IF(EH12="","",EH12/$EH$9)</f>
        <v>0.78899999999999992</v>
      </c>
      <c r="EJ12" s="4"/>
      <c r="EK12" s="4"/>
      <c r="EL12" s="81">
        <f t="shared" ref="EL12:EL20" si="41">IF(K12="","",IFERROR(K12*($K$9/100),""))</f>
        <v>19.099499999999999</v>
      </c>
      <c r="EM12" s="87">
        <f t="shared" ref="EM12:EM58" si="42">IF(EF12="","",EF12/$EF$9)</f>
        <v>0.90770000000000006</v>
      </c>
      <c r="EN12" s="4"/>
      <c r="EO12" s="4" t="str">
        <f t="shared" ref="EO12:EO61" si="43">IF(EN12="","",EN12/$EN$9)</f>
        <v/>
      </c>
      <c r="EP12" s="4"/>
      <c r="EQ12" s="4"/>
      <c r="ER12" s="4">
        <f t="shared" ref="ER12:ER61" si="44">IF(S12="","",IFERROR(S12*($S$9/100),""))</f>
        <v>33.25</v>
      </c>
      <c r="ES12" s="87">
        <f t="shared" ref="ES12:ES58" si="45">IF(ER12="","",ER12/$ER$9)</f>
        <v>0.66500000000000004</v>
      </c>
      <c r="ET12" s="4">
        <f t="shared" ref="ET12:ET61" si="46">IF(T12="","",IFERROR(T12*($T$9/100),""))</f>
        <v>33.950000000000003</v>
      </c>
      <c r="EU12" s="87">
        <f t="shared" ref="EU12:EU58" si="47">IF(ET12="","",ET12/$ET$9)</f>
        <v>0.67900000000000005</v>
      </c>
      <c r="EV12" s="81" t="str">
        <f>IFERROR(IF(#REF!="","",IFERROR(#REF!*(#REF!/100),"")),"")</f>
        <v/>
      </c>
      <c r="EW12" s="89" t="str">
        <f t="shared" ref="EW12:EW47" si="48">IF(EV12="","",EV12/$EV$9)</f>
        <v/>
      </c>
      <c r="EX12" s="80">
        <f t="shared" ref="EX12:EX61" si="49">IF(AB12="","",IFERROR(AB12*($AB$9/100),""))</f>
        <v>45.5</v>
      </c>
      <c r="EY12" s="89">
        <f t="shared" ref="EY12:EY58" si="50">IF(EX12="","",EX12/$EX$9)</f>
        <v>0.91</v>
      </c>
      <c r="EZ12" s="80">
        <f t="shared" ref="EZ12:EZ61" si="51">IF(AC12="","",IFERROR(AC12*($AC$9/100),""))</f>
        <v>45.5</v>
      </c>
      <c r="FA12" s="89">
        <f t="shared" ref="FA12:FA58" si="52">IF(EZ12="","",EZ12/$EZ$9)</f>
        <v>0.91</v>
      </c>
      <c r="FB12" s="89"/>
      <c r="FC12" s="89"/>
      <c r="FD12" s="81" t="str">
        <f>IFERROR(IF(#REF!="","",IFERROR(#REF!*(#REF!/100),""))+IF(#REF!="","",IFERROR(#REF!*(#REF!/100),"")),"")</f>
        <v/>
      </c>
      <c r="FE12" s="89" t="str">
        <f t="shared" ref="FE12:FE47" si="53">IF(FD12="","",FD12/$FD$9)</f>
        <v/>
      </c>
      <c r="FF12" s="183">
        <f t="shared" si="2"/>
        <v>148.09950000000001</v>
      </c>
      <c r="FG12" s="184">
        <f t="shared" ref="FG12:FG47" si="54">IF(FF12="","",FF12/$FF$9)</f>
        <v>0.86607894736842106</v>
      </c>
      <c r="FH12" s="92"/>
      <c r="FI12" s="92"/>
      <c r="FJ12" s="183" t="str">
        <f>IFERROR(IF(AC12="","",IFERROR(AC12*($AC$9/100),""))+IF(#REF!="","",IFERROR(#REF!*(#REF!/100),"")),"")</f>
        <v/>
      </c>
      <c r="FK12" s="184" t="str">
        <f t="shared" ref="FK12:FK47" si="55">IF(FJ12="","",FJ12/$FJ$9)</f>
        <v/>
      </c>
      <c r="FL12" s="183">
        <f t="shared" si="3"/>
        <v>40.35</v>
      </c>
      <c r="FM12" s="184">
        <f t="shared" ref="FM12:FM47" si="56">IF(FL12="","",FL12/$FL$9)</f>
        <v>0.80700000000000005</v>
      </c>
      <c r="FN12" s="182">
        <f t="shared" si="4"/>
        <v>823.65687894736834</v>
      </c>
      <c r="FO12" s="101" t="e">
        <f t="shared" ref="FO12:FO46" si="57">FN12/$FN$9</f>
        <v>#REF!</v>
      </c>
    </row>
    <row r="13" spans="1:171">
      <c r="A13" s="206">
        <v>3</v>
      </c>
      <c r="B13" s="207" t="s">
        <v>284</v>
      </c>
      <c r="C13" s="207" t="s">
        <v>285</v>
      </c>
      <c r="D13" s="73">
        <f>'MK1-TM'!D21</f>
        <v>81.5</v>
      </c>
      <c r="E13" s="73">
        <f>'MK1-TM'!E21</f>
        <v>83.5</v>
      </c>
      <c r="F13" s="73">
        <f t="shared" si="5"/>
        <v>82.5</v>
      </c>
      <c r="G13" s="91">
        <f>'MK2-TO'!D21</f>
        <v>94.38</v>
      </c>
      <c r="H13" s="91">
        <f>'MK2-TO'!E21</f>
        <v>91.88</v>
      </c>
      <c r="I13" s="91">
        <f>'MK2-TO'!F21</f>
        <v>83.08</v>
      </c>
      <c r="J13" s="91">
        <v>81.05</v>
      </c>
      <c r="K13" s="91">
        <f>'MK2-TO'!H21</f>
        <v>83.81</v>
      </c>
      <c r="L13" s="91">
        <f t="shared" si="6"/>
        <v>86.022999999999996</v>
      </c>
      <c r="M13" s="74">
        <f>'MK3-PSTI'!D21</f>
        <v>85</v>
      </c>
      <c r="N13" s="74">
        <f>'MK3-PSTI'!E21</f>
        <v>85</v>
      </c>
      <c r="O13" s="74">
        <f t="shared" si="7"/>
        <v>85</v>
      </c>
      <c r="P13" s="75">
        <f>IF('MK4-L&amp;A'!D21="","",'MK4-L&amp;A'!D21)</f>
        <v>89.5</v>
      </c>
      <c r="Q13" s="75">
        <f>IF('MK4-L&amp;A'!E21="","",'MK4-L&amp;A'!E21)</f>
        <v>89.5</v>
      </c>
      <c r="R13" s="75">
        <f t="shared" si="8"/>
        <v>89.5</v>
      </c>
      <c r="S13" s="76">
        <f>IF('MK5-BP'!D21="","",'MK5-BP'!D21)</f>
        <v>72.099999999999994</v>
      </c>
      <c r="T13" s="76">
        <f>IF('MK5-BP'!E21="","",'MK5-BP'!E21)</f>
        <v>74.2</v>
      </c>
      <c r="U13" s="76">
        <f t="shared" ref="U13:U47" si="58">IFERROR((S13*($S$9/100))+(T13*($T$9/100)),"")</f>
        <v>73.150000000000006</v>
      </c>
      <c r="V13" s="38">
        <f>IF('MK7-MBD'!D21="","",'MK7-MBD'!D21)</f>
        <v>81.150000000000006</v>
      </c>
      <c r="W13" s="38">
        <f>IF('MK7-MBD'!E21="","",'MK7-MBD'!E21)</f>
        <v>90</v>
      </c>
      <c r="X13" s="38">
        <f t="shared" si="9"/>
        <v>85.575000000000003</v>
      </c>
      <c r="Y13" s="77">
        <f>IF(MK8_BID!D21="","",MK8_BID!D21)</f>
        <v>93.55</v>
      </c>
      <c r="Z13" s="77">
        <f>IF(MK8_BID!E21="","",MK8_BID!E21)</f>
        <v>93.55</v>
      </c>
      <c r="AA13" s="77">
        <f t="shared" si="10"/>
        <v>93.55</v>
      </c>
      <c r="AB13" s="78">
        <f>IF('MK16-AGM'!D21="","",'MK16-AGM'!D21)</f>
        <v>92.45</v>
      </c>
      <c r="AC13" s="78">
        <f>IF('MK16-AGM'!E21="","",'MK16-AGM'!E21)</f>
        <v>92.45</v>
      </c>
      <c r="AD13" s="78">
        <f t="shared" si="11"/>
        <v>92.45</v>
      </c>
      <c r="AF13" s="79">
        <f t="shared" si="0"/>
        <v>138.92579999999998</v>
      </c>
      <c r="AG13" s="80">
        <f t="shared" ref="AG13:AG47" si="59">IFERROR(AF13/$AF$8*100,"")</f>
        <v>64.616651162790689</v>
      </c>
      <c r="AH13" s="79" t="str">
        <f>IFERROR((#REF!*(#REF!/100)),"")</f>
        <v/>
      </c>
      <c r="AI13" s="80" t="str">
        <f t="shared" si="12"/>
        <v/>
      </c>
      <c r="AJ13" s="79">
        <f t="shared" si="13"/>
        <v>80.8</v>
      </c>
      <c r="AK13" s="80">
        <f t="shared" si="14"/>
        <v>80.8</v>
      </c>
      <c r="AL13" s="79" t="str">
        <f>IFERROR((#REF!*(#REF!/100)),"")</f>
        <v/>
      </c>
      <c r="AM13" s="80" t="str">
        <f t="shared" si="15"/>
        <v/>
      </c>
      <c r="AN13" s="80"/>
      <c r="AO13" s="80"/>
      <c r="AP13" s="80"/>
      <c r="AQ13" s="80"/>
      <c r="AR13" s="80"/>
      <c r="AS13" s="80"/>
      <c r="AT13" s="80"/>
      <c r="AU13" s="80"/>
      <c r="AV13" s="79">
        <f t="shared" si="16"/>
        <v>81.849999999999994</v>
      </c>
      <c r="AW13" s="80">
        <f t="shared" ref="AW13:AW46" si="60">IFERROR(AV13/$AV$8*100,"")</f>
        <v>81.849999999999994</v>
      </c>
      <c r="AX13" s="79" t="str">
        <f>IFERROR((Y13*($Y$9/100)+AB13*($AB$9/100)+#REF!*(#REF!/100)),"")</f>
        <v/>
      </c>
      <c r="AY13" s="80" t="str">
        <f t="shared" si="17"/>
        <v/>
      </c>
      <c r="AZ13" s="80"/>
      <c r="BA13" s="80"/>
      <c r="BB13" s="79" t="str">
        <f>IFERROR((#REF!*(#REF!/100)+#REF!*(#REF!/100)+#REF!*(#REF!/100)),"")</f>
        <v/>
      </c>
      <c r="BC13" s="80" t="str">
        <f t="shared" ref="BC13:BC47" si="61">IFERROR(BB13/$BB$8*100,"")</f>
        <v/>
      </c>
      <c r="BD13" s="79">
        <f t="shared" si="1"/>
        <v>146.8501</v>
      </c>
      <c r="BE13" s="80">
        <f t="shared" ref="BE13:BE47" si="62">IFERROR(BD13/$BD$8*100,"")</f>
        <v>85.877251461988308</v>
      </c>
      <c r="BF13" s="2" t="str">
        <f>IFERROR((Z13*($Z$9/100)+(AC13*($AC$9/100))+(#REF!*(#REF!/100))),"")</f>
        <v/>
      </c>
      <c r="BG13" s="79" t="str">
        <f t="shared" ref="BG13:BG47" si="63">IFERROR(BF13/$BF$8*100,"")</f>
        <v/>
      </c>
      <c r="BJ13" s="4">
        <f t="shared" si="18"/>
        <v>40.575000000000003</v>
      </c>
      <c r="BK13" s="89">
        <f t="shared" ref="BK13:BK47" si="64">IF(BJ13="","",BJ13/$BJ$9)</f>
        <v>0.81150000000000011</v>
      </c>
      <c r="BL13" s="4">
        <f t="shared" si="19"/>
        <v>46.774999999999999</v>
      </c>
      <c r="BM13" s="89">
        <f t="shared" ref="BM13:BM47" si="65">IF(BL13="","",BL13/$BL$9)</f>
        <v>0.9355</v>
      </c>
      <c r="BN13" s="81">
        <f t="shared" si="20"/>
        <v>46.774999999999999</v>
      </c>
      <c r="BO13" s="89">
        <f t="shared" ref="BO13:BO47" si="66">IF(BN13="","",BN13/$BN$9)</f>
        <v>0.9355</v>
      </c>
      <c r="BP13" s="81">
        <f t="shared" si="21"/>
        <v>40.75</v>
      </c>
      <c r="BQ13" s="89">
        <f t="shared" si="22"/>
        <v>0.81499999999999995</v>
      </c>
      <c r="BR13" s="4"/>
      <c r="BS13" s="4"/>
      <c r="BT13" s="81">
        <f t="shared" ref="BT13:BT58" si="67">IF(E13="","",IFERROR(E13*($E$9/100),""))</f>
        <v>41.75</v>
      </c>
      <c r="BU13" s="87">
        <f t="shared" si="23"/>
        <v>0.83499999999999996</v>
      </c>
      <c r="BV13" s="4"/>
      <c r="BW13" s="4"/>
      <c r="BX13" s="4"/>
      <c r="BY13" s="4"/>
      <c r="BZ13" s="81"/>
      <c r="CA13" s="89" t="str">
        <f t="shared" si="24"/>
        <v/>
      </c>
      <c r="CB13" s="81"/>
      <c r="CC13" s="89"/>
      <c r="CD13" s="81"/>
      <c r="CE13" s="89" t="str">
        <f t="shared" si="25"/>
        <v/>
      </c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81">
        <f t="shared" si="26"/>
        <v>44.75</v>
      </c>
      <c r="CQ13" s="87">
        <f t="shared" si="27"/>
        <v>0.89500000000000002</v>
      </c>
      <c r="CR13" s="4">
        <f t="shared" si="28"/>
        <v>44.75</v>
      </c>
      <c r="CS13" s="87">
        <f t="shared" si="29"/>
        <v>0.89500000000000002</v>
      </c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81">
        <f t="shared" si="30"/>
        <v>42.5</v>
      </c>
      <c r="DS13" s="87">
        <f t="shared" si="31"/>
        <v>0.85</v>
      </c>
      <c r="DT13" s="4"/>
      <c r="DU13" s="4"/>
      <c r="DV13" s="4"/>
      <c r="DW13" s="4"/>
      <c r="DX13" s="81">
        <f t="shared" si="32"/>
        <v>42.5</v>
      </c>
      <c r="DY13" s="89">
        <f t="shared" si="33"/>
        <v>0.85</v>
      </c>
      <c r="DZ13" s="81"/>
      <c r="EA13" s="89"/>
      <c r="EB13" s="81">
        <f t="shared" si="34"/>
        <v>15.1008</v>
      </c>
      <c r="EC13" s="89">
        <f t="shared" si="35"/>
        <v>0.94379999999999997</v>
      </c>
      <c r="ED13" s="80">
        <f>IF(H13="","",IFERROR(H13*($H$9/100),""))</f>
        <v>14.700799999999999</v>
      </c>
      <c r="EE13" s="89">
        <f t="shared" si="36"/>
        <v>0.91879999999999995</v>
      </c>
      <c r="EF13" s="198">
        <f t="shared" si="37"/>
        <v>21.6008</v>
      </c>
      <c r="EG13" s="89">
        <f t="shared" si="38"/>
        <v>0.83079999999999998</v>
      </c>
      <c r="EH13" s="80">
        <f t="shared" si="39"/>
        <v>17.020499999999998</v>
      </c>
      <c r="EI13" s="89">
        <f t="shared" si="40"/>
        <v>0.81049999999999989</v>
      </c>
      <c r="EJ13" s="4"/>
      <c r="EK13" s="4"/>
      <c r="EL13" s="81">
        <f t="shared" si="41"/>
        <v>17.600100000000001</v>
      </c>
      <c r="EM13" s="87">
        <f t="shared" si="42"/>
        <v>0.83079999999999998</v>
      </c>
      <c r="EN13" s="4"/>
      <c r="EO13" s="4" t="str">
        <f t="shared" si="43"/>
        <v/>
      </c>
      <c r="EP13" s="4"/>
      <c r="EQ13" s="4"/>
      <c r="ER13" s="4">
        <f t="shared" si="44"/>
        <v>36.049999999999997</v>
      </c>
      <c r="ES13" s="87">
        <f t="shared" si="45"/>
        <v>0.72099999999999997</v>
      </c>
      <c r="ET13" s="4">
        <f t="shared" si="46"/>
        <v>37.1</v>
      </c>
      <c r="EU13" s="87">
        <f t="shared" si="47"/>
        <v>0.74199999999999999</v>
      </c>
      <c r="EV13" s="81" t="str">
        <f>IFERROR(IF(#REF!="","",IFERROR(#REF!*(#REF!/100),"")),"")</f>
        <v/>
      </c>
      <c r="EW13" s="89" t="str">
        <f t="shared" si="48"/>
        <v/>
      </c>
      <c r="EX13" s="80">
        <f t="shared" si="49"/>
        <v>46.225000000000001</v>
      </c>
      <c r="EY13" s="89">
        <f t="shared" si="50"/>
        <v>0.92449999999999999</v>
      </c>
      <c r="EZ13" s="80">
        <f t="shared" si="51"/>
        <v>46.225000000000001</v>
      </c>
      <c r="FA13" s="89">
        <f t="shared" si="52"/>
        <v>0.92449999999999999</v>
      </c>
      <c r="FB13" s="89"/>
      <c r="FC13" s="89"/>
      <c r="FD13" s="81" t="str">
        <f>IFERROR(IF(#REF!="","",IFERROR(#REF!*(#REF!/100),""))+IF(#REF!="","",IFERROR(#REF!*(#REF!/100),"")),"")</f>
        <v/>
      </c>
      <c r="FE13" s="89" t="str">
        <f t="shared" si="53"/>
        <v/>
      </c>
      <c r="FF13" s="183">
        <f t="shared" si="2"/>
        <v>146.8501</v>
      </c>
      <c r="FG13" s="184">
        <f t="shared" si="54"/>
        <v>0.85877251461988302</v>
      </c>
      <c r="FH13" s="92"/>
      <c r="FI13" s="92"/>
      <c r="FJ13" s="183" t="str">
        <f>IFERROR(IF(AC13="","",IFERROR(AC13*($AC$9/100),""))+IF(#REF!="","",IFERROR(#REF!*(#REF!/100),"")),"")</f>
        <v/>
      </c>
      <c r="FK13" s="184" t="str">
        <f t="shared" si="55"/>
        <v/>
      </c>
      <c r="FL13" s="183">
        <f t="shared" si="3"/>
        <v>46.774999999999999</v>
      </c>
      <c r="FM13" s="184">
        <f t="shared" si="56"/>
        <v>0.9355</v>
      </c>
      <c r="FN13" s="182">
        <f t="shared" si="4"/>
        <v>852.7010725146198</v>
      </c>
      <c r="FO13" s="101" t="e">
        <f t="shared" si="57"/>
        <v>#REF!</v>
      </c>
    </row>
    <row r="14" spans="1:171">
      <c r="A14" s="206">
        <v>4</v>
      </c>
      <c r="B14" s="207" t="s">
        <v>286</v>
      </c>
      <c r="C14" s="207" t="s">
        <v>287</v>
      </c>
      <c r="D14" s="73">
        <f>'MK1-TM'!D22</f>
        <v>72.099999999999994</v>
      </c>
      <c r="E14" s="73">
        <f>'MK1-TM'!E22</f>
        <v>76.099999999999994</v>
      </c>
      <c r="F14" s="73">
        <f t="shared" si="5"/>
        <v>74.099999999999994</v>
      </c>
      <c r="G14" s="91">
        <f>'MK2-TO'!D22</f>
        <v>35</v>
      </c>
      <c r="H14" s="91">
        <f>'MK2-TO'!E22</f>
        <v>12.5</v>
      </c>
      <c r="I14" s="91">
        <f>'MK2-TO'!F22</f>
        <v>7.69</v>
      </c>
      <c r="J14" s="91">
        <v>80.86</v>
      </c>
      <c r="K14" s="91">
        <f>'MK2-TO'!H22</f>
        <v>9.52</v>
      </c>
      <c r="L14" s="91">
        <f t="shared" si="6"/>
        <v>28.5792</v>
      </c>
      <c r="M14" s="74">
        <f>'MK3-PSTI'!D22</f>
        <v>0</v>
      </c>
      <c r="N14" s="74">
        <f>'MK3-PSTI'!E22</f>
        <v>0</v>
      </c>
      <c r="O14" s="74">
        <f t="shared" si="7"/>
        <v>0</v>
      </c>
      <c r="P14" s="75">
        <f>IF('MK4-L&amp;A'!D22="","",'MK4-L&amp;A'!D22)</f>
        <v>79</v>
      </c>
      <c r="Q14" s="75">
        <f>IF('MK4-L&amp;A'!E22="","",'MK4-L&amp;A'!E22)</f>
        <v>30</v>
      </c>
      <c r="R14" s="75">
        <f t="shared" si="8"/>
        <v>54.5</v>
      </c>
      <c r="S14" s="76">
        <f>IF('MK5-BP'!D22="","",'MK5-BP'!D22)</f>
        <v>22.5</v>
      </c>
      <c r="T14" s="76">
        <f>IF('MK5-BP'!E22="","",'MK5-BP'!E22)</f>
        <v>22.5</v>
      </c>
      <c r="U14" s="76">
        <f t="shared" si="58"/>
        <v>22.5</v>
      </c>
      <c r="V14" s="38">
        <f>IF('MK7-MBD'!D22="","",'MK7-MBD'!D22)</f>
        <v>8.5</v>
      </c>
      <c r="W14" s="38">
        <f>IF('MK7-MBD'!E22="","",'MK7-MBD'!E22)</f>
        <v>17</v>
      </c>
      <c r="X14" s="38">
        <f t="shared" si="9"/>
        <v>12.75</v>
      </c>
      <c r="Y14" s="77">
        <f>IF(MK8_BID!D22="","",MK8_BID!D22)</f>
        <v>0</v>
      </c>
      <c r="Z14" s="77">
        <f>IF(MK8_BID!E22="","",MK8_BID!E22)</f>
        <v>0</v>
      </c>
      <c r="AA14" s="77">
        <f t="shared" si="10"/>
        <v>0</v>
      </c>
      <c r="AB14" s="78">
        <f>IF('MK16-AGM'!D22="","",'MK16-AGM'!D22)</f>
        <v>0</v>
      </c>
      <c r="AC14" s="78">
        <f>IF('MK16-AGM'!E22="","",'MK16-AGM'!E22)</f>
        <v>0</v>
      </c>
      <c r="AD14" s="78">
        <f t="shared" si="11"/>
        <v>0</v>
      </c>
      <c r="AF14" s="79">
        <f t="shared" si="0"/>
        <v>45.9</v>
      </c>
      <c r="AG14" s="80">
        <f t="shared" si="59"/>
        <v>21.348837209302324</v>
      </c>
      <c r="AH14" s="79" t="str">
        <f>IFERROR((#REF!*(#REF!/100)),"")</f>
        <v/>
      </c>
      <c r="AI14" s="80" t="str">
        <f t="shared" si="12"/>
        <v/>
      </c>
      <c r="AJ14" s="79">
        <f t="shared" si="13"/>
        <v>50.75</v>
      </c>
      <c r="AK14" s="80">
        <f t="shared" si="14"/>
        <v>50.749999999999993</v>
      </c>
      <c r="AL14" s="79" t="str">
        <f>IFERROR((#REF!*(#REF!/100)),"")</f>
        <v/>
      </c>
      <c r="AM14" s="80" t="str">
        <f t="shared" si="15"/>
        <v/>
      </c>
      <c r="AN14" s="80"/>
      <c r="AO14" s="80"/>
      <c r="AP14" s="80"/>
      <c r="AQ14" s="80"/>
      <c r="AR14" s="80"/>
      <c r="AS14" s="80"/>
      <c r="AT14" s="80"/>
      <c r="AU14" s="80"/>
      <c r="AV14" s="79">
        <f t="shared" si="16"/>
        <v>26.25</v>
      </c>
      <c r="AW14" s="80">
        <f t="shared" si="60"/>
        <v>26.25</v>
      </c>
      <c r="AX14" s="79" t="str">
        <f>IFERROR((Y14*($Y$9/100)+AB14*($AB$9/100)+#REF!*(#REF!/100)),"")</f>
        <v/>
      </c>
      <c r="AY14" s="80" t="str">
        <f t="shared" si="17"/>
        <v/>
      </c>
      <c r="AZ14" s="80"/>
      <c r="BA14" s="80"/>
      <c r="BB14" s="79" t="str">
        <f>IFERROR((#REF!*(#REF!/100)+#REF!*(#REF!/100)+#REF!*(#REF!/100)),"")</f>
        <v/>
      </c>
      <c r="BC14" s="80" t="str">
        <f t="shared" si="61"/>
        <v/>
      </c>
      <c r="BD14" s="79">
        <f t="shared" si="1"/>
        <v>48.549199999999999</v>
      </c>
      <c r="BE14" s="80">
        <f t="shared" si="62"/>
        <v>28.391345029239766</v>
      </c>
      <c r="BF14" s="2" t="str">
        <f>IFERROR((Z14*($Z$9/100)+AC14*($AC$9/100)+#REF!*(#REF!/100)),"")</f>
        <v/>
      </c>
      <c r="BG14" s="79" t="str">
        <f t="shared" si="63"/>
        <v/>
      </c>
      <c r="BJ14" s="4">
        <f t="shared" si="18"/>
        <v>4.25</v>
      </c>
      <c r="BK14" s="89">
        <f t="shared" si="64"/>
        <v>8.5000000000000006E-2</v>
      </c>
      <c r="BL14" s="4">
        <f t="shared" si="19"/>
        <v>0</v>
      </c>
      <c r="BM14" s="89">
        <f t="shared" si="65"/>
        <v>0</v>
      </c>
      <c r="BN14" s="81">
        <f t="shared" si="20"/>
        <v>0</v>
      </c>
      <c r="BO14" s="89">
        <f t="shared" si="66"/>
        <v>0</v>
      </c>
      <c r="BP14" s="81">
        <f t="shared" si="21"/>
        <v>36.049999999999997</v>
      </c>
      <c r="BQ14" s="89">
        <f t="shared" si="22"/>
        <v>0.72099999999999997</v>
      </c>
      <c r="BR14" s="4"/>
      <c r="BS14" s="4"/>
      <c r="BT14" s="81">
        <f t="shared" si="67"/>
        <v>38.049999999999997</v>
      </c>
      <c r="BU14" s="87">
        <f t="shared" si="23"/>
        <v>0.7609999999999999</v>
      </c>
      <c r="BV14" s="4"/>
      <c r="BW14" s="4"/>
      <c r="BX14" s="4"/>
      <c r="BY14" s="4"/>
      <c r="BZ14" s="81"/>
      <c r="CA14" s="89" t="str">
        <f t="shared" si="24"/>
        <v/>
      </c>
      <c r="CB14" s="81"/>
      <c r="CC14" s="89"/>
      <c r="CD14" s="81"/>
      <c r="CE14" s="89" t="str">
        <f t="shared" si="25"/>
        <v/>
      </c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81">
        <f t="shared" si="26"/>
        <v>39.5</v>
      </c>
      <c r="CQ14" s="87">
        <f t="shared" si="27"/>
        <v>0.79</v>
      </c>
      <c r="CR14" s="4">
        <f t="shared" si="28"/>
        <v>15</v>
      </c>
      <c r="CS14" s="87">
        <f t="shared" si="29"/>
        <v>0.3</v>
      </c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81">
        <f t="shared" si="30"/>
        <v>0</v>
      </c>
      <c r="DS14" s="87">
        <f t="shared" si="31"/>
        <v>0</v>
      </c>
      <c r="DT14" s="4"/>
      <c r="DU14" s="4"/>
      <c r="DV14" s="4"/>
      <c r="DW14" s="4"/>
      <c r="DX14" s="81">
        <f t="shared" si="32"/>
        <v>0</v>
      </c>
      <c r="DY14" s="89">
        <f t="shared" si="33"/>
        <v>0</v>
      </c>
      <c r="DZ14" s="81"/>
      <c r="EA14" s="89"/>
      <c r="EB14" s="81">
        <f t="shared" si="34"/>
        <v>5.6000000000000005</v>
      </c>
      <c r="EC14" s="89">
        <f t="shared" si="35"/>
        <v>0.35000000000000003</v>
      </c>
      <c r="ED14" s="80">
        <f t="shared" ref="ED14:ED61" si="68">IF(H14="","",IFERROR(H14*($H$9/100),""))</f>
        <v>2</v>
      </c>
      <c r="EE14" s="89">
        <f t="shared" si="36"/>
        <v>0.125</v>
      </c>
      <c r="EF14" s="198">
        <f t="shared" si="37"/>
        <v>1.9994000000000001</v>
      </c>
      <c r="EG14" s="89">
        <f t="shared" si="38"/>
        <v>7.6899999999999996E-2</v>
      </c>
      <c r="EH14" s="80">
        <f t="shared" si="39"/>
        <v>16.980599999999999</v>
      </c>
      <c r="EI14" s="89">
        <f t="shared" si="40"/>
        <v>0.80859999999999999</v>
      </c>
      <c r="EJ14" s="4"/>
      <c r="EK14" s="4"/>
      <c r="EL14" s="81">
        <f t="shared" si="41"/>
        <v>1.9991999999999999</v>
      </c>
      <c r="EM14" s="87">
        <f t="shared" si="42"/>
        <v>7.6899999999999996E-2</v>
      </c>
      <c r="EN14" s="4"/>
      <c r="EO14" s="4" t="str">
        <f t="shared" si="43"/>
        <v/>
      </c>
      <c r="EP14" s="4"/>
      <c r="EQ14" s="4"/>
      <c r="ER14" s="4">
        <f t="shared" si="44"/>
        <v>11.25</v>
      </c>
      <c r="ES14" s="87">
        <f t="shared" si="45"/>
        <v>0.22500000000000001</v>
      </c>
      <c r="ET14" s="4">
        <f t="shared" si="46"/>
        <v>11.25</v>
      </c>
      <c r="EU14" s="87">
        <f t="shared" si="47"/>
        <v>0.22500000000000001</v>
      </c>
      <c r="EV14" s="81" t="str">
        <f>IFERROR(IF(#REF!="","",IFERROR(#REF!*(#REF!/100),"")),"")</f>
        <v/>
      </c>
      <c r="EW14" s="89" t="str">
        <f t="shared" si="48"/>
        <v/>
      </c>
      <c r="EX14" s="80">
        <f t="shared" si="49"/>
        <v>0</v>
      </c>
      <c r="EY14" s="89">
        <f t="shared" si="50"/>
        <v>0</v>
      </c>
      <c r="EZ14" s="80">
        <f t="shared" si="51"/>
        <v>0</v>
      </c>
      <c r="FA14" s="89">
        <f t="shared" si="52"/>
        <v>0</v>
      </c>
      <c r="FB14" s="89"/>
      <c r="FC14" s="89"/>
      <c r="FD14" s="81" t="str">
        <f>IFERROR(IF(#REF!="","",IFERROR(#REF!*(#REF!/100),""))+IF(#REF!="","",IFERROR(#REF!*(#REF!/100),"")),"")</f>
        <v/>
      </c>
      <c r="FE14" s="89" t="str">
        <f t="shared" si="53"/>
        <v/>
      </c>
      <c r="FF14" s="183">
        <f t="shared" si="2"/>
        <v>48.549199999999999</v>
      </c>
      <c r="FG14" s="184">
        <f t="shared" si="54"/>
        <v>0.28391345029239767</v>
      </c>
      <c r="FH14" s="92"/>
      <c r="FI14" s="92"/>
      <c r="FJ14" s="183" t="str">
        <f>IFERROR(IF(AC14="","",IFERROR(AC14*($AC$9/100),""))+IF(#REF!="","",IFERROR(#REF!*(#REF!/100),"")),"")</f>
        <v/>
      </c>
      <c r="FK14" s="184" t="str">
        <f t="shared" si="55"/>
        <v/>
      </c>
      <c r="FL14" s="183">
        <f t="shared" si="3"/>
        <v>0</v>
      </c>
      <c r="FM14" s="184">
        <f t="shared" si="56"/>
        <v>0</v>
      </c>
      <c r="FN14" s="182">
        <f t="shared" si="4"/>
        <v>237.30671345029242</v>
      </c>
      <c r="FO14" s="101" t="e">
        <f t="shared" si="57"/>
        <v>#REF!</v>
      </c>
    </row>
    <row r="15" spans="1:171">
      <c r="A15" s="206">
        <v>5</v>
      </c>
      <c r="B15" s="207" t="s">
        <v>288</v>
      </c>
      <c r="C15" s="207" t="s">
        <v>289</v>
      </c>
      <c r="D15" s="73">
        <f>'MK1-TM'!D23</f>
        <v>80.900000000000006</v>
      </c>
      <c r="E15" s="73">
        <f>'MK1-TM'!E23</f>
        <v>82.9</v>
      </c>
      <c r="F15" s="73">
        <f t="shared" si="5"/>
        <v>81.900000000000006</v>
      </c>
      <c r="G15" s="91">
        <f>'MK2-TO'!D23</f>
        <v>94.38</v>
      </c>
      <c r="H15" s="91">
        <f>'MK2-TO'!E23</f>
        <v>91.88</v>
      </c>
      <c r="I15" s="91">
        <f>'MK2-TO'!F23</f>
        <v>90.77</v>
      </c>
      <c r="J15" s="91">
        <v>81.569999999999993</v>
      </c>
      <c r="K15" s="91">
        <f>'MK2-TO'!H23</f>
        <v>90.95</v>
      </c>
      <c r="L15" s="91">
        <f t="shared" si="6"/>
        <v>89.631</v>
      </c>
      <c r="M15" s="74">
        <f>'MK3-PSTI'!D23</f>
        <v>85</v>
      </c>
      <c r="N15" s="74">
        <f>'MK3-PSTI'!E23</f>
        <v>85</v>
      </c>
      <c r="O15" s="74">
        <f t="shared" si="7"/>
        <v>85</v>
      </c>
      <c r="P15" s="75">
        <f>IF('MK4-L&amp;A'!D23="","",'MK4-L&amp;A'!D23)</f>
        <v>79</v>
      </c>
      <c r="Q15" s="75">
        <f>IF('MK4-L&amp;A'!E23="","",'MK4-L&amp;A'!E23)</f>
        <v>72</v>
      </c>
      <c r="R15" s="75">
        <f t="shared" si="8"/>
        <v>75.5</v>
      </c>
      <c r="S15" s="76">
        <f>IF('MK5-BP'!D23="","",'MK5-BP'!D23)</f>
        <v>67.3</v>
      </c>
      <c r="T15" s="76">
        <f>IF('MK5-BP'!E23="","",'MK5-BP'!E23)</f>
        <v>63.8</v>
      </c>
      <c r="U15" s="76">
        <f t="shared" si="58"/>
        <v>65.55</v>
      </c>
      <c r="V15" s="38">
        <f>IF('MK7-MBD'!D23="","",'MK7-MBD'!D23)</f>
        <v>80.150000000000006</v>
      </c>
      <c r="W15" s="38">
        <f>IF('MK7-MBD'!E23="","",'MK7-MBD'!E23)</f>
        <v>87.3</v>
      </c>
      <c r="X15" s="38">
        <f t="shared" si="9"/>
        <v>83.724999999999994</v>
      </c>
      <c r="Y15" s="77">
        <f>IF(MK8_BID!D23="","",MK8_BID!D23)</f>
        <v>82.9</v>
      </c>
      <c r="Z15" s="77">
        <f>IF(MK8_BID!E23="","",MK8_BID!E23)</f>
        <v>82.9</v>
      </c>
      <c r="AA15" s="77">
        <f t="shared" si="10"/>
        <v>82.9</v>
      </c>
      <c r="AB15" s="78">
        <f>IF('MK16-AGM'!D23="","",'MK16-AGM'!D23)</f>
        <v>84.75</v>
      </c>
      <c r="AC15" s="78">
        <f>IF('MK16-AGM'!E23="","",'MK16-AGM'!E23)</f>
        <v>84.75</v>
      </c>
      <c r="AD15" s="78">
        <f t="shared" si="11"/>
        <v>84.75</v>
      </c>
      <c r="AF15" s="79">
        <f t="shared" si="0"/>
        <v>138.12580000000003</v>
      </c>
      <c r="AG15" s="80">
        <f t="shared" si="59"/>
        <v>64.244558139534888</v>
      </c>
      <c r="AH15" s="79" t="str">
        <f>IFERROR((#REF!*(#REF!/100)),"")</f>
        <v/>
      </c>
      <c r="AI15" s="80" t="str">
        <f t="shared" si="12"/>
        <v/>
      </c>
      <c r="AJ15" s="79">
        <f t="shared" si="13"/>
        <v>73.150000000000006</v>
      </c>
      <c r="AK15" s="80">
        <f t="shared" si="14"/>
        <v>73.150000000000006</v>
      </c>
      <c r="AL15" s="79" t="str">
        <f>IFERROR((#REF!*(#REF!/100)),"")</f>
        <v/>
      </c>
      <c r="AM15" s="80" t="str">
        <f t="shared" si="15"/>
        <v/>
      </c>
      <c r="AN15" s="80"/>
      <c r="AO15" s="80"/>
      <c r="AP15" s="80"/>
      <c r="AQ15" s="80"/>
      <c r="AR15" s="80"/>
      <c r="AS15" s="80"/>
      <c r="AT15" s="80"/>
      <c r="AU15" s="80"/>
      <c r="AV15" s="79">
        <f t="shared" si="16"/>
        <v>67.900000000000006</v>
      </c>
      <c r="AW15" s="80">
        <f t="shared" si="60"/>
        <v>67.900000000000006</v>
      </c>
      <c r="AX15" s="79" t="str">
        <f>IFERROR((Y15*($Y$9/100)+AB15*($AB$9/100)+#REF!*(#REF!/100)),"")</f>
        <v/>
      </c>
      <c r="AY15" s="80" t="str">
        <f t="shared" si="17"/>
        <v/>
      </c>
      <c r="AZ15" s="80"/>
      <c r="BA15" s="80"/>
      <c r="BB15" s="79" t="str">
        <f>IFERROR((#REF!*(#REF!/100)+#REF!*(#REF!/100)+#REF!*(#REF!/100)),"")</f>
        <v/>
      </c>
      <c r="BC15" s="80" t="str">
        <f t="shared" si="61"/>
        <v/>
      </c>
      <c r="BD15" s="79">
        <f t="shared" si="1"/>
        <v>146.6995</v>
      </c>
      <c r="BE15" s="80">
        <f t="shared" si="62"/>
        <v>85.789181286549706</v>
      </c>
      <c r="BF15" s="2" t="str">
        <f>IFERROR((Z15*($Z$9/100)+AC15*($AC$9/100)+#REF!*(#REF!/100)),"")</f>
        <v/>
      </c>
      <c r="BG15" s="79" t="str">
        <f t="shared" si="63"/>
        <v/>
      </c>
      <c r="BJ15" s="4">
        <f t="shared" si="18"/>
        <v>40.075000000000003</v>
      </c>
      <c r="BK15" s="89">
        <f t="shared" si="64"/>
        <v>0.8015000000000001</v>
      </c>
      <c r="BL15" s="4">
        <f t="shared" si="19"/>
        <v>41.45</v>
      </c>
      <c r="BM15" s="89">
        <f t="shared" si="65"/>
        <v>0.82900000000000007</v>
      </c>
      <c r="BN15" s="81">
        <f t="shared" si="20"/>
        <v>41.45</v>
      </c>
      <c r="BO15" s="89">
        <f t="shared" si="66"/>
        <v>0.82900000000000007</v>
      </c>
      <c r="BP15" s="81">
        <f t="shared" si="21"/>
        <v>40.450000000000003</v>
      </c>
      <c r="BQ15" s="89">
        <f t="shared" si="22"/>
        <v>0.80900000000000005</v>
      </c>
      <c r="BR15" s="4"/>
      <c r="BS15" s="4"/>
      <c r="BT15" s="81">
        <f t="shared" si="67"/>
        <v>41.45</v>
      </c>
      <c r="BU15" s="87">
        <f t="shared" si="23"/>
        <v>0.82900000000000007</v>
      </c>
      <c r="BV15" s="4"/>
      <c r="BW15" s="4"/>
      <c r="BX15" s="4"/>
      <c r="BY15" s="4"/>
      <c r="BZ15" s="81"/>
      <c r="CA15" s="89" t="str">
        <f t="shared" si="24"/>
        <v/>
      </c>
      <c r="CB15" s="81"/>
      <c r="CC15" s="89"/>
      <c r="CD15" s="81"/>
      <c r="CE15" s="89" t="str">
        <f t="shared" si="25"/>
        <v/>
      </c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81">
        <f t="shared" si="26"/>
        <v>39.5</v>
      </c>
      <c r="CQ15" s="87">
        <f t="shared" si="27"/>
        <v>0.79</v>
      </c>
      <c r="CR15" s="4">
        <f t="shared" si="28"/>
        <v>36</v>
      </c>
      <c r="CS15" s="87">
        <f t="shared" si="29"/>
        <v>0.72</v>
      </c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81">
        <f t="shared" si="30"/>
        <v>42.5</v>
      </c>
      <c r="DS15" s="87">
        <f t="shared" si="31"/>
        <v>0.85</v>
      </c>
      <c r="DT15" s="4"/>
      <c r="DU15" s="4"/>
      <c r="DV15" s="4"/>
      <c r="DW15" s="4"/>
      <c r="DX15" s="81">
        <f t="shared" si="32"/>
        <v>42.5</v>
      </c>
      <c r="DY15" s="89">
        <f t="shared" si="33"/>
        <v>0.85</v>
      </c>
      <c r="DZ15" s="81"/>
      <c r="EA15" s="89"/>
      <c r="EB15" s="81">
        <f t="shared" si="34"/>
        <v>15.1008</v>
      </c>
      <c r="EC15" s="89">
        <f t="shared" si="35"/>
        <v>0.94379999999999997</v>
      </c>
      <c r="ED15" s="80">
        <f t="shared" si="68"/>
        <v>14.700799999999999</v>
      </c>
      <c r="EE15" s="89">
        <f t="shared" si="36"/>
        <v>0.91879999999999995</v>
      </c>
      <c r="EF15" s="198">
        <f t="shared" si="37"/>
        <v>23.600200000000001</v>
      </c>
      <c r="EG15" s="89">
        <f t="shared" si="38"/>
        <v>0.90770000000000006</v>
      </c>
      <c r="EH15" s="80">
        <f t="shared" si="39"/>
        <v>17.1297</v>
      </c>
      <c r="EI15" s="89">
        <f t="shared" si="40"/>
        <v>0.81569999999999998</v>
      </c>
      <c r="EJ15" s="4"/>
      <c r="EK15" s="4"/>
      <c r="EL15" s="81">
        <f t="shared" si="41"/>
        <v>19.099499999999999</v>
      </c>
      <c r="EM15" s="87">
        <f t="shared" si="42"/>
        <v>0.90770000000000006</v>
      </c>
      <c r="EN15" s="4"/>
      <c r="EO15" s="4" t="str">
        <f t="shared" si="43"/>
        <v/>
      </c>
      <c r="EP15" s="4"/>
      <c r="EQ15" s="4"/>
      <c r="ER15" s="4">
        <f t="shared" si="44"/>
        <v>33.65</v>
      </c>
      <c r="ES15" s="87">
        <f t="shared" si="45"/>
        <v>0.67299999999999993</v>
      </c>
      <c r="ET15" s="4">
        <f t="shared" si="46"/>
        <v>31.9</v>
      </c>
      <c r="EU15" s="87">
        <f t="shared" si="47"/>
        <v>0.63800000000000001</v>
      </c>
      <c r="EV15" s="81" t="str">
        <f>IFERROR(IF(#REF!="","",IFERROR(#REF!*(#REF!/100),"")),"")</f>
        <v/>
      </c>
      <c r="EW15" s="89" t="str">
        <f t="shared" si="48"/>
        <v/>
      </c>
      <c r="EX15" s="80">
        <f t="shared" si="49"/>
        <v>42.375</v>
      </c>
      <c r="EY15" s="89">
        <f t="shared" si="50"/>
        <v>0.84750000000000003</v>
      </c>
      <c r="EZ15" s="80">
        <f t="shared" si="51"/>
        <v>42.375</v>
      </c>
      <c r="FA15" s="89">
        <f t="shared" si="52"/>
        <v>0.84750000000000003</v>
      </c>
      <c r="FB15" s="89"/>
      <c r="FC15" s="89"/>
      <c r="FD15" s="81" t="str">
        <f>IFERROR(IF(#REF!="","",IFERROR(#REF!*(#REF!/100),""))+IF(#REF!="","",IFERROR(#REF!*(#REF!/100),"")),"")</f>
        <v/>
      </c>
      <c r="FE15" s="89" t="str">
        <f t="shared" si="53"/>
        <v/>
      </c>
      <c r="FF15" s="183">
        <f t="shared" si="2"/>
        <v>146.6995</v>
      </c>
      <c r="FG15" s="184">
        <f t="shared" si="54"/>
        <v>0.85789181286549709</v>
      </c>
      <c r="FH15" s="92"/>
      <c r="FI15" s="92"/>
      <c r="FJ15" s="183" t="str">
        <f>IFERROR(IF(AC15="","",IFERROR(AC15*($AC$9/100),""))+IF(#REF!="","",IFERROR(#REF!*(#REF!/100),"")),"")</f>
        <v/>
      </c>
      <c r="FK15" s="184" t="str">
        <f t="shared" si="55"/>
        <v/>
      </c>
      <c r="FL15" s="183">
        <f t="shared" si="3"/>
        <v>41.45</v>
      </c>
      <c r="FM15" s="184">
        <f t="shared" si="56"/>
        <v>0.82900000000000007</v>
      </c>
      <c r="FN15" s="182">
        <f t="shared" si="4"/>
        <v>809.12059181286554</v>
      </c>
      <c r="FO15" s="101" t="e">
        <f t="shared" si="57"/>
        <v>#REF!</v>
      </c>
    </row>
    <row r="16" spans="1:171">
      <c r="A16" s="206">
        <v>6</v>
      </c>
      <c r="B16" s="207" t="s">
        <v>290</v>
      </c>
      <c r="C16" s="207" t="s">
        <v>291</v>
      </c>
      <c r="D16" s="73">
        <f>'MK1-TM'!D24</f>
        <v>80.900000000000006</v>
      </c>
      <c r="E16" s="73">
        <f>'MK1-TM'!E24</f>
        <v>81.900000000000006</v>
      </c>
      <c r="F16" s="73">
        <f t="shared" si="5"/>
        <v>81.400000000000006</v>
      </c>
      <c r="G16" s="91">
        <f>'MK2-TO'!D24</f>
        <v>94.38</v>
      </c>
      <c r="H16" s="91">
        <f>'MK2-TO'!E24</f>
        <v>91.88</v>
      </c>
      <c r="I16" s="91">
        <f>'MK2-TO'!F24</f>
        <v>83.08</v>
      </c>
      <c r="J16" s="91">
        <v>78</v>
      </c>
      <c r="K16" s="91">
        <f>'MK2-TO'!H24</f>
        <v>83.81</v>
      </c>
      <c r="L16" s="91">
        <f t="shared" si="6"/>
        <v>85.382499999999993</v>
      </c>
      <c r="M16" s="74">
        <f>'MK3-PSTI'!D24</f>
        <v>85</v>
      </c>
      <c r="N16" s="74">
        <f>'MK3-PSTI'!E24</f>
        <v>85</v>
      </c>
      <c r="O16" s="74">
        <f t="shared" si="7"/>
        <v>85</v>
      </c>
      <c r="P16" s="75">
        <f>IF('MK4-L&amp;A'!D24="","",'MK4-L&amp;A'!D24)</f>
        <v>79</v>
      </c>
      <c r="Q16" s="75">
        <f>IF('MK4-L&amp;A'!E24="","",'MK4-L&amp;A'!E24)</f>
        <v>82.5</v>
      </c>
      <c r="R16" s="75">
        <f t="shared" si="8"/>
        <v>80.75</v>
      </c>
      <c r="S16" s="76">
        <f>IF('MK5-BP'!D24="","",'MK5-BP'!D24)</f>
        <v>64.099999999999994</v>
      </c>
      <c r="T16" s="76">
        <f>IF('MK5-BP'!E24="","",'MK5-BP'!E24)</f>
        <v>71.8</v>
      </c>
      <c r="U16" s="76">
        <f t="shared" si="58"/>
        <v>67.949999999999989</v>
      </c>
      <c r="V16" s="38">
        <f>IF('MK7-MBD'!D24="","",'MK7-MBD'!D24)</f>
        <v>79.849999999999994</v>
      </c>
      <c r="W16" s="38">
        <f>IF('MK7-MBD'!E24="","",'MK7-MBD'!E24)</f>
        <v>89.4</v>
      </c>
      <c r="X16" s="38">
        <f t="shared" si="9"/>
        <v>84.625</v>
      </c>
      <c r="Y16" s="77">
        <f>IF(MK8_BID!D24="","",MK8_BID!D24)</f>
        <v>79.25</v>
      </c>
      <c r="Z16" s="77">
        <f>IF(MK8_BID!E24="","",MK8_BID!E24)</f>
        <v>79.25</v>
      </c>
      <c r="AA16" s="77">
        <f t="shared" si="10"/>
        <v>79.25</v>
      </c>
      <c r="AB16" s="78">
        <f>IF('MK16-AGM'!D24="","",'MK16-AGM'!D24)</f>
        <v>91</v>
      </c>
      <c r="AC16" s="78">
        <f>IF('MK16-AGM'!E24="","",'MK16-AGM'!E24)</f>
        <v>91</v>
      </c>
      <c r="AD16" s="78">
        <f t="shared" si="11"/>
        <v>91</v>
      </c>
      <c r="AF16" s="79">
        <f t="shared" si="0"/>
        <v>137.97579999999999</v>
      </c>
      <c r="AG16" s="80">
        <f t="shared" si="59"/>
        <v>64.17479069767441</v>
      </c>
      <c r="AH16" s="79" t="str">
        <f>IFERROR((#REF!*(#REF!/100)),"")</f>
        <v/>
      </c>
      <c r="AI16" s="80" t="str">
        <f t="shared" si="12"/>
        <v/>
      </c>
      <c r="AJ16" s="79">
        <f t="shared" si="13"/>
        <v>71.55</v>
      </c>
      <c r="AK16" s="80">
        <f t="shared" si="14"/>
        <v>71.55</v>
      </c>
      <c r="AL16" s="79" t="str">
        <f>IFERROR((#REF!*(#REF!/100)),"")</f>
        <v/>
      </c>
      <c r="AM16" s="80" t="str">
        <f t="shared" si="15"/>
        <v/>
      </c>
      <c r="AN16" s="80"/>
      <c r="AO16" s="80"/>
      <c r="AP16" s="80"/>
      <c r="AQ16" s="80"/>
      <c r="AR16" s="80"/>
      <c r="AS16" s="80"/>
      <c r="AT16" s="80"/>
      <c r="AU16" s="80"/>
      <c r="AV16" s="79">
        <f t="shared" si="16"/>
        <v>77.150000000000006</v>
      </c>
      <c r="AW16" s="80">
        <f t="shared" si="60"/>
        <v>77.150000000000006</v>
      </c>
      <c r="AX16" s="79" t="str">
        <f>IFERROR((Y16*($Y$9/100)+AB16*($AB$9/100)+#REF!*(#REF!/100)),"")</f>
        <v/>
      </c>
      <c r="AY16" s="80" t="str">
        <f t="shared" si="17"/>
        <v/>
      </c>
      <c r="AZ16" s="80"/>
      <c r="BA16" s="80"/>
      <c r="BB16" s="79" t="str">
        <f>IFERROR((#REF!*(#REF!/100)+#REF!*(#REF!/100)+#REF!*(#REF!/100)),"")</f>
        <v/>
      </c>
      <c r="BC16" s="80" t="str">
        <f t="shared" si="61"/>
        <v/>
      </c>
      <c r="BD16" s="79">
        <f t="shared" si="1"/>
        <v>145.7501</v>
      </c>
      <c r="BE16" s="80">
        <f t="shared" si="62"/>
        <v>85.233976608187135</v>
      </c>
      <c r="BF16" s="2" t="str">
        <f>IFERROR((Z16*($Z$9/100)+AC16*($AC$9/100)+#REF!*(#REF!/100)),"")</f>
        <v/>
      </c>
      <c r="BG16" s="79" t="str">
        <f t="shared" si="63"/>
        <v/>
      </c>
      <c r="BJ16" s="4">
        <f t="shared" si="18"/>
        <v>39.924999999999997</v>
      </c>
      <c r="BK16" s="89">
        <f t="shared" si="64"/>
        <v>0.79849999999999999</v>
      </c>
      <c r="BL16" s="4">
        <f t="shared" si="19"/>
        <v>39.625</v>
      </c>
      <c r="BM16" s="89">
        <f t="shared" si="65"/>
        <v>0.79249999999999998</v>
      </c>
      <c r="BN16" s="81">
        <f t="shared" si="20"/>
        <v>39.625</v>
      </c>
      <c r="BO16" s="89">
        <f t="shared" si="66"/>
        <v>0.79249999999999998</v>
      </c>
      <c r="BP16" s="81">
        <f t="shared" si="21"/>
        <v>40.450000000000003</v>
      </c>
      <c r="BQ16" s="89">
        <f t="shared" si="22"/>
        <v>0.80900000000000005</v>
      </c>
      <c r="BR16" s="4"/>
      <c r="BS16" s="4"/>
      <c r="BT16" s="81">
        <f t="shared" si="67"/>
        <v>40.950000000000003</v>
      </c>
      <c r="BU16" s="87">
        <f t="shared" si="23"/>
        <v>0.81900000000000006</v>
      </c>
      <c r="BV16" s="4"/>
      <c r="BW16" s="4"/>
      <c r="BX16" s="4"/>
      <c r="BY16" s="4"/>
      <c r="BZ16" s="81"/>
      <c r="CA16" s="89" t="str">
        <f t="shared" si="24"/>
        <v/>
      </c>
      <c r="CB16" s="81"/>
      <c r="CC16" s="89"/>
      <c r="CD16" s="81"/>
      <c r="CE16" s="89" t="str">
        <f t="shared" si="25"/>
        <v/>
      </c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81">
        <f t="shared" si="26"/>
        <v>39.5</v>
      </c>
      <c r="CQ16" s="87">
        <f t="shared" si="27"/>
        <v>0.79</v>
      </c>
      <c r="CR16" s="4">
        <f t="shared" si="28"/>
        <v>41.25</v>
      </c>
      <c r="CS16" s="87">
        <f t="shared" si="29"/>
        <v>0.82499999999999996</v>
      </c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81">
        <f t="shared" si="30"/>
        <v>42.5</v>
      </c>
      <c r="DS16" s="87">
        <f t="shared" si="31"/>
        <v>0.85</v>
      </c>
      <c r="DT16" s="4"/>
      <c r="DU16" s="4"/>
      <c r="DV16" s="4"/>
      <c r="DW16" s="4"/>
      <c r="DX16" s="81">
        <f t="shared" si="32"/>
        <v>42.5</v>
      </c>
      <c r="DY16" s="89">
        <f t="shared" si="33"/>
        <v>0.85</v>
      </c>
      <c r="DZ16" s="81"/>
      <c r="EA16" s="89"/>
      <c r="EB16" s="81">
        <f t="shared" si="34"/>
        <v>15.1008</v>
      </c>
      <c r="EC16" s="89">
        <f t="shared" si="35"/>
        <v>0.94379999999999997</v>
      </c>
      <c r="ED16" s="80">
        <f t="shared" si="68"/>
        <v>14.700799999999999</v>
      </c>
      <c r="EE16" s="89">
        <f t="shared" si="36"/>
        <v>0.91879999999999995</v>
      </c>
      <c r="EF16" s="198">
        <f t="shared" si="37"/>
        <v>21.6008</v>
      </c>
      <c r="EG16" s="89">
        <f t="shared" si="38"/>
        <v>0.83079999999999998</v>
      </c>
      <c r="EH16" s="80">
        <f t="shared" si="39"/>
        <v>16.38</v>
      </c>
      <c r="EI16" s="89">
        <f t="shared" si="40"/>
        <v>0.77999999999999992</v>
      </c>
      <c r="EJ16" s="4"/>
      <c r="EK16" s="4"/>
      <c r="EL16" s="81">
        <f t="shared" si="41"/>
        <v>17.600100000000001</v>
      </c>
      <c r="EM16" s="87">
        <f t="shared" si="42"/>
        <v>0.83079999999999998</v>
      </c>
      <c r="EN16" s="4"/>
      <c r="EO16" s="4" t="str">
        <f t="shared" si="43"/>
        <v/>
      </c>
      <c r="EP16" s="4"/>
      <c r="EQ16" s="4"/>
      <c r="ER16" s="4">
        <f t="shared" si="44"/>
        <v>32.049999999999997</v>
      </c>
      <c r="ES16" s="87">
        <f t="shared" si="45"/>
        <v>0.6409999999999999</v>
      </c>
      <c r="ET16" s="4">
        <f t="shared" si="46"/>
        <v>35.9</v>
      </c>
      <c r="EU16" s="87">
        <f t="shared" si="47"/>
        <v>0.71799999999999997</v>
      </c>
      <c r="EV16" s="81" t="str">
        <f>IFERROR(IF(#REF!="","",IFERROR(#REF!*(#REF!/100),"")),"")</f>
        <v/>
      </c>
      <c r="EW16" s="89" t="str">
        <f t="shared" si="48"/>
        <v/>
      </c>
      <c r="EX16" s="80">
        <f t="shared" si="49"/>
        <v>45.5</v>
      </c>
      <c r="EY16" s="89">
        <f t="shared" si="50"/>
        <v>0.91</v>
      </c>
      <c r="EZ16" s="80">
        <f t="shared" si="51"/>
        <v>45.5</v>
      </c>
      <c r="FA16" s="89">
        <f t="shared" si="52"/>
        <v>0.91</v>
      </c>
      <c r="FB16" s="89"/>
      <c r="FC16" s="89"/>
      <c r="FD16" s="81" t="str">
        <f>IFERROR(IF(#REF!="","",IFERROR(#REF!*(#REF!/100),""))+IF(#REF!="","",IFERROR(#REF!*(#REF!/100),"")),"")</f>
        <v/>
      </c>
      <c r="FE16" s="89" t="str">
        <f t="shared" si="53"/>
        <v/>
      </c>
      <c r="FF16" s="183">
        <f t="shared" si="2"/>
        <v>145.7501</v>
      </c>
      <c r="FG16" s="184">
        <f t="shared" si="54"/>
        <v>0.85233976608187134</v>
      </c>
      <c r="FH16" s="92"/>
      <c r="FI16" s="92"/>
      <c r="FJ16" s="183" t="str">
        <f>IFERROR(IF(AC16="","",IFERROR(AC16*($AC$9/100),""))+IF(#REF!="","",IFERROR(#REF!*(#REF!/100),"")),"")</f>
        <v/>
      </c>
      <c r="FK16" s="184" t="str">
        <f t="shared" si="55"/>
        <v/>
      </c>
      <c r="FL16" s="183">
        <f t="shared" si="3"/>
        <v>39.625</v>
      </c>
      <c r="FM16" s="184">
        <f t="shared" si="56"/>
        <v>0.79249999999999998</v>
      </c>
      <c r="FN16" s="182">
        <f t="shared" si="4"/>
        <v>811.69463976608176</v>
      </c>
      <c r="FO16" s="101" t="e">
        <f t="shared" si="57"/>
        <v>#REF!</v>
      </c>
    </row>
    <row r="17" spans="1:171">
      <c r="A17" s="206">
        <v>7</v>
      </c>
      <c r="B17" s="207" t="s">
        <v>292</v>
      </c>
      <c r="C17" s="207" t="s">
        <v>293</v>
      </c>
      <c r="D17" s="73">
        <f>'MK1-TM'!D25</f>
        <v>81.5</v>
      </c>
      <c r="E17" s="73">
        <f>'MK1-TM'!E25</f>
        <v>87</v>
      </c>
      <c r="F17" s="73">
        <f t="shared" si="5"/>
        <v>84.25</v>
      </c>
      <c r="G17" s="91">
        <f>'MK2-TO'!D25</f>
        <v>94.38</v>
      </c>
      <c r="H17" s="91">
        <f>'MK2-TO'!E25</f>
        <v>91.88</v>
      </c>
      <c r="I17" s="91">
        <f>'MK2-TO'!F25</f>
        <v>86.92</v>
      </c>
      <c r="J17" s="91">
        <v>77.290000000000006</v>
      </c>
      <c r="K17" s="91">
        <f>'MK2-TO'!H25</f>
        <v>87.38</v>
      </c>
      <c r="L17" s="91">
        <f t="shared" si="6"/>
        <v>86.981500000000011</v>
      </c>
      <c r="M17" s="74">
        <f>'MK3-PSTI'!D25</f>
        <v>85</v>
      </c>
      <c r="N17" s="74">
        <f>'MK3-PSTI'!E25</f>
        <v>85</v>
      </c>
      <c r="O17" s="74">
        <f t="shared" si="7"/>
        <v>85</v>
      </c>
      <c r="P17" s="75">
        <f>IF('MK4-L&amp;A'!D25="","",'MK4-L&amp;A'!D25)</f>
        <v>89.5</v>
      </c>
      <c r="Q17" s="75">
        <f>IF('MK4-L&amp;A'!E25="","",'MK4-L&amp;A'!E25)</f>
        <v>89.5</v>
      </c>
      <c r="R17" s="75">
        <f t="shared" si="8"/>
        <v>89.5</v>
      </c>
      <c r="S17" s="76">
        <f>IF('MK5-BP'!D25="","",'MK5-BP'!D25)</f>
        <v>78.400000000000006</v>
      </c>
      <c r="T17" s="76">
        <f>IF('MK5-BP'!E25="","",'MK5-BP'!E25)</f>
        <v>86.1</v>
      </c>
      <c r="U17" s="76">
        <f t="shared" si="58"/>
        <v>82.25</v>
      </c>
      <c r="V17" s="38">
        <f>IF('MK7-MBD'!D25="","",'MK7-MBD'!D25)</f>
        <v>93.7</v>
      </c>
      <c r="W17" s="38">
        <f>IF('MK7-MBD'!E25="","",'MK7-MBD'!E25)</f>
        <v>97</v>
      </c>
      <c r="X17" s="38">
        <f t="shared" si="9"/>
        <v>95.35</v>
      </c>
      <c r="Y17" s="77">
        <f>IF(MK8_BID!D25="","",MK8_BID!D25)</f>
        <v>89.55</v>
      </c>
      <c r="Z17" s="77">
        <f>IF(MK8_BID!E25="","",MK8_BID!E25)</f>
        <v>89.55</v>
      </c>
      <c r="AA17" s="77">
        <f t="shared" si="10"/>
        <v>89.55</v>
      </c>
      <c r="AB17" s="78">
        <f>IF('MK16-AGM'!D25="","",'MK16-AGM'!D25)</f>
        <v>91.45</v>
      </c>
      <c r="AC17" s="78">
        <f>IF('MK16-AGM'!E25="","",'MK16-AGM'!E25)</f>
        <v>91.45</v>
      </c>
      <c r="AD17" s="78">
        <f t="shared" si="11"/>
        <v>91.45</v>
      </c>
      <c r="AF17" s="79">
        <f t="shared" si="0"/>
        <v>145.20079999999999</v>
      </c>
      <c r="AG17" s="80">
        <f t="shared" si="59"/>
        <v>67.535255813953484</v>
      </c>
      <c r="AH17" s="79"/>
      <c r="AI17" s="80"/>
      <c r="AJ17" s="79">
        <f t="shared" si="13"/>
        <v>83.95</v>
      </c>
      <c r="AK17" s="80">
        <f t="shared" si="14"/>
        <v>83.95</v>
      </c>
      <c r="AL17" s="79" t="str">
        <f>IFERROR((#REF!*(#REF!/100)),"")</f>
        <v/>
      </c>
      <c r="AM17" s="80" t="str">
        <f t="shared" si="15"/>
        <v/>
      </c>
      <c r="AN17" s="80"/>
      <c r="AO17" s="80"/>
      <c r="AP17" s="80"/>
      <c r="AQ17" s="80"/>
      <c r="AR17" s="80"/>
      <c r="AS17" s="80"/>
      <c r="AT17" s="80"/>
      <c r="AU17" s="80"/>
      <c r="AV17" s="79">
        <f t="shared" si="16"/>
        <v>87.8</v>
      </c>
      <c r="AW17" s="80">
        <f t="shared" si="60"/>
        <v>87.8</v>
      </c>
      <c r="AX17" s="79" t="str">
        <f>IFERROR((Y17*($Y$9/100)+AB17*($AB$9/100)+#REF!*(#REF!/100)),"")</f>
        <v/>
      </c>
      <c r="AY17" s="80" t="str">
        <f t="shared" si="17"/>
        <v/>
      </c>
      <c r="AZ17" s="80"/>
      <c r="BA17" s="80"/>
      <c r="BB17" s="79" t="str">
        <f>IFERROR((#REF!*(#REF!/100)+#REF!*(#REF!/100)+#REF!*(#REF!/100)),"")</f>
        <v/>
      </c>
      <c r="BC17" s="80" t="str">
        <f t="shared" si="61"/>
        <v/>
      </c>
      <c r="BD17" s="79">
        <f t="shared" si="1"/>
        <v>152.84980000000002</v>
      </c>
      <c r="BE17" s="80">
        <f t="shared" si="62"/>
        <v>89.385847953216384</v>
      </c>
      <c r="BF17" s="2" t="str">
        <f>IFERROR((Z17*($Z$9/100)+AC17*($AC$9/100)+#REF!*(#REF!/100)),"")</f>
        <v/>
      </c>
      <c r="BG17" s="79" t="str">
        <f t="shared" si="63"/>
        <v/>
      </c>
      <c r="BJ17" s="4">
        <f t="shared" si="18"/>
        <v>46.85</v>
      </c>
      <c r="BK17" s="89">
        <f t="shared" si="64"/>
        <v>0.93700000000000006</v>
      </c>
      <c r="BL17" s="4">
        <f t="shared" si="19"/>
        <v>44.774999999999999</v>
      </c>
      <c r="BM17" s="89">
        <f t="shared" si="65"/>
        <v>0.89549999999999996</v>
      </c>
      <c r="BN17" s="81">
        <f t="shared" si="20"/>
        <v>44.774999999999999</v>
      </c>
      <c r="BO17" s="89">
        <f t="shared" si="66"/>
        <v>0.89549999999999996</v>
      </c>
      <c r="BP17" s="81">
        <f t="shared" si="21"/>
        <v>40.75</v>
      </c>
      <c r="BQ17" s="89">
        <f t="shared" si="22"/>
        <v>0.81499999999999995</v>
      </c>
      <c r="BR17" s="4"/>
      <c r="BS17" s="4"/>
      <c r="BT17" s="81">
        <f t="shared" si="67"/>
        <v>43.5</v>
      </c>
      <c r="BU17" s="87">
        <f t="shared" si="23"/>
        <v>0.87</v>
      </c>
      <c r="BV17" s="4"/>
      <c r="BW17" s="4"/>
      <c r="BX17" s="4"/>
      <c r="BY17" s="4"/>
      <c r="BZ17" s="81"/>
      <c r="CA17" s="89" t="str">
        <f t="shared" si="24"/>
        <v/>
      </c>
      <c r="CB17" s="81"/>
      <c r="CC17" s="89"/>
      <c r="CD17" s="81"/>
      <c r="CE17" s="89" t="str">
        <f t="shared" si="25"/>
        <v/>
      </c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81">
        <f t="shared" si="26"/>
        <v>44.75</v>
      </c>
      <c r="CQ17" s="87">
        <f t="shared" si="27"/>
        <v>0.89500000000000002</v>
      </c>
      <c r="CR17" s="4">
        <f t="shared" si="28"/>
        <v>44.75</v>
      </c>
      <c r="CS17" s="87">
        <f t="shared" si="29"/>
        <v>0.89500000000000002</v>
      </c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81">
        <f t="shared" si="30"/>
        <v>42.5</v>
      </c>
      <c r="DS17" s="87">
        <f t="shared" si="31"/>
        <v>0.85</v>
      </c>
      <c r="DT17" s="4"/>
      <c r="DU17" s="4"/>
      <c r="DV17" s="4"/>
      <c r="DW17" s="4"/>
      <c r="DX17" s="81">
        <f t="shared" si="32"/>
        <v>42.5</v>
      </c>
      <c r="DY17" s="89">
        <f t="shared" si="33"/>
        <v>0.85</v>
      </c>
      <c r="DZ17" s="81"/>
      <c r="EA17" s="89"/>
      <c r="EB17" s="81">
        <f t="shared" si="34"/>
        <v>15.1008</v>
      </c>
      <c r="EC17" s="89">
        <f t="shared" si="35"/>
        <v>0.94379999999999997</v>
      </c>
      <c r="ED17" s="80">
        <f t="shared" si="68"/>
        <v>14.700799999999999</v>
      </c>
      <c r="EE17" s="89">
        <f t="shared" si="36"/>
        <v>0.91879999999999995</v>
      </c>
      <c r="EF17" s="198">
        <f t="shared" si="37"/>
        <v>22.5992</v>
      </c>
      <c r="EG17" s="89">
        <f t="shared" si="38"/>
        <v>0.86919999999999997</v>
      </c>
      <c r="EH17" s="80">
        <f t="shared" si="39"/>
        <v>16.230900000000002</v>
      </c>
      <c r="EI17" s="89">
        <f t="shared" si="40"/>
        <v>0.77290000000000014</v>
      </c>
      <c r="EJ17" s="4"/>
      <c r="EK17" s="4"/>
      <c r="EL17" s="81">
        <f t="shared" si="41"/>
        <v>18.349799999999998</v>
      </c>
      <c r="EM17" s="87">
        <f t="shared" si="42"/>
        <v>0.86919999999999997</v>
      </c>
      <c r="EN17" s="4"/>
      <c r="EO17" s="4" t="str">
        <f t="shared" si="43"/>
        <v/>
      </c>
      <c r="EP17" s="4"/>
      <c r="EQ17" s="4"/>
      <c r="ER17" s="4">
        <f t="shared" si="44"/>
        <v>39.200000000000003</v>
      </c>
      <c r="ES17" s="87">
        <f t="shared" si="45"/>
        <v>0.78400000000000003</v>
      </c>
      <c r="ET17" s="4">
        <f t="shared" si="46"/>
        <v>43.05</v>
      </c>
      <c r="EU17" s="87">
        <f t="shared" si="47"/>
        <v>0.86099999999999999</v>
      </c>
      <c r="EV17" s="81"/>
      <c r="EW17" s="89" t="str">
        <f t="shared" si="48"/>
        <v/>
      </c>
      <c r="EX17" s="80">
        <f t="shared" si="49"/>
        <v>45.725000000000001</v>
      </c>
      <c r="EY17" s="89">
        <f t="shared" si="50"/>
        <v>0.91449999999999998</v>
      </c>
      <c r="EZ17" s="80">
        <f t="shared" si="51"/>
        <v>45.725000000000001</v>
      </c>
      <c r="FA17" s="89">
        <f t="shared" si="52"/>
        <v>0.91449999999999998</v>
      </c>
      <c r="FB17" s="89"/>
      <c r="FC17" s="89"/>
      <c r="FD17" s="81"/>
      <c r="FE17" s="89" t="str">
        <f t="shared" si="53"/>
        <v/>
      </c>
      <c r="FF17" s="183">
        <f t="shared" si="2"/>
        <v>152.84980000000002</v>
      </c>
      <c r="FG17" s="184">
        <f t="shared" si="54"/>
        <v>0.8938584795321638</v>
      </c>
      <c r="FH17" s="92"/>
      <c r="FI17" s="92"/>
      <c r="FJ17" s="183" t="str">
        <f>IFERROR(IF(AC17="","",IFERROR(AC17*($AC$9/100),""))+IF(#REF!="","",IFERROR(#REF!*(#REF!/100),"")),"")</f>
        <v/>
      </c>
      <c r="FK17" s="184" t="str">
        <f t="shared" si="55"/>
        <v/>
      </c>
      <c r="FL17" s="183">
        <f t="shared" si="3"/>
        <v>44.774999999999999</v>
      </c>
      <c r="FM17" s="184">
        <f t="shared" si="56"/>
        <v>0.89549999999999996</v>
      </c>
      <c r="FN17" s="182">
        <f t="shared" si="4"/>
        <v>870.10105847953207</v>
      </c>
      <c r="FO17" s="101" t="e">
        <f t="shared" si="57"/>
        <v>#REF!</v>
      </c>
    </row>
    <row r="18" spans="1:171">
      <c r="A18" s="206">
        <v>8</v>
      </c>
      <c r="B18" s="207" t="s">
        <v>294</v>
      </c>
      <c r="C18" s="207" t="s">
        <v>295</v>
      </c>
      <c r="D18" s="73">
        <f>'MK1-TM'!D26</f>
        <v>81.5</v>
      </c>
      <c r="E18" s="73">
        <f>'MK1-TM'!E26</f>
        <v>83</v>
      </c>
      <c r="F18" s="73">
        <f t="shared" si="5"/>
        <v>82.25</v>
      </c>
      <c r="G18" s="91">
        <f>'MK2-TO'!D26</f>
        <v>94.38</v>
      </c>
      <c r="H18" s="91">
        <f>'MK2-TO'!E26</f>
        <v>91.88</v>
      </c>
      <c r="I18" s="91">
        <f>'MK2-TO'!F26</f>
        <v>90.77</v>
      </c>
      <c r="J18" s="91">
        <v>79.430000000000007</v>
      </c>
      <c r="K18" s="91">
        <f>'MK2-TO'!H26</f>
        <v>90.95</v>
      </c>
      <c r="L18" s="91">
        <f t="shared" si="6"/>
        <v>89.181600000000003</v>
      </c>
      <c r="M18" s="74">
        <f>'MK3-PSTI'!D26</f>
        <v>85</v>
      </c>
      <c r="N18" s="74">
        <f>'MK3-PSTI'!E26</f>
        <v>85</v>
      </c>
      <c r="O18" s="74">
        <f t="shared" si="7"/>
        <v>85</v>
      </c>
      <c r="P18" s="75">
        <f>IF('MK4-L&amp;A'!D26="","",'MK4-L&amp;A'!D26)</f>
        <v>79</v>
      </c>
      <c r="Q18" s="75">
        <f>IF('MK4-L&amp;A'!E26="","",'MK4-L&amp;A'!E26)</f>
        <v>79</v>
      </c>
      <c r="R18" s="75">
        <f t="shared" si="8"/>
        <v>79</v>
      </c>
      <c r="S18" s="76">
        <f>IF('MK5-BP'!D26="","",'MK5-BP'!D26)</f>
        <v>67.2</v>
      </c>
      <c r="T18" s="76">
        <f>IF('MK5-BP'!E26="","",'MK5-BP'!E26)</f>
        <v>67.900000000000006</v>
      </c>
      <c r="U18" s="76">
        <f t="shared" si="58"/>
        <v>67.550000000000011</v>
      </c>
      <c r="V18" s="38">
        <f>IF('MK7-MBD'!D26="","",'MK7-MBD'!D26)</f>
        <v>81.150000000000006</v>
      </c>
      <c r="W18" s="38">
        <f>IF('MK7-MBD'!E26="","",'MK7-MBD'!E26)</f>
        <v>90.6</v>
      </c>
      <c r="X18" s="38">
        <f t="shared" si="9"/>
        <v>85.875</v>
      </c>
      <c r="Y18" s="77">
        <f>IF(MK8_BID!D26="","",MK8_BID!D26)</f>
        <v>81.5</v>
      </c>
      <c r="Z18" s="77">
        <f>IF(MK8_BID!E26="","",MK8_BID!E26)</f>
        <v>81.5</v>
      </c>
      <c r="AA18" s="77">
        <f t="shared" si="10"/>
        <v>81.5</v>
      </c>
      <c r="AB18" s="78">
        <f>IF('MK16-AGM'!D26="","",'MK16-AGM'!D26)</f>
        <v>81.25</v>
      </c>
      <c r="AC18" s="78">
        <f>IF('MK16-AGM'!E26="","",'MK16-AGM'!E26)</f>
        <v>81.25</v>
      </c>
      <c r="AD18" s="78">
        <f t="shared" si="11"/>
        <v>81.25</v>
      </c>
      <c r="AF18" s="79">
        <f t="shared" si="0"/>
        <v>138.92579999999998</v>
      </c>
      <c r="AG18" s="80">
        <f t="shared" si="59"/>
        <v>64.616651162790689</v>
      </c>
      <c r="AH18" s="79" t="str">
        <f>IFERROR((#REF!*(#REF!/100)),"")</f>
        <v/>
      </c>
      <c r="AI18" s="80" t="str">
        <f t="shared" si="12"/>
        <v/>
      </c>
      <c r="AJ18" s="79">
        <f t="shared" si="13"/>
        <v>73.099999999999994</v>
      </c>
      <c r="AK18" s="80">
        <f t="shared" si="14"/>
        <v>73.099999999999994</v>
      </c>
      <c r="AL18" s="79" t="str">
        <f>IFERROR((#REF!*(#REF!/100)),"")</f>
        <v/>
      </c>
      <c r="AM18" s="80" t="str">
        <f t="shared" si="15"/>
        <v/>
      </c>
      <c r="AN18" s="80"/>
      <c r="AO18" s="80"/>
      <c r="AP18" s="80"/>
      <c r="AQ18" s="80"/>
      <c r="AR18" s="80"/>
      <c r="AS18" s="80"/>
      <c r="AT18" s="80"/>
      <c r="AU18" s="80"/>
      <c r="AV18" s="79">
        <f t="shared" si="16"/>
        <v>73.45</v>
      </c>
      <c r="AW18" s="80">
        <f t="shared" si="60"/>
        <v>73.45</v>
      </c>
      <c r="AX18" s="79" t="str">
        <f>IFERROR((Y18*($Y$9/100)+AB18*($AB$9/100)+#REF!*(#REF!/100)),"")</f>
        <v/>
      </c>
      <c r="AY18" s="80" t="str">
        <f t="shared" si="17"/>
        <v/>
      </c>
      <c r="AZ18" s="80"/>
      <c r="BA18" s="80"/>
      <c r="BB18" s="79" t="str">
        <f>IFERROR((#REF!*(#REF!/100)+#REF!*(#REF!/100)+#REF!*(#REF!/100)),"")</f>
        <v/>
      </c>
      <c r="BC18" s="80" t="str">
        <f t="shared" si="61"/>
        <v/>
      </c>
      <c r="BD18" s="79">
        <f t="shared" si="1"/>
        <v>148.39949999999999</v>
      </c>
      <c r="BE18" s="80">
        <f t="shared" si="62"/>
        <v>86.783333333333317</v>
      </c>
      <c r="BF18" s="2" t="str">
        <f>IFERROR((Z18*($Z$9/100)+AC18*($AC$9/100)+#REF!*(#REF!/100)),"")</f>
        <v/>
      </c>
      <c r="BG18" s="79" t="str">
        <f t="shared" si="63"/>
        <v/>
      </c>
      <c r="BJ18" s="4">
        <f t="shared" si="18"/>
        <v>40.575000000000003</v>
      </c>
      <c r="BK18" s="89">
        <f t="shared" si="64"/>
        <v>0.81150000000000011</v>
      </c>
      <c r="BL18" s="4">
        <f t="shared" si="19"/>
        <v>40.75</v>
      </c>
      <c r="BM18" s="89">
        <f t="shared" si="65"/>
        <v>0.81499999999999995</v>
      </c>
      <c r="BN18" s="81">
        <f t="shared" si="20"/>
        <v>40.75</v>
      </c>
      <c r="BO18" s="89">
        <f t="shared" si="66"/>
        <v>0.81499999999999995</v>
      </c>
      <c r="BP18" s="81">
        <f t="shared" si="21"/>
        <v>40.75</v>
      </c>
      <c r="BQ18" s="89">
        <f t="shared" si="22"/>
        <v>0.81499999999999995</v>
      </c>
      <c r="BR18" s="4"/>
      <c r="BS18" s="4"/>
      <c r="BT18" s="81">
        <f t="shared" si="67"/>
        <v>41.5</v>
      </c>
      <c r="BU18" s="87">
        <f t="shared" si="23"/>
        <v>0.83</v>
      </c>
      <c r="BV18" s="4"/>
      <c r="BW18" s="4"/>
      <c r="BX18" s="4"/>
      <c r="BY18" s="4"/>
      <c r="BZ18" s="81"/>
      <c r="CA18" s="89" t="str">
        <f t="shared" si="24"/>
        <v/>
      </c>
      <c r="CB18" s="81"/>
      <c r="CC18" s="89"/>
      <c r="CD18" s="81"/>
      <c r="CE18" s="89" t="str">
        <f t="shared" si="25"/>
        <v/>
      </c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81">
        <f t="shared" si="26"/>
        <v>39.5</v>
      </c>
      <c r="CQ18" s="87">
        <f t="shared" si="27"/>
        <v>0.79</v>
      </c>
      <c r="CR18" s="4">
        <f t="shared" si="28"/>
        <v>39.5</v>
      </c>
      <c r="CS18" s="87">
        <f t="shared" si="29"/>
        <v>0.79</v>
      </c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81">
        <f t="shared" si="30"/>
        <v>42.5</v>
      </c>
      <c r="DS18" s="87">
        <f t="shared" si="31"/>
        <v>0.85</v>
      </c>
      <c r="DT18" s="4"/>
      <c r="DU18" s="4"/>
      <c r="DV18" s="4"/>
      <c r="DW18" s="4"/>
      <c r="DX18" s="81">
        <f t="shared" si="32"/>
        <v>42.5</v>
      </c>
      <c r="DY18" s="89">
        <f t="shared" si="33"/>
        <v>0.85</v>
      </c>
      <c r="DZ18" s="81"/>
      <c r="EA18" s="89"/>
      <c r="EB18" s="81">
        <f t="shared" si="34"/>
        <v>15.1008</v>
      </c>
      <c r="EC18" s="89">
        <f t="shared" si="35"/>
        <v>0.94379999999999997</v>
      </c>
      <c r="ED18" s="80">
        <f t="shared" si="68"/>
        <v>14.700799999999999</v>
      </c>
      <c r="EE18" s="89">
        <f t="shared" si="36"/>
        <v>0.91879999999999995</v>
      </c>
      <c r="EF18" s="198">
        <f t="shared" si="37"/>
        <v>23.600200000000001</v>
      </c>
      <c r="EG18" s="89">
        <f t="shared" si="38"/>
        <v>0.90770000000000006</v>
      </c>
      <c r="EH18" s="80">
        <f t="shared" si="39"/>
        <v>16.680300000000003</v>
      </c>
      <c r="EI18" s="89">
        <f t="shared" si="40"/>
        <v>0.79430000000000012</v>
      </c>
      <c r="EJ18" s="4"/>
      <c r="EK18" s="4"/>
      <c r="EL18" s="81">
        <f t="shared" si="41"/>
        <v>19.099499999999999</v>
      </c>
      <c r="EM18" s="87">
        <f t="shared" si="42"/>
        <v>0.90770000000000006</v>
      </c>
      <c r="EN18" s="4"/>
      <c r="EO18" s="4" t="str">
        <f t="shared" si="43"/>
        <v/>
      </c>
      <c r="EP18" s="4"/>
      <c r="EQ18" s="4"/>
      <c r="ER18" s="4">
        <f t="shared" si="44"/>
        <v>33.6</v>
      </c>
      <c r="ES18" s="87">
        <f t="shared" si="45"/>
        <v>0.67200000000000004</v>
      </c>
      <c r="ET18" s="4">
        <f t="shared" si="46"/>
        <v>33.950000000000003</v>
      </c>
      <c r="EU18" s="87">
        <f t="shared" si="47"/>
        <v>0.67900000000000005</v>
      </c>
      <c r="EV18" s="81" t="str">
        <f>IFERROR(IF(#REF!="","",IFERROR(#REF!*(#REF!/100),"")),"")</f>
        <v/>
      </c>
      <c r="EW18" s="89" t="str">
        <f t="shared" si="48"/>
        <v/>
      </c>
      <c r="EX18" s="80">
        <f t="shared" si="49"/>
        <v>40.625</v>
      </c>
      <c r="EY18" s="89">
        <f t="shared" si="50"/>
        <v>0.8125</v>
      </c>
      <c r="EZ18" s="80">
        <f t="shared" si="51"/>
        <v>40.625</v>
      </c>
      <c r="FA18" s="89">
        <f t="shared" si="52"/>
        <v>0.8125</v>
      </c>
      <c r="FB18" s="89"/>
      <c r="FC18" s="89"/>
      <c r="FD18" s="81" t="str">
        <f>IFERROR(IF(#REF!="","",IFERROR(#REF!*(#REF!/100),""))+IF(#REF!="","",IFERROR(#REF!*(#REF!/100),"")),"")</f>
        <v/>
      </c>
      <c r="FE18" s="89" t="str">
        <f t="shared" si="53"/>
        <v/>
      </c>
      <c r="FF18" s="183">
        <f t="shared" si="2"/>
        <v>148.39949999999999</v>
      </c>
      <c r="FG18" s="184">
        <f t="shared" si="54"/>
        <v>0.86783333333333323</v>
      </c>
      <c r="FH18" s="92"/>
      <c r="FI18" s="92"/>
      <c r="FJ18" s="183" t="str">
        <f>IFERROR(IF(AC18="","",IFERROR(AC18*($AC$9/100),""))+IF(#REF!="","",IFERROR(#REF!*(#REF!/100),"")),"")</f>
        <v/>
      </c>
      <c r="FK18" s="184" t="str">
        <f t="shared" si="55"/>
        <v/>
      </c>
      <c r="FL18" s="183">
        <f t="shared" si="3"/>
        <v>40.75</v>
      </c>
      <c r="FM18" s="184">
        <f t="shared" si="56"/>
        <v>0.81499999999999995</v>
      </c>
      <c r="FN18" s="182">
        <f t="shared" si="4"/>
        <v>811.13873333333333</v>
      </c>
      <c r="FO18" s="101" t="e">
        <f t="shared" si="57"/>
        <v>#REF!</v>
      </c>
    </row>
    <row r="19" spans="1:171">
      <c r="A19" s="206">
        <v>9</v>
      </c>
      <c r="B19" s="207" t="s">
        <v>296</v>
      </c>
      <c r="C19" s="207" t="s">
        <v>297</v>
      </c>
      <c r="D19" s="73">
        <f>'MK1-TM'!D27</f>
        <v>81.5</v>
      </c>
      <c r="E19" s="73">
        <f>'MK1-TM'!E27</f>
        <v>82.5</v>
      </c>
      <c r="F19" s="73">
        <f t="shared" si="5"/>
        <v>82</v>
      </c>
      <c r="G19" s="91">
        <f>'MK2-TO'!D27</f>
        <v>94.38</v>
      </c>
      <c r="H19" s="91">
        <f>'MK2-TO'!E27</f>
        <v>91.88</v>
      </c>
      <c r="I19" s="91">
        <f>'MK2-TO'!F27</f>
        <v>83.08</v>
      </c>
      <c r="J19" s="91">
        <v>81.05</v>
      </c>
      <c r="K19" s="91">
        <f>'MK2-TO'!H27</f>
        <v>83.81</v>
      </c>
      <c r="L19" s="91">
        <f t="shared" si="6"/>
        <v>86.022999999999996</v>
      </c>
      <c r="M19" s="74">
        <f>'MK3-PSTI'!D27</f>
        <v>85</v>
      </c>
      <c r="N19" s="74">
        <f>'MK3-PSTI'!E27</f>
        <v>85</v>
      </c>
      <c r="O19" s="74">
        <f t="shared" si="7"/>
        <v>85</v>
      </c>
      <c r="P19" s="75">
        <f>IF('MK4-L&amp;A'!D27="","",'MK4-L&amp;A'!D27)</f>
        <v>89.5</v>
      </c>
      <c r="Q19" s="75">
        <f>IF('MK4-L&amp;A'!E27="","",'MK4-L&amp;A'!E27)</f>
        <v>89.5</v>
      </c>
      <c r="R19" s="75">
        <f t="shared" si="8"/>
        <v>89.5</v>
      </c>
      <c r="S19" s="76">
        <f>IF('MK5-BP'!D27="","",'MK5-BP'!D27)</f>
        <v>64.400000000000006</v>
      </c>
      <c r="T19" s="76">
        <f>IF('MK5-BP'!E27="","",'MK5-BP'!E27)</f>
        <v>68.599999999999994</v>
      </c>
      <c r="U19" s="76">
        <f t="shared" si="58"/>
        <v>66.5</v>
      </c>
      <c r="V19" s="38">
        <f>IF('MK7-MBD'!D27="","",'MK7-MBD'!D27)</f>
        <v>81.55</v>
      </c>
      <c r="W19" s="38">
        <f>IF('MK7-MBD'!E27="","",'MK7-MBD'!E27)</f>
        <v>90.8</v>
      </c>
      <c r="X19" s="38">
        <f t="shared" si="9"/>
        <v>86.174999999999997</v>
      </c>
      <c r="Y19" s="77">
        <f>IF(MK8_BID!D27="","",MK8_BID!D27)</f>
        <v>82.45</v>
      </c>
      <c r="Z19" s="77">
        <f>IF(MK8_BID!E27="","",MK8_BID!E27)</f>
        <v>82.45</v>
      </c>
      <c r="AA19" s="77">
        <f t="shared" si="10"/>
        <v>82.45</v>
      </c>
      <c r="AB19" s="78">
        <f>IF('MK16-AGM'!D27="","",'MK16-AGM'!D27)</f>
        <v>90.65</v>
      </c>
      <c r="AC19" s="78">
        <f>IF('MK16-AGM'!E27="","",'MK16-AGM'!E27)</f>
        <v>90.65</v>
      </c>
      <c r="AD19" s="78">
        <f t="shared" si="11"/>
        <v>90.65</v>
      </c>
      <c r="AF19" s="79">
        <f t="shared" si="0"/>
        <v>139.1258</v>
      </c>
      <c r="AG19" s="80">
        <f t="shared" si="59"/>
        <v>64.709674418604649</v>
      </c>
      <c r="AH19" s="79" t="str">
        <f>IFERROR((#REF!*(#REF!/100)),"")</f>
        <v/>
      </c>
      <c r="AI19" s="80" t="str">
        <f t="shared" si="12"/>
        <v/>
      </c>
      <c r="AJ19" s="79">
        <f t="shared" si="13"/>
        <v>76.95</v>
      </c>
      <c r="AK19" s="80">
        <f t="shared" si="14"/>
        <v>76.95</v>
      </c>
      <c r="AL19" s="79" t="str">
        <f>IFERROR((#REF!*(#REF!/100)),"")</f>
        <v/>
      </c>
      <c r="AM19" s="80" t="str">
        <f t="shared" si="15"/>
        <v/>
      </c>
      <c r="AN19" s="80"/>
      <c r="AO19" s="80"/>
      <c r="AP19" s="80"/>
      <c r="AQ19" s="80"/>
      <c r="AR19" s="80"/>
      <c r="AS19" s="80"/>
      <c r="AT19" s="80"/>
      <c r="AU19" s="80"/>
      <c r="AV19" s="79">
        <f t="shared" si="16"/>
        <v>79.05</v>
      </c>
      <c r="AW19" s="80">
        <f t="shared" si="60"/>
        <v>79.05</v>
      </c>
      <c r="AX19" s="79" t="str">
        <f>IFERROR((Y19*($Y$9/100)+AB19*($AB$9/100)+#REF!*(#REF!/100)),"")</f>
        <v/>
      </c>
      <c r="AY19" s="80" t="str">
        <f t="shared" si="17"/>
        <v/>
      </c>
      <c r="AZ19" s="80"/>
      <c r="BA19" s="80"/>
      <c r="BB19" s="79" t="str">
        <f>IFERROR((#REF!*(#REF!/100)+#REF!*(#REF!/100)+#REF!*(#REF!/100)),"")</f>
        <v/>
      </c>
      <c r="BC19" s="80" t="str">
        <f t="shared" si="61"/>
        <v/>
      </c>
      <c r="BD19" s="79">
        <f t="shared" si="1"/>
        <v>146.7501</v>
      </c>
      <c r="BE19" s="80">
        <f t="shared" si="62"/>
        <v>85.818771929824564</v>
      </c>
      <c r="BF19" s="2" t="str">
        <f>IFERROR((Z19*($Z$9/100)+AC19*($AC$9/100)+#REF!*(#REF!/100)),"")</f>
        <v/>
      </c>
      <c r="BG19" s="79" t="str">
        <f t="shared" si="63"/>
        <v/>
      </c>
      <c r="BJ19" s="4">
        <f t="shared" si="18"/>
        <v>40.774999999999999</v>
      </c>
      <c r="BK19" s="89">
        <f t="shared" si="64"/>
        <v>0.8155</v>
      </c>
      <c r="BL19" s="4">
        <f t="shared" si="19"/>
        <v>41.225000000000001</v>
      </c>
      <c r="BM19" s="89">
        <f t="shared" si="65"/>
        <v>0.82450000000000001</v>
      </c>
      <c r="BN19" s="81">
        <f t="shared" si="20"/>
        <v>41.225000000000001</v>
      </c>
      <c r="BO19" s="89">
        <f t="shared" si="66"/>
        <v>0.82450000000000001</v>
      </c>
      <c r="BP19" s="81">
        <f t="shared" si="21"/>
        <v>40.75</v>
      </c>
      <c r="BQ19" s="89">
        <f t="shared" si="22"/>
        <v>0.81499999999999995</v>
      </c>
      <c r="BR19" s="4"/>
      <c r="BS19" s="4"/>
      <c r="BT19" s="81">
        <f t="shared" si="67"/>
        <v>41.25</v>
      </c>
      <c r="BU19" s="87">
        <f t="shared" si="23"/>
        <v>0.82499999999999996</v>
      </c>
      <c r="BV19" s="4"/>
      <c r="BW19" s="4"/>
      <c r="BX19" s="4"/>
      <c r="BY19" s="4"/>
      <c r="BZ19" s="81"/>
      <c r="CA19" s="89" t="str">
        <f t="shared" si="24"/>
        <v/>
      </c>
      <c r="CB19" s="81"/>
      <c r="CC19" s="89"/>
      <c r="CD19" s="81"/>
      <c r="CE19" s="89" t="str">
        <f t="shared" si="25"/>
        <v/>
      </c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81">
        <f t="shared" si="26"/>
        <v>44.75</v>
      </c>
      <c r="CQ19" s="87">
        <f t="shared" si="27"/>
        <v>0.89500000000000002</v>
      </c>
      <c r="CR19" s="4">
        <f t="shared" si="28"/>
        <v>44.75</v>
      </c>
      <c r="CS19" s="87">
        <f t="shared" si="29"/>
        <v>0.89500000000000002</v>
      </c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81">
        <f t="shared" si="30"/>
        <v>42.5</v>
      </c>
      <c r="DS19" s="87">
        <f t="shared" si="31"/>
        <v>0.85</v>
      </c>
      <c r="DT19" s="4"/>
      <c r="DU19" s="4"/>
      <c r="DV19" s="4"/>
      <c r="DW19" s="4"/>
      <c r="DX19" s="81">
        <f t="shared" si="32"/>
        <v>42.5</v>
      </c>
      <c r="DY19" s="89">
        <f t="shared" si="33"/>
        <v>0.85</v>
      </c>
      <c r="DZ19" s="81"/>
      <c r="EA19" s="89"/>
      <c r="EB19" s="81">
        <f t="shared" si="34"/>
        <v>15.1008</v>
      </c>
      <c r="EC19" s="89">
        <f t="shared" si="35"/>
        <v>0.94379999999999997</v>
      </c>
      <c r="ED19" s="80">
        <f t="shared" si="68"/>
        <v>14.700799999999999</v>
      </c>
      <c r="EE19" s="89">
        <f t="shared" si="36"/>
        <v>0.91879999999999995</v>
      </c>
      <c r="EF19" s="198">
        <f t="shared" si="37"/>
        <v>21.6008</v>
      </c>
      <c r="EG19" s="89">
        <f t="shared" si="38"/>
        <v>0.83079999999999998</v>
      </c>
      <c r="EH19" s="80">
        <f t="shared" si="39"/>
        <v>17.020499999999998</v>
      </c>
      <c r="EI19" s="89">
        <f t="shared" si="40"/>
        <v>0.81049999999999989</v>
      </c>
      <c r="EJ19" s="4"/>
      <c r="EK19" s="4"/>
      <c r="EL19" s="81">
        <f t="shared" si="41"/>
        <v>17.600100000000001</v>
      </c>
      <c r="EM19" s="87">
        <f t="shared" si="42"/>
        <v>0.83079999999999998</v>
      </c>
      <c r="EN19" s="4"/>
      <c r="EO19" s="4" t="str">
        <f t="shared" si="43"/>
        <v/>
      </c>
      <c r="EP19" s="4"/>
      <c r="EQ19" s="4"/>
      <c r="ER19" s="4">
        <f t="shared" si="44"/>
        <v>32.200000000000003</v>
      </c>
      <c r="ES19" s="87">
        <f t="shared" si="45"/>
        <v>0.64400000000000002</v>
      </c>
      <c r="ET19" s="4">
        <f t="shared" si="46"/>
        <v>34.299999999999997</v>
      </c>
      <c r="EU19" s="87">
        <f t="shared" si="47"/>
        <v>0.68599999999999994</v>
      </c>
      <c r="EV19" s="81" t="str">
        <f>IFERROR(IF(#REF!="","",IFERROR(#REF!*(#REF!/100),"")),"")</f>
        <v/>
      </c>
      <c r="EW19" s="89" t="str">
        <f t="shared" si="48"/>
        <v/>
      </c>
      <c r="EX19" s="80">
        <f t="shared" si="49"/>
        <v>45.325000000000003</v>
      </c>
      <c r="EY19" s="89">
        <f t="shared" si="50"/>
        <v>0.90650000000000008</v>
      </c>
      <c r="EZ19" s="80">
        <f t="shared" si="51"/>
        <v>45.325000000000003</v>
      </c>
      <c r="FA19" s="89">
        <f t="shared" si="52"/>
        <v>0.90650000000000008</v>
      </c>
      <c r="FB19" s="89"/>
      <c r="FC19" s="89"/>
      <c r="FD19" s="81" t="str">
        <f>IFERROR(IF(#REF!="","",IFERROR(#REF!*(#REF!/100),""))+IF(#REF!="","",IFERROR(#REF!*(#REF!/100),"")),"")</f>
        <v/>
      </c>
      <c r="FE19" s="89" t="str">
        <f t="shared" si="53"/>
        <v/>
      </c>
      <c r="FF19" s="183">
        <f t="shared" si="2"/>
        <v>146.7501</v>
      </c>
      <c r="FG19" s="184">
        <f t="shared" si="54"/>
        <v>0.85818771929824567</v>
      </c>
      <c r="FH19" s="92"/>
      <c r="FI19" s="92"/>
      <c r="FJ19" s="183" t="str">
        <f>IFERROR(IF(AC19="","",IFERROR(AC19*($AC$9/100),""))+IF(#REF!="","",IFERROR(#REF!*(#REF!/100),"")),"")</f>
        <v/>
      </c>
      <c r="FK19" s="184" t="str">
        <f t="shared" si="55"/>
        <v/>
      </c>
      <c r="FL19" s="183">
        <f t="shared" si="3"/>
        <v>41.225000000000001</v>
      </c>
      <c r="FM19" s="184">
        <f t="shared" si="56"/>
        <v>0.82450000000000001</v>
      </c>
      <c r="FN19" s="182">
        <f t="shared" si="4"/>
        <v>826.80348771929857</v>
      </c>
      <c r="FO19" s="101" t="e">
        <f t="shared" si="57"/>
        <v>#REF!</v>
      </c>
    </row>
    <row r="20" spans="1:171">
      <c r="A20" s="206">
        <v>10</v>
      </c>
      <c r="B20" s="207" t="s">
        <v>298</v>
      </c>
      <c r="C20" s="207" t="s">
        <v>299</v>
      </c>
      <c r="D20" s="73">
        <f>'MK1-TM'!D28</f>
        <v>89.5</v>
      </c>
      <c r="E20" s="73">
        <f>'MK1-TM'!E28</f>
        <v>99.5</v>
      </c>
      <c r="F20" s="73">
        <f t="shared" si="5"/>
        <v>94.5</v>
      </c>
      <c r="G20" s="91">
        <f>'MK2-TO'!D28</f>
        <v>94.38</v>
      </c>
      <c r="H20" s="91">
        <f>'MK2-TO'!E28</f>
        <v>91.88</v>
      </c>
      <c r="I20" s="91">
        <f>'MK2-TO'!F28</f>
        <v>90.77</v>
      </c>
      <c r="J20" s="91">
        <f>'MK2-TO'!G28</f>
        <v>94.52</v>
      </c>
      <c r="K20" s="91">
        <f>'MK2-TO'!H28</f>
        <v>90.95</v>
      </c>
      <c r="L20" s="91">
        <f t="shared" si="6"/>
        <v>92.350500000000011</v>
      </c>
      <c r="M20" s="74">
        <f>'MK3-PSTI'!D28</f>
        <v>85</v>
      </c>
      <c r="N20" s="74">
        <f>'MK3-PSTI'!E28</f>
        <v>85</v>
      </c>
      <c r="O20" s="74">
        <f t="shared" si="7"/>
        <v>85</v>
      </c>
      <c r="P20" s="75">
        <f>IF('MK4-L&amp;A'!D28="","",'MK4-L&amp;A'!D28)</f>
        <v>89.5</v>
      </c>
      <c r="Q20" s="75">
        <f>IF('MK4-L&amp;A'!E28="","",'MK4-L&amp;A'!E28)</f>
        <v>89.5</v>
      </c>
      <c r="R20" s="75">
        <f t="shared" si="8"/>
        <v>89.5</v>
      </c>
      <c r="S20" s="76">
        <f>IF('MK5-BP'!D28="","",'MK5-BP'!D28)</f>
        <v>71.400000000000006</v>
      </c>
      <c r="T20" s="76">
        <f>IF('MK5-BP'!E28="","",'MK5-BP'!E28)</f>
        <v>71.400000000000006</v>
      </c>
      <c r="U20" s="76">
        <f t="shared" si="58"/>
        <v>71.400000000000006</v>
      </c>
      <c r="V20" s="38">
        <f>IF('MK7-MBD'!D28="","",'MK7-MBD'!D28)</f>
        <v>81.25</v>
      </c>
      <c r="W20" s="38">
        <f>IF('MK7-MBD'!E28="","",'MK7-MBD'!E28)</f>
        <v>92.2</v>
      </c>
      <c r="X20" s="38">
        <f t="shared" si="9"/>
        <v>86.724999999999994</v>
      </c>
      <c r="Y20" s="77">
        <f>IF(MK8_BID!D28="","",MK8_BID!D28)</f>
        <v>92.4</v>
      </c>
      <c r="Z20" s="77">
        <f>IF(MK8_BID!E28="","",MK8_BID!E28)</f>
        <v>92.4</v>
      </c>
      <c r="AA20" s="77">
        <f t="shared" si="10"/>
        <v>92.4</v>
      </c>
      <c r="AB20" s="78">
        <f>IF('MK16-AGM'!D28="","",'MK16-AGM'!D28)</f>
        <v>92.1</v>
      </c>
      <c r="AC20" s="78">
        <f>IF('MK16-AGM'!E28="","",'MK16-AGM'!E28)</f>
        <v>92.1</v>
      </c>
      <c r="AD20" s="78">
        <f t="shared" si="11"/>
        <v>92.1</v>
      </c>
      <c r="AF20" s="79"/>
      <c r="AG20" s="80"/>
      <c r="AH20" s="79"/>
      <c r="AI20" s="80"/>
      <c r="AJ20" s="79"/>
      <c r="AK20" s="80"/>
      <c r="AL20" s="79"/>
      <c r="AM20" s="80"/>
      <c r="AN20" s="80"/>
      <c r="AO20" s="80"/>
      <c r="AP20" s="80"/>
      <c r="AQ20" s="80"/>
      <c r="AR20" s="80"/>
      <c r="AS20" s="80"/>
      <c r="AT20" s="80"/>
      <c r="AU20" s="80"/>
      <c r="AV20" s="79"/>
      <c r="AW20" s="80"/>
      <c r="AX20" s="79"/>
      <c r="AY20" s="80"/>
      <c r="AZ20" s="80"/>
      <c r="BA20" s="80"/>
      <c r="BB20" s="79"/>
      <c r="BC20" s="80"/>
      <c r="BD20" s="79"/>
      <c r="BE20" s="80"/>
      <c r="BF20" s="141"/>
      <c r="BG20" s="79"/>
      <c r="BJ20" s="4">
        <f t="shared" si="18"/>
        <v>40.625</v>
      </c>
      <c r="BK20" s="89">
        <f t="shared" si="64"/>
        <v>0.8125</v>
      </c>
      <c r="BL20" s="4">
        <f t="shared" si="19"/>
        <v>46.2</v>
      </c>
      <c r="BM20" s="89">
        <f t="shared" si="65"/>
        <v>0.92400000000000004</v>
      </c>
      <c r="BN20" s="81">
        <f t="shared" si="20"/>
        <v>46.2</v>
      </c>
      <c r="BO20" s="89">
        <f t="shared" si="66"/>
        <v>0.92400000000000004</v>
      </c>
      <c r="BP20" s="81">
        <f t="shared" si="21"/>
        <v>44.75</v>
      </c>
      <c r="BQ20" s="89">
        <f t="shared" si="22"/>
        <v>0.89500000000000002</v>
      </c>
      <c r="BR20" s="4"/>
      <c r="BS20" s="4"/>
      <c r="BT20" s="81">
        <f t="shared" si="67"/>
        <v>49.75</v>
      </c>
      <c r="BU20" s="87">
        <f t="shared" si="23"/>
        <v>0.995</v>
      </c>
      <c r="BV20" s="4"/>
      <c r="BW20" s="4"/>
      <c r="BX20" s="4"/>
      <c r="BY20" s="4"/>
      <c r="BZ20" s="81"/>
      <c r="CA20" s="89"/>
      <c r="CB20" s="81"/>
      <c r="CC20" s="89"/>
      <c r="CD20" s="81"/>
      <c r="CE20" s="89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81">
        <f t="shared" si="26"/>
        <v>44.75</v>
      </c>
      <c r="CQ20" s="87">
        <f t="shared" si="27"/>
        <v>0.89500000000000002</v>
      </c>
      <c r="CR20" s="4">
        <f t="shared" si="28"/>
        <v>44.75</v>
      </c>
      <c r="CS20" s="87">
        <f t="shared" si="29"/>
        <v>0.89500000000000002</v>
      </c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81">
        <f t="shared" si="30"/>
        <v>42.5</v>
      </c>
      <c r="DS20" s="87">
        <f t="shared" si="31"/>
        <v>0.85</v>
      </c>
      <c r="DT20" s="4"/>
      <c r="DU20" s="4"/>
      <c r="DV20" s="4"/>
      <c r="DW20" s="4"/>
      <c r="DX20" s="81">
        <f t="shared" si="32"/>
        <v>42.5</v>
      </c>
      <c r="DY20" s="89">
        <f t="shared" si="33"/>
        <v>0.85</v>
      </c>
      <c r="DZ20" s="81"/>
      <c r="EA20" s="89"/>
      <c r="EB20" s="81">
        <f t="shared" si="34"/>
        <v>15.1008</v>
      </c>
      <c r="EC20" s="89">
        <f t="shared" si="35"/>
        <v>0.94379999999999997</v>
      </c>
      <c r="ED20" s="80">
        <f t="shared" si="68"/>
        <v>14.700799999999999</v>
      </c>
      <c r="EE20" s="89">
        <f t="shared" si="36"/>
        <v>0.91879999999999995</v>
      </c>
      <c r="EF20" s="198">
        <f t="shared" si="37"/>
        <v>23.600200000000001</v>
      </c>
      <c r="EG20" s="89">
        <f t="shared" si="38"/>
        <v>0.90770000000000006</v>
      </c>
      <c r="EH20" s="80">
        <f t="shared" si="39"/>
        <v>19.8492</v>
      </c>
      <c r="EI20" s="89">
        <f t="shared" si="40"/>
        <v>0.94520000000000004</v>
      </c>
      <c r="EJ20" s="4"/>
      <c r="EK20" s="4"/>
      <c r="EL20" s="81">
        <f t="shared" si="41"/>
        <v>19.099499999999999</v>
      </c>
      <c r="EM20" s="87">
        <f t="shared" si="42"/>
        <v>0.90770000000000006</v>
      </c>
      <c r="EN20" s="4"/>
      <c r="EO20" s="4" t="str">
        <f t="shared" si="43"/>
        <v/>
      </c>
      <c r="EP20" s="4"/>
      <c r="EQ20" s="4"/>
      <c r="ER20" s="4">
        <f t="shared" si="44"/>
        <v>35.700000000000003</v>
      </c>
      <c r="ES20" s="87">
        <f t="shared" si="45"/>
        <v>0.71400000000000008</v>
      </c>
      <c r="ET20" s="4">
        <f t="shared" si="46"/>
        <v>35.700000000000003</v>
      </c>
      <c r="EU20" s="87">
        <f t="shared" si="47"/>
        <v>0.71400000000000008</v>
      </c>
      <c r="EV20" s="81"/>
      <c r="EW20" s="89"/>
      <c r="EX20" s="80">
        <f t="shared" si="49"/>
        <v>46.05</v>
      </c>
      <c r="EY20" s="89">
        <f t="shared" si="50"/>
        <v>0.92099999999999993</v>
      </c>
      <c r="EZ20" s="80">
        <f t="shared" si="51"/>
        <v>46.05</v>
      </c>
      <c r="FA20" s="89">
        <f t="shared" si="52"/>
        <v>0.92099999999999993</v>
      </c>
      <c r="FB20" s="89"/>
      <c r="FC20" s="89"/>
      <c r="FD20" s="81"/>
      <c r="FE20" s="89"/>
      <c r="FF20" s="183"/>
      <c r="FG20" s="184"/>
      <c r="FH20" s="92"/>
      <c r="FI20" s="92"/>
      <c r="FJ20" s="183"/>
      <c r="FK20" s="184"/>
      <c r="FL20" s="183"/>
      <c r="FM20" s="184"/>
      <c r="FO20" s="101"/>
    </row>
    <row r="21" spans="1:171">
      <c r="A21" s="206">
        <v>11</v>
      </c>
      <c r="B21" s="207" t="s">
        <v>300</v>
      </c>
      <c r="C21" s="207" t="s">
        <v>301</v>
      </c>
      <c r="D21" s="73">
        <f>'MK1-TM'!D29</f>
        <v>86</v>
      </c>
      <c r="E21" s="73">
        <f>'MK1-TM'!E29</f>
        <v>95</v>
      </c>
      <c r="F21" s="73">
        <f t="shared" si="5"/>
        <v>90.5</v>
      </c>
      <c r="G21" s="91">
        <f>'MK2-TO'!D29</f>
        <v>94.38</v>
      </c>
      <c r="H21" s="91">
        <f>'MK2-TO'!E29</f>
        <v>91.88</v>
      </c>
      <c r="I21" s="91">
        <f>'MK2-TO'!F29</f>
        <v>89.23</v>
      </c>
      <c r="J21" s="91">
        <f>'MK2-TO'!G29</f>
        <v>94.52</v>
      </c>
      <c r="K21" s="91">
        <f>'MK2-TO'!H29</f>
        <v>89.52</v>
      </c>
      <c r="L21" s="91">
        <f t="shared" si="6"/>
        <v>91.649799999999999</v>
      </c>
      <c r="M21" s="74">
        <f>'MK3-PSTI'!D29</f>
        <v>85</v>
      </c>
      <c r="N21" s="74">
        <f>'MK3-PSTI'!E29</f>
        <v>85</v>
      </c>
      <c r="O21" s="74">
        <f t="shared" si="7"/>
        <v>85</v>
      </c>
      <c r="P21" s="75">
        <f>IF('MK4-L&amp;A'!D29="","",'MK4-L&amp;A'!D29)</f>
        <v>89.5</v>
      </c>
      <c r="Q21" s="75">
        <f>IF('MK4-L&amp;A'!E29="","",'MK4-L&amp;A'!E29)</f>
        <v>89.5</v>
      </c>
      <c r="R21" s="75">
        <f t="shared" si="8"/>
        <v>89.5</v>
      </c>
      <c r="S21" s="76">
        <f>IF('MK5-BP'!D29="","",'MK5-BP'!D29)</f>
        <v>66.400000000000006</v>
      </c>
      <c r="T21" s="76">
        <f>IF('MK5-BP'!E29="","",'MK5-BP'!E29)</f>
        <v>67.900000000000006</v>
      </c>
      <c r="U21" s="76">
        <f t="shared" si="58"/>
        <v>67.150000000000006</v>
      </c>
      <c r="V21" s="38">
        <f>IF('MK7-MBD'!D29="","",'MK7-MBD'!D29)</f>
        <v>81.55</v>
      </c>
      <c r="W21" s="38">
        <f>IF('MK7-MBD'!E29="","",'MK7-MBD'!E29)</f>
        <v>92.2</v>
      </c>
      <c r="X21" s="38">
        <f t="shared" si="9"/>
        <v>86.875</v>
      </c>
      <c r="Y21" s="77">
        <f>IF(MK8_BID!D29="","",MK8_BID!D29)</f>
        <v>83.85</v>
      </c>
      <c r="Z21" s="77">
        <f>IF(MK8_BID!E29="","",MK8_BID!E29)</f>
        <v>83.85</v>
      </c>
      <c r="AA21" s="77">
        <f t="shared" si="10"/>
        <v>83.85</v>
      </c>
      <c r="AB21" s="78">
        <f>IF('MK16-AGM'!D29="","",'MK16-AGM'!D29)</f>
        <v>88.25</v>
      </c>
      <c r="AC21" s="78">
        <f>IF('MK16-AGM'!E29="","",'MK16-AGM'!E29)</f>
        <v>88.25</v>
      </c>
      <c r="AD21" s="78">
        <f t="shared" si="11"/>
        <v>88.25</v>
      </c>
      <c r="AF21" s="79"/>
      <c r="AG21" s="80"/>
      <c r="AH21" s="79"/>
      <c r="AI21" s="80"/>
      <c r="AJ21" s="79"/>
      <c r="AK21" s="80"/>
      <c r="AL21" s="79"/>
      <c r="AM21" s="80"/>
      <c r="AN21" s="80"/>
      <c r="AO21" s="80"/>
      <c r="AP21" s="80"/>
      <c r="AQ21" s="80"/>
      <c r="AR21" s="80"/>
      <c r="AS21" s="80"/>
      <c r="AT21" s="80"/>
      <c r="AU21" s="80"/>
      <c r="AV21" s="79"/>
      <c r="AW21" s="80"/>
      <c r="AX21" s="79"/>
      <c r="AY21" s="80"/>
      <c r="AZ21" s="80"/>
      <c r="BA21" s="80"/>
      <c r="BB21" s="79"/>
      <c r="BC21" s="80"/>
      <c r="BD21" s="79"/>
      <c r="BE21" s="80"/>
      <c r="BF21" s="141"/>
      <c r="BG21" s="79"/>
      <c r="BJ21" s="4">
        <f t="shared" si="18"/>
        <v>40.774999999999999</v>
      </c>
      <c r="BK21" s="89">
        <f t="shared" si="64"/>
        <v>0.8155</v>
      </c>
      <c r="BL21" s="4">
        <f t="shared" si="19"/>
        <v>41.924999999999997</v>
      </c>
      <c r="BM21" s="89">
        <f t="shared" si="65"/>
        <v>0.83849999999999991</v>
      </c>
      <c r="BN21" s="81">
        <f t="shared" si="20"/>
        <v>41.924999999999997</v>
      </c>
      <c r="BO21" s="89">
        <f t="shared" si="66"/>
        <v>0.83849999999999991</v>
      </c>
      <c r="BP21" s="81">
        <f t="shared" si="21"/>
        <v>43</v>
      </c>
      <c r="BQ21" s="89">
        <f t="shared" si="22"/>
        <v>0.86</v>
      </c>
      <c r="BR21" s="4"/>
      <c r="BS21" s="4"/>
      <c r="BT21" s="81">
        <f t="shared" si="67"/>
        <v>47.5</v>
      </c>
      <c r="BU21" s="87">
        <f t="shared" si="23"/>
        <v>0.95</v>
      </c>
      <c r="BV21" s="4"/>
      <c r="BW21" s="4"/>
      <c r="BX21" s="4"/>
      <c r="BY21" s="4"/>
      <c r="BZ21" s="81"/>
      <c r="CA21" s="89"/>
      <c r="CB21" s="81"/>
      <c r="CC21" s="89"/>
      <c r="CD21" s="81"/>
      <c r="CE21" s="89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81">
        <f t="shared" si="26"/>
        <v>44.75</v>
      </c>
      <c r="CQ21" s="87">
        <f t="shared" si="27"/>
        <v>0.89500000000000002</v>
      </c>
      <c r="CR21" s="4">
        <f t="shared" si="28"/>
        <v>44.75</v>
      </c>
      <c r="CS21" s="87">
        <f t="shared" si="29"/>
        <v>0.89500000000000002</v>
      </c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81">
        <f t="shared" si="30"/>
        <v>42.5</v>
      </c>
      <c r="DS21" s="87">
        <f t="shared" si="31"/>
        <v>0.85</v>
      </c>
      <c r="DT21" s="4"/>
      <c r="DU21" s="4"/>
      <c r="DV21" s="4"/>
      <c r="DW21" s="4"/>
      <c r="DX21" s="81">
        <f t="shared" si="32"/>
        <v>42.5</v>
      </c>
      <c r="DY21" s="89">
        <f t="shared" si="33"/>
        <v>0.85</v>
      </c>
      <c r="DZ21" s="81"/>
      <c r="EA21" s="89"/>
      <c r="EB21" s="81">
        <f t="shared" si="34"/>
        <v>15.1008</v>
      </c>
      <c r="EC21" s="89">
        <f t="shared" si="35"/>
        <v>0.94379999999999997</v>
      </c>
      <c r="ED21" s="80">
        <f t="shared" si="68"/>
        <v>14.700799999999999</v>
      </c>
      <c r="EE21" s="89">
        <f t="shared" si="36"/>
        <v>0.91879999999999995</v>
      </c>
      <c r="EF21" s="198">
        <f t="shared" ref="EF21:EF61" si="69">IF(I11="","",IFERROR(I21*($I$9/100),""))</f>
        <v>23.199800000000003</v>
      </c>
      <c r="EG21" s="89">
        <f t="shared" si="38"/>
        <v>0.89230000000000009</v>
      </c>
      <c r="EH21" s="80">
        <f t="shared" ref="EH21:EH61" si="70">IF(J11="","",IFERROR(J21*($J$9/100),""))</f>
        <v>19.8492</v>
      </c>
      <c r="EI21" s="89">
        <f t="shared" si="40"/>
        <v>0.94520000000000004</v>
      </c>
      <c r="EJ21" s="4"/>
      <c r="EK21" s="4"/>
      <c r="EL21" s="81">
        <f t="shared" ref="EL21:EL58" si="71">IF(K11="","",IFERROR(K21*($K$9/100),""))</f>
        <v>18.799199999999999</v>
      </c>
      <c r="EM21" s="87">
        <f t="shared" si="42"/>
        <v>0.89230000000000009</v>
      </c>
      <c r="EN21" s="4"/>
      <c r="EO21" s="4" t="str">
        <f t="shared" si="43"/>
        <v/>
      </c>
      <c r="EP21" s="4"/>
      <c r="EQ21" s="4"/>
      <c r="ER21" s="4">
        <f t="shared" si="44"/>
        <v>33.200000000000003</v>
      </c>
      <c r="ES21" s="87">
        <f t="shared" si="45"/>
        <v>0.66400000000000003</v>
      </c>
      <c r="ET21" s="4">
        <f t="shared" si="46"/>
        <v>33.950000000000003</v>
      </c>
      <c r="EU21" s="87">
        <f t="shared" si="47"/>
        <v>0.67900000000000005</v>
      </c>
      <c r="EV21" s="81"/>
      <c r="EW21" s="89"/>
      <c r="EX21" s="80">
        <f t="shared" si="49"/>
        <v>44.125</v>
      </c>
      <c r="EY21" s="89">
        <f t="shared" si="50"/>
        <v>0.88249999999999995</v>
      </c>
      <c r="EZ21" s="80">
        <f t="shared" si="51"/>
        <v>44.125</v>
      </c>
      <c r="FA21" s="89">
        <f t="shared" si="52"/>
        <v>0.88249999999999995</v>
      </c>
      <c r="FB21" s="89"/>
      <c r="FC21" s="89"/>
      <c r="FD21" s="81"/>
      <c r="FE21" s="89"/>
      <c r="FF21" s="183"/>
      <c r="FG21" s="184"/>
      <c r="FH21" s="92"/>
      <c r="FI21" s="92"/>
      <c r="FJ21" s="183"/>
      <c r="FK21" s="184"/>
      <c r="FL21" s="183"/>
      <c r="FM21" s="184"/>
      <c r="FO21" s="101"/>
    </row>
    <row r="22" spans="1:171">
      <c r="A22" s="206">
        <v>12</v>
      </c>
      <c r="B22" s="207" t="s">
        <v>302</v>
      </c>
      <c r="C22" s="207" t="s">
        <v>303</v>
      </c>
      <c r="D22" s="73">
        <f>'MK1-TM'!D30</f>
        <v>78</v>
      </c>
      <c r="E22" s="73">
        <f>'MK1-TM'!E30</f>
        <v>83</v>
      </c>
      <c r="F22" s="73">
        <f t="shared" si="5"/>
        <v>80.5</v>
      </c>
      <c r="G22" s="91">
        <f>'MK2-TO'!D30</f>
        <v>94.38</v>
      </c>
      <c r="H22" s="91">
        <f>'MK2-TO'!E30</f>
        <v>91.88</v>
      </c>
      <c r="I22" s="91">
        <f>'MK2-TO'!F30</f>
        <v>83.08</v>
      </c>
      <c r="J22" s="91">
        <f>'MK2-TO'!G30</f>
        <v>94.52</v>
      </c>
      <c r="K22" s="91">
        <f>'MK2-TO'!H30</f>
        <v>83.81</v>
      </c>
      <c r="L22" s="91">
        <f t="shared" si="6"/>
        <v>88.851699999999994</v>
      </c>
      <c r="M22" s="74">
        <f>'MK3-PSTI'!D30</f>
        <v>85</v>
      </c>
      <c r="N22" s="74">
        <f>'MK3-PSTI'!E30</f>
        <v>85</v>
      </c>
      <c r="O22" s="74">
        <f t="shared" si="7"/>
        <v>85</v>
      </c>
      <c r="P22" s="75">
        <f>IF('MK4-L&amp;A'!D30="","",'MK4-L&amp;A'!D30)</f>
        <v>89.5</v>
      </c>
      <c r="Q22" s="75">
        <f>IF('MK4-L&amp;A'!E30="","",'MK4-L&amp;A'!E30)</f>
        <v>89.5</v>
      </c>
      <c r="R22" s="75">
        <f t="shared" si="8"/>
        <v>89.5</v>
      </c>
      <c r="S22" s="76">
        <f>IF('MK5-BP'!D30="","",'MK5-BP'!D30)</f>
        <v>71.3</v>
      </c>
      <c r="T22" s="76">
        <f>IF('MK5-BP'!E30="","",'MK5-BP'!E30)</f>
        <v>64.400000000000006</v>
      </c>
      <c r="U22" s="76">
        <f t="shared" si="58"/>
        <v>67.849999999999994</v>
      </c>
      <c r="V22" s="38">
        <f>IF('MK7-MBD'!D30="","",'MK7-MBD'!D30)</f>
        <v>82.25</v>
      </c>
      <c r="W22" s="38">
        <f>IF('MK7-MBD'!E30="","",'MK7-MBD'!E30)</f>
        <v>91.5</v>
      </c>
      <c r="X22" s="38">
        <f t="shared" si="9"/>
        <v>86.875</v>
      </c>
      <c r="Y22" s="77">
        <f>IF(MK8_BID!D30="","",MK8_BID!D30)</f>
        <v>82.45</v>
      </c>
      <c r="Z22" s="77">
        <f>IF(MK8_BID!E30="","",MK8_BID!E30)</f>
        <v>82.45</v>
      </c>
      <c r="AA22" s="77">
        <f t="shared" si="10"/>
        <v>82.45</v>
      </c>
      <c r="AB22" s="78">
        <f>IF('MK16-AGM'!D30="","",'MK16-AGM'!D30)</f>
        <v>93.8</v>
      </c>
      <c r="AC22" s="78">
        <f>IF('MK16-AGM'!E30="","",'MK16-AGM'!E30)</f>
        <v>93.8</v>
      </c>
      <c r="AD22" s="78">
        <f t="shared" si="11"/>
        <v>93.8</v>
      </c>
      <c r="AF22" s="79"/>
      <c r="AG22" s="80"/>
      <c r="AH22" s="79"/>
      <c r="AI22" s="80"/>
      <c r="AJ22" s="79"/>
      <c r="AK22" s="80"/>
      <c r="AL22" s="79"/>
      <c r="AM22" s="80"/>
      <c r="AN22" s="80"/>
      <c r="AO22" s="80"/>
      <c r="AP22" s="80"/>
      <c r="AQ22" s="80"/>
      <c r="AR22" s="80"/>
      <c r="AS22" s="80"/>
      <c r="AT22" s="80"/>
      <c r="AU22" s="80"/>
      <c r="AV22" s="79"/>
      <c r="AW22" s="80"/>
      <c r="AX22" s="79"/>
      <c r="AY22" s="80"/>
      <c r="AZ22" s="80"/>
      <c r="BA22" s="80"/>
      <c r="BB22" s="79"/>
      <c r="BC22" s="80"/>
      <c r="BD22" s="79"/>
      <c r="BE22" s="80"/>
      <c r="BF22" s="141"/>
      <c r="BG22" s="79"/>
      <c r="BJ22" s="4">
        <f t="shared" si="18"/>
        <v>41.125</v>
      </c>
      <c r="BK22" s="89">
        <f t="shared" si="64"/>
        <v>0.82250000000000001</v>
      </c>
      <c r="BL22" s="4">
        <f t="shared" si="19"/>
        <v>41.225000000000001</v>
      </c>
      <c r="BM22" s="89">
        <f t="shared" si="65"/>
        <v>0.82450000000000001</v>
      </c>
      <c r="BN22" s="81">
        <f t="shared" si="20"/>
        <v>41.225000000000001</v>
      </c>
      <c r="BO22" s="89">
        <f t="shared" si="66"/>
        <v>0.82450000000000001</v>
      </c>
      <c r="BP22" s="81">
        <f t="shared" si="21"/>
        <v>39</v>
      </c>
      <c r="BQ22" s="89">
        <f t="shared" si="22"/>
        <v>0.78</v>
      </c>
      <c r="BR22" s="4"/>
      <c r="BS22" s="4"/>
      <c r="BT22" s="81">
        <f t="shared" si="67"/>
        <v>41.5</v>
      </c>
      <c r="BU22" s="87">
        <f t="shared" si="23"/>
        <v>0.83</v>
      </c>
      <c r="BV22" s="4"/>
      <c r="BW22" s="4"/>
      <c r="BX22" s="4"/>
      <c r="BY22" s="4"/>
      <c r="BZ22" s="81"/>
      <c r="CA22" s="89"/>
      <c r="CB22" s="81"/>
      <c r="CC22" s="89"/>
      <c r="CD22" s="81"/>
      <c r="CE22" s="89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81">
        <f t="shared" si="26"/>
        <v>44.75</v>
      </c>
      <c r="CQ22" s="87">
        <f t="shared" si="27"/>
        <v>0.89500000000000002</v>
      </c>
      <c r="CR22" s="4">
        <f t="shared" si="28"/>
        <v>44.75</v>
      </c>
      <c r="CS22" s="87">
        <f t="shared" si="29"/>
        <v>0.89500000000000002</v>
      </c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81">
        <f t="shared" si="30"/>
        <v>42.5</v>
      </c>
      <c r="DS22" s="87">
        <f t="shared" si="31"/>
        <v>0.85</v>
      </c>
      <c r="DT22" s="4"/>
      <c r="DU22" s="4"/>
      <c r="DV22" s="4"/>
      <c r="DW22" s="4"/>
      <c r="DX22" s="81">
        <f t="shared" si="32"/>
        <v>42.5</v>
      </c>
      <c r="DY22" s="89">
        <f t="shared" si="33"/>
        <v>0.85</v>
      </c>
      <c r="DZ22" s="81"/>
      <c r="EA22" s="89"/>
      <c r="EB22" s="81">
        <f t="shared" si="34"/>
        <v>15.1008</v>
      </c>
      <c r="EC22" s="89">
        <f t="shared" si="35"/>
        <v>0.94379999999999997</v>
      </c>
      <c r="ED22" s="80">
        <f t="shared" si="68"/>
        <v>14.700799999999999</v>
      </c>
      <c r="EE22" s="89">
        <f t="shared" si="36"/>
        <v>0.91879999999999995</v>
      </c>
      <c r="EF22" s="198">
        <f t="shared" si="69"/>
        <v>21.6008</v>
      </c>
      <c r="EG22" s="89">
        <f t="shared" si="38"/>
        <v>0.83079999999999998</v>
      </c>
      <c r="EH22" s="80">
        <f t="shared" si="70"/>
        <v>19.8492</v>
      </c>
      <c r="EI22" s="89">
        <f t="shared" si="40"/>
        <v>0.94520000000000004</v>
      </c>
      <c r="EJ22" s="4"/>
      <c r="EK22" s="4"/>
      <c r="EL22" s="81">
        <f t="shared" si="71"/>
        <v>17.600100000000001</v>
      </c>
      <c r="EM22" s="87">
        <f t="shared" si="42"/>
        <v>0.83079999999999998</v>
      </c>
      <c r="EN22" s="4"/>
      <c r="EO22" s="4" t="str">
        <f t="shared" si="43"/>
        <v/>
      </c>
      <c r="EP22" s="4"/>
      <c r="EQ22" s="4"/>
      <c r="ER22" s="4">
        <f t="shared" si="44"/>
        <v>35.65</v>
      </c>
      <c r="ES22" s="87">
        <f t="shared" si="45"/>
        <v>0.71299999999999997</v>
      </c>
      <c r="ET22" s="4">
        <f t="shared" si="46"/>
        <v>32.200000000000003</v>
      </c>
      <c r="EU22" s="87">
        <f t="shared" si="47"/>
        <v>0.64400000000000002</v>
      </c>
      <c r="EV22" s="81"/>
      <c r="EW22" s="89"/>
      <c r="EX22" s="80">
        <f t="shared" si="49"/>
        <v>46.9</v>
      </c>
      <c r="EY22" s="89">
        <f t="shared" si="50"/>
        <v>0.93799999999999994</v>
      </c>
      <c r="EZ22" s="80">
        <f t="shared" si="51"/>
        <v>46.9</v>
      </c>
      <c r="FA22" s="89">
        <f t="shared" si="52"/>
        <v>0.93799999999999994</v>
      </c>
      <c r="FB22" s="89"/>
      <c r="FC22" s="89"/>
      <c r="FD22" s="81"/>
      <c r="FE22" s="89"/>
      <c r="FF22" s="183"/>
      <c r="FG22" s="184"/>
      <c r="FH22" s="92"/>
      <c r="FI22" s="92"/>
      <c r="FJ22" s="183"/>
      <c r="FK22" s="184"/>
      <c r="FL22" s="183"/>
      <c r="FM22" s="184"/>
      <c r="FO22" s="101"/>
    </row>
    <row r="23" spans="1:171">
      <c r="A23" s="206">
        <v>13</v>
      </c>
      <c r="B23" s="207" t="s">
        <v>304</v>
      </c>
      <c r="C23" s="207" t="s">
        <v>305</v>
      </c>
      <c r="D23" s="73">
        <f>'MK1-TM'!D31</f>
        <v>81.5</v>
      </c>
      <c r="E23" s="73">
        <f>'MK1-TM'!E31</f>
        <v>82.5</v>
      </c>
      <c r="F23" s="73">
        <f t="shared" si="5"/>
        <v>82</v>
      </c>
      <c r="G23" s="91">
        <f>'MK2-TO'!D31</f>
        <v>94.38</v>
      </c>
      <c r="H23" s="91">
        <f>'MK2-TO'!E31</f>
        <v>91.88</v>
      </c>
      <c r="I23" s="91">
        <f>'MK2-TO'!F31</f>
        <v>90.77</v>
      </c>
      <c r="J23" s="91">
        <f>'MK2-TO'!G31</f>
        <v>94.52</v>
      </c>
      <c r="K23" s="91">
        <f>'MK2-TO'!H31</f>
        <v>90.95</v>
      </c>
      <c r="L23" s="91">
        <f t="shared" si="6"/>
        <v>92.350500000000011</v>
      </c>
      <c r="M23" s="74">
        <f>'MK3-PSTI'!D31</f>
        <v>85</v>
      </c>
      <c r="N23" s="74">
        <f>'MK3-PSTI'!E31</f>
        <v>85</v>
      </c>
      <c r="O23" s="74">
        <f t="shared" si="7"/>
        <v>85</v>
      </c>
      <c r="P23" s="75">
        <f>IF('MK4-L&amp;A'!D31="","",'MK4-L&amp;A'!D31)</f>
        <v>89.5</v>
      </c>
      <c r="Q23" s="75">
        <f>IF('MK4-L&amp;A'!E31="","",'MK4-L&amp;A'!E31)</f>
        <v>89.5</v>
      </c>
      <c r="R23" s="75">
        <f t="shared" si="8"/>
        <v>89.5</v>
      </c>
      <c r="S23" s="76">
        <f>IF('MK5-BP'!D31="","",'MK5-BP'!D31)</f>
        <v>64.400000000000006</v>
      </c>
      <c r="T23" s="76">
        <f>IF('MK5-BP'!E31="","",'MK5-BP'!E31)</f>
        <v>70</v>
      </c>
      <c r="U23" s="76">
        <f t="shared" si="58"/>
        <v>67.2</v>
      </c>
      <c r="V23" s="38">
        <f>IF('MK7-MBD'!D31="","",'MK7-MBD'!D31)</f>
        <v>81</v>
      </c>
      <c r="W23" s="38">
        <f>IF('MK7-MBD'!E31="","",'MK7-MBD'!E31)</f>
        <v>89.7</v>
      </c>
      <c r="X23" s="38">
        <f t="shared" si="9"/>
        <v>85.35</v>
      </c>
      <c r="Y23" s="77">
        <f>IF(MK8_BID!D31="","",MK8_BID!D31)</f>
        <v>89.8</v>
      </c>
      <c r="Z23" s="77">
        <f>IF(MK8_BID!E31="","",MK8_BID!E31)</f>
        <v>89.8</v>
      </c>
      <c r="AA23" s="77">
        <f t="shared" si="10"/>
        <v>89.8</v>
      </c>
      <c r="AB23" s="78">
        <f>IF('MK16-AGM'!D31="","",'MK16-AGM'!D31)</f>
        <v>91.45</v>
      </c>
      <c r="AC23" s="78">
        <f>IF('MK16-AGM'!E31="","",'MK16-AGM'!E31)</f>
        <v>91.45</v>
      </c>
      <c r="AD23" s="78">
        <f t="shared" si="11"/>
        <v>91.45</v>
      </c>
      <c r="AF23" s="79"/>
      <c r="AG23" s="80"/>
      <c r="AH23" s="79"/>
      <c r="AI23" s="80"/>
      <c r="AJ23" s="79"/>
      <c r="AK23" s="80"/>
      <c r="AL23" s="79"/>
      <c r="AM23" s="80"/>
      <c r="AN23" s="80"/>
      <c r="AO23" s="80"/>
      <c r="AP23" s="80"/>
      <c r="AQ23" s="80"/>
      <c r="AR23" s="80"/>
      <c r="AS23" s="80"/>
      <c r="AT23" s="80"/>
      <c r="AU23" s="80"/>
      <c r="AV23" s="79"/>
      <c r="AW23" s="80"/>
      <c r="AX23" s="79"/>
      <c r="AY23" s="80"/>
      <c r="AZ23" s="80"/>
      <c r="BA23" s="80"/>
      <c r="BB23" s="79"/>
      <c r="BC23" s="80"/>
      <c r="BD23" s="79"/>
      <c r="BE23" s="80"/>
      <c r="BF23" s="141"/>
      <c r="BG23" s="79"/>
      <c r="BJ23" s="4">
        <f t="shared" si="18"/>
        <v>40.5</v>
      </c>
      <c r="BK23" s="89">
        <f t="shared" si="64"/>
        <v>0.81</v>
      </c>
      <c r="BL23" s="4">
        <f t="shared" si="19"/>
        <v>44.9</v>
      </c>
      <c r="BM23" s="89">
        <f t="shared" si="65"/>
        <v>0.89800000000000002</v>
      </c>
      <c r="BN23" s="81">
        <f t="shared" si="20"/>
        <v>44.9</v>
      </c>
      <c r="BO23" s="89">
        <f t="shared" si="66"/>
        <v>0.89800000000000002</v>
      </c>
      <c r="BP23" s="81">
        <f t="shared" si="21"/>
        <v>40.75</v>
      </c>
      <c r="BQ23" s="89">
        <f t="shared" si="22"/>
        <v>0.81499999999999995</v>
      </c>
      <c r="BR23" s="4"/>
      <c r="BS23" s="4"/>
      <c r="BT23" s="81">
        <f t="shared" si="67"/>
        <v>41.25</v>
      </c>
      <c r="BU23" s="87">
        <f t="shared" si="23"/>
        <v>0.82499999999999996</v>
      </c>
      <c r="BV23" s="4"/>
      <c r="BW23" s="4"/>
      <c r="BX23" s="4"/>
      <c r="BY23" s="4"/>
      <c r="BZ23" s="81"/>
      <c r="CA23" s="89"/>
      <c r="CB23" s="81"/>
      <c r="CC23" s="89"/>
      <c r="CD23" s="81"/>
      <c r="CE23" s="89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81">
        <f t="shared" si="26"/>
        <v>44.75</v>
      </c>
      <c r="CQ23" s="87">
        <f t="shared" si="27"/>
        <v>0.89500000000000002</v>
      </c>
      <c r="CR23" s="4">
        <f t="shared" si="28"/>
        <v>44.75</v>
      </c>
      <c r="CS23" s="87">
        <f t="shared" si="29"/>
        <v>0.89500000000000002</v>
      </c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81">
        <f t="shared" si="30"/>
        <v>42.5</v>
      </c>
      <c r="DS23" s="87">
        <f t="shared" si="31"/>
        <v>0.85</v>
      </c>
      <c r="DT23" s="4"/>
      <c r="DU23" s="4"/>
      <c r="DV23" s="4"/>
      <c r="DW23" s="4"/>
      <c r="DX23" s="81">
        <f t="shared" si="32"/>
        <v>42.5</v>
      </c>
      <c r="DY23" s="89">
        <f t="shared" si="33"/>
        <v>0.85</v>
      </c>
      <c r="DZ23" s="81"/>
      <c r="EA23" s="89"/>
      <c r="EB23" s="81">
        <f t="shared" si="34"/>
        <v>15.1008</v>
      </c>
      <c r="EC23" s="89">
        <f t="shared" si="35"/>
        <v>0.94379999999999997</v>
      </c>
      <c r="ED23" s="80">
        <f t="shared" si="68"/>
        <v>14.700799999999999</v>
      </c>
      <c r="EE23" s="89">
        <f t="shared" si="36"/>
        <v>0.91879999999999995</v>
      </c>
      <c r="EF23" s="198">
        <f t="shared" si="69"/>
        <v>23.600200000000001</v>
      </c>
      <c r="EG23" s="89">
        <f t="shared" si="38"/>
        <v>0.90770000000000006</v>
      </c>
      <c r="EH23" s="80">
        <f t="shared" si="70"/>
        <v>19.8492</v>
      </c>
      <c r="EI23" s="89">
        <f t="shared" si="40"/>
        <v>0.94520000000000004</v>
      </c>
      <c r="EJ23" s="4"/>
      <c r="EK23" s="4"/>
      <c r="EL23" s="81">
        <f t="shared" si="71"/>
        <v>19.099499999999999</v>
      </c>
      <c r="EM23" s="87">
        <f t="shared" si="42"/>
        <v>0.90770000000000006</v>
      </c>
      <c r="EN23" s="4"/>
      <c r="EO23" s="4" t="str">
        <f t="shared" si="43"/>
        <v/>
      </c>
      <c r="EP23" s="4"/>
      <c r="EQ23" s="4"/>
      <c r="ER23" s="4">
        <f t="shared" si="44"/>
        <v>32.200000000000003</v>
      </c>
      <c r="ES23" s="87">
        <f t="shared" si="45"/>
        <v>0.64400000000000002</v>
      </c>
      <c r="ET23" s="4">
        <f t="shared" si="46"/>
        <v>35</v>
      </c>
      <c r="EU23" s="87">
        <f t="shared" si="47"/>
        <v>0.7</v>
      </c>
      <c r="EV23" s="81"/>
      <c r="EW23" s="89"/>
      <c r="EX23" s="80">
        <f t="shared" si="49"/>
        <v>45.725000000000001</v>
      </c>
      <c r="EY23" s="89">
        <f t="shared" si="50"/>
        <v>0.91449999999999998</v>
      </c>
      <c r="EZ23" s="80">
        <f t="shared" si="51"/>
        <v>45.725000000000001</v>
      </c>
      <c r="FA23" s="89">
        <f t="shared" si="52"/>
        <v>0.91449999999999998</v>
      </c>
      <c r="FB23" s="89"/>
      <c r="FC23" s="89"/>
      <c r="FD23" s="81"/>
      <c r="FE23" s="89"/>
      <c r="FF23" s="183"/>
      <c r="FG23" s="184"/>
      <c r="FH23" s="92"/>
      <c r="FI23" s="92"/>
      <c r="FJ23" s="183"/>
      <c r="FK23" s="184"/>
      <c r="FL23" s="183"/>
      <c r="FM23" s="184"/>
      <c r="FO23" s="101"/>
    </row>
    <row r="24" spans="1:171">
      <c r="A24" s="206">
        <v>14</v>
      </c>
      <c r="B24" s="207" t="s">
        <v>306</v>
      </c>
      <c r="C24" s="207" t="s">
        <v>307</v>
      </c>
      <c r="D24" s="73">
        <f>'MK1-TM'!D32</f>
        <v>87.9</v>
      </c>
      <c r="E24" s="73">
        <f>'MK1-TM'!E32</f>
        <v>94.4</v>
      </c>
      <c r="F24" s="73">
        <f t="shared" si="5"/>
        <v>91.15</v>
      </c>
      <c r="G24" s="91">
        <f>'MK2-TO'!D32</f>
        <v>94.38</v>
      </c>
      <c r="H24" s="91">
        <f>'MK2-TO'!E32</f>
        <v>91.88</v>
      </c>
      <c r="I24" s="91">
        <f>'MK2-TO'!F32</f>
        <v>90.77</v>
      </c>
      <c r="J24" s="91">
        <f>'MK2-TO'!G32</f>
        <v>94.52</v>
      </c>
      <c r="K24" s="91">
        <f>'MK2-TO'!H32</f>
        <v>90.95</v>
      </c>
      <c r="L24" s="91">
        <f t="shared" si="6"/>
        <v>92.350500000000011</v>
      </c>
      <c r="M24" s="74">
        <f>'MK3-PSTI'!D32</f>
        <v>85</v>
      </c>
      <c r="N24" s="74">
        <f>'MK3-PSTI'!E32</f>
        <v>85</v>
      </c>
      <c r="O24" s="74">
        <f t="shared" si="7"/>
        <v>85</v>
      </c>
      <c r="P24" s="75">
        <f>IF('MK4-L&amp;A'!D32="","",'MK4-L&amp;A'!D32)</f>
        <v>79</v>
      </c>
      <c r="Q24" s="75">
        <f>IF('MK4-L&amp;A'!E32="","",'MK4-L&amp;A'!E32)</f>
        <v>75.5</v>
      </c>
      <c r="R24" s="75">
        <f t="shared" si="8"/>
        <v>77.25</v>
      </c>
      <c r="S24" s="76">
        <f>IF('MK5-BP'!D32="","",'MK5-BP'!D32)</f>
        <v>64.400000000000006</v>
      </c>
      <c r="T24" s="76">
        <f>IF('MK5-BP'!E32="","",'MK5-BP'!E32)</f>
        <v>71.400000000000006</v>
      </c>
      <c r="U24" s="76">
        <f t="shared" si="58"/>
        <v>67.900000000000006</v>
      </c>
      <c r="V24" s="38">
        <f>IF('MK7-MBD'!D32="","",'MK7-MBD'!D32)</f>
        <v>79.2</v>
      </c>
      <c r="W24" s="38">
        <f>IF('MK7-MBD'!E32="","",'MK7-MBD'!E32)</f>
        <v>88.1</v>
      </c>
      <c r="X24" s="38">
        <f t="shared" si="9"/>
        <v>83.65</v>
      </c>
      <c r="Y24" s="77">
        <f>IF(MK8_BID!D32="","",MK8_BID!D32)</f>
        <v>99.4</v>
      </c>
      <c r="Z24" s="77">
        <f>IF(MK8_BID!E32="","",MK8_BID!E32)</f>
        <v>99.4</v>
      </c>
      <c r="AA24" s="77">
        <f t="shared" si="10"/>
        <v>99.4</v>
      </c>
      <c r="AB24" s="78">
        <f>IF('MK16-AGM'!D32="","",'MK16-AGM'!D32)</f>
        <v>86.1</v>
      </c>
      <c r="AC24" s="78">
        <f>IF('MK16-AGM'!E32="","",'MK16-AGM'!E32)</f>
        <v>86.1</v>
      </c>
      <c r="AD24" s="78">
        <f t="shared" si="11"/>
        <v>86.1</v>
      </c>
      <c r="AF24" s="79"/>
      <c r="AG24" s="80"/>
      <c r="AH24" s="79"/>
      <c r="AI24" s="80"/>
      <c r="AJ24" s="79"/>
      <c r="AK24" s="80"/>
      <c r="AL24" s="79"/>
      <c r="AM24" s="80"/>
      <c r="AN24" s="80"/>
      <c r="AO24" s="80"/>
      <c r="AP24" s="80"/>
      <c r="AQ24" s="80"/>
      <c r="AR24" s="80"/>
      <c r="AS24" s="80"/>
      <c r="AT24" s="80"/>
      <c r="AU24" s="80"/>
      <c r="AV24" s="79"/>
      <c r="AW24" s="80"/>
      <c r="AX24" s="79"/>
      <c r="AY24" s="80"/>
      <c r="AZ24" s="80"/>
      <c r="BA24" s="80"/>
      <c r="BB24" s="79"/>
      <c r="BC24" s="80"/>
      <c r="BD24" s="79"/>
      <c r="BE24" s="80"/>
      <c r="BF24" s="141"/>
      <c r="BG24" s="79"/>
      <c r="BJ24" s="4">
        <f t="shared" si="18"/>
        <v>39.6</v>
      </c>
      <c r="BK24" s="89">
        <f t="shared" si="64"/>
        <v>0.79200000000000004</v>
      </c>
      <c r="BL24" s="4">
        <f t="shared" si="19"/>
        <v>49.7</v>
      </c>
      <c r="BM24" s="89">
        <f t="shared" si="65"/>
        <v>0.99400000000000011</v>
      </c>
      <c r="BN24" s="81">
        <f t="shared" si="20"/>
        <v>49.7</v>
      </c>
      <c r="BO24" s="89">
        <f t="shared" si="66"/>
        <v>0.99400000000000011</v>
      </c>
      <c r="BP24" s="81">
        <f t="shared" si="21"/>
        <v>43.95</v>
      </c>
      <c r="BQ24" s="89">
        <f t="shared" si="22"/>
        <v>0.879</v>
      </c>
      <c r="BR24" s="4"/>
      <c r="BS24" s="4"/>
      <c r="BT24" s="81">
        <f t="shared" si="67"/>
        <v>47.2</v>
      </c>
      <c r="BU24" s="87">
        <f t="shared" si="23"/>
        <v>0.94400000000000006</v>
      </c>
      <c r="BV24" s="4"/>
      <c r="BW24" s="4"/>
      <c r="BX24" s="4"/>
      <c r="BY24" s="4"/>
      <c r="BZ24" s="81"/>
      <c r="CA24" s="89"/>
      <c r="CB24" s="81"/>
      <c r="CC24" s="89"/>
      <c r="CD24" s="81"/>
      <c r="CE24" s="89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81">
        <f t="shared" si="26"/>
        <v>39.5</v>
      </c>
      <c r="CQ24" s="87">
        <f t="shared" si="27"/>
        <v>0.79</v>
      </c>
      <c r="CR24" s="4">
        <f t="shared" si="28"/>
        <v>37.75</v>
      </c>
      <c r="CS24" s="87">
        <f t="shared" si="29"/>
        <v>0.755</v>
      </c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81">
        <f t="shared" si="30"/>
        <v>42.5</v>
      </c>
      <c r="DS24" s="87">
        <f t="shared" si="31"/>
        <v>0.85</v>
      </c>
      <c r="DT24" s="4"/>
      <c r="DU24" s="4"/>
      <c r="DV24" s="4"/>
      <c r="DW24" s="4"/>
      <c r="DX24" s="81">
        <f t="shared" si="32"/>
        <v>42.5</v>
      </c>
      <c r="DY24" s="89">
        <f t="shared" si="33"/>
        <v>0.85</v>
      </c>
      <c r="DZ24" s="81"/>
      <c r="EA24" s="89"/>
      <c r="EB24" s="81">
        <f t="shared" si="34"/>
        <v>15.1008</v>
      </c>
      <c r="EC24" s="89">
        <f t="shared" si="35"/>
        <v>0.94379999999999997</v>
      </c>
      <c r="ED24" s="80">
        <f t="shared" si="68"/>
        <v>14.700799999999999</v>
      </c>
      <c r="EE24" s="89">
        <f t="shared" si="36"/>
        <v>0.91879999999999995</v>
      </c>
      <c r="EF24" s="198">
        <f t="shared" si="69"/>
        <v>23.600200000000001</v>
      </c>
      <c r="EG24" s="89">
        <f t="shared" si="38"/>
        <v>0.90770000000000006</v>
      </c>
      <c r="EH24" s="80">
        <f t="shared" si="70"/>
        <v>19.8492</v>
      </c>
      <c r="EI24" s="89">
        <f t="shared" si="40"/>
        <v>0.94520000000000004</v>
      </c>
      <c r="EJ24" s="4"/>
      <c r="EK24" s="4"/>
      <c r="EL24" s="81">
        <f t="shared" si="71"/>
        <v>19.099499999999999</v>
      </c>
      <c r="EM24" s="87">
        <f t="shared" si="42"/>
        <v>0.90770000000000006</v>
      </c>
      <c r="EN24" s="4"/>
      <c r="EO24" s="4" t="str">
        <f t="shared" si="43"/>
        <v/>
      </c>
      <c r="EP24" s="4"/>
      <c r="EQ24" s="4"/>
      <c r="ER24" s="4">
        <f t="shared" si="44"/>
        <v>32.200000000000003</v>
      </c>
      <c r="ES24" s="87">
        <f t="shared" si="45"/>
        <v>0.64400000000000002</v>
      </c>
      <c r="ET24" s="4">
        <f t="shared" si="46"/>
        <v>35.700000000000003</v>
      </c>
      <c r="EU24" s="87">
        <f t="shared" si="47"/>
        <v>0.71400000000000008</v>
      </c>
      <c r="EV24" s="81"/>
      <c r="EW24" s="89"/>
      <c r="EX24" s="80">
        <f t="shared" si="49"/>
        <v>43.05</v>
      </c>
      <c r="EY24" s="89">
        <f t="shared" si="50"/>
        <v>0.86099999999999999</v>
      </c>
      <c r="EZ24" s="80">
        <f t="shared" si="51"/>
        <v>43.05</v>
      </c>
      <c r="FA24" s="89">
        <f t="shared" si="52"/>
        <v>0.86099999999999999</v>
      </c>
      <c r="FB24" s="89"/>
      <c r="FC24" s="89"/>
      <c r="FD24" s="81"/>
      <c r="FE24" s="89"/>
      <c r="FF24" s="183"/>
      <c r="FG24" s="184"/>
      <c r="FH24" s="92"/>
      <c r="FI24" s="92"/>
      <c r="FJ24" s="183"/>
      <c r="FK24" s="184"/>
      <c r="FL24" s="183"/>
      <c r="FM24" s="184"/>
      <c r="FO24" s="101"/>
    </row>
    <row r="25" spans="1:171">
      <c r="A25" s="206">
        <v>15</v>
      </c>
      <c r="B25" s="207" t="s">
        <v>308</v>
      </c>
      <c r="C25" s="207" t="s">
        <v>309</v>
      </c>
      <c r="D25" s="73">
        <f>'MK1-TM'!D33</f>
        <v>77.5</v>
      </c>
      <c r="E25" s="73">
        <f>'MK1-TM'!E33</f>
        <v>82</v>
      </c>
      <c r="F25" s="73">
        <f t="shared" si="5"/>
        <v>79.75</v>
      </c>
      <c r="G25" s="91">
        <f>'MK2-TO'!D33</f>
        <v>94.38</v>
      </c>
      <c r="H25" s="91">
        <f>'MK2-TO'!E33</f>
        <v>91.88</v>
      </c>
      <c r="I25" s="91">
        <f>'MK2-TO'!F33</f>
        <v>83.08</v>
      </c>
      <c r="J25" s="91">
        <f>'MK2-TO'!G33</f>
        <v>94.52</v>
      </c>
      <c r="K25" s="91">
        <f>'MK2-TO'!H33</f>
        <v>83.81</v>
      </c>
      <c r="L25" s="91">
        <f t="shared" si="6"/>
        <v>88.851699999999994</v>
      </c>
      <c r="M25" s="74">
        <f>'MK3-PSTI'!D33</f>
        <v>85</v>
      </c>
      <c r="N25" s="74">
        <f>'MK3-PSTI'!E33</f>
        <v>85</v>
      </c>
      <c r="O25" s="74">
        <f t="shared" si="7"/>
        <v>85</v>
      </c>
      <c r="P25" s="75">
        <f>IF('MK4-L&amp;A'!D33="","",'MK4-L&amp;A'!D33)</f>
        <v>79</v>
      </c>
      <c r="Q25" s="75">
        <f>IF('MK4-L&amp;A'!E33="","",'MK4-L&amp;A'!E33)</f>
        <v>79</v>
      </c>
      <c r="R25" s="75">
        <f t="shared" si="8"/>
        <v>79</v>
      </c>
      <c r="S25" s="76">
        <f>IF('MK5-BP'!D33="","",'MK5-BP'!D33)</f>
        <v>70</v>
      </c>
      <c r="T25" s="76">
        <f>IF('MK5-BP'!E33="","",'MK5-BP'!E33)</f>
        <v>64.400000000000006</v>
      </c>
      <c r="U25" s="76">
        <f t="shared" si="58"/>
        <v>67.2</v>
      </c>
      <c r="V25" s="38">
        <f>IF('MK7-MBD'!D33="","",'MK7-MBD'!D33)</f>
        <v>81.55</v>
      </c>
      <c r="W25" s="38">
        <f>IF('MK7-MBD'!E33="","",'MK7-MBD'!E33)</f>
        <v>89.4</v>
      </c>
      <c r="X25" s="38">
        <f t="shared" si="9"/>
        <v>85.474999999999994</v>
      </c>
      <c r="Y25" s="77">
        <f>IF(MK8_BID!D33="","",MK8_BID!D33)</f>
        <v>80.650000000000006</v>
      </c>
      <c r="Z25" s="77">
        <f>IF(MK8_BID!E33="","",MK8_BID!E33)</f>
        <v>80.650000000000006</v>
      </c>
      <c r="AA25" s="77">
        <f t="shared" si="10"/>
        <v>80.650000000000006</v>
      </c>
      <c r="AB25" s="78">
        <f>IF('MK16-AGM'!D33="","",'MK16-AGM'!D33)</f>
        <v>85.45</v>
      </c>
      <c r="AC25" s="78">
        <f>IF('MK16-AGM'!E33="","",'MK16-AGM'!E33)</f>
        <v>85.45</v>
      </c>
      <c r="AD25" s="78">
        <f t="shared" si="11"/>
        <v>85.45</v>
      </c>
      <c r="AF25" s="79"/>
      <c r="AG25" s="80"/>
      <c r="AH25" s="79"/>
      <c r="AI25" s="80"/>
      <c r="AJ25" s="79"/>
      <c r="AK25" s="80"/>
      <c r="AL25" s="79"/>
      <c r="AM25" s="80"/>
      <c r="AN25" s="80"/>
      <c r="AO25" s="80"/>
      <c r="AP25" s="80"/>
      <c r="AQ25" s="80"/>
      <c r="AR25" s="80"/>
      <c r="AS25" s="80"/>
      <c r="AT25" s="80"/>
      <c r="AU25" s="80"/>
      <c r="AV25" s="79"/>
      <c r="AW25" s="80"/>
      <c r="AX25" s="79"/>
      <c r="AY25" s="80"/>
      <c r="AZ25" s="80"/>
      <c r="BA25" s="80"/>
      <c r="BB25" s="79"/>
      <c r="BC25" s="80"/>
      <c r="BD25" s="79"/>
      <c r="BE25" s="80"/>
      <c r="BF25" s="141"/>
      <c r="BG25" s="79"/>
      <c r="BJ25" s="4">
        <f t="shared" si="18"/>
        <v>40.774999999999999</v>
      </c>
      <c r="BK25" s="89">
        <f t="shared" si="64"/>
        <v>0.8155</v>
      </c>
      <c r="BL25" s="4">
        <f t="shared" si="19"/>
        <v>40.325000000000003</v>
      </c>
      <c r="BM25" s="89">
        <f t="shared" si="65"/>
        <v>0.80650000000000011</v>
      </c>
      <c r="BN25" s="81">
        <f t="shared" si="20"/>
        <v>40.325000000000003</v>
      </c>
      <c r="BO25" s="89">
        <f t="shared" si="66"/>
        <v>0.80650000000000011</v>
      </c>
      <c r="BP25" s="81">
        <f t="shared" si="21"/>
        <v>38.75</v>
      </c>
      <c r="BQ25" s="89">
        <f t="shared" si="22"/>
        <v>0.77500000000000002</v>
      </c>
      <c r="BR25" s="4"/>
      <c r="BS25" s="4"/>
      <c r="BT25" s="81">
        <f t="shared" si="67"/>
        <v>41</v>
      </c>
      <c r="BU25" s="87">
        <f t="shared" si="23"/>
        <v>0.82</v>
      </c>
      <c r="BV25" s="4"/>
      <c r="BW25" s="4"/>
      <c r="BX25" s="4"/>
      <c r="BY25" s="4"/>
      <c r="BZ25" s="81"/>
      <c r="CA25" s="89"/>
      <c r="CB25" s="81"/>
      <c r="CC25" s="89"/>
      <c r="CD25" s="81"/>
      <c r="CE25" s="89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81">
        <f t="shared" si="26"/>
        <v>39.5</v>
      </c>
      <c r="CQ25" s="87">
        <f t="shared" si="27"/>
        <v>0.79</v>
      </c>
      <c r="CR25" s="4">
        <f t="shared" si="28"/>
        <v>39.5</v>
      </c>
      <c r="CS25" s="87">
        <f t="shared" si="29"/>
        <v>0.79</v>
      </c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81">
        <f t="shared" si="30"/>
        <v>42.5</v>
      </c>
      <c r="DS25" s="87">
        <f t="shared" si="31"/>
        <v>0.85</v>
      </c>
      <c r="DT25" s="4"/>
      <c r="DU25" s="4"/>
      <c r="DV25" s="4"/>
      <c r="DW25" s="4"/>
      <c r="DX25" s="81">
        <f t="shared" si="32"/>
        <v>42.5</v>
      </c>
      <c r="DY25" s="89">
        <f t="shared" si="33"/>
        <v>0.85</v>
      </c>
      <c r="DZ25" s="81"/>
      <c r="EA25" s="89"/>
      <c r="EB25" s="81">
        <f t="shared" si="34"/>
        <v>15.1008</v>
      </c>
      <c r="EC25" s="89">
        <f t="shared" si="35"/>
        <v>0.94379999999999997</v>
      </c>
      <c r="ED25" s="80">
        <f t="shared" si="68"/>
        <v>14.700799999999999</v>
      </c>
      <c r="EE25" s="89">
        <f t="shared" si="36"/>
        <v>0.91879999999999995</v>
      </c>
      <c r="EF25" s="198">
        <f t="shared" si="69"/>
        <v>21.6008</v>
      </c>
      <c r="EG25" s="89">
        <f t="shared" si="38"/>
        <v>0.83079999999999998</v>
      </c>
      <c r="EH25" s="80">
        <f t="shared" si="70"/>
        <v>19.8492</v>
      </c>
      <c r="EI25" s="89">
        <f t="shared" si="40"/>
        <v>0.94520000000000004</v>
      </c>
      <c r="EJ25" s="4"/>
      <c r="EK25" s="4"/>
      <c r="EL25" s="81">
        <f t="shared" si="71"/>
        <v>17.600100000000001</v>
      </c>
      <c r="EM25" s="87">
        <f t="shared" si="42"/>
        <v>0.83079999999999998</v>
      </c>
      <c r="EN25" s="4"/>
      <c r="EO25" s="4" t="str">
        <f t="shared" si="43"/>
        <v/>
      </c>
      <c r="EP25" s="4"/>
      <c r="EQ25" s="4"/>
      <c r="ER25" s="4">
        <f t="shared" si="44"/>
        <v>35</v>
      </c>
      <c r="ES25" s="87">
        <f t="shared" si="45"/>
        <v>0.7</v>
      </c>
      <c r="ET25" s="4">
        <f t="shared" si="46"/>
        <v>32.200000000000003</v>
      </c>
      <c r="EU25" s="87">
        <f t="shared" si="47"/>
        <v>0.64400000000000002</v>
      </c>
      <c r="EV25" s="81"/>
      <c r="EW25" s="89"/>
      <c r="EX25" s="80">
        <f t="shared" si="49"/>
        <v>42.725000000000001</v>
      </c>
      <c r="EY25" s="89">
        <f t="shared" si="50"/>
        <v>0.85450000000000004</v>
      </c>
      <c r="EZ25" s="80">
        <f t="shared" si="51"/>
        <v>42.725000000000001</v>
      </c>
      <c r="FA25" s="89">
        <f t="shared" si="52"/>
        <v>0.85450000000000004</v>
      </c>
      <c r="FB25" s="89"/>
      <c r="FC25" s="89"/>
      <c r="FD25" s="81"/>
      <c r="FE25" s="89"/>
      <c r="FF25" s="183"/>
      <c r="FG25" s="184"/>
      <c r="FH25" s="92"/>
      <c r="FI25" s="92"/>
      <c r="FJ25" s="183"/>
      <c r="FK25" s="184"/>
      <c r="FL25" s="183"/>
      <c r="FM25" s="184"/>
      <c r="FO25" s="101"/>
    </row>
    <row r="26" spans="1:171">
      <c r="A26" s="206">
        <v>16</v>
      </c>
      <c r="B26" s="207" t="s">
        <v>310</v>
      </c>
      <c r="C26" s="207" t="s">
        <v>311</v>
      </c>
      <c r="D26" s="73">
        <f>'MK1-TM'!D34</f>
        <v>81.5</v>
      </c>
      <c r="E26" s="73">
        <f>'MK1-TM'!E34</f>
        <v>82.5</v>
      </c>
      <c r="F26" s="73">
        <f t="shared" si="5"/>
        <v>82</v>
      </c>
      <c r="G26" s="91">
        <f>'MK2-TO'!D34</f>
        <v>94.38</v>
      </c>
      <c r="H26" s="91">
        <f>'MK2-TO'!E34</f>
        <v>91.88</v>
      </c>
      <c r="I26" s="91">
        <f>'MK2-TO'!F34</f>
        <v>90.77</v>
      </c>
      <c r="J26" s="91">
        <f>'MK2-TO'!G34</f>
        <v>94.52</v>
      </c>
      <c r="K26" s="91">
        <f>'MK2-TO'!H34</f>
        <v>90.95</v>
      </c>
      <c r="L26" s="91">
        <f t="shared" si="6"/>
        <v>92.350500000000011</v>
      </c>
      <c r="M26" s="74">
        <f>'MK3-PSTI'!D34</f>
        <v>85</v>
      </c>
      <c r="N26" s="74">
        <f>'MK3-PSTI'!E34</f>
        <v>85</v>
      </c>
      <c r="O26" s="74">
        <f t="shared" si="7"/>
        <v>85</v>
      </c>
      <c r="P26" s="75">
        <f>IF('MK4-L&amp;A'!D34="","",'MK4-L&amp;A'!D34)</f>
        <v>89.5</v>
      </c>
      <c r="Q26" s="75">
        <f>IF('MK4-L&amp;A'!E34="","",'MK4-L&amp;A'!E34)</f>
        <v>89.5</v>
      </c>
      <c r="R26" s="75">
        <f t="shared" si="8"/>
        <v>89.5</v>
      </c>
      <c r="S26" s="76">
        <f>IF('MK5-BP'!D34="","",'MK5-BP'!D34)</f>
        <v>68.599999999999994</v>
      </c>
      <c r="T26" s="76">
        <f>IF('MK5-BP'!E34="","",'MK5-BP'!E34)</f>
        <v>68.599999999999994</v>
      </c>
      <c r="U26" s="76">
        <f t="shared" si="58"/>
        <v>68.599999999999994</v>
      </c>
      <c r="V26" s="38">
        <f>IF('MK7-MBD'!D34="","",'MK7-MBD'!D34)</f>
        <v>81.650000000000006</v>
      </c>
      <c r="W26" s="38">
        <f>IF('MK7-MBD'!E34="","",'MK7-MBD'!E34)</f>
        <v>91</v>
      </c>
      <c r="X26" s="38">
        <f t="shared" si="9"/>
        <v>86.325000000000003</v>
      </c>
      <c r="Y26" s="77">
        <f>IF(MK8_BID!D34="","",MK8_BID!D34)</f>
        <v>93.45</v>
      </c>
      <c r="Z26" s="77">
        <f>IF(MK8_BID!E34="","",MK8_BID!E34)</f>
        <v>93.45</v>
      </c>
      <c r="AA26" s="77">
        <f t="shared" si="10"/>
        <v>93.45</v>
      </c>
      <c r="AB26" s="78">
        <f>IF('MK16-AGM'!D34="","",'MK16-AGM'!D34)</f>
        <v>89.65</v>
      </c>
      <c r="AC26" s="78">
        <f>IF('MK16-AGM'!E34="","",'MK16-AGM'!E34)</f>
        <v>89.65</v>
      </c>
      <c r="AD26" s="78">
        <f t="shared" si="11"/>
        <v>89.65</v>
      </c>
      <c r="AF26" s="79"/>
      <c r="AG26" s="80"/>
      <c r="AH26" s="79"/>
      <c r="AI26" s="80"/>
      <c r="AJ26" s="79"/>
      <c r="AK26" s="80"/>
      <c r="AL26" s="79"/>
      <c r="AM26" s="80"/>
      <c r="AN26" s="80"/>
      <c r="AO26" s="80"/>
      <c r="AP26" s="80"/>
      <c r="AQ26" s="80"/>
      <c r="AR26" s="80"/>
      <c r="AS26" s="80"/>
      <c r="AT26" s="80"/>
      <c r="AU26" s="80"/>
      <c r="AV26" s="79"/>
      <c r="AW26" s="80"/>
      <c r="AX26" s="79"/>
      <c r="AY26" s="80"/>
      <c r="AZ26" s="80"/>
      <c r="BA26" s="80"/>
      <c r="BB26" s="79"/>
      <c r="BC26" s="80"/>
      <c r="BD26" s="79"/>
      <c r="BE26" s="80"/>
      <c r="BF26" s="141"/>
      <c r="BG26" s="79"/>
      <c r="BJ26" s="4">
        <f t="shared" si="18"/>
        <v>40.825000000000003</v>
      </c>
      <c r="BK26" s="89">
        <f t="shared" si="64"/>
        <v>0.8165</v>
      </c>
      <c r="BL26" s="4">
        <f t="shared" si="19"/>
        <v>46.725000000000001</v>
      </c>
      <c r="BM26" s="89">
        <f t="shared" si="65"/>
        <v>0.9345</v>
      </c>
      <c r="BN26" s="81">
        <f t="shared" si="20"/>
        <v>46.725000000000001</v>
      </c>
      <c r="BO26" s="89">
        <f t="shared" si="66"/>
        <v>0.9345</v>
      </c>
      <c r="BP26" s="81">
        <f t="shared" si="21"/>
        <v>40.75</v>
      </c>
      <c r="BQ26" s="89">
        <f t="shared" si="22"/>
        <v>0.81499999999999995</v>
      </c>
      <c r="BR26" s="4"/>
      <c r="BS26" s="4"/>
      <c r="BT26" s="81">
        <f t="shared" si="67"/>
        <v>41.25</v>
      </c>
      <c r="BU26" s="87">
        <f t="shared" si="23"/>
        <v>0.82499999999999996</v>
      </c>
      <c r="BV26" s="4"/>
      <c r="BW26" s="4"/>
      <c r="BX26" s="4"/>
      <c r="BY26" s="4"/>
      <c r="BZ26" s="81"/>
      <c r="CA26" s="89"/>
      <c r="CB26" s="81"/>
      <c r="CC26" s="89"/>
      <c r="CD26" s="81"/>
      <c r="CE26" s="89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81">
        <f t="shared" si="26"/>
        <v>44.75</v>
      </c>
      <c r="CQ26" s="87">
        <f t="shared" si="27"/>
        <v>0.89500000000000002</v>
      </c>
      <c r="CR26" s="4">
        <f t="shared" si="28"/>
        <v>44.75</v>
      </c>
      <c r="CS26" s="87">
        <f t="shared" si="29"/>
        <v>0.89500000000000002</v>
      </c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81">
        <f t="shared" si="30"/>
        <v>42.5</v>
      </c>
      <c r="DS26" s="87">
        <f t="shared" si="31"/>
        <v>0.85</v>
      </c>
      <c r="DT26" s="4"/>
      <c r="DU26" s="4"/>
      <c r="DV26" s="4"/>
      <c r="DW26" s="4"/>
      <c r="DX26" s="81">
        <f t="shared" si="32"/>
        <v>42.5</v>
      </c>
      <c r="DY26" s="89">
        <f t="shared" si="33"/>
        <v>0.85</v>
      </c>
      <c r="DZ26" s="81"/>
      <c r="EA26" s="89"/>
      <c r="EB26" s="81">
        <f t="shared" si="34"/>
        <v>15.1008</v>
      </c>
      <c r="EC26" s="89">
        <f t="shared" si="35"/>
        <v>0.94379999999999997</v>
      </c>
      <c r="ED26" s="80">
        <f t="shared" si="68"/>
        <v>14.700799999999999</v>
      </c>
      <c r="EE26" s="89">
        <f t="shared" si="36"/>
        <v>0.91879999999999995</v>
      </c>
      <c r="EF26" s="198">
        <f t="shared" si="69"/>
        <v>23.600200000000001</v>
      </c>
      <c r="EG26" s="89">
        <f t="shared" si="38"/>
        <v>0.90770000000000006</v>
      </c>
      <c r="EH26" s="80">
        <f t="shared" si="70"/>
        <v>19.8492</v>
      </c>
      <c r="EI26" s="89">
        <f t="shared" si="40"/>
        <v>0.94520000000000004</v>
      </c>
      <c r="EJ26" s="4"/>
      <c r="EK26" s="4"/>
      <c r="EL26" s="81">
        <f t="shared" si="71"/>
        <v>19.099499999999999</v>
      </c>
      <c r="EM26" s="87">
        <f t="shared" si="42"/>
        <v>0.90770000000000006</v>
      </c>
      <c r="EN26" s="4"/>
      <c r="EO26" s="4" t="str">
        <f t="shared" si="43"/>
        <v/>
      </c>
      <c r="EP26" s="4"/>
      <c r="EQ26" s="4"/>
      <c r="ER26" s="4">
        <f t="shared" si="44"/>
        <v>34.299999999999997</v>
      </c>
      <c r="ES26" s="87">
        <f t="shared" si="45"/>
        <v>0.68599999999999994</v>
      </c>
      <c r="ET26" s="4">
        <f t="shared" si="46"/>
        <v>34.299999999999997</v>
      </c>
      <c r="EU26" s="87">
        <f t="shared" si="47"/>
        <v>0.68599999999999994</v>
      </c>
      <c r="EV26" s="81"/>
      <c r="EW26" s="89"/>
      <c r="EX26" s="80">
        <f t="shared" si="49"/>
        <v>44.825000000000003</v>
      </c>
      <c r="EY26" s="89">
        <f t="shared" si="50"/>
        <v>0.89650000000000007</v>
      </c>
      <c r="EZ26" s="80">
        <f t="shared" si="51"/>
        <v>44.825000000000003</v>
      </c>
      <c r="FA26" s="89">
        <f t="shared" si="52"/>
        <v>0.89650000000000007</v>
      </c>
      <c r="FB26" s="89"/>
      <c r="FC26" s="89"/>
      <c r="FD26" s="81"/>
      <c r="FE26" s="89"/>
      <c r="FF26" s="183"/>
      <c r="FG26" s="184"/>
      <c r="FH26" s="92"/>
      <c r="FI26" s="92"/>
      <c r="FJ26" s="183"/>
      <c r="FK26" s="184"/>
      <c r="FL26" s="183"/>
      <c r="FM26" s="184"/>
      <c r="FO26" s="101"/>
    </row>
    <row r="27" spans="1:171">
      <c r="A27" s="206">
        <v>17</v>
      </c>
      <c r="B27" s="207" t="s">
        <v>312</v>
      </c>
      <c r="C27" s="207" t="s">
        <v>313</v>
      </c>
      <c r="D27" s="73">
        <f>'MK1-TM'!D35</f>
        <v>86</v>
      </c>
      <c r="E27" s="73">
        <f>'MK1-TM'!E35</f>
        <v>91.5</v>
      </c>
      <c r="F27" s="73">
        <f t="shared" si="5"/>
        <v>88.75</v>
      </c>
      <c r="G27" s="91">
        <f>'MK2-TO'!D35</f>
        <v>94.38</v>
      </c>
      <c r="H27" s="91">
        <f>'MK2-TO'!E35</f>
        <v>91.88</v>
      </c>
      <c r="I27" s="91">
        <f>'MK2-TO'!F35</f>
        <v>90.77</v>
      </c>
      <c r="J27" s="91">
        <f>'MK2-TO'!G35</f>
        <v>94.52</v>
      </c>
      <c r="K27" s="91">
        <f>'MK2-TO'!H35</f>
        <v>90.95</v>
      </c>
      <c r="L27" s="91">
        <f t="shared" si="6"/>
        <v>92.350500000000011</v>
      </c>
      <c r="M27" s="74">
        <f>'MK3-PSTI'!D35</f>
        <v>85</v>
      </c>
      <c r="N27" s="74">
        <f>'MK3-PSTI'!E35</f>
        <v>85</v>
      </c>
      <c r="O27" s="74">
        <f t="shared" si="7"/>
        <v>85</v>
      </c>
      <c r="P27" s="75">
        <f>IF('MK4-L&amp;A'!D35="","",'MK4-L&amp;A'!D35)</f>
        <v>79</v>
      </c>
      <c r="Q27" s="75">
        <f>IF('MK4-L&amp;A'!E35="","",'MK4-L&amp;A'!E35)</f>
        <v>79</v>
      </c>
      <c r="R27" s="75">
        <f t="shared" si="8"/>
        <v>79</v>
      </c>
      <c r="S27" s="76">
        <f>IF('MK5-BP'!D35="","",'MK5-BP'!D35)</f>
        <v>83.3</v>
      </c>
      <c r="T27" s="76">
        <f>IF('MK5-BP'!E35="","",'MK5-BP'!E35)</f>
        <v>80.5</v>
      </c>
      <c r="U27" s="76">
        <f t="shared" si="58"/>
        <v>81.900000000000006</v>
      </c>
      <c r="V27" s="38">
        <f>IF('MK7-MBD'!D35="","",'MK7-MBD'!D35)</f>
        <v>80.5</v>
      </c>
      <c r="W27" s="38">
        <f>IF('MK7-MBD'!E35="","",'MK7-MBD'!E35)</f>
        <v>88.7</v>
      </c>
      <c r="X27" s="38">
        <f t="shared" si="9"/>
        <v>84.6</v>
      </c>
      <c r="Y27" s="77">
        <f>IF(MK8_BID!D35="","",MK8_BID!D35)</f>
        <v>82.45</v>
      </c>
      <c r="Z27" s="77">
        <f>IF(MK8_BID!E35="","",MK8_BID!E35)</f>
        <v>82.45</v>
      </c>
      <c r="AA27" s="77">
        <f t="shared" si="10"/>
        <v>82.45</v>
      </c>
      <c r="AB27" s="78">
        <f>IF('MK16-AGM'!D35="","",'MK16-AGM'!D35)</f>
        <v>93.5</v>
      </c>
      <c r="AC27" s="78">
        <f>IF('MK16-AGM'!E35="","",'MK16-AGM'!E35)</f>
        <v>93.5</v>
      </c>
      <c r="AD27" s="78">
        <f t="shared" si="11"/>
        <v>93.5</v>
      </c>
      <c r="AF27" s="79"/>
      <c r="AG27" s="80"/>
      <c r="AH27" s="79"/>
      <c r="AI27" s="80"/>
      <c r="AJ27" s="79"/>
      <c r="AK27" s="80"/>
      <c r="AL27" s="79"/>
      <c r="AM27" s="80"/>
      <c r="AN27" s="80"/>
      <c r="AO27" s="80"/>
      <c r="AP27" s="80"/>
      <c r="AQ27" s="80"/>
      <c r="AR27" s="80"/>
      <c r="AS27" s="80"/>
      <c r="AT27" s="80"/>
      <c r="AU27" s="80"/>
      <c r="AV27" s="79"/>
      <c r="AW27" s="80"/>
      <c r="AX27" s="79"/>
      <c r="AY27" s="80"/>
      <c r="AZ27" s="80"/>
      <c r="BA27" s="80"/>
      <c r="BB27" s="79"/>
      <c r="BC27" s="80"/>
      <c r="BD27" s="79"/>
      <c r="BE27" s="80"/>
      <c r="BF27" s="141"/>
      <c r="BG27" s="79"/>
      <c r="BJ27" s="4">
        <f t="shared" si="18"/>
        <v>40.25</v>
      </c>
      <c r="BK27" s="89">
        <f t="shared" si="64"/>
        <v>0.80500000000000005</v>
      </c>
      <c r="BL27" s="4">
        <f t="shared" si="19"/>
        <v>41.225000000000001</v>
      </c>
      <c r="BM27" s="89">
        <f t="shared" si="65"/>
        <v>0.82450000000000001</v>
      </c>
      <c r="BN27" s="81">
        <f t="shared" si="20"/>
        <v>41.225000000000001</v>
      </c>
      <c r="BO27" s="89">
        <f t="shared" si="66"/>
        <v>0.82450000000000001</v>
      </c>
      <c r="BP27" s="81">
        <f t="shared" si="21"/>
        <v>43</v>
      </c>
      <c r="BQ27" s="89">
        <f t="shared" si="22"/>
        <v>0.86</v>
      </c>
      <c r="BR27" s="4"/>
      <c r="BS27" s="4"/>
      <c r="BT27" s="81">
        <f t="shared" si="67"/>
        <v>45.75</v>
      </c>
      <c r="BU27" s="87">
        <f t="shared" si="23"/>
        <v>0.91500000000000004</v>
      </c>
      <c r="BV27" s="4"/>
      <c r="BW27" s="4"/>
      <c r="BX27" s="4"/>
      <c r="BY27" s="4"/>
      <c r="BZ27" s="81"/>
      <c r="CA27" s="89"/>
      <c r="CB27" s="81"/>
      <c r="CC27" s="89"/>
      <c r="CD27" s="81"/>
      <c r="CE27" s="89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81">
        <f t="shared" si="26"/>
        <v>39.5</v>
      </c>
      <c r="CQ27" s="87">
        <f t="shared" si="27"/>
        <v>0.79</v>
      </c>
      <c r="CR27" s="4">
        <f t="shared" si="28"/>
        <v>39.5</v>
      </c>
      <c r="CS27" s="87">
        <f t="shared" si="29"/>
        <v>0.79</v>
      </c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81">
        <f t="shared" si="30"/>
        <v>42.5</v>
      </c>
      <c r="DS27" s="87">
        <f t="shared" si="31"/>
        <v>0.85</v>
      </c>
      <c r="DT27" s="4"/>
      <c r="DU27" s="4"/>
      <c r="DV27" s="4"/>
      <c r="DW27" s="4"/>
      <c r="DX27" s="81">
        <f t="shared" si="32"/>
        <v>42.5</v>
      </c>
      <c r="DY27" s="89">
        <f t="shared" si="33"/>
        <v>0.85</v>
      </c>
      <c r="DZ27" s="81"/>
      <c r="EA27" s="89"/>
      <c r="EB27" s="81">
        <f t="shared" si="34"/>
        <v>15.1008</v>
      </c>
      <c r="EC27" s="89">
        <f t="shared" si="35"/>
        <v>0.94379999999999997</v>
      </c>
      <c r="ED27" s="80">
        <f t="shared" si="68"/>
        <v>14.700799999999999</v>
      </c>
      <c r="EE27" s="89">
        <f t="shared" si="36"/>
        <v>0.91879999999999995</v>
      </c>
      <c r="EF27" s="198">
        <f t="shared" si="69"/>
        <v>23.600200000000001</v>
      </c>
      <c r="EG27" s="89">
        <f t="shared" si="38"/>
        <v>0.90770000000000006</v>
      </c>
      <c r="EH27" s="80">
        <f t="shared" si="70"/>
        <v>19.8492</v>
      </c>
      <c r="EI27" s="89">
        <f t="shared" si="40"/>
        <v>0.94520000000000004</v>
      </c>
      <c r="EJ27" s="4"/>
      <c r="EK27" s="4"/>
      <c r="EL27" s="81">
        <f t="shared" si="71"/>
        <v>19.099499999999999</v>
      </c>
      <c r="EM27" s="87">
        <f t="shared" si="42"/>
        <v>0.90770000000000006</v>
      </c>
      <c r="EN27" s="4"/>
      <c r="EO27" s="4" t="str">
        <f t="shared" si="43"/>
        <v/>
      </c>
      <c r="EP27" s="4"/>
      <c r="EQ27" s="4"/>
      <c r="ER27" s="4">
        <f t="shared" si="44"/>
        <v>41.65</v>
      </c>
      <c r="ES27" s="87">
        <f t="shared" si="45"/>
        <v>0.83299999999999996</v>
      </c>
      <c r="ET27" s="4">
        <f t="shared" si="46"/>
        <v>40.25</v>
      </c>
      <c r="EU27" s="87">
        <f t="shared" si="47"/>
        <v>0.80500000000000005</v>
      </c>
      <c r="EV27" s="81"/>
      <c r="EW27" s="89"/>
      <c r="EX27" s="80">
        <f t="shared" si="49"/>
        <v>46.75</v>
      </c>
      <c r="EY27" s="89">
        <f t="shared" si="50"/>
        <v>0.93500000000000005</v>
      </c>
      <c r="EZ27" s="80">
        <f t="shared" si="51"/>
        <v>46.75</v>
      </c>
      <c r="FA27" s="89">
        <f t="shared" si="52"/>
        <v>0.93500000000000005</v>
      </c>
      <c r="FB27" s="89"/>
      <c r="FC27" s="89"/>
      <c r="FD27" s="81"/>
      <c r="FE27" s="89"/>
      <c r="FF27" s="183"/>
      <c r="FG27" s="184"/>
      <c r="FH27" s="92"/>
      <c r="FI27" s="92"/>
      <c r="FJ27" s="183"/>
      <c r="FK27" s="184"/>
      <c r="FL27" s="183"/>
      <c r="FM27" s="184"/>
      <c r="FO27" s="101"/>
    </row>
    <row r="28" spans="1:171">
      <c r="A28" s="206">
        <v>18</v>
      </c>
      <c r="B28" s="207" t="s">
        <v>314</v>
      </c>
      <c r="C28" s="207" t="s">
        <v>315</v>
      </c>
      <c r="D28" s="73">
        <f>'MK1-TM'!D36</f>
        <v>81.5</v>
      </c>
      <c r="E28" s="73">
        <f>'MK1-TM'!E36</f>
        <v>83</v>
      </c>
      <c r="F28" s="73">
        <f t="shared" si="5"/>
        <v>82.25</v>
      </c>
      <c r="G28" s="91">
        <f>'MK2-TO'!D36</f>
        <v>94.38</v>
      </c>
      <c r="H28" s="91">
        <f>'MK2-TO'!E36</f>
        <v>91.88</v>
      </c>
      <c r="I28" s="91">
        <f>'MK2-TO'!F36</f>
        <v>90.77</v>
      </c>
      <c r="J28" s="91">
        <f>'MK2-TO'!G36</f>
        <v>94.52</v>
      </c>
      <c r="K28" s="91">
        <f>'MK2-TO'!H36</f>
        <v>90.95</v>
      </c>
      <c r="L28" s="91">
        <f t="shared" si="6"/>
        <v>92.350500000000011</v>
      </c>
      <c r="M28" s="74">
        <f>'MK3-PSTI'!D36</f>
        <v>85</v>
      </c>
      <c r="N28" s="74">
        <f>'MK3-PSTI'!E36</f>
        <v>85</v>
      </c>
      <c r="O28" s="74">
        <f t="shared" si="7"/>
        <v>85</v>
      </c>
      <c r="P28" s="75">
        <f>IF('MK4-L&amp;A'!D36="","",'MK4-L&amp;A'!D36)</f>
        <v>89.5</v>
      </c>
      <c r="Q28" s="75">
        <f>IF('MK4-L&amp;A'!E36="","",'MK4-L&amp;A'!E36)</f>
        <v>89.5</v>
      </c>
      <c r="R28" s="75">
        <f t="shared" si="8"/>
        <v>89.5</v>
      </c>
      <c r="S28" s="76">
        <f>IF('MK5-BP'!D36="","",'MK5-BP'!D36)</f>
        <v>71.400000000000006</v>
      </c>
      <c r="T28" s="76">
        <f>IF('MK5-BP'!E36="","",'MK5-BP'!E36)</f>
        <v>64.400000000000006</v>
      </c>
      <c r="U28" s="76">
        <f t="shared" si="58"/>
        <v>67.900000000000006</v>
      </c>
      <c r="V28" s="38">
        <f>IF('MK7-MBD'!D36="","",'MK7-MBD'!D36)</f>
        <v>80.95</v>
      </c>
      <c r="W28" s="38">
        <f>IF('MK7-MBD'!E36="","",'MK7-MBD'!E36)</f>
        <v>90.3</v>
      </c>
      <c r="X28" s="38">
        <f t="shared" si="9"/>
        <v>85.625</v>
      </c>
      <c r="Y28" s="77">
        <f>IF(MK8_BID!D36="","",MK8_BID!D36)</f>
        <v>91.7</v>
      </c>
      <c r="Z28" s="77">
        <f>IF(MK8_BID!E36="","",MK8_BID!E36)</f>
        <v>91.7</v>
      </c>
      <c r="AA28" s="77">
        <f t="shared" si="10"/>
        <v>91.7</v>
      </c>
      <c r="AB28" s="78">
        <f>IF('MK16-AGM'!D36="","",'MK16-AGM'!D36)</f>
        <v>90</v>
      </c>
      <c r="AC28" s="78">
        <f>IF('MK16-AGM'!E36="","",'MK16-AGM'!E36)</f>
        <v>90</v>
      </c>
      <c r="AD28" s="78">
        <f t="shared" si="11"/>
        <v>90</v>
      </c>
      <c r="AF28" s="79"/>
      <c r="AG28" s="80"/>
      <c r="AH28" s="79"/>
      <c r="AI28" s="80"/>
      <c r="AJ28" s="79"/>
      <c r="AK28" s="80"/>
      <c r="AL28" s="79"/>
      <c r="AM28" s="80"/>
      <c r="AN28" s="80"/>
      <c r="AO28" s="80"/>
      <c r="AP28" s="80"/>
      <c r="AQ28" s="80"/>
      <c r="AR28" s="80"/>
      <c r="AS28" s="80"/>
      <c r="AT28" s="80"/>
      <c r="AU28" s="80"/>
      <c r="AV28" s="79"/>
      <c r="AW28" s="80"/>
      <c r="AX28" s="79"/>
      <c r="AY28" s="80"/>
      <c r="AZ28" s="80"/>
      <c r="BA28" s="80"/>
      <c r="BB28" s="79"/>
      <c r="BC28" s="80"/>
      <c r="BD28" s="79"/>
      <c r="BE28" s="80"/>
      <c r="BF28" s="141"/>
      <c r="BG28" s="79"/>
      <c r="BJ28" s="4">
        <f t="shared" si="18"/>
        <v>40.475000000000001</v>
      </c>
      <c r="BK28" s="89">
        <f t="shared" si="64"/>
        <v>0.8095</v>
      </c>
      <c r="BL28" s="4">
        <f t="shared" si="19"/>
        <v>45.85</v>
      </c>
      <c r="BM28" s="89">
        <f t="shared" si="65"/>
        <v>0.91700000000000004</v>
      </c>
      <c r="BN28" s="81">
        <f t="shared" si="20"/>
        <v>45.85</v>
      </c>
      <c r="BO28" s="89">
        <f t="shared" si="66"/>
        <v>0.91700000000000004</v>
      </c>
      <c r="BP28" s="81">
        <f t="shared" si="21"/>
        <v>40.75</v>
      </c>
      <c r="BQ28" s="89">
        <f t="shared" si="22"/>
        <v>0.81499999999999995</v>
      </c>
      <c r="BR28" s="4"/>
      <c r="BS28" s="4"/>
      <c r="BT28" s="81">
        <f t="shared" si="67"/>
        <v>41.5</v>
      </c>
      <c r="BU28" s="87">
        <f t="shared" si="23"/>
        <v>0.83</v>
      </c>
      <c r="BV28" s="4"/>
      <c r="BW28" s="4"/>
      <c r="BX28" s="4"/>
      <c r="BY28" s="4"/>
      <c r="BZ28" s="81"/>
      <c r="CA28" s="89"/>
      <c r="CB28" s="81"/>
      <c r="CC28" s="89"/>
      <c r="CD28" s="81"/>
      <c r="CE28" s="89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81">
        <f t="shared" si="26"/>
        <v>44.75</v>
      </c>
      <c r="CQ28" s="87">
        <f t="shared" si="27"/>
        <v>0.89500000000000002</v>
      </c>
      <c r="CR28" s="4">
        <f t="shared" si="28"/>
        <v>44.75</v>
      </c>
      <c r="CS28" s="87">
        <f t="shared" si="29"/>
        <v>0.89500000000000002</v>
      </c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81">
        <f t="shared" si="30"/>
        <v>42.5</v>
      </c>
      <c r="DS28" s="87">
        <f t="shared" si="31"/>
        <v>0.85</v>
      </c>
      <c r="DT28" s="4"/>
      <c r="DU28" s="4"/>
      <c r="DV28" s="4"/>
      <c r="DW28" s="4"/>
      <c r="DX28" s="81">
        <f t="shared" si="32"/>
        <v>42.5</v>
      </c>
      <c r="DY28" s="89">
        <f t="shared" si="33"/>
        <v>0.85</v>
      </c>
      <c r="DZ28" s="81"/>
      <c r="EA28" s="89"/>
      <c r="EB28" s="81">
        <f t="shared" si="34"/>
        <v>15.1008</v>
      </c>
      <c r="EC28" s="89">
        <f t="shared" si="35"/>
        <v>0.94379999999999997</v>
      </c>
      <c r="ED28" s="80">
        <f t="shared" si="68"/>
        <v>14.700799999999999</v>
      </c>
      <c r="EE28" s="89">
        <f t="shared" si="36"/>
        <v>0.91879999999999995</v>
      </c>
      <c r="EF28" s="198">
        <f t="shared" si="69"/>
        <v>23.600200000000001</v>
      </c>
      <c r="EG28" s="89">
        <f t="shared" si="38"/>
        <v>0.90770000000000006</v>
      </c>
      <c r="EH28" s="80">
        <f t="shared" si="70"/>
        <v>19.8492</v>
      </c>
      <c r="EI28" s="89">
        <f t="shared" si="40"/>
        <v>0.94520000000000004</v>
      </c>
      <c r="EJ28" s="4"/>
      <c r="EK28" s="4"/>
      <c r="EL28" s="81">
        <f t="shared" si="71"/>
        <v>19.099499999999999</v>
      </c>
      <c r="EM28" s="87">
        <f t="shared" si="42"/>
        <v>0.90770000000000006</v>
      </c>
      <c r="EN28" s="4"/>
      <c r="EO28" s="4" t="str">
        <f t="shared" si="43"/>
        <v/>
      </c>
      <c r="EP28" s="4"/>
      <c r="EQ28" s="4"/>
      <c r="ER28" s="4">
        <f t="shared" si="44"/>
        <v>35.700000000000003</v>
      </c>
      <c r="ES28" s="87">
        <f t="shared" si="45"/>
        <v>0.71400000000000008</v>
      </c>
      <c r="ET28" s="4">
        <f t="shared" si="46"/>
        <v>32.200000000000003</v>
      </c>
      <c r="EU28" s="87">
        <f t="shared" si="47"/>
        <v>0.64400000000000002</v>
      </c>
      <c r="EV28" s="81"/>
      <c r="EW28" s="89"/>
      <c r="EX28" s="80">
        <f t="shared" si="49"/>
        <v>45</v>
      </c>
      <c r="EY28" s="89">
        <f t="shared" si="50"/>
        <v>0.9</v>
      </c>
      <c r="EZ28" s="80">
        <f t="shared" si="51"/>
        <v>45</v>
      </c>
      <c r="FA28" s="89">
        <f t="shared" si="52"/>
        <v>0.9</v>
      </c>
      <c r="FB28" s="89"/>
      <c r="FC28" s="89"/>
      <c r="FD28" s="81"/>
      <c r="FE28" s="89"/>
      <c r="FF28" s="183"/>
      <c r="FG28" s="184"/>
      <c r="FH28" s="92"/>
      <c r="FI28" s="92"/>
      <c r="FJ28" s="183"/>
      <c r="FK28" s="184"/>
      <c r="FL28" s="183"/>
      <c r="FM28" s="184"/>
      <c r="FO28" s="101"/>
    </row>
    <row r="29" spans="1:171">
      <c r="A29" s="206">
        <v>19</v>
      </c>
      <c r="B29" s="207" t="s">
        <v>316</v>
      </c>
      <c r="C29" s="207" t="s">
        <v>317</v>
      </c>
      <c r="D29" s="73">
        <f>'MK1-TM'!D37</f>
        <v>85.5</v>
      </c>
      <c r="E29" s="73">
        <f>'MK1-TM'!E37</f>
        <v>87.5</v>
      </c>
      <c r="F29" s="73">
        <f t="shared" si="5"/>
        <v>86.5</v>
      </c>
      <c r="G29" s="91">
        <f>'MK2-TO'!D37</f>
        <v>94.38</v>
      </c>
      <c r="H29" s="91">
        <f>'MK2-TO'!E37</f>
        <v>91.88</v>
      </c>
      <c r="I29" s="91">
        <f>'MK2-TO'!F37</f>
        <v>90.77</v>
      </c>
      <c r="J29" s="91">
        <f>'MK2-TO'!G37</f>
        <v>94.52</v>
      </c>
      <c r="K29" s="91">
        <f>'MK2-TO'!H37</f>
        <v>90.95</v>
      </c>
      <c r="L29" s="91">
        <f t="shared" si="6"/>
        <v>92.350500000000011</v>
      </c>
      <c r="M29" s="74">
        <f>'MK3-PSTI'!D37</f>
        <v>85</v>
      </c>
      <c r="N29" s="74">
        <f>'MK3-PSTI'!E37</f>
        <v>85</v>
      </c>
      <c r="O29" s="74">
        <f t="shared" si="7"/>
        <v>85</v>
      </c>
      <c r="P29" s="75">
        <f>IF('MK4-L&amp;A'!D37="","",'MK4-L&amp;A'!D37)</f>
        <v>79</v>
      </c>
      <c r="Q29" s="75">
        <f>IF('MK4-L&amp;A'!E37="","",'MK4-L&amp;A'!E37)</f>
        <v>82.5</v>
      </c>
      <c r="R29" s="75">
        <f t="shared" si="8"/>
        <v>80.75</v>
      </c>
      <c r="S29" s="76">
        <f>IF('MK5-BP'!D37="","",'MK5-BP'!D37)</f>
        <v>71.400000000000006</v>
      </c>
      <c r="T29" s="76">
        <f>IF('MK5-BP'!E37="","",'MK5-BP'!E37)</f>
        <v>67.8</v>
      </c>
      <c r="U29" s="76">
        <f t="shared" si="58"/>
        <v>69.599999999999994</v>
      </c>
      <c r="V29" s="38">
        <f>IF('MK7-MBD'!D37="","",'MK7-MBD'!D37)</f>
        <v>82.6</v>
      </c>
      <c r="W29" s="38">
        <f>IF('MK7-MBD'!E37="","",'MK7-MBD'!E37)</f>
        <v>92.2</v>
      </c>
      <c r="X29" s="38">
        <f t="shared" si="9"/>
        <v>87.4</v>
      </c>
      <c r="Y29" s="77">
        <f>IF(MK8_BID!D37="","",MK8_BID!D37)</f>
        <v>82.45</v>
      </c>
      <c r="Z29" s="77">
        <f>IF(MK8_BID!E37="","",MK8_BID!E37)</f>
        <v>82.45</v>
      </c>
      <c r="AA29" s="77">
        <f t="shared" si="10"/>
        <v>82.45</v>
      </c>
      <c r="AB29" s="78">
        <f>IF('MK16-AGM'!D37="","",'MK16-AGM'!D37)</f>
        <v>81.2</v>
      </c>
      <c r="AC29" s="78">
        <f>IF('MK16-AGM'!E37="","",'MK16-AGM'!E37)</f>
        <v>81.2</v>
      </c>
      <c r="AD29" s="78">
        <f t="shared" si="11"/>
        <v>81.2</v>
      </c>
      <c r="AF29" s="79"/>
      <c r="AG29" s="80"/>
      <c r="AH29" s="79"/>
      <c r="AI29" s="80"/>
      <c r="AJ29" s="79"/>
      <c r="AK29" s="80"/>
      <c r="AL29" s="79"/>
      <c r="AM29" s="80"/>
      <c r="AN29" s="80"/>
      <c r="AO29" s="80"/>
      <c r="AP29" s="80"/>
      <c r="AQ29" s="80"/>
      <c r="AR29" s="80"/>
      <c r="AS29" s="80"/>
      <c r="AT29" s="80"/>
      <c r="AU29" s="80"/>
      <c r="AV29" s="79"/>
      <c r="AW29" s="80"/>
      <c r="AX29" s="79"/>
      <c r="AY29" s="80"/>
      <c r="AZ29" s="80"/>
      <c r="BA29" s="80"/>
      <c r="BB29" s="79"/>
      <c r="BC29" s="80"/>
      <c r="BD29" s="79"/>
      <c r="BE29" s="80"/>
      <c r="BF29" s="141"/>
      <c r="BG29" s="79"/>
      <c r="BJ29" s="4">
        <f t="shared" si="18"/>
        <v>41.3</v>
      </c>
      <c r="BK29" s="89">
        <f t="shared" si="64"/>
        <v>0.82599999999999996</v>
      </c>
      <c r="BL29" s="4">
        <f t="shared" si="19"/>
        <v>41.225000000000001</v>
      </c>
      <c r="BM29" s="89">
        <f t="shared" si="65"/>
        <v>0.82450000000000001</v>
      </c>
      <c r="BN29" s="81">
        <f t="shared" si="20"/>
        <v>41.225000000000001</v>
      </c>
      <c r="BO29" s="89">
        <f t="shared" si="66"/>
        <v>0.82450000000000001</v>
      </c>
      <c r="BP29" s="81">
        <f t="shared" si="21"/>
        <v>42.75</v>
      </c>
      <c r="BQ29" s="89">
        <f t="shared" si="22"/>
        <v>0.85499999999999998</v>
      </c>
      <c r="BR29" s="4"/>
      <c r="BS29" s="4"/>
      <c r="BT29" s="81">
        <f t="shared" si="67"/>
        <v>43.75</v>
      </c>
      <c r="BU29" s="87">
        <f t="shared" si="23"/>
        <v>0.875</v>
      </c>
      <c r="BV29" s="4"/>
      <c r="BW29" s="4"/>
      <c r="BX29" s="4"/>
      <c r="BY29" s="4"/>
      <c r="BZ29" s="81"/>
      <c r="CA29" s="89"/>
      <c r="CB29" s="81"/>
      <c r="CC29" s="89"/>
      <c r="CD29" s="81"/>
      <c r="CE29" s="89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81">
        <f t="shared" si="26"/>
        <v>39.5</v>
      </c>
      <c r="CQ29" s="87">
        <f t="shared" si="27"/>
        <v>0.79</v>
      </c>
      <c r="CR29" s="4">
        <f t="shared" si="28"/>
        <v>41.25</v>
      </c>
      <c r="CS29" s="87">
        <f t="shared" si="29"/>
        <v>0.82499999999999996</v>
      </c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81">
        <f t="shared" si="30"/>
        <v>42.5</v>
      </c>
      <c r="DS29" s="87">
        <f t="shared" si="31"/>
        <v>0.85</v>
      </c>
      <c r="DT29" s="4"/>
      <c r="DU29" s="4"/>
      <c r="DV29" s="4"/>
      <c r="DW29" s="4"/>
      <c r="DX29" s="81">
        <f t="shared" si="32"/>
        <v>42.5</v>
      </c>
      <c r="DY29" s="89">
        <f t="shared" si="33"/>
        <v>0.85</v>
      </c>
      <c r="DZ29" s="81"/>
      <c r="EA29" s="89"/>
      <c r="EB29" s="81">
        <f t="shared" si="34"/>
        <v>15.1008</v>
      </c>
      <c r="EC29" s="89">
        <f t="shared" si="35"/>
        <v>0.94379999999999997</v>
      </c>
      <c r="ED29" s="80">
        <f t="shared" si="68"/>
        <v>14.700799999999999</v>
      </c>
      <c r="EE29" s="89">
        <f t="shared" si="36"/>
        <v>0.91879999999999995</v>
      </c>
      <c r="EF29" s="198">
        <f t="shared" si="69"/>
        <v>23.600200000000001</v>
      </c>
      <c r="EG29" s="89">
        <f t="shared" si="38"/>
        <v>0.90770000000000006</v>
      </c>
      <c r="EH29" s="80">
        <f t="shared" si="70"/>
        <v>19.8492</v>
      </c>
      <c r="EI29" s="89">
        <f t="shared" si="40"/>
        <v>0.94520000000000004</v>
      </c>
      <c r="EJ29" s="4"/>
      <c r="EK29" s="4"/>
      <c r="EL29" s="81">
        <f t="shared" si="71"/>
        <v>19.099499999999999</v>
      </c>
      <c r="EM29" s="87">
        <f t="shared" si="42"/>
        <v>0.90770000000000006</v>
      </c>
      <c r="EN29" s="4"/>
      <c r="EO29" s="4" t="str">
        <f t="shared" si="43"/>
        <v/>
      </c>
      <c r="EP29" s="4"/>
      <c r="EQ29" s="4"/>
      <c r="ER29" s="4">
        <f t="shared" si="44"/>
        <v>35.700000000000003</v>
      </c>
      <c r="ES29" s="87">
        <f t="shared" si="45"/>
        <v>0.71400000000000008</v>
      </c>
      <c r="ET29" s="4">
        <f t="shared" si="46"/>
        <v>33.9</v>
      </c>
      <c r="EU29" s="87">
        <f t="shared" si="47"/>
        <v>0.67799999999999994</v>
      </c>
      <c r="EV29" s="81"/>
      <c r="EW29" s="89"/>
      <c r="EX29" s="80">
        <f t="shared" si="49"/>
        <v>40.6</v>
      </c>
      <c r="EY29" s="89">
        <f t="shared" si="50"/>
        <v>0.81200000000000006</v>
      </c>
      <c r="EZ29" s="80">
        <f t="shared" si="51"/>
        <v>40.6</v>
      </c>
      <c r="FA29" s="89">
        <f t="shared" si="52"/>
        <v>0.81200000000000006</v>
      </c>
      <c r="FB29" s="89"/>
      <c r="FC29" s="89"/>
      <c r="FD29" s="81"/>
      <c r="FE29" s="89"/>
      <c r="FF29" s="183"/>
      <c r="FG29" s="184"/>
      <c r="FH29" s="92"/>
      <c r="FI29" s="92"/>
      <c r="FJ29" s="183"/>
      <c r="FK29" s="184"/>
      <c r="FL29" s="183"/>
      <c r="FM29" s="184"/>
      <c r="FO29" s="101"/>
    </row>
    <row r="30" spans="1:171">
      <c r="A30" s="206">
        <v>20</v>
      </c>
      <c r="B30" s="207" t="s">
        <v>318</v>
      </c>
      <c r="C30" s="207" t="s">
        <v>319</v>
      </c>
      <c r="D30" s="73">
        <f>'MK1-TM'!D38</f>
        <v>93.5</v>
      </c>
      <c r="E30" s="73">
        <f>'MK1-TM'!E38</f>
        <v>99.5</v>
      </c>
      <c r="F30" s="73">
        <f t="shared" si="5"/>
        <v>96.5</v>
      </c>
      <c r="G30" s="91">
        <f>'MK2-TO'!D38</f>
        <v>94.38</v>
      </c>
      <c r="H30" s="91">
        <f>'MK2-TO'!E38</f>
        <v>91.88</v>
      </c>
      <c r="I30" s="91">
        <f>'MK2-TO'!F38</f>
        <v>86.92</v>
      </c>
      <c r="J30" s="91">
        <f>'MK2-TO'!G38</f>
        <v>94.52</v>
      </c>
      <c r="K30" s="91">
        <f>'MK2-TO'!H38</f>
        <v>87.38</v>
      </c>
      <c r="L30" s="91">
        <f t="shared" si="6"/>
        <v>90.599800000000002</v>
      </c>
      <c r="M30" s="74">
        <f>'MK3-PSTI'!D38</f>
        <v>85</v>
      </c>
      <c r="N30" s="74">
        <f>'MK3-PSTI'!E38</f>
        <v>85</v>
      </c>
      <c r="O30" s="74">
        <f t="shared" si="7"/>
        <v>85</v>
      </c>
      <c r="P30" s="75">
        <f>IF('MK4-L&amp;A'!D38="","",'MK4-L&amp;A'!D38)</f>
        <v>89.5</v>
      </c>
      <c r="Q30" s="75">
        <f>IF('MK4-L&amp;A'!E38="","",'MK4-L&amp;A'!E38)</f>
        <v>89.5</v>
      </c>
      <c r="R30" s="75">
        <f t="shared" si="8"/>
        <v>89.5</v>
      </c>
      <c r="S30" s="76">
        <f>IF('MK5-BP'!D38="","",'MK5-BP'!D38)</f>
        <v>71.400000000000006</v>
      </c>
      <c r="T30" s="76">
        <f>IF('MK5-BP'!E38="","",'MK5-BP'!E38)</f>
        <v>94.4</v>
      </c>
      <c r="U30" s="76">
        <f t="shared" si="58"/>
        <v>82.9</v>
      </c>
      <c r="V30" s="38">
        <f>IF('MK7-MBD'!D38="","",'MK7-MBD'!D38)</f>
        <v>82.6</v>
      </c>
      <c r="W30" s="38">
        <f>IF('MK7-MBD'!E38="","",'MK7-MBD'!E38)</f>
        <v>92.2</v>
      </c>
      <c r="X30" s="38">
        <f t="shared" si="9"/>
        <v>87.4</v>
      </c>
      <c r="Y30" s="77">
        <f>IF(MK8_BID!D38="","",MK8_BID!D38)</f>
        <v>82.8</v>
      </c>
      <c r="Z30" s="77">
        <f>IF(MK8_BID!E38="","",MK8_BID!E38)</f>
        <v>82.8</v>
      </c>
      <c r="AA30" s="77">
        <f t="shared" si="10"/>
        <v>82.8</v>
      </c>
      <c r="AB30" s="78">
        <f>IF('MK16-AGM'!D38="","",'MK16-AGM'!D38)</f>
        <v>89.25</v>
      </c>
      <c r="AC30" s="78">
        <f>IF('MK16-AGM'!E38="","",'MK16-AGM'!E38)</f>
        <v>89.25</v>
      </c>
      <c r="AD30" s="78">
        <f t="shared" si="11"/>
        <v>89.25</v>
      </c>
      <c r="AF30" s="79"/>
      <c r="AG30" s="80"/>
      <c r="AH30" s="79"/>
      <c r="AI30" s="80"/>
      <c r="AJ30" s="79"/>
      <c r="AK30" s="80"/>
      <c r="AL30" s="79"/>
      <c r="AM30" s="80"/>
      <c r="AN30" s="80"/>
      <c r="AO30" s="80"/>
      <c r="AP30" s="80"/>
      <c r="AQ30" s="80"/>
      <c r="AR30" s="80"/>
      <c r="AS30" s="80"/>
      <c r="AT30" s="80"/>
      <c r="AU30" s="80"/>
      <c r="AV30" s="79"/>
      <c r="AW30" s="80"/>
      <c r="AX30" s="79"/>
      <c r="AY30" s="80"/>
      <c r="AZ30" s="80"/>
      <c r="BA30" s="80"/>
      <c r="BB30" s="79"/>
      <c r="BC30" s="80"/>
      <c r="BD30" s="79"/>
      <c r="BE30" s="80"/>
      <c r="BF30" s="141"/>
      <c r="BG30" s="79"/>
      <c r="BJ30" s="4">
        <f t="shared" si="18"/>
        <v>41.3</v>
      </c>
      <c r="BK30" s="89">
        <f t="shared" si="64"/>
        <v>0.82599999999999996</v>
      </c>
      <c r="BL30" s="4">
        <f t="shared" si="19"/>
        <v>41.4</v>
      </c>
      <c r="BM30" s="89">
        <f t="shared" si="65"/>
        <v>0.82799999999999996</v>
      </c>
      <c r="BN30" s="81">
        <f t="shared" si="20"/>
        <v>41.4</v>
      </c>
      <c r="BO30" s="89">
        <f t="shared" si="66"/>
        <v>0.82799999999999996</v>
      </c>
      <c r="BP30" s="81">
        <f t="shared" si="21"/>
        <v>46.75</v>
      </c>
      <c r="BQ30" s="89">
        <f t="shared" si="22"/>
        <v>0.93500000000000005</v>
      </c>
      <c r="BR30" s="4"/>
      <c r="BS30" s="4"/>
      <c r="BT30" s="81">
        <f t="shared" si="67"/>
        <v>49.75</v>
      </c>
      <c r="BU30" s="87">
        <f t="shared" si="23"/>
        <v>0.995</v>
      </c>
      <c r="BV30" s="4"/>
      <c r="BW30" s="4"/>
      <c r="BX30" s="4"/>
      <c r="BY30" s="4"/>
      <c r="BZ30" s="81"/>
      <c r="CA30" s="89"/>
      <c r="CB30" s="81"/>
      <c r="CC30" s="89"/>
      <c r="CD30" s="81"/>
      <c r="CE30" s="89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81">
        <f t="shared" si="26"/>
        <v>44.75</v>
      </c>
      <c r="CQ30" s="87">
        <f t="shared" si="27"/>
        <v>0.89500000000000002</v>
      </c>
      <c r="CR30" s="4">
        <f t="shared" si="28"/>
        <v>44.75</v>
      </c>
      <c r="CS30" s="87">
        <f t="shared" si="29"/>
        <v>0.89500000000000002</v>
      </c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81">
        <f t="shared" si="30"/>
        <v>42.5</v>
      </c>
      <c r="DS30" s="87">
        <f t="shared" si="31"/>
        <v>0.85</v>
      </c>
      <c r="DT30" s="4"/>
      <c r="DU30" s="4"/>
      <c r="DV30" s="4"/>
      <c r="DW30" s="4"/>
      <c r="DX30" s="81">
        <f t="shared" si="32"/>
        <v>42.5</v>
      </c>
      <c r="DY30" s="89">
        <f t="shared" si="33"/>
        <v>0.85</v>
      </c>
      <c r="DZ30" s="81"/>
      <c r="EA30" s="89"/>
      <c r="EB30" s="81">
        <f t="shared" si="34"/>
        <v>15.1008</v>
      </c>
      <c r="EC30" s="89">
        <f t="shared" si="35"/>
        <v>0.94379999999999997</v>
      </c>
      <c r="ED30" s="80">
        <f t="shared" si="68"/>
        <v>14.700799999999999</v>
      </c>
      <c r="EE30" s="89">
        <f t="shared" si="36"/>
        <v>0.91879999999999995</v>
      </c>
      <c r="EF30" s="198">
        <f t="shared" si="69"/>
        <v>22.5992</v>
      </c>
      <c r="EG30" s="89">
        <f t="shared" si="38"/>
        <v>0.86919999999999997</v>
      </c>
      <c r="EH30" s="80">
        <f t="shared" si="70"/>
        <v>19.8492</v>
      </c>
      <c r="EI30" s="89">
        <f t="shared" si="40"/>
        <v>0.94520000000000004</v>
      </c>
      <c r="EJ30" s="4"/>
      <c r="EK30" s="4"/>
      <c r="EL30" s="81">
        <f t="shared" si="71"/>
        <v>18.349799999999998</v>
      </c>
      <c r="EM30" s="87">
        <f t="shared" si="42"/>
        <v>0.86919999999999997</v>
      </c>
      <c r="EN30" s="4"/>
      <c r="EO30" s="4" t="str">
        <f t="shared" si="43"/>
        <v/>
      </c>
      <c r="EP30" s="4"/>
      <c r="EQ30" s="4"/>
      <c r="ER30" s="4">
        <f t="shared" si="44"/>
        <v>35.700000000000003</v>
      </c>
      <c r="ES30" s="87">
        <f t="shared" si="45"/>
        <v>0.71400000000000008</v>
      </c>
      <c r="ET30" s="4">
        <f t="shared" si="46"/>
        <v>47.2</v>
      </c>
      <c r="EU30" s="87">
        <f t="shared" si="47"/>
        <v>0.94400000000000006</v>
      </c>
      <c r="EV30" s="81"/>
      <c r="EW30" s="89"/>
      <c r="EX30" s="80">
        <f t="shared" si="49"/>
        <v>44.625</v>
      </c>
      <c r="EY30" s="89">
        <f t="shared" si="50"/>
        <v>0.89249999999999996</v>
      </c>
      <c r="EZ30" s="80">
        <f t="shared" si="51"/>
        <v>44.625</v>
      </c>
      <c r="FA30" s="89">
        <f t="shared" si="52"/>
        <v>0.89249999999999996</v>
      </c>
      <c r="FB30" s="89"/>
      <c r="FC30" s="89"/>
      <c r="FD30" s="81"/>
      <c r="FE30" s="89"/>
      <c r="FF30" s="183"/>
      <c r="FG30" s="184"/>
      <c r="FH30" s="92"/>
      <c r="FI30" s="92"/>
      <c r="FJ30" s="183"/>
      <c r="FK30" s="184"/>
      <c r="FL30" s="183"/>
      <c r="FM30" s="184"/>
      <c r="FO30" s="101"/>
    </row>
    <row r="31" spans="1:171" ht="13.5" customHeight="1">
      <c r="A31" s="206">
        <v>21</v>
      </c>
      <c r="B31" s="207" t="s">
        <v>320</v>
      </c>
      <c r="C31" s="207" t="s">
        <v>321</v>
      </c>
      <c r="D31" s="73">
        <f>'MK1-TM'!D39</f>
        <v>93.5</v>
      </c>
      <c r="E31" s="73">
        <f>'MK1-TM'!E39</f>
        <v>99.5</v>
      </c>
      <c r="F31" s="73">
        <f t="shared" si="5"/>
        <v>96.5</v>
      </c>
      <c r="G31" s="91">
        <f>'MK2-TO'!D39</f>
        <v>94.38</v>
      </c>
      <c r="H31" s="91">
        <f>'MK2-TO'!E39</f>
        <v>91.88</v>
      </c>
      <c r="I31" s="91">
        <f>'MK2-TO'!F39</f>
        <v>86.92</v>
      </c>
      <c r="J31" s="91">
        <f>'MK2-TO'!G39</f>
        <v>94.52</v>
      </c>
      <c r="K31" s="91">
        <f>'MK2-TO'!H39</f>
        <v>87.38</v>
      </c>
      <c r="L31" s="91">
        <f t="shared" si="6"/>
        <v>90.599800000000002</v>
      </c>
      <c r="M31" s="74">
        <f>'MK3-PSTI'!D39</f>
        <v>85</v>
      </c>
      <c r="N31" s="74">
        <f>'MK3-PSTI'!E39</f>
        <v>85</v>
      </c>
      <c r="O31" s="74">
        <f t="shared" si="7"/>
        <v>85</v>
      </c>
      <c r="P31" s="75">
        <f>IF('MK4-L&amp;A'!D39="","",'MK4-L&amp;A'!D39)</f>
        <v>82.5</v>
      </c>
      <c r="Q31" s="75">
        <f>IF('MK4-L&amp;A'!E39="","",'MK4-L&amp;A'!E39)</f>
        <v>89.5</v>
      </c>
      <c r="R31" s="75">
        <f t="shared" si="8"/>
        <v>86</v>
      </c>
      <c r="S31" s="76">
        <f>IF('MK5-BP'!D39="","",'MK5-BP'!D39)</f>
        <v>81.900000000000006</v>
      </c>
      <c r="T31" s="76">
        <f>IF('MK5-BP'!E39="","",'MK5-BP'!E39)</f>
        <v>90.9</v>
      </c>
      <c r="U31" s="76">
        <f t="shared" si="58"/>
        <v>86.4</v>
      </c>
      <c r="V31" s="38">
        <f>IF('MK7-MBD'!D39="","",'MK7-MBD'!D39)</f>
        <v>81.75</v>
      </c>
      <c r="W31" s="38">
        <f>IF('MK7-MBD'!E39="","",'MK7-MBD'!E39)</f>
        <v>91.2</v>
      </c>
      <c r="X31" s="38">
        <f t="shared" si="9"/>
        <v>86.474999999999994</v>
      </c>
      <c r="Y31" s="77">
        <f>IF(MK8_BID!D39="","",MK8_BID!D39)</f>
        <v>83.15</v>
      </c>
      <c r="Z31" s="77">
        <f>IF(MK8_BID!E39="","",MK8_BID!E39)</f>
        <v>83.15</v>
      </c>
      <c r="AA31" s="77">
        <f t="shared" si="10"/>
        <v>83.15</v>
      </c>
      <c r="AB31" s="78">
        <f>IF('MK16-AGM'!D39="","",'MK16-AGM'!D39)</f>
        <v>87.15</v>
      </c>
      <c r="AC31" s="78">
        <f>IF('MK16-AGM'!E39="","",'MK16-AGM'!E39)</f>
        <v>87.15</v>
      </c>
      <c r="AD31" s="78">
        <f t="shared" si="11"/>
        <v>87.15</v>
      </c>
      <c r="AF31" s="79"/>
      <c r="AG31" s="80"/>
      <c r="AH31" s="79"/>
      <c r="AI31" s="80"/>
      <c r="AJ31" s="79"/>
      <c r="AK31" s="80"/>
      <c r="AL31" s="79"/>
      <c r="AM31" s="80"/>
      <c r="AN31" s="80"/>
      <c r="AO31" s="80"/>
      <c r="AP31" s="80"/>
      <c r="AQ31" s="80"/>
      <c r="AR31" s="80"/>
      <c r="AS31" s="80"/>
      <c r="AT31" s="80"/>
      <c r="AU31" s="80"/>
      <c r="AV31" s="79"/>
      <c r="AW31" s="80"/>
      <c r="AX31" s="79"/>
      <c r="AY31" s="80"/>
      <c r="AZ31" s="80"/>
      <c r="BA31" s="80"/>
      <c r="BB31" s="79"/>
      <c r="BC31" s="80"/>
      <c r="BD31" s="79"/>
      <c r="BE31" s="80"/>
      <c r="BF31" s="141"/>
      <c r="BG31" s="79"/>
      <c r="BJ31" s="4">
        <f t="shared" si="18"/>
        <v>40.875</v>
      </c>
      <c r="BK31" s="89">
        <f t="shared" si="64"/>
        <v>0.8175</v>
      </c>
      <c r="BL31" s="4">
        <f t="shared" si="19"/>
        <v>41.575000000000003</v>
      </c>
      <c r="BM31" s="89">
        <f t="shared" si="65"/>
        <v>0.83150000000000002</v>
      </c>
      <c r="BN31" s="81">
        <f t="shared" si="20"/>
        <v>41.575000000000003</v>
      </c>
      <c r="BO31" s="89">
        <f t="shared" si="66"/>
        <v>0.83150000000000002</v>
      </c>
      <c r="BP31" s="81">
        <f t="shared" si="21"/>
        <v>46.75</v>
      </c>
      <c r="BQ31" s="89">
        <f t="shared" si="22"/>
        <v>0.93500000000000005</v>
      </c>
      <c r="BR31" s="4"/>
      <c r="BS31" s="4"/>
      <c r="BT31" s="81">
        <f t="shared" si="67"/>
        <v>49.75</v>
      </c>
      <c r="BU31" s="87">
        <f t="shared" si="23"/>
        <v>0.995</v>
      </c>
      <c r="BV31" s="4"/>
      <c r="BW31" s="4"/>
      <c r="BX31" s="4"/>
      <c r="BY31" s="4"/>
      <c r="BZ31" s="81"/>
      <c r="CA31" s="89"/>
      <c r="CB31" s="81"/>
      <c r="CC31" s="89"/>
      <c r="CD31" s="81"/>
      <c r="CE31" s="89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81">
        <f t="shared" si="26"/>
        <v>41.25</v>
      </c>
      <c r="CQ31" s="87">
        <f t="shared" si="27"/>
        <v>0.82499999999999996</v>
      </c>
      <c r="CR31" s="4">
        <f t="shared" si="28"/>
        <v>44.75</v>
      </c>
      <c r="CS31" s="87">
        <f t="shared" si="29"/>
        <v>0.89500000000000002</v>
      </c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81">
        <f t="shared" si="30"/>
        <v>42.5</v>
      </c>
      <c r="DS31" s="87">
        <f t="shared" si="31"/>
        <v>0.85</v>
      </c>
      <c r="DT31" s="4"/>
      <c r="DU31" s="4"/>
      <c r="DV31" s="4"/>
      <c r="DW31" s="4"/>
      <c r="DX31" s="81">
        <f t="shared" si="32"/>
        <v>42.5</v>
      </c>
      <c r="DY31" s="89">
        <f t="shared" si="33"/>
        <v>0.85</v>
      </c>
      <c r="DZ31" s="81"/>
      <c r="EA31" s="89"/>
      <c r="EB31" s="81">
        <f t="shared" si="34"/>
        <v>15.1008</v>
      </c>
      <c r="EC31" s="89">
        <f t="shared" si="35"/>
        <v>0.94379999999999997</v>
      </c>
      <c r="ED31" s="80">
        <f t="shared" si="68"/>
        <v>14.700799999999999</v>
      </c>
      <c r="EE31" s="89">
        <f t="shared" si="36"/>
        <v>0.91879999999999995</v>
      </c>
      <c r="EF31" s="198">
        <f t="shared" si="69"/>
        <v>22.5992</v>
      </c>
      <c r="EG31" s="89">
        <f t="shared" si="38"/>
        <v>0.86919999999999997</v>
      </c>
      <c r="EH31" s="80">
        <f t="shared" si="70"/>
        <v>19.8492</v>
      </c>
      <c r="EI31" s="89">
        <f t="shared" si="40"/>
        <v>0.94520000000000004</v>
      </c>
      <c r="EJ31" s="4"/>
      <c r="EK31" s="4"/>
      <c r="EL31" s="81">
        <f t="shared" si="71"/>
        <v>18.349799999999998</v>
      </c>
      <c r="EM31" s="87">
        <f t="shared" si="42"/>
        <v>0.86919999999999997</v>
      </c>
      <c r="EN31" s="4"/>
      <c r="EO31" s="4" t="str">
        <f t="shared" si="43"/>
        <v/>
      </c>
      <c r="EP31" s="4"/>
      <c r="EQ31" s="4"/>
      <c r="ER31" s="4">
        <f t="shared" si="44"/>
        <v>40.950000000000003</v>
      </c>
      <c r="ES31" s="87">
        <f t="shared" si="45"/>
        <v>0.81900000000000006</v>
      </c>
      <c r="ET31" s="4">
        <f t="shared" si="46"/>
        <v>45.45</v>
      </c>
      <c r="EU31" s="87">
        <f t="shared" si="47"/>
        <v>0.90900000000000003</v>
      </c>
      <c r="EV31" s="81"/>
      <c r="EW31" s="89"/>
      <c r="EX31" s="80">
        <f t="shared" si="49"/>
        <v>43.575000000000003</v>
      </c>
      <c r="EY31" s="89">
        <f t="shared" si="50"/>
        <v>0.87150000000000005</v>
      </c>
      <c r="EZ31" s="80">
        <f t="shared" si="51"/>
        <v>43.575000000000003</v>
      </c>
      <c r="FA31" s="89">
        <f t="shared" si="52"/>
        <v>0.87150000000000005</v>
      </c>
      <c r="FB31" s="89"/>
      <c r="FC31" s="89"/>
      <c r="FD31" s="81"/>
      <c r="FE31" s="89"/>
      <c r="FF31" s="183"/>
      <c r="FG31" s="184"/>
      <c r="FH31" s="92"/>
      <c r="FI31" s="92"/>
      <c r="FJ31" s="183"/>
      <c r="FK31" s="184"/>
      <c r="FL31" s="183"/>
      <c r="FM31" s="184"/>
      <c r="FO31" s="101"/>
    </row>
    <row r="32" spans="1:171">
      <c r="A32" s="206">
        <v>22</v>
      </c>
      <c r="B32" s="207" t="s">
        <v>322</v>
      </c>
      <c r="C32" s="207" t="s">
        <v>323</v>
      </c>
      <c r="D32" s="73">
        <f>'MK1-TM'!D40</f>
        <v>86</v>
      </c>
      <c r="E32" s="73">
        <f>'MK1-TM'!E40</f>
        <v>92.5</v>
      </c>
      <c r="F32" s="73">
        <f t="shared" si="5"/>
        <v>89.25</v>
      </c>
      <c r="G32" s="91">
        <f>'MK2-TO'!D40</f>
        <v>94.38</v>
      </c>
      <c r="H32" s="91">
        <f>'MK2-TO'!E40</f>
        <v>91.88</v>
      </c>
      <c r="I32" s="91">
        <f>'MK2-TO'!F40</f>
        <v>90.77</v>
      </c>
      <c r="J32" s="91">
        <f>'MK2-TO'!G40</f>
        <v>94.52</v>
      </c>
      <c r="K32" s="91">
        <f>'MK2-TO'!H40</f>
        <v>90.95</v>
      </c>
      <c r="L32" s="91">
        <f t="shared" si="6"/>
        <v>92.350500000000011</v>
      </c>
      <c r="M32" s="74">
        <f>'MK3-PSTI'!D40</f>
        <v>85</v>
      </c>
      <c r="N32" s="74">
        <f>'MK3-PSTI'!E40</f>
        <v>85</v>
      </c>
      <c r="O32" s="74">
        <f t="shared" si="7"/>
        <v>85</v>
      </c>
      <c r="P32" s="75">
        <f>IF('MK4-L&amp;A'!D40="","",'MK4-L&amp;A'!D40)</f>
        <v>89.5</v>
      </c>
      <c r="Q32" s="75">
        <f>IF('MK4-L&amp;A'!E40="","",'MK4-L&amp;A'!E40)</f>
        <v>89.5</v>
      </c>
      <c r="R32" s="75">
        <f t="shared" si="8"/>
        <v>89.5</v>
      </c>
      <c r="S32" s="76">
        <f>IF('MK5-BP'!D40="","",'MK5-BP'!D40)</f>
        <v>77.7</v>
      </c>
      <c r="T32" s="76">
        <f>IF('MK5-BP'!E40="","",'MK5-BP'!E40)</f>
        <v>95.1</v>
      </c>
      <c r="U32" s="76">
        <f t="shared" si="58"/>
        <v>86.4</v>
      </c>
      <c r="V32" s="38">
        <f>IF('MK7-MBD'!D40="","",'MK7-MBD'!D40)</f>
        <v>81.3</v>
      </c>
      <c r="W32" s="38">
        <f>IF('MK7-MBD'!E40="","",'MK7-MBD'!E40)</f>
        <v>90.3</v>
      </c>
      <c r="X32" s="38">
        <f t="shared" si="9"/>
        <v>85.8</v>
      </c>
      <c r="Y32" s="77">
        <f>IF(MK8_BID!D40="","",MK8_BID!D40)</f>
        <v>89.8</v>
      </c>
      <c r="Z32" s="77">
        <f>IF(MK8_BID!E40="","",MK8_BID!E40)</f>
        <v>89.8</v>
      </c>
      <c r="AA32" s="77">
        <f t="shared" si="10"/>
        <v>89.8</v>
      </c>
      <c r="AB32" s="78">
        <f>IF('MK16-AGM'!D40="","",'MK16-AGM'!D40)</f>
        <v>87.15</v>
      </c>
      <c r="AC32" s="78">
        <f>IF('MK16-AGM'!E40="","",'MK16-AGM'!E40)</f>
        <v>87.15</v>
      </c>
      <c r="AD32" s="78">
        <f t="shared" si="11"/>
        <v>87.15</v>
      </c>
      <c r="AF32" s="79"/>
      <c r="AG32" s="80"/>
      <c r="AH32" s="79"/>
      <c r="AI32" s="80"/>
      <c r="AJ32" s="79"/>
      <c r="AK32" s="80"/>
      <c r="AL32" s="79"/>
      <c r="AM32" s="80"/>
      <c r="AN32" s="80"/>
      <c r="AO32" s="80"/>
      <c r="AP32" s="80"/>
      <c r="AQ32" s="80"/>
      <c r="AR32" s="80"/>
      <c r="AS32" s="80"/>
      <c r="AT32" s="80"/>
      <c r="AU32" s="80"/>
      <c r="AV32" s="79"/>
      <c r="AW32" s="80"/>
      <c r="AX32" s="79"/>
      <c r="AY32" s="80"/>
      <c r="AZ32" s="80"/>
      <c r="BA32" s="80"/>
      <c r="BB32" s="79"/>
      <c r="BC32" s="80"/>
      <c r="BD32" s="79"/>
      <c r="BE32" s="80"/>
      <c r="BF32" s="141"/>
      <c r="BG32" s="79"/>
      <c r="BJ32" s="4">
        <f t="shared" si="18"/>
        <v>40.65</v>
      </c>
      <c r="BK32" s="89">
        <f t="shared" si="64"/>
        <v>0.81299999999999994</v>
      </c>
      <c r="BL32" s="4">
        <f t="shared" si="19"/>
        <v>44.9</v>
      </c>
      <c r="BM32" s="89">
        <f t="shared" si="65"/>
        <v>0.89800000000000002</v>
      </c>
      <c r="BN32" s="81">
        <f t="shared" si="20"/>
        <v>44.9</v>
      </c>
      <c r="BO32" s="89">
        <f t="shared" si="66"/>
        <v>0.89800000000000002</v>
      </c>
      <c r="BP32" s="81">
        <f t="shared" si="21"/>
        <v>43</v>
      </c>
      <c r="BQ32" s="89">
        <f t="shared" si="22"/>
        <v>0.86</v>
      </c>
      <c r="BR32" s="4"/>
      <c r="BS32" s="4"/>
      <c r="BT32" s="81">
        <f t="shared" si="67"/>
        <v>46.25</v>
      </c>
      <c r="BU32" s="87">
        <f t="shared" si="23"/>
        <v>0.92500000000000004</v>
      </c>
      <c r="BV32" s="4"/>
      <c r="BW32" s="4"/>
      <c r="BX32" s="4"/>
      <c r="BY32" s="4"/>
      <c r="BZ32" s="81"/>
      <c r="CA32" s="89"/>
      <c r="CB32" s="81"/>
      <c r="CC32" s="89"/>
      <c r="CD32" s="81"/>
      <c r="CE32" s="89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81">
        <f t="shared" si="26"/>
        <v>44.75</v>
      </c>
      <c r="CQ32" s="87">
        <f t="shared" si="27"/>
        <v>0.89500000000000002</v>
      </c>
      <c r="CR32" s="4">
        <f t="shared" si="28"/>
        <v>44.75</v>
      </c>
      <c r="CS32" s="87">
        <f t="shared" si="29"/>
        <v>0.89500000000000002</v>
      </c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81">
        <f t="shared" si="30"/>
        <v>42.5</v>
      </c>
      <c r="DS32" s="87">
        <f t="shared" si="31"/>
        <v>0.85</v>
      </c>
      <c r="DT32" s="4"/>
      <c r="DU32" s="4"/>
      <c r="DV32" s="4"/>
      <c r="DW32" s="4"/>
      <c r="DX32" s="81">
        <f t="shared" si="32"/>
        <v>42.5</v>
      </c>
      <c r="DY32" s="89">
        <f t="shared" si="33"/>
        <v>0.85</v>
      </c>
      <c r="DZ32" s="81"/>
      <c r="EA32" s="89"/>
      <c r="EB32" s="81">
        <f t="shared" si="34"/>
        <v>15.1008</v>
      </c>
      <c r="EC32" s="89">
        <f t="shared" si="35"/>
        <v>0.94379999999999997</v>
      </c>
      <c r="ED32" s="80">
        <f t="shared" si="68"/>
        <v>14.700799999999999</v>
      </c>
      <c r="EE32" s="89">
        <f t="shared" si="36"/>
        <v>0.91879999999999995</v>
      </c>
      <c r="EF32" s="198">
        <f t="shared" si="69"/>
        <v>23.600200000000001</v>
      </c>
      <c r="EG32" s="89">
        <f t="shared" si="38"/>
        <v>0.90770000000000006</v>
      </c>
      <c r="EH32" s="80">
        <f t="shared" si="70"/>
        <v>19.8492</v>
      </c>
      <c r="EI32" s="89">
        <f t="shared" si="40"/>
        <v>0.94520000000000004</v>
      </c>
      <c r="EJ32" s="4"/>
      <c r="EK32" s="4"/>
      <c r="EL32" s="81">
        <f t="shared" si="71"/>
        <v>19.099499999999999</v>
      </c>
      <c r="EM32" s="87">
        <f t="shared" si="42"/>
        <v>0.90770000000000006</v>
      </c>
      <c r="EN32" s="4"/>
      <c r="EO32" s="4" t="str">
        <f t="shared" si="43"/>
        <v/>
      </c>
      <c r="EP32" s="4"/>
      <c r="EQ32" s="4"/>
      <c r="ER32" s="4">
        <f t="shared" si="44"/>
        <v>38.85</v>
      </c>
      <c r="ES32" s="87">
        <f t="shared" si="45"/>
        <v>0.77700000000000002</v>
      </c>
      <c r="ET32" s="4">
        <f t="shared" si="46"/>
        <v>47.55</v>
      </c>
      <c r="EU32" s="87">
        <f t="shared" si="47"/>
        <v>0.95099999999999996</v>
      </c>
      <c r="EV32" s="81"/>
      <c r="EW32" s="89"/>
      <c r="EX32" s="80">
        <f t="shared" si="49"/>
        <v>43.575000000000003</v>
      </c>
      <c r="EY32" s="89">
        <f t="shared" si="50"/>
        <v>0.87150000000000005</v>
      </c>
      <c r="EZ32" s="80">
        <f t="shared" si="51"/>
        <v>43.575000000000003</v>
      </c>
      <c r="FA32" s="89">
        <f t="shared" si="52"/>
        <v>0.87150000000000005</v>
      </c>
      <c r="FB32" s="89"/>
      <c r="FC32" s="89"/>
      <c r="FD32" s="81"/>
      <c r="FE32" s="89"/>
      <c r="FF32" s="183"/>
      <c r="FG32" s="184"/>
      <c r="FH32" s="92"/>
      <c r="FI32" s="92"/>
      <c r="FJ32" s="183"/>
      <c r="FK32" s="184"/>
      <c r="FL32" s="183"/>
      <c r="FM32" s="184"/>
      <c r="FO32" s="101"/>
    </row>
    <row r="33" spans="1:171">
      <c r="A33" s="206">
        <v>23</v>
      </c>
      <c r="B33" s="207" t="s">
        <v>324</v>
      </c>
      <c r="C33" s="207" t="s">
        <v>325</v>
      </c>
      <c r="D33" s="73">
        <f>'MK1-TM'!D41</f>
        <v>81.5</v>
      </c>
      <c r="E33" s="73">
        <f>'MK1-TM'!E41</f>
        <v>86</v>
      </c>
      <c r="F33" s="73">
        <f t="shared" si="5"/>
        <v>83.75</v>
      </c>
      <c r="G33" s="91">
        <f>'MK2-TO'!D41</f>
        <v>94.38</v>
      </c>
      <c r="H33" s="91">
        <f>'MK2-TO'!E41</f>
        <v>91.88</v>
      </c>
      <c r="I33" s="91">
        <f>'MK2-TO'!F41</f>
        <v>86.92</v>
      </c>
      <c r="J33" s="91">
        <f>'MK2-TO'!G41</f>
        <v>94.52</v>
      </c>
      <c r="K33" s="91">
        <f>'MK2-TO'!H41</f>
        <v>87.38</v>
      </c>
      <c r="L33" s="91">
        <f t="shared" si="6"/>
        <v>90.599800000000002</v>
      </c>
      <c r="M33" s="74">
        <f>'MK3-PSTI'!D41</f>
        <v>85</v>
      </c>
      <c r="N33" s="74">
        <f>'MK3-PSTI'!E41</f>
        <v>85</v>
      </c>
      <c r="O33" s="74">
        <f t="shared" si="7"/>
        <v>85</v>
      </c>
      <c r="P33" s="75">
        <f>IF('MK4-L&amp;A'!D41="","",'MK4-L&amp;A'!D41)</f>
        <v>89.5</v>
      </c>
      <c r="Q33" s="75">
        <f>IF('MK4-L&amp;A'!E41="","",'MK4-L&amp;A'!E41)</f>
        <v>89.5</v>
      </c>
      <c r="R33" s="75">
        <f t="shared" si="8"/>
        <v>89.5</v>
      </c>
      <c r="S33" s="76">
        <f>IF('MK5-BP'!D41="","",'MK5-BP'!D41)</f>
        <v>65.8</v>
      </c>
      <c r="T33" s="76">
        <f>IF('MK5-BP'!E41="","",'MK5-BP'!E41)</f>
        <v>67.2</v>
      </c>
      <c r="U33" s="76">
        <f t="shared" si="58"/>
        <v>66.5</v>
      </c>
      <c r="V33" s="38">
        <f>IF('MK7-MBD'!D41="","",'MK7-MBD'!D41)</f>
        <v>82</v>
      </c>
      <c r="W33" s="38">
        <f>IF('MK7-MBD'!E41="","",'MK7-MBD'!E41)</f>
        <v>91.7</v>
      </c>
      <c r="X33" s="38">
        <f t="shared" si="9"/>
        <v>86.85</v>
      </c>
      <c r="Y33" s="77">
        <f>IF(MK8_BID!D41="","",MK8_BID!D41)</f>
        <v>83.15</v>
      </c>
      <c r="Z33" s="77">
        <f>IF(MK8_BID!E41="","",MK8_BID!E41)</f>
        <v>83.15</v>
      </c>
      <c r="AA33" s="77">
        <f t="shared" si="10"/>
        <v>83.15</v>
      </c>
      <c r="AB33" s="78">
        <f>IF('MK16-AGM'!D41="","",'MK16-AGM'!D41)</f>
        <v>80.25</v>
      </c>
      <c r="AC33" s="78">
        <f>IF('MK16-AGM'!E41="","",'MK16-AGM'!E41)</f>
        <v>80.25</v>
      </c>
      <c r="AD33" s="78">
        <f t="shared" si="11"/>
        <v>80.25</v>
      </c>
      <c r="AF33" s="79"/>
      <c r="AG33" s="80"/>
      <c r="AH33" s="79"/>
      <c r="AI33" s="80"/>
      <c r="AJ33" s="79"/>
      <c r="AK33" s="80"/>
      <c r="AL33" s="79"/>
      <c r="AM33" s="80"/>
      <c r="AN33" s="80"/>
      <c r="AO33" s="80"/>
      <c r="AP33" s="80"/>
      <c r="AQ33" s="80"/>
      <c r="AR33" s="80"/>
      <c r="AS33" s="80"/>
      <c r="AT33" s="80"/>
      <c r="AU33" s="80"/>
      <c r="AV33" s="79"/>
      <c r="AW33" s="80"/>
      <c r="AX33" s="79"/>
      <c r="AY33" s="80"/>
      <c r="AZ33" s="80"/>
      <c r="BA33" s="80"/>
      <c r="BB33" s="79"/>
      <c r="BC33" s="80"/>
      <c r="BD33" s="79"/>
      <c r="BE33" s="80"/>
      <c r="BF33" s="141"/>
      <c r="BG33" s="79"/>
      <c r="BJ33" s="4">
        <f t="shared" si="18"/>
        <v>41</v>
      </c>
      <c r="BK33" s="89">
        <f t="shared" si="64"/>
        <v>0.82</v>
      </c>
      <c r="BL33" s="4">
        <f t="shared" si="19"/>
        <v>41.575000000000003</v>
      </c>
      <c r="BM33" s="89">
        <f t="shared" si="65"/>
        <v>0.83150000000000002</v>
      </c>
      <c r="BN33" s="81">
        <f t="shared" si="20"/>
        <v>41.575000000000003</v>
      </c>
      <c r="BO33" s="89">
        <f t="shared" si="66"/>
        <v>0.83150000000000002</v>
      </c>
      <c r="BP33" s="81">
        <f t="shared" si="21"/>
        <v>40.75</v>
      </c>
      <c r="BQ33" s="89">
        <f t="shared" si="22"/>
        <v>0.81499999999999995</v>
      </c>
      <c r="BR33" s="4"/>
      <c r="BS33" s="4"/>
      <c r="BT33" s="81">
        <f t="shared" si="67"/>
        <v>43</v>
      </c>
      <c r="BU33" s="87">
        <f t="shared" si="23"/>
        <v>0.86</v>
      </c>
      <c r="BV33" s="4"/>
      <c r="BW33" s="4"/>
      <c r="BX33" s="4"/>
      <c r="BY33" s="4"/>
      <c r="BZ33" s="81"/>
      <c r="CA33" s="89"/>
      <c r="CB33" s="81"/>
      <c r="CC33" s="89"/>
      <c r="CD33" s="81"/>
      <c r="CE33" s="89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81">
        <f t="shared" si="26"/>
        <v>44.75</v>
      </c>
      <c r="CQ33" s="87">
        <f t="shared" si="27"/>
        <v>0.89500000000000002</v>
      </c>
      <c r="CR33" s="4">
        <f t="shared" si="28"/>
        <v>44.75</v>
      </c>
      <c r="CS33" s="87">
        <f t="shared" si="29"/>
        <v>0.89500000000000002</v>
      </c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81">
        <f t="shared" si="30"/>
        <v>42.5</v>
      </c>
      <c r="DS33" s="87">
        <f t="shared" si="31"/>
        <v>0.85</v>
      </c>
      <c r="DT33" s="4"/>
      <c r="DU33" s="4"/>
      <c r="DV33" s="4"/>
      <c r="DW33" s="4"/>
      <c r="DX33" s="81">
        <f t="shared" si="32"/>
        <v>42.5</v>
      </c>
      <c r="DY33" s="89">
        <f t="shared" si="33"/>
        <v>0.85</v>
      </c>
      <c r="DZ33" s="81"/>
      <c r="EA33" s="89"/>
      <c r="EB33" s="81">
        <f t="shared" si="34"/>
        <v>15.1008</v>
      </c>
      <c r="EC33" s="89">
        <f t="shared" si="35"/>
        <v>0.94379999999999997</v>
      </c>
      <c r="ED33" s="80">
        <f t="shared" si="68"/>
        <v>14.700799999999999</v>
      </c>
      <c r="EE33" s="89">
        <f t="shared" si="36"/>
        <v>0.91879999999999995</v>
      </c>
      <c r="EF33" s="198">
        <f t="shared" si="69"/>
        <v>22.5992</v>
      </c>
      <c r="EG33" s="89">
        <f t="shared" si="38"/>
        <v>0.86919999999999997</v>
      </c>
      <c r="EH33" s="80">
        <f t="shared" si="70"/>
        <v>19.8492</v>
      </c>
      <c r="EI33" s="89">
        <f t="shared" si="40"/>
        <v>0.94520000000000004</v>
      </c>
      <c r="EJ33" s="4"/>
      <c r="EK33" s="4"/>
      <c r="EL33" s="81">
        <f t="shared" si="71"/>
        <v>18.349799999999998</v>
      </c>
      <c r="EM33" s="87">
        <f t="shared" si="42"/>
        <v>0.86919999999999997</v>
      </c>
      <c r="EN33" s="4"/>
      <c r="EO33" s="4" t="str">
        <f t="shared" si="43"/>
        <v/>
      </c>
      <c r="EP33" s="4"/>
      <c r="EQ33" s="4"/>
      <c r="ER33" s="4">
        <f t="shared" si="44"/>
        <v>32.9</v>
      </c>
      <c r="ES33" s="87">
        <f t="shared" si="45"/>
        <v>0.65799999999999992</v>
      </c>
      <c r="ET33" s="4">
        <f t="shared" si="46"/>
        <v>33.6</v>
      </c>
      <c r="EU33" s="87">
        <f t="shared" si="47"/>
        <v>0.67200000000000004</v>
      </c>
      <c r="EV33" s="81"/>
      <c r="EW33" s="89"/>
      <c r="EX33" s="80">
        <f t="shared" si="49"/>
        <v>40.125</v>
      </c>
      <c r="EY33" s="89">
        <f t="shared" si="50"/>
        <v>0.80249999999999999</v>
      </c>
      <c r="EZ33" s="80">
        <f t="shared" si="51"/>
        <v>40.125</v>
      </c>
      <c r="FA33" s="89">
        <f t="shared" si="52"/>
        <v>0.80249999999999999</v>
      </c>
      <c r="FB33" s="89"/>
      <c r="FC33" s="89"/>
      <c r="FD33" s="81"/>
      <c r="FE33" s="89"/>
      <c r="FF33" s="183"/>
      <c r="FG33" s="184"/>
      <c r="FH33" s="92"/>
      <c r="FI33" s="92"/>
      <c r="FJ33" s="183"/>
      <c r="FK33" s="184"/>
      <c r="FL33" s="183"/>
      <c r="FM33" s="184"/>
      <c r="FO33" s="101"/>
    </row>
    <row r="34" spans="1:171">
      <c r="A34" s="206">
        <v>24</v>
      </c>
      <c r="B34" s="207" t="s">
        <v>326</v>
      </c>
      <c r="C34" s="207" t="s">
        <v>327</v>
      </c>
      <c r="D34" s="73">
        <f>'MK1-TM'!D42</f>
        <v>81.5</v>
      </c>
      <c r="E34" s="73">
        <f>'MK1-TM'!E42</f>
        <v>82</v>
      </c>
      <c r="F34" s="73">
        <f t="shared" si="5"/>
        <v>81.75</v>
      </c>
      <c r="G34" s="91">
        <f>'MK2-TO'!D42</f>
        <v>89.25</v>
      </c>
      <c r="H34" s="91">
        <f>'MK2-TO'!E42</f>
        <v>88</v>
      </c>
      <c r="I34" s="91">
        <f>'MK2-TO'!F42</f>
        <v>88.38</v>
      </c>
      <c r="J34" s="91">
        <f>'MK2-TO'!G42</f>
        <v>91.57</v>
      </c>
      <c r="K34" s="91">
        <f>'MK2-TO'!H42</f>
        <v>88</v>
      </c>
      <c r="L34" s="91">
        <f t="shared" si="6"/>
        <v>89.04849999999999</v>
      </c>
      <c r="M34" s="74">
        <f>'MK3-PSTI'!D42</f>
        <v>85</v>
      </c>
      <c r="N34" s="74">
        <f>'MK3-PSTI'!E42</f>
        <v>85</v>
      </c>
      <c r="O34" s="74">
        <f t="shared" si="7"/>
        <v>85</v>
      </c>
      <c r="P34" s="75">
        <f>IF('MK4-L&amp;A'!D42="","",'MK4-L&amp;A'!D42)</f>
        <v>75.900000000000006</v>
      </c>
      <c r="Q34" s="75">
        <f>IF('MK4-L&amp;A'!E42="","",'MK4-L&amp;A'!E42)</f>
        <v>75.900000000000006</v>
      </c>
      <c r="R34" s="75">
        <f t="shared" si="8"/>
        <v>75.900000000000006</v>
      </c>
      <c r="S34" s="76">
        <f>IF('MK5-BP'!D42="","",'MK5-BP'!D42)</f>
        <v>65.5</v>
      </c>
      <c r="T34" s="76">
        <f>IF('MK5-BP'!E42="","",'MK5-BP'!E42)</f>
        <v>66.900000000000006</v>
      </c>
      <c r="U34" s="76">
        <f t="shared" si="58"/>
        <v>66.2</v>
      </c>
      <c r="V34" s="38">
        <f>IF('MK7-MBD'!D42="","",'MK7-MBD'!D42)</f>
        <v>80.650000000000006</v>
      </c>
      <c r="W34" s="38">
        <f>IF('MK7-MBD'!E42="","",'MK7-MBD'!E42)</f>
        <v>89.6</v>
      </c>
      <c r="X34" s="38">
        <f t="shared" si="9"/>
        <v>85.125</v>
      </c>
      <c r="Y34" s="77">
        <f>IF(MK8_BID!D42="","",MK8_BID!D42)</f>
        <v>80.400000000000006</v>
      </c>
      <c r="Z34" s="77">
        <f>IF(MK8_BID!E42="","",MK8_BID!E42)</f>
        <v>80.400000000000006</v>
      </c>
      <c r="AA34" s="77">
        <f t="shared" si="10"/>
        <v>80.400000000000006</v>
      </c>
      <c r="AB34" s="78">
        <f>IF('MK16-AGM'!D42="","",'MK16-AGM'!D42)</f>
        <v>91</v>
      </c>
      <c r="AC34" s="78">
        <f>IF('MK16-AGM'!E42="","",'MK16-AGM'!E42)</f>
        <v>91</v>
      </c>
      <c r="AD34" s="78">
        <f t="shared" si="11"/>
        <v>91</v>
      </c>
      <c r="AF34" s="79"/>
      <c r="AG34" s="80"/>
      <c r="AH34" s="79"/>
      <c r="AI34" s="80"/>
      <c r="AJ34" s="79"/>
      <c r="AK34" s="80"/>
      <c r="AL34" s="79"/>
      <c r="AM34" s="80"/>
      <c r="AN34" s="80"/>
      <c r="AO34" s="80"/>
      <c r="AP34" s="80"/>
      <c r="AQ34" s="80"/>
      <c r="AR34" s="80"/>
      <c r="AS34" s="80"/>
      <c r="AT34" s="80"/>
      <c r="AU34" s="80"/>
      <c r="AV34" s="79"/>
      <c r="AW34" s="80"/>
      <c r="AX34" s="79"/>
      <c r="AY34" s="80"/>
      <c r="AZ34" s="80"/>
      <c r="BA34" s="80"/>
      <c r="BB34" s="79"/>
      <c r="BC34" s="80"/>
      <c r="BD34" s="79"/>
      <c r="BE34" s="80"/>
      <c r="BF34" s="141"/>
      <c r="BG34" s="79"/>
      <c r="BJ34" s="4">
        <f t="shared" si="18"/>
        <v>40.325000000000003</v>
      </c>
      <c r="BK34" s="89">
        <f t="shared" si="64"/>
        <v>0.80650000000000011</v>
      </c>
      <c r="BL34" s="4">
        <f t="shared" si="19"/>
        <v>40.200000000000003</v>
      </c>
      <c r="BM34" s="89">
        <f t="shared" si="65"/>
        <v>0.80400000000000005</v>
      </c>
      <c r="BN34" s="81">
        <f t="shared" si="20"/>
        <v>40.200000000000003</v>
      </c>
      <c r="BO34" s="89">
        <f t="shared" si="66"/>
        <v>0.80400000000000005</v>
      </c>
      <c r="BP34" s="81">
        <f t="shared" si="21"/>
        <v>40.75</v>
      </c>
      <c r="BQ34" s="89">
        <f t="shared" si="22"/>
        <v>0.81499999999999995</v>
      </c>
      <c r="BR34" s="4"/>
      <c r="BS34" s="4"/>
      <c r="BT34" s="81">
        <f t="shared" si="67"/>
        <v>41</v>
      </c>
      <c r="BU34" s="87">
        <f t="shared" si="23"/>
        <v>0.82</v>
      </c>
      <c r="BV34" s="4"/>
      <c r="BW34" s="4"/>
      <c r="BX34" s="4"/>
      <c r="BY34" s="4"/>
      <c r="BZ34" s="81"/>
      <c r="CA34" s="89"/>
      <c r="CB34" s="81"/>
      <c r="CC34" s="89"/>
      <c r="CD34" s="81"/>
      <c r="CE34" s="89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81">
        <f t="shared" si="26"/>
        <v>37.950000000000003</v>
      </c>
      <c r="CQ34" s="87">
        <f t="shared" si="27"/>
        <v>0.75900000000000001</v>
      </c>
      <c r="CR34" s="4">
        <f t="shared" si="28"/>
        <v>37.950000000000003</v>
      </c>
      <c r="CS34" s="87">
        <f t="shared" si="29"/>
        <v>0.75900000000000001</v>
      </c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81">
        <f t="shared" si="30"/>
        <v>42.5</v>
      </c>
      <c r="DS34" s="87">
        <f t="shared" si="31"/>
        <v>0.85</v>
      </c>
      <c r="DT34" s="4"/>
      <c r="DU34" s="4"/>
      <c r="DV34" s="4"/>
      <c r="DW34" s="4"/>
      <c r="DX34" s="81">
        <f t="shared" si="32"/>
        <v>42.5</v>
      </c>
      <c r="DY34" s="89">
        <f t="shared" si="33"/>
        <v>0.85</v>
      </c>
      <c r="DZ34" s="81"/>
      <c r="EA34" s="89"/>
      <c r="EB34" s="81">
        <f t="shared" si="34"/>
        <v>14.280000000000001</v>
      </c>
      <c r="EC34" s="89">
        <f t="shared" si="35"/>
        <v>0.89250000000000007</v>
      </c>
      <c r="ED34" s="80">
        <f t="shared" si="68"/>
        <v>14.08</v>
      </c>
      <c r="EE34" s="89">
        <f t="shared" si="36"/>
        <v>0.88</v>
      </c>
      <c r="EF34" s="198">
        <f t="shared" si="69"/>
        <v>22.9788</v>
      </c>
      <c r="EG34" s="89">
        <f t="shared" si="38"/>
        <v>0.88380000000000003</v>
      </c>
      <c r="EH34" s="80">
        <f t="shared" si="70"/>
        <v>19.229699999999998</v>
      </c>
      <c r="EI34" s="89">
        <f t="shared" si="40"/>
        <v>0.91569999999999985</v>
      </c>
      <c r="EJ34" s="4"/>
      <c r="EK34" s="4"/>
      <c r="EL34" s="81">
        <f t="shared" si="71"/>
        <v>18.48</v>
      </c>
      <c r="EM34" s="87">
        <f t="shared" si="42"/>
        <v>0.88380000000000003</v>
      </c>
      <c r="EN34" s="4"/>
      <c r="EO34" s="4" t="str">
        <f t="shared" si="43"/>
        <v/>
      </c>
      <c r="EP34" s="4"/>
      <c r="EQ34" s="4"/>
      <c r="ER34" s="4">
        <f t="shared" si="44"/>
        <v>32.75</v>
      </c>
      <c r="ES34" s="87">
        <f t="shared" si="45"/>
        <v>0.65500000000000003</v>
      </c>
      <c r="ET34" s="4">
        <f t="shared" si="46"/>
        <v>33.450000000000003</v>
      </c>
      <c r="EU34" s="87">
        <f t="shared" si="47"/>
        <v>0.66900000000000004</v>
      </c>
      <c r="EV34" s="81"/>
      <c r="EW34" s="89"/>
      <c r="EX34" s="80">
        <f t="shared" si="49"/>
        <v>45.5</v>
      </c>
      <c r="EY34" s="89">
        <f t="shared" si="50"/>
        <v>0.91</v>
      </c>
      <c r="EZ34" s="80">
        <f t="shared" si="51"/>
        <v>45.5</v>
      </c>
      <c r="FA34" s="89">
        <f t="shared" si="52"/>
        <v>0.91</v>
      </c>
      <c r="FB34" s="89"/>
      <c r="FC34" s="89"/>
      <c r="FD34" s="81"/>
      <c r="FE34" s="89"/>
      <c r="FF34" s="183"/>
      <c r="FG34" s="184"/>
      <c r="FH34" s="92"/>
      <c r="FI34" s="92"/>
      <c r="FJ34" s="183"/>
      <c r="FK34" s="184"/>
      <c r="FL34" s="183"/>
      <c r="FM34" s="184"/>
      <c r="FO34" s="101"/>
    </row>
    <row r="35" spans="1:171">
      <c r="A35" s="206">
        <v>25</v>
      </c>
      <c r="B35" s="207" t="s">
        <v>328</v>
      </c>
      <c r="C35" s="207" t="s">
        <v>329</v>
      </c>
      <c r="D35" s="73">
        <f>'MK1-TM'!D43</f>
        <v>81.5</v>
      </c>
      <c r="E35" s="73">
        <f>'MK1-TM'!E43</f>
        <v>91.5</v>
      </c>
      <c r="F35" s="73">
        <f t="shared" si="5"/>
        <v>86.5</v>
      </c>
      <c r="G35" s="91">
        <f>'MK2-TO'!D43</f>
        <v>89.25</v>
      </c>
      <c r="H35" s="91">
        <f>'MK2-TO'!E43</f>
        <v>88</v>
      </c>
      <c r="I35" s="91">
        <f>'MK2-TO'!F43</f>
        <v>88.38</v>
      </c>
      <c r="J35" s="91">
        <f>'MK2-TO'!G43</f>
        <v>91.57</v>
      </c>
      <c r="K35" s="91">
        <f>'MK2-TO'!H43</f>
        <v>88</v>
      </c>
      <c r="L35" s="91">
        <f t="shared" si="6"/>
        <v>89.04849999999999</v>
      </c>
      <c r="M35" s="74">
        <f>'MK3-PSTI'!D43</f>
        <v>85</v>
      </c>
      <c r="N35" s="74">
        <f>'MK3-PSTI'!E43</f>
        <v>85</v>
      </c>
      <c r="O35" s="74">
        <f t="shared" si="7"/>
        <v>85</v>
      </c>
      <c r="P35" s="75">
        <f>IF('MK4-L&amp;A'!D43="","",'MK4-L&amp;A'!D43)</f>
        <v>86.4</v>
      </c>
      <c r="Q35" s="75">
        <f>IF('MK4-L&amp;A'!E43="","",'MK4-L&amp;A'!E43)</f>
        <v>86.4</v>
      </c>
      <c r="R35" s="75">
        <f t="shared" si="8"/>
        <v>86.4</v>
      </c>
      <c r="S35" s="76">
        <f>IF('MK5-BP'!D43="","",'MK5-BP'!D43)</f>
        <v>64.099999999999994</v>
      </c>
      <c r="T35" s="76">
        <f>IF('MK5-BP'!E41="","",'MK5-BP'!E41)</f>
        <v>67.2</v>
      </c>
      <c r="U35" s="76">
        <f t="shared" si="58"/>
        <v>65.650000000000006</v>
      </c>
      <c r="V35" s="38">
        <f>IF('MK7-MBD'!D43="","",'MK7-MBD'!D43)</f>
        <v>88</v>
      </c>
      <c r="W35" s="38">
        <f>IF('MK7-MBD'!E43="","",'MK7-MBD'!E43)</f>
        <v>88</v>
      </c>
      <c r="X35" s="38">
        <f t="shared" si="9"/>
        <v>88</v>
      </c>
      <c r="Y35" s="77">
        <f>IF(MK8_BID!D43="","",MK8_BID!D43)</f>
        <v>79</v>
      </c>
      <c r="Z35" s="77">
        <f>IF(MK8_BID!E43="","",MK8_BID!E43)</f>
        <v>79</v>
      </c>
      <c r="AA35" s="77">
        <f t="shared" si="10"/>
        <v>79</v>
      </c>
      <c r="AB35" s="78">
        <f>IF('MK16-AGM'!D43="","",'MK16-AGM'!D43)</f>
        <v>90.65</v>
      </c>
      <c r="AC35" s="78">
        <f>IF('MK16-AGM'!E43="","",'MK16-AGM'!E43)</f>
        <v>90.65</v>
      </c>
      <c r="AD35" s="78">
        <f t="shared" si="11"/>
        <v>90.65</v>
      </c>
      <c r="AF35" s="79">
        <f t="shared" ref="AF35:AF47" si="72">IFERROR((D35*($D$9/100)+G35*($G$9/100)+M35*($M$9/100)+V35*($V$9/100)),"")</f>
        <v>141.53</v>
      </c>
      <c r="AG35" s="80">
        <f t="shared" si="59"/>
        <v>65.827906976744188</v>
      </c>
      <c r="AH35" s="79" t="str">
        <f>IFERROR((#REF!*(#REF!/100)),"")</f>
        <v/>
      </c>
      <c r="AI35" s="80" t="str">
        <f t="shared" si="12"/>
        <v/>
      </c>
      <c r="AJ35" s="79">
        <f t="shared" ref="AJ35:AJ46" si="73">IFERROR((P35*($P$9/100)+S35*($S$9/100)),"")</f>
        <v>75.25</v>
      </c>
      <c r="AK35" s="80">
        <f t="shared" si="14"/>
        <v>75.25</v>
      </c>
      <c r="AL35" s="79" t="str">
        <f>IFERROR((#REF!*(#REF!/100)),"")</f>
        <v/>
      </c>
      <c r="AM35" s="80" t="str">
        <f t="shared" si="15"/>
        <v/>
      </c>
      <c r="AN35" s="80"/>
      <c r="AO35" s="80"/>
      <c r="AP35" s="80"/>
      <c r="AQ35" s="80"/>
      <c r="AR35" s="80"/>
      <c r="AS35" s="80"/>
      <c r="AT35" s="80"/>
      <c r="AU35" s="80"/>
      <c r="AV35" s="79">
        <f t="shared" ref="AV35:AV46" si="74">IFERROR((Q35*($Q$9/100)+T35*($T$9/100)),"")</f>
        <v>76.800000000000011</v>
      </c>
      <c r="AW35" s="80">
        <f t="shared" si="60"/>
        <v>76.800000000000011</v>
      </c>
      <c r="AX35" s="79" t="str">
        <f>IFERROR((Y35*($Y$9/100)+AB35*($AB$9/100)+#REF!*(#REF!/100)),"")</f>
        <v/>
      </c>
      <c r="AY35" s="80" t="str">
        <f t="shared" si="17"/>
        <v/>
      </c>
      <c r="AZ35" s="80"/>
      <c r="BA35" s="80"/>
      <c r="BB35" s="79" t="str">
        <f>IFERROR((#REF!*(#REF!/100)+#REF!*(#REF!/100)+#REF!*(#REF!/100)),"")</f>
        <v/>
      </c>
      <c r="BC35" s="80" t="str">
        <f t="shared" si="61"/>
        <v/>
      </c>
      <c r="BD35" s="79">
        <f t="shared" ref="BD35:BD47" si="75">IFERROR((E35*($E$9/100)+K35*($K$9/100)+N35*($N$9/100)+W35*($W$9/100)),"")</f>
        <v>150.73000000000002</v>
      </c>
      <c r="BE35" s="80">
        <f t="shared" si="62"/>
        <v>88.146198830409375</v>
      </c>
      <c r="BF35" s="2" t="str">
        <f>IFERROR((Z35*($Z$9/100)+AC35*($AC$9/100)+#REF!*(#REF!/100)),"")</f>
        <v/>
      </c>
      <c r="BG35" s="79" t="str">
        <f t="shared" si="63"/>
        <v/>
      </c>
      <c r="BJ35" s="4">
        <f t="shared" si="18"/>
        <v>44</v>
      </c>
      <c r="BK35" s="89">
        <f t="shared" si="64"/>
        <v>0.88</v>
      </c>
      <c r="BL35" s="4">
        <f t="shared" si="19"/>
        <v>39.5</v>
      </c>
      <c r="BM35" s="89">
        <f t="shared" si="65"/>
        <v>0.79</v>
      </c>
      <c r="BN35" s="81">
        <f t="shared" si="20"/>
        <v>39.5</v>
      </c>
      <c r="BO35" s="89">
        <f t="shared" si="66"/>
        <v>0.79</v>
      </c>
      <c r="BP35" s="81">
        <f t="shared" si="21"/>
        <v>40.75</v>
      </c>
      <c r="BQ35" s="89">
        <f t="shared" si="22"/>
        <v>0.81499999999999995</v>
      </c>
      <c r="BR35" s="4"/>
      <c r="BS35" s="4"/>
      <c r="BT35" s="81">
        <f t="shared" si="67"/>
        <v>45.75</v>
      </c>
      <c r="BU35" s="87">
        <f t="shared" si="23"/>
        <v>0.91500000000000004</v>
      </c>
      <c r="BV35" s="4"/>
      <c r="BW35" s="4"/>
      <c r="BX35" s="4"/>
      <c r="BY35" s="4"/>
      <c r="BZ35" s="81"/>
      <c r="CA35" s="89" t="str">
        <f t="shared" si="24"/>
        <v/>
      </c>
      <c r="CB35" s="81"/>
      <c r="CC35" s="89"/>
      <c r="CD35" s="81"/>
      <c r="CE35" s="89" t="str">
        <f t="shared" si="25"/>
        <v/>
      </c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81">
        <f t="shared" si="26"/>
        <v>43.2</v>
      </c>
      <c r="CQ35" s="87">
        <f t="shared" si="27"/>
        <v>0.8640000000000001</v>
      </c>
      <c r="CR35" s="4">
        <f t="shared" si="28"/>
        <v>43.2</v>
      </c>
      <c r="CS35" s="87">
        <f t="shared" si="29"/>
        <v>0.8640000000000001</v>
      </c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81">
        <f t="shared" si="30"/>
        <v>42.5</v>
      </c>
      <c r="DS35" s="87">
        <f t="shared" si="31"/>
        <v>0.85</v>
      </c>
      <c r="DT35" s="4"/>
      <c r="DU35" s="4"/>
      <c r="DV35" s="4"/>
      <c r="DW35" s="4"/>
      <c r="DX35" s="81">
        <f t="shared" si="32"/>
        <v>42.5</v>
      </c>
      <c r="DY35" s="89">
        <f t="shared" si="33"/>
        <v>0.85</v>
      </c>
      <c r="DZ35" s="81"/>
      <c r="EA35" s="89"/>
      <c r="EB35" s="81">
        <f t="shared" si="34"/>
        <v>14.280000000000001</v>
      </c>
      <c r="EC35" s="89">
        <f t="shared" si="35"/>
        <v>0.89250000000000007</v>
      </c>
      <c r="ED35" s="80">
        <f t="shared" si="68"/>
        <v>14.08</v>
      </c>
      <c r="EE35" s="89">
        <f t="shared" si="36"/>
        <v>0.88</v>
      </c>
      <c r="EF35" s="198">
        <f t="shared" si="69"/>
        <v>22.9788</v>
      </c>
      <c r="EG35" s="89">
        <f t="shared" si="38"/>
        <v>0.88380000000000003</v>
      </c>
      <c r="EH35" s="80">
        <f t="shared" si="70"/>
        <v>19.229699999999998</v>
      </c>
      <c r="EI35" s="89">
        <f t="shared" si="40"/>
        <v>0.91569999999999985</v>
      </c>
      <c r="EJ35" s="4"/>
      <c r="EK35" s="4"/>
      <c r="EL35" s="81">
        <f t="shared" si="71"/>
        <v>18.48</v>
      </c>
      <c r="EM35" s="87">
        <f t="shared" si="42"/>
        <v>0.88380000000000003</v>
      </c>
      <c r="EN35" s="4"/>
      <c r="EO35" s="4" t="str">
        <f t="shared" si="43"/>
        <v/>
      </c>
      <c r="EP35" s="4"/>
      <c r="EQ35" s="4"/>
      <c r="ER35" s="4">
        <f t="shared" si="44"/>
        <v>32.049999999999997</v>
      </c>
      <c r="ES35" s="87">
        <f t="shared" si="45"/>
        <v>0.6409999999999999</v>
      </c>
      <c r="ET35" s="4">
        <f t="shared" si="46"/>
        <v>33.6</v>
      </c>
      <c r="EU35" s="87">
        <f t="shared" si="47"/>
        <v>0.67200000000000004</v>
      </c>
      <c r="EV35" s="81" t="str">
        <f>IFERROR(IF(#REF!="","",IFERROR(#REF!*(#REF!/100),"")),"")</f>
        <v/>
      </c>
      <c r="EW35" s="89" t="str">
        <f t="shared" si="48"/>
        <v/>
      </c>
      <c r="EX35" s="80">
        <f t="shared" si="49"/>
        <v>45.325000000000003</v>
      </c>
      <c r="EY35" s="89">
        <f t="shared" si="50"/>
        <v>0.90650000000000008</v>
      </c>
      <c r="EZ35" s="80">
        <f t="shared" si="51"/>
        <v>45.325000000000003</v>
      </c>
      <c r="FA35" s="89">
        <f t="shared" si="52"/>
        <v>0.90650000000000008</v>
      </c>
      <c r="FB35" s="89"/>
      <c r="FC35" s="89"/>
      <c r="FD35" s="81" t="str">
        <f>IFERROR(IF(#REF!="","",IFERROR(#REF!*(#REF!/100),""))+IF(#REF!="","",IFERROR(#REF!*(#REF!/100),"")),"")</f>
        <v/>
      </c>
      <c r="FE35" s="89" t="str">
        <f t="shared" si="53"/>
        <v/>
      </c>
      <c r="FF35" s="183">
        <f t="shared" ref="FF35:FF46" si="76">IFERROR(IF(E35="","",IFERROR(E35*($E$9/100),""))+IF(K35="","",IFERROR(K35*($K$9/100),""))+IF(N35="","",IFERROR(N35*($N$9/100),""))+IF(W35="","",IFERROR(W35*($W$9/100),"")),"")</f>
        <v>150.73000000000002</v>
      </c>
      <c r="FG35" s="184">
        <f t="shared" si="54"/>
        <v>0.88146198830409372</v>
      </c>
      <c r="FH35" s="92"/>
      <c r="FI35" s="92"/>
      <c r="FJ35" s="183" t="str">
        <f>IFERROR(IF(AC35="","",IFERROR(AC35*($AC$9/100),""))+IF(#REF!="","",IFERROR(#REF!*(#REF!/100),"")),"")</f>
        <v/>
      </c>
      <c r="FK35" s="184" t="str">
        <f t="shared" si="55"/>
        <v/>
      </c>
      <c r="FL35" s="183">
        <f t="shared" ref="FL35:FL46" si="77">IFERROR(IF(Z35="","",IFERROR(Z35*($Z$9/100),"")),"")</f>
        <v>39.5</v>
      </c>
      <c r="FM35" s="184">
        <f t="shared" si="56"/>
        <v>0.79</v>
      </c>
      <c r="FN35" s="182">
        <f t="shared" ref="FN35:FN46" si="78">SUM(BJ35:FL35)</f>
        <v>832.55976198830422</v>
      </c>
      <c r="FO35" s="101" t="e">
        <f t="shared" si="57"/>
        <v>#REF!</v>
      </c>
    </row>
    <row r="36" spans="1:171">
      <c r="A36" s="206">
        <v>26</v>
      </c>
      <c r="B36" s="207" t="s">
        <v>330</v>
      </c>
      <c r="C36" s="207" t="s">
        <v>331</v>
      </c>
      <c r="D36" s="73">
        <f>'MK1-TM'!D44</f>
        <v>80.25</v>
      </c>
      <c r="E36" s="73">
        <f>'MK1-TM'!E44</f>
        <v>80.25</v>
      </c>
      <c r="F36" s="73">
        <f t="shared" si="5"/>
        <v>80.25</v>
      </c>
      <c r="G36" s="91">
        <f>'MK2-TO'!D44</f>
        <v>76.38</v>
      </c>
      <c r="H36" s="91">
        <f>'MK2-TO'!E44</f>
        <v>76.38</v>
      </c>
      <c r="I36" s="91">
        <f>'MK2-TO'!F44</f>
        <v>75.08</v>
      </c>
      <c r="J36" s="91">
        <f>'MK2-TO'!G44</f>
        <v>75.569999999999993</v>
      </c>
      <c r="K36" s="91">
        <f>'MK2-TO'!H44</f>
        <v>75.569999999999993</v>
      </c>
      <c r="L36" s="91">
        <f t="shared" si="6"/>
        <v>75.701799999999992</v>
      </c>
      <c r="M36" s="74">
        <f>'MK3-PSTI'!D44</f>
        <v>50.3</v>
      </c>
      <c r="N36" s="74">
        <f>'MK3-PSTI'!E44</f>
        <v>43.3</v>
      </c>
      <c r="O36" s="74">
        <f t="shared" si="7"/>
        <v>46.8</v>
      </c>
      <c r="P36" s="75">
        <f>IF('MK4-L&amp;A'!D44="","",'MK4-L&amp;A'!D44)</f>
        <v>46</v>
      </c>
      <c r="Q36" s="75">
        <f>IF('MK4-L&amp;A'!E44="","",'MK4-L&amp;A'!E44)</f>
        <v>59</v>
      </c>
      <c r="R36" s="75">
        <f t="shared" si="8"/>
        <v>52.5</v>
      </c>
      <c r="S36" s="76">
        <f>IF('MK5-BP'!D44="","",'MK5-BP'!D44)</f>
        <v>85.5</v>
      </c>
      <c r="T36" s="76">
        <f>IF('MK5-BP'!E42="","",'MK5-BP'!E42)</f>
        <v>66.900000000000006</v>
      </c>
      <c r="U36" s="76">
        <f t="shared" si="58"/>
        <v>76.2</v>
      </c>
      <c r="V36" s="38">
        <f>IF('MK7-MBD'!D44="","",'MK7-MBD'!D44)</f>
        <v>90.1</v>
      </c>
      <c r="W36" s="38">
        <f>IF('MK7-MBD'!E44="","",'MK7-MBD'!E44)</f>
        <v>90.1</v>
      </c>
      <c r="X36" s="38">
        <f t="shared" si="9"/>
        <v>90.1</v>
      </c>
      <c r="Y36" s="77">
        <f>IF(MK8_BID!D41="","",MK8_BID!D41)</f>
        <v>83.15</v>
      </c>
      <c r="Z36" s="77">
        <f>IF(MK8_BID!E41="","",MK8_BID!E41)</f>
        <v>83.15</v>
      </c>
      <c r="AA36" s="77">
        <f t="shared" si="10"/>
        <v>83.15</v>
      </c>
      <c r="AB36" s="78">
        <f>IF('MK16-AGM'!D44="","",'MK16-AGM'!D44)</f>
        <v>90.2</v>
      </c>
      <c r="AC36" s="78">
        <f>IF('MK16-AGM'!E44="","",'MK16-AGM'!E44)</f>
        <v>89</v>
      </c>
      <c r="AD36" s="78">
        <f t="shared" si="11"/>
        <v>89.6</v>
      </c>
      <c r="AF36" s="79">
        <f t="shared" si="72"/>
        <v>122.5458</v>
      </c>
      <c r="AG36" s="80">
        <f t="shared" si="59"/>
        <v>56.998046511627912</v>
      </c>
      <c r="AH36" s="79" t="str">
        <f>IFERROR((#REF!*(#REF!/100)),"")</f>
        <v/>
      </c>
      <c r="AI36" s="80" t="str">
        <f t="shared" si="12"/>
        <v/>
      </c>
      <c r="AJ36" s="79">
        <f t="shared" si="73"/>
        <v>65.75</v>
      </c>
      <c r="AK36" s="80">
        <f t="shared" si="14"/>
        <v>65.75</v>
      </c>
      <c r="AL36" s="79" t="str">
        <f>IFERROR((#REF!*(#REF!/100)),"")</f>
        <v/>
      </c>
      <c r="AM36" s="80" t="str">
        <f t="shared" si="15"/>
        <v/>
      </c>
      <c r="AN36" s="80"/>
      <c r="AO36" s="80"/>
      <c r="AP36" s="80"/>
      <c r="AQ36" s="80"/>
      <c r="AR36" s="80"/>
      <c r="AS36" s="80"/>
      <c r="AT36" s="80"/>
      <c r="AU36" s="80"/>
      <c r="AV36" s="79">
        <f t="shared" si="74"/>
        <v>62.95</v>
      </c>
      <c r="AW36" s="80">
        <f t="shared" si="60"/>
        <v>62.95</v>
      </c>
      <c r="AX36" s="79" t="str">
        <f>IFERROR((Y36*($Y$9/100)+AB36*($AB$9/100)+#REF!*(#REF!/100)),"")</f>
        <v/>
      </c>
      <c r="AY36" s="80" t="str">
        <f t="shared" si="17"/>
        <v/>
      </c>
      <c r="AZ36" s="80"/>
      <c r="BA36" s="80"/>
      <c r="BB36" s="79" t="str">
        <f>IFERROR((#REF!*(#REF!/100)+#REF!*(#REF!/100)+#REF!*(#REF!/100)),"")</f>
        <v/>
      </c>
      <c r="BC36" s="80" t="str">
        <f t="shared" si="61"/>
        <v/>
      </c>
      <c r="BD36" s="79">
        <f t="shared" si="75"/>
        <v>122.6947</v>
      </c>
      <c r="BE36" s="80">
        <f t="shared" si="62"/>
        <v>71.751286549707601</v>
      </c>
      <c r="BF36" s="2" t="str">
        <f>IFERROR((Z36*($Z$9/100)+AC36*($AC$9/100)+#REF!*(#REF!/100)),"")</f>
        <v/>
      </c>
      <c r="BG36" s="79" t="str">
        <f t="shared" si="63"/>
        <v/>
      </c>
      <c r="BJ36" s="4">
        <f t="shared" si="18"/>
        <v>45.05</v>
      </c>
      <c r="BK36" s="89">
        <f t="shared" si="64"/>
        <v>0.90099999999999991</v>
      </c>
      <c r="BL36" s="4">
        <f t="shared" si="19"/>
        <v>41.575000000000003</v>
      </c>
      <c r="BM36" s="89">
        <f t="shared" si="65"/>
        <v>0.83150000000000002</v>
      </c>
      <c r="BN36" s="81">
        <f t="shared" si="20"/>
        <v>41.575000000000003</v>
      </c>
      <c r="BO36" s="89">
        <f t="shared" si="66"/>
        <v>0.83150000000000002</v>
      </c>
      <c r="BP36" s="81">
        <f t="shared" si="21"/>
        <v>40.125</v>
      </c>
      <c r="BQ36" s="89">
        <f t="shared" si="22"/>
        <v>0.80249999999999999</v>
      </c>
      <c r="BR36" s="4"/>
      <c r="BS36" s="4"/>
      <c r="BT36" s="81">
        <f t="shared" si="67"/>
        <v>40.125</v>
      </c>
      <c r="BU36" s="87">
        <f t="shared" si="23"/>
        <v>0.80249999999999999</v>
      </c>
      <c r="BV36" s="4"/>
      <c r="BW36" s="4"/>
      <c r="BX36" s="4"/>
      <c r="BY36" s="4"/>
      <c r="BZ36" s="81"/>
      <c r="CA36" s="89" t="str">
        <f t="shared" si="24"/>
        <v/>
      </c>
      <c r="CB36" s="81"/>
      <c r="CC36" s="89"/>
      <c r="CD36" s="81"/>
      <c r="CE36" s="89" t="str">
        <f t="shared" si="25"/>
        <v/>
      </c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81">
        <f t="shared" si="26"/>
        <v>23</v>
      </c>
      <c r="CQ36" s="87">
        <f t="shared" si="27"/>
        <v>0.46</v>
      </c>
      <c r="CR36" s="4">
        <f t="shared" si="28"/>
        <v>29.5</v>
      </c>
      <c r="CS36" s="87">
        <f t="shared" si="29"/>
        <v>0.59</v>
      </c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81">
        <f t="shared" si="30"/>
        <v>25.15</v>
      </c>
      <c r="DS36" s="87">
        <f t="shared" si="31"/>
        <v>0.503</v>
      </c>
      <c r="DT36" s="4"/>
      <c r="DU36" s="4"/>
      <c r="DV36" s="4"/>
      <c r="DW36" s="4"/>
      <c r="DX36" s="81">
        <f t="shared" si="32"/>
        <v>21.65</v>
      </c>
      <c r="DY36" s="89">
        <f t="shared" si="33"/>
        <v>0.433</v>
      </c>
      <c r="DZ36" s="81"/>
      <c r="EA36" s="89"/>
      <c r="EB36" s="81">
        <f t="shared" si="34"/>
        <v>12.220799999999999</v>
      </c>
      <c r="EC36" s="89">
        <f t="shared" si="35"/>
        <v>0.76379999999999992</v>
      </c>
      <c r="ED36" s="80">
        <f t="shared" si="68"/>
        <v>12.220799999999999</v>
      </c>
      <c r="EE36" s="89">
        <f t="shared" si="36"/>
        <v>0.76379999999999992</v>
      </c>
      <c r="EF36" s="198">
        <f t="shared" si="69"/>
        <v>19.520800000000001</v>
      </c>
      <c r="EG36" s="89">
        <f t="shared" si="38"/>
        <v>0.75080000000000002</v>
      </c>
      <c r="EH36" s="80">
        <f t="shared" si="70"/>
        <v>15.869699999999998</v>
      </c>
      <c r="EI36" s="89">
        <f t="shared" si="40"/>
        <v>0.75569999999999993</v>
      </c>
      <c r="EJ36" s="4"/>
      <c r="EK36" s="4"/>
      <c r="EL36" s="81">
        <f t="shared" si="71"/>
        <v>15.869699999999998</v>
      </c>
      <c r="EM36" s="87">
        <f t="shared" si="42"/>
        <v>0.75080000000000002</v>
      </c>
      <c r="EN36" s="4"/>
      <c r="EO36" s="4" t="str">
        <f t="shared" si="43"/>
        <v/>
      </c>
      <c r="EP36" s="4"/>
      <c r="EQ36" s="4"/>
      <c r="ER36" s="4">
        <f t="shared" si="44"/>
        <v>42.75</v>
      </c>
      <c r="ES36" s="87">
        <f t="shared" si="45"/>
        <v>0.85499999999999998</v>
      </c>
      <c r="ET36" s="4">
        <f t="shared" si="46"/>
        <v>33.450000000000003</v>
      </c>
      <c r="EU36" s="87">
        <f t="shared" si="47"/>
        <v>0.66900000000000004</v>
      </c>
      <c r="EV36" s="81" t="str">
        <f>IFERROR(IF(#REF!="","",IFERROR(#REF!*(#REF!/100),"")),"")</f>
        <v/>
      </c>
      <c r="EW36" s="89" t="str">
        <f t="shared" si="48"/>
        <v/>
      </c>
      <c r="EX36" s="80">
        <f t="shared" si="49"/>
        <v>45.1</v>
      </c>
      <c r="EY36" s="89">
        <f t="shared" si="50"/>
        <v>0.90200000000000002</v>
      </c>
      <c r="EZ36" s="80">
        <f t="shared" si="51"/>
        <v>44.5</v>
      </c>
      <c r="FA36" s="89">
        <f t="shared" si="52"/>
        <v>0.89</v>
      </c>
      <c r="FB36" s="89"/>
      <c r="FC36" s="89"/>
      <c r="FD36" s="81" t="str">
        <f>IFERROR(IF(#REF!="","",IFERROR(#REF!*(#REF!/100),""))+IF(#REF!="","",IFERROR(#REF!*(#REF!/100),"")),"")</f>
        <v/>
      </c>
      <c r="FE36" s="89" t="str">
        <f t="shared" si="53"/>
        <v/>
      </c>
      <c r="FF36" s="183">
        <f t="shared" si="76"/>
        <v>122.6947</v>
      </c>
      <c r="FG36" s="184">
        <f t="shared" si="54"/>
        <v>0.71751286549707605</v>
      </c>
      <c r="FH36" s="92"/>
      <c r="FI36" s="92"/>
      <c r="FJ36" s="183" t="str">
        <f>IFERROR(IF(AC36="","",IFERROR(AC36*($AC$9/100),""))+IF(#REF!="","",IFERROR(#REF!*(#REF!/100),"")),"")</f>
        <v/>
      </c>
      <c r="FK36" s="184" t="str">
        <f t="shared" si="55"/>
        <v/>
      </c>
      <c r="FL36" s="183">
        <f t="shared" si="77"/>
        <v>41.575000000000003</v>
      </c>
      <c r="FM36" s="184">
        <f t="shared" si="56"/>
        <v>0.83150000000000002</v>
      </c>
      <c r="FN36" s="182">
        <f t="shared" si="78"/>
        <v>727.49491286549721</v>
      </c>
      <c r="FO36" s="101" t="e">
        <f t="shared" si="57"/>
        <v>#REF!</v>
      </c>
    </row>
    <row r="37" spans="1:171">
      <c r="A37" s="206">
        <v>27</v>
      </c>
      <c r="B37" s="207" t="s">
        <v>332</v>
      </c>
      <c r="C37" s="207" t="s">
        <v>333</v>
      </c>
      <c r="D37" s="73">
        <f>'MK1-TM'!D45</f>
        <v>85.5</v>
      </c>
      <c r="E37" s="73">
        <f>'MK1-TM'!E45</f>
        <v>85.5</v>
      </c>
      <c r="F37" s="73">
        <f t="shared" si="5"/>
        <v>85.5</v>
      </c>
      <c r="G37" s="91">
        <f>'MK2-TO'!D45</f>
        <v>86.88</v>
      </c>
      <c r="H37" s="91">
        <f>'MK2-TO'!E45</f>
        <v>86.88</v>
      </c>
      <c r="I37" s="91">
        <f>'MK2-TO'!F45</f>
        <v>86.15</v>
      </c>
      <c r="J37" s="91">
        <f>'MK2-TO'!G45</f>
        <v>86.43</v>
      </c>
      <c r="K37" s="91">
        <f>'MK2-TO'!H45</f>
        <v>86.43</v>
      </c>
      <c r="L37" s="91">
        <f t="shared" si="6"/>
        <v>86.501200000000011</v>
      </c>
      <c r="M37" s="74">
        <f>'MK3-PSTI'!D45</f>
        <v>79.5</v>
      </c>
      <c r="N37" s="74">
        <f>'MK3-PSTI'!E45</f>
        <v>93</v>
      </c>
      <c r="O37" s="74">
        <f t="shared" si="7"/>
        <v>86.25</v>
      </c>
      <c r="P37" s="75">
        <f>IF('MK4-L&amp;A'!D45="","",'MK4-L&amp;A'!D45)</f>
        <v>81</v>
      </c>
      <c r="Q37" s="75">
        <f>IF('MK4-L&amp;A'!E45="","",'MK4-L&amp;A'!E45)</f>
        <v>88</v>
      </c>
      <c r="R37" s="75">
        <f t="shared" si="8"/>
        <v>84.5</v>
      </c>
      <c r="S37" s="76">
        <f>IF('MK5-BP'!D45="","",'MK5-BP'!D45)</f>
        <v>99.4</v>
      </c>
      <c r="T37" s="76">
        <f>IF('MK5-BP'!E43="","",'MK5-BP'!E43)</f>
        <v>80.900000000000006</v>
      </c>
      <c r="U37" s="76">
        <f t="shared" si="58"/>
        <v>90.15</v>
      </c>
      <c r="V37" s="38">
        <f>IF('MK7-MBD'!D45="","",'MK7-MBD'!D45)</f>
        <v>92.2</v>
      </c>
      <c r="W37" s="38">
        <f>IF('MK7-MBD'!E45="","",'MK7-MBD'!E45)</f>
        <v>93.2</v>
      </c>
      <c r="X37" s="38">
        <f t="shared" si="9"/>
        <v>92.7</v>
      </c>
      <c r="Y37" s="77">
        <f>IF(MK8_BID!D42="","",MK8_BID!D42)</f>
        <v>80.400000000000006</v>
      </c>
      <c r="Z37" s="77">
        <f>IF(MK8_BID!E42="","",MK8_BID!E42)</f>
        <v>80.400000000000006</v>
      </c>
      <c r="AA37" s="77">
        <f t="shared" si="10"/>
        <v>80.400000000000006</v>
      </c>
      <c r="AB37" s="78">
        <f>IF('MK16-AGM'!D45="","",'MK16-AGM'!D45)</f>
        <v>91</v>
      </c>
      <c r="AC37" s="78">
        <f>IF('MK16-AGM'!E45="","",'MK16-AGM'!E45)</f>
        <v>93.1</v>
      </c>
      <c r="AD37" s="78">
        <f t="shared" si="11"/>
        <v>92.05</v>
      </c>
      <c r="AF37" s="79">
        <f t="shared" si="72"/>
        <v>142.5008</v>
      </c>
      <c r="AG37" s="80">
        <f t="shared" si="59"/>
        <v>66.279441860465113</v>
      </c>
      <c r="AH37" s="79" t="str">
        <f>IFERROR((#REF!*(#REF!/100)),"")</f>
        <v/>
      </c>
      <c r="AI37" s="80" t="str">
        <f t="shared" si="12"/>
        <v/>
      </c>
      <c r="AJ37" s="79">
        <f t="shared" si="73"/>
        <v>90.2</v>
      </c>
      <c r="AK37" s="80">
        <f t="shared" si="14"/>
        <v>90.2</v>
      </c>
      <c r="AL37" s="79" t="str">
        <f>IFERROR((#REF!*(#REF!/100)),"")</f>
        <v/>
      </c>
      <c r="AM37" s="80" t="str">
        <f t="shared" si="15"/>
        <v/>
      </c>
      <c r="AN37" s="80"/>
      <c r="AO37" s="80"/>
      <c r="AP37" s="80"/>
      <c r="AQ37" s="80"/>
      <c r="AR37" s="80"/>
      <c r="AS37" s="80"/>
      <c r="AT37" s="80"/>
      <c r="AU37" s="80"/>
      <c r="AV37" s="79">
        <f t="shared" si="74"/>
        <v>84.45</v>
      </c>
      <c r="AW37" s="80">
        <f t="shared" si="60"/>
        <v>84.45</v>
      </c>
      <c r="AX37" s="79" t="str">
        <f>IFERROR((Y37*($Y$9/100)+AB37*($AB$9/100)+#REF!*(#REF!/100)),"")</f>
        <v/>
      </c>
      <c r="AY37" s="80" t="str">
        <f t="shared" si="17"/>
        <v/>
      </c>
      <c r="AZ37" s="80"/>
      <c r="BA37" s="80"/>
      <c r="BB37" s="79" t="str">
        <f>IFERROR((#REF!*(#REF!/100)+#REF!*(#REF!/100)+#REF!*(#REF!/100)),"")</f>
        <v/>
      </c>
      <c r="BC37" s="80" t="str">
        <f t="shared" si="61"/>
        <v/>
      </c>
      <c r="BD37" s="79">
        <f t="shared" si="75"/>
        <v>154.00030000000001</v>
      </c>
      <c r="BE37" s="80">
        <f t="shared" si="62"/>
        <v>90.058654970760244</v>
      </c>
      <c r="BF37" s="2" t="str">
        <f>IFERROR((Z37*($Z$9/100)+AC37*($AC$9/100)+#REF!*(#REF!/100)),"")</f>
        <v/>
      </c>
      <c r="BG37" s="79" t="str">
        <f t="shared" si="63"/>
        <v/>
      </c>
      <c r="BJ37" s="4">
        <f t="shared" si="18"/>
        <v>46.1</v>
      </c>
      <c r="BK37" s="89">
        <f t="shared" si="64"/>
        <v>0.92200000000000004</v>
      </c>
      <c r="BL37" s="4">
        <f t="shared" si="19"/>
        <v>40.200000000000003</v>
      </c>
      <c r="BM37" s="89">
        <f t="shared" si="65"/>
        <v>0.80400000000000005</v>
      </c>
      <c r="BN37" s="81">
        <f t="shared" si="20"/>
        <v>40.200000000000003</v>
      </c>
      <c r="BO37" s="89">
        <f t="shared" si="66"/>
        <v>0.80400000000000005</v>
      </c>
      <c r="BP37" s="81">
        <f t="shared" si="21"/>
        <v>42.75</v>
      </c>
      <c r="BQ37" s="89">
        <f t="shared" si="22"/>
        <v>0.85499999999999998</v>
      </c>
      <c r="BR37" s="4"/>
      <c r="BS37" s="4"/>
      <c r="BT37" s="81">
        <f t="shared" si="67"/>
        <v>42.75</v>
      </c>
      <c r="BU37" s="87">
        <f t="shared" si="23"/>
        <v>0.85499999999999998</v>
      </c>
      <c r="BV37" s="4"/>
      <c r="BW37" s="4"/>
      <c r="BX37" s="4"/>
      <c r="BY37" s="4"/>
      <c r="BZ37" s="81"/>
      <c r="CA37" s="89" t="str">
        <f t="shared" si="24"/>
        <v/>
      </c>
      <c r="CB37" s="81"/>
      <c r="CC37" s="89"/>
      <c r="CD37" s="81"/>
      <c r="CE37" s="89" t="str">
        <f t="shared" si="25"/>
        <v/>
      </c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81">
        <f t="shared" si="26"/>
        <v>40.5</v>
      </c>
      <c r="CQ37" s="87">
        <f t="shared" si="27"/>
        <v>0.81</v>
      </c>
      <c r="CR37" s="4">
        <f t="shared" si="28"/>
        <v>44</v>
      </c>
      <c r="CS37" s="87">
        <f t="shared" si="29"/>
        <v>0.88</v>
      </c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81">
        <f t="shared" si="30"/>
        <v>39.75</v>
      </c>
      <c r="DS37" s="87">
        <f t="shared" si="31"/>
        <v>0.79500000000000004</v>
      </c>
      <c r="DT37" s="4"/>
      <c r="DU37" s="4"/>
      <c r="DV37" s="4"/>
      <c r="DW37" s="4"/>
      <c r="DX37" s="81">
        <f t="shared" si="32"/>
        <v>46.5</v>
      </c>
      <c r="DY37" s="89">
        <f t="shared" si="33"/>
        <v>0.93</v>
      </c>
      <c r="DZ37" s="81"/>
      <c r="EA37" s="89"/>
      <c r="EB37" s="81">
        <f t="shared" si="34"/>
        <v>13.9008</v>
      </c>
      <c r="EC37" s="89">
        <f t="shared" si="35"/>
        <v>0.86880000000000002</v>
      </c>
      <c r="ED37" s="80">
        <f t="shared" si="68"/>
        <v>13.9008</v>
      </c>
      <c r="EE37" s="89">
        <f t="shared" si="36"/>
        <v>0.86880000000000002</v>
      </c>
      <c r="EF37" s="198">
        <f t="shared" si="69"/>
        <v>22.399000000000001</v>
      </c>
      <c r="EG37" s="89">
        <f t="shared" si="38"/>
        <v>0.86150000000000004</v>
      </c>
      <c r="EH37" s="80">
        <f t="shared" si="70"/>
        <v>18.150300000000001</v>
      </c>
      <c r="EI37" s="89">
        <f t="shared" si="40"/>
        <v>0.86430000000000007</v>
      </c>
      <c r="EJ37" s="4"/>
      <c r="EK37" s="4"/>
      <c r="EL37" s="81">
        <f t="shared" si="71"/>
        <v>18.150300000000001</v>
      </c>
      <c r="EM37" s="87">
        <f t="shared" si="42"/>
        <v>0.86150000000000004</v>
      </c>
      <c r="EN37" s="4"/>
      <c r="EO37" s="4" t="str">
        <f t="shared" si="43"/>
        <v/>
      </c>
      <c r="EP37" s="4"/>
      <c r="EQ37" s="4"/>
      <c r="ER37" s="4">
        <f t="shared" si="44"/>
        <v>49.7</v>
      </c>
      <c r="ES37" s="87">
        <f t="shared" si="45"/>
        <v>0.99400000000000011</v>
      </c>
      <c r="ET37" s="4">
        <f t="shared" si="46"/>
        <v>40.450000000000003</v>
      </c>
      <c r="EU37" s="87">
        <f t="shared" si="47"/>
        <v>0.80900000000000005</v>
      </c>
      <c r="EV37" s="81" t="str">
        <f>IFERROR(IF(#REF!="","",IFERROR(#REF!*(#REF!/100),"")),"")</f>
        <v/>
      </c>
      <c r="EW37" s="89" t="str">
        <f t="shared" si="48"/>
        <v/>
      </c>
      <c r="EX37" s="80">
        <f t="shared" si="49"/>
        <v>45.5</v>
      </c>
      <c r="EY37" s="89">
        <f t="shared" si="50"/>
        <v>0.91</v>
      </c>
      <c r="EZ37" s="80">
        <f t="shared" si="51"/>
        <v>46.55</v>
      </c>
      <c r="FA37" s="89">
        <f t="shared" si="52"/>
        <v>0.93099999999999994</v>
      </c>
      <c r="FB37" s="89"/>
      <c r="FC37" s="89"/>
      <c r="FD37" s="81" t="str">
        <f>IFERROR(IF(#REF!="","",IFERROR(#REF!*(#REF!/100),""))+IF(#REF!="","",IFERROR(#REF!*(#REF!/100),"")),"")</f>
        <v/>
      </c>
      <c r="FE37" s="89" t="str">
        <f t="shared" si="53"/>
        <v/>
      </c>
      <c r="FF37" s="183">
        <f t="shared" si="76"/>
        <v>154.00030000000001</v>
      </c>
      <c r="FG37" s="184">
        <f t="shared" si="54"/>
        <v>0.90058654970760244</v>
      </c>
      <c r="FH37" s="92"/>
      <c r="FI37" s="92"/>
      <c r="FJ37" s="183" t="str">
        <f>IFERROR(IF(AC37="","",IFERROR(AC37*($AC$9/100),""))+IF(#REF!="","",IFERROR(#REF!*(#REF!/100),"")),"")</f>
        <v/>
      </c>
      <c r="FK37" s="184" t="str">
        <f t="shared" si="55"/>
        <v/>
      </c>
      <c r="FL37" s="183">
        <f t="shared" si="77"/>
        <v>40.200000000000003</v>
      </c>
      <c r="FM37" s="184">
        <f t="shared" si="56"/>
        <v>0.80400000000000005</v>
      </c>
      <c r="FN37" s="182">
        <f t="shared" si="78"/>
        <v>862.17598654970777</v>
      </c>
      <c r="FO37" s="101" t="e">
        <f t="shared" si="57"/>
        <v>#REF!</v>
      </c>
    </row>
    <row r="38" spans="1:171">
      <c r="A38" s="206">
        <v>28</v>
      </c>
      <c r="B38" s="207" t="s">
        <v>334</v>
      </c>
      <c r="C38" s="207" t="s">
        <v>335</v>
      </c>
      <c r="D38" s="73">
        <f>'MK1-TM'!D46</f>
        <v>85.5</v>
      </c>
      <c r="E38" s="73">
        <f>'MK1-TM'!E46</f>
        <v>85.5</v>
      </c>
      <c r="F38" s="73">
        <f t="shared" si="5"/>
        <v>85.5</v>
      </c>
      <c r="G38" s="91">
        <f>'MK2-TO'!D46</f>
        <v>83.38</v>
      </c>
      <c r="H38" s="91">
        <f>'MK2-TO'!E46</f>
        <v>83.38</v>
      </c>
      <c r="I38" s="91">
        <f>'MK2-TO'!F46</f>
        <v>82.46</v>
      </c>
      <c r="J38" s="91">
        <f>'MK2-TO'!G46</f>
        <v>82.81</v>
      </c>
      <c r="K38" s="91">
        <f>'MK2-TO'!H46</f>
        <v>82.81</v>
      </c>
      <c r="L38" s="91">
        <f t="shared" si="6"/>
        <v>82.901399999999995</v>
      </c>
      <c r="M38" s="74">
        <f>'MK3-PSTI'!D46</f>
        <v>88.3</v>
      </c>
      <c r="N38" s="74">
        <f>'MK3-PSTI'!E46</f>
        <v>91.8</v>
      </c>
      <c r="O38" s="74">
        <f t="shared" si="7"/>
        <v>90.05</v>
      </c>
      <c r="P38" s="75">
        <f>IF('MK4-L&amp;A'!D46="","",'MK4-L&amp;A'!D46)</f>
        <v>73</v>
      </c>
      <c r="Q38" s="75">
        <f>IF('MK4-L&amp;A'!E46="","",'MK4-L&amp;A'!E46)</f>
        <v>82</v>
      </c>
      <c r="R38" s="75">
        <f t="shared" si="8"/>
        <v>77.5</v>
      </c>
      <c r="S38" s="76">
        <f>IF('MK5-BP'!D46="","",'MK5-BP'!D46)</f>
        <v>100</v>
      </c>
      <c r="T38" s="76">
        <f>IF('MK5-BP'!E44="","",'MK5-BP'!E44)</f>
        <v>82.7</v>
      </c>
      <c r="U38" s="76">
        <f t="shared" si="58"/>
        <v>91.35</v>
      </c>
      <c r="V38" s="38">
        <f>IF('MK7-MBD'!D46="","",'MK7-MBD'!D46)</f>
        <v>90.45</v>
      </c>
      <c r="W38" s="38">
        <f>IF('MK7-MBD'!E46="","",'MK7-MBD'!E46)</f>
        <v>90.45</v>
      </c>
      <c r="X38" s="38">
        <f t="shared" si="9"/>
        <v>90.45</v>
      </c>
      <c r="Y38" s="77">
        <f>IF(MK8_BID!D43="","",MK8_BID!D43)</f>
        <v>79</v>
      </c>
      <c r="Z38" s="77">
        <f>IF(MK8_BID!E43="","",MK8_BID!E43)</f>
        <v>79</v>
      </c>
      <c r="AA38" s="77">
        <f t="shared" si="10"/>
        <v>79</v>
      </c>
      <c r="AB38" s="78">
        <f>IF('MK16-AGM'!D46="","",'MK16-AGM'!D46)</f>
        <v>91</v>
      </c>
      <c r="AC38" s="78">
        <f>IF('MK16-AGM'!E46="","",'MK16-AGM'!E46)</f>
        <v>91.4</v>
      </c>
      <c r="AD38" s="78">
        <f t="shared" si="11"/>
        <v>91.2</v>
      </c>
      <c r="AF38" s="79">
        <f t="shared" si="72"/>
        <v>145.4658</v>
      </c>
      <c r="AG38" s="80">
        <f t="shared" si="59"/>
        <v>67.658511627906975</v>
      </c>
      <c r="AH38" s="79" t="str">
        <f>IFERROR((#REF!*(#REF!/100)),"")</f>
        <v/>
      </c>
      <c r="AI38" s="80" t="str">
        <f t="shared" si="12"/>
        <v/>
      </c>
      <c r="AJ38" s="79">
        <f t="shared" si="73"/>
        <v>86.5</v>
      </c>
      <c r="AK38" s="80">
        <f t="shared" si="14"/>
        <v>86.5</v>
      </c>
      <c r="AL38" s="79" t="str">
        <f>IFERROR((#REF!*(#REF!/100)),"")</f>
        <v/>
      </c>
      <c r="AM38" s="80" t="str">
        <f t="shared" si="15"/>
        <v/>
      </c>
      <c r="AN38" s="80"/>
      <c r="AO38" s="80"/>
      <c r="AP38" s="80"/>
      <c r="AQ38" s="80"/>
      <c r="AR38" s="80"/>
      <c r="AS38" s="80"/>
      <c r="AT38" s="80"/>
      <c r="AU38" s="80"/>
      <c r="AV38" s="79">
        <f t="shared" si="74"/>
        <v>82.35</v>
      </c>
      <c r="AW38" s="80">
        <f t="shared" si="60"/>
        <v>82.35</v>
      </c>
      <c r="AX38" s="79" t="str">
        <f>IFERROR((Y38*($Y$9/100)+AB38*($AB$9/100)+#REF!*(#REF!/100)),"")</f>
        <v/>
      </c>
      <c r="AY38" s="80" t="str">
        <f t="shared" si="17"/>
        <v/>
      </c>
      <c r="AZ38" s="80"/>
      <c r="BA38" s="80"/>
      <c r="BB38" s="79" t="str">
        <f>IFERROR((#REF!*(#REF!/100)+#REF!*(#REF!/100)+#REF!*(#REF!/100)),"")</f>
        <v/>
      </c>
      <c r="BC38" s="80" t="str">
        <f t="shared" si="61"/>
        <v/>
      </c>
      <c r="BD38" s="79">
        <f t="shared" si="75"/>
        <v>151.26509999999999</v>
      </c>
      <c r="BE38" s="80">
        <f t="shared" si="62"/>
        <v>88.459122807017536</v>
      </c>
      <c r="BF38" s="2" t="str">
        <f>IFERROR((Z38*($Z$9/100)+AC38*($AC$9/100)+#REF!*(#REF!/100)),"")</f>
        <v/>
      </c>
      <c r="BG38" s="79" t="str">
        <f t="shared" si="63"/>
        <v/>
      </c>
      <c r="BJ38" s="4">
        <f t="shared" si="18"/>
        <v>45.225000000000001</v>
      </c>
      <c r="BK38" s="89">
        <f t="shared" si="64"/>
        <v>0.90450000000000008</v>
      </c>
      <c r="BL38" s="4">
        <f t="shared" si="19"/>
        <v>39.5</v>
      </c>
      <c r="BM38" s="89">
        <f t="shared" si="65"/>
        <v>0.79</v>
      </c>
      <c r="BN38" s="81">
        <f t="shared" si="20"/>
        <v>39.5</v>
      </c>
      <c r="BO38" s="89">
        <f t="shared" si="66"/>
        <v>0.79</v>
      </c>
      <c r="BP38" s="81">
        <f t="shared" si="21"/>
        <v>42.75</v>
      </c>
      <c r="BQ38" s="89">
        <f t="shared" si="22"/>
        <v>0.85499999999999998</v>
      </c>
      <c r="BR38" s="4"/>
      <c r="BS38" s="4"/>
      <c r="BT38" s="81">
        <f t="shared" si="67"/>
        <v>42.75</v>
      </c>
      <c r="BU38" s="87">
        <f t="shared" si="23"/>
        <v>0.85499999999999998</v>
      </c>
      <c r="BV38" s="4"/>
      <c r="BW38" s="4"/>
      <c r="BX38" s="4"/>
      <c r="BY38" s="4"/>
      <c r="BZ38" s="81"/>
      <c r="CA38" s="89" t="str">
        <f t="shared" si="24"/>
        <v/>
      </c>
      <c r="CB38" s="81"/>
      <c r="CC38" s="89"/>
      <c r="CD38" s="81"/>
      <c r="CE38" s="89" t="str">
        <f t="shared" si="25"/>
        <v/>
      </c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81">
        <f t="shared" si="26"/>
        <v>36.5</v>
      </c>
      <c r="CQ38" s="87">
        <f t="shared" si="27"/>
        <v>0.73</v>
      </c>
      <c r="CR38" s="4">
        <f t="shared" si="28"/>
        <v>41</v>
      </c>
      <c r="CS38" s="87">
        <f t="shared" si="29"/>
        <v>0.82</v>
      </c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81">
        <f t="shared" si="30"/>
        <v>44.15</v>
      </c>
      <c r="DS38" s="87">
        <f t="shared" si="31"/>
        <v>0.88300000000000001</v>
      </c>
      <c r="DT38" s="4"/>
      <c r="DU38" s="4"/>
      <c r="DV38" s="4"/>
      <c r="DW38" s="4"/>
      <c r="DX38" s="81">
        <f t="shared" si="32"/>
        <v>45.9</v>
      </c>
      <c r="DY38" s="89">
        <f t="shared" si="33"/>
        <v>0.91799999999999993</v>
      </c>
      <c r="DZ38" s="81"/>
      <c r="EA38" s="89"/>
      <c r="EB38" s="81">
        <f t="shared" si="34"/>
        <v>13.3408</v>
      </c>
      <c r="EC38" s="89">
        <f t="shared" si="35"/>
        <v>0.83379999999999999</v>
      </c>
      <c r="ED38" s="80">
        <f t="shared" si="68"/>
        <v>13.3408</v>
      </c>
      <c r="EE38" s="89">
        <f t="shared" si="36"/>
        <v>0.83379999999999999</v>
      </c>
      <c r="EF38" s="198">
        <f t="shared" si="69"/>
        <v>21.439599999999999</v>
      </c>
      <c r="EG38" s="89">
        <f t="shared" si="38"/>
        <v>0.8246</v>
      </c>
      <c r="EH38" s="80">
        <f t="shared" si="70"/>
        <v>17.3901</v>
      </c>
      <c r="EI38" s="89">
        <f t="shared" si="40"/>
        <v>0.82810000000000006</v>
      </c>
      <c r="EJ38" s="4"/>
      <c r="EK38" s="4"/>
      <c r="EL38" s="81">
        <f t="shared" si="71"/>
        <v>17.3901</v>
      </c>
      <c r="EM38" s="87">
        <f t="shared" si="42"/>
        <v>0.8246</v>
      </c>
      <c r="EN38" s="4"/>
      <c r="EO38" s="4" t="str">
        <f t="shared" si="43"/>
        <v/>
      </c>
      <c r="EP38" s="4"/>
      <c r="EQ38" s="4"/>
      <c r="ER38" s="4">
        <f t="shared" si="44"/>
        <v>50</v>
      </c>
      <c r="ES38" s="87">
        <f t="shared" si="45"/>
        <v>1</v>
      </c>
      <c r="ET38" s="4">
        <f t="shared" si="46"/>
        <v>41.35</v>
      </c>
      <c r="EU38" s="87">
        <f t="shared" si="47"/>
        <v>0.82700000000000007</v>
      </c>
      <c r="EV38" s="81" t="str">
        <f>IFERROR(IF(#REF!="","",IFERROR(#REF!*(#REF!/100),"")),"")</f>
        <v/>
      </c>
      <c r="EW38" s="89" t="str">
        <f t="shared" si="48"/>
        <v/>
      </c>
      <c r="EX38" s="80">
        <f t="shared" si="49"/>
        <v>45.5</v>
      </c>
      <c r="EY38" s="89">
        <f t="shared" si="50"/>
        <v>0.91</v>
      </c>
      <c r="EZ38" s="80">
        <f t="shared" si="51"/>
        <v>45.7</v>
      </c>
      <c r="FA38" s="89">
        <f t="shared" si="52"/>
        <v>0.91400000000000003</v>
      </c>
      <c r="FB38" s="89"/>
      <c r="FC38" s="89"/>
      <c r="FD38" s="81" t="str">
        <f>IFERROR(IF(#REF!="","",IFERROR(#REF!*(#REF!/100),""))+IF(#REF!="","",IFERROR(#REF!*(#REF!/100),"")),"")</f>
        <v/>
      </c>
      <c r="FE38" s="89" t="str">
        <f t="shared" si="53"/>
        <v/>
      </c>
      <c r="FF38" s="183">
        <f t="shared" si="76"/>
        <v>151.26509999999999</v>
      </c>
      <c r="FG38" s="184">
        <f t="shared" si="54"/>
        <v>0.88459122807017543</v>
      </c>
      <c r="FH38" s="92"/>
      <c r="FI38" s="92"/>
      <c r="FJ38" s="183" t="str">
        <f>IFERROR(IF(AC38="","",IFERROR(AC38*($AC$9/100),""))+IF(#REF!="","",IFERROR(#REF!*(#REF!/100),"")),"")</f>
        <v/>
      </c>
      <c r="FK38" s="184" t="str">
        <f t="shared" si="55"/>
        <v/>
      </c>
      <c r="FL38" s="183">
        <f t="shared" si="77"/>
        <v>39.5</v>
      </c>
      <c r="FM38" s="184">
        <f t="shared" si="56"/>
        <v>0.79</v>
      </c>
      <c r="FN38" s="182">
        <f t="shared" si="78"/>
        <v>849.71749122807</v>
      </c>
      <c r="FO38" s="101" t="e">
        <f t="shared" si="57"/>
        <v>#REF!</v>
      </c>
    </row>
    <row r="39" spans="1:171">
      <c r="A39" s="206">
        <v>29</v>
      </c>
      <c r="B39" s="207" t="s">
        <v>336</v>
      </c>
      <c r="C39" s="207" t="s">
        <v>337</v>
      </c>
      <c r="D39" s="73">
        <f>'MK1-TM'!D47</f>
        <v>82</v>
      </c>
      <c r="E39" s="73">
        <f>'MK1-TM'!E47</f>
        <v>82</v>
      </c>
      <c r="F39" s="73">
        <f t="shared" si="5"/>
        <v>82</v>
      </c>
      <c r="G39" s="91">
        <f>'MK2-TO'!D47</f>
        <v>89.5</v>
      </c>
      <c r="H39" s="91">
        <f>'MK2-TO'!E47</f>
        <v>89.5</v>
      </c>
      <c r="I39" s="91">
        <f>'MK2-TO'!F47</f>
        <v>88.92</v>
      </c>
      <c r="J39" s="91">
        <f>'MK2-TO'!G47</f>
        <v>89.14</v>
      </c>
      <c r="K39" s="91">
        <f>'MK2-TO'!H47</f>
        <v>89.14</v>
      </c>
      <c r="L39" s="91">
        <f t="shared" si="6"/>
        <v>89.198000000000008</v>
      </c>
      <c r="M39" s="74">
        <f>'MK3-PSTI'!D47</f>
        <v>84.1</v>
      </c>
      <c r="N39" s="74">
        <f>'MK3-PSTI'!E47</f>
        <v>98.1</v>
      </c>
      <c r="O39" s="74">
        <f t="shared" si="7"/>
        <v>91.1</v>
      </c>
      <c r="P39" s="75">
        <f>IF('MK4-L&amp;A'!D47="","",'MK4-L&amp;A'!D47)</f>
        <v>81</v>
      </c>
      <c r="Q39" s="75">
        <f>IF('MK4-L&amp;A'!E47="","",'MK4-L&amp;A'!E47)</f>
        <v>88</v>
      </c>
      <c r="R39" s="75">
        <f t="shared" si="8"/>
        <v>84.5</v>
      </c>
      <c r="S39" s="76">
        <f>IF('MK5-BP'!D47="","",'MK5-BP'!D47)</f>
        <v>95.9</v>
      </c>
      <c r="T39" s="76">
        <f>IF('MK5-BP'!E45="","",'MK5-BP'!E45)</f>
        <v>94.5</v>
      </c>
      <c r="U39" s="76">
        <f t="shared" si="58"/>
        <v>95.2</v>
      </c>
      <c r="V39" s="38">
        <f>IF('MK7-MBD'!D47="","",'MK7-MBD'!D47)</f>
        <v>91.25</v>
      </c>
      <c r="W39" s="38">
        <f>IF('MK7-MBD'!E47="","",'MK7-MBD'!E47)</f>
        <v>91</v>
      </c>
      <c r="X39" s="38">
        <f t="shared" si="9"/>
        <v>91.125</v>
      </c>
      <c r="Y39" s="77">
        <f>IF(MK8_BID!D44="","",MK8_BID!D44)</f>
        <v>79.7</v>
      </c>
      <c r="Z39" s="77">
        <f>IF(MK8_BID!E44="","",MK8_BID!E44)</f>
        <v>79.7</v>
      </c>
      <c r="AA39" s="77">
        <f t="shared" si="10"/>
        <v>79.7</v>
      </c>
      <c r="AB39" s="78">
        <f>IF('MK16-AGM'!D47="","",'MK16-AGM'!D47)</f>
        <v>91.5</v>
      </c>
      <c r="AC39" s="78">
        <f>IF('MK16-AGM'!E47="","",'MK16-AGM'!E47)</f>
        <v>93.8</v>
      </c>
      <c r="AD39" s="78">
        <f t="shared" si="11"/>
        <v>92.65</v>
      </c>
      <c r="AF39" s="79">
        <f t="shared" si="72"/>
        <v>142.995</v>
      </c>
      <c r="AG39" s="80">
        <f t="shared" si="59"/>
        <v>66.509302325581402</v>
      </c>
      <c r="AH39" s="79" t="str">
        <f>IFERROR((#REF!*(#REF!/100)),"")</f>
        <v/>
      </c>
      <c r="AI39" s="80" t="str">
        <f t="shared" si="12"/>
        <v/>
      </c>
      <c r="AJ39" s="79">
        <f t="shared" si="73"/>
        <v>88.45</v>
      </c>
      <c r="AK39" s="80">
        <f t="shared" si="14"/>
        <v>88.45</v>
      </c>
      <c r="AL39" s="79" t="str">
        <f>IFERROR((#REF!*(#REF!/100)),"")</f>
        <v/>
      </c>
      <c r="AM39" s="80" t="str">
        <f t="shared" si="15"/>
        <v/>
      </c>
      <c r="AN39" s="80"/>
      <c r="AO39" s="80"/>
      <c r="AP39" s="80"/>
      <c r="AQ39" s="80"/>
      <c r="AR39" s="80"/>
      <c r="AS39" s="80"/>
      <c r="AT39" s="80"/>
      <c r="AU39" s="80"/>
      <c r="AV39" s="79">
        <f t="shared" si="74"/>
        <v>91.25</v>
      </c>
      <c r="AW39" s="80">
        <f t="shared" si="60"/>
        <v>91.25</v>
      </c>
      <c r="AX39" s="79" t="str">
        <f>IFERROR((Y39*($Y$9/100)+AB39*($AB$9/100)+#REF!*(#REF!/100)),"")</f>
        <v/>
      </c>
      <c r="AY39" s="80" t="str">
        <f t="shared" si="17"/>
        <v/>
      </c>
      <c r="AZ39" s="80"/>
      <c r="BA39" s="80"/>
      <c r="BB39" s="79" t="str">
        <f>IFERROR((#REF!*(#REF!/100)+#REF!*(#REF!/100)+#REF!*(#REF!/100)),"")</f>
        <v/>
      </c>
      <c r="BC39" s="80" t="str">
        <f t="shared" si="61"/>
        <v/>
      </c>
      <c r="BD39" s="79">
        <f t="shared" si="75"/>
        <v>154.26939999999999</v>
      </c>
      <c r="BE39" s="80">
        <f t="shared" si="62"/>
        <v>90.216023391812854</v>
      </c>
      <c r="BF39" s="2" t="str">
        <f>IFERROR((Z39*($Z$9/100)+AC39*($AC$9/100)+#REF!*(#REF!/100)),"")</f>
        <v/>
      </c>
      <c r="BG39" s="79" t="str">
        <f t="shared" si="63"/>
        <v/>
      </c>
      <c r="BJ39" s="4">
        <f t="shared" si="18"/>
        <v>45.625</v>
      </c>
      <c r="BK39" s="89">
        <f t="shared" si="64"/>
        <v>0.91249999999999998</v>
      </c>
      <c r="BL39" s="4">
        <f t="shared" si="19"/>
        <v>39.85</v>
      </c>
      <c r="BM39" s="89">
        <f t="shared" si="65"/>
        <v>0.79700000000000004</v>
      </c>
      <c r="BN39" s="81">
        <f t="shared" si="20"/>
        <v>39.85</v>
      </c>
      <c r="BO39" s="89">
        <f t="shared" si="66"/>
        <v>0.79700000000000004</v>
      </c>
      <c r="BP39" s="81">
        <f t="shared" si="21"/>
        <v>41</v>
      </c>
      <c r="BQ39" s="89">
        <f t="shared" si="22"/>
        <v>0.82</v>
      </c>
      <c r="BR39" s="4"/>
      <c r="BS39" s="4"/>
      <c r="BT39" s="81">
        <f t="shared" si="67"/>
        <v>41</v>
      </c>
      <c r="BU39" s="87">
        <f t="shared" si="23"/>
        <v>0.82</v>
      </c>
      <c r="BV39" s="4"/>
      <c r="BW39" s="4"/>
      <c r="BX39" s="4"/>
      <c r="BY39" s="4"/>
      <c r="BZ39" s="81"/>
      <c r="CA39" s="89" t="str">
        <f t="shared" si="24"/>
        <v/>
      </c>
      <c r="CB39" s="81"/>
      <c r="CC39" s="89"/>
      <c r="CD39" s="81"/>
      <c r="CE39" s="89" t="str">
        <f t="shared" si="25"/>
        <v/>
      </c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81">
        <f t="shared" si="26"/>
        <v>40.5</v>
      </c>
      <c r="CQ39" s="87">
        <f t="shared" si="27"/>
        <v>0.81</v>
      </c>
      <c r="CR39" s="4">
        <f t="shared" si="28"/>
        <v>44</v>
      </c>
      <c r="CS39" s="87">
        <f t="shared" si="29"/>
        <v>0.88</v>
      </c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81">
        <f t="shared" si="30"/>
        <v>42.05</v>
      </c>
      <c r="DS39" s="87">
        <f t="shared" si="31"/>
        <v>0.84099999999999997</v>
      </c>
      <c r="DT39" s="4"/>
      <c r="DU39" s="4"/>
      <c r="DV39" s="4"/>
      <c r="DW39" s="4"/>
      <c r="DX39" s="81">
        <f t="shared" si="32"/>
        <v>49.05</v>
      </c>
      <c r="DY39" s="89">
        <f t="shared" si="33"/>
        <v>0.98099999999999998</v>
      </c>
      <c r="DZ39" s="81"/>
      <c r="EA39" s="89"/>
      <c r="EB39" s="81">
        <f t="shared" si="34"/>
        <v>14.32</v>
      </c>
      <c r="EC39" s="89">
        <f t="shared" si="35"/>
        <v>0.89500000000000002</v>
      </c>
      <c r="ED39" s="80">
        <f t="shared" si="68"/>
        <v>14.32</v>
      </c>
      <c r="EE39" s="89">
        <f t="shared" si="36"/>
        <v>0.89500000000000002</v>
      </c>
      <c r="EF39" s="198">
        <f t="shared" si="69"/>
        <v>23.119200000000003</v>
      </c>
      <c r="EG39" s="89">
        <f t="shared" si="38"/>
        <v>0.8892000000000001</v>
      </c>
      <c r="EH39" s="80">
        <f t="shared" si="70"/>
        <v>18.7194</v>
      </c>
      <c r="EI39" s="89">
        <f t="shared" si="40"/>
        <v>0.89139999999999997</v>
      </c>
      <c r="EJ39" s="4"/>
      <c r="EK39" s="4"/>
      <c r="EL39" s="81">
        <f t="shared" si="71"/>
        <v>18.7194</v>
      </c>
      <c r="EM39" s="87">
        <f t="shared" si="42"/>
        <v>0.8892000000000001</v>
      </c>
      <c r="EN39" s="4"/>
      <c r="EO39" s="4" t="str">
        <f t="shared" si="43"/>
        <v/>
      </c>
      <c r="EP39" s="4"/>
      <c r="EQ39" s="4"/>
      <c r="ER39" s="4">
        <f t="shared" si="44"/>
        <v>47.95</v>
      </c>
      <c r="ES39" s="87">
        <f t="shared" si="45"/>
        <v>0.95900000000000007</v>
      </c>
      <c r="ET39" s="4">
        <f t="shared" si="46"/>
        <v>47.25</v>
      </c>
      <c r="EU39" s="87">
        <f t="shared" si="47"/>
        <v>0.94499999999999995</v>
      </c>
      <c r="EV39" s="81" t="str">
        <f>IFERROR(IF(#REF!="","",IFERROR(#REF!*(#REF!/100),"")),"")</f>
        <v/>
      </c>
      <c r="EW39" s="89" t="str">
        <f t="shared" si="48"/>
        <v/>
      </c>
      <c r="EX39" s="80">
        <f t="shared" si="49"/>
        <v>45.75</v>
      </c>
      <c r="EY39" s="89">
        <f t="shared" si="50"/>
        <v>0.91500000000000004</v>
      </c>
      <c r="EZ39" s="80">
        <f t="shared" si="51"/>
        <v>46.9</v>
      </c>
      <c r="FA39" s="89">
        <f t="shared" si="52"/>
        <v>0.93799999999999994</v>
      </c>
      <c r="FB39" s="89"/>
      <c r="FC39" s="89"/>
      <c r="FD39" s="81" t="str">
        <f>IFERROR(IF(#REF!="","",IFERROR(#REF!*(#REF!/100),""))+IF(#REF!="","",IFERROR(#REF!*(#REF!/100),"")),"")</f>
        <v/>
      </c>
      <c r="FE39" s="89" t="str">
        <f t="shared" si="53"/>
        <v/>
      </c>
      <c r="FF39" s="183">
        <f t="shared" si="76"/>
        <v>154.26939999999999</v>
      </c>
      <c r="FG39" s="184">
        <f t="shared" si="54"/>
        <v>0.90216023391812861</v>
      </c>
      <c r="FH39" s="92"/>
      <c r="FI39" s="92"/>
      <c r="FJ39" s="183" t="str">
        <f>IFERROR(IF(AC39="","",IFERROR(AC39*($AC$9/100),""))+IF(#REF!="","",IFERROR(#REF!*(#REF!/100),"")),"")</f>
        <v/>
      </c>
      <c r="FK39" s="184" t="str">
        <f t="shared" si="55"/>
        <v/>
      </c>
      <c r="FL39" s="183">
        <f t="shared" si="77"/>
        <v>39.85</v>
      </c>
      <c r="FM39" s="184">
        <f t="shared" si="56"/>
        <v>0.79700000000000004</v>
      </c>
      <c r="FN39" s="182">
        <f t="shared" si="78"/>
        <v>870.86986023391808</v>
      </c>
      <c r="FO39" s="101" t="e">
        <f t="shared" si="57"/>
        <v>#REF!</v>
      </c>
    </row>
    <row r="40" spans="1:171">
      <c r="A40" s="206">
        <v>30</v>
      </c>
      <c r="B40" s="207" t="s">
        <v>338</v>
      </c>
      <c r="C40" s="207" t="s">
        <v>339</v>
      </c>
      <c r="D40" s="73">
        <f>'MK1-TM'!D48</f>
        <v>82</v>
      </c>
      <c r="E40" s="73">
        <f>'MK1-TM'!E48</f>
        <v>82</v>
      </c>
      <c r="F40" s="73">
        <f t="shared" si="5"/>
        <v>82</v>
      </c>
      <c r="G40" s="91">
        <f>'MK2-TO'!D48</f>
        <v>83.38</v>
      </c>
      <c r="H40" s="91">
        <f>'MK2-TO'!E48</f>
        <v>83.38</v>
      </c>
      <c r="I40" s="91">
        <f>'MK2-TO'!F48</f>
        <v>82.46</v>
      </c>
      <c r="J40" s="91">
        <f>'MK2-TO'!G48</f>
        <v>82.81</v>
      </c>
      <c r="K40" s="91">
        <f>'MK2-TO'!H48</f>
        <v>82.81</v>
      </c>
      <c r="L40" s="91">
        <f t="shared" si="6"/>
        <v>82.901399999999995</v>
      </c>
      <c r="M40" s="74">
        <f>'MK3-PSTI'!D48</f>
        <v>79.5</v>
      </c>
      <c r="N40" s="74">
        <f>'MK3-PSTI'!E48</f>
        <v>68.5</v>
      </c>
      <c r="O40" s="74">
        <f t="shared" si="7"/>
        <v>74</v>
      </c>
      <c r="P40" s="75">
        <f>IF('MK4-L&amp;A'!D48="","",'MK4-L&amp;A'!D48)</f>
        <v>81</v>
      </c>
      <c r="Q40" s="75">
        <f>IF('MK4-L&amp;A'!E48="","",'MK4-L&amp;A'!E48)</f>
        <v>87</v>
      </c>
      <c r="R40" s="75">
        <f t="shared" si="8"/>
        <v>84</v>
      </c>
      <c r="S40" s="76">
        <f>IF('MK5-BP'!D48="","",'MK5-BP'!D48)</f>
        <v>95.3</v>
      </c>
      <c r="T40" s="76">
        <f>IF('MK5-BP'!E46="","",'MK5-BP'!E46)</f>
        <v>100</v>
      </c>
      <c r="U40" s="76">
        <f t="shared" si="58"/>
        <v>97.65</v>
      </c>
      <c r="V40" s="38">
        <f>IF('MK7-MBD'!D48="","",'MK7-MBD'!D48)</f>
        <v>94</v>
      </c>
      <c r="W40" s="38">
        <f>IF('MK7-MBD'!E48="","",'MK7-MBD'!E48)</f>
        <v>94</v>
      </c>
      <c r="X40" s="38">
        <f t="shared" si="9"/>
        <v>94</v>
      </c>
      <c r="Y40" s="77">
        <f>IF(MK8_BID!D45="","",MK8_BID!D45)</f>
        <v>83.5</v>
      </c>
      <c r="Z40" s="77">
        <f>IF(MK8_BID!E45="","",MK8_BID!E45)</f>
        <v>83.5</v>
      </c>
      <c r="AA40" s="77">
        <f t="shared" si="10"/>
        <v>83.5</v>
      </c>
      <c r="AB40" s="78">
        <f>IF('MK16-AGM'!D48="","",'MK16-AGM'!D48)</f>
        <v>91</v>
      </c>
      <c r="AC40" s="78">
        <f>IF('MK16-AGM'!E48="","",'MK16-AGM'!E48)</f>
        <v>91.5</v>
      </c>
      <c r="AD40" s="78">
        <f t="shared" si="11"/>
        <v>91.25</v>
      </c>
      <c r="AF40" s="79">
        <f t="shared" si="72"/>
        <v>141.0908</v>
      </c>
      <c r="AG40" s="80">
        <f t="shared" si="59"/>
        <v>65.623627906976751</v>
      </c>
      <c r="AH40" s="79" t="str">
        <f>IFERROR((#REF!*(#REF!/100)),"")</f>
        <v/>
      </c>
      <c r="AI40" s="80" t="str">
        <f t="shared" si="12"/>
        <v/>
      </c>
      <c r="AJ40" s="79">
        <f t="shared" si="73"/>
        <v>88.15</v>
      </c>
      <c r="AK40" s="80">
        <f t="shared" si="14"/>
        <v>88.15</v>
      </c>
      <c r="AL40" s="79" t="str">
        <f>IFERROR((#REF!*(#REF!/100)),"")</f>
        <v/>
      </c>
      <c r="AM40" s="80" t="str">
        <f t="shared" si="15"/>
        <v/>
      </c>
      <c r="AN40" s="80"/>
      <c r="AO40" s="80"/>
      <c r="AP40" s="80"/>
      <c r="AQ40" s="80"/>
      <c r="AR40" s="80"/>
      <c r="AS40" s="80"/>
      <c r="AT40" s="80"/>
      <c r="AU40" s="80"/>
      <c r="AV40" s="79">
        <f t="shared" si="74"/>
        <v>93.5</v>
      </c>
      <c r="AW40" s="80">
        <f t="shared" si="60"/>
        <v>93.5</v>
      </c>
      <c r="AX40" s="79" t="str">
        <f>IFERROR((Y40*($Y$9/100)+AB40*($AB$9/100)+#REF!*(#REF!/100)),"")</f>
        <v/>
      </c>
      <c r="AY40" s="80" t="str">
        <f t="shared" si="17"/>
        <v/>
      </c>
      <c r="AZ40" s="80"/>
      <c r="BA40" s="80"/>
      <c r="BB40" s="79" t="str">
        <f>IFERROR((#REF!*(#REF!/100)+#REF!*(#REF!/100)+#REF!*(#REF!/100)),"")</f>
        <v/>
      </c>
      <c r="BC40" s="80" t="str">
        <f t="shared" si="61"/>
        <v/>
      </c>
      <c r="BD40" s="79">
        <f t="shared" si="75"/>
        <v>139.64010000000002</v>
      </c>
      <c r="BE40" s="80">
        <f t="shared" si="62"/>
        <v>81.660877192982468</v>
      </c>
      <c r="BF40" s="2" t="str">
        <f>IFERROR((Z40*($Z$9/100)+AC40*($AC$9/100)+#REF!*(#REF!/100)),"")</f>
        <v/>
      </c>
      <c r="BG40" s="79" t="str">
        <f t="shared" si="63"/>
        <v/>
      </c>
      <c r="BJ40" s="4">
        <f t="shared" si="18"/>
        <v>47</v>
      </c>
      <c r="BK40" s="89">
        <f t="shared" si="64"/>
        <v>0.94</v>
      </c>
      <c r="BL40" s="4">
        <f t="shared" si="19"/>
        <v>41.75</v>
      </c>
      <c r="BM40" s="89">
        <f t="shared" si="65"/>
        <v>0.83499999999999996</v>
      </c>
      <c r="BN40" s="81">
        <f t="shared" si="20"/>
        <v>41.75</v>
      </c>
      <c r="BO40" s="89">
        <f t="shared" si="66"/>
        <v>0.83499999999999996</v>
      </c>
      <c r="BP40" s="81">
        <f t="shared" si="21"/>
        <v>41</v>
      </c>
      <c r="BQ40" s="89">
        <f t="shared" si="22"/>
        <v>0.82</v>
      </c>
      <c r="BR40" s="4"/>
      <c r="BS40" s="4"/>
      <c r="BT40" s="81">
        <f t="shared" si="67"/>
        <v>41</v>
      </c>
      <c r="BU40" s="87">
        <f t="shared" si="23"/>
        <v>0.82</v>
      </c>
      <c r="BV40" s="4"/>
      <c r="BW40" s="4"/>
      <c r="BX40" s="4"/>
      <c r="BY40" s="4"/>
      <c r="BZ40" s="81"/>
      <c r="CA40" s="89" t="str">
        <f t="shared" si="24"/>
        <v/>
      </c>
      <c r="CB40" s="81"/>
      <c r="CC40" s="89"/>
      <c r="CD40" s="81"/>
      <c r="CE40" s="89" t="str">
        <f t="shared" si="25"/>
        <v/>
      </c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81">
        <f t="shared" si="26"/>
        <v>40.5</v>
      </c>
      <c r="CQ40" s="87">
        <f t="shared" si="27"/>
        <v>0.81</v>
      </c>
      <c r="CR40" s="4">
        <f t="shared" si="28"/>
        <v>43.5</v>
      </c>
      <c r="CS40" s="87">
        <f t="shared" si="29"/>
        <v>0.87</v>
      </c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81">
        <f t="shared" si="30"/>
        <v>39.75</v>
      </c>
      <c r="DS40" s="87">
        <f t="shared" si="31"/>
        <v>0.79500000000000004</v>
      </c>
      <c r="DT40" s="4"/>
      <c r="DU40" s="4"/>
      <c r="DV40" s="4"/>
      <c r="DW40" s="4"/>
      <c r="DX40" s="81">
        <f t="shared" si="32"/>
        <v>34.25</v>
      </c>
      <c r="DY40" s="89">
        <f t="shared" si="33"/>
        <v>0.68500000000000005</v>
      </c>
      <c r="DZ40" s="81"/>
      <c r="EA40" s="89"/>
      <c r="EB40" s="81">
        <f t="shared" si="34"/>
        <v>13.3408</v>
      </c>
      <c r="EC40" s="89">
        <f t="shared" si="35"/>
        <v>0.83379999999999999</v>
      </c>
      <c r="ED40" s="80">
        <f t="shared" si="68"/>
        <v>13.3408</v>
      </c>
      <c r="EE40" s="89">
        <f t="shared" si="36"/>
        <v>0.83379999999999999</v>
      </c>
      <c r="EF40" s="198">
        <f t="shared" si="69"/>
        <v>21.439599999999999</v>
      </c>
      <c r="EG40" s="89">
        <f t="shared" si="38"/>
        <v>0.8246</v>
      </c>
      <c r="EH40" s="80">
        <f t="shared" si="70"/>
        <v>17.3901</v>
      </c>
      <c r="EI40" s="89">
        <f t="shared" si="40"/>
        <v>0.82810000000000006</v>
      </c>
      <c r="EJ40" s="4"/>
      <c r="EK40" s="4"/>
      <c r="EL40" s="81">
        <f t="shared" si="71"/>
        <v>17.3901</v>
      </c>
      <c r="EM40" s="87">
        <f t="shared" si="42"/>
        <v>0.8246</v>
      </c>
      <c r="EN40" s="4"/>
      <c r="EO40" s="4" t="str">
        <f t="shared" si="43"/>
        <v/>
      </c>
      <c r="EP40" s="4"/>
      <c r="EQ40" s="4"/>
      <c r="ER40" s="4">
        <f t="shared" si="44"/>
        <v>47.65</v>
      </c>
      <c r="ES40" s="87">
        <f t="shared" si="45"/>
        <v>0.95299999999999996</v>
      </c>
      <c r="ET40" s="4">
        <f t="shared" si="46"/>
        <v>50</v>
      </c>
      <c r="EU40" s="87">
        <f t="shared" si="47"/>
        <v>1</v>
      </c>
      <c r="EV40" s="81" t="str">
        <f>IFERROR(IF(#REF!="","",IFERROR(#REF!*(#REF!/100),"")),"")</f>
        <v/>
      </c>
      <c r="EW40" s="89" t="str">
        <f t="shared" si="48"/>
        <v/>
      </c>
      <c r="EX40" s="80">
        <f t="shared" si="49"/>
        <v>45.5</v>
      </c>
      <c r="EY40" s="89">
        <f t="shared" si="50"/>
        <v>0.91</v>
      </c>
      <c r="EZ40" s="80">
        <f t="shared" si="51"/>
        <v>45.75</v>
      </c>
      <c r="FA40" s="89">
        <f t="shared" si="52"/>
        <v>0.91500000000000004</v>
      </c>
      <c r="FB40" s="89"/>
      <c r="FC40" s="89"/>
      <c r="FD40" s="81" t="str">
        <f>IFERROR(IF(#REF!="","",IFERROR(#REF!*(#REF!/100),""))+IF(#REF!="","",IFERROR(#REF!*(#REF!/100),"")),"")</f>
        <v/>
      </c>
      <c r="FE40" s="89" t="str">
        <f t="shared" si="53"/>
        <v/>
      </c>
      <c r="FF40" s="183">
        <f t="shared" si="76"/>
        <v>139.64010000000002</v>
      </c>
      <c r="FG40" s="184">
        <f t="shared" si="54"/>
        <v>0.81660877192982462</v>
      </c>
      <c r="FH40" s="92"/>
      <c r="FI40" s="92"/>
      <c r="FJ40" s="183" t="str">
        <f>IFERROR(IF(AC40="","",IFERROR(AC40*($AC$9/100),""))+IF(#REF!="","",IFERROR(#REF!*(#REF!/100),"")),"")</f>
        <v/>
      </c>
      <c r="FK40" s="184" t="str">
        <f t="shared" si="55"/>
        <v/>
      </c>
      <c r="FL40" s="183">
        <f t="shared" si="77"/>
        <v>41.75</v>
      </c>
      <c r="FM40" s="184">
        <f t="shared" si="56"/>
        <v>0.83499999999999996</v>
      </c>
      <c r="FN40" s="182">
        <f t="shared" si="78"/>
        <v>839.84100877192986</v>
      </c>
      <c r="FO40" s="101" t="e">
        <f t="shared" si="57"/>
        <v>#REF!</v>
      </c>
    </row>
    <row r="41" spans="1:171">
      <c r="A41" s="206">
        <v>31</v>
      </c>
      <c r="B41" s="207" t="s">
        <v>340</v>
      </c>
      <c r="C41" s="207" t="s">
        <v>341</v>
      </c>
      <c r="D41" s="73">
        <f>'MK1-TM'!D49</f>
        <v>82</v>
      </c>
      <c r="E41" s="73">
        <f>'MK1-TM'!E49</f>
        <v>82</v>
      </c>
      <c r="F41" s="73">
        <f t="shared" si="5"/>
        <v>82</v>
      </c>
      <c r="G41" s="91">
        <f>'MK2-TO'!D49</f>
        <v>80.75</v>
      </c>
      <c r="H41" s="91">
        <f>'MK2-TO'!E49</f>
        <v>80.75</v>
      </c>
      <c r="I41" s="91">
        <f>'MK2-TO'!F49</f>
        <v>79.69</v>
      </c>
      <c r="J41" s="91">
        <f>'MK2-TO'!G49</f>
        <v>80.099999999999994</v>
      </c>
      <c r="K41" s="91">
        <f>'MK2-TO'!H49</f>
        <v>80.099999999999994</v>
      </c>
      <c r="L41" s="91">
        <f t="shared" si="6"/>
        <v>80.201399999999992</v>
      </c>
      <c r="M41" s="74">
        <f>'MK3-PSTI'!D49</f>
        <v>70.599999999999994</v>
      </c>
      <c r="N41" s="74">
        <f>'MK3-PSTI'!E49</f>
        <v>73.599999999999994</v>
      </c>
      <c r="O41" s="74">
        <f t="shared" si="7"/>
        <v>72.099999999999994</v>
      </c>
      <c r="P41" s="75">
        <f>IF('MK4-L&amp;A'!D49="","",'MK4-L&amp;A'!D49)</f>
        <v>74</v>
      </c>
      <c r="Q41" s="75">
        <f>IF('MK4-L&amp;A'!E49="","",'MK4-L&amp;A'!E49)</f>
        <v>80</v>
      </c>
      <c r="R41" s="75">
        <f t="shared" si="8"/>
        <v>77</v>
      </c>
      <c r="S41" s="76">
        <f>IF('MK5-BP'!D52="","",'MK5-BP'!D52)</f>
        <v>86</v>
      </c>
      <c r="T41" s="76">
        <f>IF('MK5-BP'!E47="","",'MK5-BP'!E47)</f>
        <v>85.4</v>
      </c>
      <c r="U41" s="76">
        <f t="shared" si="58"/>
        <v>85.7</v>
      </c>
      <c r="V41" s="38">
        <f>IF('MK7-MBD'!D49="","",'MK7-MBD'!D49)</f>
        <v>87.35</v>
      </c>
      <c r="W41" s="38">
        <f>IF('MK7-MBD'!E49="","",'MK7-MBD'!E49)</f>
        <v>87.35</v>
      </c>
      <c r="X41" s="38">
        <f t="shared" si="9"/>
        <v>87.35</v>
      </c>
      <c r="Y41" s="77">
        <f>IF(MK8_BID!D49="","",MK8_BID!D49)</f>
        <v>83.75</v>
      </c>
      <c r="Z41" s="77">
        <f>IF(MK8_BID!E49="","",MK8_BID!E49)</f>
        <v>83.75</v>
      </c>
      <c r="AA41" s="77">
        <f t="shared" si="10"/>
        <v>83.75</v>
      </c>
      <c r="AB41" s="78">
        <f>IF('MK16-AGM'!D49="","",'MK16-AGM'!D49)</f>
        <v>91</v>
      </c>
      <c r="AC41" s="78">
        <f>IF('MK16-AGM'!E49="","",'MK16-AGM'!E49)</f>
        <v>91</v>
      </c>
      <c r="AD41" s="78">
        <f t="shared" si="11"/>
        <v>91</v>
      </c>
      <c r="AF41" s="79">
        <f t="shared" si="72"/>
        <v>132.89499999999998</v>
      </c>
      <c r="AG41" s="80">
        <f t="shared" si="59"/>
        <v>61.811627906976739</v>
      </c>
      <c r="AH41" s="79" t="str">
        <f>IFERROR((#REF!*(#REF!/100)),"")</f>
        <v/>
      </c>
      <c r="AI41" s="80" t="str">
        <f t="shared" si="12"/>
        <v/>
      </c>
      <c r="AJ41" s="79">
        <f t="shared" si="73"/>
        <v>80</v>
      </c>
      <c r="AK41" s="80">
        <f t="shared" si="14"/>
        <v>80</v>
      </c>
      <c r="AL41" s="79" t="str">
        <f>IFERROR((#REF!*(#REF!/100)),"")</f>
        <v/>
      </c>
      <c r="AM41" s="80" t="str">
        <f t="shared" si="15"/>
        <v/>
      </c>
      <c r="AN41" s="80"/>
      <c r="AO41" s="80"/>
      <c r="AP41" s="80"/>
      <c r="AQ41" s="80"/>
      <c r="AR41" s="80"/>
      <c r="AS41" s="80"/>
      <c r="AT41" s="80"/>
      <c r="AU41" s="80"/>
      <c r="AV41" s="79">
        <f t="shared" si="74"/>
        <v>82.7</v>
      </c>
      <c r="AW41" s="80">
        <f t="shared" si="60"/>
        <v>82.7</v>
      </c>
      <c r="AX41" s="79" t="str">
        <f>IFERROR((Y41*($Y$9/100)+AB41*($AB$9/100)+#REF!*(#REF!/100)),"")</f>
        <v/>
      </c>
      <c r="AY41" s="80" t="str">
        <f t="shared" si="17"/>
        <v/>
      </c>
      <c r="AZ41" s="80"/>
      <c r="BA41" s="80"/>
      <c r="BB41" s="79" t="str">
        <f>IFERROR((#REF!*(#REF!/100)+#REF!*(#REF!/100)+#REF!*(#REF!/100)),"")</f>
        <v/>
      </c>
      <c r="BC41" s="80" t="str">
        <f t="shared" si="61"/>
        <v/>
      </c>
      <c r="BD41" s="79">
        <f t="shared" si="75"/>
        <v>138.29599999999999</v>
      </c>
      <c r="BE41" s="80">
        <f t="shared" si="62"/>
        <v>80.874853801169593</v>
      </c>
      <c r="BF41" s="2" t="str">
        <f>IFERROR((Z41*($Z$9/100)+AC41*($AC$9/100)+#REF!*(#REF!/100)),"")</f>
        <v/>
      </c>
      <c r="BG41" s="79" t="str">
        <f t="shared" si="63"/>
        <v/>
      </c>
      <c r="BJ41" s="4">
        <f t="shared" si="18"/>
        <v>43.674999999999997</v>
      </c>
      <c r="BK41" s="89">
        <f t="shared" si="64"/>
        <v>0.87349999999999994</v>
      </c>
      <c r="BL41" s="4">
        <f t="shared" si="19"/>
        <v>41.875</v>
      </c>
      <c r="BM41" s="89">
        <f t="shared" si="65"/>
        <v>0.83750000000000002</v>
      </c>
      <c r="BN41" s="81">
        <f t="shared" si="20"/>
        <v>41.875</v>
      </c>
      <c r="BO41" s="89">
        <f t="shared" si="66"/>
        <v>0.83750000000000002</v>
      </c>
      <c r="BP41" s="81">
        <f t="shared" si="21"/>
        <v>41</v>
      </c>
      <c r="BQ41" s="89">
        <f t="shared" si="22"/>
        <v>0.82</v>
      </c>
      <c r="BR41" s="4"/>
      <c r="BS41" s="4"/>
      <c r="BT41" s="81">
        <f t="shared" si="67"/>
        <v>41</v>
      </c>
      <c r="BU41" s="87">
        <f t="shared" si="23"/>
        <v>0.82</v>
      </c>
      <c r="BV41" s="4"/>
      <c r="BW41" s="4"/>
      <c r="BX41" s="4"/>
      <c r="BY41" s="4"/>
      <c r="BZ41" s="81"/>
      <c r="CA41" s="89" t="str">
        <f t="shared" si="24"/>
        <v/>
      </c>
      <c r="CB41" s="81"/>
      <c r="CC41" s="89"/>
      <c r="CD41" s="81"/>
      <c r="CE41" s="89" t="str">
        <f t="shared" si="25"/>
        <v/>
      </c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81">
        <f t="shared" si="26"/>
        <v>37</v>
      </c>
      <c r="CQ41" s="87">
        <f t="shared" si="27"/>
        <v>0.74</v>
      </c>
      <c r="CR41" s="4">
        <f t="shared" si="28"/>
        <v>40</v>
      </c>
      <c r="CS41" s="87">
        <f t="shared" si="29"/>
        <v>0.8</v>
      </c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81">
        <f t="shared" si="30"/>
        <v>35.299999999999997</v>
      </c>
      <c r="DS41" s="87">
        <f t="shared" si="31"/>
        <v>0.70599999999999996</v>
      </c>
      <c r="DT41" s="4"/>
      <c r="DU41" s="4"/>
      <c r="DV41" s="4"/>
      <c r="DW41" s="4"/>
      <c r="DX41" s="81">
        <f t="shared" si="32"/>
        <v>36.799999999999997</v>
      </c>
      <c r="DY41" s="89">
        <f>IF(DX41="","",DX41/$DX$9)</f>
        <v>0.73599999999999999</v>
      </c>
      <c r="DZ41" s="81"/>
      <c r="EA41" s="89"/>
      <c r="EB41" s="81">
        <f t="shared" si="34"/>
        <v>12.92</v>
      </c>
      <c r="EC41" s="89">
        <f t="shared" si="35"/>
        <v>0.8075</v>
      </c>
      <c r="ED41" s="80">
        <f t="shared" si="68"/>
        <v>12.92</v>
      </c>
      <c r="EE41" s="89">
        <f t="shared" si="36"/>
        <v>0.8075</v>
      </c>
      <c r="EF41" s="198">
        <f t="shared" si="69"/>
        <v>20.7194</v>
      </c>
      <c r="EG41" s="89">
        <f t="shared" si="38"/>
        <v>0.79690000000000005</v>
      </c>
      <c r="EH41" s="80">
        <f t="shared" si="70"/>
        <v>16.820999999999998</v>
      </c>
      <c r="EI41" s="89">
        <f t="shared" si="40"/>
        <v>0.80099999999999993</v>
      </c>
      <c r="EJ41" s="4"/>
      <c r="EK41" s="4"/>
      <c r="EL41" s="81">
        <f t="shared" si="71"/>
        <v>16.820999999999998</v>
      </c>
      <c r="EM41" s="87">
        <f t="shared" si="42"/>
        <v>0.79690000000000005</v>
      </c>
      <c r="EN41" s="4"/>
      <c r="EO41" s="4" t="str">
        <f t="shared" si="43"/>
        <v/>
      </c>
      <c r="EP41" s="4"/>
      <c r="EQ41" s="4"/>
      <c r="ER41" s="4">
        <f t="shared" si="44"/>
        <v>43</v>
      </c>
      <c r="ES41" s="87">
        <f t="shared" si="45"/>
        <v>0.86</v>
      </c>
      <c r="ET41" s="4">
        <f t="shared" si="46"/>
        <v>42.7</v>
      </c>
      <c r="EU41" s="87">
        <f t="shared" si="47"/>
        <v>0.85400000000000009</v>
      </c>
      <c r="EV41" s="81" t="str">
        <f>IFERROR(IF(#REF!="","",IFERROR(#REF!*(#REF!/100),"")),"")</f>
        <v/>
      </c>
      <c r="EW41" s="89" t="str">
        <f t="shared" si="48"/>
        <v/>
      </c>
      <c r="EX41" s="80">
        <f t="shared" si="49"/>
        <v>45.5</v>
      </c>
      <c r="EY41" s="89">
        <f t="shared" si="50"/>
        <v>0.91</v>
      </c>
      <c r="EZ41" s="80">
        <f t="shared" si="51"/>
        <v>45.5</v>
      </c>
      <c r="FA41" s="89">
        <f t="shared" si="52"/>
        <v>0.91</v>
      </c>
      <c r="FB41" s="89"/>
      <c r="FC41" s="89"/>
      <c r="FD41" s="81" t="str">
        <f>IFERROR(IF(#REF!="","",IFERROR(#REF!*(#REF!/100),""))+IF(#REF!="","",IFERROR(#REF!*(#REF!/100),"")),"")</f>
        <v/>
      </c>
      <c r="FE41" s="89" t="str">
        <f t="shared" si="53"/>
        <v/>
      </c>
      <c r="FF41" s="183">
        <f t="shared" si="76"/>
        <v>138.29599999999999</v>
      </c>
      <c r="FG41" s="184">
        <f t="shared" si="54"/>
        <v>0.80874853801169588</v>
      </c>
      <c r="FH41" s="92"/>
      <c r="FI41" s="92"/>
      <c r="FJ41" s="183" t="str">
        <f>IFERROR(IF(AC41="","",IFERROR(AC41*($AC$9/100),""))+IF(#REF!="","",IFERROR(#REF!*(#REF!/100),"")),"")</f>
        <v/>
      </c>
      <c r="FK41" s="184" t="str">
        <f t="shared" si="55"/>
        <v/>
      </c>
      <c r="FL41" s="183">
        <f t="shared" si="77"/>
        <v>41.875</v>
      </c>
      <c r="FM41" s="184">
        <f t="shared" si="56"/>
        <v>0.83750000000000002</v>
      </c>
      <c r="FN41" s="182">
        <f t="shared" si="78"/>
        <v>811.12044853801171</v>
      </c>
      <c r="FO41" s="101" t="e">
        <f t="shared" si="57"/>
        <v>#REF!</v>
      </c>
    </row>
    <row r="42" spans="1:171">
      <c r="A42" s="206">
        <v>32</v>
      </c>
      <c r="B42" s="207" t="s">
        <v>342</v>
      </c>
      <c r="C42" s="207" t="s">
        <v>343</v>
      </c>
      <c r="D42" s="73">
        <f>'MK1-TM'!D50</f>
        <v>82</v>
      </c>
      <c r="E42" s="73">
        <f>'MK1-TM'!E50</f>
        <v>82</v>
      </c>
      <c r="F42" s="73">
        <f t="shared" si="5"/>
        <v>82</v>
      </c>
      <c r="G42" s="91">
        <f>'MK2-TO'!D50</f>
        <v>82.5</v>
      </c>
      <c r="H42" s="91">
        <f>'MK2-TO'!E50</f>
        <v>82.5</v>
      </c>
      <c r="I42" s="91">
        <f>'MK2-TO'!F50</f>
        <v>81.540000000000006</v>
      </c>
      <c r="J42" s="91">
        <f>'MK2-TO'!G50</f>
        <v>81.900000000000006</v>
      </c>
      <c r="K42" s="91">
        <f>'MK2-TO'!H50</f>
        <v>81.900000000000006</v>
      </c>
      <c r="L42" s="91">
        <f t="shared" si="6"/>
        <v>81.998400000000004</v>
      </c>
      <c r="M42" s="74">
        <f>'MK3-PSTI'!D50</f>
        <v>74.8</v>
      </c>
      <c r="N42" s="74">
        <f>'MK3-PSTI'!E50</f>
        <v>8.8000000000000007</v>
      </c>
      <c r="O42" s="74">
        <f t="shared" si="7"/>
        <v>41.8</v>
      </c>
      <c r="P42" s="75">
        <f>IF('MK4-L&amp;A'!D50="","",'MK4-L&amp;A'!D50)</f>
        <v>81</v>
      </c>
      <c r="Q42" s="75">
        <f>IF('MK4-L&amp;A'!E50="","",'MK4-L&amp;A'!E50)</f>
        <v>88</v>
      </c>
      <c r="R42" s="75">
        <f t="shared" si="8"/>
        <v>84.5</v>
      </c>
      <c r="S42" s="76">
        <f>IF('MK5-BP'!D53="","",'MK5-BP'!D53)</f>
        <v>99.4</v>
      </c>
      <c r="T42" s="76">
        <f>IF('MK5-BP'!E48="","",'MK5-BP'!E48)</f>
        <v>92.7</v>
      </c>
      <c r="U42" s="76">
        <f t="shared" si="58"/>
        <v>96.050000000000011</v>
      </c>
      <c r="V42" s="38">
        <f>IF('MK7-MBD'!D50="","",'MK7-MBD'!D50)</f>
        <v>91</v>
      </c>
      <c r="W42" s="38">
        <f>IF('MK7-MBD'!E50="","",'MK7-MBD'!E50)</f>
        <v>91</v>
      </c>
      <c r="X42" s="38">
        <f t="shared" si="9"/>
        <v>91</v>
      </c>
      <c r="Y42" s="77">
        <f>IF(MK8_BID!D50="","",MK8_BID!D50)</f>
        <v>83.6</v>
      </c>
      <c r="Z42" s="77">
        <f>IF(MK8_BID!E50="","",MK8_BID!E50)</f>
        <v>83.6</v>
      </c>
      <c r="AA42" s="77">
        <f t="shared" si="10"/>
        <v>83.6</v>
      </c>
      <c r="AB42" s="78">
        <f>IF('MK16-AGM'!D50="","",'MK16-AGM'!D50)</f>
        <v>85.5</v>
      </c>
      <c r="AC42" s="78">
        <f>IF('MK16-AGM'!E50="","",'MK16-AGM'!E50)</f>
        <v>87.6</v>
      </c>
      <c r="AD42" s="78">
        <f t="shared" si="11"/>
        <v>86.55</v>
      </c>
      <c r="AF42" s="79"/>
      <c r="AG42" s="80"/>
      <c r="AH42" s="79"/>
      <c r="AI42" s="80"/>
      <c r="AJ42" s="79"/>
      <c r="AK42" s="80"/>
      <c r="AL42" s="79"/>
      <c r="AM42" s="80"/>
      <c r="AN42" s="80"/>
      <c r="AO42" s="80"/>
      <c r="AP42" s="80"/>
      <c r="AQ42" s="80"/>
      <c r="AR42" s="80"/>
      <c r="AS42" s="80"/>
      <c r="AT42" s="80"/>
      <c r="AU42" s="80"/>
      <c r="AV42" s="79"/>
      <c r="AW42" s="80"/>
      <c r="AX42" s="79"/>
      <c r="AY42" s="80"/>
      <c r="AZ42" s="80"/>
      <c r="BA42" s="80"/>
      <c r="BB42" s="79"/>
      <c r="BC42" s="80"/>
      <c r="BD42" s="79"/>
      <c r="BE42" s="80"/>
      <c r="BF42" s="205"/>
      <c r="BG42" s="79"/>
      <c r="BJ42" s="4">
        <f t="shared" si="18"/>
        <v>45.5</v>
      </c>
      <c r="BK42" s="89">
        <f t="shared" si="64"/>
        <v>0.91</v>
      </c>
      <c r="BL42" s="4">
        <f t="shared" si="19"/>
        <v>41.8</v>
      </c>
      <c r="BM42" s="89">
        <f t="shared" si="65"/>
        <v>0.83599999999999997</v>
      </c>
      <c r="BN42" s="81">
        <f t="shared" si="20"/>
        <v>41.8</v>
      </c>
      <c r="BO42" s="89">
        <f t="shared" si="66"/>
        <v>0.83599999999999997</v>
      </c>
      <c r="BP42" s="81">
        <f t="shared" si="21"/>
        <v>41</v>
      </c>
      <c r="BQ42" s="89">
        <f t="shared" si="22"/>
        <v>0.82</v>
      </c>
      <c r="BR42" s="4"/>
      <c r="BS42" s="4"/>
      <c r="BT42" s="81">
        <f t="shared" si="67"/>
        <v>41</v>
      </c>
      <c r="BU42" s="87">
        <f t="shared" si="23"/>
        <v>0.82</v>
      </c>
      <c r="BV42" s="4"/>
      <c r="BW42" s="4"/>
      <c r="BX42" s="4"/>
      <c r="BY42" s="4"/>
      <c r="BZ42" s="81"/>
      <c r="CA42" s="89"/>
      <c r="CB42" s="81"/>
      <c r="CC42" s="89"/>
      <c r="CD42" s="81"/>
      <c r="CE42" s="89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81">
        <f t="shared" si="26"/>
        <v>40.5</v>
      </c>
      <c r="CQ42" s="87">
        <f t="shared" si="27"/>
        <v>0.81</v>
      </c>
      <c r="CR42" s="4">
        <f t="shared" si="28"/>
        <v>44</v>
      </c>
      <c r="CS42" s="87">
        <f t="shared" si="29"/>
        <v>0.88</v>
      </c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81">
        <f t="shared" si="30"/>
        <v>37.4</v>
      </c>
      <c r="DS42" s="87">
        <f t="shared" si="31"/>
        <v>0.748</v>
      </c>
      <c r="DT42" s="4"/>
      <c r="DU42" s="4"/>
      <c r="DV42" s="4"/>
      <c r="DW42" s="4"/>
      <c r="DX42" s="81">
        <f t="shared" si="32"/>
        <v>4.4000000000000004</v>
      </c>
      <c r="DY42" s="89">
        <f t="shared" ref="DY42:DY44" si="79">IF(DX42="","",DX42/$DX$9)</f>
        <v>8.8000000000000009E-2</v>
      </c>
      <c r="DZ42" s="81"/>
      <c r="EA42" s="89"/>
      <c r="EB42" s="81">
        <f t="shared" si="34"/>
        <v>13.200000000000001</v>
      </c>
      <c r="EC42" s="89">
        <f t="shared" si="35"/>
        <v>0.82500000000000007</v>
      </c>
      <c r="ED42" s="80">
        <f t="shared" si="68"/>
        <v>13.200000000000001</v>
      </c>
      <c r="EE42" s="89">
        <f t="shared" si="36"/>
        <v>0.82500000000000007</v>
      </c>
      <c r="EF42" s="198">
        <f t="shared" si="69"/>
        <v>21.200400000000002</v>
      </c>
      <c r="EG42" s="89">
        <f t="shared" si="38"/>
        <v>0.81540000000000012</v>
      </c>
      <c r="EH42" s="80">
        <f t="shared" si="70"/>
        <v>17.199000000000002</v>
      </c>
      <c r="EI42" s="89">
        <f t="shared" si="40"/>
        <v>0.81900000000000006</v>
      </c>
      <c r="EJ42" s="4"/>
      <c r="EK42" s="4"/>
      <c r="EL42" s="81">
        <f t="shared" si="71"/>
        <v>17.199000000000002</v>
      </c>
      <c r="EM42" s="87">
        <f t="shared" si="42"/>
        <v>0.81540000000000012</v>
      </c>
      <c r="EN42" s="4"/>
      <c r="EO42" s="4"/>
      <c r="EP42" s="4"/>
      <c r="EQ42" s="4"/>
      <c r="ER42" s="4">
        <f t="shared" si="44"/>
        <v>49.7</v>
      </c>
      <c r="ES42" s="87">
        <f t="shared" si="45"/>
        <v>0.99400000000000011</v>
      </c>
      <c r="ET42" s="4">
        <f t="shared" si="46"/>
        <v>46.35</v>
      </c>
      <c r="EU42" s="87">
        <f t="shared" si="47"/>
        <v>0.92700000000000005</v>
      </c>
      <c r="EV42" s="81"/>
      <c r="EW42" s="89"/>
      <c r="EX42" s="80">
        <f t="shared" si="49"/>
        <v>42.75</v>
      </c>
      <c r="EY42" s="89">
        <f t="shared" si="50"/>
        <v>0.85499999999999998</v>
      </c>
      <c r="EZ42" s="80">
        <f t="shared" si="51"/>
        <v>43.8</v>
      </c>
      <c r="FA42" s="89">
        <f t="shared" si="52"/>
        <v>0.87599999999999989</v>
      </c>
      <c r="FB42" s="89"/>
      <c r="FC42" s="89"/>
      <c r="FD42" s="81"/>
      <c r="FE42" s="89"/>
      <c r="FF42" s="183"/>
      <c r="FG42" s="184"/>
      <c r="FH42" s="92"/>
      <c r="FI42" s="92"/>
      <c r="FJ42" s="183"/>
      <c r="FK42" s="184"/>
      <c r="FL42" s="183"/>
      <c r="FM42" s="184"/>
      <c r="FO42" s="101"/>
    </row>
    <row r="43" spans="1:171">
      <c r="A43" s="206">
        <v>33</v>
      </c>
      <c r="B43" s="207" t="s">
        <v>344</v>
      </c>
      <c r="C43" s="207" t="s">
        <v>345</v>
      </c>
      <c r="D43" s="73">
        <f>'MK1-TM'!D51</f>
        <v>85.5</v>
      </c>
      <c r="E43" s="73">
        <f>'MK1-TM'!E51</f>
        <v>85.5</v>
      </c>
      <c r="F43" s="73">
        <f t="shared" si="5"/>
        <v>85.5</v>
      </c>
      <c r="G43" s="91">
        <f>'MK2-TO'!D51</f>
        <v>89.5</v>
      </c>
      <c r="H43" s="91">
        <f>'MK2-TO'!E51</f>
        <v>89.5</v>
      </c>
      <c r="I43" s="91">
        <f>'MK2-TO'!F51</f>
        <v>88.92</v>
      </c>
      <c r="J43" s="91">
        <f>'MK2-TO'!G51</f>
        <v>89.14</v>
      </c>
      <c r="K43" s="91">
        <f>'MK2-TO'!H51</f>
        <v>89.14</v>
      </c>
      <c r="L43" s="91">
        <f t="shared" si="6"/>
        <v>89.198000000000008</v>
      </c>
      <c r="M43" s="74">
        <f>'MK3-PSTI'!D51</f>
        <v>66.5</v>
      </c>
      <c r="N43" s="74">
        <f>'MK3-PSTI'!E51</f>
        <v>80.5</v>
      </c>
      <c r="O43" s="74">
        <f t="shared" si="7"/>
        <v>73.5</v>
      </c>
      <c r="P43" s="75">
        <f>IF('MK4-L&amp;A'!D51="","",'MK4-L&amp;A'!D51)</f>
        <v>73</v>
      </c>
      <c r="Q43" s="75">
        <f>IF('MK4-L&amp;A'!E51="","",'MK4-L&amp;A'!E51)</f>
        <v>82</v>
      </c>
      <c r="R43" s="75">
        <f t="shared" si="8"/>
        <v>77.5</v>
      </c>
      <c r="S43" s="76">
        <f>IF('MK5-BP'!D54="","",'MK5-BP'!D54)</f>
        <v>95.9</v>
      </c>
      <c r="T43" s="76">
        <f>IF('MK5-BP'!E49="","",'MK5-BP'!E49)</f>
        <v>88.1</v>
      </c>
      <c r="U43" s="76">
        <f t="shared" si="58"/>
        <v>92</v>
      </c>
      <c r="V43" s="38">
        <f>IF('MK7-MBD'!D51="","",'MK7-MBD'!D51)</f>
        <v>94.5</v>
      </c>
      <c r="W43" s="38">
        <f>IF('MK7-MBD'!E51="","",'MK7-MBD'!E51)</f>
        <v>94.5</v>
      </c>
      <c r="X43" s="38">
        <f t="shared" si="9"/>
        <v>94.5</v>
      </c>
      <c r="Y43" s="77">
        <f>IF(MK8_BID!D51="","",MK8_BID!D51)</f>
        <v>81</v>
      </c>
      <c r="Z43" s="77">
        <f>IF(MK8_BID!E51="","",MK8_BID!E51)</f>
        <v>81</v>
      </c>
      <c r="AA43" s="77">
        <f t="shared" si="10"/>
        <v>81</v>
      </c>
      <c r="AB43" s="78">
        <f>IF('MK16-AGM'!D51="","",'MK16-AGM'!D51)</f>
        <v>91</v>
      </c>
      <c r="AC43" s="78">
        <f>IF('MK16-AGM'!E51="","",'MK16-AGM'!E51)</f>
        <v>91</v>
      </c>
      <c r="AD43" s="78">
        <f t="shared" si="11"/>
        <v>91</v>
      </c>
      <c r="AF43" s="79"/>
      <c r="AG43" s="80"/>
      <c r="AH43" s="79"/>
      <c r="AI43" s="80"/>
      <c r="AJ43" s="79"/>
      <c r="AK43" s="80"/>
      <c r="AL43" s="79"/>
      <c r="AM43" s="80"/>
      <c r="AN43" s="80"/>
      <c r="AO43" s="80"/>
      <c r="AP43" s="80"/>
      <c r="AQ43" s="80"/>
      <c r="AR43" s="80"/>
      <c r="AS43" s="80"/>
      <c r="AT43" s="80"/>
      <c r="AU43" s="80"/>
      <c r="AV43" s="79"/>
      <c r="AW43" s="80"/>
      <c r="AX43" s="79"/>
      <c r="AY43" s="80"/>
      <c r="AZ43" s="80"/>
      <c r="BA43" s="80"/>
      <c r="BB43" s="79"/>
      <c r="BC43" s="80"/>
      <c r="BD43" s="79"/>
      <c r="BE43" s="80"/>
      <c r="BF43" s="205"/>
      <c r="BG43" s="79"/>
      <c r="BJ43" s="4">
        <f t="shared" si="18"/>
        <v>47.25</v>
      </c>
      <c r="BK43" s="89">
        <f t="shared" si="64"/>
        <v>0.94499999999999995</v>
      </c>
      <c r="BL43" s="4">
        <f t="shared" si="19"/>
        <v>40.5</v>
      </c>
      <c r="BM43" s="89">
        <f t="shared" si="65"/>
        <v>0.81</v>
      </c>
      <c r="BN43" s="81">
        <f t="shared" si="20"/>
        <v>40.5</v>
      </c>
      <c r="BO43" s="89">
        <f t="shared" si="66"/>
        <v>0.81</v>
      </c>
      <c r="BP43" s="81">
        <f t="shared" si="21"/>
        <v>42.75</v>
      </c>
      <c r="BQ43" s="89">
        <f t="shared" si="22"/>
        <v>0.85499999999999998</v>
      </c>
      <c r="BR43" s="4"/>
      <c r="BS43" s="4"/>
      <c r="BT43" s="81">
        <f t="shared" si="67"/>
        <v>42.75</v>
      </c>
      <c r="BU43" s="87">
        <f t="shared" si="23"/>
        <v>0.85499999999999998</v>
      </c>
      <c r="BV43" s="4"/>
      <c r="BW43" s="4"/>
      <c r="BX43" s="4"/>
      <c r="BY43" s="4"/>
      <c r="BZ43" s="81"/>
      <c r="CA43" s="89"/>
      <c r="CB43" s="81"/>
      <c r="CC43" s="89"/>
      <c r="CD43" s="81"/>
      <c r="CE43" s="89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81">
        <f t="shared" si="26"/>
        <v>36.5</v>
      </c>
      <c r="CQ43" s="87">
        <f t="shared" si="27"/>
        <v>0.73</v>
      </c>
      <c r="CR43" s="4">
        <f t="shared" si="28"/>
        <v>41</v>
      </c>
      <c r="CS43" s="87">
        <f t="shared" si="29"/>
        <v>0.82</v>
      </c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81">
        <f t="shared" si="30"/>
        <v>33.25</v>
      </c>
      <c r="DS43" s="87">
        <f t="shared" si="31"/>
        <v>0.66500000000000004</v>
      </c>
      <c r="DT43" s="4"/>
      <c r="DU43" s="4"/>
      <c r="DV43" s="4"/>
      <c r="DW43" s="4"/>
      <c r="DX43" s="81">
        <f t="shared" si="32"/>
        <v>40.25</v>
      </c>
      <c r="DY43" s="89">
        <f t="shared" si="79"/>
        <v>0.80500000000000005</v>
      </c>
      <c r="DZ43" s="81"/>
      <c r="EA43" s="89"/>
      <c r="EB43" s="81">
        <f t="shared" si="34"/>
        <v>14.32</v>
      </c>
      <c r="EC43" s="89">
        <f t="shared" si="35"/>
        <v>0.89500000000000002</v>
      </c>
      <c r="ED43" s="80">
        <f t="shared" si="68"/>
        <v>14.32</v>
      </c>
      <c r="EE43" s="89">
        <f t="shared" si="36"/>
        <v>0.89500000000000002</v>
      </c>
      <c r="EF43" s="198">
        <f t="shared" si="69"/>
        <v>23.119200000000003</v>
      </c>
      <c r="EG43" s="89">
        <f t="shared" si="38"/>
        <v>0.8892000000000001</v>
      </c>
      <c r="EH43" s="80">
        <f t="shared" si="70"/>
        <v>18.7194</v>
      </c>
      <c r="EI43" s="89">
        <f t="shared" si="40"/>
        <v>0.89139999999999997</v>
      </c>
      <c r="EJ43" s="4"/>
      <c r="EK43" s="4"/>
      <c r="EL43" s="81">
        <f t="shared" si="71"/>
        <v>18.7194</v>
      </c>
      <c r="EM43" s="87">
        <f t="shared" si="42"/>
        <v>0.8892000000000001</v>
      </c>
      <c r="EN43" s="4"/>
      <c r="EO43" s="4"/>
      <c r="EP43" s="4"/>
      <c r="EQ43" s="4"/>
      <c r="ER43" s="4">
        <f t="shared" si="44"/>
        <v>47.95</v>
      </c>
      <c r="ES43" s="87">
        <f t="shared" si="45"/>
        <v>0.95900000000000007</v>
      </c>
      <c r="ET43" s="4">
        <f t="shared" si="46"/>
        <v>44.05</v>
      </c>
      <c r="EU43" s="87">
        <f t="shared" si="47"/>
        <v>0.88099999999999989</v>
      </c>
      <c r="EV43" s="81"/>
      <c r="EW43" s="89"/>
      <c r="EX43" s="80">
        <f t="shared" si="49"/>
        <v>45.5</v>
      </c>
      <c r="EY43" s="89">
        <f t="shared" si="50"/>
        <v>0.91</v>
      </c>
      <c r="EZ43" s="80">
        <f t="shared" si="51"/>
        <v>45.5</v>
      </c>
      <c r="FA43" s="89">
        <f t="shared" si="52"/>
        <v>0.91</v>
      </c>
      <c r="FB43" s="89"/>
      <c r="FC43" s="89"/>
      <c r="FD43" s="81"/>
      <c r="FE43" s="89"/>
      <c r="FF43" s="183"/>
      <c r="FG43" s="184"/>
      <c r="FH43" s="92"/>
      <c r="FI43" s="92"/>
      <c r="FJ43" s="183"/>
      <c r="FK43" s="184"/>
      <c r="FL43" s="183"/>
      <c r="FM43" s="184"/>
      <c r="FO43" s="101"/>
    </row>
    <row r="44" spans="1:171">
      <c r="A44" s="206">
        <v>34</v>
      </c>
      <c r="B44" s="207" t="s">
        <v>346</v>
      </c>
      <c r="C44" s="207" t="s">
        <v>347</v>
      </c>
      <c r="D44" s="73">
        <f>'MK1-TM'!D52</f>
        <v>82</v>
      </c>
      <c r="E44" s="73">
        <f>'MK1-TM'!E52</f>
        <v>82</v>
      </c>
      <c r="F44" s="73">
        <f t="shared" si="5"/>
        <v>82</v>
      </c>
      <c r="G44" s="91">
        <f>'MK2-TO'!D52</f>
        <v>81.63</v>
      </c>
      <c r="H44" s="91">
        <f>'MK2-TO'!E52</f>
        <v>81.63</v>
      </c>
      <c r="I44" s="91">
        <f>'MK2-TO'!F52</f>
        <v>80.62</v>
      </c>
      <c r="J44" s="91">
        <f>'MK2-TO'!G52</f>
        <v>81</v>
      </c>
      <c r="K44" s="91">
        <f>'MK2-TO'!H52</f>
        <v>81</v>
      </c>
      <c r="L44" s="91">
        <f t="shared" si="6"/>
        <v>81.102800000000002</v>
      </c>
      <c r="M44" s="74">
        <f>'MK3-PSTI'!D52</f>
        <v>87.6</v>
      </c>
      <c r="N44" s="74">
        <f>'MK3-PSTI'!E52</f>
        <v>84.1</v>
      </c>
      <c r="O44" s="74">
        <f t="shared" si="7"/>
        <v>85.85</v>
      </c>
      <c r="P44" s="75">
        <f>IF('MK4-L&amp;A'!D52="","",'MK4-L&amp;A'!D52)</f>
        <v>81</v>
      </c>
      <c r="Q44" s="75">
        <f>IF('MK4-L&amp;A'!E52="","",'MK4-L&amp;A'!E52)</f>
        <v>89</v>
      </c>
      <c r="R44" s="75">
        <f t="shared" si="8"/>
        <v>85</v>
      </c>
      <c r="S44" s="76">
        <f>IF('MK5-BP'!D55="","",'MK5-BP'!D55)</f>
        <v>95.9</v>
      </c>
      <c r="T44" s="76">
        <f>IF('MK5-BP'!E50="","",'MK5-BP'!E50)</f>
        <v>82.6</v>
      </c>
      <c r="U44" s="76">
        <f t="shared" si="58"/>
        <v>89.25</v>
      </c>
      <c r="V44" s="38">
        <f>IF('MK7-MBD'!D52="","",'MK7-MBD'!D52)</f>
        <v>89.3</v>
      </c>
      <c r="W44" s="38">
        <f>IF('MK7-MBD'!E52="","",'MK7-MBD'!E52)</f>
        <v>89.3</v>
      </c>
      <c r="X44" s="38">
        <f t="shared" si="9"/>
        <v>89.3</v>
      </c>
      <c r="Y44" s="77">
        <f>IF(MK8_BID!D52="","",MK8_BID!D52)</f>
        <v>82.2</v>
      </c>
      <c r="Z44" s="77">
        <f>IF(MK8_BID!E52="","",MK8_BID!E52)</f>
        <v>82.2</v>
      </c>
      <c r="AA44" s="77">
        <f t="shared" si="10"/>
        <v>82.2</v>
      </c>
      <c r="AB44" s="78">
        <f>IF('MK16-AGM'!D52="","",'MK16-AGM'!D52)</f>
        <v>91.5</v>
      </c>
      <c r="AC44" s="78">
        <f>IF('MK16-AGM'!E52="","",'MK16-AGM'!E52)</f>
        <v>92.4</v>
      </c>
      <c r="AD44" s="78">
        <f t="shared" si="11"/>
        <v>91.95</v>
      </c>
      <c r="AF44" s="79"/>
      <c r="AG44" s="80"/>
      <c r="AH44" s="79"/>
      <c r="AI44" s="80"/>
      <c r="AJ44" s="79"/>
      <c r="AK44" s="80"/>
      <c r="AL44" s="79"/>
      <c r="AM44" s="80"/>
      <c r="AN44" s="80"/>
      <c r="AO44" s="80"/>
      <c r="AP44" s="80"/>
      <c r="AQ44" s="80"/>
      <c r="AR44" s="80"/>
      <c r="AS44" s="80"/>
      <c r="AT44" s="80"/>
      <c r="AU44" s="80"/>
      <c r="AV44" s="79"/>
      <c r="AW44" s="80"/>
      <c r="AX44" s="79"/>
      <c r="AY44" s="80"/>
      <c r="AZ44" s="80"/>
      <c r="BA44" s="80"/>
      <c r="BB44" s="79"/>
      <c r="BC44" s="80"/>
      <c r="BD44" s="79"/>
      <c r="BE44" s="80"/>
      <c r="BF44" s="205"/>
      <c r="BG44" s="79"/>
      <c r="BJ44" s="4">
        <f t="shared" si="18"/>
        <v>44.65</v>
      </c>
      <c r="BK44" s="89">
        <f t="shared" si="64"/>
        <v>0.89300000000000002</v>
      </c>
      <c r="BL44" s="4">
        <f t="shared" si="19"/>
        <v>41.1</v>
      </c>
      <c r="BM44" s="89">
        <f t="shared" si="65"/>
        <v>0.82200000000000006</v>
      </c>
      <c r="BN44" s="81">
        <f t="shared" si="20"/>
        <v>41.1</v>
      </c>
      <c r="BO44" s="89">
        <f t="shared" si="66"/>
        <v>0.82200000000000006</v>
      </c>
      <c r="BP44" s="81">
        <f t="shared" si="21"/>
        <v>41</v>
      </c>
      <c r="BQ44" s="89">
        <f t="shared" si="22"/>
        <v>0.82</v>
      </c>
      <c r="BR44" s="4"/>
      <c r="BS44" s="4"/>
      <c r="BT44" s="81">
        <f t="shared" si="67"/>
        <v>41</v>
      </c>
      <c r="BU44" s="87">
        <f t="shared" si="23"/>
        <v>0.82</v>
      </c>
      <c r="BV44" s="4"/>
      <c r="BW44" s="4"/>
      <c r="BX44" s="4"/>
      <c r="BY44" s="4"/>
      <c r="BZ44" s="81"/>
      <c r="CA44" s="89"/>
      <c r="CB44" s="81"/>
      <c r="CC44" s="89"/>
      <c r="CD44" s="81"/>
      <c r="CE44" s="89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81">
        <f t="shared" si="26"/>
        <v>40.5</v>
      </c>
      <c r="CQ44" s="87">
        <f t="shared" si="27"/>
        <v>0.81</v>
      </c>
      <c r="CR44" s="4">
        <f t="shared" si="28"/>
        <v>44.5</v>
      </c>
      <c r="CS44" s="87">
        <f t="shared" si="29"/>
        <v>0.89</v>
      </c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81">
        <f t="shared" si="30"/>
        <v>43.8</v>
      </c>
      <c r="DS44" s="87">
        <f t="shared" si="31"/>
        <v>0.87599999999999989</v>
      </c>
      <c r="DT44" s="4"/>
      <c r="DU44" s="4"/>
      <c r="DV44" s="4"/>
      <c r="DW44" s="4"/>
      <c r="DX44" s="81">
        <f t="shared" si="32"/>
        <v>42.05</v>
      </c>
      <c r="DY44" s="89">
        <f t="shared" si="79"/>
        <v>0.84099999999999997</v>
      </c>
      <c r="DZ44" s="81"/>
      <c r="EA44" s="89"/>
      <c r="EB44" s="81">
        <f t="shared" si="34"/>
        <v>13.0608</v>
      </c>
      <c r="EC44" s="89">
        <f t="shared" si="35"/>
        <v>0.81630000000000003</v>
      </c>
      <c r="ED44" s="80">
        <f t="shared" si="68"/>
        <v>13.0608</v>
      </c>
      <c r="EE44" s="89">
        <f t="shared" si="36"/>
        <v>0.81630000000000003</v>
      </c>
      <c r="EF44" s="198">
        <f t="shared" si="69"/>
        <v>20.961200000000002</v>
      </c>
      <c r="EG44" s="89">
        <f t="shared" si="38"/>
        <v>0.80620000000000003</v>
      </c>
      <c r="EH44" s="80">
        <f t="shared" si="70"/>
        <v>17.009999999999998</v>
      </c>
      <c r="EI44" s="89">
        <f t="shared" si="40"/>
        <v>0.80999999999999994</v>
      </c>
      <c r="EJ44" s="4"/>
      <c r="EK44" s="4"/>
      <c r="EL44" s="81">
        <f t="shared" si="71"/>
        <v>17.009999999999998</v>
      </c>
      <c r="EM44" s="87">
        <f t="shared" si="42"/>
        <v>0.80620000000000003</v>
      </c>
      <c r="EN44" s="4"/>
      <c r="EO44" s="4"/>
      <c r="EP44" s="4"/>
      <c r="EQ44" s="4"/>
      <c r="ER44" s="4">
        <f t="shared" si="44"/>
        <v>47.95</v>
      </c>
      <c r="ES44" s="87">
        <f t="shared" si="45"/>
        <v>0.95900000000000007</v>
      </c>
      <c r="ET44" s="4">
        <f t="shared" si="46"/>
        <v>41.3</v>
      </c>
      <c r="EU44" s="87">
        <f t="shared" si="47"/>
        <v>0.82599999999999996</v>
      </c>
      <c r="EV44" s="81"/>
      <c r="EW44" s="89"/>
      <c r="EX44" s="80">
        <f t="shared" si="49"/>
        <v>45.75</v>
      </c>
      <c r="EY44" s="89">
        <f t="shared" si="50"/>
        <v>0.91500000000000004</v>
      </c>
      <c r="EZ44" s="80">
        <f t="shared" si="51"/>
        <v>46.2</v>
      </c>
      <c r="FA44" s="89">
        <f t="shared" si="52"/>
        <v>0.92400000000000004</v>
      </c>
      <c r="FB44" s="89"/>
      <c r="FC44" s="89"/>
      <c r="FD44" s="81"/>
      <c r="FE44" s="89"/>
      <c r="FF44" s="183"/>
      <c r="FG44" s="184"/>
      <c r="FH44" s="92"/>
      <c r="FI44" s="92"/>
      <c r="FJ44" s="183"/>
      <c r="FK44" s="184"/>
      <c r="FL44" s="183"/>
      <c r="FM44" s="184"/>
      <c r="FO44" s="101"/>
    </row>
    <row r="45" spans="1:171">
      <c r="A45" s="206">
        <v>35</v>
      </c>
      <c r="B45" s="207" t="s">
        <v>348</v>
      </c>
      <c r="C45" s="207" t="s">
        <v>349</v>
      </c>
      <c r="D45" s="73">
        <f>'MK1-TM'!D50</f>
        <v>82</v>
      </c>
      <c r="E45" s="73">
        <f>'MK1-TM'!E50</f>
        <v>82</v>
      </c>
      <c r="F45" s="73">
        <f t="shared" si="5"/>
        <v>82</v>
      </c>
      <c r="G45" s="91">
        <f>'MK2-TO'!D50</f>
        <v>82.5</v>
      </c>
      <c r="H45" s="91">
        <f>'MK2-TO'!E50</f>
        <v>82.5</v>
      </c>
      <c r="I45" s="91">
        <f>'MK2-TO'!F53</f>
        <v>86.15</v>
      </c>
      <c r="J45" s="91">
        <f>'MK2-TO'!G53</f>
        <v>86.43</v>
      </c>
      <c r="K45" s="91">
        <f>'MK2-TO'!H53</f>
        <v>86.43</v>
      </c>
      <c r="L45" s="91">
        <f t="shared" si="6"/>
        <v>85.099600000000009</v>
      </c>
      <c r="M45" s="74">
        <f>'MK3-PSTI'!D53</f>
        <v>72.5</v>
      </c>
      <c r="N45" s="74">
        <f>'MK3-PSTI'!E53</f>
        <v>72</v>
      </c>
      <c r="O45" s="74">
        <f t="shared" si="7"/>
        <v>72.25</v>
      </c>
      <c r="P45" s="75">
        <f>IF('MK4-L&amp;A'!D53="","",'MK4-L&amp;A'!D53)</f>
        <v>80</v>
      </c>
      <c r="Q45" s="75">
        <f>IF('MK4-L&amp;A'!E53="","",'MK4-L&amp;A'!E53)</f>
        <v>89</v>
      </c>
      <c r="R45" s="75">
        <f t="shared" si="8"/>
        <v>84.5</v>
      </c>
      <c r="S45" s="76">
        <f>IF('MK5-BP'!D53="","",'MK5-BP'!D53)</f>
        <v>99.4</v>
      </c>
      <c r="T45" s="76">
        <f>IF('MK5-BP'!E48="","",'MK5-BP'!E48)</f>
        <v>92.7</v>
      </c>
      <c r="U45" s="76">
        <f t="shared" si="58"/>
        <v>96.050000000000011</v>
      </c>
      <c r="V45" s="38">
        <f>IF('MK7-MBD'!D53="","",'MK7-MBD'!D53)</f>
        <v>87.4</v>
      </c>
      <c r="W45" s="38">
        <f>IF('MK7-MBD'!E53="","",'MK7-MBD'!E53)</f>
        <v>87.4</v>
      </c>
      <c r="X45" s="38">
        <f t="shared" si="9"/>
        <v>87.4</v>
      </c>
      <c r="Y45" s="77">
        <f>IF(MK8_BID!D53="","",MK8_BID!D53)</f>
        <v>85.5</v>
      </c>
      <c r="Z45" s="77">
        <f>IF(MK8_BID!E53="","",MK8_BID!E53)</f>
        <v>85.5</v>
      </c>
      <c r="AA45" s="77">
        <f t="shared" si="10"/>
        <v>85.5</v>
      </c>
      <c r="AB45" s="78">
        <f>IF('MK16-AGM'!D53="","",'MK16-AGM'!D53)</f>
        <v>95.5</v>
      </c>
      <c r="AC45" s="78">
        <f>IF('MK16-AGM'!E53="","",'MK16-AGM'!E53)</f>
        <v>91.3</v>
      </c>
      <c r="AD45" s="78">
        <f t="shared" si="11"/>
        <v>93.4</v>
      </c>
      <c r="AF45" s="79">
        <f t="shared" si="72"/>
        <v>134.15</v>
      </c>
      <c r="AG45" s="80">
        <f t="shared" si="59"/>
        <v>62.395348837209305</v>
      </c>
      <c r="AH45" s="79" t="str">
        <f>IFERROR((#REF!*(#REF!/100)),"")</f>
        <v/>
      </c>
      <c r="AI45" s="80" t="str">
        <f t="shared" si="12"/>
        <v/>
      </c>
      <c r="AJ45" s="79">
        <f t="shared" si="73"/>
        <v>89.7</v>
      </c>
      <c r="AK45" s="80">
        <f t="shared" si="14"/>
        <v>89.7</v>
      </c>
      <c r="AL45" s="79" t="str">
        <f>IFERROR((#REF!*(#REF!/100)),"")</f>
        <v/>
      </c>
      <c r="AM45" s="80" t="str">
        <f t="shared" si="15"/>
        <v/>
      </c>
      <c r="AN45" s="80"/>
      <c r="AO45" s="80"/>
      <c r="AP45" s="80"/>
      <c r="AQ45" s="80"/>
      <c r="AR45" s="80"/>
      <c r="AS45" s="80"/>
      <c r="AT45" s="80"/>
      <c r="AU45" s="80"/>
      <c r="AV45" s="79">
        <f t="shared" si="74"/>
        <v>90.85</v>
      </c>
      <c r="AW45" s="80">
        <f t="shared" si="60"/>
        <v>90.85</v>
      </c>
      <c r="AX45" s="79" t="str">
        <f>IFERROR((Y45*($Y$9/100)+AB45*($AB$9/100)+#REF!*(#REF!/100)),"")</f>
        <v/>
      </c>
      <c r="AY45" s="80" t="str">
        <f t="shared" si="17"/>
        <v/>
      </c>
      <c r="AZ45" s="80"/>
      <c r="BA45" s="80"/>
      <c r="BB45" s="79" t="str">
        <f>IFERROR((#REF!*(#REF!/100)+#REF!*(#REF!/100)+#REF!*(#REF!/100)),"")</f>
        <v/>
      </c>
      <c r="BC45" s="80" t="str">
        <f t="shared" si="61"/>
        <v/>
      </c>
      <c r="BD45" s="79">
        <f t="shared" si="75"/>
        <v>138.8503</v>
      </c>
      <c r="BE45" s="80">
        <f t="shared" si="62"/>
        <v>81.199005847953217</v>
      </c>
      <c r="BF45" s="2" t="str">
        <f>IFERROR((Z45*($Z$9/100)+AC45*($AC$9/100)+#REF!*(#REF!/100)),"")</f>
        <v/>
      </c>
      <c r="BG45" s="79" t="str">
        <f t="shared" si="63"/>
        <v/>
      </c>
      <c r="BJ45" s="4">
        <f t="shared" si="18"/>
        <v>43.7</v>
      </c>
      <c r="BK45" s="89">
        <f t="shared" si="64"/>
        <v>0.87400000000000011</v>
      </c>
      <c r="BL45" s="4">
        <f t="shared" si="19"/>
        <v>42.75</v>
      </c>
      <c r="BM45" s="89">
        <f t="shared" si="65"/>
        <v>0.85499999999999998</v>
      </c>
      <c r="BN45" s="81">
        <f t="shared" si="20"/>
        <v>42.75</v>
      </c>
      <c r="BO45" s="89">
        <f t="shared" si="66"/>
        <v>0.85499999999999998</v>
      </c>
      <c r="BP45" s="81">
        <f t="shared" si="21"/>
        <v>41</v>
      </c>
      <c r="BQ45" s="89">
        <f t="shared" si="22"/>
        <v>0.82</v>
      </c>
      <c r="BR45" s="4"/>
      <c r="BS45" s="4"/>
      <c r="BT45" s="81">
        <f t="shared" si="67"/>
        <v>41</v>
      </c>
      <c r="BU45" s="87">
        <f t="shared" si="23"/>
        <v>0.82</v>
      </c>
      <c r="BV45" s="4"/>
      <c r="BW45" s="4"/>
      <c r="BX45" s="4"/>
      <c r="BY45" s="4"/>
      <c r="BZ45" s="81"/>
      <c r="CA45" s="89" t="str">
        <f t="shared" si="24"/>
        <v/>
      </c>
      <c r="CB45" s="81"/>
      <c r="CC45" s="89"/>
      <c r="CD45" s="81"/>
      <c r="CE45" s="89" t="str">
        <f t="shared" si="25"/>
        <v/>
      </c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81">
        <f t="shared" si="26"/>
        <v>40</v>
      </c>
      <c r="CQ45" s="87">
        <f t="shared" si="27"/>
        <v>0.8</v>
      </c>
      <c r="CR45" s="4">
        <f t="shared" si="28"/>
        <v>44.5</v>
      </c>
      <c r="CS45" s="87">
        <f t="shared" si="29"/>
        <v>0.89</v>
      </c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81">
        <f t="shared" si="30"/>
        <v>36.25</v>
      </c>
      <c r="DS45" s="87">
        <f t="shared" si="31"/>
        <v>0.72499999999999998</v>
      </c>
      <c r="DT45" s="4"/>
      <c r="DU45" s="4"/>
      <c r="DV45" s="4"/>
      <c r="DW45" s="4"/>
      <c r="DX45" s="81">
        <f t="shared" si="32"/>
        <v>36</v>
      </c>
      <c r="DY45" s="89">
        <f t="shared" si="33"/>
        <v>0.72</v>
      </c>
      <c r="DZ45" s="81"/>
      <c r="EA45" s="89"/>
      <c r="EB45" s="81">
        <f t="shared" si="34"/>
        <v>13.200000000000001</v>
      </c>
      <c r="EC45" s="89">
        <f t="shared" si="35"/>
        <v>0.82500000000000007</v>
      </c>
      <c r="ED45" s="80">
        <f t="shared" si="68"/>
        <v>13.200000000000001</v>
      </c>
      <c r="EE45" s="89">
        <f t="shared" si="36"/>
        <v>0.82500000000000007</v>
      </c>
      <c r="EF45" s="198">
        <f>IF(I32="","",IFERROR(I45*($I$9/100),""))</f>
        <v>22.399000000000001</v>
      </c>
      <c r="EG45" s="89">
        <f t="shared" si="38"/>
        <v>0.86150000000000004</v>
      </c>
      <c r="EH45" s="80">
        <f>IF(J32="","",IFERROR(J45*($J$9/100),""))</f>
        <v>18.150300000000001</v>
      </c>
      <c r="EI45" s="89">
        <f t="shared" si="40"/>
        <v>0.86430000000000007</v>
      </c>
      <c r="EJ45" s="4"/>
      <c r="EK45" s="4"/>
      <c r="EL45" s="81">
        <f>IF(K32="","",IFERROR(K45*($K$9/100),""))</f>
        <v>18.150300000000001</v>
      </c>
      <c r="EM45" s="87">
        <f t="shared" si="42"/>
        <v>0.86150000000000004</v>
      </c>
      <c r="EN45" s="4"/>
      <c r="EO45" s="4" t="str">
        <f t="shared" si="43"/>
        <v/>
      </c>
      <c r="EP45" s="4"/>
      <c r="EQ45" s="4"/>
      <c r="ER45" s="4">
        <f t="shared" si="44"/>
        <v>49.7</v>
      </c>
      <c r="ES45" s="87">
        <f t="shared" si="45"/>
        <v>0.99400000000000011</v>
      </c>
      <c r="ET45" s="4">
        <f t="shared" si="46"/>
        <v>46.35</v>
      </c>
      <c r="EU45" s="87">
        <f t="shared" si="47"/>
        <v>0.92700000000000005</v>
      </c>
      <c r="EV45" s="81" t="str">
        <f>IFERROR(IF(#REF!="","",IFERROR(#REF!*(#REF!/100),"")),"")</f>
        <v/>
      </c>
      <c r="EW45" s="89" t="str">
        <f t="shared" si="48"/>
        <v/>
      </c>
      <c r="EX45" s="80">
        <f t="shared" si="49"/>
        <v>47.75</v>
      </c>
      <c r="EY45" s="89">
        <f t="shared" si="50"/>
        <v>0.95499999999999996</v>
      </c>
      <c r="EZ45" s="80">
        <f t="shared" si="51"/>
        <v>45.65</v>
      </c>
      <c r="FA45" s="89">
        <f t="shared" si="52"/>
        <v>0.91299999999999992</v>
      </c>
      <c r="FB45" s="89"/>
      <c r="FC45" s="89"/>
      <c r="FD45" s="81" t="str">
        <f>IFERROR(IF(#REF!="","",IFERROR(#REF!*(#REF!/100),""))+IF(#REF!="","",IFERROR(#REF!*(#REF!/100),"")),"")</f>
        <v/>
      </c>
      <c r="FE45" s="89" t="str">
        <f t="shared" si="53"/>
        <v/>
      </c>
      <c r="FF45" s="183">
        <f t="shared" si="76"/>
        <v>138.8503</v>
      </c>
      <c r="FG45" s="184">
        <f t="shared" si="54"/>
        <v>0.81199005847953221</v>
      </c>
      <c r="FH45" s="92"/>
      <c r="FI45" s="92"/>
      <c r="FJ45" s="183" t="str">
        <f>IFERROR(IF(AC45="","",IFERROR(AC45*($AC$9/100),""))+IF(#REF!="","",IFERROR(#REF!*(#REF!/100),"")),"")</f>
        <v/>
      </c>
      <c r="FK45" s="184" t="str">
        <f t="shared" si="55"/>
        <v/>
      </c>
      <c r="FL45" s="183">
        <f t="shared" si="77"/>
        <v>42.75</v>
      </c>
      <c r="FM45" s="184">
        <f t="shared" si="56"/>
        <v>0.85499999999999998</v>
      </c>
      <c r="FN45" s="182">
        <f t="shared" si="78"/>
        <v>840.2971900584796</v>
      </c>
      <c r="FO45" s="101" t="e">
        <f t="shared" si="57"/>
        <v>#REF!</v>
      </c>
    </row>
    <row r="46" spans="1:171">
      <c r="A46" s="206">
        <v>36</v>
      </c>
      <c r="B46" s="207" t="s">
        <v>350</v>
      </c>
      <c r="C46" s="207" t="s">
        <v>351</v>
      </c>
      <c r="D46" s="73">
        <f>'MK1-TM'!D54</f>
        <v>85.5</v>
      </c>
      <c r="E46" s="73">
        <f>'MK1-TM'!E54</f>
        <v>85.5</v>
      </c>
      <c r="F46" s="73">
        <f t="shared" si="5"/>
        <v>85.5</v>
      </c>
      <c r="G46" s="91">
        <f>'MK2-TO'!D54</f>
        <v>85.25</v>
      </c>
      <c r="H46" s="91">
        <f>'MK2-TO'!E54</f>
        <v>85.25</v>
      </c>
      <c r="I46" s="91">
        <f>'MK2-TO'!F54</f>
        <v>84.77</v>
      </c>
      <c r="J46" s="91">
        <f>'MK2-TO'!G54</f>
        <v>84.95</v>
      </c>
      <c r="K46" s="91">
        <f>'MK2-TO'!H54</f>
        <v>84.95</v>
      </c>
      <c r="L46" s="91">
        <f t="shared" si="6"/>
        <v>84.999200000000002</v>
      </c>
      <c r="M46" s="74">
        <f>'MK3-PSTI'!D54</f>
        <v>74.8</v>
      </c>
      <c r="N46" s="74">
        <f>'MK3-PSTI'!E54</f>
        <v>77.8</v>
      </c>
      <c r="O46" s="74">
        <f t="shared" si="7"/>
        <v>76.3</v>
      </c>
      <c r="P46" s="75">
        <f>IF('MK4-L&amp;A'!D54="","",'MK4-L&amp;A'!D54)</f>
        <v>74</v>
      </c>
      <c r="Q46" s="75">
        <f>IF('MK4-L&amp;A'!E54="","",'MK4-L&amp;A'!E54)</f>
        <v>81</v>
      </c>
      <c r="R46" s="75">
        <f t="shared" si="8"/>
        <v>77.5</v>
      </c>
      <c r="S46" s="76">
        <f>IF('MK5-BP'!D54="","",'MK5-BP'!D54)</f>
        <v>95.9</v>
      </c>
      <c r="T46" s="76">
        <f>IF('MK5-BP'!E54="","",'MK5-BP'!E54)</f>
        <v>81.2</v>
      </c>
      <c r="U46" s="76">
        <f t="shared" si="58"/>
        <v>88.550000000000011</v>
      </c>
      <c r="V46" s="38">
        <f>IF('MK7-MBD'!D54="","",'MK7-MBD'!D54)</f>
        <v>91.5</v>
      </c>
      <c r="W46" s="38">
        <f>IF('MK7-MBD'!E54="","",'MK7-MBD'!E54)</f>
        <v>91.5</v>
      </c>
      <c r="X46" s="38">
        <f t="shared" si="9"/>
        <v>91.5</v>
      </c>
      <c r="Y46" s="77">
        <f>IF(MK8_BID!D54="","",MK8_BID!D54)</f>
        <v>91.9</v>
      </c>
      <c r="Z46" s="77">
        <f>IF(MK8_BID!E54="","",MK8_BID!E54)</f>
        <v>91.9</v>
      </c>
      <c r="AA46" s="77">
        <f t="shared" si="10"/>
        <v>91.9</v>
      </c>
      <c r="AB46" s="78">
        <f>IF('MK16-AGM'!D54="","",'MK16-AGM'!D54)</f>
        <v>91.5</v>
      </c>
      <c r="AC46" s="78">
        <f>IF('MK16-AGM'!E54="","",'MK16-AGM'!E54)</f>
        <v>95.5</v>
      </c>
      <c r="AD46" s="78">
        <f t="shared" si="11"/>
        <v>93.5</v>
      </c>
      <c r="AF46" s="79">
        <f t="shared" si="72"/>
        <v>139.54</v>
      </c>
      <c r="AG46" s="80">
        <f t="shared" si="59"/>
        <v>64.902325581395345</v>
      </c>
      <c r="AH46" s="79" t="str">
        <f>IFERROR((#REF!*(#REF!/100)),"")</f>
        <v/>
      </c>
      <c r="AI46" s="80" t="str">
        <f t="shared" si="12"/>
        <v/>
      </c>
      <c r="AJ46" s="79">
        <f t="shared" si="73"/>
        <v>84.95</v>
      </c>
      <c r="AK46" s="80">
        <f t="shared" si="14"/>
        <v>84.95</v>
      </c>
      <c r="AL46" s="79" t="str">
        <f>IFERROR((#REF!*(#REF!/100)),"")</f>
        <v/>
      </c>
      <c r="AM46" s="80" t="str">
        <f t="shared" si="15"/>
        <v/>
      </c>
      <c r="AN46" s="80"/>
      <c r="AO46" s="80"/>
      <c r="AP46" s="80"/>
      <c r="AQ46" s="80"/>
      <c r="AR46" s="80"/>
      <c r="AS46" s="80"/>
      <c r="AT46" s="80"/>
      <c r="AU46" s="80"/>
      <c r="AV46" s="79">
        <f t="shared" si="74"/>
        <v>81.099999999999994</v>
      </c>
      <c r="AW46" s="80">
        <f t="shared" si="60"/>
        <v>81.099999999999994</v>
      </c>
      <c r="AX46" s="79" t="str">
        <f>IFERROR((Y46*($Y$9/100)+AB46*($AB$9/100)+#REF!*(#REF!/100)),"")</f>
        <v/>
      </c>
      <c r="AY46" s="80" t="str">
        <f t="shared" si="17"/>
        <v/>
      </c>
      <c r="AZ46" s="80"/>
      <c r="BA46" s="80"/>
      <c r="BB46" s="79" t="str">
        <f>IFERROR((#REF!*(#REF!/100)+#REF!*(#REF!/100)+#REF!*(#REF!/100)),"")</f>
        <v/>
      </c>
      <c r="BC46" s="80" t="str">
        <f t="shared" si="61"/>
        <v/>
      </c>
      <c r="BD46" s="79">
        <f t="shared" si="75"/>
        <v>145.23949999999999</v>
      </c>
      <c r="BE46" s="80">
        <f t="shared" si="62"/>
        <v>84.935380116959053</v>
      </c>
      <c r="BF46" s="2" t="str">
        <f>IFERROR((Z46*($Z$9/100)+AC46*($AC$9/100)+#REF!*(#REF!/100)),"")</f>
        <v/>
      </c>
      <c r="BG46" s="79" t="str">
        <f t="shared" si="63"/>
        <v/>
      </c>
      <c r="BJ46" s="4">
        <f t="shared" si="18"/>
        <v>45.75</v>
      </c>
      <c r="BK46" s="89">
        <f t="shared" si="64"/>
        <v>0.91500000000000004</v>
      </c>
      <c r="BL46" s="4">
        <f t="shared" si="19"/>
        <v>45.95</v>
      </c>
      <c r="BM46" s="89">
        <f t="shared" si="65"/>
        <v>0.91900000000000004</v>
      </c>
      <c r="BN46" s="81">
        <f t="shared" si="20"/>
        <v>45.95</v>
      </c>
      <c r="BO46" s="89">
        <f t="shared" si="66"/>
        <v>0.91900000000000004</v>
      </c>
      <c r="BP46" s="81">
        <f t="shared" si="21"/>
        <v>42.75</v>
      </c>
      <c r="BQ46" s="89">
        <f t="shared" si="22"/>
        <v>0.85499999999999998</v>
      </c>
      <c r="BR46" s="4"/>
      <c r="BS46" s="4"/>
      <c r="BT46" s="81">
        <f t="shared" si="67"/>
        <v>42.75</v>
      </c>
      <c r="BU46" s="87">
        <f t="shared" si="23"/>
        <v>0.85499999999999998</v>
      </c>
      <c r="BV46" s="4"/>
      <c r="BW46" s="4"/>
      <c r="BX46" s="4"/>
      <c r="BY46" s="4"/>
      <c r="BZ46" s="81"/>
      <c r="CA46" s="89" t="str">
        <f t="shared" si="24"/>
        <v/>
      </c>
      <c r="CB46" s="81"/>
      <c r="CC46" s="89"/>
      <c r="CD46" s="81"/>
      <c r="CE46" s="89" t="str">
        <f t="shared" si="25"/>
        <v/>
      </c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81">
        <f t="shared" si="26"/>
        <v>37</v>
      </c>
      <c r="CQ46" s="87">
        <f t="shared" si="27"/>
        <v>0.74</v>
      </c>
      <c r="CR46" s="4">
        <f t="shared" si="28"/>
        <v>40.5</v>
      </c>
      <c r="CS46" s="87">
        <f t="shared" si="29"/>
        <v>0.81</v>
      </c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81">
        <f t="shared" si="30"/>
        <v>37.4</v>
      </c>
      <c r="DS46" s="87">
        <f t="shared" si="31"/>
        <v>0.748</v>
      </c>
      <c r="DT46" s="4"/>
      <c r="DU46" s="4"/>
      <c r="DV46" s="4"/>
      <c r="DW46" s="4"/>
      <c r="DX46" s="81">
        <f t="shared" si="32"/>
        <v>38.9</v>
      </c>
      <c r="DY46" s="89">
        <f t="shared" si="33"/>
        <v>0.77800000000000002</v>
      </c>
      <c r="DZ46" s="81"/>
      <c r="EA46" s="89"/>
      <c r="EB46" s="81">
        <f t="shared" si="34"/>
        <v>13.64</v>
      </c>
      <c r="EC46" s="89">
        <f t="shared" si="35"/>
        <v>0.85250000000000004</v>
      </c>
      <c r="ED46" s="80">
        <f t="shared" si="68"/>
        <v>13.64</v>
      </c>
      <c r="EE46" s="89">
        <f t="shared" si="36"/>
        <v>0.85250000000000004</v>
      </c>
      <c r="EF46" s="198">
        <f>IF(I33="","",IFERROR(I46*($I$9/100),""))</f>
        <v>22.040199999999999</v>
      </c>
      <c r="EG46" s="89">
        <f t="shared" si="38"/>
        <v>0.8476999999999999</v>
      </c>
      <c r="EH46" s="80">
        <f>IF(J33="","",IFERROR(J46*($J$9/100),""))</f>
        <v>17.839500000000001</v>
      </c>
      <c r="EI46" s="89">
        <f t="shared" si="40"/>
        <v>0.84950000000000003</v>
      </c>
      <c r="EJ46" s="4"/>
      <c r="EK46" s="4"/>
      <c r="EL46" s="81">
        <f>IF(K33="","",IFERROR(K46*($K$9/100),""))</f>
        <v>17.839500000000001</v>
      </c>
      <c r="EM46" s="87">
        <f t="shared" si="42"/>
        <v>0.8476999999999999</v>
      </c>
      <c r="EN46" s="4"/>
      <c r="EO46" s="4" t="str">
        <f t="shared" si="43"/>
        <v/>
      </c>
      <c r="EP46" s="4"/>
      <c r="EQ46" s="4"/>
      <c r="ER46" s="4">
        <f t="shared" si="44"/>
        <v>47.95</v>
      </c>
      <c r="ES46" s="87">
        <f t="shared" si="45"/>
        <v>0.95900000000000007</v>
      </c>
      <c r="ET46" s="4">
        <f t="shared" si="46"/>
        <v>40.6</v>
      </c>
      <c r="EU46" s="87">
        <f t="shared" si="47"/>
        <v>0.81200000000000006</v>
      </c>
      <c r="EV46" s="81" t="str">
        <f>IFERROR(IF(#REF!="","",IFERROR(#REF!*(#REF!/100),"")),"")</f>
        <v/>
      </c>
      <c r="EW46" s="89" t="str">
        <f t="shared" si="48"/>
        <v/>
      </c>
      <c r="EX46" s="80">
        <f t="shared" si="49"/>
        <v>45.75</v>
      </c>
      <c r="EY46" s="89">
        <f t="shared" si="50"/>
        <v>0.91500000000000004</v>
      </c>
      <c r="EZ46" s="80">
        <f t="shared" si="51"/>
        <v>47.75</v>
      </c>
      <c r="FA46" s="89">
        <f t="shared" si="52"/>
        <v>0.95499999999999996</v>
      </c>
      <c r="FB46" s="89"/>
      <c r="FC46" s="89"/>
      <c r="FD46" s="81" t="str">
        <f>IFERROR(IF(#REF!="","",IFERROR(#REF!*(#REF!/100),""))+IF(#REF!="","",IFERROR(#REF!*(#REF!/100),"")),"")</f>
        <v/>
      </c>
      <c r="FE46" s="89" t="str">
        <f t="shared" si="53"/>
        <v/>
      </c>
      <c r="FF46" s="183">
        <f t="shared" si="76"/>
        <v>145.23949999999999</v>
      </c>
      <c r="FG46" s="184">
        <f t="shared" si="54"/>
        <v>0.84935380116959058</v>
      </c>
      <c r="FH46" s="92"/>
      <c r="FI46" s="92"/>
      <c r="FJ46" s="183" t="str">
        <f>IFERROR(IF(AC46="","",IFERROR(AC46*($AC$9/100),""))+IF(#REF!="","",IFERROR(#REF!*(#REF!/100),"")),"")</f>
        <v/>
      </c>
      <c r="FK46" s="184" t="str">
        <f t="shared" si="55"/>
        <v/>
      </c>
      <c r="FL46" s="183">
        <f t="shared" si="77"/>
        <v>45.95</v>
      </c>
      <c r="FM46" s="184">
        <f t="shared" si="56"/>
        <v>0.91900000000000004</v>
      </c>
      <c r="FN46" s="182">
        <f t="shared" si="78"/>
        <v>851.46795380116953</v>
      </c>
      <c r="FO46" s="101" t="e">
        <f t="shared" si="57"/>
        <v>#REF!</v>
      </c>
    </row>
    <row r="47" spans="1:171">
      <c r="A47" s="206">
        <v>37</v>
      </c>
      <c r="B47" s="207" t="s">
        <v>352</v>
      </c>
      <c r="C47" s="207" t="s">
        <v>353</v>
      </c>
      <c r="D47" s="73">
        <f>'MK1-TM'!D55</f>
        <v>85.5</v>
      </c>
      <c r="E47" s="73">
        <f>'MK1-TM'!E55</f>
        <v>85.5</v>
      </c>
      <c r="F47" s="73">
        <f t="shared" si="5"/>
        <v>85.5</v>
      </c>
      <c r="G47" s="91">
        <f>'MK2-TO'!D55</f>
        <v>85.13</v>
      </c>
      <c r="H47" s="91">
        <f>'MK2-TO'!E55</f>
        <v>85.13</v>
      </c>
      <c r="I47" s="91">
        <f>'MK2-TO'!F55</f>
        <v>84.31</v>
      </c>
      <c r="J47" s="91">
        <f>'MK2-TO'!G55</f>
        <v>84.62</v>
      </c>
      <c r="K47" s="91">
        <f>'MK2-TO'!H55</f>
        <v>84.62</v>
      </c>
      <c r="L47" s="91">
        <f t="shared" si="6"/>
        <v>84.70259999999999</v>
      </c>
      <c r="M47" s="74">
        <f>'MK3-PSTI'!D55</f>
        <v>95.9</v>
      </c>
      <c r="N47" s="74">
        <f>'MK3-PSTI'!E55</f>
        <v>71.400000000000006</v>
      </c>
      <c r="O47" s="74">
        <f t="shared" si="7"/>
        <v>83.65</v>
      </c>
      <c r="P47" s="75">
        <f>IF('MK4-L&amp;A'!D55="","",'MK4-L&amp;A'!D55)</f>
        <v>80</v>
      </c>
      <c r="Q47" s="75">
        <f>IF('MK4-L&amp;A'!E55="","",'MK4-L&amp;A'!E55)</f>
        <v>88</v>
      </c>
      <c r="R47" s="75">
        <f t="shared" si="8"/>
        <v>84</v>
      </c>
      <c r="S47" s="76">
        <f>IF('MK5-BP'!D55="","",'MK5-BP'!D55)</f>
        <v>95.9</v>
      </c>
      <c r="T47" s="76">
        <f>IF('MK5-BP'!E55="","",'MK5-BP'!E55)</f>
        <v>88.2</v>
      </c>
      <c r="U47" s="76">
        <f t="shared" si="58"/>
        <v>92.050000000000011</v>
      </c>
      <c r="V47" s="38">
        <f>IF('MK7-MBD'!D55="","",'MK7-MBD'!D55)</f>
        <v>88.35</v>
      </c>
      <c r="W47" s="38">
        <f>IF('MK7-MBD'!E55="","",'MK7-MBD'!E55)</f>
        <v>88.35</v>
      </c>
      <c r="X47" s="38">
        <f t="shared" si="9"/>
        <v>88.35</v>
      </c>
      <c r="Y47" s="77">
        <f>IF(MK8_BID!D55="","",MK8_BID!D55)</f>
        <v>77.8</v>
      </c>
      <c r="Z47" s="77">
        <f>IF(MK8_BID!E55="","",MK8_BID!E55)</f>
        <v>77.8</v>
      </c>
      <c r="AA47" s="77">
        <f t="shared" si="10"/>
        <v>77.8</v>
      </c>
      <c r="AB47" s="78">
        <f>IF('MK16-AGM'!D55="","",'MK16-AGM'!D55)</f>
        <v>93.8</v>
      </c>
      <c r="AC47" s="78">
        <f>IF('MK16-AGM'!E55="","",'MK16-AGM'!E55)</f>
        <v>91</v>
      </c>
      <c r="AD47" s="78">
        <f>IFERROR((AB47*($AB$9/100))+(AC47*($AC$9/100)),"")</f>
        <v>92.4</v>
      </c>
      <c r="AF47" s="79">
        <f t="shared" si="72"/>
        <v>148.4958</v>
      </c>
      <c r="AG47" s="80">
        <f t="shared" si="59"/>
        <v>69.067813953488383</v>
      </c>
      <c r="AH47" s="79" t="str">
        <f>IFERROR((#REF!*(#REF!/100)),"")</f>
        <v/>
      </c>
      <c r="AI47" s="80" t="str">
        <f t="shared" si="12"/>
        <v/>
      </c>
      <c r="AJ47" s="79"/>
      <c r="AK47" s="80"/>
      <c r="AL47" s="79" t="str">
        <f>IFERROR((#REF!*(#REF!/100)),"")</f>
        <v/>
      </c>
      <c r="AM47" s="80" t="str">
        <f t="shared" si="15"/>
        <v/>
      </c>
      <c r="AN47" s="80"/>
      <c r="AO47" s="80"/>
      <c r="AP47" s="80"/>
      <c r="AQ47" s="80"/>
      <c r="AR47" s="80"/>
      <c r="AS47" s="80"/>
      <c r="AT47" s="80"/>
      <c r="AU47" s="80"/>
      <c r="AV47" s="79"/>
      <c r="AW47" s="80"/>
      <c r="AX47" s="79" t="str">
        <f>IFERROR((Y47*($Y$9/100)+AB47*($AB$9/100)+#REF!*(#REF!/100)),"")</f>
        <v/>
      </c>
      <c r="AY47" s="80" t="str">
        <f t="shared" si="17"/>
        <v/>
      </c>
      <c r="AZ47" s="80"/>
      <c r="BA47" s="80"/>
      <c r="BB47" s="79" t="str">
        <f>IFERROR((#REF!*(#REF!/100)+#REF!*(#REF!/100)+#REF!*(#REF!/100)),"")</f>
        <v/>
      </c>
      <c r="BC47" s="80" t="str">
        <f t="shared" si="61"/>
        <v/>
      </c>
      <c r="BD47" s="79">
        <f t="shared" si="75"/>
        <v>140.39519999999999</v>
      </c>
      <c r="BE47" s="80">
        <f t="shared" si="62"/>
        <v>82.102456140350867</v>
      </c>
      <c r="BF47" s="2" t="str">
        <f>IFERROR((Z47*($Z$9/100)+AC47*($AC$9/100)+#REF!*(#REF!/100)),"")</f>
        <v/>
      </c>
      <c r="BG47" s="79" t="str">
        <f t="shared" si="63"/>
        <v/>
      </c>
      <c r="BJ47" s="4">
        <f t="shared" si="18"/>
        <v>44.174999999999997</v>
      </c>
      <c r="BK47" s="89">
        <f t="shared" si="64"/>
        <v>0.88349999999999995</v>
      </c>
      <c r="BL47" s="4">
        <f t="shared" si="19"/>
        <v>38.9</v>
      </c>
      <c r="BM47" s="89">
        <f t="shared" si="65"/>
        <v>0.77800000000000002</v>
      </c>
      <c r="BN47" s="81">
        <f t="shared" ref="BN47" si="80">IF(V47="","",IFERROR(V47*($BN$9/100),""))</f>
        <v>44.174999999999997</v>
      </c>
      <c r="BO47" s="89">
        <f t="shared" si="66"/>
        <v>0.88349999999999995</v>
      </c>
      <c r="BP47" s="81">
        <f t="shared" si="21"/>
        <v>42.75</v>
      </c>
      <c r="BQ47" s="89">
        <f t="shared" si="22"/>
        <v>0.85499999999999998</v>
      </c>
      <c r="BR47" s="4"/>
      <c r="BS47" s="4"/>
      <c r="BT47" s="81">
        <f t="shared" si="67"/>
        <v>42.75</v>
      </c>
      <c r="BU47" s="87">
        <f t="shared" si="23"/>
        <v>0.85499999999999998</v>
      </c>
      <c r="BV47" s="4"/>
      <c r="BW47" s="4"/>
      <c r="BX47" s="4"/>
      <c r="BY47" s="4"/>
      <c r="BZ47" s="81"/>
      <c r="CA47" s="89" t="str">
        <f t="shared" si="24"/>
        <v/>
      </c>
      <c r="CB47" s="81"/>
      <c r="CC47" s="89"/>
      <c r="CD47" s="4"/>
      <c r="CE47" s="89" t="str">
        <f t="shared" si="25"/>
        <v/>
      </c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81">
        <f t="shared" si="26"/>
        <v>40</v>
      </c>
      <c r="CQ47" s="87">
        <f t="shared" si="27"/>
        <v>0.8</v>
      </c>
      <c r="CR47" s="4">
        <f t="shared" si="28"/>
        <v>44</v>
      </c>
      <c r="CS47" s="87">
        <f t="shared" si="29"/>
        <v>0.88</v>
      </c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81">
        <f t="shared" si="30"/>
        <v>47.95</v>
      </c>
      <c r="DS47" s="87">
        <f t="shared" si="31"/>
        <v>0.95900000000000007</v>
      </c>
      <c r="DT47" s="4"/>
      <c r="DU47" s="4"/>
      <c r="DV47" s="4"/>
      <c r="DW47" s="4"/>
      <c r="DX47" s="81">
        <f t="shared" si="32"/>
        <v>35.700000000000003</v>
      </c>
      <c r="DY47" s="89">
        <f t="shared" si="33"/>
        <v>0.71400000000000008</v>
      </c>
      <c r="DZ47" s="4"/>
      <c r="EA47" s="89"/>
      <c r="EB47" s="81">
        <f t="shared" si="34"/>
        <v>13.620799999999999</v>
      </c>
      <c r="EC47" s="89">
        <f t="shared" si="35"/>
        <v>0.85129999999999995</v>
      </c>
      <c r="ED47" s="80">
        <f t="shared" si="68"/>
        <v>13.620799999999999</v>
      </c>
      <c r="EE47" s="89">
        <f t="shared" si="36"/>
        <v>0.85129999999999995</v>
      </c>
      <c r="EF47" s="198">
        <f>IF(I34="","",IFERROR(I47*($I$9/100),""))</f>
        <v>21.9206</v>
      </c>
      <c r="EG47" s="89">
        <f t="shared" si="38"/>
        <v>0.84309999999999996</v>
      </c>
      <c r="EH47" s="80">
        <f>IF(J34="","",IFERROR(J47*($J$9/100),""))</f>
        <v>17.770199999999999</v>
      </c>
      <c r="EI47" s="89">
        <f t="shared" si="40"/>
        <v>0.84619999999999995</v>
      </c>
      <c r="EJ47" s="4"/>
      <c r="EK47" s="4"/>
      <c r="EL47" s="81">
        <f>IF(K34="","",IFERROR(K47*($K$9/100),""))</f>
        <v>17.770199999999999</v>
      </c>
      <c r="EM47" s="87">
        <f t="shared" si="42"/>
        <v>0.84309999999999996</v>
      </c>
      <c r="EN47" s="4"/>
      <c r="EO47" s="4" t="str">
        <f t="shared" si="43"/>
        <v/>
      </c>
      <c r="EP47" s="4"/>
      <c r="EQ47" s="4"/>
      <c r="ER47" s="4">
        <f t="shared" si="44"/>
        <v>47.95</v>
      </c>
      <c r="ES47" s="87">
        <f t="shared" si="45"/>
        <v>0.95900000000000007</v>
      </c>
      <c r="ET47" s="4">
        <f t="shared" si="46"/>
        <v>44.1</v>
      </c>
      <c r="EU47" s="87">
        <f t="shared" si="47"/>
        <v>0.88200000000000001</v>
      </c>
      <c r="EV47" s="4"/>
      <c r="EW47" s="89" t="str">
        <f t="shared" si="48"/>
        <v/>
      </c>
      <c r="EX47" s="80">
        <f t="shared" si="49"/>
        <v>46.9</v>
      </c>
      <c r="EY47" s="89">
        <f t="shared" si="50"/>
        <v>0.93799999999999994</v>
      </c>
      <c r="EZ47" s="80">
        <f t="shared" si="51"/>
        <v>45.5</v>
      </c>
      <c r="FA47" s="89">
        <f t="shared" si="52"/>
        <v>0.91</v>
      </c>
      <c r="FB47" s="89"/>
      <c r="FC47" s="89"/>
      <c r="FD47" s="4"/>
      <c r="FE47" s="89" t="str">
        <f t="shared" si="53"/>
        <v/>
      </c>
      <c r="FF47" s="92"/>
      <c r="FG47" s="184" t="str">
        <f t="shared" si="54"/>
        <v/>
      </c>
      <c r="FH47" s="92"/>
      <c r="FI47" s="92"/>
      <c r="FJ47" s="92"/>
      <c r="FK47" s="184" t="str">
        <f t="shared" si="55"/>
        <v/>
      </c>
      <c r="FL47" s="92"/>
      <c r="FM47" s="184" t="str">
        <f t="shared" si="56"/>
        <v/>
      </c>
    </row>
    <row r="48" spans="1:171" ht="14.5" thickBot="1">
      <c r="BJ48" s="4" t="str">
        <f t="shared" si="18"/>
        <v/>
      </c>
      <c r="BL48" s="4" t="str">
        <f t="shared" si="19"/>
        <v/>
      </c>
      <c r="BT48" s="4" t="str">
        <f t="shared" si="67"/>
        <v/>
      </c>
      <c r="BU48" s="87" t="str">
        <f t="shared" si="23"/>
        <v/>
      </c>
      <c r="CP48" s="81" t="str">
        <f t="shared" si="26"/>
        <v/>
      </c>
      <c r="CQ48" s="87" t="str">
        <f t="shared" si="27"/>
        <v/>
      </c>
      <c r="CR48" s="4" t="str">
        <f t="shared" si="28"/>
        <v/>
      </c>
      <c r="CS48" s="87" t="str">
        <f t="shared" si="29"/>
        <v/>
      </c>
      <c r="DR48" s="81" t="str">
        <f t="shared" si="30"/>
        <v/>
      </c>
      <c r="DS48" s="87" t="str">
        <f t="shared" si="31"/>
        <v/>
      </c>
      <c r="DX48" s="81" t="str">
        <f t="shared" si="32"/>
        <v/>
      </c>
      <c r="EB48" s="81" t="str">
        <f t="shared" si="34"/>
        <v/>
      </c>
      <c r="ED48" s="80" t="str">
        <f t="shared" si="68"/>
        <v/>
      </c>
      <c r="EE48" s="89" t="str">
        <f t="shared" si="36"/>
        <v/>
      </c>
      <c r="EF48" s="198"/>
      <c r="EG48" s="89" t="str">
        <f t="shared" si="38"/>
        <v/>
      </c>
      <c r="EH48" s="80"/>
      <c r="EL48" s="81"/>
      <c r="EM48" s="87" t="str">
        <f t="shared" si="42"/>
        <v/>
      </c>
      <c r="EO48" s="4" t="str">
        <f t="shared" si="43"/>
        <v/>
      </c>
      <c r="ER48" s="4" t="str">
        <f t="shared" si="44"/>
        <v/>
      </c>
      <c r="ES48" s="87" t="str">
        <f t="shared" si="45"/>
        <v/>
      </c>
      <c r="ET48" s="4" t="str">
        <f t="shared" si="46"/>
        <v/>
      </c>
      <c r="EU48" s="87" t="str">
        <f t="shared" si="47"/>
        <v/>
      </c>
      <c r="EX48" s="80" t="str">
        <f t="shared" si="49"/>
        <v/>
      </c>
      <c r="EY48" s="89" t="str">
        <f t="shared" si="50"/>
        <v/>
      </c>
      <c r="EZ48" s="80" t="str">
        <f t="shared" si="51"/>
        <v/>
      </c>
      <c r="FA48" s="89" t="str">
        <f t="shared" si="52"/>
        <v/>
      </c>
    </row>
    <row r="49" spans="3:171" ht="14.5" hidden="1" thickBot="1">
      <c r="D49" s="36" t="str">
        <f>D8</f>
        <v>CPMK021</v>
      </c>
      <c r="E49" s="36" t="str">
        <f>E8</f>
        <v>CPMK023</v>
      </c>
      <c r="G49" s="36" t="str">
        <f>G8</f>
        <v>CPMK101</v>
      </c>
      <c r="K49" s="36" t="str">
        <f>K8</f>
        <v>CPMK111</v>
      </c>
      <c r="M49" s="36" t="str">
        <f>M8</f>
        <v>CPMK81</v>
      </c>
      <c r="N49" s="36" t="str">
        <f>N8</f>
        <v>CPMK91</v>
      </c>
      <c r="P49" s="36" t="str">
        <f>P8</f>
        <v>CPMK55</v>
      </c>
      <c r="Q49" s="36" t="str">
        <f>Q8</f>
        <v>CPMK56</v>
      </c>
      <c r="S49" s="36" t="str">
        <f>S8</f>
        <v>CPMK114</v>
      </c>
      <c r="T49" s="36" t="str">
        <f>T8</f>
        <v>CPMK115</v>
      </c>
      <c r="V49" s="36" t="str">
        <f>V8</f>
        <v>CPMK11</v>
      </c>
      <c r="W49" s="36" t="str">
        <f>W8</f>
        <v>CPMK13</v>
      </c>
      <c r="Y49" s="36" t="str">
        <f>Y8</f>
        <v>CPMK12</v>
      </c>
      <c r="Z49" s="36" t="str">
        <f>Z8</f>
        <v>CPMK13</v>
      </c>
      <c r="AB49" s="36" t="str">
        <f>AB8</f>
        <v>CPMK122</v>
      </c>
      <c r="AC49" s="36" t="str">
        <f>AC8</f>
        <v>CPMK123</v>
      </c>
      <c r="BJ49" s="4" t="str">
        <f t="shared" si="18"/>
        <v/>
      </c>
      <c r="BL49" s="4" t="str">
        <f t="shared" si="19"/>
        <v/>
      </c>
      <c r="BT49" s="4" t="str">
        <f t="shared" si="67"/>
        <v/>
      </c>
      <c r="BU49" s="87" t="str">
        <f t="shared" si="23"/>
        <v/>
      </c>
      <c r="CP49" s="81" t="str">
        <f t="shared" si="26"/>
        <v/>
      </c>
      <c r="CQ49" s="87" t="str">
        <f t="shared" si="27"/>
        <v/>
      </c>
      <c r="CR49" s="4" t="str">
        <f t="shared" si="28"/>
        <v/>
      </c>
      <c r="CS49" s="87" t="str">
        <f t="shared" si="29"/>
        <v/>
      </c>
      <c r="DR49" s="81" t="str">
        <f t="shared" si="30"/>
        <v/>
      </c>
      <c r="DS49" s="87" t="str">
        <f t="shared" si="31"/>
        <v/>
      </c>
      <c r="DX49" s="81" t="str">
        <f t="shared" si="32"/>
        <v/>
      </c>
      <c r="EB49" s="81" t="str">
        <f t="shared" si="34"/>
        <v/>
      </c>
      <c r="ED49" s="80" t="str">
        <f t="shared" si="68"/>
        <v/>
      </c>
      <c r="EE49" s="89" t="str">
        <f t="shared" si="36"/>
        <v/>
      </c>
      <c r="EF49" s="198">
        <f t="shared" ref="EF49:EF54" si="81">IF(I36="","",IFERROR(I49*($I$9/100),""))</f>
        <v>0</v>
      </c>
      <c r="EG49" s="89">
        <f t="shared" si="38"/>
        <v>0</v>
      </c>
      <c r="EH49" s="98">
        <f t="shared" ref="EH49:EH54" si="82">IF(J36="","",IFERROR(J49*($J$9/100),""))</f>
        <v>0</v>
      </c>
      <c r="EL49" s="81" t="str">
        <f t="shared" ref="EL49:EL54" si="83">IF(K36="","",IFERROR(K49*($K$9/100),""))</f>
        <v/>
      </c>
      <c r="EM49" s="87">
        <f t="shared" si="42"/>
        <v>0</v>
      </c>
      <c r="EO49" s="4" t="str">
        <f t="shared" si="43"/>
        <v/>
      </c>
      <c r="ER49" s="4" t="str">
        <f t="shared" si="44"/>
        <v/>
      </c>
      <c r="ES49" s="87" t="str">
        <f t="shared" si="45"/>
        <v/>
      </c>
      <c r="ET49" s="4" t="str">
        <f t="shared" si="46"/>
        <v/>
      </c>
      <c r="EU49" s="87" t="str">
        <f t="shared" si="47"/>
        <v/>
      </c>
      <c r="EX49" s="80" t="str">
        <f t="shared" si="49"/>
        <v/>
      </c>
      <c r="EY49" s="89" t="str">
        <f t="shared" si="50"/>
        <v/>
      </c>
      <c r="EZ49" s="80" t="str">
        <f t="shared" si="51"/>
        <v/>
      </c>
      <c r="FA49" s="89" t="str">
        <f t="shared" si="52"/>
        <v/>
      </c>
    </row>
    <row r="50" spans="3:171" ht="14.5" hidden="1" thickBot="1">
      <c r="C50" s="41" t="s">
        <v>172</v>
      </c>
      <c r="D50" s="42">
        <f t="shared" ref="D50:AD50" si="84">COUNTIF(D11:D40,$C$50)</f>
        <v>0</v>
      </c>
      <c r="E50" s="42">
        <f t="shared" si="84"/>
        <v>0</v>
      </c>
      <c r="F50" s="42">
        <f t="shared" si="84"/>
        <v>0</v>
      </c>
      <c r="G50" s="42">
        <f t="shared" si="84"/>
        <v>1</v>
      </c>
      <c r="H50" s="42"/>
      <c r="I50" s="42"/>
      <c r="J50" s="42"/>
      <c r="K50" s="42">
        <f t="shared" si="84"/>
        <v>1</v>
      </c>
      <c r="L50" s="42">
        <f t="shared" si="84"/>
        <v>1</v>
      </c>
      <c r="M50" s="42">
        <f t="shared" si="84"/>
        <v>2</v>
      </c>
      <c r="N50" s="42">
        <f t="shared" si="84"/>
        <v>2</v>
      </c>
      <c r="O50" s="42">
        <f t="shared" si="84"/>
        <v>2</v>
      </c>
      <c r="P50" s="42">
        <f t="shared" si="84"/>
        <v>1</v>
      </c>
      <c r="Q50" s="42">
        <f t="shared" si="84"/>
        <v>2</v>
      </c>
      <c r="R50" s="42">
        <f t="shared" si="84"/>
        <v>2</v>
      </c>
      <c r="S50" s="42">
        <f t="shared" si="84"/>
        <v>6</v>
      </c>
      <c r="T50" s="42">
        <f t="shared" si="84"/>
        <v>5</v>
      </c>
      <c r="U50" s="42">
        <f t="shared" si="84"/>
        <v>1</v>
      </c>
      <c r="V50" s="42">
        <f t="shared" si="84"/>
        <v>1</v>
      </c>
      <c r="W50" s="42">
        <f t="shared" si="84"/>
        <v>1</v>
      </c>
      <c r="X50" s="42">
        <f t="shared" si="84"/>
        <v>1</v>
      </c>
      <c r="Y50" s="42">
        <f t="shared" si="84"/>
        <v>1</v>
      </c>
      <c r="Z50" s="42">
        <f t="shared" si="84"/>
        <v>1</v>
      </c>
      <c r="AA50" s="42">
        <f t="shared" si="84"/>
        <v>1</v>
      </c>
      <c r="AB50" s="42">
        <f t="shared" si="84"/>
        <v>1</v>
      </c>
      <c r="AC50" s="42">
        <f t="shared" si="84"/>
        <v>1</v>
      </c>
      <c r="AD50" s="42">
        <f t="shared" si="84"/>
        <v>1</v>
      </c>
      <c r="BJ50" s="4">
        <f t="shared" si="18"/>
        <v>0.5</v>
      </c>
      <c r="BL50" s="4">
        <f t="shared" si="19"/>
        <v>0.5</v>
      </c>
      <c r="BT50" s="4">
        <f t="shared" si="67"/>
        <v>0</v>
      </c>
      <c r="BU50" s="87">
        <f t="shared" si="23"/>
        <v>0</v>
      </c>
      <c r="CP50" s="81">
        <f t="shared" si="26"/>
        <v>0.5</v>
      </c>
      <c r="CQ50" s="87">
        <f t="shared" si="27"/>
        <v>0.01</v>
      </c>
      <c r="CR50" s="4">
        <f t="shared" si="28"/>
        <v>1</v>
      </c>
      <c r="CS50" s="87">
        <f t="shared" si="29"/>
        <v>0.02</v>
      </c>
      <c r="DR50" s="81">
        <f t="shared" si="30"/>
        <v>1</v>
      </c>
      <c r="DS50" s="87">
        <f t="shared" si="31"/>
        <v>0.02</v>
      </c>
      <c r="DX50" s="81">
        <f t="shared" si="32"/>
        <v>1</v>
      </c>
      <c r="EB50" s="81">
        <f t="shared" si="34"/>
        <v>0.16</v>
      </c>
      <c r="ED50" s="80" t="str">
        <f t="shared" si="68"/>
        <v/>
      </c>
      <c r="EE50" s="89" t="str">
        <f t="shared" si="36"/>
        <v/>
      </c>
      <c r="EF50" s="198">
        <f t="shared" si="81"/>
        <v>0</v>
      </c>
      <c r="EG50" s="89">
        <f t="shared" si="38"/>
        <v>0</v>
      </c>
      <c r="EH50" s="98">
        <f t="shared" si="82"/>
        <v>0</v>
      </c>
      <c r="EL50" s="81">
        <f t="shared" si="83"/>
        <v>0.21</v>
      </c>
      <c r="EM50" s="87">
        <f t="shared" si="42"/>
        <v>0</v>
      </c>
      <c r="EO50" s="4" t="str">
        <f t="shared" si="43"/>
        <v/>
      </c>
      <c r="ER50" s="4">
        <f t="shared" si="44"/>
        <v>3</v>
      </c>
      <c r="ES50" s="87">
        <f t="shared" si="45"/>
        <v>0.06</v>
      </c>
      <c r="ET50" s="4">
        <f t="shared" si="46"/>
        <v>2.5</v>
      </c>
      <c r="EU50" s="87">
        <f t="shared" si="47"/>
        <v>0.05</v>
      </c>
      <c r="EX50" s="80">
        <f t="shared" si="49"/>
        <v>0.5</v>
      </c>
      <c r="EY50" s="89">
        <f t="shared" si="50"/>
        <v>0.01</v>
      </c>
      <c r="EZ50" s="80">
        <f t="shared" si="51"/>
        <v>0.5</v>
      </c>
      <c r="FA50" s="89">
        <f t="shared" si="52"/>
        <v>0.01</v>
      </c>
    </row>
    <row r="51" spans="3:171" ht="14.5" hidden="1" thickBot="1">
      <c r="C51" s="43" t="s">
        <v>99</v>
      </c>
      <c r="D51" s="44">
        <f t="shared" ref="D51:AD51" si="85">COUNTIF(D11:D40,$C$51)-D50</f>
        <v>20</v>
      </c>
      <c r="E51" s="44">
        <f t="shared" si="85"/>
        <v>16</v>
      </c>
      <c r="F51" s="44">
        <f t="shared" si="85"/>
        <v>18</v>
      </c>
      <c r="G51" s="44">
        <f t="shared" si="85"/>
        <v>3</v>
      </c>
      <c r="H51" s="44"/>
      <c r="I51" s="44"/>
      <c r="J51" s="44"/>
      <c r="K51" s="44">
        <f t="shared" si="85"/>
        <v>8</v>
      </c>
      <c r="L51" s="44">
        <f t="shared" si="85"/>
        <v>3</v>
      </c>
      <c r="M51" s="44">
        <f t="shared" si="85"/>
        <v>3</v>
      </c>
      <c r="N51" s="44">
        <f t="shared" si="85"/>
        <v>1</v>
      </c>
      <c r="O51" s="44">
        <f t="shared" si="85"/>
        <v>1</v>
      </c>
      <c r="P51" s="44">
        <f t="shared" si="85"/>
        <v>16</v>
      </c>
      <c r="Q51" s="44">
        <f t="shared" si="85"/>
        <v>11</v>
      </c>
      <c r="R51" s="44">
        <f t="shared" si="85"/>
        <v>14</v>
      </c>
      <c r="S51" s="44">
        <f t="shared" si="85"/>
        <v>19</v>
      </c>
      <c r="T51" s="44">
        <f t="shared" si="85"/>
        <v>18</v>
      </c>
      <c r="U51" s="44">
        <f t="shared" si="85"/>
        <v>22</v>
      </c>
      <c r="V51" s="44">
        <f t="shared" si="85"/>
        <v>21</v>
      </c>
      <c r="W51" s="44">
        <f t="shared" si="85"/>
        <v>0</v>
      </c>
      <c r="X51" s="44">
        <f t="shared" si="85"/>
        <v>4</v>
      </c>
      <c r="Y51" s="44">
        <f t="shared" si="85"/>
        <v>21</v>
      </c>
      <c r="Z51" s="44">
        <f t="shared" si="85"/>
        <v>21</v>
      </c>
      <c r="AA51" s="44">
        <f t="shared" si="85"/>
        <v>21</v>
      </c>
      <c r="AB51" s="44">
        <f t="shared" si="85"/>
        <v>4</v>
      </c>
      <c r="AC51" s="44">
        <f t="shared" si="85"/>
        <v>4</v>
      </c>
      <c r="AD51" s="44">
        <f t="shared" si="85"/>
        <v>4</v>
      </c>
      <c r="BJ51" s="4">
        <f t="shared" si="18"/>
        <v>10.5</v>
      </c>
      <c r="BL51" s="4">
        <f t="shared" si="19"/>
        <v>10.5</v>
      </c>
      <c r="BT51" s="4">
        <f t="shared" si="67"/>
        <v>8</v>
      </c>
      <c r="BU51" s="87">
        <f t="shared" si="23"/>
        <v>0.16</v>
      </c>
      <c r="CP51" s="81">
        <f t="shared" si="26"/>
        <v>8</v>
      </c>
      <c r="CQ51" s="87">
        <f t="shared" si="27"/>
        <v>0.16</v>
      </c>
      <c r="CR51" s="4">
        <f t="shared" si="28"/>
        <v>5.5</v>
      </c>
      <c r="CS51" s="87">
        <f t="shared" si="29"/>
        <v>0.11</v>
      </c>
      <c r="DR51" s="81">
        <f t="shared" si="30"/>
        <v>1.5</v>
      </c>
      <c r="DS51" s="87">
        <f t="shared" si="31"/>
        <v>0.03</v>
      </c>
      <c r="DX51" s="81">
        <f t="shared" si="32"/>
        <v>0.5</v>
      </c>
      <c r="EB51" s="81">
        <f t="shared" si="34"/>
        <v>0.48</v>
      </c>
      <c r="ED51" s="80" t="str">
        <f t="shared" si="68"/>
        <v/>
      </c>
      <c r="EE51" s="89" t="str">
        <f t="shared" si="36"/>
        <v/>
      </c>
      <c r="EF51" s="198">
        <f t="shared" si="81"/>
        <v>0</v>
      </c>
      <c r="EG51" s="89">
        <f t="shared" si="38"/>
        <v>0</v>
      </c>
      <c r="EH51" s="98">
        <f t="shared" si="82"/>
        <v>0</v>
      </c>
      <c r="EL51" s="81">
        <f t="shared" si="83"/>
        <v>1.68</v>
      </c>
      <c r="EM51" s="87">
        <f t="shared" si="42"/>
        <v>0</v>
      </c>
      <c r="EO51" s="4" t="str">
        <f t="shared" si="43"/>
        <v/>
      </c>
      <c r="ER51" s="4">
        <f t="shared" si="44"/>
        <v>9.5</v>
      </c>
      <c r="ES51" s="87">
        <f t="shared" si="45"/>
        <v>0.19</v>
      </c>
      <c r="ET51" s="4">
        <f t="shared" si="46"/>
        <v>9</v>
      </c>
      <c r="EU51" s="87">
        <f t="shared" si="47"/>
        <v>0.18</v>
      </c>
      <c r="EX51" s="80">
        <f t="shared" si="49"/>
        <v>2</v>
      </c>
      <c r="EY51" s="89">
        <f t="shared" si="50"/>
        <v>0.04</v>
      </c>
      <c r="EZ51" s="80">
        <f t="shared" si="51"/>
        <v>2</v>
      </c>
      <c r="FA51" s="89">
        <f t="shared" si="52"/>
        <v>0.04</v>
      </c>
    </row>
    <row r="52" spans="3:171" ht="14.5" hidden="1" thickBot="1">
      <c r="C52" s="46" t="s">
        <v>100</v>
      </c>
      <c r="D52" s="47">
        <f t="shared" ref="D52:AD52" si="86">COUNTIF(D11:D40,$C$52)</f>
        <v>10</v>
      </c>
      <c r="E52" s="47">
        <f t="shared" si="86"/>
        <v>14</v>
      </c>
      <c r="F52" s="47">
        <f t="shared" si="86"/>
        <v>12</v>
      </c>
      <c r="G52" s="47">
        <f t="shared" si="86"/>
        <v>26</v>
      </c>
      <c r="H52" s="47"/>
      <c r="I52" s="47"/>
      <c r="J52" s="47"/>
      <c r="K52" s="47">
        <f t="shared" si="86"/>
        <v>21</v>
      </c>
      <c r="L52" s="47">
        <f t="shared" si="86"/>
        <v>26</v>
      </c>
      <c r="M52" s="47">
        <f t="shared" si="86"/>
        <v>25</v>
      </c>
      <c r="N52" s="47">
        <f t="shared" si="86"/>
        <v>27</v>
      </c>
      <c r="O52" s="47">
        <f t="shared" si="86"/>
        <v>27</v>
      </c>
      <c r="P52" s="47">
        <f t="shared" si="86"/>
        <v>13</v>
      </c>
      <c r="Q52" s="47">
        <f t="shared" si="86"/>
        <v>17</v>
      </c>
      <c r="R52" s="47">
        <f t="shared" si="86"/>
        <v>14</v>
      </c>
      <c r="S52" s="47">
        <f t="shared" si="86"/>
        <v>5</v>
      </c>
      <c r="T52" s="47">
        <f t="shared" si="86"/>
        <v>7</v>
      </c>
      <c r="U52" s="47">
        <f t="shared" si="86"/>
        <v>7</v>
      </c>
      <c r="V52" s="47">
        <f t="shared" si="86"/>
        <v>8</v>
      </c>
      <c r="W52" s="47">
        <f t="shared" si="86"/>
        <v>29</v>
      </c>
      <c r="X52" s="47">
        <f t="shared" si="86"/>
        <v>25</v>
      </c>
      <c r="Y52" s="47">
        <f t="shared" si="86"/>
        <v>8</v>
      </c>
      <c r="Z52" s="47">
        <f t="shared" si="86"/>
        <v>8</v>
      </c>
      <c r="AA52" s="47">
        <f t="shared" si="86"/>
        <v>8</v>
      </c>
      <c r="AB52" s="47">
        <f t="shared" si="86"/>
        <v>25</v>
      </c>
      <c r="AC52" s="47">
        <f t="shared" si="86"/>
        <v>25</v>
      </c>
      <c r="AD52" s="47">
        <f t="shared" si="86"/>
        <v>25</v>
      </c>
      <c r="BJ52" s="4">
        <f t="shared" si="18"/>
        <v>4</v>
      </c>
      <c r="BL52" s="4">
        <f t="shared" si="19"/>
        <v>4</v>
      </c>
      <c r="BT52" s="4">
        <f t="shared" si="67"/>
        <v>7</v>
      </c>
      <c r="BU52" s="87">
        <f t="shared" si="23"/>
        <v>0.14000000000000001</v>
      </c>
      <c r="CP52" s="81">
        <f t="shared" si="26"/>
        <v>6.5</v>
      </c>
      <c r="CQ52" s="87">
        <f t="shared" si="27"/>
        <v>0.13</v>
      </c>
      <c r="CR52" s="4">
        <f t="shared" si="28"/>
        <v>8.5</v>
      </c>
      <c r="CS52" s="87">
        <f t="shared" si="29"/>
        <v>0.17</v>
      </c>
      <c r="DR52" s="81">
        <f t="shared" si="30"/>
        <v>12.5</v>
      </c>
      <c r="DS52" s="87">
        <f t="shared" si="31"/>
        <v>0.25</v>
      </c>
      <c r="DX52" s="81">
        <f t="shared" si="32"/>
        <v>13.5</v>
      </c>
      <c r="EB52" s="81">
        <f t="shared" si="34"/>
        <v>4.16</v>
      </c>
      <c r="ED52" s="80" t="str">
        <f t="shared" si="68"/>
        <v/>
      </c>
      <c r="EE52" s="89" t="str">
        <f t="shared" si="36"/>
        <v/>
      </c>
      <c r="EF52" s="198">
        <f t="shared" si="81"/>
        <v>0</v>
      </c>
      <c r="EG52" s="89">
        <f t="shared" si="38"/>
        <v>0</v>
      </c>
      <c r="EH52" s="98">
        <f t="shared" si="82"/>
        <v>0</v>
      </c>
      <c r="EL52" s="81">
        <f t="shared" si="83"/>
        <v>4.41</v>
      </c>
      <c r="EM52" s="87">
        <f t="shared" si="42"/>
        <v>0</v>
      </c>
      <c r="EO52" s="4" t="str">
        <f t="shared" si="43"/>
        <v/>
      </c>
      <c r="ER52" s="4">
        <f t="shared" si="44"/>
        <v>2.5</v>
      </c>
      <c r="ES52" s="87">
        <f t="shared" si="45"/>
        <v>0.05</v>
      </c>
      <c r="ET52" s="4">
        <f t="shared" si="46"/>
        <v>3.5</v>
      </c>
      <c r="EU52" s="87">
        <f t="shared" si="47"/>
        <v>7.0000000000000007E-2</v>
      </c>
      <c r="EX52" s="80">
        <f t="shared" si="49"/>
        <v>12.5</v>
      </c>
      <c r="EY52" s="89">
        <f t="shared" si="50"/>
        <v>0.25</v>
      </c>
      <c r="EZ52" s="80">
        <f t="shared" si="51"/>
        <v>12.5</v>
      </c>
      <c r="FA52" s="89">
        <f t="shared" si="52"/>
        <v>0.25</v>
      </c>
    </row>
    <row r="53" spans="3:171" ht="14.5" hidden="1" thickBot="1">
      <c r="C53" s="48" t="s">
        <v>78</v>
      </c>
      <c r="D53" s="49">
        <f t="shared" ref="D53:AD53" si="87">SUM(D50:D52)</f>
        <v>30</v>
      </c>
      <c r="E53" s="49">
        <f t="shared" si="87"/>
        <v>30</v>
      </c>
      <c r="F53" s="49">
        <f t="shared" si="87"/>
        <v>30</v>
      </c>
      <c r="G53" s="49">
        <f t="shared" si="87"/>
        <v>30</v>
      </c>
      <c r="H53" s="49"/>
      <c r="I53" s="49"/>
      <c r="J53" s="49"/>
      <c r="K53" s="49">
        <f t="shared" si="87"/>
        <v>30</v>
      </c>
      <c r="L53" s="49">
        <f t="shared" si="87"/>
        <v>30</v>
      </c>
      <c r="M53" s="49">
        <f t="shared" si="87"/>
        <v>30</v>
      </c>
      <c r="N53" s="49">
        <f t="shared" si="87"/>
        <v>30</v>
      </c>
      <c r="O53" s="49">
        <f t="shared" si="87"/>
        <v>30</v>
      </c>
      <c r="P53" s="49">
        <f t="shared" si="87"/>
        <v>30</v>
      </c>
      <c r="Q53" s="49">
        <f t="shared" si="87"/>
        <v>30</v>
      </c>
      <c r="R53" s="49">
        <f t="shared" si="87"/>
        <v>30</v>
      </c>
      <c r="S53" s="49">
        <f t="shared" si="87"/>
        <v>30</v>
      </c>
      <c r="T53" s="49">
        <f t="shared" si="87"/>
        <v>30</v>
      </c>
      <c r="U53" s="49">
        <f t="shared" si="87"/>
        <v>30</v>
      </c>
      <c r="V53" s="49">
        <f t="shared" si="87"/>
        <v>30</v>
      </c>
      <c r="W53" s="49">
        <f t="shared" si="87"/>
        <v>30</v>
      </c>
      <c r="X53" s="49">
        <f t="shared" si="87"/>
        <v>30</v>
      </c>
      <c r="Y53" s="49">
        <f t="shared" si="87"/>
        <v>30</v>
      </c>
      <c r="Z53" s="49">
        <f t="shared" si="87"/>
        <v>30</v>
      </c>
      <c r="AA53" s="49">
        <f t="shared" si="87"/>
        <v>30</v>
      </c>
      <c r="AB53" s="49">
        <f t="shared" si="87"/>
        <v>30</v>
      </c>
      <c r="AC53" s="49">
        <f t="shared" si="87"/>
        <v>30</v>
      </c>
      <c r="AD53" s="49">
        <f t="shared" si="87"/>
        <v>30</v>
      </c>
      <c r="BJ53" s="4">
        <f t="shared" si="18"/>
        <v>15</v>
      </c>
      <c r="BL53" s="4">
        <f t="shared" si="19"/>
        <v>15</v>
      </c>
      <c r="BT53" s="4">
        <f t="shared" si="67"/>
        <v>15</v>
      </c>
      <c r="BU53" s="87">
        <f t="shared" si="23"/>
        <v>0.3</v>
      </c>
      <c r="CP53" s="81">
        <f t="shared" si="26"/>
        <v>15</v>
      </c>
      <c r="CQ53" s="87">
        <f t="shared" si="27"/>
        <v>0.3</v>
      </c>
      <c r="CR53" s="4">
        <f t="shared" si="28"/>
        <v>15</v>
      </c>
      <c r="CS53" s="87">
        <f t="shared" si="29"/>
        <v>0.3</v>
      </c>
      <c r="DR53" s="81">
        <f t="shared" si="30"/>
        <v>15</v>
      </c>
      <c r="DS53" s="87">
        <f t="shared" si="31"/>
        <v>0.3</v>
      </c>
      <c r="DX53" s="81">
        <f t="shared" si="32"/>
        <v>15</v>
      </c>
      <c r="EB53" s="81">
        <f t="shared" si="34"/>
        <v>4.8</v>
      </c>
      <c r="ED53" s="80" t="str">
        <f t="shared" si="68"/>
        <v/>
      </c>
      <c r="EE53" s="89" t="str">
        <f t="shared" si="36"/>
        <v/>
      </c>
      <c r="EF53" s="198">
        <f t="shared" si="81"/>
        <v>0</v>
      </c>
      <c r="EG53" s="89">
        <f t="shared" si="38"/>
        <v>0</v>
      </c>
      <c r="EH53" s="98">
        <f t="shared" si="82"/>
        <v>0</v>
      </c>
      <c r="EL53" s="81">
        <f t="shared" si="83"/>
        <v>6.3</v>
      </c>
      <c r="EM53" s="87">
        <f t="shared" si="42"/>
        <v>0</v>
      </c>
      <c r="EO53" s="4" t="str">
        <f t="shared" si="43"/>
        <v/>
      </c>
      <c r="ER53" s="4">
        <f t="shared" si="44"/>
        <v>15</v>
      </c>
      <c r="ES53" s="87">
        <f t="shared" si="45"/>
        <v>0.3</v>
      </c>
      <c r="ET53" s="4">
        <f t="shared" si="46"/>
        <v>15</v>
      </c>
      <c r="EU53" s="87">
        <f t="shared" si="47"/>
        <v>0.3</v>
      </c>
      <c r="EX53" s="80">
        <f t="shared" si="49"/>
        <v>15</v>
      </c>
      <c r="EY53" s="89">
        <f t="shared" si="50"/>
        <v>0.3</v>
      </c>
      <c r="EZ53" s="80">
        <f t="shared" si="51"/>
        <v>15</v>
      </c>
      <c r="FA53" s="89">
        <f t="shared" si="52"/>
        <v>0.3</v>
      </c>
    </row>
    <row r="54" spans="3:171" ht="14.5" hidden="1" thickBot="1">
      <c r="C54" s="50"/>
      <c r="D54" s="50"/>
      <c r="E54" s="50"/>
      <c r="F54" s="50"/>
      <c r="BJ54" s="4" t="str">
        <f t="shared" si="18"/>
        <v/>
      </c>
      <c r="BL54" s="4" t="str">
        <f t="shared" si="19"/>
        <v/>
      </c>
      <c r="BT54" s="4" t="str">
        <f t="shared" si="67"/>
        <v/>
      </c>
      <c r="BU54" s="87" t="str">
        <f t="shared" si="23"/>
        <v/>
      </c>
      <c r="CP54" s="81" t="str">
        <f t="shared" si="26"/>
        <v/>
      </c>
      <c r="CQ54" s="87" t="str">
        <f t="shared" si="27"/>
        <v/>
      </c>
      <c r="CR54" s="4" t="str">
        <f t="shared" si="28"/>
        <v/>
      </c>
      <c r="CS54" s="87" t="str">
        <f t="shared" si="29"/>
        <v/>
      </c>
      <c r="DR54" s="81" t="str">
        <f t="shared" si="30"/>
        <v/>
      </c>
      <c r="DS54" s="87" t="str">
        <f t="shared" si="31"/>
        <v/>
      </c>
      <c r="DX54" s="81" t="str">
        <f t="shared" si="32"/>
        <v/>
      </c>
      <c r="EB54" s="81" t="str">
        <f t="shared" si="34"/>
        <v/>
      </c>
      <c r="ED54" s="80" t="str">
        <f t="shared" si="68"/>
        <v/>
      </c>
      <c r="EE54" s="89" t="str">
        <f t="shared" si="36"/>
        <v/>
      </c>
      <c r="EF54" s="198">
        <f t="shared" si="81"/>
        <v>0</v>
      </c>
      <c r="EG54" s="89">
        <f t="shared" si="38"/>
        <v>0</v>
      </c>
      <c r="EH54" s="98">
        <f t="shared" si="82"/>
        <v>0</v>
      </c>
      <c r="EL54" s="81">
        <f t="shared" si="83"/>
        <v>0</v>
      </c>
      <c r="EM54" s="87">
        <f t="shared" si="42"/>
        <v>0</v>
      </c>
      <c r="EO54" s="4" t="str">
        <f t="shared" si="43"/>
        <v/>
      </c>
      <c r="ER54" s="4" t="str">
        <f t="shared" si="44"/>
        <v/>
      </c>
      <c r="ES54" s="87" t="str">
        <f t="shared" si="45"/>
        <v/>
      </c>
      <c r="ET54" s="4" t="str">
        <f t="shared" si="46"/>
        <v/>
      </c>
      <c r="EU54" s="87" t="str">
        <f t="shared" si="47"/>
        <v/>
      </c>
      <c r="EX54" s="80" t="str">
        <f t="shared" si="49"/>
        <v/>
      </c>
      <c r="EY54" s="89" t="str">
        <f t="shared" si="50"/>
        <v/>
      </c>
      <c r="EZ54" s="80" t="str">
        <f t="shared" si="51"/>
        <v/>
      </c>
      <c r="FA54" s="89" t="str">
        <f t="shared" si="52"/>
        <v/>
      </c>
    </row>
    <row r="55" spans="3:171" ht="14.5" hidden="1" thickBot="1">
      <c r="C55" s="51" t="s">
        <v>101</v>
      </c>
      <c r="D55" s="52">
        <f>(D51+D52)/D53</f>
        <v>1</v>
      </c>
      <c r="E55" s="52">
        <f t="shared" ref="E55:AD55" si="88">(E51+E52)/E53</f>
        <v>1</v>
      </c>
      <c r="F55" s="52">
        <f t="shared" si="88"/>
        <v>1</v>
      </c>
      <c r="G55" s="52">
        <f t="shared" si="88"/>
        <v>0.96666666666666667</v>
      </c>
      <c r="H55" s="52"/>
      <c r="I55" s="52"/>
      <c r="J55" s="52"/>
      <c r="K55" s="52">
        <f t="shared" si="88"/>
        <v>0.96666666666666667</v>
      </c>
      <c r="L55" s="52">
        <f t="shared" si="88"/>
        <v>0.96666666666666667</v>
      </c>
      <c r="M55" s="52">
        <f t="shared" si="88"/>
        <v>0.93333333333333335</v>
      </c>
      <c r="N55" s="52">
        <f t="shared" si="88"/>
        <v>0.93333333333333335</v>
      </c>
      <c r="O55" s="52">
        <f t="shared" si="88"/>
        <v>0.93333333333333335</v>
      </c>
      <c r="P55" s="52">
        <f t="shared" si="88"/>
        <v>0.96666666666666667</v>
      </c>
      <c r="Q55" s="52">
        <f t="shared" si="88"/>
        <v>0.93333333333333335</v>
      </c>
      <c r="R55" s="52">
        <f t="shared" si="88"/>
        <v>0.93333333333333335</v>
      </c>
      <c r="S55" s="52">
        <f t="shared" si="88"/>
        <v>0.8</v>
      </c>
      <c r="T55" s="52">
        <f t="shared" si="88"/>
        <v>0.83333333333333337</v>
      </c>
      <c r="U55" s="52">
        <f t="shared" si="88"/>
        <v>0.96666666666666667</v>
      </c>
      <c r="V55" s="52">
        <f t="shared" si="88"/>
        <v>0.96666666666666667</v>
      </c>
      <c r="W55" s="52">
        <f t="shared" si="88"/>
        <v>0.96666666666666667</v>
      </c>
      <c r="X55" s="52">
        <f t="shared" si="88"/>
        <v>0.96666666666666667</v>
      </c>
      <c r="Y55" s="52">
        <f t="shared" si="88"/>
        <v>0.96666666666666667</v>
      </c>
      <c r="Z55" s="52">
        <f t="shared" si="88"/>
        <v>0.96666666666666667</v>
      </c>
      <c r="AA55" s="52">
        <f t="shared" si="88"/>
        <v>0.96666666666666667</v>
      </c>
      <c r="AB55" s="52">
        <f t="shared" si="88"/>
        <v>0.96666666666666667</v>
      </c>
      <c r="AC55" s="52">
        <f t="shared" si="88"/>
        <v>0.96666666666666667</v>
      </c>
      <c r="AD55" s="52">
        <f t="shared" si="88"/>
        <v>0.96666666666666667</v>
      </c>
      <c r="BJ55" s="4">
        <f t="shared" si="18"/>
        <v>0.48333333333333334</v>
      </c>
      <c r="BL55" s="4">
        <f t="shared" si="19"/>
        <v>0.48333333333333334</v>
      </c>
      <c r="BT55" s="4">
        <f t="shared" si="67"/>
        <v>0.5</v>
      </c>
      <c r="BU55" s="87">
        <f t="shared" si="23"/>
        <v>0.01</v>
      </c>
      <c r="CP55" s="81">
        <f t="shared" si="26"/>
        <v>0.48333333333333334</v>
      </c>
      <c r="CQ55" s="87">
        <f t="shared" si="27"/>
        <v>9.6666666666666672E-3</v>
      </c>
      <c r="CR55" s="4">
        <f t="shared" si="28"/>
        <v>0.46666666666666667</v>
      </c>
      <c r="CS55" s="87">
        <f t="shared" si="29"/>
        <v>9.3333333333333341E-3</v>
      </c>
      <c r="DR55" s="81">
        <f t="shared" si="30"/>
        <v>0.46666666666666667</v>
      </c>
      <c r="DS55" s="87">
        <f t="shared" si="31"/>
        <v>9.3333333333333341E-3</v>
      </c>
      <c r="DX55" s="81">
        <f t="shared" si="32"/>
        <v>0.46666666666666667</v>
      </c>
      <c r="EB55" s="81">
        <f t="shared" si="34"/>
        <v>0.15466666666666667</v>
      </c>
      <c r="ED55" s="80" t="str">
        <f t="shared" si="68"/>
        <v/>
      </c>
      <c r="EE55" s="89" t="str">
        <f t="shared" si="36"/>
        <v/>
      </c>
      <c r="EF55" s="198">
        <f t="shared" si="69"/>
        <v>0</v>
      </c>
      <c r="EG55" s="89">
        <f t="shared" si="38"/>
        <v>0</v>
      </c>
      <c r="EH55" s="98">
        <f t="shared" si="70"/>
        <v>0</v>
      </c>
      <c r="EL55" s="81">
        <f t="shared" si="71"/>
        <v>0.20299999999999999</v>
      </c>
      <c r="EM55" s="87">
        <f t="shared" si="42"/>
        <v>0</v>
      </c>
      <c r="EO55" s="4" t="str">
        <f t="shared" si="43"/>
        <v/>
      </c>
      <c r="ER55" s="4">
        <f t="shared" si="44"/>
        <v>0.4</v>
      </c>
      <c r="ES55" s="87">
        <f t="shared" si="45"/>
        <v>8.0000000000000002E-3</v>
      </c>
      <c r="ET55" s="4">
        <f t="shared" si="46"/>
        <v>0.41666666666666669</v>
      </c>
      <c r="EU55" s="87">
        <f t="shared" si="47"/>
        <v>8.3333333333333332E-3</v>
      </c>
      <c r="EX55" s="80">
        <f t="shared" si="49"/>
        <v>0.48333333333333334</v>
      </c>
      <c r="EY55" s="89">
        <f t="shared" si="50"/>
        <v>9.6666666666666672E-3</v>
      </c>
      <c r="EZ55" s="80">
        <f t="shared" si="51"/>
        <v>0.48333333333333334</v>
      </c>
      <c r="FA55" s="89">
        <f t="shared" si="52"/>
        <v>9.6666666666666672E-3</v>
      </c>
    </row>
    <row r="56" spans="3:171" ht="14.5" hidden="1" thickBot="1">
      <c r="C56" s="50"/>
      <c r="D56" s="50"/>
      <c r="E56" s="50"/>
      <c r="F56" s="50"/>
      <c r="BJ56" s="4" t="str">
        <f t="shared" si="18"/>
        <v/>
      </c>
      <c r="BL56" s="4" t="str">
        <f t="shared" si="19"/>
        <v/>
      </c>
      <c r="BT56" s="4" t="str">
        <f t="shared" si="67"/>
        <v/>
      </c>
      <c r="BU56" s="87" t="str">
        <f t="shared" si="23"/>
        <v/>
      </c>
      <c r="CP56" s="81" t="str">
        <f t="shared" si="26"/>
        <v/>
      </c>
      <c r="CQ56" s="87" t="str">
        <f t="shared" si="27"/>
        <v/>
      </c>
      <c r="CR56" s="4" t="str">
        <f t="shared" si="28"/>
        <v/>
      </c>
      <c r="CS56" s="87" t="str">
        <f t="shared" si="29"/>
        <v/>
      </c>
      <c r="DR56" s="81" t="str">
        <f t="shared" si="30"/>
        <v/>
      </c>
      <c r="DS56" s="87" t="str">
        <f t="shared" si="31"/>
        <v/>
      </c>
      <c r="DX56" s="81" t="str">
        <f t="shared" si="32"/>
        <v/>
      </c>
      <c r="EB56" s="81" t="str">
        <f t="shared" si="34"/>
        <v/>
      </c>
      <c r="ED56" s="80" t="str">
        <f t="shared" si="68"/>
        <v/>
      </c>
      <c r="EE56" s="89" t="str">
        <f t="shared" si="36"/>
        <v/>
      </c>
      <c r="EF56" s="198">
        <f t="shared" si="69"/>
        <v>0</v>
      </c>
      <c r="EG56" s="89">
        <f t="shared" si="38"/>
        <v>0</v>
      </c>
      <c r="EH56" s="98">
        <f t="shared" si="70"/>
        <v>0</v>
      </c>
      <c r="EL56" s="81">
        <f t="shared" si="71"/>
        <v>0</v>
      </c>
      <c r="EM56" s="87">
        <f t="shared" si="42"/>
        <v>0</v>
      </c>
      <c r="EO56" s="4" t="str">
        <f t="shared" si="43"/>
        <v/>
      </c>
      <c r="ER56" s="4" t="str">
        <f t="shared" si="44"/>
        <v/>
      </c>
      <c r="ES56" s="87" t="str">
        <f t="shared" si="45"/>
        <v/>
      </c>
      <c r="ET56" s="4" t="str">
        <f t="shared" si="46"/>
        <v/>
      </c>
      <c r="EU56" s="87" t="str">
        <f t="shared" si="47"/>
        <v/>
      </c>
      <c r="EX56" s="80" t="str">
        <f t="shared" si="49"/>
        <v/>
      </c>
      <c r="EY56" s="89" t="str">
        <f t="shared" si="50"/>
        <v/>
      </c>
      <c r="EZ56" s="80" t="str">
        <f t="shared" si="51"/>
        <v/>
      </c>
      <c r="FA56" s="89" t="str">
        <f t="shared" si="52"/>
        <v/>
      </c>
    </row>
    <row r="57" spans="3:171" ht="14.5" hidden="1" thickBot="1">
      <c r="C57" s="51" t="s">
        <v>102</v>
      </c>
      <c r="D57" s="20">
        <f t="shared" ref="D57:AD57" si="89">MIN(D11:D40)</f>
        <v>72.099999999999994</v>
      </c>
      <c r="E57" s="20">
        <f t="shared" si="89"/>
        <v>76.099999999999994</v>
      </c>
      <c r="F57" s="20">
        <f t="shared" si="89"/>
        <v>74.099999999999994</v>
      </c>
      <c r="G57" s="20">
        <f t="shared" si="89"/>
        <v>35</v>
      </c>
      <c r="H57" s="20"/>
      <c r="I57" s="20"/>
      <c r="J57" s="20"/>
      <c r="K57" s="20">
        <f t="shared" si="89"/>
        <v>9.52</v>
      </c>
      <c r="L57" s="20">
        <f t="shared" si="89"/>
        <v>28.5792</v>
      </c>
      <c r="M57" s="20">
        <f t="shared" si="89"/>
        <v>0</v>
      </c>
      <c r="N57" s="20">
        <f t="shared" si="89"/>
        <v>0</v>
      </c>
      <c r="O57" s="20">
        <f t="shared" si="89"/>
        <v>0</v>
      </c>
      <c r="P57" s="20">
        <f t="shared" si="89"/>
        <v>46</v>
      </c>
      <c r="Q57" s="20">
        <f t="shared" si="89"/>
        <v>30</v>
      </c>
      <c r="R57" s="20">
        <f t="shared" si="89"/>
        <v>52.5</v>
      </c>
      <c r="S57" s="20">
        <f t="shared" si="89"/>
        <v>22.5</v>
      </c>
      <c r="T57" s="20">
        <f t="shared" si="89"/>
        <v>22.5</v>
      </c>
      <c r="U57" s="20">
        <f t="shared" si="89"/>
        <v>22.5</v>
      </c>
      <c r="V57" s="20">
        <f t="shared" si="89"/>
        <v>8.5</v>
      </c>
      <c r="W57" s="20">
        <f t="shared" si="89"/>
        <v>17</v>
      </c>
      <c r="X57" s="20">
        <f t="shared" si="89"/>
        <v>12.75</v>
      </c>
      <c r="Y57" s="20">
        <f t="shared" si="89"/>
        <v>0</v>
      </c>
      <c r="Z57" s="20">
        <f t="shared" si="89"/>
        <v>0</v>
      </c>
      <c r="AA57" s="20">
        <f t="shared" si="89"/>
        <v>0</v>
      </c>
      <c r="AB57" s="20">
        <f t="shared" si="89"/>
        <v>0</v>
      </c>
      <c r="AC57" s="20">
        <f t="shared" si="89"/>
        <v>0</v>
      </c>
      <c r="AD57" s="20">
        <f t="shared" si="89"/>
        <v>0</v>
      </c>
      <c r="AF57" s="83">
        <f t="shared" ref="AF57:AM57" si="90">MIN(AF11:AF40)</f>
        <v>45.9</v>
      </c>
      <c r="AG57" s="84">
        <f t="shared" si="90"/>
        <v>21.348837209302324</v>
      </c>
      <c r="AH57" s="83">
        <f t="shared" si="90"/>
        <v>0</v>
      </c>
      <c r="AI57" s="84">
        <f t="shared" si="90"/>
        <v>0</v>
      </c>
      <c r="AJ57" s="83">
        <f t="shared" si="90"/>
        <v>50.75</v>
      </c>
      <c r="AK57" s="84">
        <f t="shared" si="90"/>
        <v>50.749999999999993</v>
      </c>
      <c r="AL57" s="83">
        <f t="shared" si="90"/>
        <v>0</v>
      </c>
      <c r="AM57" s="84">
        <f t="shared" si="90"/>
        <v>0</v>
      </c>
      <c r="AN57" s="84"/>
      <c r="AO57" s="84"/>
      <c r="AP57" s="84"/>
      <c r="AQ57" s="84"/>
      <c r="AR57" s="84"/>
      <c r="AS57" s="84"/>
      <c r="AT57" s="84"/>
      <c r="AU57" s="84"/>
      <c r="AV57" s="83">
        <f>MIN(AV11:AV40)</f>
        <v>26.25</v>
      </c>
      <c r="AW57" s="84">
        <f>MIN(AW11:AW40)</f>
        <v>26.25</v>
      </c>
      <c r="AX57" s="83">
        <f>MIN(AX11:AX40)</f>
        <v>0</v>
      </c>
      <c r="AY57" s="84">
        <f>MIN(AY11:AY40)</f>
        <v>0</v>
      </c>
      <c r="AZ57" s="84"/>
      <c r="BA57" s="84"/>
      <c r="BB57" s="83">
        <f t="shared" ref="BB57:BG57" si="91">MIN(BB11:BB40)</f>
        <v>0</v>
      </c>
      <c r="BC57" s="84">
        <f t="shared" si="91"/>
        <v>0</v>
      </c>
      <c r="BD57" s="83">
        <f t="shared" si="91"/>
        <v>48.549199999999999</v>
      </c>
      <c r="BE57" s="84">
        <f t="shared" si="91"/>
        <v>28.391345029239766</v>
      </c>
      <c r="BF57" s="83">
        <f t="shared" si="91"/>
        <v>0</v>
      </c>
      <c r="BG57" s="84">
        <f t="shared" si="91"/>
        <v>0</v>
      </c>
      <c r="BJ57" s="4">
        <f t="shared" si="18"/>
        <v>4.25</v>
      </c>
      <c r="BL57" s="4">
        <f t="shared" si="19"/>
        <v>0</v>
      </c>
      <c r="BT57" s="4">
        <f t="shared" si="67"/>
        <v>38.049999999999997</v>
      </c>
      <c r="BU57" s="87">
        <f t="shared" si="23"/>
        <v>0.7609999999999999</v>
      </c>
      <c r="CP57" s="81">
        <f t="shared" si="26"/>
        <v>23</v>
      </c>
      <c r="CQ57" s="87">
        <f t="shared" si="27"/>
        <v>0.46</v>
      </c>
      <c r="CR57" s="4">
        <f t="shared" si="28"/>
        <v>15</v>
      </c>
      <c r="CS57" s="87">
        <f t="shared" si="29"/>
        <v>0.3</v>
      </c>
      <c r="DR57" s="81">
        <f t="shared" si="30"/>
        <v>0</v>
      </c>
      <c r="DS57" s="87">
        <f t="shared" si="31"/>
        <v>0</v>
      </c>
      <c r="DX57" s="81">
        <f t="shared" si="32"/>
        <v>0</v>
      </c>
      <c r="EB57" s="81">
        <f t="shared" si="34"/>
        <v>5.6000000000000005</v>
      </c>
      <c r="ED57" s="80" t="str">
        <f t="shared" si="68"/>
        <v/>
      </c>
      <c r="EE57" s="89" t="str">
        <f t="shared" si="36"/>
        <v/>
      </c>
      <c r="EF57" s="198">
        <f t="shared" si="69"/>
        <v>0</v>
      </c>
      <c r="EG57" s="89">
        <f t="shared" si="38"/>
        <v>0</v>
      </c>
      <c r="EH57" s="98">
        <f t="shared" si="70"/>
        <v>0</v>
      </c>
      <c r="EL57" s="81">
        <f t="shared" si="71"/>
        <v>1.9991999999999999</v>
      </c>
      <c r="EM57" s="87">
        <f t="shared" si="42"/>
        <v>0</v>
      </c>
      <c r="EO57" s="4" t="str">
        <f t="shared" si="43"/>
        <v/>
      </c>
      <c r="ER57" s="4">
        <f t="shared" si="44"/>
        <v>11.25</v>
      </c>
      <c r="ES57" s="87">
        <f t="shared" si="45"/>
        <v>0.22500000000000001</v>
      </c>
      <c r="ET57" s="4">
        <f t="shared" si="46"/>
        <v>11.25</v>
      </c>
      <c r="EU57" s="87">
        <f t="shared" si="47"/>
        <v>0.22500000000000001</v>
      </c>
      <c r="EX57" s="80">
        <f t="shared" si="49"/>
        <v>0</v>
      </c>
      <c r="EY57" s="89">
        <f t="shared" si="50"/>
        <v>0</v>
      </c>
      <c r="EZ57" s="80">
        <f t="shared" si="51"/>
        <v>0</v>
      </c>
      <c r="FA57" s="89">
        <f t="shared" si="52"/>
        <v>0</v>
      </c>
    </row>
    <row r="58" spans="3:171" ht="14.5" hidden="1" thickBot="1">
      <c r="C58" s="85" t="s">
        <v>103</v>
      </c>
      <c r="D58" s="86">
        <f t="shared" ref="D58:AD58" si="92">MAX(D11:D40)</f>
        <v>93.5</v>
      </c>
      <c r="E58" s="86">
        <f t="shared" si="92"/>
        <v>99.5</v>
      </c>
      <c r="F58" s="86">
        <f t="shared" si="92"/>
        <v>96.5</v>
      </c>
      <c r="G58" s="86">
        <f t="shared" si="92"/>
        <v>94.38</v>
      </c>
      <c r="H58" s="86"/>
      <c r="I58" s="86"/>
      <c r="J58" s="86"/>
      <c r="K58" s="86">
        <f t="shared" si="92"/>
        <v>90.95</v>
      </c>
      <c r="L58" s="86">
        <f t="shared" si="92"/>
        <v>92.350500000000011</v>
      </c>
      <c r="M58" s="86">
        <f t="shared" si="92"/>
        <v>88.3</v>
      </c>
      <c r="N58" s="86">
        <f t="shared" si="92"/>
        <v>98.1</v>
      </c>
      <c r="O58" s="86">
        <f t="shared" si="92"/>
        <v>91.1</v>
      </c>
      <c r="P58" s="86">
        <f t="shared" si="92"/>
        <v>89.5</v>
      </c>
      <c r="Q58" s="86">
        <f t="shared" si="92"/>
        <v>89.5</v>
      </c>
      <c r="R58" s="86">
        <f t="shared" si="92"/>
        <v>89.5</v>
      </c>
      <c r="S58" s="86">
        <f t="shared" si="92"/>
        <v>100</v>
      </c>
      <c r="T58" s="86">
        <f t="shared" si="92"/>
        <v>100</v>
      </c>
      <c r="U58" s="86">
        <f t="shared" si="92"/>
        <v>97.65</v>
      </c>
      <c r="V58" s="86">
        <f t="shared" si="92"/>
        <v>94</v>
      </c>
      <c r="W58" s="86">
        <f t="shared" si="92"/>
        <v>97</v>
      </c>
      <c r="X58" s="86">
        <f t="shared" si="92"/>
        <v>95.35</v>
      </c>
      <c r="Y58" s="86">
        <f t="shared" si="92"/>
        <v>99.4</v>
      </c>
      <c r="Z58" s="86">
        <f t="shared" si="92"/>
        <v>99.4</v>
      </c>
      <c r="AA58" s="86">
        <f t="shared" si="92"/>
        <v>99.4</v>
      </c>
      <c r="AB58" s="86">
        <f t="shared" si="92"/>
        <v>93.8</v>
      </c>
      <c r="AC58" s="86">
        <f t="shared" si="92"/>
        <v>93.8</v>
      </c>
      <c r="AD58" s="86">
        <f t="shared" si="92"/>
        <v>93.8</v>
      </c>
      <c r="AF58" s="83">
        <f t="shared" ref="AF58:AM58" si="93">MAX(AF11:AF40)</f>
        <v>145.4658</v>
      </c>
      <c r="AG58" s="84">
        <f t="shared" si="93"/>
        <v>67.658511627906975</v>
      </c>
      <c r="AH58" s="83">
        <f t="shared" si="93"/>
        <v>0</v>
      </c>
      <c r="AI58" s="84">
        <f t="shared" si="93"/>
        <v>0</v>
      </c>
      <c r="AJ58" s="83">
        <f t="shared" si="93"/>
        <v>90.2</v>
      </c>
      <c r="AK58" s="84">
        <f t="shared" si="93"/>
        <v>90.2</v>
      </c>
      <c r="AL58" s="83">
        <f t="shared" si="93"/>
        <v>0</v>
      </c>
      <c r="AM58" s="84">
        <f t="shared" si="93"/>
        <v>0</v>
      </c>
      <c r="AN58" s="84"/>
      <c r="AO58" s="84"/>
      <c r="AP58" s="84"/>
      <c r="AQ58" s="84"/>
      <c r="AR58" s="84"/>
      <c r="AS58" s="84"/>
      <c r="AT58" s="84"/>
      <c r="AU58" s="84"/>
      <c r="AV58" s="83">
        <f>MAX(AV11:AV40)</f>
        <v>93.5</v>
      </c>
      <c r="AW58" s="84">
        <f>MAX(AW11:AW40)</f>
        <v>93.5</v>
      </c>
      <c r="AX58" s="83">
        <f>MAX(AX11:AX40)</f>
        <v>0</v>
      </c>
      <c r="AY58" s="84">
        <f>MAX(AY11:AY40)</f>
        <v>0</v>
      </c>
      <c r="AZ58" s="84"/>
      <c r="BA58" s="84"/>
      <c r="BB58" s="83">
        <f t="shared" ref="BB58:BG58" si="94">MAX(BB11:BB40)</f>
        <v>0</v>
      </c>
      <c r="BC58" s="84">
        <f t="shared" si="94"/>
        <v>0</v>
      </c>
      <c r="BD58" s="83">
        <f t="shared" si="94"/>
        <v>156.39949999999999</v>
      </c>
      <c r="BE58" s="84">
        <f t="shared" si="94"/>
        <v>91.461695906432738</v>
      </c>
      <c r="BF58" s="83">
        <f t="shared" si="94"/>
        <v>0</v>
      </c>
      <c r="BG58" s="84">
        <f t="shared" si="94"/>
        <v>0</v>
      </c>
      <c r="BJ58" s="4">
        <f t="shared" si="18"/>
        <v>47</v>
      </c>
      <c r="BL58" s="4">
        <f t="shared" si="19"/>
        <v>49.7</v>
      </c>
      <c r="BT58" s="4">
        <f t="shared" si="67"/>
        <v>49.75</v>
      </c>
      <c r="BU58" s="87">
        <f t="shared" si="23"/>
        <v>0.995</v>
      </c>
      <c r="CP58" s="81">
        <f t="shared" si="26"/>
        <v>44.75</v>
      </c>
      <c r="CQ58" s="87">
        <f t="shared" si="27"/>
        <v>0.89500000000000002</v>
      </c>
      <c r="CR58" s="4">
        <f t="shared" si="28"/>
        <v>44.75</v>
      </c>
      <c r="CS58" s="87">
        <f t="shared" si="29"/>
        <v>0.89500000000000002</v>
      </c>
      <c r="DR58" s="81">
        <f t="shared" si="30"/>
        <v>44.15</v>
      </c>
      <c r="DS58" s="87">
        <f t="shared" si="31"/>
        <v>0.88300000000000001</v>
      </c>
      <c r="DX58" s="81">
        <f t="shared" si="32"/>
        <v>49.05</v>
      </c>
      <c r="EB58" s="81">
        <f t="shared" si="34"/>
        <v>15.1008</v>
      </c>
      <c r="ED58" s="80" t="str">
        <f t="shared" si="68"/>
        <v/>
      </c>
      <c r="EE58" s="89" t="str">
        <f t="shared" si="36"/>
        <v/>
      </c>
      <c r="EF58" s="198" t="str">
        <f t="shared" si="69"/>
        <v/>
      </c>
      <c r="EG58" s="89" t="str">
        <f t="shared" si="38"/>
        <v/>
      </c>
      <c r="EH58" s="98" t="str">
        <f t="shared" si="70"/>
        <v/>
      </c>
      <c r="EL58" s="81" t="str">
        <f t="shared" si="71"/>
        <v/>
      </c>
      <c r="EM58" s="87" t="str">
        <f t="shared" si="42"/>
        <v/>
      </c>
      <c r="EO58" s="4" t="str">
        <f t="shared" si="43"/>
        <v/>
      </c>
      <c r="ER58" s="4">
        <f t="shared" si="44"/>
        <v>50</v>
      </c>
      <c r="ES58" s="87">
        <f t="shared" si="45"/>
        <v>1</v>
      </c>
      <c r="ET58" s="4">
        <f t="shared" si="46"/>
        <v>50</v>
      </c>
      <c r="EU58" s="87">
        <f t="shared" si="47"/>
        <v>1</v>
      </c>
      <c r="EX58" s="80">
        <f t="shared" si="49"/>
        <v>46.9</v>
      </c>
      <c r="EY58" s="89">
        <f t="shared" si="50"/>
        <v>0.93799999999999994</v>
      </c>
      <c r="EZ58" s="80">
        <f t="shared" si="51"/>
        <v>46.9</v>
      </c>
      <c r="FA58" s="89">
        <f t="shared" si="52"/>
        <v>0.93799999999999994</v>
      </c>
    </row>
    <row r="59" spans="3:171" ht="14.5" thickBot="1">
      <c r="C59" s="55" t="s">
        <v>183</v>
      </c>
      <c r="D59" s="58">
        <f t="shared" ref="D59:AD59" si="95">AVERAGE(D11:D40)</f>
        <v>82.998333333333321</v>
      </c>
      <c r="E59" s="58">
        <f t="shared" si="95"/>
        <v>86.814999999999998</v>
      </c>
      <c r="F59" s="58">
        <f t="shared" si="95"/>
        <v>84.906666666666666</v>
      </c>
      <c r="G59" s="58">
        <f t="shared" si="95"/>
        <v>90.312666666666715</v>
      </c>
      <c r="H59" s="58">
        <f t="shared" si="95"/>
        <v>87.646000000000043</v>
      </c>
      <c r="I59" s="58">
        <f t="shared" si="95"/>
        <v>84.456000000000003</v>
      </c>
      <c r="J59" s="58">
        <f t="shared" si="95"/>
        <v>88.072999999999993</v>
      </c>
      <c r="K59" s="58">
        <f t="shared" si="95"/>
        <v>85.058999999999997</v>
      </c>
      <c r="L59" s="58">
        <f t="shared" si="95"/>
        <v>86.789666666666662</v>
      </c>
      <c r="M59" s="58">
        <f t="shared" si="95"/>
        <v>80.723333333333343</v>
      </c>
      <c r="N59" s="58">
        <f t="shared" si="95"/>
        <v>81.15666666666668</v>
      </c>
      <c r="O59" s="58">
        <f t="shared" si="95"/>
        <v>80.940000000000012</v>
      </c>
      <c r="P59" s="58">
        <f t="shared" si="95"/>
        <v>82.36</v>
      </c>
      <c r="Q59" s="58">
        <f t="shared" si="95"/>
        <v>82.36</v>
      </c>
      <c r="R59" s="58">
        <f t="shared" si="95"/>
        <v>82.36</v>
      </c>
      <c r="S59" s="58">
        <f t="shared" si="95"/>
        <v>72.983333333333348</v>
      </c>
      <c r="T59" s="58">
        <f t="shared" si="95"/>
        <v>73.756666666666689</v>
      </c>
      <c r="U59" s="58">
        <f t="shared" si="95"/>
        <v>73.370000000000019</v>
      </c>
      <c r="V59" s="58">
        <f t="shared" si="95"/>
        <v>81.516666666666652</v>
      </c>
      <c r="W59" s="58">
        <f>AVERAGE(W11:W40)</f>
        <v>88.37833333333333</v>
      </c>
      <c r="X59" s="58">
        <f t="shared" si="95"/>
        <v>84.947499999999991</v>
      </c>
      <c r="Y59" s="58">
        <f t="shared" si="95"/>
        <v>81.845000000000013</v>
      </c>
      <c r="Z59" s="58">
        <f t="shared" si="95"/>
        <v>81.845000000000013</v>
      </c>
      <c r="AA59" s="58">
        <f t="shared" si="95"/>
        <v>81.845000000000013</v>
      </c>
      <c r="AB59" s="58">
        <f t="shared" si="95"/>
        <v>86.021666666666675</v>
      </c>
      <c r="AC59" s="58">
        <f t="shared" si="95"/>
        <v>86.158333333333346</v>
      </c>
      <c r="AD59" s="58">
        <f t="shared" si="95"/>
        <v>86.09</v>
      </c>
      <c r="AF59" s="53">
        <f>IFERROR(AVERAGE(AF11:AF47),"")</f>
        <v>134.63765263157896</v>
      </c>
      <c r="AG59" s="53">
        <f t="shared" ref="AG59:BG59" si="96">IFERROR(AVERAGE(AG11:AG47),"")</f>
        <v>62.622164014687876</v>
      </c>
      <c r="AH59" s="53" t="str">
        <f t="shared" si="96"/>
        <v/>
      </c>
      <c r="AI59" s="53" t="str">
        <f t="shared" si="96"/>
        <v/>
      </c>
      <c r="AJ59" s="53">
        <f t="shared" si="96"/>
        <v>78.350000000000023</v>
      </c>
      <c r="AK59" s="53">
        <f t="shared" si="96"/>
        <v>78.350000000000023</v>
      </c>
      <c r="AL59" s="53" t="str">
        <f t="shared" si="96"/>
        <v/>
      </c>
      <c r="AM59" s="53" t="str">
        <f t="shared" si="96"/>
        <v/>
      </c>
      <c r="AN59" s="53" t="str">
        <f t="shared" si="96"/>
        <v/>
      </c>
      <c r="AO59" s="53" t="str">
        <f t="shared" si="96"/>
        <v/>
      </c>
      <c r="AP59" s="53" t="str">
        <f t="shared" si="96"/>
        <v/>
      </c>
      <c r="AQ59" s="53" t="str">
        <f t="shared" si="96"/>
        <v/>
      </c>
      <c r="AR59" s="53" t="str">
        <f t="shared" si="96"/>
        <v/>
      </c>
      <c r="AS59" s="53" t="str">
        <f t="shared" si="96"/>
        <v/>
      </c>
      <c r="AT59" s="53" t="str">
        <f t="shared" si="96"/>
        <v/>
      </c>
      <c r="AU59" s="53" t="str">
        <f t="shared" si="96"/>
        <v/>
      </c>
      <c r="AV59" s="53">
        <f t="shared" si="96"/>
        <v>77.329411764705895</v>
      </c>
      <c r="AW59" s="53">
        <f t="shared" si="96"/>
        <v>77.329411764705895</v>
      </c>
      <c r="AX59" s="53" t="str">
        <f t="shared" si="96"/>
        <v/>
      </c>
      <c r="AY59" s="53" t="str">
        <f t="shared" si="96"/>
        <v/>
      </c>
      <c r="AZ59" s="53" t="str">
        <f t="shared" si="96"/>
        <v/>
      </c>
      <c r="BA59" s="53" t="str">
        <f t="shared" si="96"/>
        <v/>
      </c>
      <c r="BB59" s="53" t="str">
        <f t="shared" si="96"/>
        <v/>
      </c>
      <c r="BC59" s="53" t="str">
        <f t="shared" si="96"/>
        <v/>
      </c>
      <c r="BD59" s="53">
        <f t="shared" si="96"/>
        <v>140.82778421052632</v>
      </c>
      <c r="BE59" s="53">
        <f t="shared" si="96"/>
        <v>82.355429362880884</v>
      </c>
      <c r="BF59" s="53" t="str">
        <f t="shared" si="96"/>
        <v/>
      </c>
      <c r="BG59" s="53" t="str">
        <f t="shared" si="96"/>
        <v/>
      </c>
      <c r="BJ59" s="4">
        <f t="shared" si="18"/>
        <v>40.758333333333326</v>
      </c>
      <c r="BK59" s="97">
        <f>AVERAGE(BK11:BK47)</f>
        <v>0.83105405405405408</v>
      </c>
      <c r="BL59" s="4">
        <f t="shared" si="19"/>
        <v>40.922500000000007</v>
      </c>
      <c r="BM59" s="97">
        <f>AVERAGE(BM11:BM47)</f>
        <v>0.82191891891891855</v>
      </c>
      <c r="BN59" s="81">
        <f t="shared" ref="BN59" si="97">AVERAGE(BN11:BN47)</f>
        <v>41.238513513513517</v>
      </c>
      <c r="BO59" s="97">
        <f>AVERAGE(BO11:BO47)</f>
        <v>0.82477027027026995</v>
      </c>
      <c r="BP59" s="81">
        <f>AVERAGE(BP11:BP47)</f>
        <v>41.546621621621618</v>
      </c>
      <c r="BQ59" s="97">
        <f>AVERAGE(BQ11:BQ47)</f>
        <v>0.83093243243243242</v>
      </c>
      <c r="BR59" s="81"/>
      <c r="BS59" s="81"/>
      <c r="BT59" s="81">
        <f>AVERAGE(BT11:BT47)</f>
        <v>43.093918918918916</v>
      </c>
      <c r="BU59" s="87">
        <f>AVERAGE(BU11:BU47)</f>
        <v>0.86187837837837844</v>
      </c>
      <c r="BV59" s="81"/>
      <c r="BW59" s="81"/>
      <c r="BX59" s="81"/>
      <c r="BY59" s="81"/>
      <c r="BZ59" s="81"/>
      <c r="CA59" s="97"/>
      <c r="CB59" s="81"/>
      <c r="CC59" s="97"/>
      <c r="CD59" s="81"/>
      <c r="CE59" s="97"/>
      <c r="CF59" s="81"/>
      <c r="CG59" s="81"/>
      <c r="CH59" s="81"/>
      <c r="CI59" s="81"/>
      <c r="CJ59" s="81"/>
      <c r="CK59" s="81"/>
      <c r="CL59" s="81"/>
      <c r="CM59" s="81"/>
      <c r="CN59" s="81"/>
      <c r="CO59" s="81"/>
      <c r="CP59" s="199">
        <f>AVERAGE(CP11:CP47)</f>
        <v>40.727027027027027</v>
      </c>
      <c r="CQ59" s="87">
        <f>AVERAGE(CQ11:CQ47)</f>
        <v>0.81454054054054015</v>
      </c>
      <c r="CR59" s="81">
        <f>AVERAGE(CR11:CR47)</f>
        <v>41.456756756756761</v>
      </c>
      <c r="CS59" s="87">
        <f>AVERAGE(CS11:CS47)</f>
        <v>0.82913513513513493</v>
      </c>
      <c r="CT59" s="81"/>
      <c r="CU59" s="81"/>
      <c r="CV59" s="81"/>
      <c r="CW59" s="81"/>
      <c r="CX59" s="81"/>
      <c r="CY59" s="81"/>
      <c r="CZ59" s="81"/>
      <c r="DA59" s="81"/>
      <c r="DB59" s="81"/>
      <c r="DC59" s="81"/>
      <c r="DD59" s="81"/>
      <c r="DE59" s="81"/>
      <c r="DF59" s="81"/>
      <c r="DG59" s="81"/>
      <c r="DH59" s="81"/>
      <c r="DI59" s="81"/>
      <c r="DJ59" s="81"/>
      <c r="DK59" s="81"/>
      <c r="DL59" s="81"/>
      <c r="DM59" s="81"/>
      <c r="DN59" s="81"/>
      <c r="DO59" s="81"/>
      <c r="DP59" s="81"/>
      <c r="DQ59" s="81"/>
      <c r="DR59" s="81">
        <f>AVERAGE(DR11:DR47)</f>
        <v>40.059459459459468</v>
      </c>
      <c r="DS59" s="87">
        <f t="shared" si="31"/>
        <v>0.80118918918918935</v>
      </c>
      <c r="DT59" s="81"/>
      <c r="DU59" s="81"/>
      <c r="DV59" s="81"/>
      <c r="DW59" s="81"/>
      <c r="DX59" s="81">
        <f>AVERAGE(DX11:DX47)</f>
        <v>39.228378378378387</v>
      </c>
      <c r="DY59" s="97">
        <f>AVERAGE(DY11:DY47)</f>
        <v>0.78456756756756751</v>
      </c>
      <c r="DZ59" s="81"/>
      <c r="EA59" s="97"/>
      <c r="EB59" s="81">
        <f>AVERAGE(EB11:EB47)</f>
        <v>14.255740540540538</v>
      </c>
      <c r="EC59" s="97">
        <f>AVERAGE(EC11:EC47)</f>
        <v>0.89098378378378362</v>
      </c>
      <c r="ED59" s="80">
        <f>AVERAGE(ED11:ED47)</f>
        <v>13.90979459459459</v>
      </c>
      <c r="EE59" s="89">
        <f t="shared" si="36"/>
        <v>0.86936216216216189</v>
      </c>
      <c r="EF59" s="198">
        <f>AVERAGE(EF11:EF47)</f>
        <v>21.922075675675671</v>
      </c>
      <c r="EG59" s="202">
        <f>AVERAGE(EG11:EG47)</f>
        <v>0.84315675675675672</v>
      </c>
      <c r="EH59" s="80">
        <f>AVERAGE(EH11:EH47)</f>
        <v>18.334305405405402</v>
      </c>
      <c r="EI59" s="89">
        <f>AVERAGE(EI11:EI47)</f>
        <v>0.87306216216216215</v>
      </c>
      <c r="EJ59" s="81"/>
      <c r="EK59" s="81"/>
      <c r="EL59" s="81">
        <f>AVERAGE(EL11:EL47)</f>
        <v>17.821110810810808</v>
      </c>
      <c r="EM59" s="87">
        <f>AVERAGE(EM11:EM47)</f>
        <v>0.84315675675675672</v>
      </c>
      <c r="EN59" s="81"/>
      <c r="EO59" s="4" t="str">
        <f t="shared" si="43"/>
        <v/>
      </c>
      <c r="EP59" s="81"/>
      <c r="EQ59" s="81"/>
      <c r="ER59" s="4">
        <f>AVERAGE(ER11:ER47)</f>
        <v>38.620270270270282</v>
      </c>
      <c r="ES59" s="87">
        <f>AVERAGE(ES11:ES47)</f>
        <v>0.77240540540540537</v>
      </c>
      <c r="ET59" s="4">
        <f>AVERAGE(ET11:ET47)</f>
        <v>38.156756756756756</v>
      </c>
      <c r="EU59" s="87">
        <f>AVERAGE(EU11:EU47)</f>
        <v>0.76313513513513531</v>
      </c>
      <c r="EV59" s="81"/>
      <c r="EW59" s="97"/>
      <c r="EX59" s="80">
        <f>AVERAGE(EX11:EX47)</f>
        <v>43.519594594594601</v>
      </c>
      <c r="EY59" s="89">
        <f>AVERAGE(EY11:EY47)</f>
        <v>0.87039189189189192</v>
      </c>
      <c r="EZ59" s="80">
        <f>AVERAGE(EZ11:EZ47)</f>
        <v>43.57500000000001</v>
      </c>
      <c r="FA59" s="89">
        <f>AVERAGE(FA11:FA47)</f>
        <v>0.87149999999999994</v>
      </c>
      <c r="FB59" s="180"/>
      <c r="FC59" s="180"/>
      <c r="FD59" s="81"/>
      <c r="FE59" s="97"/>
      <c r="FF59" s="183">
        <f t="shared" ref="FF59" si="98">AVERAGE(FF11:FF47)</f>
        <v>140.85181666666665</v>
      </c>
      <c r="FG59" s="185">
        <f>AVERAGE(FG11:FG47)</f>
        <v>0.82369483430799217</v>
      </c>
      <c r="FH59" s="183"/>
      <c r="FI59" s="183"/>
      <c r="FJ59" s="183" t="e">
        <f t="shared" ref="FJ59:FN59" si="99">AVERAGE(FJ11:FJ47)</f>
        <v>#DIV/0!</v>
      </c>
      <c r="FK59" s="185" t="e">
        <f>AVERAGE(FK11:FK47)</f>
        <v>#DIV/0!</v>
      </c>
      <c r="FL59" s="183">
        <f t="shared" si="99"/>
        <v>39.405555555555559</v>
      </c>
      <c r="FM59" s="185">
        <f>AVERAGE(FM11:FM47)</f>
        <v>0.78811111111111121</v>
      </c>
      <c r="FN59" s="186">
        <f t="shared" si="99"/>
        <v>799.01709483430795</v>
      </c>
      <c r="FO59" s="101"/>
    </row>
    <row r="60" spans="3:171">
      <c r="BJ60" s="87">
        <f>BJ59/BJ9</f>
        <v>0.81516666666666648</v>
      </c>
      <c r="BK60" s="58">
        <f>COUNTIF($BK$11:$BK$47,"&gt;=65%")</f>
        <v>36</v>
      </c>
      <c r="BL60" s="87">
        <f>BL59/BL9</f>
        <v>0.81845000000000012</v>
      </c>
      <c r="BM60" s="58">
        <f>COUNTIF($BM$11:$BM$47,"&gt;=65%")</f>
        <v>36</v>
      </c>
      <c r="BN60" s="87">
        <f>BN59/BN9</f>
        <v>0.82477027027027039</v>
      </c>
      <c r="BO60" s="58">
        <f>COUNTIF($BO$11:$BO$47,"&gt;=65%")</f>
        <v>36</v>
      </c>
      <c r="BP60" s="87">
        <f t="shared" ref="BP60" si="100">BP59/BP9</f>
        <v>0.83093243243243231</v>
      </c>
      <c r="BQ60" s="58">
        <f>COUNTIF($BQ$11:$BQ$47,"&gt;=65%")</f>
        <v>37</v>
      </c>
      <c r="BR60" s="58"/>
      <c r="BS60" s="58"/>
      <c r="BT60" s="87">
        <f>BT59/BT9</f>
        <v>0.86187837837837833</v>
      </c>
      <c r="BU60" s="199">
        <f>COUNTIF($BU$11:$BU$47,"&gt;=65%")</f>
        <v>37</v>
      </c>
      <c r="BV60" s="87"/>
      <c r="BW60" s="87"/>
      <c r="BX60" s="87"/>
      <c r="BY60" s="87"/>
      <c r="BZ60" s="87"/>
      <c r="CA60" s="58"/>
      <c r="CB60" s="87"/>
      <c r="CC60" s="58"/>
      <c r="CD60" s="87"/>
      <c r="CE60" s="58"/>
      <c r="CF60" s="87"/>
      <c r="CG60" s="87"/>
      <c r="CH60" s="87"/>
      <c r="CI60" s="87"/>
      <c r="CJ60" s="87"/>
      <c r="CK60" s="87"/>
      <c r="CL60" s="87"/>
      <c r="CM60" s="87"/>
      <c r="CN60" s="87"/>
      <c r="CO60" s="87"/>
      <c r="CP60" s="87">
        <f>CP59/CP9</f>
        <v>0.81454054054054059</v>
      </c>
      <c r="CQ60" s="199">
        <f>COUNTIF($CQ$11:$CQ$47,"&gt;=65%")</f>
        <v>36</v>
      </c>
      <c r="CR60" s="87">
        <f>CR59/CR9</f>
        <v>0.82913513513513526</v>
      </c>
      <c r="CS60" s="199">
        <f>COUNTIF($CS$11:$CS$47,"&gt;=65%")</f>
        <v>35</v>
      </c>
      <c r="CT60" s="87"/>
      <c r="CU60" s="87"/>
      <c r="CV60" s="87"/>
      <c r="CW60" s="87"/>
      <c r="CX60" s="87"/>
      <c r="CY60" s="87"/>
      <c r="CZ60" s="87"/>
      <c r="DA60" s="87"/>
      <c r="DB60" s="87"/>
      <c r="DC60" s="87"/>
      <c r="DD60" s="87"/>
      <c r="DE60" s="87"/>
      <c r="DF60" s="87"/>
      <c r="DG60" s="87"/>
      <c r="DH60" s="87"/>
      <c r="DI60" s="87"/>
      <c r="DJ60" s="87"/>
      <c r="DK60" s="87"/>
      <c r="DL60" s="87"/>
      <c r="DM60" s="87"/>
      <c r="DN60" s="87"/>
      <c r="DO60" s="87"/>
      <c r="DP60" s="87"/>
      <c r="DQ60" s="87"/>
      <c r="DR60" s="87">
        <f>DR59/DR9</f>
        <v>0.80118918918918935</v>
      </c>
      <c r="DS60" s="199">
        <f>COUNTIF($DS11:$DS$47,"&gt;=65%")</f>
        <v>35</v>
      </c>
      <c r="DT60" s="87"/>
      <c r="DU60" s="87"/>
      <c r="DV60" s="87"/>
      <c r="DW60" s="87"/>
      <c r="DX60" s="87">
        <f>DX59/DX9</f>
        <v>0.78456756756756774</v>
      </c>
      <c r="DY60" s="58">
        <f>COUNTIF($DY$11:$DY$47,"&gt;=65%")</f>
        <v>34</v>
      </c>
      <c r="DZ60" s="87"/>
      <c r="EA60" s="58"/>
      <c r="EB60" s="87">
        <f>EB59/EB9</f>
        <v>0.89098378378378362</v>
      </c>
      <c r="EC60" s="58">
        <f>COUNTIF($EC$11:$EC$47,"&gt;=65%")</f>
        <v>36</v>
      </c>
      <c r="ED60" s="89">
        <f>ED59/ED9</f>
        <v>0.86936216216216189</v>
      </c>
      <c r="EE60" s="80">
        <f>COUNTIF($EE$11:$EE$47,"&gt;=65%")</f>
        <v>36</v>
      </c>
      <c r="EF60" s="202">
        <f>EF59/EF9</f>
        <v>0.84315675675675661</v>
      </c>
      <c r="EG60" s="80">
        <f>COUNTIF($EG$11:$EG$47,"&gt;=65%")</f>
        <v>36</v>
      </c>
      <c r="EH60" s="98">
        <f>EH59/EH9</f>
        <v>0.87306216216216204</v>
      </c>
      <c r="EI60" s="58">
        <f>COUNTIF($EI$11:$EI$47,"&gt;=65%")</f>
        <v>37</v>
      </c>
      <c r="EJ60" s="87"/>
      <c r="EK60" s="87"/>
      <c r="EL60" s="87">
        <f>BT59/BT9</f>
        <v>0.86187837837837833</v>
      </c>
      <c r="EM60" s="199">
        <f>COUNTIF($EM$11:$EM$47,"&gt;=65%")</f>
        <v>36</v>
      </c>
      <c r="EN60" s="87"/>
      <c r="EO60" s="4" t="str">
        <f t="shared" si="43"/>
        <v/>
      </c>
      <c r="EP60" s="87"/>
      <c r="EQ60" s="87"/>
      <c r="ER60" s="87">
        <f>BT59/BT9</f>
        <v>0.86187837837837833</v>
      </c>
      <c r="ES60" s="199">
        <f>COUNTIF($ES$11:$ES$47,"&gt;=65%")</f>
        <v>31</v>
      </c>
      <c r="ET60" s="87">
        <f>BT59/BT9</f>
        <v>0.86187837837837833</v>
      </c>
      <c r="EU60" s="199">
        <f>COUNTIF($EU$11:$EU$47,"&gt;=65%")</f>
        <v>32</v>
      </c>
      <c r="EV60" s="87"/>
      <c r="EW60" s="58"/>
      <c r="EX60" s="89">
        <f>BT59/BT9</f>
        <v>0.86187837837837833</v>
      </c>
      <c r="EY60" s="80">
        <f>COUNTIF($EY$11:$EY$47,"&gt;=65%")</f>
        <v>36</v>
      </c>
      <c r="EZ60" s="89">
        <f>BT59/BT9</f>
        <v>0.86187837837837833</v>
      </c>
      <c r="FA60" s="80">
        <f>COUNTIF($FA$11:$FA$47,"&gt;=65%")</f>
        <v>36</v>
      </c>
      <c r="FB60" s="58"/>
      <c r="FC60" s="58"/>
      <c r="FD60" s="87"/>
      <c r="FE60" s="58"/>
      <c r="FF60" s="179">
        <f t="shared" ref="FF60" si="101">FF59/FF9</f>
        <v>0.82369483430799206</v>
      </c>
      <c r="FG60" s="187">
        <f>COUNTIF($FG$11:$FG$47,"&gt;=65%")</f>
        <v>17</v>
      </c>
      <c r="FH60" s="179"/>
      <c r="FI60" s="179"/>
      <c r="FJ60" s="179" t="e">
        <f t="shared" ref="FJ60:FN60" si="102">FJ59/FJ9</f>
        <v>#DIV/0!</v>
      </c>
      <c r="FK60" s="187">
        <f>COUNTIF($FK$11:$FK$47,"&gt;=65%")</f>
        <v>0</v>
      </c>
      <c r="FL60" s="179">
        <f t="shared" si="102"/>
        <v>0.78811111111111121</v>
      </c>
      <c r="FM60" s="187">
        <f>COUNTIF($FM$11:$FM$47,"&gt;=65%")</f>
        <v>17</v>
      </c>
      <c r="FN60" s="186" t="e">
        <f t="shared" si="102"/>
        <v>#REF!</v>
      </c>
      <c r="FO60" s="101"/>
    </row>
    <row r="61" spans="3:171">
      <c r="BJ61" s="4" t="str">
        <f t="shared" si="18"/>
        <v/>
      </c>
      <c r="BK61" s="90">
        <f>BK60/BK62</f>
        <v>0.97297297297297303</v>
      </c>
      <c r="BL61" s="4" t="str">
        <f t="shared" si="19"/>
        <v/>
      </c>
      <c r="BM61" s="90">
        <f>BM60/BM62</f>
        <v>0.97297297297297303</v>
      </c>
      <c r="BO61" s="90">
        <f>BO60/BO62</f>
        <v>0.97297297297297303</v>
      </c>
      <c r="BQ61" s="90">
        <f>BQ60/BQ62</f>
        <v>1</v>
      </c>
      <c r="BU61" s="87">
        <f>BU60/BU62</f>
        <v>1</v>
      </c>
      <c r="BZ61" s="102"/>
      <c r="CA61" s="90"/>
      <c r="CC61" s="90"/>
      <c r="CE61" s="90"/>
      <c r="CQ61" s="87">
        <f>CQ60/CQ62</f>
        <v>0.97297297297297303</v>
      </c>
      <c r="CR61" s="4" t="str">
        <f t="shared" si="28"/>
        <v/>
      </c>
      <c r="CS61" s="87">
        <f>CS60/CS62</f>
        <v>0.94594594594594594</v>
      </c>
      <c r="DR61" s="4" t="str">
        <f t="shared" si="30"/>
        <v/>
      </c>
      <c r="DS61" s="87">
        <f>DS60/DS62</f>
        <v>0.94594594594594594</v>
      </c>
      <c r="DX61" s="81" t="str">
        <f t="shared" si="32"/>
        <v/>
      </c>
      <c r="DY61" s="90">
        <f>DY60/DY62</f>
        <v>0.91891891891891897</v>
      </c>
      <c r="EA61" s="90"/>
      <c r="EB61" s="81" t="str">
        <f t="shared" si="34"/>
        <v/>
      </c>
      <c r="EC61" s="90">
        <f>EC60/EC62</f>
        <v>0.97297297297297303</v>
      </c>
      <c r="ED61" s="80" t="str">
        <f t="shared" si="68"/>
        <v/>
      </c>
      <c r="EE61" s="89">
        <f>EE60/EE62</f>
        <v>0.97297297297297303</v>
      </c>
      <c r="EF61" s="198" t="str">
        <f t="shared" si="69"/>
        <v/>
      </c>
      <c r="EG61" s="89">
        <f>EG60/EG62</f>
        <v>0.97297297297297303</v>
      </c>
      <c r="EH61" s="98" t="str">
        <f t="shared" si="70"/>
        <v/>
      </c>
      <c r="EI61" s="181">
        <f>EI60/EI62</f>
        <v>1</v>
      </c>
      <c r="EL61" s="81"/>
      <c r="EM61" s="87">
        <f>EM60/EM62</f>
        <v>0.97297297297297303</v>
      </c>
      <c r="EO61" s="4" t="str">
        <f t="shared" si="43"/>
        <v/>
      </c>
      <c r="ER61" s="4" t="str">
        <f t="shared" si="44"/>
        <v/>
      </c>
      <c r="ES61" s="87">
        <f>ES60/ES62</f>
        <v>0.83783783783783783</v>
      </c>
      <c r="ET61" s="4" t="str">
        <f t="shared" si="46"/>
        <v/>
      </c>
      <c r="EU61" s="87">
        <f>EU60/EU62</f>
        <v>0.86486486486486491</v>
      </c>
      <c r="EW61" s="90"/>
      <c r="EX61" s="80" t="str">
        <f t="shared" si="49"/>
        <v/>
      </c>
      <c r="EY61" s="89">
        <f>EY60/EY62</f>
        <v>0.97297297297297303</v>
      </c>
      <c r="EZ61" s="80" t="str">
        <f t="shared" si="51"/>
        <v/>
      </c>
      <c r="FA61" s="89">
        <f>FA60/FA62</f>
        <v>0.97297297297297303</v>
      </c>
      <c r="FB61" s="181"/>
      <c r="FC61" s="181"/>
      <c r="FE61" s="90"/>
      <c r="FG61" s="188">
        <f>FG60/FG62</f>
        <v>0.94444444444444442</v>
      </c>
      <c r="FK61" s="188" t="e">
        <f>FK60/FK62</f>
        <v>#DIV/0!</v>
      </c>
      <c r="FM61" s="188">
        <f>FM60/FM62</f>
        <v>0.94444444444444442</v>
      </c>
    </row>
    <row r="62" spans="3:171">
      <c r="BJ62" s="4" t="str">
        <f t="shared" si="18"/>
        <v/>
      </c>
      <c r="BK62" s="69">
        <f>COUNT(BK11:BK47)</f>
        <v>37</v>
      </c>
      <c r="BL62" s="4" t="str">
        <f t="shared" si="19"/>
        <v/>
      </c>
      <c r="BM62" s="69">
        <f>COUNT(BM11:BM47)</f>
        <v>37</v>
      </c>
      <c r="BO62" s="69">
        <f>COUNT(BO11:BO47)</f>
        <v>37</v>
      </c>
      <c r="BQ62" s="69">
        <f>COUNT(BQ11:BQ47)</f>
        <v>37</v>
      </c>
      <c r="BR62" s="69"/>
      <c r="BS62" s="69"/>
      <c r="BT62" s="69"/>
      <c r="BU62" s="69">
        <f t="shared" ref="BU62:EC62" si="103">COUNT(BU11:BU47)</f>
        <v>37</v>
      </c>
      <c r="BV62" s="69"/>
      <c r="BW62" s="69"/>
      <c r="BX62" s="69"/>
      <c r="BY62" s="69"/>
      <c r="BZ62" s="69"/>
      <c r="CA62" s="69"/>
      <c r="CB62" s="69"/>
      <c r="CC62" s="69"/>
      <c r="CD62" s="69"/>
      <c r="CE62" s="69"/>
      <c r="CF62" s="69"/>
      <c r="CG62" s="69"/>
      <c r="CH62" s="69"/>
      <c r="CI62" s="69"/>
      <c r="CJ62" s="69"/>
      <c r="CK62" s="69"/>
      <c r="CL62" s="69"/>
      <c r="CM62" s="69"/>
      <c r="CN62" s="69"/>
      <c r="CO62" s="69"/>
      <c r="CP62" s="203">
        <f>COUNT(CP11:CP47)</f>
        <v>37</v>
      </c>
      <c r="CQ62" s="69">
        <f>COUNT(CQ11:CQ47)</f>
        <v>37</v>
      </c>
      <c r="CR62" s="69">
        <f t="shared" si="103"/>
        <v>37</v>
      </c>
      <c r="CS62" s="69">
        <f t="shared" si="103"/>
        <v>37</v>
      </c>
      <c r="CT62" s="69">
        <f t="shared" si="103"/>
        <v>0</v>
      </c>
      <c r="CU62" s="69">
        <f t="shared" si="103"/>
        <v>0</v>
      </c>
      <c r="CV62" s="69">
        <f t="shared" si="103"/>
        <v>0</v>
      </c>
      <c r="CW62" s="69">
        <f t="shared" si="103"/>
        <v>0</v>
      </c>
      <c r="CX62" s="69">
        <f t="shared" si="103"/>
        <v>0</v>
      </c>
      <c r="CY62" s="69">
        <f t="shared" si="103"/>
        <v>0</v>
      </c>
      <c r="CZ62" s="69">
        <f t="shared" si="103"/>
        <v>0</v>
      </c>
      <c r="DA62" s="69">
        <f t="shared" si="103"/>
        <v>0</v>
      </c>
      <c r="DB62" s="69">
        <f t="shared" si="103"/>
        <v>0</v>
      </c>
      <c r="DC62" s="69">
        <f t="shared" si="103"/>
        <v>0</v>
      </c>
      <c r="DD62" s="69">
        <f t="shared" si="103"/>
        <v>0</v>
      </c>
      <c r="DE62" s="69">
        <f t="shared" si="103"/>
        <v>0</v>
      </c>
      <c r="DF62" s="69">
        <f t="shared" si="103"/>
        <v>0</v>
      </c>
      <c r="DG62" s="69">
        <f t="shared" si="103"/>
        <v>0</v>
      </c>
      <c r="DH62" s="69">
        <f t="shared" si="103"/>
        <v>0</v>
      </c>
      <c r="DI62" s="69">
        <f t="shared" si="103"/>
        <v>0</v>
      </c>
      <c r="DJ62" s="69">
        <f t="shared" si="103"/>
        <v>0</v>
      </c>
      <c r="DK62" s="69">
        <f t="shared" si="103"/>
        <v>0</v>
      </c>
      <c r="DL62" s="69">
        <f t="shared" si="103"/>
        <v>0</v>
      </c>
      <c r="DM62" s="69">
        <f t="shared" si="103"/>
        <v>0</v>
      </c>
      <c r="DN62" s="69">
        <f t="shared" si="103"/>
        <v>0</v>
      </c>
      <c r="DO62" s="69">
        <f t="shared" si="103"/>
        <v>0</v>
      </c>
      <c r="DP62" s="69">
        <f t="shared" si="103"/>
        <v>0</v>
      </c>
      <c r="DQ62" s="69">
        <f t="shared" si="103"/>
        <v>0</v>
      </c>
      <c r="DR62" s="69">
        <f t="shared" si="103"/>
        <v>37</v>
      </c>
      <c r="DS62" s="69">
        <f t="shared" si="103"/>
        <v>37</v>
      </c>
      <c r="DT62" s="69">
        <f t="shared" si="103"/>
        <v>0</v>
      </c>
      <c r="DU62" s="69">
        <f t="shared" si="103"/>
        <v>0</v>
      </c>
      <c r="DV62" s="69">
        <f t="shared" si="103"/>
        <v>0</v>
      </c>
      <c r="DW62" s="69">
        <f t="shared" si="103"/>
        <v>0</v>
      </c>
      <c r="DX62" s="69">
        <f t="shared" si="103"/>
        <v>37</v>
      </c>
      <c r="DY62" s="69">
        <f t="shared" si="103"/>
        <v>37</v>
      </c>
      <c r="DZ62" s="69"/>
      <c r="EA62" s="69"/>
      <c r="EB62" s="69">
        <f t="shared" si="103"/>
        <v>37</v>
      </c>
      <c r="EC62" s="69">
        <f t="shared" si="103"/>
        <v>37</v>
      </c>
      <c r="ED62" s="69">
        <f t="shared" ref="ED62:FE62" si="104">COUNT(ED11:ED47)</f>
        <v>37</v>
      </c>
      <c r="EE62" s="69">
        <f t="shared" si="104"/>
        <v>37</v>
      </c>
      <c r="EF62" s="69">
        <f t="shared" si="104"/>
        <v>37</v>
      </c>
      <c r="EG62" s="69">
        <f t="shared" si="104"/>
        <v>37</v>
      </c>
      <c r="EH62" s="69">
        <f t="shared" si="104"/>
        <v>37</v>
      </c>
      <c r="EI62" s="69">
        <f t="shared" si="104"/>
        <v>37</v>
      </c>
      <c r="EJ62" s="69"/>
      <c r="EK62" s="69"/>
      <c r="EL62" s="69">
        <f t="shared" si="104"/>
        <v>37</v>
      </c>
      <c r="EM62" s="69">
        <f t="shared" si="104"/>
        <v>37</v>
      </c>
      <c r="EN62" s="69"/>
      <c r="EO62" s="69"/>
      <c r="EP62" s="69"/>
      <c r="EQ62" s="69"/>
      <c r="ER62" s="69">
        <f t="shared" si="104"/>
        <v>37</v>
      </c>
      <c r="ES62" s="69">
        <f t="shared" si="104"/>
        <v>37</v>
      </c>
      <c r="ET62" s="69">
        <f t="shared" si="104"/>
        <v>37</v>
      </c>
      <c r="EU62" s="69">
        <f t="shared" si="104"/>
        <v>37</v>
      </c>
      <c r="EV62" s="69">
        <f t="shared" si="104"/>
        <v>0</v>
      </c>
      <c r="EW62" s="69">
        <f t="shared" si="104"/>
        <v>0</v>
      </c>
      <c r="EX62" s="69">
        <f t="shared" si="104"/>
        <v>37</v>
      </c>
      <c r="EY62" s="69">
        <f t="shared" si="104"/>
        <v>37</v>
      </c>
      <c r="EZ62" s="69">
        <f t="shared" si="104"/>
        <v>37</v>
      </c>
      <c r="FA62" s="69">
        <f t="shared" si="104"/>
        <v>37</v>
      </c>
      <c r="FB62" s="69">
        <f t="shared" si="104"/>
        <v>0</v>
      </c>
      <c r="FC62" s="69">
        <f t="shared" si="104"/>
        <v>0</v>
      </c>
      <c r="FD62" s="69">
        <f t="shared" si="104"/>
        <v>0</v>
      </c>
      <c r="FE62" s="69">
        <f t="shared" si="104"/>
        <v>0</v>
      </c>
      <c r="FG62" s="189">
        <f>COUNT(FG11:FG47)</f>
        <v>18</v>
      </c>
      <c r="FK62" s="189">
        <f>COUNT(FK11:FK47)</f>
        <v>0</v>
      </c>
      <c r="FM62" s="189">
        <f>COUNT(FM11:FM47)</f>
        <v>18</v>
      </c>
    </row>
    <row r="63" spans="3:171">
      <c r="C63" s="35" t="s">
        <v>181</v>
      </c>
      <c r="ED63" s="80" t="str">
        <f>IF(I63="","",IFERROR(I63*($I$9/100),""))</f>
        <v/>
      </c>
    </row>
    <row r="64" spans="3:171">
      <c r="C64" s="88" t="s">
        <v>174</v>
      </c>
      <c r="D64" s="88" t="s">
        <v>182</v>
      </c>
      <c r="E64" s="88" t="s">
        <v>78</v>
      </c>
      <c r="F64" s="88" t="s">
        <v>190</v>
      </c>
      <c r="G64" s="88" t="s">
        <v>177</v>
      </c>
      <c r="H64" s="88" t="s">
        <v>178</v>
      </c>
      <c r="I64" s="1" t="s">
        <v>184</v>
      </c>
      <c r="J64" s="1" t="s">
        <v>185</v>
      </c>
      <c r="K64" s="88" t="s">
        <v>177</v>
      </c>
      <c r="L64" s="1" t="s">
        <v>178</v>
      </c>
      <c r="AJ64" s="36"/>
      <c r="AK64" s="36"/>
      <c r="AL64" s="36"/>
      <c r="AM64" s="36"/>
      <c r="BK64"/>
      <c r="BO64" s="36"/>
      <c r="ED64" s="80" t="e">
        <f>IF(#REF!="","",IFERROR(#REF!*($I$9/100),""))</f>
        <v>#REF!</v>
      </c>
    </row>
    <row r="65" spans="3:67">
      <c r="C65" s="240" t="s">
        <v>94</v>
      </c>
      <c r="D65" s="69" t="s">
        <v>109</v>
      </c>
      <c r="E65" s="95">
        <f>IF(BJ9="","",BJ9)</f>
        <v>50</v>
      </c>
      <c r="F65" s="79">
        <f>IF(BJ59="","",BJ59)</f>
        <v>40.758333333333326</v>
      </c>
      <c r="G65" s="89">
        <f>IF(BJ60="","",BJ60)</f>
        <v>0.81516666666666648</v>
      </c>
      <c r="H65" s="190" t="str">
        <f t="shared" ref="H65:H70" si="105">IF(G65="","",IF(G65&gt;=70%,"Tercapai","Belum Tercapai"))</f>
        <v>Tercapai</v>
      </c>
      <c r="I65" s="98">
        <f>IF(BK62="","",BK62)</f>
        <v>37</v>
      </c>
      <c r="J65" s="98">
        <f>IF(BK60="","",BK60)</f>
        <v>36</v>
      </c>
      <c r="K65" s="89">
        <f>IFERROR(J65/I65,"")</f>
        <v>0.97297297297297303</v>
      </c>
      <c r="L65" s="2" t="str">
        <f>IF(K65="","",(IF(K65&gt;=70%,"Tercapai","Belum Tercapai")))</f>
        <v>Tercapai</v>
      </c>
      <c r="AJ65" s="36"/>
      <c r="AK65" s="36"/>
      <c r="AL65" s="36"/>
      <c r="AM65" s="36"/>
      <c r="BK65"/>
      <c r="BO65" s="36"/>
    </row>
    <row r="66" spans="3:67">
      <c r="C66" s="247"/>
      <c r="D66" s="190" t="s">
        <v>105</v>
      </c>
      <c r="E66" s="79">
        <f>IF(BL9="","",BL9)</f>
        <v>50</v>
      </c>
      <c r="F66" s="79">
        <f>IF(BL59="","",BL59)</f>
        <v>40.922500000000007</v>
      </c>
      <c r="G66" s="89">
        <f>IF(BL60="","",BL60)</f>
        <v>0.81845000000000012</v>
      </c>
      <c r="H66" s="190" t="str">
        <f t="shared" si="105"/>
        <v>Tercapai</v>
      </c>
      <c r="I66" s="98">
        <f>IF(BM62="","",BM62)</f>
        <v>37</v>
      </c>
      <c r="J66" s="98">
        <f>IF(BM60="","",BM60)</f>
        <v>36</v>
      </c>
      <c r="K66" s="89">
        <f>IFERROR(J66/I66,"")</f>
        <v>0.97297297297297303</v>
      </c>
      <c r="L66" s="190" t="str">
        <f>IF(K66="","",(IF(K66&gt;=70%,"Tercapai","Belum Tercapai")))</f>
        <v>Tercapai</v>
      </c>
      <c r="AJ66" s="36"/>
      <c r="AK66" s="36"/>
      <c r="AL66" s="36"/>
      <c r="AM66" s="36"/>
      <c r="BK66"/>
      <c r="BO66" s="36"/>
    </row>
    <row r="67" spans="3:67">
      <c r="C67" s="241"/>
      <c r="D67" s="190" t="s">
        <v>119</v>
      </c>
      <c r="E67" s="79">
        <f>IF(BN9="","",BN9)</f>
        <v>50</v>
      </c>
      <c r="F67" s="79">
        <f>IF(BN59="","",BN59)</f>
        <v>41.238513513513517</v>
      </c>
      <c r="G67" s="89">
        <f>IF(BN60="","",BN60)</f>
        <v>0.82477027027027039</v>
      </c>
      <c r="H67" s="190" t="str">
        <f t="shared" si="105"/>
        <v>Tercapai</v>
      </c>
      <c r="I67" s="98">
        <f>IF(BO62="","",BO62)</f>
        <v>37</v>
      </c>
      <c r="J67" s="98">
        <f>IF(BO60="","",BO60)</f>
        <v>36</v>
      </c>
      <c r="K67" s="89">
        <f>IFERROR(J67/I67,"")</f>
        <v>0.97297297297297303</v>
      </c>
      <c r="L67" s="190" t="str">
        <f>IF(K67="","",(IF(K67&gt;=70%,"Tercapai","Belum Tercapai")))</f>
        <v>Tercapai</v>
      </c>
      <c r="AJ67" s="36"/>
      <c r="AK67" s="36"/>
      <c r="AL67" s="36"/>
      <c r="AM67" s="36"/>
      <c r="BK67"/>
      <c r="BO67" s="36"/>
    </row>
    <row r="68" spans="3:67">
      <c r="C68" s="240" t="s">
        <v>118</v>
      </c>
      <c r="D68" s="190" t="s">
        <v>120</v>
      </c>
      <c r="E68" s="79">
        <f>IF(BP9="","",BP9)</f>
        <v>50</v>
      </c>
      <c r="F68" s="96">
        <f>IF(BP59="","",BP59)</f>
        <v>41.546621621621618</v>
      </c>
      <c r="G68" s="89">
        <f>IF(BP60="","",BP60)</f>
        <v>0.83093243243243231</v>
      </c>
      <c r="H68" s="190" t="str">
        <f t="shared" si="105"/>
        <v>Tercapai</v>
      </c>
      <c r="I68" s="98">
        <f>IF(BQ62="","",BQ62)</f>
        <v>37</v>
      </c>
      <c r="J68" s="98">
        <f>IF(BQ60="","",BQ60)</f>
        <v>37</v>
      </c>
      <c r="K68" s="89">
        <f>IFERROR(J68/I68,"")</f>
        <v>1</v>
      </c>
      <c r="L68" s="190" t="str">
        <f>IF(K68="","",(IF(K68&gt;=70%,"Tercapai","Belum Tercapai")))</f>
        <v>Tercapai</v>
      </c>
      <c r="AJ68" s="36"/>
      <c r="AK68" s="36"/>
      <c r="AL68" s="36"/>
      <c r="AM68" s="36"/>
      <c r="BK68"/>
      <c r="BO68" s="36"/>
    </row>
    <row r="69" spans="3:67">
      <c r="C69" s="247"/>
      <c r="D69" s="190" t="s">
        <v>153</v>
      </c>
      <c r="E69" s="79" t="str">
        <f>IF(BR9="","",BR9)</f>
        <v/>
      </c>
      <c r="F69" s="96" t="str">
        <f>IF(BR59="","",BR59)</f>
        <v/>
      </c>
      <c r="G69" s="89" t="str">
        <f>IF(BR60="","",BR60)</f>
        <v/>
      </c>
      <c r="H69" s="190" t="str">
        <f t="shared" si="105"/>
        <v/>
      </c>
      <c r="I69" s="98" t="str">
        <f>IF(BS62="","",BS62)</f>
        <v/>
      </c>
      <c r="J69" s="98" t="str">
        <f>IF(BS60="","",BS60)</f>
        <v/>
      </c>
      <c r="K69" s="89" t="str">
        <f t="shared" ref="K69:K119" si="106">IFERROR(J69/I69,"")</f>
        <v/>
      </c>
      <c r="L69" s="190" t="str">
        <f t="shared" ref="L69:L119" si="107">IF(K69="","",(IF(K69&gt;=70%,"Tercapai","Belum Tercapai")))</f>
        <v/>
      </c>
      <c r="AJ69" s="36"/>
      <c r="AK69" s="36"/>
      <c r="AL69" s="36"/>
      <c r="AM69" s="36"/>
      <c r="BK69"/>
      <c r="BO69" s="36"/>
    </row>
    <row r="70" spans="3:67">
      <c r="C70" s="247"/>
      <c r="D70" s="190" t="s">
        <v>154</v>
      </c>
      <c r="E70" s="79">
        <f>IF(BT9="","",BT9)</f>
        <v>50</v>
      </c>
      <c r="F70" s="96">
        <f>IF(BT59="","",BT59)</f>
        <v>43.093918918918916</v>
      </c>
      <c r="G70" s="89">
        <f>IF(BT60="","",BT60)</f>
        <v>0.86187837837837833</v>
      </c>
      <c r="H70" s="190" t="str">
        <f t="shared" si="105"/>
        <v>Tercapai</v>
      </c>
      <c r="I70" s="98">
        <f>IF(BU62="","",BU62)</f>
        <v>37</v>
      </c>
      <c r="J70" s="98">
        <f>IF(BU60="","",BU60)</f>
        <v>37</v>
      </c>
      <c r="K70" s="89">
        <f t="shared" si="106"/>
        <v>1</v>
      </c>
      <c r="L70" s="190" t="str">
        <f t="shared" si="107"/>
        <v>Tercapai</v>
      </c>
      <c r="AJ70" s="36"/>
      <c r="AK70" s="36"/>
      <c r="AL70" s="36"/>
      <c r="AM70" s="36"/>
      <c r="BK70"/>
      <c r="BO70" s="36"/>
    </row>
    <row r="71" spans="3:67">
      <c r="C71" s="247"/>
      <c r="D71" s="190" t="s">
        <v>155</v>
      </c>
      <c r="E71" s="79" t="str">
        <f>IF(BV9="","",BV9)</f>
        <v/>
      </c>
      <c r="F71" s="96" t="str">
        <f>IF(BV60="","",BV60)</f>
        <v/>
      </c>
      <c r="G71" s="89" t="str">
        <f>IF(BV60="","",BV60)</f>
        <v/>
      </c>
      <c r="H71" s="190"/>
      <c r="I71" s="98"/>
      <c r="J71" s="98"/>
      <c r="K71" s="89" t="str">
        <f t="shared" si="106"/>
        <v/>
      </c>
      <c r="L71" s="190" t="str">
        <f t="shared" si="107"/>
        <v/>
      </c>
      <c r="AJ71" s="36"/>
      <c r="AK71" s="36"/>
      <c r="AL71" s="36"/>
      <c r="AM71" s="36"/>
      <c r="BK71"/>
      <c r="BO71" s="36"/>
    </row>
    <row r="72" spans="3:67">
      <c r="C72" s="240" t="s">
        <v>108</v>
      </c>
      <c r="D72" s="190" t="s">
        <v>111</v>
      </c>
      <c r="E72" s="79" t="str">
        <f>IF(BX9="","",BX9)</f>
        <v/>
      </c>
      <c r="F72" s="96" t="str">
        <f>IF(BX59="","",BX59)</f>
        <v/>
      </c>
      <c r="G72" s="89" t="str">
        <f>IF(BX60="","",BX60)</f>
        <v/>
      </c>
      <c r="H72" s="190" t="str">
        <f>IF(G72="","",IF(G72&gt;=70%,"Tercapai","Belum Tercapai"))</f>
        <v/>
      </c>
      <c r="I72" s="98" t="str">
        <f>IF(BY62="","",BY62)</f>
        <v/>
      </c>
      <c r="J72" s="98" t="str">
        <f>IF(BY60="","",BY60)</f>
        <v/>
      </c>
      <c r="K72" s="89" t="str">
        <f t="shared" si="106"/>
        <v/>
      </c>
      <c r="L72" s="190" t="str">
        <f t="shared" si="107"/>
        <v/>
      </c>
      <c r="AJ72" s="36"/>
      <c r="AK72" s="36"/>
      <c r="AL72" s="36"/>
      <c r="AM72" s="36"/>
      <c r="BK72"/>
      <c r="BO72" s="36"/>
    </row>
    <row r="73" spans="3:67">
      <c r="C73" s="247"/>
      <c r="D73" s="190" t="s">
        <v>117</v>
      </c>
      <c r="E73" s="79" t="str">
        <f>IF(BZ9="","",BZ9)</f>
        <v/>
      </c>
      <c r="F73" s="96" t="str">
        <f>IF(BZ59="","",BZ59)</f>
        <v/>
      </c>
      <c r="G73" s="89" t="str">
        <f>IF(BZ60="","",BZ60)</f>
        <v/>
      </c>
      <c r="H73" s="190" t="str">
        <f>IF(G73="","",IF(G73&gt;=70%,"Tercapai","Belum Tercapai"))</f>
        <v/>
      </c>
      <c r="I73" s="98" t="str">
        <f>IF(CA62="","",CA62)</f>
        <v/>
      </c>
      <c r="J73" s="98" t="str">
        <f>IF(CA60="","",CA60)</f>
        <v/>
      </c>
      <c r="K73" s="89" t="str">
        <f t="shared" si="106"/>
        <v/>
      </c>
      <c r="L73" s="190" t="str">
        <f t="shared" si="107"/>
        <v/>
      </c>
      <c r="AJ73" s="36"/>
      <c r="AK73" s="36"/>
      <c r="AL73" s="36"/>
      <c r="AM73" s="36"/>
      <c r="BK73"/>
      <c r="BO73" s="36"/>
    </row>
    <row r="74" spans="3:67">
      <c r="C74" s="241"/>
      <c r="D74" s="190" t="s">
        <v>115</v>
      </c>
      <c r="E74" s="79" t="str">
        <f>IF(CB9="","",CB9)</f>
        <v/>
      </c>
      <c r="F74" s="96" t="str">
        <f>IF(CB59="","",CB59)</f>
        <v/>
      </c>
      <c r="G74" s="89" t="str">
        <f>IF(CB60="","",CB60)</f>
        <v/>
      </c>
      <c r="H74" s="190" t="str">
        <f>IF(G74="","",IF(G74&gt;=70%,"Tercapai","Belum Tercapai"))</f>
        <v/>
      </c>
      <c r="I74" s="98" t="str">
        <f>IF(CC62="","",CC62)</f>
        <v/>
      </c>
      <c r="J74" s="98" t="str">
        <f>IF(CC60="","",CC60)</f>
        <v/>
      </c>
      <c r="K74" s="89" t="str">
        <f t="shared" si="106"/>
        <v/>
      </c>
      <c r="L74" s="190" t="str">
        <f t="shared" si="107"/>
        <v/>
      </c>
      <c r="AJ74" s="36"/>
      <c r="AK74" s="36"/>
      <c r="AL74" s="36"/>
      <c r="AM74" s="36"/>
      <c r="AN74" s="36"/>
      <c r="BK74"/>
      <c r="BO74" s="36"/>
    </row>
    <row r="75" spans="3:67">
      <c r="C75" s="240" t="s">
        <v>107</v>
      </c>
      <c r="D75" s="190" t="s">
        <v>110</v>
      </c>
      <c r="E75" s="79" t="str">
        <f>IF(CD9="","",CD9)</f>
        <v/>
      </c>
      <c r="F75" s="96" t="str">
        <f>IF(CD59="","",CD59)</f>
        <v/>
      </c>
      <c r="G75" s="89" t="str">
        <f>IF(CD60="","",CD60)</f>
        <v/>
      </c>
      <c r="H75" s="190" t="str">
        <f>IF(G75="","",IF(G75&gt;=70%,"Tercapai","Belum Tercapai"))</f>
        <v/>
      </c>
      <c r="I75" s="98" t="str">
        <f>IF(CE62="","",CE62)</f>
        <v/>
      </c>
      <c r="J75" s="98" t="str">
        <f>IF(CE60="","",CE60)</f>
        <v/>
      </c>
      <c r="K75" s="89" t="str">
        <f t="shared" si="106"/>
        <v/>
      </c>
      <c r="L75" s="190" t="str">
        <f t="shared" si="107"/>
        <v/>
      </c>
      <c r="AJ75" s="36"/>
      <c r="AK75" s="36"/>
      <c r="AL75" s="36"/>
      <c r="AM75" s="36"/>
      <c r="AN75" s="36"/>
      <c r="BK75"/>
      <c r="BO75" s="36"/>
    </row>
    <row r="76" spans="3:67">
      <c r="C76" s="247"/>
      <c r="D76" s="190" t="s">
        <v>156</v>
      </c>
      <c r="E76" s="79" t="str">
        <f>IF(CF9="","",CF9)</f>
        <v/>
      </c>
      <c r="F76" s="96"/>
      <c r="G76" s="89"/>
      <c r="H76" s="190"/>
      <c r="I76" s="98"/>
      <c r="J76" s="98"/>
      <c r="K76" s="89" t="str">
        <f t="shared" si="106"/>
        <v/>
      </c>
      <c r="L76" s="190" t="str">
        <f t="shared" si="107"/>
        <v/>
      </c>
      <c r="AJ76" s="36"/>
      <c r="AK76" s="36"/>
      <c r="AL76" s="36"/>
      <c r="AM76" s="36"/>
      <c r="AN76" s="36"/>
      <c r="BK76"/>
      <c r="BO76" s="36"/>
    </row>
    <row r="77" spans="3:67">
      <c r="C77" s="247"/>
      <c r="D77" s="190" t="s">
        <v>252</v>
      </c>
      <c r="E77" s="79" t="str">
        <f t="shared" ref="E77" si="108">IF(CD11="","",CD11)</f>
        <v/>
      </c>
      <c r="F77" s="96"/>
      <c r="G77" s="89"/>
      <c r="H77" s="190"/>
      <c r="I77" s="98"/>
      <c r="J77" s="98"/>
      <c r="K77" s="89" t="str">
        <f t="shared" si="106"/>
        <v/>
      </c>
      <c r="L77" s="190" t="str">
        <f t="shared" si="107"/>
        <v/>
      </c>
      <c r="AJ77" s="36"/>
      <c r="AK77" s="36"/>
      <c r="AL77" s="36"/>
      <c r="AM77" s="36"/>
      <c r="AN77" s="36"/>
      <c r="BK77"/>
      <c r="BO77" s="36"/>
    </row>
    <row r="78" spans="3:67">
      <c r="C78" s="247"/>
      <c r="D78" s="190" t="s">
        <v>253</v>
      </c>
      <c r="E78" s="79"/>
      <c r="F78" s="96"/>
      <c r="G78" s="89"/>
      <c r="H78" s="190"/>
      <c r="I78" s="98"/>
      <c r="J78" s="98"/>
      <c r="K78" s="89" t="str">
        <f t="shared" si="106"/>
        <v/>
      </c>
      <c r="L78" s="190" t="str">
        <f t="shared" si="107"/>
        <v/>
      </c>
      <c r="AJ78" s="36"/>
      <c r="AK78" s="36"/>
      <c r="AL78" s="36"/>
      <c r="AM78" s="36"/>
      <c r="AN78" s="36"/>
      <c r="BK78"/>
      <c r="BO78" s="36"/>
    </row>
    <row r="79" spans="3:67">
      <c r="C79" s="247"/>
      <c r="D79" s="190" t="s">
        <v>254</v>
      </c>
      <c r="E79" s="79"/>
      <c r="F79" s="96"/>
      <c r="G79" s="89"/>
      <c r="H79" s="190"/>
      <c r="I79" s="98"/>
      <c r="J79" s="98"/>
      <c r="K79" s="89" t="str">
        <f t="shared" si="106"/>
        <v/>
      </c>
      <c r="L79" s="190" t="str">
        <f t="shared" si="107"/>
        <v/>
      </c>
      <c r="AJ79" s="36"/>
      <c r="AK79" s="36"/>
      <c r="AL79" s="36"/>
      <c r="AM79" s="36"/>
      <c r="AN79" s="36"/>
      <c r="BK79"/>
      <c r="BO79" s="36"/>
    </row>
    <row r="80" spans="3:67">
      <c r="C80" s="247"/>
      <c r="D80" s="190" t="s">
        <v>255</v>
      </c>
      <c r="E80" s="79"/>
      <c r="F80" s="96"/>
      <c r="G80" s="89"/>
      <c r="H80" s="190"/>
      <c r="I80" s="98"/>
      <c r="J80" s="98"/>
      <c r="K80" s="89" t="str">
        <f t="shared" si="106"/>
        <v/>
      </c>
      <c r="L80" s="190" t="str">
        <f t="shared" si="107"/>
        <v/>
      </c>
      <c r="AJ80" s="36"/>
      <c r="AK80" s="36"/>
      <c r="AL80" s="36"/>
      <c r="AM80" s="36"/>
      <c r="AN80" s="36"/>
      <c r="BK80"/>
      <c r="BO80" s="36"/>
    </row>
    <row r="81" spans="3:67">
      <c r="C81" s="241"/>
      <c r="D81" s="190" t="s">
        <v>256</v>
      </c>
      <c r="E81" s="79" t="str">
        <f>IF(CF9="","",CF9)</f>
        <v/>
      </c>
      <c r="F81" s="96" t="str">
        <f>IF(CF59="","",CF59)</f>
        <v/>
      </c>
      <c r="G81" s="89" t="str">
        <f>IF(CF60="","",CF60)</f>
        <v/>
      </c>
      <c r="H81" s="190" t="str">
        <f>IF(G81="","",IF(G81&gt;=70%,"Tercapai","Belum Tercapai"))</f>
        <v/>
      </c>
      <c r="I81" s="98" t="str">
        <f>IF(CG62="","",CG62)</f>
        <v/>
      </c>
      <c r="J81" s="98" t="str">
        <f>IF(CG60="","",CG60)</f>
        <v/>
      </c>
      <c r="K81" s="89" t="str">
        <f t="shared" si="106"/>
        <v/>
      </c>
      <c r="L81" s="190" t="str">
        <f t="shared" si="107"/>
        <v/>
      </c>
      <c r="AJ81" s="36"/>
      <c r="AK81" s="36"/>
      <c r="AL81" s="36"/>
      <c r="AM81" s="36"/>
      <c r="BK81"/>
      <c r="BO81" s="36"/>
    </row>
    <row r="82" spans="3:67">
      <c r="C82" s="240" t="s">
        <v>145</v>
      </c>
      <c r="D82" s="190" t="s">
        <v>157</v>
      </c>
      <c r="E82" s="79" t="str">
        <f>IF(CH9="","",CH9)</f>
        <v/>
      </c>
      <c r="F82" s="96" t="str">
        <f>IF(CH59="","",CH59)</f>
        <v/>
      </c>
      <c r="G82" s="89" t="str">
        <f>IF(CH60="","",CH60)</f>
        <v/>
      </c>
      <c r="H82" s="190" t="str">
        <f>IF(G82="","",IF(G82&gt;=70%,"Tercapai","Belum Tercapai"))</f>
        <v/>
      </c>
      <c r="I82" s="98" t="str">
        <f>IF(CI62="","",CI62)</f>
        <v/>
      </c>
      <c r="J82" s="98" t="str">
        <f>IF(CI60="","",CI60)</f>
        <v/>
      </c>
      <c r="K82" s="89" t="str">
        <f t="shared" si="106"/>
        <v/>
      </c>
      <c r="L82" s="190" t="str">
        <f t="shared" si="107"/>
        <v/>
      </c>
      <c r="AJ82" s="36"/>
      <c r="AK82" s="36"/>
      <c r="AL82" s="36"/>
      <c r="AM82" s="36"/>
      <c r="BK82"/>
      <c r="BO82" s="36"/>
    </row>
    <row r="83" spans="3:67">
      <c r="C83" s="247"/>
      <c r="D83" s="190" t="s">
        <v>158</v>
      </c>
      <c r="E83" s="79"/>
      <c r="F83" s="96"/>
      <c r="G83" s="89"/>
      <c r="H83" s="190"/>
      <c r="I83" s="98"/>
      <c r="J83" s="98"/>
      <c r="K83" s="89" t="str">
        <f t="shared" si="106"/>
        <v/>
      </c>
      <c r="L83" s="190" t="str">
        <f t="shared" si="107"/>
        <v/>
      </c>
      <c r="AJ83" s="36"/>
      <c r="AK83" s="36"/>
      <c r="AL83" s="36"/>
      <c r="AM83" s="36"/>
      <c r="BK83"/>
      <c r="BO83" s="36"/>
    </row>
    <row r="84" spans="3:67">
      <c r="C84" s="247"/>
      <c r="D84" s="190" t="s">
        <v>257</v>
      </c>
      <c r="E84" s="79"/>
      <c r="F84" s="96"/>
      <c r="G84" s="89"/>
      <c r="H84" s="190"/>
      <c r="I84" s="98"/>
      <c r="J84" s="98"/>
      <c r="K84" s="89" t="str">
        <f t="shared" si="106"/>
        <v/>
      </c>
      <c r="L84" s="190" t="str">
        <f t="shared" si="107"/>
        <v/>
      </c>
      <c r="AJ84" s="36"/>
      <c r="AK84" s="36"/>
      <c r="AL84" s="36"/>
      <c r="AM84" s="36"/>
      <c r="BK84"/>
      <c r="BO84" s="36"/>
    </row>
    <row r="85" spans="3:67">
      <c r="C85" s="247"/>
      <c r="D85" s="190" t="s">
        <v>258</v>
      </c>
      <c r="E85" s="79"/>
      <c r="F85" s="96"/>
      <c r="G85" s="89"/>
      <c r="H85" s="190"/>
      <c r="I85" s="98"/>
      <c r="J85" s="98"/>
      <c r="K85" s="89" t="str">
        <f t="shared" si="106"/>
        <v/>
      </c>
      <c r="L85" s="190" t="str">
        <f t="shared" si="107"/>
        <v/>
      </c>
      <c r="AJ85" s="36"/>
      <c r="AK85" s="36"/>
      <c r="AL85" s="36"/>
      <c r="AM85" s="36"/>
      <c r="BK85"/>
      <c r="BO85" s="36"/>
    </row>
    <row r="86" spans="3:67">
      <c r="C86" s="247"/>
      <c r="D86" s="190" t="s">
        <v>259</v>
      </c>
      <c r="E86" s="79">
        <f>IF(CP9="","",CP9)</f>
        <v>50</v>
      </c>
      <c r="F86" s="96">
        <f>IF(CP59="","",CP59)</f>
        <v>40.727027027027027</v>
      </c>
      <c r="G86" s="89">
        <f>IF(CP60="","",CP60)</f>
        <v>0.81454054054054059</v>
      </c>
      <c r="H86" s="190" t="str">
        <f>IF(G86="","",IF(G86&gt;=70%,"Tercapai","Belum Tercapai"))</f>
        <v>Tercapai</v>
      </c>
      <c r="I86" s="98">
        <f>IF(CP62="","",CP62)</f>
        <v>37</v>
      </c>
      <c r="J86" s="98">
        <f>IF(CQ60="","",CQ60)</f>
        <v>36</v>
      </c>
      <c r="K86" s="89">
        <f t="shared" si="106"/>
        <v>0.97297297297297303</v>
      </c>
      <c r="L86" s="190" t="str">
        <f t="shared" si="107"/>
        <v>Tercapai</v>
      </c>
      <c r="AJ86" s="36"/>
      <c r="AK86" s="36"/>
      <c r="AL86" s="36"/>
      <c r="AM86" s="36"/>
      <c r="BK86"/>
      <c r="BO86" s="36"/>
    </row>
    <row r="87" spans="3:67">
      <c r="C87" s="247"/>
      <c r="D87" s="190" t="s">
        <v>260</v>
      </c>
      <c r="E87" s="79">
        <f>IF(CR9="","",CR9)</f>
        <v>50</v>
      </c>
      <c r="F87" s="96">
        <f>IF(CR59="","",CR59)</f>
        <v>41.456756756756761</v>
      </c>
      <c r="G87" s="89">
        <f>IF(CR60="","",CR60)</f>
        <v>0.82913513513513526</v>
      </c>
      <c r="H87" s="190" t="str">
        <f>IF(G87="","",IF(G87&gt;=70%,"Tercapai","Belum Tercapai"))</f>
        <v>Tercapai</v>
      </c>
      <c r="I87" s="98">
        <f>IF(CR62="","",CR62)</f>
        <v>37</v>
      </c>
      <c r="J87" s="98">
        <f>IF(CS60="","",CS60)</f>
        <v>35</v>
      </c>
      <c r="K87" s="89">
        <f t="shared" si="106"/>
        <v>0.94594594594594594</v>
      </c>
      <c r="L87" s="190" t="str">
        <f t="shared" si="107"/>
        <v>Tercapai</v>
      </c>
      <c r="AJ87" s="36"/>
      <c r="AK87" s="36"/>
      <c r="AL87" s="36"/>
      <c r="AM87" s="36"/>
      <c r="BK87"/>
      <c r="BO87" s="36"/>
    </row>
    <row r="88" spans="3:67">
      <c r="C88" s="247"/>
      <c r="D88" s="190" t="s">
        <v>261</v>
      </c>
      <c r="E88" s="79"/>
      <c r="F88" s="96"/>
      <c r="G88" s="89"/>
      <c r="H88" s="190"/>
      <c r="I88" s="98"/>
      <c r="J88" s="98"/>
      <c r="K88" s="89" t="str">
        <f t="shared" si="106"/>
        <v/>
      </c>
      <c r="L88" s="190" t="str">
        <f t="shared" si="107"/>
        <v/>
      </c>
      <c r="AJ88" s="36"/>
      <c r="AK88" s="36"/>
      <c r="AL88" s="36"/>
      <c r="AM88" s="36"/>
      <c r="BK88"/>
      <c r="BO88" s="36"/>
    </row>
    <row r="89" spans="3:67">
      <c r="C89" s="241"/>
      <c r="D89" s="190" t="s">
        <v>262</v>
      </c>
      <c r="E89" s="79" t="str">
        <f>IF(CV9="","",CV9)</f>
        <v/>
      </c>
      <c r="F89" s="96" t="str">
        <f>IF(CV59="","",CV59)</f>
        <v/>
      </c>
      <c r="G89" s="89" t="str">
        <f>IF(CV60="","",CV60)</f>
        <v/>
      </c>
      <c r="H89" s="190" t="str">
        <f t="shared" ref="H89:H94" si="109">IF(G89="","",IF(G89&gt;=70%,"Tercapai","Belum Tercapai"))</f>
        <v/>
      </c>
      <c r="I89" s="190"/>
      <c r="J89" s="2" t="str">
        <f>IF(CW60="","",CW60)</f>
        <v/>
      </c>
      <c r="K89" s="89" t="str">
        <f t="shared" si="106"/>
        <v/>
      </c>
      <c r="L89" s="190" t="str">
        <f t="shared" si="107"/>
        <v/>
      </c>
      <c r="AJ89" s="36"/>
      <c r="AK89" s="36"/>
      <c r="AL89" s="36"/>
      <c r="AM89" s="36"/>
      <c r="BK89"/>
      <c r="BO89" s="36"/>
    </row>
    <row r="90" spans="3:67">
      <c r="C90" s="240" t="s">
        <v>146</v>
      </c>
      <c r="D90" s="190" t="s">
        <v>159</v>
      </c>
      <c r="E90" s="79" t="str">
        <f>IF(CX9="","",CX9)</f>
        <v/>
      </c>
      <c r="F90" s="96" t="str">
        <f>IF(CX59="","",CX59)</f>
        <v/>
      </c>
      <c r="G90" s="89" t="str">
        <f>IF(CX60="","",CX60)</f>
        <v/>
      </c>
      <c r="H90" s="190" t="str">
        <f t="shared" si="109"/>
        <v/>
      </c>
      <c r="I90" s="89"/>
      <c r="J90" s="89" t="str">
        <f>IF(CY60="","",CY60)</f>
        <v/>
      </c>
      <c r="K90" s="89" t="str">
        <f t="shared" si="106"/>
        <v/>
      </c>
      <c r="L90" s="190" t="str">
        <f t="shared" si="107"/>
        <v/>
      </c>
      <c r="AJ90" s="36"/>
      <c r="AK90" s="36"/>
      <c r="AL90" s="36"/>
      <c r="AM90" s="36"/>
      <c r="BK90"/>
      <c r="BO90" s="36"/>
    </row>
    <row r="91" spans="3:67">
      <c r="C91" s="247"/>
      <c r="D91" s="190" t="s">
        <v>160</v>
      </c>
      <c r="E91" s="79" t="str">
        <f>IF(CZ9="","",CZ9)</f>
        <v/>
      </c>
      <c r="F91" s="96" t="str">
        <f>IF(CZ59="","",CZ59)</f>
        <v/>
      </c>
      <c r="G91" s="89" t="str">
        <f>IF(CZ60="","",CZ60)</f>
        <v/>
      </c>
      <c r="H91" s="190" t="str">
        <f t="shared" si="109"/>
        <v/>
      </c>
      <c r="I91" s="190"/>
      <c r="J91" s="2" t="str">
        <f>IF(DA60="","",DA60)</f>
        <v/>
      </c>
      <c r="K91" s="89" t="str">
        <f t="shared" si="106"/>
        <v/>
      </c>
      <c r="L91" s="190" t="str">
        <f t="shared" si="107"/>
        <v/>
      </c>
      <c r="AJ91" s="36"/>
      <c r="AK91" s="36"/>
      <c r="AL91" s="36"/>
      <c r="AM91" s="36"/>
      <c r="BK91"/>
      <c r="BO91" s="36"/>
    </row>
    <row r="92" spans="3:67">
      <c r="C92" s="247"/>
      <c r="D92" s="190" t="s">
        <v>161</v>
      </c>
      <c r="E92" s="79" t="str">
        <f>IF(DB9="","",DB9)</f>
        <v/>
      </c>
      <c r="F92" s="96" t="str">
        <f>IF(DB59="","",DB59)</f>
        <v/>
      </c>
      <c r="G92" s="89" t="str">
        <f>IF(DB60="","",DB60)</f>
        <v/>
      </c>
      <c r="H92" s="190" t="str">
        <f t="shared" si="109"/>
        <v/>
      </c>
      <c r="I92" s="190"/>
      <c r="J92" s="2" t="str">
        <f>IF(DC60="","",DC60)</f>
        <v/>
      </c>
      <c r="K92" s="89" t="str">
        <f t="shared" si="106"/>
        <v/>
      </c>
      <c r="L92" s="190" t="str">
        <f t="shared" si="107"/>
        <v/>
      </c>
      <c r="AJ92" s="36"/>
      <c r="AK92" s="36"/>
      <c r="AL92" s="36"/>
      <c r="AM92" s="36"/>
      <c r="BK92"/>
      <c r="BO92" s="36"/>
    </row>
    <row r="93" spans="3:67">
      <c r="C93" s="241"/>
      <c r="D93" s="190" t="s">
        <v>162</v>
      </c>
      <c r="E93" s="79" t="str">
        <f>IF(DD9="","",DD9)</f>
        <v/>
      </c>
      <c r="F93" s="96" t="str">
        <f>IF(DD59="","",DD59)</f>
        <v/>
      </c>
      <c r="G93" s="89" t="str">
        <f>IF(DD60="","",DD60)</f>
        <v/>
      </c>
      <c r="H93" s="190" t="str">
        <f t="shared" si="109"/>
        <v/>
      </c>
      <c r="I93" s="190"/>
      <c r="J93" s="2" t="str">
        <f>IF(DE60="","",DE60)</f>
        <v/>
      </c>
      <c r="K93" s="89" t="str">
        <f t="shared" si="106"/>
        <v/>
      </c>
      <c r="L93" s="190" t="str">
        <f t="shared" si="107"/>
        <v/>
      </c>
      <c r="AJ93" s="36"/>
      <c r="AK93" s="36"/>
      <c r="AL93" s="36"/>
      <c r="AM93" s="36"/>
      <c r="BK93"/>
      <c r="BO93" s="36"/>
    </row>
    <row r="94" spans="3:67">
      <c r="C94" s="240" t="s">
        <v>147</v>
      </c>
      <c r="D94" s="190" t="s">
        <v>163</v>
      </c>
      <c r="E94" s="79" t="str">
        <f>IF(DF9="","",DF9)</f>
        <v/>
      </c>
      <c r="F94" s="96" t="str">
        <f>IF(DF59="","",DF59)</f>
        <v/>
      </c>
      <c r="G94" s="89" t="str">
        <f>IF(DF60="","",DF60)</f>
        <v/>
      </c>
      <c r="H94" s="190" t="str">
        <f t="shared" si="109"/>
        <v/>
      </c>
      <c r="I94" s="190"/>
      <c r="J94" s="2" t="str">
        <f>IF(DG60="","",DG60)</f>
        <v/>
      </c>
      <c r="K94" s="89" t="str">
        <f t="shared" si="106"/>
        <v/>
      </c>
      <c r="L94" s="190" t="str">
        <f t="shared" si="107"/>
        <v/>
      </c>
      <c r="AJ94" s="36"/>
      <c r="AK94" s="36"/>
      <c r="AL94" s="36"/>
      <c r="AM94" s="36"/>
      <c r="BK94"/>
      <c r="BO94" s="36"/>
    </row>
    <row r="95" spans="3:67">
      <c r="C95" s="247"/>
      <c r="D95" s="190" t="s">
        <v>164</v>
      </c>
      <c r="E95" s="79"/>
      <c r="F95" s="96"/>
      <c r="G95" s="89"/>
      <c r="H95" s="190"/>
      <c r="I95" s="190"/>
      <c r="J95" s="150"/>
      <c r="K95" s="89" t="str">
        <f t="shared" si="106"/>
        <v/>
      </c>
      <c r="L95" s="190" t="str">
        <f t="shared" si="107"/>
        <v/>
      </c>
      <c r="AJ95" s="36"/>
      <c r="AK95" s="36"/>
      <c r="AL95" s="36"/>
      <c r="AM95" s="36"/>
      <c r="BK95"/>
      <c r="BO95" s="36"/>
    </row>
    <row r="96" spans="3:67">
      <c r="C96" s="247"/>
      <c r="D96" s="190" t="s">
        <v>165</v>
      </c>
      <c r="E96" s="79"/>
      <c r="F96" s="96"/>
      <c r="G96" s="89"/>
      <c r="H96" s="190"/>
      <c r="I96" s="190"/>
      <c r="J96" s="150"/>
      <c r="K96" s="89" t="str">
        <f t="shared" si="106"/>
        <v/>
      </c>
      <c r="L96" s="190" t="str">
        <f t="shared" si="107"/>
        <v/>
      </c>
      <c r="AJ96" s="36"/>
      <c r="AK96" s="36"/>
      <c r="AL96" s="36"/>
      <c r="AM96" s="36"/>
      <c r="BK96"/>
      <c r="BO96" s="36"/>
    </row>
    <row r="97" spans="3:67">
      <c r="C97" s="247"/>
      <c r="D97" s="190" t="s">
        <v>263</v>
      </c>
      <c r="E97" s="79"/>
      <c r="F97" s="96"/>
      <c r="G97" s="89"/>
      <c r="H97" s="190"/>
      <c r="I97" s="190"/>
      <c r="J97" s="150"/>
      <c r="K97" s="89" t="str">
        <f t="shared" si="106"/>
        <v/>
      </c>
      <c r="L97" s="190" t="str">
        <f t="shared" si="107"/>
        <v/>
      </c>
      <c r="AJ97" s="36"/>
      <c r="AK97" s="36"/>
      <c r="AL97" s="36"/>
      <c r="AM97" s="36"/>
      <c r="BK97"/>
      <c r="BO97" s="36"/>
    </row>
    <row r="98" spans="3:67">
      <c r="C98" s="247"/>
      <c r="D98" s="190" t="s">
        <v>264</v>
      </c>
      <c r="E98" s="79" t="str">
        <f>IF(DH9="","",DH9)</f>
        <v/>
      </c>
      <c r="F98" s="96" t="str">
        <f>IF(DH59="","",DH59)</f>
        <v/>
      </c>
      <c r="G98" s="89" t="str">
        <f>IF(DH60="","",DH60)</f>
        <v/>
      </c>
      <c r="H98" s="190" t="str">
        <f>IF(G98="","",IF(G98&gt;=70%,"Tercapai","Belum Tercapai"))</f>
        <v/>
      </c>
      <c r="I98" s="190"/>
      <c r="J98" s="2" t="str">
        <f>IF(DI60="","",DI60)</f>
        <v/>
      </c>
      <c r="K98" s="89" t="str">
        <f t="shared" si="106"/>
        <v/>
      </c>
      <c r="L98" s="190" t="str">
        <f t="shared" si="107"/>
        <v/>
      </c>
      <c r="AJ98" s="36"/>
      <c r="AK98" s="36"/>
      <c r="AL98" s="36"/>
      <c r="AM98" s="36"/>
      <c r="BK98"/>
      <c r="BO98" s="36"/>
    </row>
    <row r="99" spans="3:67">
      <c r="C99" s="241"/>
      <c r="D99" s="190" t="s">
        <v>265</v>
      </c>
      <c r="E99" s="79" t="str">
        <f>IF(DP9="","",DP9)</f>
        <v/>
      </c>
      <c r="F99" s="96" t="str">
        <f>IF(DP59="","",DP59)</f>
        <v/>
      </c>
      <c r="G99" s="89" t="str">
        <f>IF(DP60="","",DP60)</f>
        <v/>
      </c>
      <c r="H99" s="190" t="str">
        <f>IF(G99="","",IF(G99&gt;=70%,"Tercapai","Belum Tercapai"))</f>
        <v/>
      </c>
      <c r="I99" s="190"/>
      <c r="J99" s="2" t="str">
        <f>IF(DQ60="","",DQ60)</f>
        <v/>
      </c>
      <c r="K99" s="89" t="str">
        <f t="shared" si="106"/>
        <v/>
      </c>
      <c r="L99" s="190" t="str">
        <f t="shared" si="107"/>
        <v/>
      </c>
      <c r="AJ99" s="36"/>
      <c r="AK99" s="36"/>
      <c r="AL99" s="36"/>
      <c r="AM99" s="36"/>
      <c r="BK99"/>
      <c r="BO99" s="36"/>
    </row>
    <row r="100" spans="3:67">
      <c r="C100" s="240" t="s">
        <v>148</v>
      </c>
      <c r="D100" s="190" t="s">
        <v>166</v>
      </c>
      <c r="E100" s="79">
        <f>IF(DR9="","",DR9)</f>
        <v>50</v>
      </c>
      <c r="F100" s="96">
        <f>IF(DR59="","",DR59)</f>
        <v>40.059459459459468</v>
      </c>
      <c r="G100" s="89">
        <f>IF(DR60="","",DR60)</f>
        <v>0.80118918918918935</v>
      </c>
      <c r="H100" s="190" t="str">
        <f>IF(G100="","",IF(G100&gt;=70%,"Tercapai","Belum Tercapai"))</f>
        <v>Tercapai</v>
      </c>
      <c r="I100" s="190">
        <f>IF(DS62="","",DS62)</f>
        <v>37</v>
      </c>
      <c r="J100" s="2">
        <f>IF(DS60="","",DS60)</f>
        <v>35</v>
      </c>
      <c r="K100" s="89">
        <f t="shared" si="106"/>
        <v>0.94594594594594594</v>
      </c>
      <c r="L100" s="190" t="str">
        <f t="shared" si="107"/>
        <v>Tercapai</v>
      </c>
      <c r="AJ100" s="36"/>
      <c r="AK100" s="36"/>
      <c r="AL100" s="36"/>
      <c r="AM100" s="36"/>
      <c r="BK100"/>
      <c r="BO100" s="36"/>
    </row>
    <row r="101" spans="3:67">
      <c r="C101" s="247"/>
      <c r="D101" s="190" t="s">
        <v>167</v>
      </c>
      <c r="E101" s="79"/>
      <c r="F101" s="96"/>
      <c r="G101" s="89"/>
      <c r="H101" s="190"/>
      <c r="I101" s="190"/>
      <c r="J101" s="150"/>
      <c r="K101" s="89" t="str">
        <f t="shared" si="106"/>
        <v/>
      </c>
      <c r="L101" s="190" t="str">
        <f t="shared" si="107"/>
        <v/>
      </c>
      <c r="AJ101" s="36"/>
      <c r="AK101" s="36"/>
      <c r="AL101" s="36"/>
      <c r="AM101" s="36"/>
      <c r="BK101"/>
      <c r="BO101" s="36"/>
    </row>
    <row r="102" spans="3:67">
      <c r="C102" s="241"/>
      <c r="D102" s="190" t="s">
        <v>266</v>
      </c>
      <c r="E102" s="79" t="str">
        <f>IF(DV9="","",DV9)</f>
        <v/>
      </c>
      <c r="F102" s="96" t="str">
        <f>IF(DV59="","",DV59)</f>
        <v/>
      </c>
      <c r="G102" s="89" t="str">
        <f>IF(DV60="","",DV60)</f>
        <v/>
      </c>
      <c r="H102" s="190" t="str">
        <f>IF(G102="","",IF(G102&gt;=70%,"Tercapai","Belum Tercapai"))</f>
        <v/>
      </c>
      <c r="I102" s="190"/>
      <c r="J102" s="2" t="str">
        <f>IF(DW60="","",DW60)</f>
        <v/>
      </c>
      <c r="K102" s="89" t="str">
        <f t="shared" si="106"/>
        <v/>
      </c>
      <c r="L102" s="190" t="str">
        <f t="shared" si="107"/>
        <v/>
      </c>
      <c r="AJ102" s="36"/>
      <c r="AK102" s="36"/>
      <c r="AL102" s="36"/>
      <c r="AM102" s="36"/>
      <c r="BK102"/>
      <c r="BO102" s="36"/>
    </row>
    <row r="103" spans="3:67">
      <c r="C103" s="240" t="s">
        <v>114</v>
      </c>
      <c r="D103" s="2" t="s">
        <v>150</v>
      </c>
      <c r="E103" s="79">
        <f>IF(DX9="","",DX9)</f>
        <v>50</v>
      </c>
      <c r="F103" s="96">
        <f>IF(DX59="","",DX59)</f>
        <v>39.228378378378387</v>
      </c>
      <c r="G103" s="89">
        <f>IF(DX60="","",DX60)</f>
        <v>0.78456756756756774</v>
      </c>
      <c r="H103" s="2" t="str">
        <f>IF(G103="","",IF(G103&gt;=70%,"Tercapai","Belum Tercapai"))</f>
        <v>Tercapai</v>
      </c>
      <c r="I103" s="2">
        <f>IF(DY62="","",DY62)</f>
        <v>37</v>
      </c>
      <c r="J103" s="2">
        <f>IF(DY60="","",DY60)</f>
        <v>34</v>
      </c>
      <c r="K103" s="89">
        <f t="shared" si="106"/>
        <v>0.91891891891891897</v>
      </c>
      <c r="L103" s="190" t="str">
        <f t="shared" si="107"/>
        <v>Tercapai</v>
      </c>
      <c r="AJ103" s="36"/>
      <c r="AK103" s="36"/>
      <c r="AL103" s="36"/>
      <c r="AM103" s="36"/>
      <c r="BK103"/>
      <c r="BO103" s="36"/>
    </row>
    <row r="104" spans="3:67">
      <c r="C104" s="247"/>
      <c r="D104" s="150" t="s">
        <v>116</v>
      </c>
      <c r="E104" s="79"/>
      <c r="F104" s="96"/>
      <c r="G104" s="89"/>
      <c r="H104" s="150"/>
      <c r="I104" s="150"/>
      <c r="J104" s="150"/>
      <c r="K104" s="89" t="str">
        <f t="shared" si="106"/>
        <v/>
      </c>
      <c r="L104" s="190" t="str">
        <f t="shared" si="107"/>
        <v/>
      </c>
      <c r="AJ104" s="36"/>
      <c r="AK104" s="36"/>
      <c r="AL104" s="36"/>
      <c r="AM104" s="36"/>
      <c r="BK104"/>
      <c r="BO104" s="36"/>
    </row>
    <row r="105" spans="3:67">
      <c r="C105" s="241"/>
      <c r="D105" s="150" t="s">
        <v>267</v>
      </c>
      <c r="E105" s="79" t="str">
        <f>IF(DZ9="","",DZ9)</f>
        <v/>
      </c>
      <c r="F105" s="96" t="str">
        <f>IF(DZ59="","",DZ59)</f>
        <v/>
      </c>
      <c r="G105" s="89" t="str">
        <f>IF(DZ60="","",DZ60)</f>
        <v/>
      </c>
      <c r="H105" s="2" t="str">
        <f>IF(G105="","",IF(G105&gt;=70%,"Tercapai","Belum Tercapai"))</f>
        <v/>
      </c>
      <c r="I105" s="2" t="str">
        <f>IF(EA62="","",EA62)</f>
        <v/>
      </c>
      <c r="J105" s="2" t="str">
        <f>IF(EA60="","",EA60)</f>
        <v/>
      </c>
      <c r="K105" s="89" t="str">
        <f t="shared" si="106"/>
        <v/>
      </c>
      <c r="L105" s="190" t="str">
        <f t="shared" si="107"/>
        <v/>
      </c>
      <c r="AJ105" s="36"/>
      <c r="AK105" s="36"/>
      <c r="AL105" s="36"/>
      <c r="AM105" s="36"/>
      <c r="BK105"/>
      <c r="BO105" s="36"/>
    </row>
    <row r="106" spans="3:67">
      <c r="C106" s="240" t="s">
        <v>121</v>
      </c>
      <c r="D106" s="2" t="s">
        <v>124</v>
      </c>
      <c r="E106" s="79">
        <f>IF(EB9="","",EB9)</f>
        <v>16</v>
      </c>
      <c r="F106" s="96">
        <f>IF(EB59="","",EB59)</f>
        <v>14.255740540540538</v>
      </c>
      <c r="G106" s="89">
        <f>IF(EB60="","",EB60)</f>
        <v>0.89098378378378362</v>
      </c>
      <c r="H106" s="2" t="str">
        <f>IF(G106="","",IF(G106&gt;=70%,"Tercapai","Belum Tercapai"))</f>
        <v>Tercapai</v>
      </c>
      <c r="I106" s="2">
        <f>IF(EC62="","",EC62)</f>
        <v>37</v>
      </c>
      <c r="J106" s="2">
        <f>IF(EC60="","",EC60)</f>
        <v>36</v>
      </c>
      <c r="K106" s="89">
        <f t="shared" si="106"/>
        <v>0.97297297297297303</v>
      </c>
      <c r="L106" s="190" t="str">
        <f t="shared" si="107"/>
        <v>Tercapai</v>
      </c>
      <c r="AJ106" s="36"/>
      <c r="AK106" s="36"/>
      <c r="AL106" s="36"/>
      <c r="AM106" s="36"/>
      <c r="BK106"/>
      <c r="BO106" s="36"/>
    </row>
    <row r="107" spans="3:67">
      <c r="C107" s="247"/>
      <c r="D107" s="150" t="s">
        <v>168</v>
      </c>
      <c r="E107" s="79">
        <f>IF(ED9="","",ED9)</f>
        <v>16</v>
      </c>
      <c r="F107" s="96">
        <f>IF(ED59="","",ED59)</f>
        <v>13.90979459459459</v>
      </c>
      <c r="G107" s="89">
        <f>IF(ED60="","",ED60)</f>
        <v>0.86936216216216189</v>
      </c>
      <c r="H107" s="193" t="str">
        <f>IF(G107="","",IF(G107&gt;=70%,"Tercapai","Belum Tercapai"))</f>
        <v>Tercapai</v>
      </c>
      <c r="I107" s="193">
        <f>IF(EE62="","",EE62)</f>
        <v>37</v>
      </c>
      <c r="J107" s="204">
        <f>IF(EE60="","",EE60)</f>
        <v>36</v>
      </c>
      <c r="K107" s="89">
        <f t="shared" si="106"/>
        <v>0.97297297297297303</v>
      </c>
      <c r="L107" s="193" t="str">
        <f t="shared" si="107"/>
        <v>Tercapai</v>
      </c>
      <c r="AJ107" s="36"/>
      <c r="AK107" s="36"/>
      <c r="AL107" s="36"/>
      <c r="AM107" s="36"/>
      <c r="BK107"/>
      <c r="BO107" s="36"/>
    </row>
    <row r="108" spans="3:67">
      <c r="C108" s="247"/>
      <c r="D108" s="150" t="s">
        <v>217</v>
      </c>
      <c r="E108" s="79">
        <f>IF(EF9="","",EF9)</f>
        <v>26</v>
      </c>
      <c r="F108" s="96">
        <f>IF(EF59="","",EF59)</f>
        <v>21.922075675675671</v>
      </c>
      <c r="G108" s="89">
        <f>IF(EF60="","",EF60)</f>
        <v>0.84315675675675661</v>
      </c>
      <c r="H108" s="193" t="str">
        <f>IF(G108="","",IF(G108&gt;=70%,"Tercapai","Belum Tercapai"))</f>
        <v>Tercapai</v>
      </c>
      <c r="I108" s="193">
        <f>IF(EG62="","",EG62)</f>
        <v>37</v>
      </c>
      <c r="J108" s="193">
        <f t="shared" ref="J108:J109" si="110">IF(EC62="","",EC62)</f>
        <v>37</v>
      </c>
      <c r="K108" s="89">
        <f t="shared" si="106"/>
        <v>1</v>
      </c>
      <c r="L108" s="193" t="str">
        <f t="shared" si="107"/>
        <v>Tercapai</v>
      </c>
      <c r="AJ108" s="36"/>
      <c r="AK108" s="36"/>
      <c r="AL108" s="36"/>
      <c r="AM108" s="36"/>
      <c r="BK108"/>
      <c r="BO108" s="36"/>
    </row>
    <row r="109" spans="3:67">
      <c r="C109" s="247"/>
      <c r="D109" s="150" t="s">
        <v>218</v>
      </c>
      <c r="E109" s="79"/>
      <c r="F109" s="96"/>
      <c r="G109" s="89"/>
      <c r="H109" s="150"/>
      <c r="I109" s="193" t="str">
        <f t="shared" ref="I109" si="111">IF(EC65="","",EC65)</f>
        <v/>
      </c>
      <c r="J109" s="193" t="str">
        <f t="shared" si="110"/>
        <v/>
      </c>
      <c r="K109" s="89" t="str">
        <f t="shared" si="106"/>
        <v/>
      </c>
      <c r="L109" s="193" t="str">
        <f t="shared" si="107"/>
        <v/>
      </c>
      <c r="AJ109" s="36"/>
      <c r="AK109" s="36"/>
      <c r="AL109" s="36"/>
      <c r="AM109" s="36"/>
      <c r="BK109"/>
      <c r="BO109" s="36"/>
    </row>
    <row r="110" spans="3:67">
      <c r="C110" s="241"/>
      <c r="D110" s="150" t="s">
        <v>268</v>
      </c>
      <c r="E110" s="79" t="str">
        <f>IF(EJ9="","",EJ9)</f>
        <v/>
      </c>
      <c r="F110" s="96" t="str">
        <f>IF(EJ59="","",EJ59)</f>
        <v/>
      </c>
      <c r="G110" s="89" t="str">
        <f>IF(EJ60="","",EJ60)</f>
        <v/>
      </c>
      <c r="H110" s="2" t="str">
        <f>IF(G110="","",IF(G110&gt;=70%,"Tercapai","Belum Tercapai"))</f>
        <v/>
      </c>
      <c r="I110" s="2" t="str">
        <f>IF(EK62="","",EK62)</f>
        <v/>
      </c>
      <c r="J110" s="2" t="str">
        <f>IF(EK60="","",EK60)</f>
        <v/>
      </c>
      <c r="K110" s="89" t="str">
        <f t="shared" si="106"/>
        <v/>
      </c>
      <c r="L110" s="190" t="str">
        <f t="shared" si="107"/>
        <v/>
      </c>
      <c r="AJ110" s="36"/>
      <c r="AK110" s="36"/>
      <c r="AL110" s="36"/>
      <c r="AM110" s="36"/>
      <c r="BK110"/>
      <c r="BO110" s="36"/>
    </row>
    <row r="111" spans="3:67">
      <c r="C111" s="240" t="s">
        <v>149</v>
      </c>
      <c r="D111" s="2" t="s">
        <v>169</v>
      </c>
      <c r="E111" s="79">
        <f>IF(EL9="","",EL9)</f>
        <v>21</v>
      </c>
      <c r="F111" s="96">
        <f>IF(EL59="","",EL59)</f>
        <v>17.821110810810808</v>
      </c>
      <c r="G111" s="89">
        <f>IF(EL60="","",EL60)</f>
        <v>0.86187837837837833</v>
      </c>
      <c r="H111" s="2" t="str">
        <f>IF(G111="","",IF(G111&gt;=70%,"Tercapai","Belum Tercapai"))</f>
        <v>Tercapai</v>
      </c>
      <c r="I111" s="2">
        <f>IF(EM62="","",EM62)</f>
        <v>37</v>
      </c>
      <c r="J111" s="2">
        <f>IF(EM60="","",EM60)</f>
        <v>36</v>
      </c>
      <c r="K111" s="89">
        <f t="shared" si="106"/>
        <v>0.97297297297297303</v>
      </c>
      <c r="L111" s="190" t="str">
        <f t="shared" si="107"/>
        <v>Tercapai</v>
      </c>
      <c r="AJ111" s="36"/>
      <c r="AK111" s="36"/>
      <c r="AL111" s="36"/>
      <c r="AM111" s="36"/>
      <c r="BK111"/>
      <c r="BO111" s="36"/>
    </row>
    <row r="112" spans="3:67">
      <c r="C112" s="247"/>
      <c r="D112" s="150" t="s">
        <v>170</v>
      </c>
      <c r="E112" s="79"/>
      <c r="F112" s="96"/>
      <c r="G112" s="89"/>
      <c r="H112" s="193" t="str">
        <f t="shared" ref="H112:H114" si="112">IF(G112="","",IF(G112&gt;=70%,"Tercapai","Belum Tercapai"))</f>
        <v/>
      </c>
      <c r="I112" s="150"/>
      <c r="J112" s="150"/>
      <c r="K112" s="89" t="str">
        <f t="shared" si="106"/>
        <v/>
      </c>
      <c r="L112" s="193" t="str">
        <f t="shared" si="107"/>
        <v/>
      </c>
      <c r="AJ112" s="36"/>
      <c r="AK112" s="36"/>
      <c r="AL112" s="36"/>
      <c r="AM112" s="36"/>
      <c r="BK112"/>
      <c r="BO112" s="36"/>
    </row>
    <row r="113" spans="3:67">
      <c r="C113" s="247"/>
      <c r="D113" s="150" t="s">
        <v>269</v>
      </c>
      <c r="E113" s="79"/>
      <c r="F113" s="96"/>
      <c r="G113" s="89"/>
      <c r="H113" s="193" t="str">
        <f t="shared" si="112"/>
        <v/>
      </c>
      <c r="I113" s="150"/>
      <c r="J113" s="150"/>
      <c r="K113" s="89" t="str">
        <f t="shared" si="106"/>
        <v/>
      </c>
      <c r="L113" s="193" t="str">
        <f t="shared" si="107"/>
        <v/>
      </c>
      <c r="AJ113" s="36"/>
      <c r="AK113" s="36"/>
      <c r="AL113" s="36"/>
      <c r="AM113" s="36"/>
      <c r="BK113"/>
      <c r="BO113" s="36"/>
    </row>
    <row r="114" spans="3:67">
      <c r="C114" s="247"/>
      <c r="D114" s="150" t="s">
        <v>232</v>
      </c>
      <c r="E114" s="79">
        <f>IF(ER62="","",ER62)</f>
        <v>37</v>
      </c>
      <c r="F114" s="96">
        <f>IF(ER59="","",ER59)</f>
        <v>38.620270270270282</v>
      </c>
      <c r="G114" s="89">
        <f>IF(ER60="","",ER60)</f>
        <v>0.86187837837837833</v>
      </c>
      <c r="H114" s="193" t="str">
        <f t="shared" si="112"/>
        <v>Tercapai</v>
      </c>
      <c r="I114" s="150">
        <f>IF(ES62="","",ES62)</f>
        <v>37</v>
      </c>
      <c r="J114" s="150">
        <f>IF(ES60="","",ES60)</f>
        <v>31</v>
      </c>
      <c r="K114" s="89">
        <f t="shared" si="106"/>
        <v>0.83783783783783783</v>
      </c>
      <c r="L114" s="193" t="str">
        <f t="shared" si="107"/>
        <v>Tercapai</v>
      </c>
      <c r="AJ114" s="36"/>
      <c r="AK114" s="36"/>
      <c r="AL114" s="36"/>
      <c r="AM114" s="36"/>
      <c r="BK114"/>
      <c r="BO114" s="36"/>
    </row>
    <row r="115" spans="3:67">
      <c r="C115" s="241"/>
      <c r="D115" s="150" t="s">
        <v>233</v>
      </c>
      <c r="E115" s="79">
        <f>IF(ET9="","",ET9)</f>
        <v>50</v>
      </c>
      <c r="F115" s="96">
        <f>IF(ET59="","",ET59)</f>
        <v>38.156756756756756</v>
      </c>
      <c r="G115" s="89">
        <f>IF(ET60="","",ET60)</f>
        <v>0.86187837837837833</v>
      </c>
      <c r="H115" s="2" t="str">
        <f>IF(G115="","",IF(G115&gt;=70%,"Tercapai","Belum Tercapai"))</f>
        <v>Tercapai</v>
      </c>
      <c r="I115" s="2">
        <f>IF(EU62="","",EU62)</f>
        <v>37</v>
      </c>
      <c r="J115" s="2">
        <f>IF(EU60="","",EU60)</f>
        <v>32</v>
      </c>
      <c r="K115" s="89">
        <f t="shared" si="106"/>
        <v>0.86486486486486491</v>
      </c>
      <c r="L115" s="190" t="str">
        <f t="shared" si="107"/>
        <v>Tercapai</v>
      </c>
      <c r="AJ115" s="36"/>
      <c r="AK115" s="36"/>
      <c r="AL115" s="36"/>
      <c r="AM115" s="36"/>
      <c r="BK115"/>
      <c r="BO115" s="36"/>
    </row>
    <row r="116" spans="3:67">
      <c r="C116" s="240" t="s">
        <v>122</v>
      </c>
      <c r="D116" s="2" t="s">
        <v>125</v>
      </c>
      <c r="E116" s="79" t="str">
        <f t="shared" ref="E116" si="113">IF(ET10="","",ET10)</f>
        <v/>
      </c>
      <c r="F116" s="96" t="str">
        <f>IF(EV59="","",EV59)</f>
        <v/>
      </c>
      <c r="G116" s="89" t="str">
        <f>IF(EV60="","",EV60)</f>
        <v/>
      </c>
      <c r="H116" s="193" t="str">
        <f t="shared" ref="H116:H118" si="114">IF(G116="","",IF(G116&gt;=70%,"Tercapai","Belum Tercapai"))</f>
        <v/>
      </c>
      <c r="I116" s="2">
        <f>IF(EW62="","",EW62)</f>
        <v>0</v>
      </c>
      <c r="J116" s="2" t="str">
        <f>IF(EW60="","",EW60)</f>
        <v/>
      </c>
      <c r="K116" s="89" t="str">
        <f t="shared" si="106"/>
        <v/>
      </c>
      <c r="L116" s="190" t="str">
        <f t="shared" si="107"/>
        <v/>
      </c>
      <c r="AJ116" s="36"/>
      <c r="AK116" s="36"/>
      <c r="AL116" s="36"/>
      <c r="AM116" s="36"/>
      <c r="BK116"/>
      <c r="BO116" s="36"/>
    </row>
    <row r="117" spans="3:67">
      <c r="C117" s="247"/>
      <c r="D117" s="150" t="s">
        <v>130</v>
      </c>
      <c r="E117" s="79">
        <f>IF(EX9="","",EX9)</f>
        <v>50</v>
      </c>
      <c r="F117" s="96">
        <f>IF(EX59="","",EX59)</f>
        <v>43.519594594594601</v>
      </c>
      <c r="G117" s="89">
        <f>IF(EX60="","",EX60)</f>
        <v>0.86187837837837833</v>
      </c>
      <c r="H117" s="193" t="str">
        <f t="shared" si="114"/>
        <v>Tercapai</v>
      </c>
      <c r="I117" s="193">
        <f>IF(EY62="","",EY62)</f>
        <v>37</v>
      </c>
      <c r="J117" s="150">
        <f>IF(EY60="","",EY60)</f>
        <v>36</v>
      </c>
      <c r="K117" s="89">
        <f t="shared" si="106"/>
        <v>0.97297297297297303</v>
      </c>
      <c r="L117" s="190" t="str">
        <f t="shared" si="107"/>
        <v>Tercapai</v>
      </c>
      <c r="AJ117" s="36"/>
      <c r="AK117" s="36"/>
      <c r="AL117" s="36"/>
      <c r="AM117" s="36"/>
      <c r="BK117"/>
      <c r="BO117" s="36"/>
    </row>
    <row r="118" spans="3:67">
      <c r="C118" s="247"/>
      <c r="D118" s="150" t="s">
        <v>249</v>
      </c>
      <c r="E118" s="79">
        <f>IF(EZ9="","",EZ9)</f>
        <v>50</v>
      </c>
      <c r="F118" s="96">
        <f>IF(EZ59="","",EZ59)</f>
        <v>43.57500000000001</v>
      </c>
      <c r="G118" s="89">
        <f>IF(EZ60="","",EZ60)</f>
        <v>0.86187837837837833</v>
      </c>
      <c r="H118" s="193" t="str">
        <f t="shared" si="114"/>
        <v>Tercapai</v>
      </c>
      <c r="I118" s="150">
        <f>IF(FA62="","",FA62)</f>
        <v>37</v>
      </c>
      <c r="J118" s="150">
        <f>IF(FA60="","",FA60)</f>
        <v>36</v>
      </c>
      <c r="K118" s="89">
        <f t="shared" si="106"/>
        <v>0.97297297297297303</v>
      </c>
      <c r="L118" s="190" t="str">
        <f t="shared" si="107"/>
        <v>Tercapai</v>
      </c>
      <c r="AJ118" s="36"/>
      <c r="AK118" s="36"/>
      <c r="AL118" s="36"/>
      <c r="AM118" s="36"/>
      <c r="BK118"/>
      <c r="BO118" s="36"/>
    </row>
    <row r="119" spans="3:67">
      <c r="C119" s="241"/>
      <c r="D119" s="150" t="s">
        <v>270</v>
      </c>
      <c r="E119" s="79"/>
      <c r="F119" s="96" t="str">
        <f>IF(FD59="","",FD59)</f>
        <v/>
      </c>
      <c r="G119" s="89" t="str">
        <f>IF(FD60="","",FD60)</f>
        <v/>
      </c>
      <c r="H119" s="2" t="str">
        <f>IF(G119="","",IF(G119&gt;=70%,"Tercapai","Belum Tercapai"))</f>
        <v/>
      </c>
      <c r="I119" s="2">
        <f>IF(FE62="","",FE62)</f>
        <v>0</v>
      </c>
      <c r="J119" s="2" t="str">
        <f>IF(FE60="","",FE60)</f>
        <v/>
      </c>
      <c r="K119" s="89" t="str">
        <f t="shared" si="106"/>
        <v/>
      </c>
      <c r="L119" s="190" t="str">
        <f t="shared" si="107"/>
        <v/>
      </c>
      <c r="AJ119" s="36"/>
      <c r="AK119" s="36"/>
      <c r="AL119" s="36"/>
      <c r="AM119" s="36"/>
      <c r="BK119"/>
      <c r="BO119" s="36"/>
    </row>
    <row r="121" spans="3:67">
      <c r="E121" s="36">
        <f>SUM(E65:E119)</f>
        <v>716</v>
      </c>
      <c r="F121" s="93">
        <f>SUM(F65:F119)</f>
        <v>600.81185225225238</v>
      </c>
      <c r="G121" s="94">
        <f>AVERAGE(G65:G119)</f>
        <v>0.8407955749867515</v>
      </c>
    </row>
  </sheetData>
  <mergeCells count="144">
    <mergeCell ref="D4:E4"/>
    <mergeCell ref="F4:F9"/>
    <mergeCell ref="G4:K4"/>
    <mergeCell ref="L4:L9"/>
    <mergeCell ref="M4:N4"/>
    <mergeCell ref="O4:O9"/>
    <mergeCell ref="D6:E6"/>
    <mergeCell ref="G6:K6"/>
    <mergeCell ref="M6:N6"/>
    <mergeCell ref="Y4:Z4"/>
    <mergeCell ref="AA4:AA9"/>
    <mergeCell ref="AB4:AC4"/>
    <mergeCell ref="AD4:AD9"/>
    <mergeCell ref="Y6:Z6"/>
    <mergeCell ref="AB6:AC6"/>
    <mergeCell ref="P4:Q4"/>
    <mergeCell ref="R4:R9"/>
    <mergeCell ref="S4:T4"/>
    <mergeCell ref="U4:U9"/>
    <mergeCell ref="V4:W4"/>
    <mergeCell ref="X4:X9"/>
    <mergeCell ref="P6:Q6"/>
    <mergeCell ref="S6:T6"/>
    <mergeCell ref="V6:W6"/>
    <mergeCell ref="DS8:DS9"/>
    <mergeCell ref="CY8:CY9"/>
    <mergeCell ref="BD4:BE5"/>
    <mergeCell ref="BF4:BG5"/>
    <mergeCell ref="D5:E5"/>
    <mergeCell ref="G5:K5"/>
    <mergeCell ref="M5:N5"/>
    <mergeCell ref="P5:Q5"/>
    <mergeCell ref="S5:T5"/>
    <mergeCell ref="V5:W5"/>
    <mergeCell ref="Y5:Z5"/>
    <mergeCell ref="AB5:AC5"/>
    <mergeCell ref="AR4:AS5"/>
    <mergeCell ref="AT4:AU5"/>
    <mergeCell ref="AV4:AW5"/>
    <mergeCell ref="AX4:AY5"/>
    <mergeCell ref="AZ4:BA5"/>
    <mergeCell ref="BB4:BC5"/>
    <mergeCell ref="AF4:AG5"/>
    <mergeCell ref="AH4:AI5"/>
    <mergeCell ref="AJ4:AK5"/>
    <mergeCell ref="AL4:AM5"/>
    <mergeCell ref="AN4:AO5"/>
    <mergeCell ref="AP4:AQ5"/>
    <mergeCell ref="AO7:AO9"/>
    <mergeCell ref="AQ7:AQ9"/>
    <mergeCell ref="AS7:AS9"/>
    <mergeCell ref="AU7:AU9"/>
    <mergeCell ref="FF7:FI7"/>
    <mergeCell ref="BX7:CC7"/>
    <mergeCell ref="BY8:BY9"/>
    <mergeCell ref="CA8:CA9"/>
    <mergeCell ref="CC8:CC9"/>
    <mergeCell ref="EU8:EU9"/>
    <mergeCell ref="EW8:EW9"/>
    <mergeCell ref="FE8:FE9"/>
    <mergeCell ref="FG8:FG9"/>
    <mergeCell ref="FI8:FI9"/>
    <mergeCell ref="DY8:DY9"/>
    <mergeCell ref="EA8:EA9"/>
    <mergeCell ref="EC8:EC9"/>
    <mergeCell ref="EK8:EK9"/>
    <mergeCell ref="EM8:EM9"/>
    <mergeCell ref="DW8:DW9"/>
    <mergeCell ref="EB7:EK7"/>
    <mergeCell ref="DC8:DC9"/>
    <mergeCell ref="DE8:DE9"/>
    <mergeCell ref="DG8:DG9"/>
    <mergeCell ref="C111:C115"/>
    <mergeCell ref="C116:C119"/>
    <mergeCell ref="AY7:AY9"/>
    <mergeCell ref="BA7:BA9"/>
    <mergeCell ref="BC7:BC9"/>
    <mergeCell ref="BE7:BE9"/>
    <mergeCell ref="BG7:BG9"/>
    <mergeCell ref="CI8:CI9"/>
    <mergeCell ref="CW8:CW9"/>
    <mergeCell ref="C82:C89"/>
    <mergeCell ref="C90:C93"/>
    <mergeCell ref="C94:C99"/>
    <mergeCell ref="C100:C102"/>
    <mergeCell ref="C103:C105"/>
    <mergeCell ref="C106:C110"/>
    <mergeCell ref="AW7:AW9"/>
    <mergeCell ref="C65:C67"/>
    <mergeCell ref="C68:C71"/>
    <mergeCell ref="C72:C74"/>
    <mergeCell ref="C75:C81"/>
    <mergeCell ref="AG7:AG9"/>
    <mergeCell ref="AI7:AI9"/>
    <mergeCell ref="AK7:AK9"/>
    <mergeCell ref="AM7:AM9"/>
    <mergeCell ref="EL6:EU6"/>
    <mergeCell ref="EL7:EU7"/>
    <mergeCell ref="EB6:EK6"/>
    <mergeCell ref="DA8:DA9"/>
    <mergeCell ref="BP6:BW6"/>
    <mergeCell ref="BP7:BW7"/>
    <mergeCell ref="BJ6:BO6"/>
    <mergeCell ref="BJ7:BO7"/>
    <mergeCell ref="BK8:BK9"/>
    <mergeCell ref="BM8:BM9"/>
    <mergeCell ref="BO8:BO9"/>
    <mergeCell ref="BQ8:BQ9"/>
    <mergeCell ref="BS8:BS9"/>
    <mergeCell ref="BU8:BU9"/>
    <mergeCell ref="BW8:BW9"/>
    <mergeCell ref="CU8:CU9"/>
    <mergeCell ref="CS8:CS9"/>
    <mergeCell ref="CQ8:CQ9"/>
    <mergeCell ref="CO8:CO9"/>
    <mergeCell ref="CM8:CM9"/>
    <mergeCell ref="CK8:CK9"/>
    <mergeCell ref="BX6:CC6"/>
    <mergeCell ref="DI8:DI9"/>
    <mergeCell ref="DQ8:DQ9"/>
    <mergeCell ref="DK8:DK9"/>
    <mergeCell ref="DM8:DM9"/>
    <mergeCell ref="DO8:DO9"/>
    <mergeCell ref="FK8:FK9"/>
    <mergeCell ref="FM8:FM9"/>
    <mergeCell ref="CD6:CG6"/>
    <mergeCell ref="CD7:CG7"/>
    <mergeCell ref="CE8:CE9"/>
    <mergeCell ref="CG8:CG9"/>
    <mergeCell ref="DX6:EA6"/>
    <mergeCell ref="DX7:EA7"/>
    <mergeCell ref="DR6:DW6"/>
    <mergeCell ref="DR7:DW7"/>
    <mergeCell ref="DF6:DQ6"/>
    <mergeCell ref="DF7:DQ7"/>
    <mergeCell ref="CX6:DE6"/>
    <mergeCell ref="CX7:DE7"/>
    <mergeCell ref="CH6:CW6"/>
    <mergeCell ref="CH7:CW7"/>
    <mergeCell ref="FJ6:FM6"/>
    <mergeCell ref="FJ7:FM7"/>
    <mergeCell ref="FF6:FI6"/>
    <mergeCell ref="EV6:FE6"/>
    <mergeCell ref="EV7:FE7"/>
  </mergeCells>
  <phoneticPr fontId="21" type="noConversion"/>
  <printOptions horizontalCentered="1"/>
  <pageMargins left="0.31496062992125984" right="0.31496062992125984" top="0.55118110236220474" bottom="0.35433070866141736" header="0" footer="0"/>
  <pageSetup scale="65" orientation="landscape" r:id="rId1"/>
  <rowBreaks count="1" manualBreakCount="1">
    <brk id="62" max="16383" man="1"/>
  </rowBreaks>
  <colBreaks count="6" manualBreakCount="6">
    <brk id="15" max="1048575" man="1"/>
    <brk id="27" max="1048575" man="1"/>
    <brk id="30" max="1048575" man="1"/>
    <brk id="81" max="1048575" man="1"/>
    <brk id="121" max="1048575" man="1"/>
    <brk id="161" max="1048575" man="1"/>
  </col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4C255-6725-44BE-8534-89477CD58FD8}">
  <dimension ref="A1:CQ97"/>
  <sheetViews>
    <sheetView tabSelected="1" view="pageBreakPreview" topLeftCell="T22" zoomScale="80" zoomScaleNormal="100" zoomScaleSheetLayoutView="80" workbookViewId="0">
      <selection activeCell="V38" sqref="V38"/>
    </sheetView>
  </sheetViews>
  <sheetFormatPr defaultRowHeight="14"/>
  <cols>
    <col min="1" max="1" width="6" customWidth="1"/>
    <col min="2" max="2" width="13.1640625" customWidth="1"/>
    <col min="3" max="3" width="30.33203125" style="35" customWidth="1"/>
    <col min="4" max="6" width="15.25" style="36" customWidth="1"/>
    <col min="7" max="11" width="9.75" style="36" customWidth="1"/>
    <col min="12" max="30" width="12.6640625" style="36" customWidth="1"/>
    <col min="31" max="31" width="8.75" style="36"/>
    <col min="32" max="32" width="10.6640625" style="36" customWidth="1"/>
    <col min="33" max="33" width="11.33203125" style="36" customWidth="1"/>
    <col min="34" max="34" width="8.75" style="36"/>
    <col min="35" max="35" width="10.33203125" style="36" customWidth="1"/>
    <col min="37" max="37" width="11.33203125" customWidth="1"/>
    <col min="39" max="47" width="11.33203125" customWidth="1"/>
    <col min="49" max="49" width="11.33203125" customWidth="1"/>
    <col min="51" max="53" width="11.33203125" customWidth="1"/>
    <col min="55" max="55" width="11.33203125" customWidth="1"/>
    <col min="56" max="56" width="8.75" style="100"/>
    <col min="58" max="96" width="0" hidden="1" customWidth="1"/>
  </cols>
  <sheetData>
    <row r="1" spans="1:95" ht="20">
      <c r="A1" s="59" t="s">
        <v>180</v>
      </c>
    </row>
    <row r="2" spans="1:95" ht="15.5">
      <c r="A2" s="60" t="s">
        <v>131</v>
      </c>
      <c r="AF2" s="61"/>
    </row>
    <row r="4" spans="1:95" ht="14.5" customHeight="1">
      <c r="D4" s="298" t="s">
        <v>47</v>
      </c>
      <c r="E4" s="299"/>
      <c r="F4" s="284" t="s">
        <v>132</v>
      </c>
      <c r="G4" s="300" t="s">
        <v>53</v>
      </c>
      <c r="H4" s="301"/>
      <c r="I4" s="301"/>
      <c r="J4" s="301"/>
      <c r="K4" s="302"/>
      <c r="L4" s="287" t="s">
        <v>132</v>
      </c>
      <c r="M4" s="303" t="s">
        <v>56</v>
      </c>
      <c r="N4" s="304"/>
      <c r="O4" s="292" t="s">
        <v>132</v>
      </c>
      <c r="P4" s="264" t="s">
        <v>59</v>
      </c>
      <c r="Q4" s="265"/>
      <c r="R4" s="278" t="s">
        <v>132</v>
      </c>
      <c r="S4" s="266" t="s">
        <v>62</v>
      </c>
      <c r="T4" s="267"/>
      <c r="U4" s="281" t="s">
        <v>132</v>
      </c>
      <c r="V4" s="229" t="s">
        <v>65</v>
      </c>
      <c r="W4" s="305"/>
      <c r="X4" s="222" t="s">
        <v>132</v>
      </c>
      <c r="Y4" s="268" t="s">
        <v>68</v>
      </c>
      <c r="Z4" s="269"/>
      <c r="AA4" s="272" t="s">
        <v>132</v>
      </c>
      <c r="AB4" s="270" t="s">
        <v>71</v>
      </c>
      <c r="AC4" s="271"/>
      <c r="AD4" s="275" t="s">
        <v>132</v>
      </c>
      <c r="AF4" s="254" t="s">
        <v>133</v>
      </c>
      <c r="AG4" s="255"/>
      <c r="AH4" s="254" t="s">
        <v>133</v>
      </c>
      <c r="AI4" s="255"/>
      <c r="AJ4" s="254" t="s">
        <v>133</v>
      </c>
      <c r="AK4" s="255"/>
      <c r="AL4" s="254" t="s">
        <v>133</v>
      </c>
      <c r="AM4" s="255"/>
      <c r="AN4" s="254" t="s">
        <v>133</v>
      </c>
      <c r="AO4" s="255"/>
      <c r="AP4" s="254" t="s">
        <v>133</v>
      </c>
      <c r="AQ4" s="255"/>
      <c r="AR4" s="254" t="s">
        <v>133</v>
      </c>
      <c r="AS4" s="255"/>
      <c r="AT4" s="254" t="s">
        <v>133</v>
      </c>
      <c r="AU4" s="255"/>
      <c r="AV4" s="254" t="s">
        <v>133</v>
      </c>
      <c r="AW4" s="255"/>
      <c r="AX4" s="254" t="s">
        <v>133</v>
      </c>
      <c r="AY4" s="255"/>
      <c r="AZ4" s="254" t="s">
        <v>133</v>
      </c>
      <c r="BA4" s="255"/>
      <c r="BB4" s="254" t="s">
        <v>133</v>
      </c>
      <c r="BC4" s="255"/>
    </row>
    <row r="5" spans="1:95">
      <c r="D5" s="298" t="s">
        <v>191</v>
      </c>
      <c r="E5" s="299"/>
      <c r="F5" s="285"/>
      <c r="G5" s="300" t="s">
        <v>193</v>
      </c>
      <c r="H5" s="301"/>
      <c r="I5" s="301"/>
      <c r="J5" s="301"/>
      <c r="K5" s="302"/>
      <c r="L5" s="288"/>
      <c r="M5" s="303" t="str">
        <f>'ListMKSmt-1'!D4</f>
        <v>P.24.05.52.1.03</v>
      </c>
      <c r="N5" s="304"/>
      <c r="O5" s="293"/>
      <c r="P5" s="264" t="str">
        <f>'ListMKSmt-1'!D5</f>
        <v>P.24.05.52.1.04</v>
      </c>
      <c r="Q5" s="265"/>
      <c r="R5" s="279"/>
      <c r="S5" s="266" t="str">
        <f>'ListMKSmt-1'!D6</f>
        <v>P.24.05.52.1.05</v>
      </c>
      <c r="T5" s="267"/>
      <c r="U5" s="282"/>
      <c r="V5" s="229" t="str">
        <f>'ListMKSmt-1'!D7</f>
        <v>U.24.05.52.1.01</v>
      </c>
      <c r="W5" s="305"/>
      <c r="X5" s="223"/>
      <c r="Y5" s="268" t="str">
        <f>'ListMKSmt-1'!D8</f>
        <v>U.24.05.52.1.02</v>
      </c>
      <c r="Z5" s="269"/>
      <c r="AA5" s="273"/>
      <c r="AB5" s="270" t="str">
        <f>'ListMKSmt-1'!D9</f>
        <v>U.24.05.52.1.03</v>
      </c>
      <c r="AC5" s="271"/>
      <c r="AD5" s="276"/>
      <c r="AF5" s="256"/>
      <c r="AG5" s="257"/>
      <c r="AH5" s="256"/>
      <c r="AI5" s="257"/>
      <c r="AJ5" s="256"/>
      <c r="AK5" s="257"/>
      <c r="AL5" s="256"/>
      <c r="AM5" s="257"/>
      <c r="AN5" s="256"/>
      <c r="AO5" s="257"/>
      <c r="AP5" s="256"/>
      <c r="AQ5" s="257"/>
      <c r="AR5" s="256"/>
      <c r="AS5" s="257"/>
      <c r="AT5" s="256"/>
      <c r="AU5" s="257"/>
      <c r="AV5" s="256"/>
      <c r="AW5" s="257"/>
      <c r="AX5" s="256"/>
      <c r="AY5" s="257"/>
      <c r="AZ5" s="256"/>
      <c r="BA5" s="257"/>
      <c r="BB5" s="256"/>
      <c r="BC5" s="257"/>
    </row>
    <row r="6" spans="1:95">
      <c r="D6" s="298" t="s">
        <v>192</v>
      </c>
      <c r="E6" s="299"/>
      <c r="F6" s="285"/>
      <c r="G6" s="300" t="str">
        <f>'ListMKSmt-1'!E3</f>
        <v>Perpajakan 1</v>
      </c>
      <c r="H6" s="301"/>
      <c r="I6" s="301"/>
      <c r="J6" s="301"/>
      <c r="K6" s="302"/>
      <c r="L6" s="288"/>
      <c r="M6" s="303" t="str">
        <f>'ListMKSmt-1'!E4</f>
        <v>Etika Bisnis dan Profesi</v>
      </c>
      <c r="N6" s="304"/>
      <c r="O6" s="293"/>
      <c r="P6" s="264" t="str">
        <f>'ListMKSmt-1'!E5</f>
        <v>Teori Ekonomi</v>
      </c>
      <c r="Q6" s="265"/>
      <c r="R6" s="279"/>
      <c r="S6" s="266" t="str">
        <f>'ListMKSmt-1'!E6</f>
        <v>Hukum Bisnis dan Perikatan</v>
      </c>
      <c r="T6" s="267"/>
      <c r="U6" s="282"/>
      <c r="V6" s="229" t="str">
        <f>'ListMKSmt-1'!E7</f>
        <v>Agama</v>
      </c>
      <c r="W6" s="305"/>
      <c r="X6" s="223"/>
      <c r="Y6" s="268" t="str">
        <f>'ListMKSmt-1'!E8</f>
        <v>Kewarganegaraan</v>
      </c>
      <c r="Z6" s="269"/>
      <c r="AA6" s="273"/>
      <c r="AB6" s="270" t="str">
        <f>'ListMKSmt-1'!E9</f>
        <v>English for Business</v>
      </c>
      <c r="AC6" s="271"/>
      <c r="AD6" s="276"/>
      <c r="AF6" s="61" t="s">
        <v>272</v>
      </c>
      <c r="AG6" s="61"/>
      <c r="AH6" s="61" t="s">
        <v>273</v>
      </c>
      <c r="AI6" s="61"/>
      <c r="AJ6" s="61"/>
      <c r="AK6" s="61"/>
      <c r="AL6" s="61"/>
      <c r="AM6" s="61"/>
      <c r="AN6" s="61" t="s">
        <v>274</v>
      </c>
      <c r="AO6" s="61"/>
      <c r="AP6" s="61"/>
      <c r="AQ6" s="61"/>
      <c r="AR6" s="61"/>
      <c r="AS6" s="61"/>
      <c r="AT6" s="61" t="s">
        <v>275</v>
      </c>
      <c r="AU6" s="61"/>
      <c r="AV6" s="61" t="s">
        <v>276</v>
      </c>
      <c r="AW6" s="61"/>
      <c r="AX6" s="61" t="s">
        <v>277</v>
      </c>
      <c r="AY6" s="61"/>
      <c r="AZ6" s="61" t="s">
        <v>278</v>
      </c>
      <c r="BA6" s="61"/>
      <c r="BB6" s="61" t="s">
        <v>279</v>
      </c>
      <c r="BC6" s="61"/>
      <c r="BF6" s="297" t="s">
        <v>134</v>
      </c>
      <c r="BG6" s="297"/>
      <c r="BH6" s="297"/>
      <c r="BI6" s="297"/>
      <c r="BJ6" s="297" t="s">
        <v>135</v>
      </c>
      <c r="BK6" s="297"/>
      <c r="BL6" s="297"/>
      <c r="BM6" s="297"/>
      <c r="BN6" s="297" t="s">
        <v>136</v>
      </c>
      <c r="BO6" s="297"/>
      <c r="BP6" s="297"/>
      <c r="BQ6" s="297" t="s">
        <v>137</v>
      </c>
      <c r="BR6" s="297"/>
      <c r="BS6" s="297"/>
      <c r="BT6" s="297"/>
      <c r="BU6" s="297"/>
      <c r="BV6" s="297"/>
      <c r="BW6" s="297"/>
      <c r="BX6" s="297"/>
      <c r="BY6" s="297"/>
      <c r="BZ6" s="297"/>
      <c r="CA6" s="297"/>
      <c r="CB6" s="297"/>
      <c r="CC6" s="297"/>
      <c r="CD6" s="297" t="s">
        <v>138</v>
      </c>
      <c r="CE6" s="297"/>
      <c r="CF6" s="297" t="s">
        <v>139</v>
      </c>
      <c r="CG6" s="297"/>
      <c r="CH6" s="297"/>
      <c r="CI6" s="297"/>
      <c r="CJ6" s="297" t="s">
        <v>140</v>
      </c>
      <c r="CK6" s="297"/>
      <c r="CL6" s="297" t="s">
        <v>143</v>
      </c>
      <c r="CM6" s="297"/>
      <c r="CN6" s="297" t="s">
        <v>142</v>
      </c>
      <c r="CO6" s="297"/>
    </row>
    <row r="7" spans="1:95" ht="14.5" customHeight="1">
      <c r="D7" s="62" t="str">
        <f>'Penguk.CPMK-Smt1'!D7</f>
        <v>CPL02</v>
      </c>
      <c r="E7" s="62" t="str">
        <f>'Penguk.CPMK-Smt1'!E7</f>
        <v>CPL02</v>
      </c>
      <c r="F7" s="285"/>
      <c r="G7" s="63" t="str">
        <f>'Penguk.CPMK-Smt1'!G7</f>
        <v>CPL10</v>
      </c>
      <c r="H7" s="63" t="str">
        <f>'Penguk.CPMK-Smt1'!H7</f>
        <v>CPL10</v>
      </c>
      <c r="I7" s="63" t="str">
        <f>'Penguk.CPMK-Smt1'!I7</f>
        <v>CPL10</v>
      </c>
      <c r="J7" s="63" t="str">
        <f>'Penguk.CPMK-Smt1'!J7</f>
        <v>CPL10</v>
      </c>
      <c r="K7" s="63" t="str">
        <f>'Penguk.CPMK-Smt1'!K7</f>
        <v>CPL11</v>
      </c>
      <c r="L7" s="288"/>
      <c r="M7" s="64" t="str">
        <f>'Penguk.CPMK-Smt1'!M7</f>
        <v>CPL08</v>
      </c>
      <c r="N7" s="192" t="str">
        <f>'Penguk.CPMK-Smt1'!N7</f>
        <v>CPL09</v>
      </c>
      <c r="O7" s="293"/>
      <c r="P7" s="65" t="str">
        <f>'Penguk.CPMK-Smt1'!P7</f>
        <v>CPL05</v>
      </c>
      <c r="Q7" s="65" t="str">
        <f>'Penguk.CPMK-Smt1'!Q7</f>
        <v>CPL05</v>
      </c>
      <c r="R7" s="279"/>
      <c r="S7" s="66" t="str">
        <f>'Penguk.CPMK-Smt1'!S7</f>
        <v>CPL11</v>
      </c>
      <c r="T7" s="66" t="str">
        <f>'Penguk.CPMK-Smt1'!T7</f>
        <v>CPL11</v>
      </c>
      <c r="U7" s="282"/>
      <c r="V7" s="37" t="str">
        <f>'Penguk.CPMK-Smt1'!V7</f>
        <v>CPL01</v>
      </c>
      <c r="W7" s="37" t="str">
        <f>'Penguk.CPMK-Smt1'!W7</f>
        <v>CPL1</v>
      </c>
      <c r="X7" s="223"/>
      <c r="Y7" s="67" t="str">
        <f>'Penguk.CPMK-Smt1'!Y7</f>
        <v>CPL01</v>
      </c>
      <c r="Z7" s="67" t="str">
        <f>'Penguk.CPMK-Smt1'!Z7</f>
        <v>CPL01</v>
      </c>
      <c r="AA7" s="273"/>
      <c r="AB7" s="68" t="str">
        <f>'Penguk.CPMK-Smt1'!AB7</f>
        <v>CPL12</v>
      </c>
      <c r="AC7" s="68" t="str">
        <f>'Penguk.CPMK-Smt1'!AC7</f>
        <v>CPL12</v>
      </c>
      <c r="AD7" s="276"/>
      <c r="AF7" s="69" t="s">
        <v>94</v>
      </c>
      <c r="AG7" s="249" t="s">
        <v>144</v>
      </c>
      <c r="AH7" s="69" t="s">
        <v>118</v>
      </c>
      <c r="AI7" s="248" t="s">
        <v>144</v>
      </c>
      <c r="AJ7" s="69"/>
      <c r="AK7" s="248" t="s">
        <v>144</v>
      </c>
      <c r="AL7" s="69"/>
      <c r="AM7" s="248" t="s">
        <v>144</v>
      </c>
      <c r="AN7" s="69" t="s">
        <v>145</v>
      </c>
      <c r="AO7" s="248" t="s">
        <v>144</v>
      </c>
      <c r="AP7" s="69" t="s">
        <v>146</v>
      </c>
      <c r="AQ7" s="248" t="s">
        <v>144</v>
      </c>
      <c r="AR7" s="69" t="s">
        <v>147</v>
      </c>
      <c r="AS7" s="248" t="s">
        <v>144</v>
      </c>
      <c r="AT7" s="69" t="s">
        <v>148</v>
      </c>
      <c r="AU7" s="248" t="s">
        <v>144</v>
      </c>
      <c r="AV7" s="69" t="s">
        <v>114</v>
      </c>
      <c r="AW7" s="248" t="s">
        <v>144</v>
      </c>
      <c r="AX7" s="69" t="s">
        <v>121</v>
      </c>
      <c r="AY7" s="248" t="s">
        <v>144</v>
      </c>
      <c r="AZ7" s="69" t="s">
        <v>149</v>
      </c>
      <c r="BA7" s="248" t="s">
        <v>144</v>
      </c>
      <c r="BB7" s="69" t="s">
        <v>122</v>
      </c>
      <c r="BC7" s="248" t="s">
        <v>144</v>
      </c>
      <c r="BF7" s="297" t="s">
        <v>94</v>
      </c>
      <c r="BG7" s="297"/>
      <c r="BH7" s="297"/>
      <c r="BI7" s="297"/>
      <c r="BJ7" s="297" t="s">
        <v>118</v>
      </c>
      <c r="BK7" s="297"/>
      <c r="BL7" s="297"/>
      <c r="BM7" s="297"/>
      <c r="BN7" s="297" t="s">
        <v>108</v>
      </c>
      <c r="BO7" s="297"/>
      <c r="BP7" s="297"/>
      <c r="BQ7" s="297" t="s">
        <v>107</v>
      </c>
      <c r="BR7" s="297"/>
      <c r="BS7" s="297" t="s">
        <v>145</v>
      </c>
      <c r="BT7" s="297"/>
      <c r="BU7" s="297" t="s">
        <v>146</v>
      </c>
      <c r="BV7" s="297"/>
      <c r="BW7" s="297"/>
      <c r="BX7" s="297"/>
      <c r="BY7" s="297" t="s">
        <v>147</v>
      </c>
      <c r="BZ7" s="297"/>
      <c r="CA7" s="297"/>
      <c r="CB7" s="297" t="s">
        <v>148</v>
      </c>
      <c r="CC7" s="297"/>
      <c r="CD7" s="297" t="s">
        <v>114</v>
      </c>
      <c r="CE7" s="297"/>
      <c r="CF7" s="297" t="s">
        <v>121</v>
      </c>
      <c r="CG7" s="297"/>
      <c r="CH7" s="297" t="s">
        <v>149</v>
      </c>
      <c r="CI7" s="297"/>
      <c r="CJ7" s="297" t="s">
        <v>122</v>
      </c>
      <c r="CK7" s="297"/>
      <c r="CL7" s="297" t="s">
        <v>95</v>
      </c>
      <c r="CM7" s="297"/>
      <c r="CN7" s="297" t="s">
        <v>123</v>
      </c>
      <c r="CO7" s="297"/>
    </row>
    <row r="8" spans="1:95">
      <c r="D8" s="62" t="str">
        <f>'Penguk.CPMK-Smt1'!D8</f>
        <v>CPMK021</v>
      </c>
      <c r="E8" s="62" t="str">
        <f>'Penguk.CPMK-Smt1'!E8</f>
        <v>CPMK023</v>
      </c>
      <c r="F8" s="285"/>
      <c r="G8" s="63" t="str">
        <f>'Penguk.CPMK-Smt1'!G8</f>
        <v>CPMK101</v>
      </c>
      <c r="H8" s="63" t="str">
        <f>'Penguk.CPMK-Smt1'!H8</f>
        <v>CPMK102</v>
      </c>
      <c r="I8" s="63" t="str">
        <f>'Penguk.CPMK-Smt1'!I8</f>
        <v>CPMK103</v>
      </c>
      <c r="J8" s="63" t="str">
        <f>'Penguk.CPMK-Smt1'!J8</f>
        <v>CPMK104</v>
      </c>
      <c r="K8" s="63" t="str">
        <f>'Penguk.CPMK-Smt1'!K8</f>
        <v>CPMK111</v>
      </c>
      <c r="L8" s="288"/>
      <c r="M8" s="192" t="str">
        <f>'Penguk.CPMK-Smt1'!M8</f>
        <v>CPMK81</v>
      </c>
      <c r="N8" s="192" t="str">
        <f>'Penguk.CPMK-Smt1'!N8</f>
        <v>CPMK91</v>
      </c>
      <c r="O8" s="293"/>
      <c r="P8" s="65" t="str">
        <f>'Penguk.CPMK-Smt1'!P8</f>
        <v>CPMK55</v>
      </c>
      <c r="Q8" s="65" t="str">
        <f>'Penguk.CPMK-Smt1'!Q8</f>
        <v>CPMK56</v>
      </c>
      <c r="R8" s="279"/>
      <c r="S8" s="66" t="str">
        <f>'Penguk.CPMK-Smt1'!S8</f>
        <v>CPMK114</v>
      </c>
      <c r="T8" s="66" t="str">
        <f>'Penguk.CPMK-Smt1'!T8</f>
        <v>CPMK115</v>
      </c>
      <c r="U8" s="282"/>
      <c r="V8" s="191" t="str">
        <f>'Penguk.CPMK-Smt1'!V8</f>
        <v>CPMK11</v>
      </c>
      <c r="W8" s="191" t="str">
        <f>'Penguk.CPMK-Smt1'!W8</f>
        <v>CPMK13</v>
      </c>
      <c r="X8" s="223"/>
      <c r="Y8" s="67" t="str">
        <f>'Penguk.CPMK-Smt1'!Y8</f>
        <v>CPMK12</v>
      </c>
      <c r="Z8" s="67" t="str">
        <f>'Penguk.CPMK-Smt1'!Z8</f>
        <v>CPMK13</v>
      </c>
      <c r="AA8" s="273"/>
      <c r="AB8" s="68" t="str">
        <f>'Penguk.CPMK-Smt1'!AB8</f>
        <v>CPMK122</v>
      </c>
      <c r="AC8" s="68" t="str">
        <f>'Penguk.CPMK-Smt1'!AC8</f>
        <v>CPMK123</v>
      </c>
      <c r="AD8" s="276"/>
      <c r="AE8" s="36" t="s">
        <v>152</v>
      </c>
      <c r="AF8" s="70">
        <f>V9+W9+Y9+Z9</f>
        <v>200</v>
      </c>
      <c r="AG8" s="250"/>
      <c r="AH8" s="70">
        <f>D9+E9</f>
        <v>100</v>
      </c>
      <c r="AI8" s="248"/>
      <c r="AJ8" s="70"/>
      <c r="AK8" s="248"/>
      <c r="AL8" s="70"/>
      <c r="AM8" s="248"/>
      <c r="AN8" s="70">
        <f>P9+Q9</f>
        <v>100</v>
      </c>
      <c r="AO8" s="248"/>
      <c r="AP8" s="70"/>
      <c r="AQ8" s="248"/>
      <c r="AR8" s="70"/>
      <c r="AS8" s="248"/>
      <c r="AT8" s="70">
        <f>M9+N9</f>
        <v>100</v>
      </c>
      <c r="AU8" s="248"/>
      <c r="AV8" s="70">
        <f>N9</f>
        <v>50</v>
      </c>
      <c r="AW8" s="248"/>
      <c r="AX8" s="70">
        <f>G9+H9+I9+J9</f>
        <v>79</v>
      </c>
      <c r="AY8" s="248"/>
      <c r="AZ8" s="70">
        <f>K9+S9+T9</f>
        <v>121</v>
      </c>
      <c r="BA8" s="248"/>
      <c r="BB8" s="70">
        <f>AB9+AC9</f>
        <v>100</v>
      </c>
      <c r="BC8" s="248"/>
      <c r="BD8" s="100" t="e">
        <f>SUM(#REF!,#REF!,BB8,AZ8,AX8,AV8,AT8,AR8,AP8,AN8,AL8,AJ8,AH8,AF8)</f>
        <v>#REF!</v>
      </c>
      <c r="BF8" s="4" t="s">
        <v>109</v>
      </c>
      <c r="BG8" s="4" t="s">
        <v>105</v>
      </c>
      <c r="BH8" s="4" t="s">
        <v>119</v>
      </c>
      <c r="BI8" s="4" t="s">
        <v>96</v>
      </c>
      <c r="BJ8" s="4" t="s">
        <v>120</v>
      </c>
      <c r="BK8" s="4" t="s">
        <v>153</v>
      </c>
      <c r="BL8" s="4" t="s">
        <v>154</v>
      </c>
      <c r="BM8" s="4" t="s">
        <v>155</v>
      </c>
      <c r="BN8" s="4" t="s">
        <v>111</v>
      </c>
      <c r="BO8" s="4" t="s">
        <v>117</v>
      </c>
      <c r="BP8" s="4" t="s">
        <v>115</v>
      </c>
      <c r="BQ8" s="4" t="s">
        <v>110</v>
      </c>
      <c r="BR8" s="4" t="s">
        <v>156</v>
      </c>
      <c r="BS8" s="4" t="s">
        <v>157</v>
      </c>
      <c r="BT8" s="4" t="s">
        <v>158</v>
      </c>
      <c r="BU8" s="4" t="s">
        <v>159</v>
      </c>
      <c r="BV8" s="4" t="s">
        <v>160</v>
      </c>
      <c r="BW8" s="4" t="s">
        <v>161</v>
      </c>
      <c r="BX8" s="4" t="s">
        <v>162</v>
      </c>
      <c r="BY8" s="4" t="s">
        <v>163</v>
      </c>
      <c r="BZ8" s="4" t="s">
        <v>164</v>
      </c>
      <c r="CA8" s="4" t="s">
        <v>165</v>
      </c>
      <c r="CB8" s="4" t="s">
        <v>166</v>
      </c>
      <c r="CC8" s="4" t="s">
        <v>167</v>
      </c>
      <c r="CD8" s="4" t="s">
        <v>150</v>
      </c>
      <c r="CE8" s="4" t="s">
        <v>116</v>
      </c>
      <c r="CF8" s="4" t="s">
        <v>124</v>
      </c>
      <c r="CG8" s="4" t="s">
        <v>168</v>
      </c>
      <c r="CH8" s="4" t="s">
        <v>169</v>
      </c>
      <c r="CI8" s="4" t="s">
        <v>170</v>
      </c>
      <c r="CJ8" s="4" t="s">
        <v>125</v>
      </c>
      <c r="CK8" s="4" t="s">
        <v>130</v>
      </c>
      <c r="CL8" s="4" t="s">
        <v>97</v>
      </c>
      <c r="CM8" s="4" t="s">
        <v>171</v>
      </c>
      <c r="CN8" s="4" t="s">
        <v>126</v>
      </c>
      <c r="CO8" s="4" t="s">
        <v>151</v>
      </c>
    </row>
    <row r="9" spans="1:95">
      <c r="C9" s="71" t="e">
        <f>SUM(D9,E9,G9,K9,M9,N9,#REF!,P9,Q9,S9,T9,V9,W9,#REF!,Y9,#REF!,Z9,AB9,#REF!,AC9,#REF!,#REF!,#REF!)</f>
        <v>#REF!</v>
      </c>
      <c r="D9" s="62">
        <f>'Penguk.CPMK-Smt1'!D9</f>
        <v>50</v>
      </c>
      <c r="E9" s="62">
        <f>'Penguk.CPMK-Smt1'!E9</f>
        <v>50</v>
      </c>
      <c r="F9" s="286"/>
      <c r="G9" s="63">
        <f>'Penguk.CPMK-Smt1'!G9</f>
        <v>16</v>
      </c>
      <c r="H9" s="63">
        <f>'Penguk.CPMK-Smt1'!H9</f>
        <v>16</v>
      </c>
      <c r="I9" s="63">
        <f>'Penguk.CPMK-Smt1'!I9</f>
        <v>26</v>
      </c>
      <c r="J9" s="63">
        <f>'Penguk.CPMK-Smt1'!J9</f>
        <v>21</v>
      </c>
      <c r="K9" s="63">
        <f>'Penguk.CPMK-Smt1'!K9</f>
        <v>21</v>
      </c>
      <c r="L9" s="289"/>
      <c r="M9" s="192">
        <f>'Penguk.CPMK-Smt1'!M9</f>
        <v>50</v>
      </c>
      <c r="N9" s="192">
        <f>'Penguk.CPMK-Smt1'!N9</f>
        <v>50</v>
      </c>
      <c r="O9" s="294"/>
      <c r="P9" s="65">
        <f>'Penguk.CPMK-Smt1'!P9</f>
        <v>50</v>
      </c>
      <c r="Q9" s="65">
        <f>'Penguk.CPMK-Smt1'!Q9</f>
        <v>50</v>
      </c>
      <c r="R9" s="280"/>
      <c r="S9" s="66">
        <f>'Penguk.CPMK-Smt1'!S9</f>
        <v>50</v>
      </c>
      <c r="T9" s="66">
        <f>'Penguk.CPMK-Smt1'!T9</f>
        <v>50</v>
      </c>
      <c r="U9" s="283"/>
      <c r="V9" s="191">
        <f>'Penguk.CPMK-Smt1'!V9</f>
        <v>50</v>
      </c>
      <c r="W9" s="191">
        <f>'Penguk.CPMK-Smt1'!W9</f>
        <v>50</v>
      </c>
      <c r="X9" s="224"/>
      <c r="Y9" s="67">
        <f>'Penguk.CPMK-Smt1'!Y9</f>
        <v>50</v>
      </c>
      <c r="Z9" s="67">
        <f>'Penguk.CPMK-Smt1'!Z9</f>
        <v>50</v>
      </c>
      <c r="AA9" s="274"/>
      <c r="AB9" s="68">
        <f>'Penguk.CPMK-Smt1'!AB9</f>
        <v>50</v>
      </c>
      <c r="AC9" s="68">
        <f>'Penguk.CPMK-Smt1'!AC9</f>
        <v>50</v>
      </c>
      <c r="AD9" s="277"/>
      <c r="AF9" s="72"/>
      <c r="AG9" s="251"/>
      <c r="AH9" s="72"/>
      <c r="AI9" s="248"/>
      <c r="AJ9" s="72"/>
      <c r="AK9" s="248"/>
      <c r="AL9" s="72"/>
      <c r="AM9" s="248"/>
      <c r="AN9" s="72"/>
      <c r="AO9" s="248"/>
      <c r="AP9" s="72"/>
      <c r="AQ9" s="248"/>
      <c r="AR9" s="72"/>
      <c r="AS9" s="248"/>
      <c r="AT9" s="72"/>
      <c r="AU9" s="248"/>
      <c r="AV9" s="72"/>
      <c r="AW9" s="248"/>
      <c r="AX9" s="72"/>
      <c r="AY9" s="248"/>
      <c r="AZ9" s="72"/>
      <c r="BA9" s="248"/>
      <c r="BB9" s="72"/>
      <c r="BC9" s="248"/>
      <c r="BF9" s="4">
        <f>M9</f>
        <v>50</v>
      </c>
      <c r="BG9" s="4">
        <f>G9</f>
        <v>16</v>
      </c>
      <c r="BH9" s="4">
        <f>V9</f>
        <v>50</v>
      </c>
      <c r="BI9" s="4">
        <f>D9</f>
        <v>50</v>
      </c>
      <c r="BJ9" s="4">
        <f>W9</f>
        <v>50</v>
      </c>
      <c r="BK9" s="4"/>
      <c r="BL9" s="4"/>
      <c r="BM9" s="4"/>
      <c r="BN9" s="4"/>
      <c r="BO9" s="4">
        <f>S9</f>
        <v>50</v>
      </c>
      <c r="BP9" s="4">
        <f>P9</f>
        <v>50</v>
      </c>
      <c r="BQ9" s="4">
        <f>N9</f>
        <v>50</v>
      </c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>
        <f>Q9</f>
        <v>50</v>
      </c>
      <c r="CE9" s="4">
        <f>T9</f>
        <v>50</v>
      </c>
      <c r="CF9" s="4" t="e">
        <f>Y9+AB9+#REF!</f>
        <v>#REF!</v>
      </c>
      <c r="CG9" s="4"/>
      <c r="CH9" s="4"/>
      <c r="CI9" s="4"/>
      <c r="CJ9" s="4" t="e">
        <f>#REF!</f>
        <v>#REF!</v>
      </c>
      <c r="CK9" s="4" t="e">
        <f>#REF!+#REF!</f>
        <v>#REF!</v>
      </c>
      <c r="CL9" s="4" t="e">
        <f>E9+K9+#REF!+#REF!</f>
        <v>#REF!</v>
      </c>
      <c r="CM9" s="4"/>
      <c r="CN9" s="4" t="e">
        <f>AC9+#REF!</f>
        <v>#REF!</v>
      </c>
      <c r="CO9" s="4">
        <f>Z9</f>
        <v>50</v>
      </c>
      <c r="CP9" t="e">
        <f>SUM(BF9:CO9)</f>
        <v>#REF!</v>
      </c>
    </row>
    <row r="10" spans="1:95">
      <c r="A10" s="1" t="s">
        <v>0</v>
      </c>
      <c r="B10" s="1" t="s">
        <v>1</v>
      </c>
      <c r="C10" s="1" t="s">
        <v>2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F10" s="92"/>
      <c r="BG10" s="92"/>
      <c r="BH10" s="92"/>
      <c r="BI10" s="92"/>
      <c r="BJ10" s="92"/>
      <c r="BK10" s="92"/>
      <c r="BL10" s="92"/>
      <c r="BM10" s="92"/>
      <c r="BN10" s="92"/>
      <c r="BO10" s="92"/>
      <c r="BP10" s="92"/>
      <c r="BQ10" s="92"/>
      <c r="BR10" s="92"/>
      <c r="BS10" s="92"/>
      <c r="BT10" s="92"/>
      <c r="BU10" s="92"/>
      <c r="BV10" s="92"/>
      <c r="BW10" s="92"/>
      <c r="BX10" s="92"/>
      <c r="BY10" s="92"/>
      <c r="BZ10" s="92"/>
      <c r="CA10" s="92"/>
      <c r="CB10" s="92"/>
      <c r="CC10" s="92"/>
      <c r="CD10" s="92"/>
      <c r="CE10" s="92"/>
      <c r="CF10" s="92"/>
      <c r="CG10" s="92"/>
      <c r="CH10" s="92"/>
      <c r="CI10" s="92"/>
      <c r="CJ10" s="92"/>
      <c r="CK10" s="92"/>
      <c r="CL10" s="92"/>
      <c r="CM10" s="92"/>
      <c r="CN10" s="92"/>
      <c r="CO10" s="92"/>
    </row>
    <row r="11" spans="1:95">
      <c r="A11" s="206">
        <v>1</v>
      </c>
      <c r="B11" s="207" t="s">
        <v>280</v>
      </c>
      <c r="C11" s="207" t="s">
        <v>281</v>
      </c>
      <c r="D11" s="73">
        <f>'Penguk.CPMK-Smt1'!D11</f>
        <v>84.9</v>
      </c>
      <c r="E11" s="73">
        <f>'Penguk.CPMK-Smt1'!E11</f>
        <v>98.4</v>
      </c>
      <c r="F11" s="73">
        <f>IFERROR((D11*($D$9/100))+(E11*($E$9/100)),"")</f>
        <v>91.65</v>
      </c>
      <c r="G11" s="91">
        <f>'Penguk.CPMK-Smt1'!G11</f>
        <v>94.38</v>
      </c>
      <c r="H11" s="91">
        <f>'Penguk.CPMK-Smt1'!H11</f>
        <v>91.88</v>
      </c>
      <c r="I11" s="91">
        <f>'Penguk.CPMK-Smt1'!I11</f>
        <v>83.38</v>
      </c>
      <c r="J11" s="91">
        <f>'Penguk.CPMK-Smt1'!J11</f>
        <v>80.86</v>
      </c>
      <c r="K11" s="91">
        <f>'Penguk.CPMK-Smt1'!K11</f>
        <v>90.95</v>
      </c>
      <c r="L11" s="91">
        <f>IFERROR((G11*($G$9/100))+(K11*($K$9/100)),"")</f>
        <v>34.200299999999999</v>
      </c>
      <c r="M11" s="74">
        <f>'Penguk.CPMK-Smt1'!M11</f>
        <v>85</v>
      </c>
      <c r="N11" s="74">
        <f>'Penguk.CPMK-Smt1'!N11</f>
        <v>85</v>
      </c>
      <c r="O11" s="74">
        <f>IFERROR((M11*($M$9/100))+(N11*($N$9/100)),"")</f>
        <v>85</v>
      </c>
      <c r="P11" s="75">
        <f>'Penguk.CPMK-Smt1'!P11</f>
        <v>79</v>
      </c>
      <c r="Q11" s="75">
        <f>'Penguk.CPMK-Smt1'!Q11</f>
        <v>79</v>
      </c>
      <c r="R11" s="75">
        <f>IFERROR((P11*($P$9/100))+(Q11*($Q$9/100)),"")</f>
        <v>79</v>
      </c>
      <c r="S11" s="76">
        <f>'Penguk.CPMK-Smt1'!S11</f>
        <v>81.900000000000006</v>
      </c>
      <c r="T11" s="76">
        <f>'Penguk.CPMK-Smt1'!T11</f>
        <v>92.4</v>
      </c>
      <c r="U11" s="76">
        <f>IFERROR((S11*($S$9/100))+(T11*($T$9/100)),"")</f>
        <v>87.15</v>
      </c>
      <c r="V11" s="38">
        <f>'Penguk.CPMK-Smt1'!V11</f>
        <v>81.05</v>
      </c>
      <c r="W11" s="38">
        <f>'Penguk.CPMK-Smt1'!W11</f>
        <v>91.2</v>
      </c>
      <c r="X11" s="38">
        <f>IFERROR((V11*($V$9/100))+(W11*($W$9/100)),"")</f>
        <v>86.125</v>
      </c>
      <c r="Y11" s="77">
        <f>'Penguk.CPMK-Smt1'!Y11</f>
        <v>82.8</v>
      </c>
      <c r="Z11" s="77">
        <f>'Penguk.CPMK-Smt1'!Z11</f>
        <v>82.8</v>
      </c>
      <c r="AA11" s="77">
        <f>IFERROR((Y11*($Y$9/100))+(Z11*($Z$9/100)),"")</f>
        <v>82.8</v>
      </c>
      <c r="AB11" s="78">
        <f>'Penguk.CPMK-Smt1'!AB11</f>
        <v>86.45</v>
      </c>
      <c r="AC11" s="78">
        <f>'Penguk.CPMK-Smt1'!AC11</f>
        <v>86.45</v>
      </c>
      <c r="AD11" s="78">
        <f>IFERROR((AB11*($AB$9/100))+(AC11*($AC$9/100)),"")</f>
        <v>86.45</v>
      </c>
      <c r="AF11" s="79">
        <f>IFERROR((V11*($V$9/100)+W11*($W$9/100)+Y11*($Y$9/100)+Z11*($Z$9/100)),"")</f>
        <v>168.92500000000001</v>
      </c>
      <c r="AG11" s="89">
        <f>IFERROR(AF11/$AF$8,"")</f>
        <v>0.84462500000000007</v>
      </c>
      <c r="AH11" s="79">
        <f>IFERROR((D11*($D$9/100)+E11*($E$9/100)),"")</f>
        <v>91.65</v>
      </c>
      <c r="AI11" s="89">
        <f>IF(AH11="","",IFERROR(AH11/$AH$8,""))</f>
        <v>0.91650000000000009</v>
      </c>
      <c r="AJ11" s="79"/>
      <c r="AK11" s="89" t="str">
        <f>IF(AJ11="","",IFERROR(AJ11/$AJ$8,""))</f>
        <v/>
      </c>
      <c r="AL11" s="79"/>
      <c r="AM11" s="89" t="str">
        <f>IF(AL11="","",IFERROR(AL11/$AL$8,""))</f>
        <v/>
      </c>
      <c r="AN11" s="80"/>
      <c r="AO11" s="80"/>
      <c r="AP11" s="80"/>
      <c r="AQ11" s="80"/>
      <c r="AR11" s="80"/>
      <c r="AS11" s="80"/>
      <c r="AT11" s="80">
        <f>IFERROR((M11*($M$9/100)+N11*($N$9/100)),"")</f>
        <v>85</v>
      </c>
      <c r="AU11" s="89">
        <f>IF(AT11="","",IFERROR(AT11/$AT$8,""))</f>
        <v>0.85</v>
      </c>
      <c r="AV11" s="79">
        <f>IFERROR((N11*($N$9/100)),"")</f>
        <v>42.5</v>
      </c>
      <c r="AW11" s="89">
        <f>IF(AV11="","",IFERROR(AV11/$AV$8,""))</f>
        <v>0.85</v>
      </c>
      <c r="AX11" s="79">
        <f>IFERROR((G11*($G$9/100)+H11*($H$9/100)+I11*($I$9/100)+J11*($J$9/100)),"")</f>
        <v>68.460999999999999</v>
      </c>
      <c r="AY11" s="89">
        <f>IF(AX11="","",IFERROR(AX11/$AX$8,""))</f>
        <v>0.86659493670886079</v>
      </c>
      <c r="AZ11" s="80">
        <f>IFERROR((K11*($K$9/100)+S11*($S$9/100)+T11*($T$9/100)),"")</f>
        <v>106.24950000000001</v>
      </c>
      <c r="BA11" s="89">
        <f>IF(AZ11="","",IFERROR(AZ11/$AZ$8,""))</f>
        <v>0.8780950413223142</v>
      </c>
      <c r="BB11" s="79">
        <f>IFERROR((AB11*($AB$9/100)+AC11*($AC$9/100)),"")</f>
        <v>86.45</v>
      </c>
      <c r="BC11" s="89">
        <f>IF(BB11="","",IFERROR(BB11/$BB$8,""))</f>
        <v>0.86450000000000005</v>
      </c>
      <c r="BF11" s="4">
        <f>IF(W11="","",IFERROR(M11*($BF$9/100),""))</f>
        <v>42.5</v>
      </c>
      <c r="BG11" s="4">
        <f>IF(W11="","",IFERROR(G11*($BG$9/100),""))</f>
        <v>15.1008</v>
      </c>
      <c r="BH11" s="81">
        <f>IF(V11="","",IFERROR(V11*($BH$9/100),""))</f>
        <v>40.524999999999999</v>
      </c>
      <c r="BI11" s="81">
        <f>IF(D11="","",IFERROR(D11*($BI$9/100),""))</f>
        <v>42.45</v>
      </c>
      <c r="BJ11" s="81">
        <f>IF(W11="","",IFERROR(W11*($W$9/100),""))</f>
        <v>45.6</v>
      </c>
      <c r="BK11" s="4"/>
      <c r="BL11" s="4"/>
      <c r="BM11" s="4"/>
      <c r="BN11" s="4"/>
      <c r="BO11" s="81">
        <f>IF(S11="","",IFERROR(S11*($S$9/100),""))</f>
        <v>40.950000000000003</v>
      </c>
      <c r="BP11" s="81">
        <f>IF(P11="","",IFERROR(P11*($P$9/100),""))</f>
        <v>39.5</v>
      </c>
      <c r="BQ11" s="81">
        <f>IF(N11="","",IFERROR(N11*($N$9/100),""))</f>
        <v>42.5</v>
      </c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81">
        <f>IF(Q11="","",IFERROR(Q11*($Q$9/100),""))</f>
        <v>39.5</v>
      </c>
      <c r="CE11" s="81">
        <f>IF(T11="","",IFERROR(T11*($CE$9/100),""))</f>
        <v>46.2</v>
      </c>
      <c r="CF11" s="81" t="str">
        <f>IFERROR(IF(Y11="","",IFERROR(Y11*($Y$9/100),""))+IF(AB11="","",IFERROR(AB11*($AB$9/100),""))+IF(#REF!="","",IFERROR(#REF!*(#REF!/100),"")),"")</f>
        <v/>
      </c>
      <c r="CG11" s="4"/>
      <c r="CH11" s="4"/>
      <c r="CI11" s="4"/>
      <c r="CJ11" s="81" t="str">
        <f>IFERROR(IF(#REF!="","",IFERROR(#REF!*(#REF!/100),"")),"")</f>
        <v/>
      </c>
      <c r="CK11" s="81" t="str">
        <f>IFERROR(IF(#REF!="","",IFERROR(#REF!*(#REF!/100),""))+IF(#REF!="","",IFERROR(#REF!*(#REF!/100),"")),"")</f>
        <v/>
      </c>
      <c r="CL11" s="81" t="str">
        <f>IFERROR(IF(E11="","",IFERROR(E11*($E$9/100),""))+IF(K11="","",IFERROR(K11*($K$9/100),""))+IF(#REF!="","",IFERROR(#REF!*(#REF!/100),""))+IF(#REF!="","",IFERROR(#REF!*(#REF!/100),"")),"")</f>
        <v/>
      </c>
      <c r="CM11" s="4"/>
      <c r="CN11" s="81" t="str">
        <f>IFERROR(IF(AC11="","",IFERROR(AC11*($AC$9/100),""))+IF(#REF!="","",IFERROR(#REF!*(#REF!/100),"")),"")</f>
        <v/>
      </c>
      <c r="CO11" s="81">
        <f>IFERROR(IF(Z11="","",IFERROR(Z11*($Z$9/100),"")),"")</f>
        <v>41.4</v>
      </c>
      <c r="CP11">
        <f>SUM(BF11:CO11)</f>
        <v>436.22579999999999</v>
      </c>
      <c r="CQ11" s="82" t="e">
        <f>CP11/$CP$9</f>
        <v>#REF!</v>
      </c>
    </row>
    <row r="12" spans="1:95">
      <c r="A12" s="206">
        <v>2</v>
      </c>
      <c r="B12" s="207" t="s">
        <v>282</v>
      </c>
      <c r="C12" s="207" t="s">
        <v>283</v>
      </c>
      <c r="D12" s="73">
        <f>'Penguk.CPMK-Smt1'!D12</f>
        <v>77.5</v>
      </c>
      <c r="E12" s="73">
        <f>'Penguk.CPMK-Smt1'!E12</f>
        <v>82</v>
      </c>
      <c r="F12" s="73">
        <f t="shared" ref="F12:F47" si="0">IFERROR((D12*($D$9/100))+(E12*($E$9/100)),"")</f>
        <v>79.75</v>
      </c>
      <c r="G12" s="91">
        <f>'Penguk.CPMK-Smt1'!G12</f>
        <v>94.38</v>
      </c>
      <c r="H12" s="91">
        <f>'Penguk.CPMK-Smt1'!H12</f>
        <v>91.88</v>
      </c>
      <c r="I12" s="91">
        <f>'Penguk.CPMK-Smt1'!I12</f>
        <v>90.77</v>
      </c>
      <c r="J12" s="91">
        <f>'Penguk.CPMK-Smt1'!J12</f>
        <v>78.900000000000006</v>
      </c>
      <c r="K12" s="91">
        <f>'Penguk.CPMK-Smt1'!K12</f>
        <v>90.95</v>
      </c>
      <c r="L12" s="91">
        <f t="shared" ref="L12:L47" si="1">IFERROR((G12*($G$9/100))+(K12*($K$9/100)),"")</f>
        <v>34.200299999999999</v>
      </c>
      <c r="M12" s="74">
        <f>'Penguk.CPMK-Smt1'!M12</f>
        <v>85</v>
      </c>
      <c r="N12" s="74">
        <f>'Penguk.CPMK-Smt1'!N12</f>
        <v>85</v>
      </c>
      <c r="O12" s="74">
        <f t="shared" ref="O12:O47" si="2">IFERROR((M12*($M$9/100))+(N12*($N$9/100)),"")</f>
        <v>85</v>
      </c>
      <c r="P12" s="75">
        <f>'Penguk.CPMK-Smt1'!P12</f>
        <v>79</v>
      </c>
      <c r="Q12" s="75">
        <f>'Penguk.CPMK-Smt1'!Q12</f>
        <v>82.5</v>
      </c>
      <c r="R12" s="75">
        <f t="shared" ref="R12:R47" si="3">IFERROR((P12*($P$9/100))+(Q12*($Q$9/100)),"")</f>
        <v>80.75</v>
      </c>
      <c r="S12" s="76">
        <f>'Penguk.CPMK-Smt1'!S12</f>
        <v>66.5</v>
      </c>
      <c r="T12" s="76">
        <f>'Penguk.CPMK-Smt1'!T12</f>
        <v>67.900000000000006</v>
      </c>
      <c r="U12" s="76">
        <f t="shared" ref="U12:U46" si="4">IFERROR((S12*($S$9/100))+(T12*($T$9/100)),"")</f>
        <v>67.2</v>
      </c>
      <c r="V12" s="38">
        <f>'Penguk.CPMK-Smt1'!V12</f>
        <v>91.6</v>
      </c>
      <c r="W12" s="38">
        <f>'Penguk.CPMK-Smt1'!W12</f>
        <v>91</v>
      </c>
      <c r="X12" s="38">
        <f t="shared" ref="X12:X47" si="5">IFERROR((V12*($V$9/100))+(W12*($W$9/100)),"")</f>
        <v>91.3</v>
      </c>
      <c r="Y12" s="77">
        <f>'Penguk.CPMK-Smt1'!Y12</f>
        <v>80.7</v>
      </c>
      <c r="Z12" s="77">
        <f>'Penguk.CPMK-Smt1'!Z12</f>
        <v>80.7</v>
      </c>
      <c r="AA12" s="77">
        <f>IFERROR((Y12*($Y$9/100))+(Z12*($Z$9/100)),"")</f>
        <v>80.7</v>
      </c>
      <c r="AB12" s="78">
        <f>'Penguk.CPMK-Smt1'!AB12</f>
        <v>91</v>
      </c>
      <c r="AC12" s="78">
        <f>'Penguk.CPMK-Smt1'!AC12</f>
        <v>91</v>
      </c>
      <c r="AD12" s="78">
        <f t="shared" ref="AD12:AD47" si="6">IFERROR((AB12*($AB$9/100))+(AC12*($AC$9/100)),"")</f>
        <v>91</v>
      </c>
      <c r="AF12" s="79">
        <f t="shared" ref="AF12:AF47" si="7">IFERROR((V12*($V$9/100)+W12*($W$9/100)+Y12*($Y$9/100)+Z12*($Z$9/100)),"")</f>
        <v>172</v>
      </c>
      <c r="AG12" s="89">
        <f t="shared" ref="AG12:AG47" si="8">IFERROR(AF12/$AF$8,"")</f>
        <v>0.86</v>
      </c>
      <c r="AH12" s="79">
        <f t="shared" ref="AH12:AH47" si="9">IFERROR((D12*($D$9/100)+E12*($E$9/100)),"")</f>
        <v>79.75</v>
      </c>
      <c r="AI12" s="89">
        <f t="shared" ref="AI12:AI47" si="10">IF(AH12="","",IFERROR(AH12/$AH$8,""))</f>
        <v>0.79749999999999999</v>
      </c>
      <c r="AJ12" s="79"/>
      <c r="AK12" s="89" t="str">
        <f t="shared" ref="AK12:AK47" si="11">IF(AJ12="","",IFERROR(AJ12/$AJ$8,""))</f>
        <v/>
      </c>
      <c r="AL12" s="79"/>
      <c r="AM12" s="89" t="str">
        <f t="shared" ref="AM12:AM47" si="12">IF(AL12="","",IFERROR(AL12/$AL$8,""))</f>
        <v/>
      </c>
      <c r="AN12" s="80"/>
      <c r="AO12" s="80"/>
      <c r="AP12" s="80"/>
      <c r="AQ12" s="80"/>
      <c r="AR12" s="80"/>
      <c r="AS12" s="80"/>
      <c r="AT12" s="80">
        <f t="shared" ref="AT12:AT59" si="13">IFERROR((M12*($M$9/100)+N12*($N$9/100)),"")</f>
        <v>85</v>
      </c>
      <c r="AU12" s="89">
        <f t="shared" ref="AU12:AU47" si="14">IF(AT12="","",IFERROR(AT12/$AT$8,""))</f>
        <v>0.85</v>
      </c>
      <c r="AV12" s="79">
        <f t="shared" ref="AV12:AV47" si="15">IFERROR((N12*($N$9/100)),"")</f>
        <v>42.5</v>
      </c>
      <c r="AW12" s="89">
        <f t="shared" ref="AW12:AW47" si="16">IF(AV12="","",IFERROR(AV12/$AV$8,""))</f>
        <v>0.85</v>
      </c>
      <c r="AX12" s="79">
        <f t="shared" ref="AX12:AX47" si="17">IFERROR((G12*($G$9/100)+H12*($H$9/100)+I12*($I$9/100)+J12*($J$9/100)),"")</f>
        <v>69.970799999999997</v>
      </c>
      <c r="AY12" s="89">
        <f t="shared" ref="AY12:AY47" si="18">IF(AX12="","",IFERROR(AX12/$AX$8,""))</f>
        <v>0.885706329113924</v>
      </c>
      <c r="AZ12" s="80">
        <f t="shared" ref="AZ12:AZ47" si="19">IFERROR((K12*($K$9/100)+S12*($S$9/100)+T12*($T$9/100)),"")</f>
        <v>86.299499999999995</v>
      </c>
      <c r="BA12" s="89">
        <f t="shared" ref="BA12:BA47" si="20">IF(AZ12="","",IFERROR(AZ12/$AZ$8,""))</f>
        <v>0.71321900826446272</v>
      </c>
      <c r="BB12" s="79">
        <f t="shared" ref="BB12:BB47" si="21">IFERROR((AB12*($AB$9/100)+AC12*($AC$9/100)),"")</f>
        <v>91</v>
      </c>
      <c r="BC12" s="89">
        <f t="shared" ref="BC12:BC47" si="22">IF(BB12="","",IFERROR(BB12/$BB$8,""))</f>
        <v>0.91</v>
      </c>
      <c r="BF12" s="4">
        <f>IF(W12="","",IFERROR(M12*($BF$9/100),""))</f>
        <v>42.5</v>
      </c>
      <c r="BG12" s="4">
        <f>IF(W12="","",IFERROR(G12*($BG$9/100),""))</f>
        <v>15.1008</v>
      </c>
      <c r="BH12" s="81">
        <f>IF(V12="","",IFERROR(V12*($BH$9/100),""))</f>
        <v>45.8</v>
      </c>
      <c r="BI12" s="81">
        <f>IF(D12="","",IFERROR(D12*($BI$9/100),""))</f>
        <v>38.75</v>
      </c>
      <c r="BJ12" s="81">
        <f>IF(W12="","",IFERROR(W12*($W$9/100),""))</f>
        <v>45.5</v>
      </c>
      <c r="BK12" s="4"/>
      <c r="BL12" s="4"/>
      <c r="BM12" s="4"/>
      <c r="BN12" s="4"/>
      <c r="BO12" s="81">
        <f>IF(S12="","",IFERROR(S12*($S$9/100),""))</f>
        <v>33.25</v>
      </c>
      <c r="BP12" s="81">
        <f>IF(P12="","",IFERROR(P12*($P$9/100),""))</f>
        <v>39.5</v>
      </c>
      <c r="BQ12" s="81">
        <f>IF(N12="","",IFERROR(N12*($N$9/100),""))</f>
        <v>42.5</v>
      </c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81">
        <f>IF(Q12="","",IFERROR(Q12*($Q$9/100),""))</f>
        <v>41.25</v>
      </c>
      <c r="CE12" s="81">
        <f>IF(T12="","",IFERROR(T12*($CE$9/100),""))</f>
        <v>33.950000000000003</v>
      </c>
      <c r="CF12" s="81" t="str">
        <f>IFERROR(IF(Y12="","",IFERROR(Y12*($Y$9/100),""))+IF(AB12="","",IFERROR(AB12*($AB$9/100),""))+IF(#REF!="","",IFERROR(#REF!*(#REF!/100),"")),"")</f>
        <v/>
      </c>
      <c r="CG12" s="4"/>
      <c r="CH12" s="4"/>
      <c r="CI12" s="4"/>
      <c r="CJ12" s="81" t="str">
        <f>IFERROR(IF(#REF!="","",IFERROR(#REF!*(#REF!/100),"")),"")</f>
        <v/>
      </c>
      <c r="CK12" s="81" t="str">
        <f>IFERROR(IF(#REF!="","",IFERROR(#REF!*(#REF!/100),""))+IF(#REF!="","",IFERROR(#REF!*(#REF!/100),"")),"")</f>
        <v/>
      </c>
      <c r="CL12" s="81" t="str">
        <f>IFERROR(IF(E12="","",IFERROR(E12*($E$9/100),""))+IF(K12="","",IFERROR(K12*($K$9/100),""))+IF(#REF!="","",IFERROR(#REF!*(#REF!/100),""))+IF(#REF!="","",IFERROR(#REF!*(#REF!/100),"")),"")</f>
        <v/>
      </c>
      <c r="CM12" s="4"/>
      <c r="CN12" s="81" t="str">
        <f>IFERROR(IF(AC12="","",IFERROR(AC12*($AC$9/100),""))+IF(#REF!="","",IFERROR(#REF!*(#REF!/100),"")),"")</f>
        <v/>
      </c>
      <c r="CO12" s="81">
        <f>IFERROR(IF(Z12="","",IFERROR(Z12*($Z$9/100),"")),"")</f>
        <v>40.35</v>
      </c>
      <c r="CP12">
        <f t="shared" ref="CP12:CP46" si="23">SUM(BF12:CO12)</f>
        <v>418.45080000000002</v>
      </c>
      <c r="CQ12" s="82" t="e">
        <f t="shared" ref="CQ12:CQ46" si="24">CP12/$CP$9</f>
        <v>#REF!</v>
      </c>
    </row>
    <row r="13" spans="1:95">
      <c r="A13" s="206">
        <v>3</v>
      </c>
      <c r="B13" s="207" t="s">
        <v>284</v>
      </c>
      <c r="C13" s="207" t="s">
        <v>285</v>
      </c>
      <c r="D13" s="73">
        <f>'Penguk.CPMK-Smt1'!D13</f>
        <v>81.5</v>
      </c>
      <c r="E13" s="73">
        <f>'Penguk.CPMK-Smt1'!E13</f>
        <v>83.5</v>
      </c>
      <c r="F13" s="73">
        <f t="shared" si="0"/>
        <v>82.5</v>
      </c>
      <c r="G13" s="91">
        <f>'Penguk.CPMK-Smt1'!G13</f>
        <v>94.38</v>
      </c>
      <c r="H13" s="91">
        <f>'Penguk.CPMK-Smt1'!H13</f>
        <v>91.88</v>
      </c>
      <c r="I13" s="91">
        <f>'Penguk.CPMK-Smt1'!I13</f>
        <v>83.08</v>
      </c>
      <c r="J13" s="91">
        <f>'Penguk.CPMK-Smt1'!J13</f>
        <v>81.05</v>
      </c>
      <c r="K13" s="91">
        <f>'Penguk.CPMK-Smt1'!K13</f>
        <v>83.81</v>
      </c>
      <c r="L13" s="91">
        <f t="shared" si="1"/>
        <v>32.700900000000004</v>
      </c>
      <c r="M13" s="74">
        <f>'Penguk.CPMK-Smt1'!M13</f>
        <v>85</v>
      </c>
      <c r="N13" s="74">
        <f>'Penguk.CPMK-Smt1'!N13</f>
        <v>85</v>
      </c>
      <c r="O13" s="74">
        <f t="shared" si="2"/>
        <v>85</v>
      </c>
      <c r="P13" s="75">
        <f>'Penguk.CPMK-Smt1'!P13</f>
        <v>89.5</v>
      </c>
      <c r="Q13" s="75">
        <f>'Penguk.CPMK-Smt1'!Q13</f>
        <v>89.5</v>
      </c>
      <c r="R13" s="75">
        <f t="shared" si="3"/>
        <v>89.5</v>
      </c>
      <c r="S13" s="76">
        <f>'Penguk.CPMK-Smt1'!S13</f>
        <v>72.099999999999994</v>
      </c>
      <c r="T13" s="76">
        <f>'Penguk.CPMK-Smt1'!T13</f>
        <v>74.2</v>
      </c>
      <c r="U13" s="76">
        <f t="shared" si="4"/>
        <v>73.150000000000006</v>
      </c>
      <c r="V13" s="38">
        <f>'Penguk.CPMK-Smt1'!V13</f>
        <v>81.150000000000006</v>
      </c>
      <c r="W13" s="38">
        <f>'Penguk.CPMK-Smt1'!W13</f>
        <v>90</v>
      </c>
      <c r="X13" s="38">
        <f t="shared" si="5"/>
        <v>85.575000000000003</v>
      </c>
      <c r="Y13" s="77">
        <f>'Penguk.CPMK-Smt1'!Y13</f>
        <v>93.55</v>
      </c>
      <c r="Z13" s="77">
        <f>'Penguk.CPMK-Smt1'!Z13</f>
        <v>93.55</v>
      </c>
      <c r="AA13" s="77">
        <f>IFERROR((Y13*($Y$9/100))+(Z13*($Z$9/100)),"")</f>
        <v>93.55</v>
      </c>
      <c r="AB13" s="78">
        <f>'Penguk.CPMK-Smt1'!AB13</f>
        <v>92.45</v>
      </c>
      <c r="AC13" s="78">
        <f>'Penguk.CPMK-Smt1'!AC13</f>
        <v>92.45</v>
      </c>
      <c r="AD13" s="78">
        <f t="shared" si="6"/>
        <v>92.45</v>
      </c>
      <c r="AF13" s="79">
        <f t="shared" si="7"/>
        <v>179.125</v>
      </c>
      <c r="AG13" s="89">
        <f t="shared" si="8"/>
        <v>0.895625</v>
      </c>
      <c r="AH13" s="79">
        <f t="shared" si="9"/>
        <v>82.5</v>
      </c>
      <c r="AI13" s="89">
        <f t="shared" si="10"/>
        <v>0.82499999999999996</v>
      </c>
      <c r="AJ13" s="79"/>
      <c r="AK13" s="89" t="str">
        <f t="shared" si="11"/>
        <v/>
      </c>
      <c r="AL13" s="79"/>
      <c r="AM13" s="89" t="str">
        <f t="shared" si="12"/>
        <v/>
      </c>
      <c r="AN13" s="80"/>
      <c r="AO13" s="80"/>
      <c r="AP13" s="80"/>
      <c r="AQ13" s="80"/>
      <c r="AR13" s="80"/>
      <c r="AS13" s="80"/>
      <c r="AT13" s="80">
        <f t="shared" si="13"/>
        <v>85</v>
      </c>
      <c r="AU13" s="89">
        <f t="shared" si="14"/>
        <v>0.85</v>
      </c>
      <c r="AV13" s="79">
        <f t="shared" si="15"/>
        <v>42.5</v>
      </c>
      <c r="AW13" s="89">
        <f t="shared" si="16"/>
        <v>0.85</v>
      </c>
      <c r="AX13" s="79">
        <f t="shared" si="17"/>
        <v>68.422899999999998</v>
      </c>
      <c r="AY13" s="89">
        <f t="shared" si="18"/>
        <v>0.86611265822784811</v>
      </c>
      <c r="AZ13" s="80">
        <f t="shared" si="19"/>
        <v>90.750100000000003</v>
      </c>
      <c r="BA13" s="89">
        <f t="shared" si="20"/>
        <v>0.75000082644628097</v>
      </c>
      <c r="BB13" s="79">
        <f t="shared" si="21"/>
        <v>92.45</v>
      </c>
      <c r="BC13" s="89">
        <f t="shared" si="22"/>
        <v>0.92449999999999999</v>
      </c>
      <c r="BF13" s="4">
        <f>IF(W13="","",IFERROR(M13*($BF$9/100),""))</f>
        <v>42.5</v>
      </c>
      <c r="BG13" s="4">
        <f>IF(W13="","",IFERROR(G13*($BG$9/100),""))</f>
        <v>15.1008</v>
      </c>
      <c r="BH13" s="81">
        <f>IF(V13="","",IFERROR(V13*($BH$9/100),""))</f>
        <v>40.575000000000003</v>
      </c>
      <c r="BI13" s="81">
        <f>IF(D13="","",IFERROR(D13*($BI$9/100),""))</f>
        <v>40.75</v>
      </c>
      <c r="BJ13" s="81">
        <f>IF(W13="","",IFERROR(W13*($W$9/100),""))</f>
        <v>45</v>
      </c>
      <c r="BK13" s="4"/>
      <c r="BL13" s="4"/>
      <c r="BM13" s="4"/>
      <c r="BN13" s="4"/>
      <c r="BO13" s="81">
        <f>IF(S13="","",IFERROR(S13*($S$9/100),""))</f>
        <v>36.049999999999997</v>
      </c>
      <c r="BP13" s="81">
        <f>IF(P13="","",IFERROR(P13*($P$9/100),""))</f>
        <v>44.75</v>
      </c>
      <c r="BQ13" s="81">
        <f>IF(N13="","",IFERROR(N13*($N$9/100),""))</f>
        <v>42.5</v>
      </c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81">
        <f>IF(Q13="","",IFERROR(Q13*($Q$9/100),""))</f>
        <v>44.75</v>
      </c>
      <c r="CE13" s="81">
        <f>IF(T13="","",IFERROR(T13*($CE$9/100),""))</f>
        <v>37.1</v>
      </c>
      <c r="CF13" s="81" t="str">
        <f>IFERROR(IF(Y13="","",IFERROR(Y13*($Y$9/100),""))+IF(AB13="","",IFERROR(AB13*($AB$9/100),""))+IF(#REF!="","",IFERROR(#REF!*(#REF!/100),"")),"")</f>
        <v/>
      </c>
      <c r="CG13" s="4"/>
      <c r="CH13" s="4"/>
      <c r="CI13" s="4"/>
      <c r="CJ13" s="81" t="str">
        <f>IFERROR(IF(#REF!="","",IFERROR(#REF!*(#REF!/100),"")),"")</f>
        <v/>
      </c>
      <c r="CK13" s="81" t="str">
        <f>IFERROR(IF(#REF!="","",IFERROR(#REF!*(#REF!/100),""))+IF(#REF!="","",IFERROR(#REF!*(#REF!/100),"")),"")</f>
        <v/>
      </c>
      <c r="CL13" s="81" t="str">
        <f>IFERROR(IF(E13="","",IFERROR(E13*($E$9/100),""))+IF(K13="","",IFERROR(K13*($K$9/100),""))+IF(#REF!="","",IFERROR(#REF!*(#REF!/100),""))+IF(#REF!="","",IFERROR(#REF!*(#REF!/100),"")),"")</f>
        <v/>
      </c>
      <c r="CM13" s="4"/>
      <c r="CN13" s="81" t="str">
        <f>IFERROR(IF(AC13="","",IFERROR(AC13*($AC$9/100),""))+IF(#REF!="","",IFERROR(#REF!*(#REF!/100),"")),"")</f>
        <v/>
      </c>
      <c r="CO13" s="81">
        <f>IFERROR(IF(Z13="","",IFERROR(Z13*($Z$9/100),"")),"")</f>
        <v>46.774999999999999</v>
      </c>
      <c r="CP13">
        <f t="shared" si="23"/>
        <v>435.85079999999999</v>
      </c>
      <c r="CQ13" s="82" t="e">
        <f t="shared" si="24"/>
        <v>#REF!</v>
      </c>
    </row>
    <row r="14" spans="1:95">
      <c r="A14" s="206">
        <v>4</v>
      </c>
      <c r="B14" s="207" t="s">
        <v>286</v>
      </c>
      <c r="C14" s="207" t="s">
        <v>287</v>
      </c>
      <c r="D14" s="73">
        <f>'Penguk.CPMK-Smt1'!D14</f>
        <v>72.099999999999994</v>
      </c>
      <c r="E14" s="73">
        <f>'Penguk.CPMK-Smt1'!E14</f>
        <v>76.099999999999994</v>
      </c>
      <c r="F14" s="73">
        <f t="shared" si="0"/>
        <v>74.099999999999994</v>
      </c>
      <c r="G14" s="91">
        <f>'Penguk.CPMK-Smt1'!G14</f>
        <v>35</v>
      </c>
      <c r="H14" s="91">
        <f>'Penguk.CPMK-Smt1'!H14</f>
        <v>12.5</v>
      </c>
      <c r="I14" s="91">
        <f>'Penguk.CPMK-Smt1'!I14</f>
        <v>7.69</v>
      </c>
      <c r="J14" s="91">
        <f>'Penguk.CPMK-Smt1'!J14</f>
        <v>80.86</v>
      </c>
      <c r="K14" s="91">
        <f>'Penguk.CPMK-Smt1'!K14</f>
        <v>9.52</v>
      </c>
      <c r="L14" s="91">
        <f t="shared" si="1"/>
        <v>7.5992000000000006</v>
      </c>
      <c r="M14" s="74">
        <f>'Penguk.CPMK-Smt1'!M14</f>
        <v>0</v>
      </c>
      <c r="N14" s="74">
        <f>'Penguk.CPMK-Smt1'!N14</f>
        <v>0</v>
      </c>
      <c r="O14" s="74">
        <f t="shared" si="2"/>
        <v>0</v>
      </c>
      <c r="P14" s="75">
        <f>'Penguk.CPMK-Smt1'!P14</f>
        <v>79</v>
      </c>
      <c r="Q14" s="75">
        <f>'Penguk.CPMK-Smt1'!Q14</f>
        <v>30</v>
      </c>
      <c r="R14" s="75">
        <f t="shared" si="3"/>
        <v>54.5</v>
      </c>
      <c r="S14" s="76">
        <f>'Penguk.CPMK-Smt1'!S14</f>
        <v>22.5</v>
      </c>
      <c r="T14" s="76">
        <f>'Penguk.CPMK-Smt1'!T14</f>
        <v>22.5</v>
      </c>
      <c r="U14" s="76">
        <f t="shared" si="4"/>
        <v>22.5</v>
      </c>
      <c r="V14" s="38">
        <f>'Penguk.CPMK-Smt1'!V14</f>
        <v>8.5</v>
      </c>
      <c r="W14" s="38">
        <f>'Penguk.CPMK-Smt1'!W14</f>
        <v>17</v>
      </c>
      <c r="X14" s="38">
        <f t="shared" si="5"/>
        <v>12.75</v>
      </c>
      <c r="Y14" s="77">
        <f>'Penguk.CPMK-Smt1'!Y14</f>
        <v>0</v>
      </c>
      <c r="Z14" s="77">
        <f>'Penguk.CPMK-Smt1'!Z14</f>
        <v>0</v>
      </c>
      <c r="AA14" s="77">
        <f t="shared" ref="AA14:AA47" si="25">IFERROR((Y14*($Y$9/100))+(Z14*($Z$9/100)),"")</f>
        <v>0</v>
      </c>
      <c r="AB14" s="78">
        <f>'Penguk.CPMK-Smt1'!AB14</f>
        <v>0</v>
      </c>
      <c r="AC14" s="78">
        <f>'Penguk.CPMK-Smt1'!AC14</f>
        <v>0</v>
      </c>
      <c r="AD14" s="78">
        <f t="shared" si="6"/>
        <v>0</v>
      </c>
      <c r="AF14" s="79">
        <f t="shared" si="7"/>
        <v>12.75</v>
      </c>
      <c r="AG14" s="89">
        <f t="shared" si="8"/>
        <v>6.3750000000000001E-2</v>
      </c>
      <c r="AH14" s="79">
        <f t="shared" si="9"/>
        <v>74.099999999999994</v>
      </c>
      <c r="AI14" s="89">
        <f t="shared" si="10"/>
        <v>0.74099999999999999</v>
      </c>
      <c r="AJ14" s="79"/>
      <c r="AK14" s="89" t="str">
        <f t="shared" si="11"/>
        <v/>
      </c>
      <c r="AL14" s="79"/>
      <c r="AM14" s="89" t="str">
        <f t="shared" si="12"/>
        <v/>
      </c>
      <c r="AN14" s="80"/>
      <c r="AO14" s="80"/>
      <c r="AP14" s="80"/>
      <c r="AQ14" s="80"/>
      <c r="AR14" s="80"/>
      <c r="AS14" s="80"/>
      <c r="AT14" s="80">
        <f t="shared" si="13"/>
        <v>0</v>
      </c>
      <c r="AU14" s="89">
        <f t="shared" si="14"/>
        <v>0</v>
      </c>
      <c r="AV14" s="79">
        <f t="shared" si="15"/>
        <v>0</v>
      </c>
      <c r="AW14" s="89">
        <f t="shared" si="16"/>
        <v>0</v>
      </c>
      <c r="AX14" s="79">
        <f t="shared" si="17"/>
        <v>26.58</v>
      </c>
      <c r="AY14" s="89">
        <f t="shared" si="18"/>
        <v>0.33645569620253163</v>
      </c>
      <c r="AZ14" s="80">
        <f t="shared" si="19"/>
        <v>24.499200000000002</v>
      </c>
      <c r="BA14" s="89">
        <f t="shared" si="20"/>
        <v>0.20247272727272728</v>
      </c>
      <c r="BB14" s="79">
        <f t="shared" si="21"/>
        <v>0</v>
      </c>
      <c r="BC14" s="89">
        <f t="shared" si="22"/>
        <v>0</v>
      </c>
      <c r="BF14" s="4">
        <f>IF(W14="","",IFERROR(M14*($BF$9/100),""))</f>
        <v>0</v>
      </c>
      <c r="BG14" s="4">
        <f>IF(W14="","",IFERROR(G14*($BG$9/100),""))</f>
        <v>5.6000000000000005</v>
      </c>
      <c r="BH14" s="81">
        <f>IF(V14="","",IFERROR(V14*($BH$9/100),""))</f>
        <v>4.25</v>
      </c>
      <c r="BI14" s="81">
        <f>IF(D14="","",IFERROR(D14*($BI$9/100),""))</f>
        <v>36.049999999999997</v>
      </c>
      <c r="BJ14" s="81">
        <f>IF(W14="","",IFERROR(W14*($W$9/100),""))</f>
        <v>8.5</v>
      </c>
      <c r="BK14" s="4"/>
      <c r="BL14" s="4"/>
      <c r="BM14" s="4"/>
      <c r="BN14" s="4"/>
      <c r="BO14" s="81">
        <f>IF(S14="","",IFERROR(S14*($S$9/100),""))</f>
        <v>11.25</v>
      </c>
      <c r="BP14" s="81">
        <f>IF(P14="","",IFERROR(P14*($P$9/100),""))</f>
        <v>39.5</v>
      </c>
      <c r="BQ14" s="81">
        <f>IF(N14="","",IFERROR(N14*($N$9/100),""))</f>
        <v>0</v>
      </c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81">
        <f>IF(Q14="","",IFERROR(Q14*($Q$9/100),""))</f>
        <v>15</v>
      </c>
      <c r="CE14" s="81">
        <f>IF(T14="","",IFERROR(T14*($CE$9/100),""))</f>
        <v>11.25</v>
      </c>
      <c r="CF14" s="81" t="str">
        <f>IFERROR(IF(Y14="","",IFERROR(Y14*($Y$9/100),""))+IF(AB14="","",IFERROR(AB14*($AB$9/100),""))+IF(#REF!="","",IFERROR(#REF!*(#REF!/100),"")),"")</f>
        <v/>
      </c>
      <c r="CG14" s="4"/>
      <c r="CH14" s="4"/>
      <c r="CI14" s="4"/>
      <c r="CJ14" s="81" t="str">
        <f>IFERROR(IF(#REF!="","",IFERROR(#REF!*(#REF!/100),"")),"")</f>
        <v/>
      </c>
      <c r="CK14" s="81" t="str">
        <f>IFERROR(IF(#REF!="","",IFERROR(#REF!*(#REF!/100),""))+IF(#REF!="","",IFERROR(#REF!*(#REF!/100),"")),"")</f>
        <v/>
      </c>
      <c r="CL14" s="81" t="str">
        <f>IFERROR(IF(E14="","",IFERROR(E14*($E$9/100),""))+IF(K14="","",IFERROR(K14*($K$9/100),""))+IF(#REF!="","",IFERROR(#REF!*(#REF!/100),""))+IF(#REF!="","",IFERROR(#REF!*(#REF!/100),"")),"")</f>
        <v/>
      </c>
      <c r="CM14" s="4"/>
      <c r="CN14" s="81" t="str">
        <f>IFERROR(IF(AC14="","",IFERROR(AC14*($AC$9/100),""))+IF(#REF!="","",IFERROR(#REF!*(#REF!/100),"")),"")</f>
        <v/>
      </c>
      <c r="CO14" s="81">
        <f>IFERROR(IF(Z14="","",IFERROR(Z14*($Z$9/100),"")),"")</f>
        <v>0</v>
      </c>
      <c r="CP14">
        <f t="shared" si="23"/>
        <v>131.4</v>
      </c>
      <c r="CQ14" s="82" t="e">
        <f t="shared" si="24"/>
        <v>#REF!</v>
      </c>
    </row>
    <row r="15" spans="1:95">
      <c r="A15" s="206">
        <v>5</v>
      </c>
      <c r="B15" s="207" t="s">
        <v>288</v>
      </c>
      <c r="C15" s="207" t="s">
        <v>289</v>
      </c>
      <c r="D15" s="73">
        <f>'Penguk.CPMK-Smt1'!D15</f>
        <v>80.900000000000006</v>
      </c>
      <c r="E15" s="73">
        <f>'Penguk.CPMK-Smt1'!E15</f>
        <v>82.9</v>
      </c>
      <c r="F15" s="73">
        <f t="shared" si="0"/>
        <v>81.900000000000006</v>
      </c>
      <c r="G15" s="91">
        <f>'Penguk.CPMK-Smt1'!G15</f>
        <v>94.38</v>
      </c>
      <c r="H15" s="91">
        <f>'Penguk.CPMK-Smt1'!H15</f>
        <v>91.88</v>
      </c>
      <c r="I15" s="91">
        <f>'Penguk.CPMK-Smt1'!I15</f>
        <v>90.77</v>
      </c>
      <c r="J15" s="91">
        <f>'Penguk.CPMK-Smt1'!J15</f>
        <v>81.569999999999993</v>
      </c>
      <c r="K15" s="91">
        <f>'Penguk.CPMK-Smt1'!K15</f>
        <v>90.95</v>
      </c>
      <c r="L15" s="91">
        <f t="shared" si="1"/>
        <v>34.200299999999999</v>
      </c>
      <c r="M15" s="74">
        <f>'Penguk.CPMK-Smt1'!M15</f>
        <v>85</v>
      </c>
      <c r="N15" s="74">
        <f>'Penguk.CPMK-Smt1'!N15</f>
        <v>85</v>
      </c>
      <c r="O15" s="74">
        <f t="shared" si="2"/>
        <v>85</v>
      </c>
      <c r="P15" s="75">
        <f>'Penguk.CPMK-Smt1'!P15</f>
        <v>79</v>
      </c>
      <c r="Q15" s="75">
        <f>'Penguk.CPMK-Smt1'!Q15</f>
        <v>72</v>
      </c>
      <c r="R15" s="75">
        <f t="shared" si="3"/>
        <v>75.5</v>
      </c>
      <c r="S15" s="76">
        <f>'Penguk.CPMK-Smt1'!S15</f>
        <v>67.3</v>
      </c>
      <c r="T15" s="76">
        <f>'Penguk.CPMK-Smt1'!T15</f>
        <v>63.8</v>
      </c>
      <c r="U15" s="76">
        <f t="shared" si="4"/>
        <v>65.55</v>
      </c>
      <c r="V15" s="38">
        <f>'Penguk.CPMK-Smt1'!V15</f>
        <v>80.150000000000006</v>
      </c>
      <c r="W15" s="38">
        <f>'Penguk.CPMK-Smt1'!W15</f>
        <v>87.3</v>
      </c>
      <c r="X15" s="38">
        <f t="shared" si="5"/>
        <v>83.724999999999994</v>
      </c>
      <c r="Y15" s="77">
        <f>'Penguk.CPMK-Smt1'!Y15</f>
        <v>82.9</v>
      </c>
      <c r="Z15" s="77">
        <f>'Penguk.CPMK-Smt1'!Z15</f>
        <v>82.9</v>
      </c>
      <c r="AA15" s="77">
        <f t="shared" si="25"/>
        <v>82.9</v>
      </c>
      <c r="AB15" s="78">
        <f>'Penguk.CPMK-Smt1'!AB15</f>
        <v>84.75</v>
      </c>
      <c r="AC15" s="78">
        <f>'Penguk.CPMK-Smt1'!AC15</f>
        <v>84.75</v>
      </c>
      <c r="AD15" s="78">
        <f t="shared" si="6"/>
        <v>84.75</v>
      </c>
      <c r="AF15" s="79">
        <f t="shared" si="7"/>
        <v>166.625</v>
      </c>
      <c r="AG15" s="89">
        <f t="shared" si="8"/>
        <v>0.833125</v>
      </c>
      <c r="AH15" s="79">
        <f t="shared" si="9"/>
        <v>81.900000000000006</v>
      </c>
      <c r="AI15" s="89">
        <f t="shared" si="10"/>
        <v>0.81900000000000006</v>
      </c>
      <c r="AJ15" s="79"/>
      <c r="AK15" s="89" t="str">
        <f t="shared" si="11"/>
        <v/>
      </c>
      <c r="AL15" s="79"/>
      <c r="AM15" s="89" t="str">
        <f t="shared" si="12"/>
        <v/>
      </c>
      <c r="AN15" s="80"/>
      <c r="AO15" s="80"/>
      <c r="AP15" s="80"/>
      <c r="AQ15" s="80"/>
      <c r="AR15" s="80"/>
      <c r="AS15" s="80"/>
      <c r="AT15" s="80">
        <f t="shared" si="13"/>
        <v>85</v>
      </c>
      <c r="AU15" s="89">
        <f t="shared" si="14"/>
        <v>0.85</v>
      </c>
      <c r="AV15" s="79">
        <f t="shared" si="15"/>
        <v>42.5</v>
      </c>
      <c r="AW15" s="89">
        <f t="shared" si="16"/>
        <v>0.85</v>
      </c>
      <c r="AX15" s="79">
        <f t="shared" si="17"/>
        <v>70.531499999999994</v>
      </c>
      <c r="AY15" s="89">
        <f t="shared" si="18"/>
        <v>0.89280379746835437</v>
      </c>
      <c r="AZ15" s="80">
        <f t="shared" si="19"/>
        <v>84.649499999999989</v>
      </c>
      <c r="BA15" s="89">
        <f t="shared" si="20"/>
        <v>0.69958264462809905</v>
      </c>
      <c r="BB15" s="79">
        <f t="shared" si="21"/>
        <v>84.75</v>
      </c>
      <c r="BC15" s="89">
        <f t="shared" si="22"/>
        <v>0.84750000000000003</v>
      </c>
      <c r="BF15" s="4">
        <f>IF(W15="","",IFERROR(M15*($BF$9/100),""))</f>
        <v>42.5</v>
      </c>
      <c r="BG15" s="4">
        <f>IF(W15="","",IFERROR(G15*($BG$9/100),""))</f>
        <v>15.1008</v>
      </c>
      <c r="BH15" s="81">
        <f>IF(V15="","",IFERROR(V15*($BH$9/100),""))</f>
        <v>40.075000000000003</v>
      </c>
      <c r="BI15" s="81">
        <f>IF(D15="","",IFERROR(D15*($BI$9/100),""))</f>
        <v>40.450000000000003</v>
      </c>
      <c r="BJ15" s="81">
        <f>IF(W15="","",IFERROR(W15*($W$9/100),""))</f>
        <v>43.65</v>
      </c>
      <c r="BK15" s="4"/>
      <c r="BL15" s="4"/>
      <c r="BM15" s="4"/>
      <c r="BN15" s="4"/>
      <c r="BO15" s="81">
        <f>IF(S15="","",IFERROR(S15*($S$9/100),""))</f>
        <v>33.65</v>
      </c>
      <c r="BP15" s="81">
        <f>IF(P15="","",IFERROR(P15*($P$9/100),""))</f>
        <v>39.5</v>
      </c>
      <c r="BQ15" s="81">
        <f>IF(N15="","",IFERROR(N15*($N$9/100),""))</f>
        <v>42.5</v>
      </c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81">
        <f>IF(Q15="","",IFERROR(Q15*($Q$9/100),""))</f>
        <v>36</v>
      </c>
      <c r="CE15" s="81">
        <f>IF(T15="","",IFERROR(T15*($CE$9/100),""))</f>
        <v>31.9</v>
      </c>
      <c r="CF15" s="81" t="str">
        <f>IFERROR(IF(Y15="","",IFERROR(Y15*($Y$9/100),""))+IF(AB15="","",IFERROR(AB15*($AB$9/100),""))+IF(#REF!="","",IFERROR(#REF!*(#REF!/100),"")),"")</f>
        <v/>
      </c>
      <c r="CG15" s="4"/>
      <c r="CH15" s="4"/>
      <c r="CI15" s="4"/>
      <c r="CJ15" s="81" t="str">
        <f>IFERROR(IF(#REF!="","",IFERROR(#REF!*(#REF!/100),"")),"")</f>
        <v/>
      </c>
      <c r="CK15" s="81" t="str">
        <f>IFERROR(IF(#REF!="","",IFERROR(#REF!*(#REF!/100),""))+IF(#REF!="","",IFERROR(#REF!*(#REF!/100),"")),"")</f>
        <v/>
      </c>
      <c r="CL15" s="81" t="str">
        <f>IFERROR(IF(E15="","",IFERROR(E15*($E$9/100),""))+IF(K15="","",IFERROR(K15*($K$9/100),""))+IF(#REF!="","",IFERROR(#REF!*(#REF!/100),""))+IF(#REF!="","",IFERROR(#REF!*(#REF!/100),"")),"")</f>
        <v/>
      </c>
      <c r="CM15" s="4"/>
      <c r="CN15" s="81" t="str">
        <f>IFERROR(IF(AC15="","",IFERROR(AC15*($AC$9/100),""))+IF(#REF!="","",IFERROR(#REF!*(#REF!/100),"")),"")</f>
        <v/>
      </c>
      <c r="CO15" s="81">
        <f>IFERROR(IF(Z15="","",IFERROR(Z15*($Z$9/100),"")),"")</f>
        <v>41.45</v>
      </c>
      <c r="CP15">
        <f t="shared" si="23"/>
        <v>406.7758</v>
      </c>
      <c r="CQ15" s="82" t="e">
        <f t="shared" si="24"/>
        <v>#REF!</v>
      </c>
    </row>
    <row r="16" spans="1:95">
      <c r="A16" s="206">
        <v>6</v>
      </c>
      <c r="B16" s="207" t="s">
        <v>290</v>
      </c>
      <c r="C16" s="207" t="s">
        <v>291</v>
      </c>
      <c r="D16" s="73">
        <f>'Penguk.CPMK-Smt1'!D16</f>
        <v>80.900000000000006</v>
      </c>
      <c r="E16" s="73">
        <f>'Penguk.CPMK-Smt1'!E16</f>
        <v>81.900000000000006</v>
      </c>
      <c r="F16" s="73">
        <f t="shared" si="0"/>
        <v>81.400000000000006</v>
      </c>
      <c r="G16" s="91">
        <f>'Penguk.CPMK-Smt1'!G16</f>
        <v>94.38</v>
      </c>
      <c r="H16" s="91">
        <f>'Penguk.CPMK-Smt1'!H16</f>
        <v>91.88</v>
      </c>
      <c r="I16" s="91">
        <f>'Penguk.CPMK-Smt1'!I16</f>
        <v>83.08</v>
      </c>
      <c r="J16" s="91">
        <f>'Penguk.CPMK-Smt1'!J16</f>
        <v>78</v>
      </c>
      <c r="K16" s="91">
        <f>'Penguk.CPMK-Smt1'!K16</f>
        <v>83.81</v>
      </c>
      <c r="L16" s="91">
        <f t="shared" si="1"/>
        <v>32.700900000000004</v>
      </c>
      <c r="M16" s="74">
        <f>'Penguk.CPMK-Smt1'!M16</f>
        <v>85</v>
      </c>
      <c r="N16" s="74">
        <f>'Penguk.CPMK-Smt1'!N16</f>
        <v>85</v>
      </c>
      <c r="O16" s="74">
        <f t="shared" si="2"/>
        <v>85</v>
      </c>
      <c r="P16" s="75">
        <f>'Penguk.CPMK-Smt1'!P16</f>
        <v>79</v>
      </c>
      <c r="Q16" s="75">
        <f>'Penguk.CPMK-Smt1'!Q16</f>
        <v>82.5</v>
      </c>
      <c r="R16" s="75">
        <f t="shared" si="3"/>
        <v>80.75</v>
      </c>
      <c r="S16" s="76">
        <f>'Penguk.CPMK-Smt1'!S16</f>
        <v>64.099999999999994</v>
      </c>
      <c r="T16" s="76">
        <f>'Penguk.CPMK-Smt1'!T16</f>
        <v>71.8</v>
      </c>
      <c r="U16" s="76">
        <f t="shared" si="4"/>
        <v>67.949999999999989</v>
      </c>
      <c r="V16" s="38">
        <f>'Penguk.CPMK-Smt1'!V16</f>
        <v>79.849999999999994</v>
      </c>
      <c r="W16" s="38">
        <f>'Penguk.CPMK-Smt1'!W16</f>
        <v>89.4</v>
      </c>
      <c r="X16" s="38">
        <f t="shared" si="5"/>
        <v>84.625</v>
      </c>
      <c r="Y16" s="77">
        <f>'Penguk.CPMK-Smt1'!Y16</f>
        <v>79.25</v>
      </c>
      <c r="Z16" s="77">
        <f>'Penguk.CPMK-Smt1'!Z16</f>
        <v>79.25</v>
      </c>
      <c r="AA16" s="77">
        <f t="shared" si="25"/>
        <v>79.25</v>
      </c>
      <c r="AB16" s="78">
        <f>'Penguk.CPMK-Smt1'!AB16</f>
        <v>91</v>
      </c>
      <c r="AC16" s="78">
        <f>'Penguk.CPMK-Smt1'!AC16</f>
        <v>91</v>
      </c>
      <c r="AD16" s="78">
        <f t="shared" si="6"/>
        <v>91</v>
      </c>
      <c r="AF16" s="79">
        <f t="shared" si="7"/>
        <v>163.875</v>
      </c>
      <c r="AG16" s="89">
        <f t="shared" si="8"/>
        <v>0.81937499999999996</v>
      </c>
      <c r="AH16" s="79">
        <f t="shared" si="9"/>
        <v>81.400000000000006</v>
      </c>
      <c r="AI16" s="89">
        <f t="shared" si="10"/>
        <v>0.81400000000000006</v>
      </c>
      <c r="AJ16" s="79"/>
      <c r="AK16" s="89"/>
      <c r="AL16" s="79"/>
      <c r="AM16" s="89"/>
      <c r="AN16" s="80"/>
      <c r="AO16" s="80"/>
      <c r="AP16" s="80"/>
      <c r="AQ16" s="80"/>
      <c r="AR16" s="80"/>
      <c r="AS16" s="80"/>
      <c r="AT16" s="80">
        <f t="shared" si="13"/>
        <v>85</v>
      </c>
      <c r="AU16" s="89">
        <f t="shared" si="14"/>
        <v>0.85</v>
      </c>
      <c r="AV16" s="79">
        <f t="shared" si="15"/>
        <v>42.5</v>
      </c>
      <c r="AW16" s="89">
        <f t="shared" si="16"/>
        <v>0.85</v>
      </c>
      <c r="AX16" s="79">
        <f t="shared" si="17"/>
        <v>67.782399999999996</v>
      </c>
      <c r="AY16" s="89">
        <f t="shared" si="18"/>
        <v>0.85800506329113924</v>
      </c>
      <c r="AZ16" s="80">
        <f t="shared" si="19"/>
        <v>85.550099999999986</v>
      </c>
      <c r="BA16" s="89">
        <f t="shared" si="20"/>
        <v>0.70702561983471068</v>
      </c>
      <c r="BB16" s="79">
        <f t="shared" si="21"/>
        <v>91</v>
      </c>
      <c r="BC16" s="89">
        <f t="shared" si="22"/>
        <v>0.91</v>
      </c>
      <c r="BF16" s="4"/>
      <c r="BG16" s="4"/>
      <c r="BH16" s="81"/>
      <c r="BI16" s="81"/>
      <c r="BJ16" s="81"/>
      <c r="BK16" s="4"/>
      <c r="BL16" s="4"/>
      <c r="BM16" s="4"/>
      <c r="BN16" s="4"/>
      <c r="BO16" s="81"/>
      <c r="BP16" s="81"/>
      <c r="BQ16" s="81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81"/>
      <c r="CE16" s="81"/>
      <c r="CF16" s="81"/>
      <c r="CG16" s="4"/>
      <c r="CH16" s="4"/>
      <c r="CI16" s="4"/>
      <c r="CJ16" s="81"/>
      <c r="CK16" s="81"/>
      <c r="CL16" s="81"/>
      <c r="CM16" s="4"/>
      <c r="CN16" s="81"/>
      <c r="CO16" s="81"/>
      <c r="CQ16" s="82"/>
    </row>
    <row r="17" spans="1:95">
      <c r="A17" s="206">
        <v>7</v>
      </c>
      <c r="B17" s="207" t="s">
        <v>292</v>
      </c>
      <c r="C17" s="207" t="s">
        <v>293</v>
      </c>
      <c r="D17" s="73">
        <f>'Penguk.CPMK-Smt1'!D17</f>
        <v>81.5</v>
      </c>
      <c r="E17" s="73">
        <f>'Penguk.CPMK-Smt1'!E17</f>
        <v>87</v>
      </c>
      <c r="F17" s="73">
        <f t="shared" si="0"/>
        <v>84.25</v>
      </c>
      <c r="G17" s="91">
        <f>'Penguk.CPMK-Smt1'!G17</f>
        <v>94.38</v>
      </c>
      <c r="H17" s="91">
        <f>'Penguk.CPMK-Smt1'!H17</f>
        <v>91.88</v>
      </c>
      <c r="I17" s="91">
        <f>'Penguk.CPMK-Smt1'!I17</f>
        <v>86.92</v>
      </c>
      <c r="J17" s="91">
        <f>'Penguk.CPMK-Smt1'!J17</f>
        <v>77.290000000000006</v>
      </c>
      <c r="K17" s="91">
        <f>'Penguk.CPMK-Smt1'!K17</f>
        <v>87.38</v>
      </c>
      <c r="L17" s="91">
        <f t="shared" si="1"/>
        <v>33.450599999999994</v>
      </c>
      <c r="M17" s="74">
        <f>'Penguk.CPMK-Smt1'!M17</f>
        <v>85</v>
      </c>
      <c r="N17" s="74">
        <f>'Penguk.CPMK-Smt1'!N17</f>
        <v>85</v>
      </c>
      <c r="O17" s="74">
        <f t="shared" si="2"/>
        <v>85</v>
      </c>
      <c r="P17" s="75">
        <f>'Penguk.CPMK-Smt1'!P17</f>
        <v>89.5</v>
      </c>
      <c r="Q17" s="75">
        <f>'Penguk.CPMK-Smt1'!Q17</f>
        <v>89.5</v>
      </c>
      <c r="R17" s="75">
        <f t="shared" si="3"/>
        <v>89.5</v>
      </c>
      <c r="S17" s="76">
        <f>'Penguk.CPMK-Smt1'!S17</f>
        <v>78.400000000000006</v>
      </c>
      <c r="T17" s="76">
        <f>'Penguk.CPMK-Smt1'!T17</f>
        <v>86.1</v>
      </c>
      <c r="U17" s="76">
        <f t="shared" si="4"/>
        <v>82.25</v>
      </c>
      <c r="V17" s="38">
        <f>'Penguk.CPMK-Smt1'!V17</f>
        <v>93.7</v>
      </c>
      <c r="W17" s="38">
        <f>'Penguk.CPMK-Smt1'!W17</f>
        <v>97</v>
      </c>
      <c r="X17" s="38">
        <f t="shared" si="5"/>
        <v>95.35</v>
      </c>
      <c r="Y17" s="77">
        <f>'Penguk.CPMK-Smt1'!Y17</f>
        <v>89.55</v>
      </c>
      <c r="Z17" s="77">
        <f>'Penguk.CPMK-Smt1'!Z17</f>
        <v>89.55</v>
      </c>
      <c r="AA17" s="77">
        <f t="shared" si="25"/>
        <v>89.55</v>
      </c>
      <c r="AB17" s="78">
        <f>'Penguk.CPMK-Smt1'!AB17</f>
        <v>91.45</v>
      </c>
      <c r="AC17" s="78">
        <f>'Penguk.CPMK-Smt1'!AC17</f>
        <v>91.45</v>
      </c>
      <c r="AD17" s="78">
        <f t="shared" si="6"/>
        <v>91.45</v>
      </c>
      <c r="AF17" s="79">
        <f t="shared" si="7"/>
        <v>184.9</v>
      </c>
      <c r="AG17" s="89">
        <f t="shared" si="8"/>
        <v>0.92449999999999999</v>
      </c>
      <c r="AH17" s="79">
        <f t="shared" si="9"/>
        <v>84.25</v>
      </c>
      <c r="AI17" s="89">
        <f t="shared" si="10"/>
        <v>0.84250000000000003</v>
      </c>
      <c r="AJ17" s="79"/>
      <c r="AK17" s="89"/>
      <c r="AL17" s="79"/>
      <c r="AM17" s="89"/>
      <c r="AN17" s="80"/>
      <c r="AO17" s="80"/>
      <c r="AP17" s="80"/>
      <c r="AQ17" s="80"/>
      <c r="AR17" s="80"/>
      <c r="AS17" s="80"/>
      <c r="AT17" s="80">
        <f t="shared" si="13"/>
        <v>85</v>
      </c>
      <c r="AU17" s="89">
        <f t="shared" si="14"/>
        <v>0.85</v>
      </c>
      <c r="AV17" s="79">
        <f t="shared" si="15"/>
        <v>42.5</v>
      </c>
      <c r="AW17" s="89">
        <f t="shared" si="16"/>
        <v>0.85</v>
      </c>
      <c r="AX17" s="79">
        <f t="shared" si="17"/>
        <v>68.631700000000009</v>
      </c>
      <c r="AY17" s="89">
        <f t="shared" si="18"/>
        <v>0.86875569620253179</v>
      </c>
      <c r="AZ17" s="80">
        <f t="shared" si="19"/>
        <v>100.5998</v>
      </c>
      <c r="BA17" s="89">
        <f t="shared" si="20"/>
        <v>0.831403305785124</v>
      </c>
      <c r="BB17" s="79">
        <f t="shared" si="21"/>
        <v>91.45</v>
      </c>
      <c r="BC17" s="89">
        <f t="shared" si="22"/>
        <v>0.91449999999999998</v>
      </c>
      <c r="BF17" s="4"/>
      <c r="BG17" s="4"/>
      <c r="BH17" s="81"/>
      <c r="BI17" s="81"/>
      <c r="BJ17" s="81"/>
      <c r="BK17" s="4"/>
      <c r="BL17" s="4"/>
      <c r="BM17" s="4"/>
      <c r="BN17" s="4"/>
      <c r="BO17" s="81"/>
      <c r="BP17" s="81"/>
      <c r="BQ17" s="81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81"/>
      <c r="CE17" s="81"/>
      <c r="CF17" s="81"/>
      <c r="CG17" s="4"/>
      <c r="CH17" s="4"/>
      <c r="CI17" s="4"/>
      <c r="CJ17" s="81"/>
      <c r="CK17" s="81"/>
      <c r="CL17" s="81"/>
      <c r="CM17" s="4"/>
      <c r="CN17" s="81"/>
      <c r="CO17" s="81"/>
      <c r="CQ17" s="82"/>
    </row>
    <row r="18" spans="1:95">
      <c r="A18" s="206">
        <v>8</v>
      </c>
      <c r="B18" s="207" t="s">
        <v>294</v>
      </c>
      <c r="C18" s="207" t="s">
        <v>295</v>
      </c>
      <c r="D18" s="73">
        <f>'Penguk.CPMK-Smt1'!D18</f>
        <v>81.5</v>
      </c>
      <c r="E18" s="73">
        <f>'Penguk.CPMK-Smt1'!E18</f>
        <v>83</v>
      </c>
      <c r="F18" s="73">
        <f t="shared" si="0"/>
        <v>82.25</v>
      </c>
      <c r="G18" s="91">
        <f>'Penguk.CPMK-Smt1'!G18</f>
        <v>94.38</v>
      </c>
      <c r="H18" s="91">
        <f>'Penguk.CPMK-Smt1'!H18</f>
        <v>91.88</v>
      </c>
      <c r="I18" s="91">
        <f>'Penguk.CPMK-Smt1'!I18</f>
        <v>90.77</v>
      </c>
      <c r="J18" s="91">
        <f>'Penguk.CPMK-Smt1'!J18</f>
        <v>79.430000000000007</v>
      </c>
      <c r="K18" s="91">
        <f>'Penguk.CPMK-Smt1'!K18</f>
        <v>90.95</v>
      </c>
      <c r="L18" s="91">
        <f t="shared" si="1"/>
        <v>34.200299999999999</v>
      </c>
      <c r="M18" s="74">
        <f>'Penguk.CPMK-Smt1'!M18</f>
        <v>85</v>
      </c>
      <c r="N18" s="74">
        <f>'Penguk.CPMK-Smt1'!N18</f>
        <v>85</v>
      </c>
      <c r="O18" s="74">
        <f t="shared" si="2"/>
        <v>85</v>
      </c>
      <c r="P18" s="75">
        <f>'Penguk.CPMK-Smt1'!P18</f>
        <v>79</v>
      </c>
      <c r="Q18" s="75">
        <f>'Penguk.CPMK-Smt1'!Q18</f>
        <v>79</v>
      </c>
      <c r="R18" s="75">
        <f t="shared" si="3"/>
        <v>79</v>
      </c>
      <c r="S18" s="76">
        <f>'Penguk.CPMK-Smt1'!S18</f>
        <v>67.2</v>
      </c>
      <c r="T18" s="76">
        <f>'Penguk.CPMK-Smt1'!T18</f>
        <v>67.900000000000006</v>
      </c>
      <c r="U18" s="76">
        <f t="shared" si="4"/>
        <v>67.550000000000011</v>
      </c>
      <c r="V18" s="38">
        <f>'Penguk.CPMK-Smt1'!V18</f>
        <v>81.150000000000006</v>
      </c>
      <c r="W18" s="38">
        <f>'Penguk.CPMK-Smt1'!W18</f>
        <v>90.6</v>
      </c>
      <c r="X18" s="38">
        <f t="shared" si="5"/>
        <v>85.875</v>
      </c>
      <c r="Y18" s="77">
        <f>'Penguk.CPMK-Smt1'!Y18</f>
        <v>81.5</v>
      </c>
      <c r="Z18" s="77">
        <f>'Penguk.CPMK-Smt1'!Z18</f>
        <v>81.5</v>
      </c>
      <c r="AA18" s="77">
        <f t="shared" si="25"/>
        <v>81.5</v>
      </c>
      <c r="AB18" s="78">
        <f>'Penguk.CPMK-Smt1'!AB18</f>
        <v>81.25</v>
      </c>
      <c r="AC18" s="78">
        <f>'Penguk.CPMK-Smt1'!AC18</f>
        <v>81.25</v>
      </c>
      <c r="AD18" s="78">
        <f t="shared" si="6"/>
        <v>81.25</v>
      </c>
      <c r="AF18" s="79">
        <f t="shared" si="7"/>
        <v>167.375</v>
      </c>
      <c r="AG18" s="89">
        <f t="shared" si="8"/>
        <v>0.83687500000000004</v>
      </c>
      <c r="AH18" s="79">
        <f t="shared" si="9"/>
        <v>82.25</v>
      </c>
      <c r="AI18" s="89">
        <f t="shared" si="10"/>
        <v>0.82250000000000001</v>
      </c>
      <c r="AJ18" s="79"/>
      <c r="AK18" s="89"/>
      <c r="AL18" s="79"/>
      <c r="AM18" s="89"/>
      <c r="AN18" s="80"/>
      <c r="AO18" s="80"/>
      <c r="AP18" s="80"/>
      <c r="AQ18" s="80"/>
      <c r="AR18" s="80"/>
      <c r="AS18" s="80"/>
      <c r="AT18" s="80">
        <f t="shared" si="13"/>
        <v>85</v>
      </c>
      <c r="AU18" s="89">
        <f t="shared" si="14"/>
        <v>0.85</v>
      </c>
      <c r="AV18" s="79">
        <f t="shared" si="15"/>
        <v>42.5</v>
      </c>
      <c r="AW18" s="89">
        <f t="shared" si="16"/>
        <v>0.85</v>
      </c>
      <c r="AX18" s="79">
        <f t="shared" si="17"/>
        <v>70.082099999999997</v>
      </c>
      <c r="AY18" s="89">
        <f t="shared" si="18"/>
        <v>0.88711518987341764</v>
      </c>
      <c r="AZ18" s="80">
        <f t="shared" si="19"/>
        <v>86.649500000000003</v>
      </c>
      <c r="BA18" s="89">
        <f t="shared" si="20"/>
        <v>0.71611157024793393</v>
      </c>
      <c r="BB18" s="79">
        <f t="shared" si="21"/>
        <v>81.25</v>
      </c>
      <c r="BC18" s="89">
        <f t="shared" si="22"/>
        <v>0.8125</v>
      </c>
      <c r="BF18" s="4"/>
      <c r="BG18" s="4"/>
      <c r="BH18" s="81"/>
      <c r="BI18" s="81"/>
      <c r="BJ18" s="81"/>
      <c r="BK18" s="4"/>
      <c r="BL18" s="4"/>
      <c r="BM18" s="4"/>
      <c r="BN18" s="4"/>
      <c r="BO18" s="81"/>
      <c r="BP18" s="81"/>
      <c r="BQ18" s="81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81"/>
      <c r="CE18" s="81"/>
      <c r="CF18" s="81"/>
      <c r="CG18" s="4"/>
      <c r="CH18" s="4"/>
      <c r="CI18" s="4"/>
      <c r="CJ18" s="81"/>
      <c r="CK18" s="81"/>
      <c r="CL18" s="81"/>
      <c r="CM18" s="4"/>
      <c r="CN18" s="81"/>
      <c r="CO18" s="81"/>
      <c r="CQ18" s="82"/>
    </row>
    <row r="19" spans="1:95">
      <c r="A19" s="206">
        <v>9</v>
      </c>
      <c r="B19" s="207" t="s">
        <v>296</v>
      </c>
      <c r="C19" s="207" t="s">
        <v>297</v>
      </c>
      <c r="D19" s="73">
        <f>'Penguk.CPMK-Smt1'!D19</f>
        <v>81.5</v>
      </c>
      <c r="E19" s="73">
        <f>'Penguk.CPMK-Smt1'!E19</f>
        <v>82.5</v>
      </c>
      <c r="F19" s="73">
        <f t="shared" si="0"/>
        <v>82</v>
      </c>
      <c r="G19" s="91">
        <f>'Penguk.CPMK-Smt1'!G19</f>
        <v>94.38</v>
      </c>
      <c r="H19" s="91">
        <f>'Penguk.CPMK-Smt1'!H19</f>
        <v>91.88</v>
      </c>
      <c r="I19" s="91">
        <f>'Penguk.CPMK-Smt1'!I19</f>
        <v>83.08</v>
      </c>
      <c r="J19" s="91">
        <f>'Penguk.CPMK-Smt1'!J19</f>
        <v>81.05</v>
      </c>
      <c r="K19" s="91">
        <f>'Penguk.CPMK-Smt1'!K19</f>
        <v>83.81</v>
      </c>
      <c r="L19" s="91">
        <f t="shared" si="1"/>
        <v>32.700900000000004</v>
      </c>
      <c r="M19" s="74">
        <f>'Penguk.CPMK-Smt1'!M19</f>
        <v>85</v>
      </c>
      <c r="N19" s="74">
        <f>'Penguk.CPMK-Smt1'!N19</f>
        <v>85</v>
      </c>
      <c r="O19" s="74">
        <f t="shared" si="2"/>
        <v>85</v>
      </c>
      <c r="P19" s="75">
        <f>'Penguk.CPMK-Smt1'!P19</f>
        <v>89.5</v>
      </c>
      <c r="Q19" s="75">
        <f>'Penguk.CPMK-Smt1'!Q19</f>
        <v>89.5</v>
      </c>
      <c r="R19" s="75">
        <f t="shared" si="3"/>
        <v>89.5</v>
      </c>
      <c r="S19" s="76">
        <f>'Penguk.CPMK-Smt1'!S19</f>
        <v>64.400000000000006</v>
      </c>
      <c r="T19" s="76">
        <f>'Penguk.CPMK-Smt1'!T19</f>
        <v>68.599999999999994</v>
      </c>
      <c r="U19" s="76">
        <f t="shared" si="4"/>
        <v>66.5</v>
      </c>
      <c r="V19" s="38">
        <f>'Penguk.CPMK-Smt1'!V19</f>
        <v>81.55</v>
      </c>
      <c r="W19" s="38">
        <f>'Penguk.CPMK-Smt1'!W19</f>
        <v>90.8</v>
      </c>
      <c r="X19" s="38">
        <f t="shared" si="5"/>
        <v>86.174999999999997</v>
      </c>
      <c r="Y19" s="77">
        <f>'Penguk.CPMK-Smt1'!Y19</f>
        <v>82.45</v>
      </c>
      <c r="Z19" s="77">
        <f>'Penguk.CPMK-Smt1'!Z19</f>
        <v>82.45</v>
      </c>
      <c r="AA19" s="77">
        <f t="shared" si="25"/>
        <v>82.45</v>
      </c>
      <c r="AB19" s="78">
        <f>'Penguk.CPMK-Smt1'!AB19</f>
        <v>90.65</v>
      </c>
      <c r="AC19" s="78">
        <f>'Penguk.CPMK-Smt1'!AC19</f>
        <v>90.65</v>
      </c>
      <c r="AD19" s="78">
        <f t="shared" si="6"/>
        <v>90.65</v>
      </c>
      <c r="AF19" s="79">
        <f t="shared" si="7"/>
        <v>168.625</v>
      </c>
      <c r="AG19" s="89">
        <f t="shared" si="8"/>
        <v>0.84312500000000001</v>
      </c>
      <c r="AH19" s="79">
        <f t="shared" si="9"/>
        <v>82</v>
      </c>
      <c r="AI19" s="89">
        <f t="shared" si="10"/>
        <v>0.82</v>
      </c>
      <c r="AJ19" s="79"/>
      <c r="AK19" s="89"/>
      <c r="AL19" s="79"/>
      <c r="AM19" s="89"/>
      <c r="AN19" s="80"/>
      <c r="AO19" s="80"/>
      <c r="AP19" s="80"/>
      <c r="AQ19" s="80"/>
      <c r="AR19" s="80"/>
      <c r="AS19" s="80"/>
      <c r="AT19" s="80">
        <f t="shared" si="13"/>
        <v>85</v>
      </c>
      <c r="AU19" s="89">
        <f t="shared" si="14"/>
        <v>0.85</v>
      </c>
      <c r="AV19" s="79">
        <f t="shared" si="15"/>
        <v>42.5</v>
      </c>
      <c r="AW19" s="89">
        <f t="shared" si="16"/>
        <v>0.85</v>
      </c>
      <c r="AX19" s="79">
        <f t="shared" si="17"/>
        <v>68.422899999999998</v>
      </c>
      <c r="AY19" s="89">
        <f t="shared" si="18"/>
        <v>0.86611265822784811</v>
      </c>
      <c r="AZ19" s="80">
        <f t="shared" si="19"/>
        <v>84.100099999999998</v>
      </c>
      <c r="BA19" s="89">
        <f t="shared" si="20"/>
        <v>0.69504214876033055</v>
      </c>
      <c r="BB19" s="79">
        <f t="shared" si="21"/>
        <v>90.65</v>
      </c>
      <c r="BC19" s="89">
        <f t="shared" si="22"/>
        <v>0.90650000000000008</v>
      </c>
      <c r="BF19" s="4"/>
      <c r="BG19" s="4"/>
      <c r="BH19" s="81"/>
      <c r="BI19" s="81"/>
      <c r="BJ19" s="81"/>
      <c r="BK19" s="4"/>
      <c r="BL19" s="4"/>
      <c r="BM19" s="4"/>
      <c r="BN19" s="4"/>
      <c r="BO19" s="81"/>
      <c r="BP19" s="81"/>
      <c r="BQ19" s="81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81"/>
      <c r="CE19" s="81"/>
      <c r="CF19" s="81"/>
      <c r="CG19" s="4"/>
      <c r="CH19" s="4"/>
      <c r="CI19" s="4"/>
      <c r="CJ19" s="81"/>
      <c r="CK19" s="81"/>
      <c r="CL19" s="81"/>
      <c r="CM19" s="4"/>
      <c r="CN19" s="81"/>
      <c r="CO19" s="81"/>
      <c r="CQ19" s="82"/>
    </row>
    <row r="20" spans="1:95">
      <c r="A20" s="206">
        <v>10</v>
      </c>
      <c r="B20" s="207" t="s">
        <v>298</v>
      </c>
      <c r="C20" s="207" t="s">
        <v>299</v>
      </c>
      <c r="D20" s="73">
        <f>'Penguk.CPMK-Smt1'!D20</f>
        <v>89.5</v>
      </c>
      <c r="E20" s="73">
        <f>'Penguk.CPMK-Smt1'!E20</f>
        <v>99.5</v>
      </c>
      <c r="F20" s="73">
        <f t="shared" si="0"/>
        <v>94.5</v>
      </c>
      <c r="G20" s="91">
        <f>'Penguk.CPMK-Smt1'!G20</f>
        <v>94.38</v>
      </c>
      <c r="H20" s="91">
        <f>'Penguk.CPMK-Smt1'!H20</f>
        <v>91.88</v>
      </c>
      <c r="I20" s="91">
        <f>'Penguk.CPMK-Smt1'!I20</f>
        <v>90.77</v>
      </c>
      <c r="J20" s="91">
        <f>'Penguk.CPMK-Smt1'!J20</f>
        <v>94.52</v>
      </c>
      <c r="K20" s="91">
        <f>'Penguk.CPMK-Smt1'!K20</f>
        <v>90.95</v>
      </c>
      <c r="L20" s="91">
        <f t="shared" si="1"/>
        <v>34.200299999999999</v>
      </c>
      <c r="M20" s="74">
        <f>'Penguk.CPMK-Smt1'!M20</f>
        <v>85</v>
      </c>
      <c r="N20" s="74">
        <f>'Penguk.CPMK-Smt1'!N20</f>
        <v>85</v>
      </c>
      <c r="O20" s="74">
        <f t="shared" si="2"/>
        <v>85</v>
      </c>
      <c r="P20" s="75">
        <f>'Penguk.CPMK-Smt1'!P20</f>
        <v>89.5</v>
      </c>
      <c r="Q20" s="75">
        <f>'Penguk.CPMK-Smt1'!Q20</f>
        <v>89.5</v>
      </c>
      <c r="R20" s="75">
        <f t="shared" si="3"/>
        <v>89.5</v>
      </c>
      <c r="S20" s="76">
        <f>'Penguk.CPMK-Smt1'!S20</f>
        <v>71.400000000000006</v>
      </c>
      <c r="T20" s="76">
        <f>'Penguk.CPMK-Smt1'!T20</f>
        <v>71.400000000000006</v>
      </c>
      <c r="U20" s="76">
        <f t="shared" si="4"/>
        <v>71.400000000000006</v>
      </c>
      <c r="V20" s="38">
        <f>'Penguk.CPMK-Smt1'!V20</f>
        <v>81.25</v>
      </c>
      <c r="W20" s="38">
        <f>'Penguk.CPMK-Smt1'!W20</f>
        <v>92.2</v>
      </c>
      <c r="X20" s="38">
        <f t="shared" si="5"/>
        <v>86.724999999999994</v>
      </c>
      <c r="Y20" s="77">
        <f>'Penguk.CPMK-Smt1'!Y20</f>
        <v>92.4</v>
      </c>
      <c r="Z20" s="77">
        <f>'Penguk.CPMK-Smt1'!Z20</f>
        <v>92.4</v>
      </c>
      <c r="AA20" s="77">
        <f t="shared" si="25"/>
        <v>92.4</v>
      </c>
      <c r="AB20" s="78">
        <f>'Penguk.CPMK-Smt1'!AB20</f>
        <v>92.1</v>
      </c>
      <c r="AC20" s="78">
        <f>'Penguk.CPMK-Smt1'!AC20</f>
        <v>92.1</v>
      </c>
      <c r="AD20" s="78">
        <f t="shared" si="6"/>
        <v>92.1</v>
      </c>
      <c r="AF20" s="79">
        <f t="shared" si="7"/>
        <v>179.125</v>
      </c>
      <c r="AG20" s="89">
        <f t="shared" si="8"/>
        <v>0.895625</v>
      </c>
      <c r="AH20" s="79">
        <f t="shared" si="9"/>
        <v>94.5</v>
      </c>
      <c r="AI20" s="89">
        <f t="shared" si="10"/>
        <v>0.94499999999999995</v>
      </c>
      <c r="AJ20" s="79"/>
      <c r="AK20" s="89"/>
      <c r="AL20" s="79"/>
      <c r="AM20" s="89"/>
      <c r="AN20" s="80"/>
      <c r="AO20" s="80"/>
      <c r="AP20" s="80"/>
      <c r="AQ20" s="80"/>
      <c r="AR20" s="80"/>
      <c r="AS20" s="80"/>
      <c r="AT20" s="80">
        <f t="shared" si="13"/>
        <v>85</v>
      </c>
      <c r="AU20" s="89">
        <f t="shared" si="14"/>
        <v>0.85</v>
      </c>
      <c r="AV20" s="79">
        <f t="shared" si="15"/>
        <v>42.5</v>
      </c>
      <c r="AW20" s="89">
        <f t="shared" si="16"/>
        <v>0.85</v>
      </c>
      <c r="AX20" s="79">
        <f t="shared" si="17"/>
        <v>73.251000000000005</v>
      </c>
      <c r="AY20" s="89">
        <f t="shared" si="18"/>
        <v>0.92722784810126591</v>
      </c>
      <c r="AZ20" s="80">
        <f t="shared" si="19"/>
        <v>90.499500000000012</v>
      </c>
      <c r="BA20" s="89">
        <f t="shared" si="20"/>
        <v>0.74792975206611578</v>
      </c>
      <c r="BB20" s="79">
        <f t="shared" si="21"/>
        <v>92.1</v>
      </c>
      <c r="BC20" s="89">
        <f t="shared" si="22"/>
        <v>0.92099999999999993</v>
      </c>
      <c r="BF20" s="4"/>
      <c r="BG20" s="4"/>
      <c r="BH20" s="81"/>
      <c r="BI20" s="81"/>
      <c r="BJ20" s="81"/>
      <c r="BK20" s="4"/>
      <c r="BL20" s="4"/>
      <c r="BM20" s="4"/>
      <c r="BN20" s="4"/>
      <c r="BO20" s="81"/>
      <c r="BP20" s="81"/>
      <c r="BQ20" s="81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81"/>
      <c r="CE20" s="81"/>
      <c r="CF20" s="81"/>
      <c r="CG20" s="4"/>
      <c r="CH20" s="4"/>
      <c r="CI20" s="4"/>
      <c r="CJ20" s="81"/>
      <c r="CK20" s="81"/>
      <c r="CL20" s="81"/>
      <c r="CM20" s="4"/>
      <c r="CN20" s="81"/>
      <c r="CO20" s="81"/>
      <c r="CQ20" s="82"/>
    </row>
    <row r="21" spans="1:95">
      <c r="A21" s="206">
        <v>11</v>
      </c>
      <c r="B21" s="207" t="s">
        <v>300</v>
      </c>
      <c r="C21" s="207" t="s">
        <v>301</v>
      </c>
      <c r="D21" s="73">
        <f>'Penguk.CPMK-Smt1'!D21</f>
        <v>86</v>
      </c>
      <c r="E21" s="73">
        <f>'Penguk.CPMK-Smt1'!E21</f>
        <v>95</v>
      </c>
      <c r="F21" s="73">
        <f t="shared" si="0"/>
        <v>90.5</v>
      </c>
      <c r="G21" s="91">
        <f>'Penguk.CPMK-Smt1'!G21</f>
        <v>94.38</v>
      </c>
      <c r="H21" s="91">
        <f>'Penguk.CPMK-Smt1'!H21</f>
        <v>91.88</v>
      </c>
      <c r="I21" s="91">
        <f>'Penguk.CPMK-Smt1'!I21</f>
        <v>89.23</v>
      </c>
      <c r="J21" s="91">
        <f>'Penguk.CPMK-Smt1'!J21</f>
        <v>94.52</v>
      </c>
      <c r="K21" s="91">
        <f>'Penguk.CPMK-Smt1'!K21</f>
        <v>89.52</v>
      </c>
      <c r="L21" s="91">
        <f t="shared" si="1"/>
        <v>33.9</v>
      </c>
      <c r="M21" s="74">
        <f>'Penguk.CPMK-Smt1'!M21</f>
        <v>85</v>
      </c>
      <c r="N21" s="74">
        <f>'Penguk.CPMK-Smt1'!N21</f>
        <v>85</v>
      </c>
      <c r="O21" s="74">
        <f t="shared" si="2"/>
        <v>85</v>
      </c>
      <c r="P21" s="75">
        <f>'Penguk.CPMK-Smt1'!P21</f>
        <v>89.5</v>
      </c>
      <c r="Q21" s="75">
        <f>'Penguk.CPMK-Smt1'!Q21</f>
        <v>89.5</v>
      </c>
      <c r="R21" s="75">
        <f t="shared" si="3"/>
        <v>89.5</v>
      </c>
      <c r="S21" s="76">
        <f>'Penguk.CPMK-Smt1'!S21</f>
        <v>66.400000000000006</v>
      </c>
      <c r="T21" s="76">
        <f>'Penguk.CPMK-Smt1'!T21</f>
        <v>67.900000000000006</v>
      </c>
      <c r="U21" s="76">
        <f t="shared" si="4"/>
        <v>67.150000000000006</v>
      </c>
      <c r="V21" s="38">
        <f>'Penguk.CPMK-Smt1'!V21</f>
        <v>81.55</v>
      </c>
      <c r="W21" s="38">
        <f>'Penguk.CPMK-Smt1'!W21</f>
        <v>92.2</v>
      </c>
      <c r="X21" s="38">
        <f t="shared" si="5"/>
        <v>86.875</v>
      </c>
      <c r="Y21" s="77">
        <f>'Penguk.CPMK-Smt1'!Y21</f>
        <v>83.85</v>
      </c>
      <c r="Z21" s="77">
        <f>'Penguk.CPMK-Smt1'!Z21</f>
        <v>83.85</v>
      </c>
      <c r="AA21" s="77">
        <f t="shared" si="25"/>
        <v>83.85</v>
      </c>
      <c r="AB21" s="78">
        <f>'Penguk.CPMK-Smt1'!AB21</f>
        <v>88.25</v>
      </c>
      <c r="AC21" s="78">
        <f>'Penguk.CPMK-Smt1'!AC21</f>
        <v>88.25</v>
      </c>
      <c r="AD21" s="78">
        <f t="shared" si="6"/>
        <v>88.25</v>
      </c>
      <c r="AF21" s="79">
        <f t="shared" si="7"/>
        <v>170.72500000000002</v>
      </c>
      <c r="AG21" s="89">
        <f t="shared" si="8"/>
        <v>0.85362500000000008</v>
      </c>
      <c r="AH21" s="79">
        <f t="shared" si="9"/>
        <v>90.5</v>
      </c>
      <c r="AI21" s="89">
        <f t="shared" si="10"/>
        <v>0.90500000000000003</v>
      </c>
      <c r="AJ21" s="79"/>
      <c r="AK21" s="89"/>
      <c r="AL21" s="79"/>
      <c r="AM21" s="89"/>
      <c r="AN21" s="80"/>
      <c r="AO21" s="80"/>
      <c r="AP21" s="80"/>
      <c r="AQ21" s="80"/>
      <c r="AR21" s="80"/>
      <c r="AS21" s="80"/>
      <c r="AT21" s="80">
        <f t="shared" si="13"/>
        <v>85</v>
      </c>
      <c r="AU21" s="89">
        <f t="shared" si="14"/>
        <v>0.85</v>
      </c>
      <c r="AV21" s="79">
        <f t="shared" si="15"/>
        <v>42.5</v>
      </c>
      <c r="AW21" s="89">
        <f t="shared" si="16"/>
        <v>0.85</v>
      </c>
      <c r="AX21" s="79">
        <f t="shared" si="17"/>
        <v>72.8506</v>
      </c>
      <c r="AY21" s="89">
        <f t="shared" si="18"/>
        <v>0.92215949367088612</v>
      </c>
      <c r="AZ21" s="80">
        <f t="shared" si="19"/>
        <v>85.949200000000005</v>
      </c>
      <c r="BA21" s="89">
        <f t="shared" si="20"/>
        <v>0.71032396694214883</v>
      </c>
      <c r="BB21" s="79">
        <f t="shared" si="21"/>
        <v>88.25</v>
      </c>
      <c r="BC21" s="89">
        <f t="shared" si="22"/>
        <v>0.88249999999999995</v>
      </c>
      <c r="BF21" s="4"/>
      <c r="BG21" s="4"/>
      <c r="BH21" s="81"/>
      <c r="BI21" s="81"/>
      <c r="BJ21" s="81"/>
      <c r="BK21" s="4"/>
      <c r="BL21" s="4"/>
      <c r="BM21" s="4"/>
      <c r="BN21" s="4"/>
      <c r="BO21" s="81"/>
      <c r="BP21" s="81"/>
      <c r="BQ21" s="81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81"/>
      <c r="CE21" s="81"/>
      <c r="CF21" s="81"/>
      <c r="CG21" s="4"/>
      <c r="CH21" s="4"/>
      <c r="CI21" s="4"/>
      <c r="CJ21" s="81"/>
      <c r="CK21" s="81"/>
      <c r="CL21" s="81"/>
      <c r="CM21" s="4"/>
      <c r="CN21" s="81"/>
      <c r="CO21" s="81"/>
      <c r="CQ21" s="82"/>
    </row>
    <row r="22" spans="1:95">
      <c r="A22" s="206">
        <v>12</v>
      </c>
      <c r="B22" s="207" t="s">
        <v>302</v>
      </c>
      <c r="C22" s="207" t="s">
        <v>303</v>
      </c>
      <c r="D22" s="73">
        <f>'Penguk.CPMK-Smt1'!D22</f>
        <v>78</v>
      </c>
      <c r="E22" s="73">
        <f>'Penguk.CPMK-Smt1'!E22</f>
        <v>83</v>
      </c>
      <c r="F22" s="73">
        <f t="shared" si="0"/>
        <v>80.5</v>
      </c>
      <c r="G22" s="91">
        <f>'Penguk.CPMK-Smt1'!G22</f>
        <v>94.38</v>
      </c>
      <c r="H22" s="91">
        <f>'Penguk.CPMK-Smt1'!H22</f>
        <v>91.88</v>
      </c>
      <c r="I22" s="91">
        <f>'Penguk.CPMK-Smt1'!I22</f>
        <v>83.08</v>
      </c>
      <c r="J22" s="91">
        <f>'Penguk.CPMK-Smt1'!J22</f>
        <v>94.52</v>
      </c>
      <c r="K22" s="91">
        <f>'Penguk.CPMK-Smt1'!K22</f>
        <v>83.81</v>
      </c>
      <c r="L22" s="91">
        <f t="shared" si="1"/>
        <v>32.700900000000004</v>
      </c>
      <c r="M22" s="74">
        <f>'Penguk.CPMK-Smt1'!M22</f>
        <v>85</v>
      </c>
      <c r="N22" s="74">
        <f>'Penguk.CPMK-Smt1'!N22</f>
        <v>85</v>
      </c>
      <c r="O22" s="74">
        <f t="shared" si="2"/>
        <v>85</v>
      </c>
      <c r="P22" s="75">
        <f>'Penguk.CPMK-Smt1'!P22</f>
        <v>89.5</v>
      </c>
      <c r="Q22" s="75">
        <f>'Penguk.CPMK-Smt1'!Q22</f>
        <v>89.5</v>
      </c>
      <c r="R22" s="75">
        <f t="shared" si="3"/>
        <v>89.5</v>
      </c>
      <c r="S22" s="76">
        <f>'Penguk.CPMK-Smt1'!S22</f>
        <v>71.3</v>
      </c>
      <c r="T22" s="76">
        <f>'Penguk.CPMK-Smt1'!T22</f>
        <v>64.400000000000006</v>
      </c>
      <c r="U22" s="76">
        <f t="shared" si="4"/>
        <v>67.849999999999994</v>
      </c>
      <c r="V22" s="38">
        <f>'Penguk.CPMK-Smt1'!V22</f>
        <v>82.25</v>
      </c>
      <c r="W22" s="38">
        <f>'Penguk.CPMK-Smt1'!W22</f>
        <v>91.5</v>
      </c>
      <c r="X22" s="38">
        <f t="shared" si="5"/>
        <v>86.875</v>
      </c>
      <c r="Y22" s="77">
        <f>'Penguk.CPMK-Smt1'!Y22</f>
        <v>82.45</v>
      </c>
      <c r="Z22" s="77">
        <f>'Penguk.CPMK-Smt1'!Z22</f>
        <v>82.45</v>
      </c>
      <c r="AA22" s="77">
        <f t="shared" si="25"/>
        <v>82.45</v>
      </c>
      <c r="AB22" s="78">
        <f>'Penguk.CPMK-Smt1'!AB22</f>
        <v>93.8</v>
      </c>
      <c r="AC22" s="78">
        <f>'Penguk.CPMK-Smt1'!AC22</f>
        <v>93.8</v>
      </c>
      <c r="AD22" s="78">
        <f t="shared" si="6"/>
        <v>93.8</v>
      </c>
      <c r="AF22" s="79">
        <f t="shared" si="7"/>
        <v>169.32499999999999</v>
      </c>
      <c r="AG22" s="89">
        <f t="shared" si="8"/>
        <v>0.84662499999999996</v>
      </c>
      <c r="AH22" s="79">
        <f t="shared" si="9"/>
        <v>80.5</v>
      </c>
      <c r="AI22" s="89">
        <f t="shared" si="10"/>
        <v>0.80500000000000005</v>
      </c>
      <c r="AJ22" s="79"/>
      <c r="AK22" s="89"/>
      <c r="AL22" s="79"/>
      <c r="AM22" s="89"/>
      <c r="AN22" s="80"/>
      <c r="AO22" s="80"/>
      <c r="AP22" s="80"/>
      <c r="AQ22" s="80"/>
      <c r="AR22" s="80"/>
      <c r="AS22" s="80"/>
      <c r="AT22" s="80">
        <f t="shared" si="13"/>
        <v>85</v>
      </c>
      <c r="AU22" s="89">
        <f t="shared" si="14"/>
        <v>0.85</v>
      </c>
      <c r="AV22" s="79">
        <f t="shared" si="15"/>
        <v>42.5</v>
      </c>
      <c r="AW22" s="89">
        <f t="shared" si="16"/>
        <v>0.85</v>
      </c>
      <c r="AX22" s="79">
        <f t="shared" si="17"/>
        <v>71.251599999999996</v>
      </c>
      <c r="AY22" s="89">
        <f t="shared" si="18"/>
        <v>0.90191898734177212</v>
      </c>
      <c r="AZ22" s="80">
        <f t="shared" si="19"/>
        <v>85.450100000000006</v>
      </c>
      <c r="BA22" s="89">
        <f t="shared" si="20"/>
        <v>0.70619917355371908</v>
      </c>
      <c r="BB22" s="79">
        <f t="shared" si="21"/>
        <v>93.8</v>
      </c>
      <c r="BC22" s="89">
        <f t="shared" si="22"/>
        <v>0.93799999999999994</v>
      </c>
      <c r="BF22" s="4"/>
      <c r="BG22" s="4"/>
      <c r="BH22" s="81"/>
      <c r="BI22" s="81"/>
      <c r="BJ22" s="81"/>
      <c r="BK22" s="4"/>
      <c r="BL22" s="4"/>
      <c r="BM22" s="4"/>
      <c r="BN22" s="4"/>
      <c r="BO22" s="81"/>
      <c r="BP22" s="81"/>
      <c r="BQ22" s="81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81"/>
      <c r="CE22" s="81"/>
      <c r="CF22" s="81"/>
      <c r="CG22" s="4"/>
      <c r="CH22" s="4"/>
      <c r="CI22" s="4"/>
      <c r="CJ22" s="81"/>
      <c r="CK22" s="81"/>
      <c r="CL22" s="81"/>
      <c r="CM22" s="4"/>
      <c r="CN22" s="81"/>
      <c r="CO22" s="81"/>
      <c r="CQ22" s="82"/>
    </row>
    <row r="23" spans="1:95">
      <c r="A23" s="206">
        <v>13</v>
      </c>
      <c r="B23" s="207" t="s">
        <v>304</v>
      </c>
      <c r="C23" s="207" t="s">
        <v>305</v>
      </c>
      <c r="D23" s="73">
        <f>'Penguk.CPMK-Smt1'!D23</f>
        <v>81.5</v>
      </c>
      <c r="E23" s="73">
        <f>'Penguk.CPMK-Smt1'!E23</f>
        <v>82.5</v>
      </c>
      <c r="F23" s="73">
        <f t="shared" si="0"/>
        <v>82</v>
      </c>
      <c r="G23" s="91">
        <f>'Penguk.CPMK-Smt1'!G23</f>
        <v>94.38</v>
      </c>
      <c r="H23" s="91">
        <f>'Penguk.CPMK-Smt1'!H23</f>
        <v>91.88</v>
      </c>
      <c r="I23" s="91">
        <f>'Penguk.CPMK-Smt1'!I23</f>
        <v>90.77</v>
      </c>
      <c r="J23" s="91">
        <f>'Penguk.CPMK-Smt1'!J23</f>
        <v>94.52</v>
      </c>
      <c r="K23" s="91">
        <f>'Penguk.CPMK-Smt1'!K23</f>
        <v>90.95</v>
      </c>
      <c r="L23" s="91">
        <f t="shared" si="1"/>
        <v>34.200299999999999</v>
      </c>
      <c r="M23" s="74">
        <f>'Penguk.CPMK-Smt1'!M23</f>
        <v>85</v>
      </c>
      <c r="N23" s="74">
        <f>'Penguk.CPMK-Smt1'!N23</f>
        <v>85</v>
      </c>
      <c r="O23" s="74">
        <f t="shared" si="2"/>
        <v>85</v>
      </c>
      <c r="P23" s="75">
        <f>'Penguk.CPMK-Smt1'!P23</f>
        <v>89.5</v>
      </c>
      <c r="Q23" s="75">
        <f>'Penguk.CPMK-Smt1'!Q23</f>
        <v>89.5</v>
      </c>
      <c r="R23" s="75">
        <f t="shared" si="3"/>
        <v>89.5</v>
      </c>
      <c r="S23" s="76">
        <f>'Penguk.CPMK-Smt1'!S23</f>
        <v>64.400000000000006</v>
      </c>
      <c r="T23" s="76">
        <f>'Penguk.CPMK-Smt1'!T23</f>
        <v>70</v>
      </c>
      <c r="U23" s="76">
        <f t="shared" si="4"/>
        <v>67.2</v>
      </c>
      <c r="V23" s="38">
        <f>'Penguk.CPMK-Smt1'!V23</f>
        <v>81</v>
      </c>
      <c r="W23" s="38">
        <f>'Penguk.CPMK-Smt1'!W23</f>
        <v>89.7</v>
      </c>
      <c r="X23" s="38">
        <f t="shared" si="5"/>
        <v>85.35</v>
      </c>
      <c r="Y23" s="77">
        <f>'Penguk.CPMK-Smt1'!Y23</f>
        <v>89.8</v>
      </c>
      <c r="Z23" s="77">
        <f>'Penguk.CPMK-Smt1'!Z23</f>
        <v>89.8</v>
      </c>
      <c r="AA23" s="77">
        <f t="shared" si="25"/>
        <v>89.8</v>
      </c>
      <c r="AB23" s="78">
        <f>'Penguk.CPMK-Smt1'!AB23</f>
        <v>91.45</v>
      </c>
      <c r="AC23" s="78">
        <f>'Penguk.CPMK-Smt1'!AC23</f>
        <v>91.45</v>
      </c>
      <c r="AD23" s="78">
        <f t="shared" si="6"/>
        <v>91.45</v>
      </c>
      <c r="AF23" s="79">
        <f t="shared" si="7"/>
        <v>175.15</v>
      </c>
      <c r="AG23" s="89">
        <f t="shared" si="8"/>
        <v>0.87575000000000003</v>
      </c>
      <c r="AH23" s="79">
        <f t="shared" si="9"/>
        <v>82</v>
      </c>
      <c r="AI23" s="89">
        <f t="shared" si="10"/>
        <v>0.82</v>
      </c>
      <c r="AJ23" s="79"/>
      <c r="AK23" s="89"/>
      <c r="AL23" s="79"/>
      <c r="AM23" s="89"/>
      <c r="AN23" s="80"/>
      <c r="AO23" s="80"/>
      <c r="AP23" s="80"/>
      <c r="AQ23" s="80"/>
      <c r="AR23" s="80"/>
      <c r="AS23" s="80"/>
      <c r="AT23" s="80">
        <f t="shared" si="13"/>
        <v>85</v>
      </c>
      <c r="AU23" s="89">
        <f t="shared" si="14"/>
        <v>0.85</v>
      </c>
      <c r="AV23" s="79">
        <f t="shared" si="15"/>
        <v>42.5</v>
      </c>
      <c r="AW23" s="89">
        <f t="shared" si="16"/>
        <v>0.85</v>
      </c>
      <c r="AX23" s="79">
        <f t="shared" si="17"/>
        <v>73.251000000000005</v>
      </c>
      <c r="AY23" s="89">
        <f t="shared" si="18"/>
        <v>0.92722784810126591</v>
      </c>
      <c r="AZ23" s="80">
        <f t="shared" si="19"/>
        <v>86.299499999999995</v>
      </c>
      <c r="BA23" s="89">
        <f t="shared" si="20"/>
        <v>0.71321900826446272</v>
      </c>
      <c r="BB23" s="79">
        <f t="shared" si="21"/>
        <v>91.45</v>
      </c>
      <c r="BC23" s="89">
        <f t="shared" si="22"/>
        <v>0.91449999999999998</v>
      </c>
      <c r="BF23" s="4"/>
      <c r="BG23" s="4"/>
      <c r="BH23" s="81"/>
      <c r="BI23" s="81"/>
      <c r="BJ23" s="81"/>
      <c r="BK23" s="4"/>
      <c r="BL23" s="4"/>
      <c r="BM23" s="4"/>
      <c r="BN23" s="4"/>
      <c r="BO23" s="81"/>
      <c r="BP23" s="81"/>
      <c r="BQ23" s="81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81"/>
      <c r="CE23" s="81"/>
      <c r="CF23" s="81"/>
      <c r="CG23" s="4"/>
      <c r="CH23" s="4"/>
      <c r="CI23" s="4"/>
      <c r="CJ23" s="81"/>
      <c r="CK23" s="81"/>
      <c r="CL23" s="81"/>
      <c r="CM23" s="4"/>
      <c r="CN23" s="81"/>
      <c r="CO23" s="81"/>
      <c r="CQ23" s="82"/>
    </row>
    <row r="24" spans="1:95">
      <c r="A24" s="206">
        <v>14</v>
      </c>
      <c r="B24" s="207" t="s">
        <v>306</v>
      </c>
      <c r="C24" s="207" t="s">
        <v>307</v>
      </c>
      <c r="D24" s="73">
        <f>'Penguk.CPMK-Smt1'!D24</f>
        <v>87.9</v>
      </c>
      <c r="E24" s="73">
        <f>'Penguk.CPMK-Smt1'!E24</f>
        <v>94.4</v>
      </c>
      <c r="F24" s="73">
        <f t="shared" si="0"/>
        <v>91.15</v>
      </c>
      <c r="G24" s="91">
        <f>'Penguk.CPMK-Smt1'!G24</f>
        <v>94.38</v>
      </c>
      <c r="H24" s="91">
        <f>'Penguk.CPMK-Smt1'!H24</f>
        <v>91.88</v>
      </c>
      <c r="I24" s="91">
        <f>'Penguk.CPMK-Smt1'!I24</f>
        <v>90.77</v>
      </c>
      <c r="J24" s="91">
        <f>'Penguk.CPMK-Smt1'!J24</f>
        <v>94.52</v>
      </c>
      <c r="K24" s="91">
        <f>'Penguk.CPMK-Smt1'!K24</f>
        <v>90.95</v>
      </c>
      <c r="L24" s="91">
        <f t="shared" si="1"/>
        <v>34.200299999999999</v>
      </c>
      <c r="M24" s="74">
        <f>'Penguk.CPMK-Smt1'!M24</f>
        <v>85</v>
      </c>
      <c r="N24" s="74">
        <f>'Penguk.CPMK-Smt1'!N24</f>
        <v>85</v>
      </c>
      <c r="O24" s="74">
        <f t="shared" si="2"/>
        <v>85</v>
      </c>
      <c r="P24" s="75">
        <f>'Penguk.CPMK-Smt1'!P24</f>
        <v>79</v>
      </c>
      <c r="Q24" s="75">
        <f>'Penguk.CPMK-Smt1'!Q24</f>
        <v>75.5</v>
      </c>
      <c r="R24" s="75">
        <f t="shared" si="3"/>
        <v>77.25</v>
      </c>
      <c r="S24" s="76">
        <f>'Penguk.CPMK-Smt1'!S24</f>
        <v>64.400000000000006</v>
      </c>
      <c r="T24" s="76">
        <f>'Penguk.CPMK-Smt1'!T24</f>
        <v>71.400000000000006</v>
      </c>
      <c r="U24" s="76">
        <f t="shared" si="4"/>
        <v>67.900000000000006</v>
      </c>
      <c r="V24" s="38">
        <f>'Penguk.CPMK-Smt1'!V24</f>
        <v>79.2</v>
      </c>
      <c r="W24" s="38">
        <f>'Penguk.CPMK-Smt1'!W24</f>
        <v>88.1</v>
      </c>
      <c r="X24" s="38">
        <f t="shared" si="5"/>
        <v>83.65</v>
      </c>
      <c r="Y24" s="77">
        <f>'Penguk.CPMK-Smt1'!Y24</f>
        <v>99.4</v>
      </c>
      <c r="Z24" s="77">
        <f>'Penguk.CPMK-Smt1'!Z24</f>
        <v>99.4</v>
      </c>
      <c r="AA24" s="77">
        <f t="shared" si="25"/>
        <v>99.4</v>
      </c>
      <c r="AB24" s="78">
        <f>'Penguk.CPMK-Smt1'!AB24</f>
        <v>86.1</v>
      </c>
      <c r="AC24" s="78">
        <f>'Penguk.CPMK-Smt1'!AC24</f>
        <v>86.1</v>
      </c>
      <c r="AD24" s="78">
        <f t="shared" si="6"/>
        <v>86.1</v>
      </c>
      <c r="AF24" s="79">
        <f t="shared" si="7"/>
        <v>183.05</v>
      </c>
      <c r="AG24" s="89">
        <f t="shared" si="8"/>
        <v>0.91525000000000001</v>
      </c>
      <c r="AH24" s="79">
        <f t="shared" si="9"/>
        <v>91.15</v>
      </c>
      <c r="AI24" s="89">
        <f t="shared" si="10"/>
        <v>0.91150000000000009</v>
      </c>
      <c r="AJ24" s="79"/>
      <c r="AK24" s="89"/>
      <c r="AL24" s="79"/>
      <c r="AM24" s="89"/>
      <c r="AN24" s="80"/>
      <c r="AO24" s="80"/>
      <c r="AP24" s="80"/>
      <c r="AQ24" s="80"/>
      <c r="AR24" s="80"/>
      <c r="AS24" s="80"/>
      <c r="AT24" s="80">
        <f t="shared" si="13"/>
        <v>85</v>
      </c>
      <c r="AU24" s="89">
        <f t="shared" si="14"/>
        <v>0.85</v>
      </c>
      <c r="AV24" s="79">
        <f t="shared" si="15"/>
        <v>42.5</v>
      </c>
      <c r="AW24" s="89">
        <f t="shared" si="16"/>
        <v>0.85</v>
      </c>
      <c r="AX24" s="79">
        <f t="shared" si="17"/>
        <v>73.251000000000005</v>
      </c>
      <c r="AY24" s="89">
        <f t="shared" si="18"/>
        <v>0.92722784810126591</v>
      </c>
      <c r="AZ24" s="80">
        <f t="shared" si="19"/>
        <v>86.999500000000012</v>
      </c>
      <c r="BA24" s="89">
        <f t="shared" si="20"/>
        <v>0.71900413223140502</v>
      </c>
      <c r="BB24" s="79">
        <f t="shared" si="21"/>
        <v>86.1</v>
      </c>
      <c r="BC24" s="89">
        <f t="shared" si="22"/>
        <v>0.86099999999999999</v>
      </c>
      <c r="BF24" s="4"/>
      <c r="BG24" s="4"/>
      <c r="BH24" s="81"/>
      <c r="BI24" s="81"/>
      <c r="BJ24" s="81"/>
      <c r="BK24" s="4"/>
      <c r="BL24" s="4"/>
      <c r="BM24" s="4"/>
      <c r="BN24" s="4"/>
      <c r="BO24" s="81"/>
      <c r="BP24" s="81"/>
      <c r="BQ24" s="81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81"/>
      <c r="CE24" s="81"/>
      <c r="CF24" s="81"/>
      <c r="CG24" s="4"/>
      <c r="CH24" s="4"/>
      <c r="CI24" s="4"/>
      <c r="CJ24" s="81"/>
      <c r="CK24" s="81"/>
      <c r="CL24" s="81"/>
      <c r="CM24" s="4"/>
      <c r="CN24" s="81"/>
      <c r="CO24" s="81"/>
      <c r="CQ24" s="82"/>
    </row>
    <row r="25" spans="1:95">
      <c r="A25" s="206">
        <v>15</v>
      </c>
      <c r="B25" s="207" t="s">
        <v>308</v>
      </c>
      <c r="C25" s="207" t="s">
        <v>309</v>
      </c>
      <c r="D25" s="73">
        <f>'Penguk.CPMK-Smt1'!D25</f>
        <v>77.5</v>
      </c>
      <c r="E25" s="73">
        <f>'Penguk.CPMK-Smt1'!E25</f>
        <v>82</v>
      </c>
      <c r="F25" s="73">
        <f t="shared" si="0"/>
        <v>79.75</v>
      </c>
      <c r="G25" s="91">
        <f>'Penguk.CPMK-Smt1'!G25</f>
        <v>94.38</v>
      </c>
      <c r="H25" s="91">
        <f>'Penguk.CPMK-Smt1'!H25</f>
        <v>91.88</v>
      </c>
      <c r="I25" s="91">
        <f>'Penguk.CPMK-Smt1'!I25</f>
        <v>83.08</v>
      </c>
      <c r="J25" s="91">
        <f>'Penguk.CPMK-Smt1'!J25</f>
        <v>94.52</v>
      </c>
      <c r="K25" s="91">
        <f>'Penguk.CPMK-Smt1'!K25</f>
        <v>83.81</v>
      </c>
      <c r="L25" s="91">
        <f t="shared" si="1"/>
        <v>32.700900000000004</v>
      </c>
      <c r="M25" s="74">
        <f>'Penguk.CPMK-Smt1'!M25</f>
        <v>85</v>
      </c>
      <c r="N25" s="74">
        <f>'Penguk.CPMK-Smt1'!N25</f>
        <v>85</v>
      </c>
      <c r="O25" s="74">
        <f t="shared" si="2"/>
        <v>85</v>
      </c>
      <c r="P25" s="75">
        <f>'Penguk.CPMK-Smt1'!P25</f>
        <v>79</v>
      </c>
      <c r="Q25" s="75">
        <f>'Penguk.CPMK-Smt1'!Q25</f>
        <v>79</v>
      </c>
      <c r="R25" s="75">
        <f t="shared" si="3"/>
        <v>79</v>
      </c>
      <c r="S25" s="76">
        <f>'Penguk.CPMK-Smt1'!S25</f>
        <v>70</v>
      </c>
      <c r="T25" s="76">
        <f>'Penguk.CPMK-Smt1'!T25</f>
        <v>64.400000000000006</v>
      </c>
      <c r="U25" s="76">
        <f t="shared" si="4"/>
        <v>67.2</v>
      </c>
      <c r="V25" s="38">
        <f>'Penguk.CPMK-Smt1'!V25</f>
        <v>81.55</v>
      </c>
      <c r="W25" s="38">
        <f>'Penguk.CPMK-Smt1'!W25</f>
        <v>89.4</v>
      </c>
      <c r="X25" s="38">
        <f t="shared" si="5"/>
        <v>85.474999999999994</v>
      </c>
      <c r="Y25" s="77">
        <f>'Penguk.CPMK-Smt1'!Y25</f>
        <v>80.650000000000006</v>
      </c>
      <c r="Z25" s="77">
        <f>'Penguk.CPMK-Smt1'!Z25</f>
        <v>80.650000000000006</v>
      </c>
      <c r="AA25" s="77">
        <f t="shared" si="25"/>
        <v>80.650000000000006</v>
      </c>
      <c r="AB25" s="78">
        <f>'Penguk.CPMK-Smt1'!AB25</f>
        <v>85.45</v>
      </c>
      <c r="AC25" s="78">
        <f>'Penguk.CPMK-Smt1'!AC25</f>
        <v>85.45</v>
      </c>
      <c r="AD25" s="78">
        <f t="shared" si="6"/>
        <v>85.45</v>
      </c>
      <c r="AF25" s="79">
        <f t="shared" si="7"/>
        <v>166.125</v>
      </c>
      <c r="AG25" s="89">
        <f t="shared" si="8"/>
        <v>0.83062499999999995</v>
      </c>
      <c r="AH25" s="79">
        <f t="shared" si="9"/>
        <v>79.75</v>
      </c>
      <c r="AI25" s="89">
        <f t="shared" si="10"/>
        <v>0.79749999999999999</v>
      </c>
      <c r="AJ25" s="79"/>
      <c r="AK25" s="89"/>
      <c r="AL25" s="79"/>
      <c r="AM25" s="89"/>
      <c r="AN25" s="80"/>
      <c r="AO25" s="80"/>
      <c r="AP25" s="80"/>
      <c r="AQ25" s="80"/>
      <c r="AR25" s="80"/>
      <c r="AS25" s="80"/>
      <c r="AT25" s="80">
        <f t="shared" si="13"/>
        <v>85</v>
      </c>
      <c r="AU25" s="89">
        <f t="shared" si="14"/>
        <v>0.85</v>
      </c>
      <c r="AV25" s="79">
        <f t="shared" si="15"/>
        <v>42.5</v>
      </c>
      <c r="AW25" s="89">
        <f t="shared" si="16"/>
        <v>0.85</v>
      </c>
      <c r="AX25" s="79">
        <f t="shared" si="17"/>
        <v>71.251599999999996</v>
      </c>
      <c r="AY25" s="89">
        <f t="shared" si="18"/>
        <v>0.90191898734177212</v>
      </c>
      <c r="AZ25" s="80">
        <f t="shared" si="19"/>
        <v>84.8001</v>
      </c>
      <c r="BA25" s="89">
        <f t="shared" si="20"/>
        <v>0.70082727272727274</v>
      </c>
      <c r="BB25" s="79">
        <f t="shared" si="21"/>
        <v>85.45</v>
      </c>
      <c r="BC25" s="89">
        <f t="shared" si="22"/>
        <v>0.85450000000000004</v>
      </c>
      <c r="BF25" s="4"/>
      <c r="BG25" s="4"/>
      <c r="BH25" s="81"/>
      <c r="BI25" s="81"/>
      <c r="BJ25" s="81"/>
      <c r="BK25" s="4"/>
      <c r="BL25" s="4"/>
      <c r="BM25" s="4"/>
      <c r="BN25" s="4"/>
      <c r="BO25" s="81"/>
      <c r="BP25" s="81"/>
      <c r="BQ25" s="81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81"/>
      <c r="CE25" s="81"/>
      <c r="CF25" s="81"/>
      <c r="CG25" s="4"/>
      <c r="CH25" s="4"/>
      <c r="CI25" s="4"/>
      <c r="CJ25" s="81"/>
      <c r="CK25" s="81"/>
      <c r="CL25" s="81"/>
      <c r="CM25" s="4"/>
      <c r="CN25" s="81"/>
      <c r="CO25" s="81"/>
      <c r="CQ25" s="82"/>
    </row>
    <row r="26" spans="1:95">
      <c r="A26" s="206">
        <v>16</v>
      </c>
      <c r="B26" s="207" t="s">
        <v>310</v>
      </c>
      <c r="C26" s="207" t="s">
        <v>311</v>
      </c>
      <c r="D26" s="73">
        <f>'Penguk.CPMK-Smt1'!D26</f>
        <v>81.5</v>
      </c>
      <c r="E26" s="73">
        <f>'Penguk.CPMK-Smt1'!E26</f>
        <v>82.5</v>
      </c>
      <c r="F26" s="73">
        <f t="shared" si="0"/>
        <v>82</v>
      </c>
      <c r="G26" s="91">
        <f>'Penguk.CPMK-Smt1'!G26</f>
        <v>94.38</v>
      </c>
      <c r="H26" s="91">
        <f>'Penguk.CPMK-Smt1'!H26</f>
        <v>91.88</v>
      </c>
      <c r="I26" s="91">
        <f>'Penguk.CPMK-Smt1'!I26</f>
        <v>90.77</v>
      </c>
      <c r="J26" s="91">
        <f>'Penguk.CPMK-Smt1'!J26</f>
        <v>94.52</v>
      </c>
      <c r="K26" s="91">
        <f>'Penguk.CPMK-Smt1'!K26</f>
        <v>90.95</v>
      </c>
      <c r="L26" s="91">
        <f t="shared" si="1"/>
        <v>34.200299999999999</v>
      </c>
      <c r="M26" s="74">
        <f>'Penguk.CPMK-Smt1'!M26</f>
        <v>85</v>
      </c>
      <c r="N26" s="74">
        <f>'Penguk.CPMK-Smt1'!N26</f>
        <v>85</v>
      </c>
      <c r="O26" s="74">
        <f t="shared" si="2"/>
        <v>85</v>
      </c>
      <c r="P26" s="75">
        <f>'Penguk.CPMK-Smt1'!P26</f>
        <v>89.5</v>
      </c>
      <c r="Q26" s="75">
        <f>'Penguk.CPMK-Smt1'!Q26</f>
        <v>89.5</v>
      </c>
      <c r="R26" s="75">
        <f t="shared" si="3"/>
        <v>89.5</v>
      </c>
      <c r="S26" s="76">
        <f>'Penguk.CPMK-Smt1'!S26</f>
        <v>68.599999999999994</v>
      </c>
      <c r="T26" s="76">
        <f>'Penguk.CPMK-Smt1'!T26</f>
        <v>68.599999999999994</v>
      </c>
      <c r="U26" s="76">
        <f t="shared" si="4"/>
        <v>68.599999999999994</v>
      </c>
      <c r="V26" s="38">
        <f>'Penguk.CPMK-Smt1'!V26</f>
        <v>81.650000000000006</v>
      </c>
      <c r="W26" s="38">
        <f>'Penguk.CPMK-Smt1'!W26</f>
        <v>91</v>
      </c>
      <c r="X26" s="38">
        <f t="shared" si="5"/>
        <v>86.325000000000003</v>
      </c>
      <c r="Y26" s="77">
        <f>'Penguk.CPMK-Smt1'!Y26</f>
        <v>93.45</v>
      </c>
      <c r="Z26" s="77">
        <f>'Penguk.CPMK-Smt1'!Z26</f>
        <v>93.45</v>
      </c>
      <c r="AA26" s="77">
        <f t="shared" si="25"/>
        <v>93.45</v>
      </c>
      <c r="AB26" s="78">
        <f>'Penguk.CPMK-Smt1'!AB26</f>
        <v>89.65</v>
      </c>
      <c r="AC26" s="78">
        <f>'Penguk.CPMK-Smt1'!AC26</f>
        <v>89.65</v>
      </c>
      <c r="AD26" s="78">
        <f t="shared" si="6"/>
        <v>89.65</v>
      </c>
      <c r="AF26" s="79">
        <f t="shared" si="7"/>
        <v>179.77500000000001</v>
      </c>
      <c r="AG26" s="89">
        <f t="shared" si="8"/>
        <v>0.89887499999999998</v>
      </c>
      <c r="AH26" s="79">
        <f t="shared" si="9"/>
        <v>82</v>
      </c>
      <c r="AI26" s="89">
        <f t="shared" si="10"/>
        <v>0.82</v>
      </c>
      <c r="AJ26" s="79"/>
      <c r="AK26" s="89"/>
      <c r="AL26" s="79"/>
      <c r="AM26" s="89"/>
      <c r="AN26" s="80"/>
      <c r="AO26" s="80"/>
      <c r="AP26" s="80"/>
      <c r="AQ26" s="80"/>
      <c r="AR26" s="80"/>
      <c r="AS26" s="80"/>
      <c r="AT26" s="80">
        <f t="shared" si="13"/>
        <v>85</v>
      </c>
      <c r="AU26" s="89">
        <f t="shared" si="14"/>
        <v>0.85</v>
      </c>
      <c r="AV26" s="79">
        <f t="shared" si="15"/>
        <v>42.5</v>
      </c>
      <c r="AW26" s="89">
        <f t="shared" si="16"/>
        <v>0.85</v>
      </c>
      <c r="AX26" s="79">
        <f t="shared" si="17"/>
        <v>73.251000000000005</v>
      </c>
      <c r="AY26" s="89">
        <f t="shared" si="18"/>
        <v>0.92722784810126591</v>
      </c>
      <c r="AZ26" s="80">
        <f t="shared" si="19"/>
        <v>87.6995</v>
      </c>
      <c r="BA26" s="89">
        <f t="shared" si="20"/>
        <v>0.72478925619834711</v>
      </c>
      <c r="BB26" s="79">
        <f t="shared" si="21"/>
        <v>89.65</v>
      </c>
      <c r="BC26" s="89">
        <f t="shared" si="22"/>
        <v>0.89650000000000007</v>
      </c>
      <c r="BF26" s="4"/>
      <c r="BG26" s="4"/>
      <c r="BH26" s="81"/>
      <c r="BI26" s="81"/>
      <c r="BJ26" s="81"/>
      <c r="BK26" s="4"/>
      <c r="BL26" s="4"/>
      <c r="BM26" s="4"/>
      <c r="BN26" s="4"/>
      <c r="BO26" s="81"/>
      <c r="BP26" s="81"/>
      <c r="BQ26" s="81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81"/>
      <c r="CE26" s="81"/>
      <c r="CF26" s="81"/>
      <c r="CG26" s="4"/>
      <c r="CH26" s="4"/>
      <c r="CI26" s="4"/>
      <c r="CJ26" s="81"/>
      <c r="CK26" s="81"/>
      <c r="CL26" s="81"/>
      <c r="CM26" s="4"/>
      <c r="CN26" s="81"/>
      <c r="CO26" s="81"/>
      <c r="CQ26" s="82"/>
    </row>
    <row r="27" spans="1:95">
      <c r="A27" s="206">
        <v>17</v>
      </c>
      <c r="B27" s="207" t="s">
        <v>312</v>
      </c>
      <c r="C27" s="207" t="s">
        <v>313</v>
      </c>
      <c r="D27" s="73">
        <f>'Penguk.CPMK-Smt1'!D27</f>
        <v>86</v>
      </c>
      <c r="E27" s="73">
        <f>'Penguk.CPMK-Smt1'!E27</f>
        <v>91.5</v>
      </c>
      <c r="F27" s="73">
        <f t="shared" si="0"/>
        <v>88.75</v>
      </c>
      <c r="G27" s="91">
        <f>'Penguk.CPMK-Smt1'!G27</f>
        <v>94.38</v>
      </c>
      <c r="H27" s="91">
        <f>'Penguk.CPMK-Smt1'!H27</f>
        <v>91.88</v>
      </c>
      <c r="I27" s="91">
        <f>'Penguk.CPMK-Smt1'!I27</f>
        <v>90.77</v>
      </c>
      <c r="J27" s="91">
        <f>'Penguk.CPMK-Smt1'!J27</f>
        <v>94.52</v>
      </c>
      <c r="K27" s="91">
        <f>'Penguk.CPMK-Smt1'!K27</f>
        <v>90.95</v>
      </c>
      <c r="L27" s="91">
        <f t="shared" si="1"/>
        <v>34.200299999999999</v>
      </c>
      <c r="M27" s="74">
        <f>'Penguk.CPMK-Smt1'!M27</f>
        <v>85</v>
      </c>
      <c r="N27" s="74">
        <f>'Penguk.CPMK-Smt1'!N27</f>
        <v>85</v>
      </c>
      <c r="O27" s="74">
        <f t="shared" si="2"/>
        <v>85</v>
      </c>
      <c r="P27" s="75">
        <f>'Penguk.CPMK-Smt1'!P27</f>
        <v>79</v>
      </c>
      <c r="Q27" s="75">
        <f>'Penguk.CPMK-Smt1'!Q27</f>
        <v>79</v>
      </c>
      <c r="R27" s="75">
        <f t="shared" si="3"/>
        <v>79</v>
      </c>
      <c r="S27" s="76">
        <f>'Penguk.CPMK-Smt1'!S27</f>
        <v>83.3</v>
      </c>
      <c r="T27" s="76">
        <f>'Penguk.CPMK-Smt1'!T27</f>
        <v>80.5</v>
      </c>
      <c r="U27" s="76">
        <f t="shared" si="4"/>
        <v>81.900000000000006</v>
      </c>
      <c r="V27" s="38">
        <f>'Penguk.CPMK-Smt1'!V27</f>
        <v>80.5</v>
      </c>
      <c r="W27" s="38">
        <f>'Penguk.CPMK-Smt1'!W27</f>
        <v>88.7</v>
      </c>
      <c r="X27" s="38">
        <f t="shared" si="5"/>
        <v>84.6</v>
      </c>
      <c r="Y27" s="77">
        <f>'Penguk.CPMK-Smt1'!Y27</f>
        <v>82.45</v>
      </c>
      <c r="Z27" s="77">
        <f>'Penguk.CPMK-Smt1'!Z27</f>
        <v>82.45</v>
      </c>
      <c r="AA27" s="77">
        <f t="shared" si="25"/>
        <v>82.45</v>
      </c>
      <c r="AB27" s="78">
        <f>'Penguk.CPMK-Smt1'!AB27</f>
        <v>93.5</v>
      </c>
      <c r="AC27" s="78">
        <f>'Penguk.CPMK-Smt1'!AC27</f>
        <v>93.5</v>
      </c>
      <c r="AD27" s="78">
        <f t="shared" si="6"/>
        <v>93.5</v>
      </c>
      <c r="AF27" s="79">
        <f t="shared" si="7"/>
        <v>167.04999999999998</v>
      </c>
      <c r="AG27" s="89">
        <f t="shared" si="8"/>
        <v>0.83524999999999994</v>
      </c>
      <c r="AH27" s="79">
        <f t="shared" si="9"/>
        <v>88.75</v>
      </c>
      <c r="AI27" s="89">
        <f t="shared" si="10"/>
        <v>0.88749999999999996</v>
      </c>
      <c r="AJ27" s="79"/>
      <c r="AK27" s="89"/>
      <c r="AL27" s="79"/>
      <c r="AM27" s="89"/>
      <c r="AN27" s="80"/>
      <c r="AO27" s="80"/>
      <c r="AP27" s="80"/>
      <c r="AQ27" s="80"/>
      <c r="AR27" s="80"/>
      <c r="AS27" s="80"/>
      <c r="AT27" s="80">
        <f t="shared" si="13"/>
        <v>85</v>
      </c>
      <c r="AU27" s="89">
        <f t="shared" si="14"/>
        <v>0.85</v>
      </c>
      <c r="AV27" s="79">
        <f t="shared" si="15"/>
        <v>42.5</v>
      </c>
      <c r="AW27" s="89">
        <f t="shared" si="16"/>
        <v>0.85</v>
      </c>
      <c r="AX27" s="79">
        <f t="shared" si="17"/>
        <v>73.251000000000005</v>
      </c>
      <c r="AY27" s="89">
        <f t="shared" si="18"/>
        <v>0.92722784810126591</v>
      </c>
      <c r="AZ27" s="80">
        <f t="shared" si="19"/>
        <v>100.9995</v>
      </c>
      <c r="BA27" s="89">
        <f t="shared" si="20"/>
        <v>0.83470661157024795</v>
      </c>
      <c r="BB27" s="79">
        <f t="shared" si="21"/>
        <v>93.5</v>
      </c>
      <c r="BC27" s="89">
        <f t="shared" si="22"/>
        <v>0.93500000000000005</v>
      </c>
      <c r="BF27" s="4"/>
      <c r="BG27" s="4"/>
      <c r="BH27" s="81"/>
      <c r="BI27" s="81"/>
      <c r="BJ27" s="81"/>
      <c r="BK27" s="4"/>
      <c r="BL27" s="4"/>
      <c r="BM27" s="4"/>
      <c r="BN27" s="4"/>
      <c r="BO27" s="81"/>
      <c r="BP27" s="81"/>
      <c r="BQ27" s="81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81"/>
      <c r="CE27" s="81"/>
      <c r="CF27" s="81"/>
      <c r="CG27" s="4"/>
      <c r="CH27" s="4"/>
      <c r="CI27" s="4"/>
      <c r="CJ27" s="81"/>
      <c r="CK27" s="81"/>
      <c r="CL27" s="81"/>
      <c r="CM27" s="4"/>
      <c r="CN27" s="81"/>
      <c r="CO27" s="81"/>
      <c r="CQ27" s="82"/>
    </row>
    <row r="28" spans="1:95">
      <c r="A28" s="206">
        <v>18</v>
      </c>
      <c r="B28" s="207" t="s">
        <v>314</v>
      </c>
      <c r="C28" s="207" t="s">
        <v>315</v>
      </c>
      <c r="D28" s="73">
        <f>'Penguk.CPMK-Smt1'!D28</f>
        <v>81.5</v>
      </c>
      <c r="E28" s="73">
        <f>'Penguk.CPMK-Smt1'!E28</f>
        <v>83</v>
      </c>
      <c r="F28" s="73">
        <f t="shared" si="0"/>
        <v>82.25</v>
      </c>
      <c r="G28" s="91">
        <f>'Penguk.CPMK-Smt1'!G28</f>
        <v>94.38</v>
      </c>
      <c r="H28" s="91">
        <f>'Penguk.CPMK-Smt1'!H28</f>
        <v>91.88</v>
      </c>
      <c r="I28" s="91">
        <f>'Penguk.CPMK-Smt1'!I28</f>
        <v>90.77</v>
      </c>
      <c r="J28" s="91">
        <f>'Penguk.CPMK-Smt1'!J28</f>
        <v>94.52</v>
      </c>
      <c r="K28" s="91">
        <f>'Penguk.CPMK-Smt1'!K28</f>
        <v>90.95</v>
      </c>
      <c r="L28" s="91">
        <f t="shared" si="1"/>
        <v>34.200299999999999</v>
      </c>
      <c r="M28" s="74">
        <f>'Penguk.CPMK-Smt1'!M28</f>
        <v>85</v>
      </c>
      <c r="N28" s="74">
        <f>'Penguk.CPMK-Smt1'!N28</f>
        <v>85</v>
      </c>
      <c r="O28" s="74">
        <f t="shared" si="2"/>
        <v>85</v>
      </c>
      <c r="P28" s="75">
        <f>'Penguk.CPMK-Smt1'!P28</f>
        <v>89.5</v>
      </c>
      <c r="Q28" s="75">
        <f>'Penguk.CPMK-Smt1'!Q28</f>
        <v>89.5</v>
      </c>
      <c r="R28" s="75">
        <f t="shared" si="3"/>
        <v>89.5</v>
      </c>
      <c r="S28" s="76">
        <f>'Penguk.CPMK-Smt1'!S28</f>
        <v>71.400000000000006</v>
      </c>
      <c r="T28" s="76">
        <f>'Penguk.CPMK-Smt1'!T28</f>
        <v>64.400000000000006</v>
      </c>
      <c r="U28" s="76">
        <f t="shared" si="4"/>
        <v>67.900000000000006</v>
      </c>
      <c r="V28" s="38">
        <f>'Penguk.CPMK-Smt1'!V28</f>
        <v>80.95</v>
      </c>
      <c r="W28" s="38">
        <f>'Penguk.CPMK-Smt1'!W28</f>
        <v>90.3</v>
      </c>
      <c r="X28" s="38">
        <f t="shared" si="5"/>
        <v>85.625</v>
      </c>
      <c r="Y28" s="77">
        <f>'Penguk.CPMK-Smt1'!Y28</f>
        <v>91.7</v>
      </c>
      <c r="Z28" s="77">
        <f>'Penguk.CPMK-Smt1'!Z28</f>
        <v>91.7</v>
      </c>
      <c r="AA28" s="77">
        <f t="shared" si="25"/>
        <v>91.7</v>
      </c>
      <c r="AB28" s="78">
        <f>'Penguk.CPMK-Smt1'!AB28</f>
        <v>90</v>
      </c>
      <c r="AC28" s="78">
        <f>'Penguk.CPMK-Smt1'!AC28</f>
        <v>90</v>
      </c>
      <c r="AD28" s="78">
        <f t="shared" si="6"/>
        <v>90</v>
      </c>
      <c r="AF28" s="79">
        <f t="shared" si="7"/>
        <v>177.32499999999999</v>
      </c>
      <c r="AG28" s="89">
        <f t="shared" si="8"/>
        <v>0.886625</v>
      </c>
      <c r="AH28" s="79">
        <f t="shared" si="9"/>
        <v>82.25</v>
      </c>
      <c r="AI28" s="89">
        <f t="shared" si="10"/>
        <v>0.82250000000000001</v>
      </c>
      <c r="AJ28" s="79"/>
      <c r="AK28" s="89"/>
      <c r="AL28" s="79"/>
      <c r="AM28" s="89"/>
      <c r="AN28" s="80"/>
      <c r="AO28" s="80"/>
      <c r="AP28" s="80"/>
      <c r="AQ28" s="80"/>
      <c r="AR28" s="80"/>
      <c r="AS28" s="80"/>
      <c r="AT28" s="80">
        <f t="shared" si="13"/>
        <v>85</v>
      </c>
      <c r="AU28" s="89">
        <f t="shared" si="14"/>
        <v>0.85</v>
      </c>
      <c r="AV28" s="79">
        <f t="shared" si="15"/>
        <v>42.5</v>
      </c>
      <c r="AW28" s="89">
        <f t="shared" si="16"/>
        <v>0.85</v>
      </c>
      <c r="AX28" s="79">
        <f t="shared" si="17"/>
        <v>73.251000000000005</v>
      </c>
      <c r="AY28" s="89">
        <f t="shared" si="18"/>
        <v>0.92722784810126591</v>
      </c>
      <c r="AZ28" s="80">
        <f t="shared" si="19"/>
        <v>86.999500000000012</v>
      </c>
      <c r="BA28" s="89">
        <f t="shared" si="20"/>
        <v>0.71900413223140502</v>
      </c>
      <c r="BB28" s="79">
        <f t="shared" si="21"/>
        <v>90</v>
      </c>
      <c r="BC28" s="89">
        <f t="shared" si="22"/>
        <v>0.9</v>
      </c>
      <c r="BF28" s="4"/>
      <c r="BG28" s="4"/>
      <c r="BH28" s="81"/>
      <c r="BI28" s="81"/>
      <c r="BJ28" s="81"/>
      <c r="BK28" s="4"/>
      <c r="BL28" s="4"/>
      <c r="BM28" s="4"/>
      <c r="BN28" s="4"/>
      <c r="BO28" s="81"/>
      <c r="BP28" s="81"/>
      <c r="BQ28" s="81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81"/>
      <c r="CE28" s="81"/>
      <c r="CF28" s="81"/>
      <c r="CG28" s="4"/>
      <c r="CH28" s="4"/>
      <c r="CI28" s="4"/>
      <c r="CJ28" s="81"/>
      <c r="CK28" s="81"/>
      <c r="CL28" s="81"/>
      <c r="CM28" s="4"/>
      <c r="CN28" s="81"/>
      <c r="CO28" s="81"/>
      <c r="CQ28" s="82"/>
    </row>
    <row r="29" spans="1:95">
      <c r="A29" s="206">
        <v>19</v>
      </c>
      <c r="B29" s="207" t="s">
        <v>316</v>
      </c>
      <c r="C29" s="207" t="s">
        <v>317</v>
      </c>
      <c r="D29" s="73">
        <f>'Penguk.CPMK-Smt1'!D29</f>
        <v>85.5</v>
      </c>
      <c r="E29" s="73">
        <f>'Penguk.CPMK-Smt1'!E29</f>
        <v>87.5</v>
      </c>
      <c r="F29" s="73">
        <f t="shared" si="0"/>
        <v>86.5</v>
      </c>
      <c r="G29" s="91">
        <f>'Penguk.CPMK-Smt1'!G29</f>
        <v>94.38</v>
      </c>
      <c r="H29" s="91">
        <f>'Penguk.CPMK-Smt1'!H29</f>
        <v>91.88</v>
      </c>
      <c r="I29" s="91">
        <f>'Penguk.CPMK-Smt1'!I29</f>
        <v>90.77</v>
      </c>
      <c r="J29" s="91">
        <f>'Penguk.CPMK-Smt1'!J29</f>
        <v>94.52</v>
      </c>
      <c r="K29" s="91">
        <f>'Penguk.CPMK-Smt1'!K29</f>
        <v>90.95</v>
      </c>
      <c r="L29" s="91">
        <f t="shared" si="1"/>
        <v>34.200299999999999</v>
      </c>
      <c r="M29" s="74">
        <f>'Penguk.CPMK-Smt1'!M29</f>
        <v>85</v>
      </c>
      <c r="N29" s="74">
        <f>'Penguk.CPMK-Smt1'!N29</f>
        <v>85</v>
      </c>
      <c r="O29" s="74">
        <f t="shared" si="2"/>
        <v>85</v>
      </c>
      <c r="P29" s="75">
        <f>'Penguk.CPMK-Smt1'!P29</f>
        <v>79</v>
      </c>
      <c r="Q29" s="75">
        <f>'Penguk.CPMK-Smt1'!Q29</f>
        <v>82.5</v>
      </c>
      <c r="R29" s="75">
        <f t="shared" si="3"/>
        <v>80.75</v>
      </c>
      <c r="S29" s="76">
        <f>'Penguk.CPMK-Smt1'!S29</f>
        <v>71.400000000000006</v>
      </c>
      <c r="T29" s="76">
        <f>'Penguk.CPMK-Smt1'!T29</f>
        <v>67.8</v>
      </c>
      <c r="U29" s="76">
        <f t="shared" si="4"/>
        <v>69.599999999999994</v>
      </c>
      <c r="V29" s="38">
        <f>'Penguk.CPMK-Smt1'!V29</f>
        <v>82.6</v>
      </c>
      <c r="W29" s="38">
        <f>'Penguk.CPMK-Smt1'!W29</f>
        <v>92.2</v>
      </c>
      <c r="X29" s="38">
        <f t="shared" si="5"/>
        <v>87.4</v>
      </c>
      <c r="Y29" s="77">
        <f>'Penguk.CPMK-Smt1'!Y29</f>
        <v>82.45</v>
      </c>
      <c r="Z29" s="77">
        <f>'Penguk.CPMK-Smt1'!Z29</f>
        <v>82.45</v>
      </c>
      <c r="AA29" s="77">
        <f t="shared" si="25"/>
        <v>82.45</v>
      </c>
      <c r="AB29" s="78">
        <f>'Penguk.CPMK-Smt1'!AB29</f>
        <v>81.2</v>
      </c>
      <c r="AC29" s="78">
        <f>'Penguk.CPMK-Smt1'!AC29</f>
        <v>81.2</v>
      </c>
      <c r="AD29" s="78">
        <f t="shared" si="6"/>
        <v>81.2</v>
      </c>
      <c r="AF29" s="79">
        <f t="shared" si="7"/>
        <v>169.85</v>
      </c>
      <c r="AG29" s="89">
        <f t="shared" si="8"/>
        <v>0.84924999999999995</v>
      </c>
      <c r="AH29" s="79">
        <f t="shared" si="9"/>
        <v>86.5</v>
      </c>
      <c r="AI29" s="89">
        <f t="shared" si="10"/>
        <v>0.86499999999999999</v>
      </c>
      <c r="AJ29" s="79"/>
      <c r="AK29" s="89"/>
      <c r="AL29" s="79"/>
      <c r="AM29" s="89"/>
      <c r="AN29" s="80"/>
      <c r="AO29" s="80"/>
      <c r="AP29" s="80"/>
      <c r="AQ29" s="80"/>
      <c r="AR29" s="80"/>
      <c r="AS29" s="80"/>
      <c r="AT29" s="80">
        <f t="shared" si="13"/>
        <v>85</v>
      </c>
      <c r="AU29" s="89">
        <f t="shared" si="14"/>
        <v>0.85</v>
      </c>
      <c r="AV29" s="79">
        <f t="shared" si="15"/>
        <v>42.5</v>
      </c>
      <c r="AW29" s="89">
        <f t="shared" si="16"/>
        <v>0.85</v>
      </c>
      <c r="AX29" s="79">
        <f t="shared" si="17"/>
        <v>73.251000000000005</v>
      </c>
      <c r="AY29" s="89">
        <f t="shared" si="18"/>
        <v>0.92722784810126591</v>
      </c>
      <c r="AZ29" s="80">
        <f t="shared" si="19"/>
        <v>88.6995</v>
      </c>
      <c r="BA29" s="89">
        <f t="shared" si="20"/>
        <v>0.73305371900826444</v>
      </c>
      <c r="BB29" s="79">
        <f t="shared" si="21"/>
        <v>81.2</v>
      </c>
      <c r="BC29" s="89">
        <f t="shared" si="22"/>
        <v>0.81200000000000006</v>
      </c>
      <c r="BF29" s="4"/>
      <c r="BG29" s="4"/>
      <c r="BH29" s="81"/>
      <c r="BI29" s="81"/>
      <c r="BJ29" s="81"/>
      <c r="BK29" s="4"/>
      <c r="BL29" s="4"/>
      <c r="BM29" s="4"/>
      <c r="BN29" s="4"/>
      <c r="BO29" s="81"/>
      <c r="BP29" s="81"/>
      <c r="BQ29" s="81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81"/>
      <c r="CE29" s="81"/>
      <c r="CF29" s="81"/>
      <c r="CG29" s="4"/>
      <c r="CH29" s="4"/>
      <c r="CI29" s="4"/>
      <c r="CJ29" s="81"/>
      <c r="CK29" s="81"/>
      <c r="CL29" s="81"/>
      <c r="CM29" s="4"/>
      <c r="CN29" s="81"/>
      <c r="CO29" s="81"/>
      <c r="CQ29" s="82"/>
    </row>
    <row r="30" spans="1:95">
      <c r="A30" s="206">
        <v>20</v>
      </c>
      <c r="B30" s="207" t="s">
        <v>318</v>
      </c>
      <c r="C30" s="207" t="s">
        <v>319</v>
      </c>
      <c r="D30" s="73">
        <f>'Penguk.CPMK-Smt1'!D30</f>
        <v>93.5</v>
      </c>
      <c r="E30" s="73">
        <f>'Penguk.CPMK-Smt1'!E30</f>
        <v>99.5</v>
      </c>
      <c r="F30" s="73">
        <f t="shared" si="0"/>
        <v>96.5</v>
      </c>
      <c r="G30" s="91">
        <f>'Penguk.CPMK-Smt1'!G30</f>
        <v>94.38</v>
      </c>
      <c r="H30" s="91">
        <f>'Penguk.CPMK-Smt1'!H30</f>
        <v>91.88</v>
      </c>
      <c r="I30" s="91">
        <f>'Penguk.CPMK-Smt1'!I30</f>
        <v>86.92</v>
      </c>
      <c r="J30" s="91">
        <f>'Penguk.CPMK-Smt1'!J30</f>
        <v>94.52</v>
      </c>
      <c r="K30" s="91">
        <f>'Penguk.CPMK-Smt1'!K30</f>
        <v>87.38</v>
      </c>
      <c r="L30" s="91">
        <f t="shared" si="1"/>
        <v>33.450599999999994</v>
      </c>
      <c r="M30" s="74">
        <f>'Penguk.CPMK-Smt1'!M30</f>
        <v>85</v>
      </c>
      <c r="N30" s="74">
        <f>'Penguk.CPMK-Smt1'!N30</f>
        <v>85</v>
      </c>
      <c r="O30" s="74">
        <f t="shared" si="2"/>
        <v>85</v>
      </c>
      <c r="P30" s="75">
        <f>'Penguk.CPMK-Smt1'!P30</f>
        <v>89.5</v>
      </c>
      <c r="Q30" s="75">
        <f>'Penguk.CPMK-Smt1'!Q30</f>
        <v>89.5</v>
      </c>
      <c r="R30" s="75">
        <f t="shared" si="3"/>
        <v>89.5</v>
      </c>
      <c r="S30" s="76">
        <f>'Penguk.CPMK-Smt1'!S30</f>
        <v>71.400000000000006</v>
      </c>
      <c r="T30" s="76">
        <f>'Penguk.CPMK-Smt1'!T30</f>
        <v>94.4</v>
      </c>
      <c r="U30" s="76">
        <f t="shared" si="4"/>
        <v>82.9</v>
      </c>
      <c r="V30" s="38">
        <f>'Penguk.CPMK-Smt1'!V30</f>
        <v>82.6</v>
      </c>
      <c r="W30" s="38">
        <f>'Penguk.CPMK-Smt1'!W30</f>
        <v>92.2</v>
      </c>
      <c r="X30" s="38">
        <f t="shared" si="5"/>
        <v>87.4</v>
      </c>
      <c r="Y30" s="77">
        <f>'Penguk.CPMK-Smt1'!Y30</f>
        <v>82.8</v>
      </c>
      <c r="Z30" s="77">
        <f>'Penguk.CPMK-Smt1'!Z30</f>
        <v>82.8</v>
      </c>
      <c r="AA30" s="77">
        <f t="shared" si="25"/>
        <v>82.8</v>
      </c>
      <c r="AB30" s="78">
        <f>'Penguk.CPMK-Smt1'!AB30</f>
        <v>89.25</v>
      </c>
      <c r="AC30" s="78">
        <f>'Penguk.CPMK-Smt1'!AC30</f>
        <v>89.25</v>
      </c>
      <c r="AD30" s="78">
        <f t="shared" si="6"/>
        <v>89.25</v>
      </c>
      <c r="AF30" s="79">
        <f t="shared" si="7"/>
        <v>170.20000000000002</v>
      </c>
      <c r="AG30" s="89">
        <f t="shared" si="8"/>
        <v>0.85100000000000009</v>
      </c>
      <c r="AH30" s="79">
        <f t="shared" si="9"/>
        <v>96.5</v>
      </c>
      <c r="AI30" s="89">
        <f t="shared" si="10"/>
        <v>0.96499999999999997</v>
      </c>
      <c r="AJ30" s="79"/>
      <c r="AK30" s="89"/>
      <c r="AL30" s="79"/>
      <c r="AM30" s="89"/>
      <c r="AN30" s="80"/>
      <c r="AO30" s="80"/>
      <c r="AP30" s="80"/>
      <c r="AQ30" s="80"/>
      <c r="AR30" s="80"/>
      <c r="AS30" s="80"/>
      <c r="AT30" s="80">
        <f t="shared" si="13"/>
        <v>85</v>
      </c>
      <c r="AU30" s="89">
        <f t="shared" si="14"/>
        <v>0.85</v>
      </c>
      <c r="AV30" s="79">
        <f t="shared" si="15"/>
        <v>42.5</v>
      </c>
      <c r="AW30" s="89">
        <f t="shared" si="16"/>
        <v>0.85</v>
      </c>
      <c r="AX30" s="79">
        <f t="shared" si="17"/>
        <v>72.25</v>
      </c>
      <c r="AY30" s="89">
        <f t="shared" si="18"/>
        <v>0.91455696202531644</v>
      </c>
      <c r="AZ30" s="80">
        <f t="shared" si="19"/>
        <v>101.24980000000001</v>
      </c>
      <c r="BA30" s="89">
        <f t="shared" si="20"/>
        <v>0.83677520661157034</v>
      </c>
      <c r="BB30" s="79">
        <f t="shared" si="21"/>
        <v>89.25</v>
      </c>
      <c r="BC30" s="89">
        <f t="shared" si="22"/>
        <v>0.89249999999999996</v>
      </c>
      <c r="BF30" s="4"/>
      <c r="BG30" s="4"/>
      <c r="BH30" s="81"/>
      <c r="BI30" s="81"/>
      <c r="BJ30" s="81"/>
      <c r="BK30" s="4"/>
      <c r="BL30" s="4"/>
      <c r="BM30" s="4"/>
      <c r="BN30" s="4"/>
      <c r="BO30" s="81"/>
      <c r="BP30" s="81"/>
      <c r="BQ30" s="81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81"/>
      <c r="CE30" s="81"/>
      <c r="CF30" s="81"/>
      <c r="CG30" s="4"/>
      <c r="CH30" s="4"/>
      <c r="CI30" s="4"/>
      <c r="CJ30" s="81"/>
      <c r="CK30" s="81"/>
      <c r="CL30" s="81"/>
      <c r="CM30" s="4"/>
      <c r="CN30" s="81"/>
      <c r="CO30" s="81"/>
      <c r="CQ30" s="82"/>
    </row>
    <row r="31" spans="1:95">
      <c r="A31" s="206">
        <v>21</v>
      </c>
      <c r="B31" s="207" t="s">
        <v>320</v>
      </c>
      <c r="C31" s="207" t="s">
        <v>321</v>
      </c>
      <c r="D31" s="73">
        <f>'Penguk.CPMK-Smt1'!D31</f>
        <v>93.5</v>
      </c>
      <c r="E31" s="73">
        <f>'Penguk.CPMK-Smt1'!E31</f>
        <v>99.5</v>
      </c>
      <c r="F31" s="73">
        <f t="shared" si="0"/>
        <v>96.5</v>
      </c>
      <c r="G31" s="91">
        <f>'Penguk.CPMK-Smt1'!G31</f>
        <v>94.38</v>
      </c>
      <c r="H31" s="91">
        <f>'Penguk.CPMK-Smt1'!H31</f>
        <v>91.88</v>
      </c>
      <c r="I31" s="91">
        <f>'Penguk.CPMK-Smt1'!I31</f>
        <v>86.92</v>
      </c>
      <c r="J31" s="91">
        <f>'Penguk.CPMK-Smt1'!J31</f>
        <v>94.52</v>
      </c>
      <c r="K31" s="91">
        <f>'Penguk.CPMK-Smt1'!K31</f>
        <v>87.38</v>
      </c>
      <c r="L31" s="91">
        <f t="shared" si="1"/>
        <v>33.450599999999994</v>
      </c>
      <c r="M31" s="74">
        <f>'Penguk.CPMK-Smt1'!M31</f>
        <v>85</v>
      </c>
      <c r="N31" s="74">
        <f>'Penguk.CPMK-Smt1'!N31</f>
        <v>85</v>
      </c>
      <c r="O31" s="74">
        <f t="shared" si="2"/>
        <v>85</v>
      </c>
      <c r="P31" s="75">
        <f>'Penguk.CPMK-Smt1'!P31</f>
        <v>82.5</v>
      </c>
      <c r="Q31" s="75">
        <f>'Penguk.CPMK-Smt1'!Q31</f>
        <v>89.5</v>
      </c>
      <c r="R31" s="75">
        <f t="shared" si="3"/>
        <v>86</v>
      </c>
      <c r="S31" s="76">
        <f>'Penguk.CPMK-Smt1'!S31</f>
        <v>81.900000000000006</v>
      </c>
      <c r="T31" s="76">
        <f>'Penguk.CPMK-Smt1'!T31</f>
        <v>90.9</v>
      </c>
      <c r="U31" s="76">
        <f t="shared" si="4"/>
        <v>86.4</v>
      </c>
      <c r="V31" s="38">
        <f>'Penguk.CPMK-Smt1'!V31</f>
        <v>81.75</v>
      </c>
      <c r="W31" s="38">
        <f>'Penguk.CPMK-Smt1'!W31</f>
        <v>91.2</v>
      </c>
      <c r="X31" s="38">
        <f t="shared" si="5"/>
        <v>86.474999999999994</v>
      </c>
      <c r="Y31" s="77">
        <f>'Penguk.CPMK-Smt1'!Y31</f>
        <v>83.15</v>
      </c>
      <c r="Z31" s="77">
        <f>'Penguk.CPMK-Smt1'!Z31</f>
        <v>83.15</v>
      </c>
      <c r="AA31" s="77">
        <f t="shared" si="25"/>
        <v>83.15</v>
      </c>
      <c r="AB31" s="78">
        <f>'Penguk.CPMK-Smt1'!AB31</f>
        <v>87.15</v>
      </c>
      <c r="AC31" s="78">
        <f>'Penguk.CPMK-Smt1'!AC31</f>
        <v>87.15</v>
      </c>
      <c r="AD31" s="78">
        <f t="shared" si="6"/>
        <v>87.15</v>
      </c>
      <c r="AF31" s="79">
        <f t="shared" si="7"/>
        <v>169.625</v>
      </c>
      <c r="AG31" s="89">
        <f t="shared" si="8"/>
        <v>0.84812500000000002</v>
      </c>
      <c r="AH31" s="79">
        <f t="shared" si="9"/>
        <v>96.5</v>
      </c>
      <c r="AI31" s="89">
        <f t="shared" si="10"/>
        <v>0.96499999999999997</v>
      </c>
      <c r="AJ31" s="79"/>
      <c r="AK31" s="89" t="str">
        <f t="shared" si="11"/>
        <v/>
      </c>
      <c r="AL31" s="79"/>
      <c r="AM31" s="89" t="str">
        <f t="shared" si="12"/>
        <v/>
      </c>
      <c r="AN31" s="80"/>
      <c r="AO31" s="80"/>
      <c r="AP31" s="80"/>
      <c r="AQ31" s="80"/>
      <c r="AR31" s="80"/>
      <c r="AS31" s="80"/>
      <c r="AT31" s="80">
        <f t="shared" si="13"/>
        <v>85</v>
      </c>
      <c r="AU31" s="89">
        <f t="shared" si="14"/>
        <v>0.85</v>
      </c>
      <c r="AV31" s="79">
        <f t="shared" si="15"/>
        <v>42.5</v>
      </c>
      <c r="AW31" s="89">
        <f t="shared" si="16"/>
        <v>0.85</v>
      </c>
      <c r="AX31" s="79">
        <f t="shared" si="17"/>
        <v>72.25</v>
      </c>
      <c r="AY31" s="89">
        <f t="shared" si="18"/>
        <v>0.91455696202531644</v>
      </c>
      <c r="AZ31" s="80">
        <f t="shared" si="19"/>
        <v>104.74980000000001</v>
      </c>
      <c r="BA31" s="89">
        <f t="shared" si="20"/>
        <v>0.8657008264462811</v>
      </c>
      <c r="BB31" s="79">
        <f t="shared" si="21"/>
        <v>87.15</v>
      </c>
      <c r="BC31" s="89">
        <f t="shared" si="22"/>
        <v>0.87150000000000005</v>
      </c>
      <c r="BF31" s="4">
        <f t="shared" ref="BF31:BF47" si="26">IF(W31="","",IFERROR(M31*($BF$9/100),""))</f>
        <v>42.5</v>
      </c>
      <c r="BG31" s="4">
        <f t="shared" ref="BG31:BG47" si="27">IF(W31="","",IFERROR(G31*($BG$9/100),""))</f>
        <v>15.1008</v>
      </c>
      <c r="BH31" s="81">
        <f t="shared" ref="BH31:BH47" si="28">IF(V31="","",IFERROR(V31*($BH$9/100),""))</f>
        <v>40.875</v>
      </c>
      <c r="BI31" s="81">
        <f t="shared" ref="BI31:BI47" si="29">IF(D31="","",IFERROR(D31*($BI$9/100),""))</f>
        <v>46.75</v>
      </c>
      <c r="BJ31" s="81">
        <f t="shared" ref="BJ31:BJ47" si="30">IF(W31="","",IFERROR(W31*($W$9/100),""))</f>
        <v>45.6</v>
      </c>
      <c r="BK31" s="4"/>
      <c r="BL31" s="4"/>
      <c r="BM31" s="4"/>
      <c r="BN31" s="4"/>
      <c r="BO31" s="81">
        <f t="shared" ref="BO31:BO47" si="31">IF(S31="","",IFERROR(S31*($S$9/100),""))</f>
        <v>40.950000000000003</v>
      </c>
      <c r="BP31" s="81">
        <f t="shared" ref="BP31:BP47" si="32">IF(P31="","",IFERROR(P31*($P$9/100),""))</f>
        <v>41.25</v>
      </c>
      <c r="BQ31" s="81">
        <f t="shared" ref="BQ31:BQ46" si="33">IF(N31="","",IFERROR(N31*($N$9/100),""))</f>
        <v>42.5</v>
      </c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81">
        <f t="shared" ref="CD31:CD46" si="34">IF(Q31="","",IFERROR(Q31*($Q$9/100),""))</f>
        <v>44.75</v>
      </c>
      <c r="CE31" s="81">
        <f t="shared" ref="CE31:CE46" si="35">IF(T31="","",IFERROR(T31*($CE$9/100),""))</f>
        <v>45.45</v>
      </c>
      <c r="CF31" s="81" t="str">
        <f>IFERROR(IF(Y31="","",IFERROR(Y31*($Y$9/100),""))+IF(AB31="","",IFERROR(AB31*($AB$9/100),""))+IF(#REF!="","",IFERROR(#REF!*(#REF!/100),"")),"")</f>
        <v/>
      </c>
      <c r="CG31" s="4"/>
      <c r="CH31" s="4"/>
      <c r="CI31" s="4"/>
      <c r="CJ31" s="81" t="str">
        <f>IFERROR(IF(#REF!="","",IFERROR(#REF!*(#REF!/100),"")),"")</f>
        <v/>
      </c>
      <c r="CK31" s="81" t="str">
        <f>IFERROR(IF(#REF!="","",IFERROR(#REF!*(#REF!/100),""))+IF(#REF!="","",IFERROR(#REF!*(#REF!/100),"")),"")</f>
        <v/>
      </c>
      <c r="CL31" s="81" t="str">
        <f>IFERROR(IF(E31="","",IFERROR(E31*($E$9/100),""))+IF(K31="","",IFERROR(K31*($K$9/100),""))+IF(#REF!="","",IFERROR(#REF!*(#REF!/100),""))+IF(#REF!="","",IFERROR(#REF!*(#REF!/100),"")),"")</f>
        <v/>
      </c>
      <c r="CM31" s="4"/>
      <c r="CN31" s="81" t="str">
        <f>IFERROR(IF(AC31="","",IFERROR(AC31*($AC$9/100),""))+IF(#REF!="","",IFERROR(#REF!*(#REF!/100),"")),"")</f>
        <v/>
      </c>
      <c r="CO31" s="81">
        <f t="shared" ref="CO31:CO46" si="36">IFERROR(IF(Z31="","",IFERROR(Z31*($Z$9/100),"")),"")</f>
        <v>41.575000000000003</v>
      </c>
      <c r="CP31">
        <f t="shared" si="23"/>
        <v>447.30079999999998</v>
      </c>
      <c r="CQ31" s="82" t="e">
        <f t="shared" si="24"/>
        <v>#REF!</v>
      </c>
    </row>
    <row r="32" spans="1:95">
      <c r="A32" s="206">
        <v>22</v>
      </c>
      <c r="B32" s="207" t="s">
        <v>322</v>
      </c>
      <c r="C32" s="207" t="s">
        <v>323</v>
      </c>
      <c r="D32" s="73">
        <f>'Penguk.CPMK-Smt1'!D32</f>
        <v>86</v>
      </c>
      <c r="E32" s="73">
        <f>'Penguk.CPMK-Smt1'!E32</f>
        <v>92.5</v>
      </c>
      <c r="F32" s="73">
        <f t="shared" si="0"/>
        <v>89.25</v>
      </c>
      <c r="G32" s="91">
        <f>'Penguk.CPMK-Smt1'!G32</f>
        <v>94.38</v>
      </c>
      <c r="H32" s="91">
        <f>'Penguk.CPMK-Smt1'!H32</f>
        <v>91.88</v>
      </c>
      <c r="I32" s="91">
        <f>'Penguk.CPMK-Smt1'!I32</f>
        <v>90.77</v>
      </c>
      <c r="J32" s="91">
        <f>'Penguk.CPMK-Smt1'!J32</f>
        <v>94.52</v>
      </c>
      <c r="K32" s="91">
        <f>'Penguk.CPMK-Smt1'!K32</f>
        <v>90.95</v>
      </c>
      <c r="L32" s="91">
        <f t="shared" si="1"/>
        <v>34.200299999999999</v>
      </c>
      <c r="M32" s="74">
        <f>'Penguk.CPMK-Smt1'!M32</f>
        <v>85</v>
      </c>
      <c r="N32" s="74">
        <f>'Penguk.CPMK-Smt1'!N32</f>
        <v>85</v>
      </c>
      <c r="O32" s="74">
        <f t="shared" si="2"/>
        <v>85</v>
      </c>
      <c r="P32" s="75">
        <f>'Penguk.CPMK-Smt1'!P32</f>
        <v>89.5</v>
      </c>
      <c r="Q32" s="75">
        <f>'Penguk.CPMK-Smt1'!Q32</f>
        <v>89.5</v>
      </c>
      <c r="R32" s="75">
        <f t="shared" si="3"/>
        <v>89.5</v>
      </c>
      <c r="S32" s="76">
        <f>'Penguk.CPMK-Smt1'!S32</f>
        <v>77.7</v>
      </c>
      <c r="T32" s="76">
        <f>'Penguk.CPMK-Smt1'!T32</f>
        <v>95.1</v>
      </c>
      <c r="U32" s="76">
        <f t="shared" si="4"/>
        <v>86.4</v>
      </c>
      <c r="V32" s="38">
        <f>'Penguk.CPMK-Smt1'!V32</f>
        <v>81.3</v>
      </c>
      <c r="W32" s="38">
        <f>'Penguk.CPMK-Smt1'!W32</f>
        <v>90.3</v>
      </c>
      <c r="X32" s="38">
        <f t="shared" si="5"/>
        <v>85.8</v>
      </c>
      <c r="Y32" s="77">
        <f>'Penguk.CPMK-Smt1'!Y32</f>
        <v>89.8</v>
      </c>
      <c r="Z32" s="77">
        <f>'Penguk.CPMK-Smt1'!Z32</f>
        <v>89.8</v>
      </c>
      <c r="AA32" s="77">
        <f t="shared" si="25"/>
        <v>89.8</v>
      </c>
      <c r="AB32" s="78">
        <f>'Penguk.CPMK-Smt1'!AB32</f>
        <v>87.15</v>
      </c>
      <c r="AC32" s="78">
        <f>'Penguk.CPMK-Smt1'!AC32</f>
        <v>87.15</v>
      </c>
      <c r="AD32" s="78">
        <f t="shared" si="6"/>
        <v>87.15</v>
      </c>
      <c r="AF32" s="79">
        <f t="shared" si="7"/>
        <v>175.6</v>
      </c>
      <c r="AG32" s="89">
        <f t="shared" si="8"/>
        <v>0.878</v>
      </c>
      <c r="AH32" s="79">
        <f t="shared" si="9"/>
        <v>89.25</v>
      </c>
      <c r="AI32" s="89">
        <f t="shared" si="10"/>
        <v>0.89249999999999996</v>
      </c>
      <c r="AJ32" s="79"/>
      <c r="AK32" s="89" t="str">
        <f t="shared" si="11"/>
        <v/>
      </c>
      <c r="AL32" s="79"/>
      <c r="AM32" s="89" t="str">
        <f t="shared" si="12"/>
        <v/>
      </c>
      <c r="AN32" s="80"/>
      <c r="AO32" s="80"/>
      <c r="AP32" s="80"/>
      <c r="AQ32" s="80"/>
      <c r="AR32" s="80"/>
      <c r="AS32" s="80"/>
      <c r="AT32" s="80">
        <f t="shared" si="13"/>
        <v>85</v>
      </c>
      <c r="AU32" s="89">
        <f t="shared" si="14"/>
        <v>0.85</v>
      </c>
      <c r="AV32" s="79">
        <f t="shared" si="15"/>
        <v>42.5</v>
      </c>
      <c r="AW32" s="89">
        <f t="shared" si="16"/>
        <v>0.85</v>
      </c>
      <c r="AX32" s="79">
        <f t="shared" si="17"/>
        <v>73.251000000000005</v>
      </c>
      <c r="AY32" s="89">
        <f t="shared" si="18"/>
        <v>0.92722784810126591</v>
      </c>
      <c r="AZ32" s="80">
        <f t="shared" si="19"/>
        <v>105.4995</v>
      </c>
      <c r="BA32" s="89">
        <f t="shared" si="20"/>
        <v>0.87189669421487603</v>
      </c>
      <c r="BB32" s="79">
        <f t="shared" si="21"/>
        <v>87.15</v>
      </c>
      <c r="BC32" s="89">
        <f t="shared" si="22"/>
        <v>0.87150000000000005</v>
      </c>
      <c r="BF32" s="4">
        <f t="shared" si="26"/>
        <v>42.5</v>
      </c>
      <c r="BG32" s="4">
        <f t="shared" si="27"/>
        <v>15.1008</v>
      </c>
      <c r="BH32" s="81">
        <f t="shared" si="28"/>
        <v>40.65</v>
      </c>
      <c r="BI32" s="81">
        <f t="shared" si="29"/>
        <v>43</v>
      </c>
      <c r="BJ32" s="81">
        <f t="shared" si="30"/>
        <v>45.15</v>
      </c>
      <c r="BK32" s="4"/>
      <c r="BL32" s="4"/>
      <c r="BM32" s="4"/>
      <c r="BN32" s="4"/>
      <c r="BO32" s="81">
        <f t="shared" si="31"/>
        <v>38.85</v>
      </c>
      <c r="BP32" s="81">
        <f t="shared" si="32"/>
        <v>44.75</v>
      </c>
      <c r="BQ32" s="81">
        <f t="shared" si="33"/>
        <v>42.5</v>
      </c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81">
        <f t="shared" si="34"/>
        <v>44.75</v>
      </c>
      <c r="CE32" s="81">
        <f t="shared" si="35"/>
        <v>47.55</v>
      </c>
      <c r="CF32" s="81" t="str">
        <f>IFERROR(IF(Y32="","",IFERROR(Y32*($Y$9/100),""))+IF(AB32="","",IFERROR(AB32*($AB$9/100),""))+IF(#REF!="","",IFERROR(#REF!*(#REF!/100),"")),"")</f>
        <v/>
      </c>
      <c r="CG32" s="4"/>
      <c r="CH32" s="4"/>
      <c r="CI32" s="4"/>
      <c r="CJ32" s="81"/>
      <c r="CK32" s="81"/>
      <c r="CL32" s="81" t="str">
        <f>IFERROR(IF(E32="","",IFERROR(E32*($E$9/100),""))+IF(K32="","",IFERROR(K32*($K$9/100),""))+IF(#REF!="","",IFERROR(#REF!*(#REF!/100),""))+IF(#REF!="","",IFERROR(#REF!*(#REF!/100),"")),"")</f>
        <v/>
      </c>
      <c r="CM32" s="4"/>
      <c r="CN32" s="81" t="str">
        <f>IFERROR(IF(AC32="","",IFERROR(AC32*($AC$9/100),""))+IF(#REF!="","",IFERROR(#REF!*(#REF!/100),"")),"")</f>
        <v/>
      </c>
      <c r="CO32" s="81">
        <f t="shared" si="36"/>
        <v>44.9</v>
      </c>
      <c r="CP32">
        <f t="shared" si="23"/>
        <v>449.70080000000002</v>
      </c>
      <c r="CQ32" s="82" t="e">
        <f t="shared" si="24"/>
        <v>#REF!</v>
      </c>
    </row>
    <row r="33" spans="1:95">
      <c r="A33" s="206">
        <v>23</v>
      </c>
      <c r="B33" s="207" t="s">
        <v>324</v>
      </c>
      <c r="C33" s="207" t="s">
        <v>325</v>
      </c>
      <c r="D33" s="73">
        <f>'Penguk.CPMK-Smt1'!D33</f>
        <v>81.5</v>
      </c>
      <c r="E33" s="73">
        <f>'Penguk.CPMK-Smt1'!E33</f>
        <v>86</v>
      </c>
      <c r="F33" s="73">
        <f t="shared" si="0"/>
        <v>83.75</v>
      </c>
      <c r="G33" s="91">
        <f>'Penguk.CPMK-Smt1'!G33</f>
        <v>94.38</v>
      </c>
      <c r="H33" s="91">
        <f>'Penguk.CPMK-Smt1'!H33</f>
        <v>91.88</v>
      </c>
      <c r="I33" s="91">
        <f>'Penguk.CPMK-Smt1'!I33</f>
        <v>86.92</v>
      </c>
      <c r="J33" s="91">
        <f>'Penguk.CPMK-Smt1'!J33</f>
        <v>94.52</v>
      </c>
      <c r="K33" s="91">
        <f>'Penguk.CPMK-Smt1'!K33</f>
        <v>87.38</v>
      </c>
      <c r="L33" s="91">
        <f t="shared" si="1"/>
        <v>33.450599999999994</v>
      </c>
      <c r="M33" s="74">
        <f>'Penguk.CPMK-Smt1'!M33</f>
        <v>85</v>
      </c>
      <c r="N33" s="74">
        <f>'Penguk.CPMK-Smt1'!N33</f>
        <v>85</v>
      </c>
      <c r="O33" s="74">
        <f t="shared" si="2"/>
        <v>85</v>
      </c>
      <c r="P33" s="75">
        <f>'Penguk.CPMK-Smt1'!P33</f>
        <v>89.5</v>
      </c>
      <c r="Q33" s="75">
        <f>'Penguk.CPMK-Smt1'!Q33</f>
        <v>89.5</v>
      </c>
      <c r="R33" s="75">
        <f t="shared" si="3"/>
        <v>89.5</v>
      </c>
      <c r="S33" s="76">
        <f>'Penguk.CPMK-Smt1'!S33</f>
        <v>65.8</v>
      </c>
      <c r="T33" s="76">
        <f>'Penguk.CPMK-Smt1'!T33</f>
        <v>67.2</v>
      </c>
      <c r="U33" s="76">
        <f t="shared" si="4"/>
        <v>66.5</v>
      </c>
      <c r="V33" s="38">
        <f>'Penguk.CPMK-Smt1'!V33</f>
        <v>82</v>
      </c>
      <c r="W33" s="38">
        <f>'Penguk.CPMK-Smt1'!W33</f>
        <v>91.7</v>
      </c>
      <c r="X33" s="38">
        <f t="shared" si="5"/>
        <v>86.85</v>
      </c>
      <c r="Y33" s="77">
        <f>'Penguk.CPMK-Smt1'!Y33</f>
        <v>83.15</v>
      </c>
      <c r="Z33" s="77">
        <f>'Penguk.CPMK-Smt1'!Z33</f>
        <v>83.15</v>
      </c>
      <c r="AA33" s="77">
        <f t="shared" si="25"/>
        <v>83.15</v>
      </c>
      <c r="AB33" s="78">
        <f>'Penguk.CPMK-Smt1'!AB33</f>
        <v>80.25</v>
      </c>
      <c r="AC33" s="78">
        <f>'Penguk.CPMK-Smt1'!AC33</f>
        <v>80.25</v>
      </c>
      <c r="AD33" s="78">
        <f t="shared" si="6"/>
        <v>80.25</v>
      </c>
      <c r="AF33" s="79">
        <f t="shared" si="7"/>
        <v>170</v>
      </c>
      <c r="AG33" s="89">
        <f t="shared" si="8"/>
        <v>0.85</v>
      </c>
      <c r="AH33" s="79">
        <f t="shared" si="9"/>
        <v>83.75</v>
      </c>
      <c r="AI33" s="89">
        <f t="shared" si="10"/>
        <v>0.83750000000000002</v>
      </c>
      <c r="AJ33" s="79"/>
      <c r="AK33" s="89" t="str">
        <f t="shared" si="11"/>
        <v/>
      </c>
      <c r="AL33" s="79"/>
      <c r="AM33" s="89" t="str">
        <f t="shared" si="12"/>
        <v/>
      </c>
      <c r="AN33" s="80"/>
      <c r="AO33" s="80"/>
      <c r="AP33" s="80"/>
      <c r="AQ33" s="80"/>
      <c r="AR33" s="80"/>
      <c r="AS33" s="80"/>
      <c r="AT33" s="80">
        <f t="shared" si="13"/>
        <v>85</v>
      </c>
      <c r="AU33" s="89">
        <f t="shared" si="14"/>
        <v>0.85</v>
      </c>
      <c r="AV33" s="79">
        <f t="shared" si="15"/>
        <v>42.5</v>
      </c>
      <c r="AW33" s="89">
        <f t="shared" si="16"/>
        <v>0.85</v>
      </c>
      <c r="AX33" s="79">
        <f t="shared" si="17"/>
        <v>72.25</v>
      </c>
      <c r="AY33" s="89">
        <f t="shared" si="18"/>
        <v>0.91455696202531644</v>
      </c>
      <c r="AZ33" s="80">
        <f t="shared" si="19"/>
        <v>84.849799999999988</v>
      </c>
      <c r="BA33" s="89">
        <f t="shared" si="20"/>
        <v>0.70123801652892548</v>
      </c>
      <c r="BB33" s="79">
        <f t="shared" si="21"/>
        <v>80.25</v>
      </c>
      <c r="BC33" s="89">
        <f t="shared" si="22"/>
        <v>0.80249999999999999</v>
      </c>
      <c r="BF33" s="4">
        <f t="shared" si="26"/>
        <v>42.5</v>
      </c>
      <c r="BG33" s="4">
        <f t="shared" si="27"/>
        <v>15.1008</v>
      </c>
      <c r="BH33" s="81">
        <f t="shared" si="28"/>
        <v>41</v>
      </c>
      <c r="BI33" s="81">
        <f t="shared" si="29"/>
        <v>40.75</v>
      </c>
      <c r="BJ33" s="81">
        <f t="shared" si="30"/>
        <v>45.85</v>
      </c>
      <c r="BK33" s="4"/>
      <c r="BL33" s="4"/>
      <c r="BM33" s="4"/>
      <c r="BN33" s="4"/>
      <c r="BO33" s="81">
        <f t="shared" si="31"/>
        <v>32.9</v>
      </c>
      <c r="BP33" s="81">
        <f t="shared" si="32"/>
        <v>44.75</v>
      </c>
      <c r="BQ33" s="81">
        <f t="shared" si="33"/>
        <v>42.5</v>
      </c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81">
        <f t="shared" si="34"/>
        <v>44.75</v>
      </c>
      <c r="CE33" s="81">
        <f t="shared" si="35"/>
        <v>33.6</v>
      </c>
      <c r="CF33" s="81" t="str">
        <f>IFERROR(IF(Y33="","",IFERROR(Y33*($Y$9/100),""))+IF(AB33="","",IFERROR(AB33*($AB$9/100),""))+IF(#REF!="","",IFERROR(#REF!*(#REF!/100),"")),"")</f>
        <v/>
      </c>
      <c r="CG33" s="4"/>
      <c r="CH33" s="4"/>
      <c r="CI33" s="4"/>
      <c r="CJ33" s="81" t="str">
        <f>IFERROR(IF(#REF!="","",IFERROR(#REF!*(#REF!/100),"")),"")</f>
        <v/>
      </c>
      <c r="CK33" s="81" t="str">
        <f>IFERROR(IF(#REF!="","",IFERROR(#REF!*(#REF!/100),""))+IF(#REF!="","",IFERROR(#REF!*(#REF!/100),"")),"")</f>
        <v/>
      </c>
      <c r="CL33" s="81" t="str">
        <f>IFERROR(IF(E33="","",IFERROR(E33*($E$9/100),""))+IF(K33="","",IFERROR(K33*($K$9/100),""))+IF(#REF!="","",IFERROR(#REF!*(#REF!/100),""))+IF(#REF!="","",IFERROR(#REF!*(#REF!/100),"")),"")</f>
        <v/>
      </c>
      <c r="CM33" s="4"/>
      <c r="CN33" s="81" t="str">
        <f>IFERROR(IF(AC33="","",IFERROR(AC33*($AC$9/100),""))+IF(#REF!="","",IFERROR(#REF!*(#REF!/100),"")),"")</f>
        <v/>
      </c>
      <c r="CO33" s="81">
        <f t="shared" si="36"/>
        <v>41.575000000000003</v>
      </c>
      <c r="CP33">
        <f t="shared" si="23"/>
        <v>425.2758</v>
      </c>
      <c r="CQ33" s="82" t="e">
        <f t="shared" si="24"/>
        <v>#REF!</v>
      </c>
    </row>
    <row r="34" spans="1:95">
      <c r="A34" s="206">
        <v>24</v>
      </c>
      <c r="B34" s="207" t="s">
        <v>326</v>
      </c>
      <c r="C34" s="207" t="s">
        <v>327</v>
      </c>
      <c r="D34" s="73">
        <f>'Penguk.CPMK-Smt1'!D34</f>
        <v>81.5</v>
      </c>
      <c r="E34" s="73">
        <f>'Penguk.CPMK-Smt1'!E34</f>
        <v>82</v>
      </c>
      <c r="F34" s="73">
        <f t="shared" si="0"/>
        <v>81.75</v>
      </c>
      <c r="G34" s="91">
        <f>'Penguk.CPMK-Smt1'!G34</f>
        <v>89.25</v>
      </c>
      <c r="H34" s="91">
        <f>'Penguk.CPMK-Smt1'!H34</f>
        <v>88</v>
      </c>
      <c r="I34" s="91">
        <f>'Penguk.CPMK-Smt1'!I34</f>
        <v>88.38</v>
      </c>
      <c r="J34" s="91">
        <f>'Penguk.CPMK-Smt1'!J34</f>
        <v>91.57</v>
      </c>
      <c r="K34" s="91">
        <f>'Penguk.CPMK-Smt1'!K34</f>
        <v>88</v>
      </c>
      <c r="L34" s="91">
        <f t="shared" si="1"/>
        <v>32.760000000000005</v>
      </c>
      <c r="M34" s="74">
        <f>'Penguk.CPMK-Smt1'!M34</f>
        <v>85</v>
      </c>
      <c r="N34" s="74">
        <f>'Penguk.CPMK-Smt1'!N34</f>
        <v>85</v>
      </c>
      <c r="O34" s="74">
        <f t="shared" si="2"/>
        <v>85</v>
      </c>
      <c r="P34" s="75">
        <f>'Penguk.CPMK-Smt1'!P34</f>
        <v>75.900000000000006</v>
      </c>
      <c r="Q34" s="75">
        <f>'Penguk.CPMK-Smt1'!Q34</f>
        <v>75.900000000000006</v>
      </c>
      <c r="R34" s="75">
        <f t="shared" si="3"/>
        <v>75.900000000000006</v>
      </c>
      <c r="S34" s="76">
        <f>'Penguk.CPMK-Smt1'!S34</f>
        <v>65.5</v>
      </c>
      <c r="T34" s="76">
        <f>'Penguk.CPMK-Smt1'!T34</f>
        <v>66.900000000000006</v>
      </c>
      <c r="U34" s="76">
        <f t="shared" si="4"/>
        <v>66.2</v>
      </c>
      <c r="V34" s="38">
        <f>'Penguk.CPMK-Smt1'!V34</f>
        <v>80.650000000000006</v>
      </c>
      <c r="W34" s="38">
        <f>'Penguk.CPMK-Smt1'!W34</f>
        <v>89.6</v>
      </c>
      <c r="X34" s="38">
        <f t="shared" si="5"/>
        <v>85.125</v>
      </c>
      <c r="Y34" s="77">
        <f>'Penguk.CPMK-Smt1'!Y34</f>
        <v>80.400000000000006</v>
      </c>
      <c r="Z34" s="77">
        <f>'Penguk.CPMK-Smt1'!Z34</f>
        <v>80.400000000000006</v>
      </c>
      <c r="AA34" s="77">
        <f t="shared" si="25"/>
        <v>80.400000000000006</v>
      </c>
      <c r="AB34" s="78">
        <f>'Penguk.CPMK-Smt1'!AB34</f>
        <v>91</v>
      </c>
      <c r="AC34" s="78">
        <f>'Penguk.CPMK-Smt1'!AC34</f>
        <v>91</v>
      </c>
      <c r="AD34" s="78">
        <f t="shared" si="6"/>
        <v>91</v>
      </c>
      <c r="AF34" s="79">
        <f t="shared" si="7"/>
        <v>165.52500000000001</v>
      </c>
      <c r="AG34" s="89">
        <f t="shared" si="8"/>
        <v>0.82762500000000006</v>
      </c>
      <c r="AH34" s="79">
        <f t="shared" si="9"/>
        <v>81.75</v>
      </c>
      <c r="AI34" s="89">
        <f t="shared" si="10"/>
        <v>0.8175</v>
      </c>
      <c r="AJ34" s="79"/>
      <c r="AK34" s="89" t="str">
        <f t="shared" si="11"/>
        <v/>
      </c>
      <c r="AL34" s="79"/>
      <c r="AM34" s="89" t="str">
        <f t="shared" si="12"/>
        <v/>
      </c>
      <c r="AN34" s="80"/>
      <c r="AO34" s="80"/>
      <c r="AP34" s="80"/>
      <c r="AQ34" s="80"/>
      <c r="AR34" s="80"/>
      <c r="AS34" s="80"/>
      <c r="AT34" s="80">
        <f t="shared" si="13"/>
        <v>85</v>
      </c>
      <c r="AU34" s="89">
        <f t="shared" si="14"/>
        <v>0.85</v>
      </c>
      <c r="AV34" s="79">
        <f t="shared" si="15"/>
        <v>42.5</v>
      </c>
      <c r="AW34" s="89">
        <f t="shared" si="16"/>
        <v>0.85</v>
      </c>
      <c r="AX34" s="79">
        <f t="shared" si="17"/>
        <v>70.5685</v>
      </c>
      <c r="AY34" s="89">
        <f t="shared" si="18"/>
        <v>0.89327215189873421</v>
      </c>
      <c r="AZ34" s="80">
        <f t="shared" si="19"/>
        <v>84.68</v>
      </c>
      <c r="BA34" s="89">
        <f t="shared" si="20"/>
        <v>0.69983471074380166</v>
      </c>
      <c r="BB34" s="79">
        <f t="shared" si="21"/>
        <v>91</v>
      </c>
      <c r="BC34" s="89">
        <f t="shared" si="22"/>
        <v>0.91</v>
      </c>
      <c r="BF34" s="4">
        <f t="shared" si="26"/>
        <v>42.5</v>
      </c>
      <c r="BG34" s="4">
        <f t="shared" si="27"/>
        <v>14.280000000000001</v>
      </c>
      <c r="BH34" s="81">
        <f t="shared" si="28"/>
        <v>40.325000000000003</v>
      </c>
      <c r="BI34" s="81">
        <f t="shared" si="29"/>
        <v>40.75</v>
      </c>
      <c r="BJ34" s="81">
        <f t="shared" si="30"/>
        <v>44.8</v>
      </c>
      <c r="BK34" s="4"/>
      <c r="BL34" s="4"/>
      <c r="BM34" s="4"/>
      <c r="BN34" s="4"/>
      <c r="BO34" s="81">
        <f t="shared" si="31"/>
        <v>32.75</v>
      </c>
      <c r="BP34" s="81">
        <f t="shared" si="32"/>
        <v>37.950000000000003</v>
      </c>
      <c r="BQ34" s="81">
        <f t="shared" si="33"/>
        <v>42.5</v>
      </c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81">
        <f t="shared" si="34"/>
        <v>37.950000000000003</v>
      </c>
      <c r="CE34" s="81">
        <f t="shared" si="35"/>
        <v>33.450000000000003</v>
      </c>
      <c r="CF34" s="81" t="str">
        <f>IFERROR(IF(Y34="","",IFERROR(Y34*($Y$9/100),""))+IF(AB34="","",IFERROR(AB34*($AB$9/100),""))+IF(#REF!="","",IFERROR(#REF!*(#REF!/100),"")),"")</f>
        <v/>
      </c>
      <c r="CG34" s="4"/>
      <c r="CH34" s="4"/>
      <c r="CI34" s="4"/>
      <c r="CJ34" s="81" t="str">
        <f>IFERROR(IF(#REF!="","",IFERROR(#REF!*(#REF!/100),"")),"")</f>
        <v/>
      </c>
      <c r="CK34" s="81" t="str">
        <f>IFERROR(IF(#REF!="","",IFERROR(#REF!*(#REF!/100),""))+IF(#REF!="","",IFERROR(#REF!*(#REF!/100),"")),"")</f>
        <v/>
      </c>
      <c r="CL34" s="81" t="str">
        <f>IFERROR(IF(E34="","",IFERROR(E34*($E$9/100),""))+IF(K34="","",IFERROR(K34*($K$9/100),""))+IF(#REF!="","",IFERROR(#REF!*(#REF!/100),""))+IF(#REF!="","",IFERROR(#REF!*(#REF!/100),"")),"")</f>
        <v/>
      </c>
      <c r="CM34" s="4"/>
      <c r="CN34" s="81" t="str">
        <f>IFERROR(IF(AC34="","",IFERROR(AC34*($AC$9/100),""))+IF(#REF!="","",IFERROR(#REF!*(#REF!/100),"")),"")</f>
        <v/>
      </c>
      <c r="CO34" s="81">
        <f t="shared" si="36"/>
        <v>40.200000000000003</v>
      </c>
      <c r="CP34">
        <f t="shared" si="23"/>
        <v>407.45499999999998</v>
      </c>
      <c r="CQ34" s="82" t="e">
        <f t="shared" si="24"/>
        <v>#REF!</v>
      </c>
    </row>
    <row r="35" spans="1:95">
      <c r="A35" s="206">
        <v>25</v>
      </c>
      <c r="B35" s="207" t="s">
        <v>328</v>
      </c>
      <c r="C35" s="207" t="s">
        <v>329</v>
      </c>
      <c r="D35" s="73">
        <f>'Penguk.CPMK-Smt1'!D35</f>
        <v>81.5</v>
      </c>
      <c r="E35" s="73">
        <f>'Penguk.CPMK-Smt1'!E35</f>
        <v>91.5</v>
      </c>
      <c r="F35" s="73">
        <f t="shared" si="0"/>
        <v>86.5</v>
      </c>
      <c r="G35" s="91">
        <f>'Penguk.CPMK-Smt1'!G35</f>
        <v>89.25</v>
      </c>
      <c r="H35" s="91">
        <f>'Penguk.CPMK-Smt1'!H35</f>
        <v>88</v>
      </c>
      <c r="I35" s="91">
        <f>'Penguk.CPMK-Smt1'!I35</f>
        <v>88.38</v>
      </c>
      <c r="J35" s="91">
        <f>'Penguk.CPMK-Smt1'!J35</f>
        <v>91.57</v>
      </c>
      <c r="K35" s="91">
        <f>'Penguk.CPMK-Smt1'!K35</f>
        <v>88</v>
      </c>
      <c r="L35" s="91">
        <f t="shared" si="1"/>
        <v>32.760000000000005</v>
      </c>
      <c r="M35" s="74">
        <f>'Penguk.CPMK-Smt1'!M35</f>
        <v>85</v>
      </c>
      <c r="N35" s="74">
        <f>'Penguk.CPMK-Smt1'!N35</f>
        <v>85</v>
      </c>
      <c r="O35" s="74">
        <f t="shared" si="2"/>
        <v>85</v>
      </c>
      <c r="P35" s="75">
        <f>'Penguk.CPMK-Smt1'!P35</f>
        <v>86.4</v>
      </c>
      <c r="Q35" s="75">
        <f>'Penguk.CPMK-Smt1'!Q35</f>
        <v>86.4</v>
      </c>
      <c r="R35" s="75">
        <f t="shared" si="3"/>
        <v>86.4</v>
      </c>
      <c r="S35" s="76">
        <f>'Penguk.CPMK-Smt1'!S35</f>
        <v>64.099999999999994</v>
      </c>
      <c r="T35" s="76">
        <f>'Penguk.CPMK-Smt1'!T35</f>
        <v>67.2</v>
      </c>
      <c r="U35" s="76">
        <f t="shared" si="4"/>
        <v>65.650000000000006</v>
      </c>
      <c r="V35" s="38">
        <f>'Penguk.CPMK-Smt1'!V35</f>
        <v>88</v>
      </c>
      <c r="W35" s="38">
        <f>'Penguk.CPMK-Smt1'!W35</f>
        <v>88</v>
      </c>
      <c r="X35" s="38">
        <f t="shared" si="5"/>
        <v>88</v>
      </c>
      <c r="Y35" s="77">
        <f>'Penguk.CPMK-Smt1'!Y35</f>
        <v>79</v>
      </c>
      <c r="Z35" s="77">
        <f>'Penguk.CPMK-Smt1'!Z35</f>
        <v>79</v>
      </c>
      <c r="AA35" s="77">
        <f t="shared" si="25"/>
        <v>79</v>
      </c>
      <c r="AB35" s="78">
        <f>'Penguk.CPMK-Smt1'!AB35</f>
        <v>90.65</v>
      </c>
      <c r="AC35" s="78">
        <f>'Penguk.CPMK-Smt1'!AC35</f>
        <v>90.65</v>
      </c>
      <c r="AD35" s="78">
        <f t="shared" si="6"/>
        <v>90.65</v>
      </c>
      <c r="AF35" s="79">
        <f t="shared" si="7"/>
        <v>167</v>
      </c>
      <c r="AG35" s="89">
        <f t="shared" si="8"/>
        <v>0.83499999999999996</v>
      </c>
      <c r="AH35" s="79">
        <f t="shared" si="9"/>
        <v>86.5</v>
      </c>
      <c r="AI35" s="89">
        <f t="shared" si="10"/>
        <v>0.86499999999999999</v>
      </c>
      <c r="AJ35" s="79"/>
      <c r="AK35" s="89" t="str">
        <f t="shared" si="11"/>
        <v/>
      </c>
      <c r="AL35" s="79"/>
      <c r="AM35" s="89" t="str">
        <f t="shared" si="12"/>
        <v/>
      </c>
      <c r="AN35" s="80"/>
      <c r="AO35" s="80"/>
      <c r="AP35" s="80"/>
      <c r="AQ35" s="80"/>
      <c r="AR35" s="80"/>
      <c r="AS35" s="80"/>
      <c r="AT35" s="80">
        <f t="shared" si="13"/>
        <v>85</v>
      </c>
      <c r="AU35" s="89">
        <f t="shared" si="14"/>
        <v>0.85</v>
      </c>
      <c r="AV35" s="79">
        <f t="shared" si="15"/>
        <v>42.5</v>
      </c>
      <c r="AW35" s="89">
        <f t="shared" si="16"/>
        <v>0.85</v>
      </c>
      <c r="AX35" s="79">
        <f t="shared" si="17"/>
        <v>70.5685</v>
      </c>
      <c r="AY35" s="89">
        <f t="shared" si="18"/>
        <v>0.89327215189873421</v>
      </c>
      <c r="AZ35" s="80">
        <f t="shared" si="19"/>
        <v>84.13</v>
      </c>
      <c r="BA35" s="89">
        <f t="shared" si="20"/>
        <v>0.69528925619834703</v>
      </c>
      <c r="BB35" s="79">
        <f t="shared" si="21"/>
        <v>90.65</v>
      </c>
      <c r="BC35" s="89">
        <f t="shared" si="22"/>
        <v>0.90650000000000008</v>
      </c>
      <c r="BF35" s="4">
        <f t="shared" si="26"/>
        <v>42.5</v>
      </c>
      <c r="BG35" s="4">
        <f t="shared" si="27"/>
        <v>14.280000000000001</v>
      </c>
      <c r="BH35" s="81">
        <f t="shared" si="28"/>
        <v>44</v>
      </c>
      <c r="BI35" s="81">
        <f t="shared" si="29"/>
        <v>40.75</v>
      </c>
      <c r="BJ35" s="81">
        <f t="shared" si="30"/>
        <v>44</v>
      </c>
      <c r="BK35" s="4"/>
      <c r="BL35" s="4"/>
      <c r="BM35" s="4"/>
      <c r="BN35" s="4"/>
      <c r="BO35" s="81">
        <f t="shared" si="31"/>
        <v>32.049999999999997</v>
      </c>
      <c r="BP35" s="81">
        <f t="shared" si="32"/>
        <v>43.2</v>
      </c>
      <c r="BQ35" s="81">
        <f t="shared" si="33"/>
        <v>42.5</v>
      </c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81">
        <f t="shared" si="34"/>
        <v>43.2</v>
      </c>
      <c r="CE35" s="81">
        <f t="shared" si="35"/>
        <v>33.6</v>
      </c>
      <c r="CF35" s="81" t="str">
        <f>IFERROR(IF(Y35="","",IFERROR(Y35*($Y$9/100),""))+IF(AB35="","",IFERROR(AB35*($AB$9/100),""))+IF(#REF!="","",IFERROR(#REF!*(#REF!/100),"")),"")</f>
        <v/>
      </c>
      <c r="CG35" s="4"/>
      <c r="CH35" s="4"/>
      <c r="CI35" s="4"/>
      <c r="CJ35" s="81" t="str">
        <f>IFERROR(IF(#REF!="","",IFERROR(#REF!*(#REF!/100),"")),"")</f>
        <v/>
      </c>
      <c r="CK35" s="81" t="str">
        <f>IFERROR(IF(#REF!="","",IFERROR(#REF!*(#REF!/100),""))+IF(#REF!="","",IFERROR(#REF!*(#REF!/100),"")),"")</f>
        <v/>
      </c>
      <c r="CL35" s="81" t="str">
        <f>IFERROR(IF(E35="","",IFERROR(E35*($E$9/100),""))+IF(K35="","",IFERROR(K35*($K$9/100),""))+IF(#REF!="","",IFERROR(#REF!*(#REF!/100),""))+IF(#REF!="","",IFERROR(#REF!*(#REF!/100),"")),"")</f>
        <v/>
      </c>
      <c r="CM35" s="4"/>
      <c r="CN35" s="81" t="str">
        <f>IFERROR(IF(AC35="","",IFERROR(AC35*($AC$9/100),""))+IF(#REF!="","",IFERROR(#REF!*(#REF!/100),"")),"")</f>
        <v/>
      </c>
      <c r="CO35" s="81">
        <f t="shared" si="36"/>
        <v>39.5</v>
      </c>
      <c r="CP35">
        <f t="shared" si="23"/>
        <v>419.58</v>
      </c>
      <c r="CQ35" s="82" t="e">
        <f t="shared" si="24"/>
        <v>#REF!</v>
      </c>
    </row>
    <row r="36" spans="1:95">
      <c r="A36" s="206">
        <v>26</v>
      </c>
      <c r="B36" s="207" t="s">
        <v>330</v>
      </c>
      <c r="C36" s="207" t="s">
        <v>331</v>
      </c>
      <c r="D36" s="73">
        <f>'Penguk.CPMK-Smt1'!D36</f>
        <v>80.25</v>
      </c>
      <c r="E36" s="73">
        <f>'Penguk.CPMK-Smt1'!E36</f>
        <v>80.25</v>
      </c>
      <c r="F36" s="73">
        <f t="shared" si="0"/>
        <v>80.25</v>
      </c>
      <c r="G36" s="91">
        <f>'Penguk.CPMK-Smt1'!G36</f>
        <v>76.38</v>
      </c>
      <c r="H36" s="91">
        <f>'Penguk.CPMK-Smt1'!H36</f>
        <v>76.38</v>
      </c>
      <c r="I36" s="91">
        <f>'Penguk.CPMK-Smt1'!I36</f>
        <v>75.08</v>
      </c>
      <c r="J36" s="91">
        <f>'Penguk.CPMK-Smt1'!J36</f>
        <v>75.569999999999993</v>
      </c>
      <c r="K36" s="91">
        <f>'Penguk.CPMK-Smt1'!K36</f>
        <v>75.569999999999993</v>
      </c>
      <c r="L36" s="91">
        <f t="shared" si="1"/>
        <v>28.090499999999999</v>
      </c>
      <c r="M36" s="74">
        <f>'Penguk.CPMK-Smt1'!M36</f>
        <v>50.3</v>
      </c>
      <c r="N36" s="74">
        <f>'Penguk.CPMK-Smt1'!N36</f>
        <v>43.3</v>
      </c>
      <c r="O36" s="74">
        <f t="shared" si="2"/>
        <v>46.8</v>
      </c>
      <c r="P36" s="75">
        <f>'Penguk.CPMK-Smt1'!P36</f>
        <v>46</v>
      </c>
      <c r="Q36" s="75">
        <f>'Penguk.CPMK-Smt1'!Q36</f>
        <v>59</v>
      </c>
      <c r="R36" s="75">
        <f t="shared" si="3"/>
        <v>52.5</v>
      </c>
      <c r="S36" s="76">
        <f>'Penguk.CPMK-Smt1'!S36</f>
        <v>85.5</v>
      </c>
      <c r="T36" s="76">
        <f>'Penguk.CPMK-Smt1'!T36</f>
        <v>66.900000000000006</v>
      </c>
      <c r="U36" s="76">
        <f t="shared" si="4"/>
        <v>76.2</v>
      </c>
      <c r="V36" s="38">
        <f>'Penguk.CPMK-Smt1'!V36</f>
        <v>90.1</v>
      </c>
      <c r="W36" s="38">
        <f>'Penguk.CPMK-Smt1'!W36</f>
        <v>90.1</v>
      </c>
      <c r="X36" s="38">
        <f t="shared" si="5"/>
        <v>90.1</v>
      </c>
      <c r="Y36" s="77">
        <f>'Penguk.CPMK-Smt1'!Y36</f>
        <v>83.15</v>
      </c>
      <c r="Z36" s="77">
        <f>'Penguk.CPMK-Smt1'!Z36</f>
        <v>83.15</v>
      </c>
      <c r="AA36" s="77">
        <f t="shared" si="25"/>
        <v>83.15</v>
      </c>
      <c r="AB36" s="78">
        <f>'Penguk.CPMK-Smt1'!AB36</f>
        <v>90.2</v>
      </c>
      <c r="AC36" s="78">
        <f>'Penguk.CPMK-Smt1'!AC36</f>
        <v>89</v>
      </c>
      <c r="AD36" s="78">
        <f t="shared" si="6"/>
        <v>89.6</v>
      </c>
      <c r="AF36" s="79">
        <f t="shared" si="7"/>
        <v>173.25</v>
      </c>
      <c r="AG36" s="89">
        <f t="shared" si="8"/>
        <v>0.86624999999999996</v>
      </c>
      <c r="AH36" s="79">
        <f t="shared" si="9"/>
        <v>80.25</v>
      </c>
      <c r="AI36" s="89">
        <f t="shared" si="10"/>
        <v>0.80249999999999999</v>
      </c>
      <c r="AJ36" s="79"/>
      <c r="AK36" s="89" t="str">
        <f t="shared" si="11"/>
        <v/>
      </c>
      <c r="AL36" s="79"/>
      <c r="AM36" s="89" t="str">
        <f t="shared" si="12"/>
        <v/>
      </c>
      <c r="AN36" s="80"/>
      <c r="AO36" s="80"/>
      <c r="AP36" s="80"/>
      <c r="AQ36" s="80"/>
      <c r="AR36" s="80"/>
      <c r="AS36" s="80"/>
      <c r="AT36" s="80">
        <f t="shared" si="13"/>
        <v>46.8</v>
      </c>
      <c r="AU36" s="89">
        <f t="shared" si="14"/>
        <v>0.46799999999999997</v>
      </c>
      <c r="AV36" s="79">
        <f t="shared" si="15"/>
        <v>21.65</v>
      </c>
      <c r="AW36" s="89">
        <f t="shared" si="16"/>
        <v>0.433</v>
      </c>
      <c r="AX36" s="79">
        <f t="shared" si="17"/>
        <v>59.832099999999997</v>
      </c>
      <c r="AY36" s="89">
        <f t="shared" si="18"/>
        <v>0.75736835443037975</v>
      </c>
      <c r="AZ36" s="80">
        <f t="shared" si="19"/>
        <v>92.069699999999997</v>
      </c>
      <c r="BA36" s="89">
        <f t="shared" si="20"/>
        <v>0.76090661157024786</v>
      </c>
      <c r="BB36" s="79">
        <f t="shared" si="21"/>
        <v>89.6</v>
      </c>
      <c r="BC36" s="89">
        <f t="shared" si="22"/>
        <v>0.89599999999999991</v>
      </c>
      <c r="BF36" s="4">
        <f t="shared" si="26"/>
        <v>25.15</v>
      </c>
      <c r="BG36" s="4">
        <f t="shared" si="27"/>
        <v>12.220799999999999</v>
      </c>
      <c r="BH36" s="81">
        <f t="shared" si="28"/>
        <v>45.05</v>
      </c>
      <c r="BI36" s="81">
        <f t="shared" si="29"/>
        <v>40.125</v>
      </c>
      <c r="BJ36" s="81">
        <f t="shared" si="30"/>
        <v>45.05</v>
      </c>
      <c r="BK36" s="4"/>
      <c r="BL36" s="4"/>
      <c r="BM36" s="4"/>
      <c r="BN36" s="4"/>
      <c r="BO36" s="81">
        <f t="shared" si="31"/>
        <v>42.75</v>
      </c>
      <c r="BP36" s="81">
        <f t="shared" si="32"/>
        <v>23</v>
      </c>
      <c r="BQ36" s="81">
        <f t="shared" si="33"/>
        <v>21.65</v>
      </c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81">
        <f t="shared" si="34"/>
        <v>29.5</v>
      </c>
      <c r="CE36" s="81">
        <f t="shared" si="35"/>
        <v>33.450000000000003</v>
      </c>
      <c r="CF36" s="81" t="str">
        <f>IFERROR(IF(Y36="","",IFERROR(Y36*($Y$9/100),""))+IF(AB36="","",IFERROR(AB36*($AB$9/100),""))+IF(#REF!="","",IFERROR(#REF!*(#REF!/100),"")),"")</f>
        <v/>
      </c>
      <c r="CG36" s="4"/>
      <c r="CH36" s="4"/>
      <c r="CI36" s="4"/>
      <c r="CJ36" s="81" t="str">
        <f>IFERROR(IF(#REF!="","",IFERROR(#REF!*(#REF!/100),"")),"")</f>
        <v/>
      </c>
      <c r="CK36" s="81" t="str">
        <f>IFERROR(IF(#REF!="","",IFERROR(#REF!*(#REF!/100),""))+IF(#REF!="","",IFERROR(#REF!*(#REF!/100),"")),"")</f>
        <v/>
      </c>
      <c r="CL36" s="81" t="str">
        <f>IFERROR(IF(E36="","",IFERROR(E36*($E$9/100),""))+IF(K36="","",IFERROR(K36*($K$9/100),""))+IF(#REF!="","",IFERROR(#REF!*(#REF!/100),""))+IF(#REF!="","",IFERROR(#REF!*(#REF!/100),"")),"")</f>
        <v/>
      </c>
      <c r="CM36" s="4"/>
      <c r="CN36" s="81" t="str">
        <f>IFERROR(IF(AC36="","",IFERROR(AC36*($AC$9/100),""))+IF(#REF!="","",IFERROR(#REF!*(#REF!/100),"")),"")</f>
        <v/>
      </c>
      <c r="CO36" s="81">
        <f t="shared" si="36"/>
        <v>41.575000000000003</v>
      </c>
      <c r="CP36">
        <f t="shared" si="23"/>
        <v>359.52080000000001</v>
      </c>
      <c r="CQ36" s="82" t="e">
        <f t="shared" si="24"/>
        <v>#REF!</v>
      </c>
    </row>
    <row r="37" spans="1:95">
      <c r="A37" s="206">
        <v>27</v>
      </c>
      <c r="B37" s="207" t="s">
        <v>332</v>
      </c>
      <c r="C37" s="207" t="s">
        <v>333</v>
      </c>
      <c r="D37" s="73">
        <f>'Penguk.CPMK-Smt1'!D37</f>
        <v>85.5</v>
      </c>
      <c r="E37" s="73">
        <f>'Penguk.CPMK-Smt1'!E37</f>
        <v>85.5</v>
      </c>
      <c r="F37" s="73">
        <f t="shared" si="0"/>
        <v>85.5</v>
      </c>
      <c r="G37" s="91">
        <f>'Penguk.CPMK-Smt1'!G37</f>
        <v>86.88</v>
      </c>
      <c r="H37" s="91">
        <f>'Penguk.CPMK-Smt1'!H37</f>
        <v>86.88</v>
      </c>
      <c r="I37" s="91">
        <f>'Penguk.CPMK-Smt1'!I37</f>
        <v>86.15</v>
      </c>
      <c r="J37" s="91">
        <f>'Penguk.CPMK-Smt1'!J37</f>
        <v>86.43</v>
      </c>
      <c r="K37" s="91">
        <f>'Penguk.CPMK-Smt1'!K37</f>
        <v>86.43</v>
      </c>
      <c r="L37" s="91">
        <f t="shared" si="1"/>
        <v>32.051100000000005</v>
      </c>
      <c r="M37" s="74">
        <f>'Penguk.CPMK-Smt1'!M37</f>
        <v>79.5</v>
      </c>
      <c r="N37" s="74">
        <f>'Penguk.CPMK-Smt1'!N37</f>
        <v>93</v>
      </c>
      <c r="O37" s="74">
        <f t="shared" si="2"/>
        <v>86.25</v>
      </c>
      <c r="P37" s="75">
        <f>'Penguk.CPMK-Smt1'!P37</f>
        <v>81</v>
      </c>
      <c r="Q37" s="75">
        <f>'Penguk.CPMK-Smt1'!Q37</f>
        <v>88</v>
      </c>
      <c r="R37" s="75">
        <f t="shared" si="3"/>
        <v>84.5</v>
      </c>
      <c r="S37" s="76">
        <f>'Penguk.CPMK-Smt1'!S37</f>
        <v>99.4</v>
      </c>
      <c r="T37" s="76">
        <f>'Penguk.CPMK-Smt1'!T37</f>
        <v>80.900000000000006</v>
      </c>
      <c r="U37" s="76">
        <f t="shared" si="4"/>
        <v>90.15</v>
      </c>
      <c r="V37" s="38">
        <f>'Penguk.CPMK-Smt1'!V37</f>
        <v>92.2</v>
      </c>
      <c r="W37" s="38">
        <f>'Penguk.CPMK-Smt1'!W37</f>
        <v>93.2</v>
      </c>
      <c r="X37" s="38">
        <f t="shared" si="5"/>
        <v>92.7</v>
      </c>
      <c r="Y37" s="77">
        <f>'Penguk.CPMK-Smt1'!Y37</f>
        <v>80.400000000000006</v>
      </c>
      <c r="Z37" s="77">
        <f>'Penguk.CPMK-Smt1'!Z37</f>
        <v>80.400000000000006</v>
      </c>
      <c r="AA37" s="77">
        <f t="shared" si="25"/>
        <v>80.400000000000006</v>
      </c>
      <c r="AB37" s="78">
        <f>'Penguk.CPMK-Smt1'!AB37</f>
        <v>91</v>
      </c>
      <c r="AC37" s="78">
        <f>'Penguk.CPMK-Smt1'!AC37</f>
        <v>93.1</v>
      </c>
      <c r="AD37" s="78">
        <f t="shared" si="6"/>
        <v>92.05</v>
      </c>
      <c r="AF37" s="79">
        <f t="shared" si="7"/>
        <v>173.10000000000002</v>
      </c>
      <c r="AG37" s="89">
        <f t="shared" si="8"/>
        <v>0.86550000000000016</v>
      </c>
      <c r="AH37" s="79">
        <f t="shared" si="9"/>
        <v>85.5</v>
      </c>
      <c r="AI37" s="89">
        <f t="shared" si="10"/>
        <v>0.85499999999999998</v>
      </c>
      <c r="AJ37" s="79"/>
      <c r="AK37" s="89" t="str">
        <f t="shared" si="11"/>
        <v/>
      </c>
      <c r="AL37" s="79"/>
      <c r="AM37" s="89" t="str">
        <f t="shared" si="12"/>
        <v/>
      </c>
      <c r="AN37" s="80"/>
      <c r="AO37" s="80"/>
      <c r="AP37" s="80"/>
      <c r="AQ37" s="80"/>
      <c r="AR37" s="80"/>
      <c r="AS37" s="80"/>
      <c r="AT37" s="80">
        <f t="shared" si="13"/>
        <v>86.25</v>
      </c>
      <c r="AU37" s="89">
        <f t="shared" si="14"/>
        <v>0.86250000000000004</v>
      </c>
      <c r="AV37" s="79">
        <f t="shared" si="15"/>
        <v>46.5</v>
      </c>
      <c r="AW37" s="89">
        <f t="shared" si="16"/>
        <v>0.93</v>
      </c>
      <c r="AX37" s="79">
        <f t="shared" si="17"/>
        <v>68.350899999999996</v>
      </c>
      <c r="AY37" s="89">
        <f t="shared" si="18"/>
        <v>0.86520126582278478</v>
      </c>
      <c r="AZ37" s="80">
        <f t="shared" si="19"/>
        <v>108.30030000000001</v>
      </c>
      <c r="BA37" s="89">
        <f t="shared" si="20"/>
        <v>0.89504380165289266</v>
      </c>
      <c r="BB37" s="79">
        <f t="shared" si="21"/>
        <v>92.05</v>
      </c>
      <c r="BC37" s="89">
        <f t="shared" si="22"/>
        <v>0.92049999999999998</v>
      </c>
      <c r="BF37" s="4">
        <f t="shared" si="26"/>
        <v>39.75</v>
      </c>
      <c r="BG37" s="4">
        <f t="shared" si="27"/>
        <v>13.9008</v>
      </c>
      <c r="BH37" s="81">
        <f t="shared" si="28"/>
        <v>46.1</v>
      </c>
      <c r="BI37" s="81">
        <f t="shared" si="29"/>
        <v>42.75</v>
      </c>
      <c r="BJ37" s="81">
        <f t="shared" si="30"/>
        <v>46.6</v>
      </c>
      <c r="BK37" s="4"/>
      <c r="BL37" s="4"/>
      <c r="BM37" s="4"/>
      <c r="BN37" s="4"/>
      <c r="BO37" s="81">
        <f t="shared" si="31"/>
        <v>49.7</v>
      </c>
      <c r="BP37" s="81">
        <f t="shared" si="32"/>
        <v>40.5</v>
      </c>
      <c r="BQ37" s="81">
        <f t="shared" si="33"/>
        <v>46.5</v>
      </c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81">
        <f t="shared" si="34"/>
        <v>44</v>
      </c>
      <c r="CE37" s="81">
        <f t="shared" si="35"/>
        <v>40.450000000000003</v>
      </c>
      <c r="CF37" s="81" t="str">
        <f>IFERROR(IF(Y37="","",IFERROR(Y37*($Y$9/100),""))+IF(AB37="","",IFERROR(AB37*($AB$9/100),""))+IF(#REF!="","",IFERROR(#REF!*(#REF!/100),"")),"")</f>
        <v/>
      </c>
      <c r="CG37" s="4"/>
      <c r="CH37" s="4"/>
      <c r="CI37" s="4"/>
      <c r="CJ37" s="81" t="str">
        <f>IFERROR(IF(#REF!="","",IFERROR(#REF!*(#REF!/100),"")),"")</f>
        <v/>
      </c>
      <c r="CK37" s="81" t="str">
        <f>IFERROR(IF(#REF!="","",IFERROR(#REF!*(#REF!/100),""))+IF(#REF!="","",IFERROR(#REF!*(#REF!/100),"")),"")</f>
        <v/>
      </c>
      <c r="CL37" s="81" t="str">
        <f>IFERROR(IF(E37="","",IFERROR(E37*($E$9/100),""))+IF(K37="","",IFERROR(K37*($K$9/100),""))+IF(#REF!="","",IFERROR(#REF!*(#REF!/100),""))+IF(#REF!="","",IFERROR(#REF!*(#REF!/100),"")),"")</f>
        <v/>
      </c>
      <c r="CM37" s="4"/>
      <c r="CN37" s="81" t="str">
        <f>IFERROR(IF(AC37="","",IFERROR(AC37*($AC$9/100),""))+IF(#REF!="","",IFERROR(#REF!*(#REF!/100),"")),"")</f>
        <v/>
      </c>
      <c r="CO37" s="81">
        <f t="shared" si="36"/>
        <v>40.200000000000003</v>
      </c>
      <c r="CP37">
        <f t="shared" si="23"/>
        <v>450.45079999999996</v>
      </c>
      <c r="CQ37" s="82" t="e">
        <f t="shared" si="24"/>
        <v>#REF!</v>
      </c>
    </row>
    <row r="38" spans="1:95">
      <c r="A38" s="206">
        <v>28</v>
      </c>
      <c r="B38" s="207" t="s">
        <v>334</v>
      </c>
      <c r="C38" s="207" t="s">
        <v>335</v>
      </c>
      <c r="D38" s="73">
        <f>'Penguk.CPMK-Smt1'!D38</f>
        <v>85.5</v>
      </c>
      <c r="E38" s="73">
        <f>'Penguk.CPMK-Smt1'!E38</f>
        <v>85.5</v>
      </c>
      <c r="F38" s="73">
        <f t="shared" si="0"/>
        <v>85.5</v>
      </c>
      <c r="G38" s="91">
        <f>'Penguk.CPMK-Smt1'!G38</f>
        <v>83.38</v>
      </c>
      <c r="H38" s="91">
        <f>'Penguk.CPMK-Smt1'!H38</f>
        <v>83.38</v>
      </c>
      <c r="I38" s="91">
        <f>'Penguk.CPMK-Smt1'!I38</f>
        <v>82.46</v>
      </c>
      <c r="J38" s="91">
        <f>'Penguk.CPMK-Smt1'!J38</f>
        <v>82.81</v>
      </c>
      <c r="K38" s="91">
        <f>'Penguk.CPMK-Smt1'!K38</f>
        <v>82.81</v>
      </c>
      <c r="L38" s="91">
        <f t="shared" si="1"/>
        <v>30.730899999999998</v>
      </c>
      <c r="M38" s="74">
        <f>'Penguk.CPMK-Smt1'!M38</f>
        <v>88.3</v>
      </c>
      <c r="N38" s="74">
        <f>'Penguk.CPMK-Smt1'!N38</f>
        <v>91.8</v>
      </c>
      <c r="O38" s="74">
        <f t="shared" si="2"/>
        <v>90.05</v>
      </c>
      <c r="P38" s="75">
        <f>'Penguk.CPMK-Smt1'!P38</f>
        <v>73</v>
      </c>
      <c r="Q38" s="75">
        <f>'Penguk.CPMK-Smt1'!Q38</f>
        <v>82</v>
      </c>
      <c r="R38" s="75">
        <f t="shared" si="3"/>
        <v>77.5</v>
      </c>
      <c r="S38" s="76">
        <f>'Penguk.CPMK-Smt1'!S38</f>
        <v>100</v>
      </c>
      <c r="T38" s="76">
        <f>'Penguk.CPMK-Smt1'!T38</f>
        <v>82.7</v>
      </c>
      <c r="U38" s="76">
        <f t="shared" si="4"/>
        <v>91.35</v>
      </c>
      <c r="V38" s="38">
        <f>'Penguk.CPMK-Smt1'!V38</f>
        <v>90.45</v>
      </c>
      <c r="W38" s="38">
        <f>'Penguk.CPMK-Smt1'!W38</f>
        <v>90.45</v>
      </c>
      <c r="X38" s="38">
        <f t="shared" si="5"/>
        <v>90.45</v>
      </c>
      <c r="Y38" s="77">
        <f>'Penguk.CPMK-Smt1'!Y38</f>
        <v>79</v>
      </c>
      <c r="Z38" s="77">
        <f>'Penguk.CPMK-Smt1'!Z38</f>
        <v>79</v>
      </c>
      <c r="AA38" s="77">
        <f t="shared" si="25"/>
        <v>79</v>
      </c>
      <c r="AB38" s="78">
        <f>'Penguk.CPMK-Smt1'!AB38</f>
        <v>91</v>
      </c>
      <c r="AC38" s="78">
        <f>'Penguk.CPMK-Smt1'!AC38</f>
        <v>91.4</v>
      </c>
      <c r="AD38" s="78">
        <f t="shared" si="6"/>
        <v>91.2</v>
      </c>
      <c r="AF38" s="79">
        <f t="shared" si="7"/>
        <v>169.45</v>
      </c>
      <c r="AG38" s="89">
        <f t="shared" si="8"/>
        <v>0.84724999999999995</v>
      </c>
      <c r="AH38" s="79">
        <f t="shared" si="9"/>
        <v>85.5</v>
      </c>
      <c r="AI38" s="89">
        <f t="shared" si="10"/>
        <v>0.85499999999999998</v>
      </c>
      <c r="AJ38" s="79"/>
      <c r="AK38" s="89" t="str">
        <f t="shared" si="11"/>
        <v/>
      </c>
      <c r="AL38" s="79"/>
      <c r="AM38" s="89" t="str">
        <f t="shared" si="12"/>
        <v/>
      </c>
      <c r="AN38" s="80"/>
      <c r="AO38" s="80"/>
      <c r="AP38" s="80"/>
      <c r="AQ38" s="80"/>
      <c r="AR38" s="80"/>
      <c r="AS38" s="80"/>
      <c r="AT38" s="80">
        <f t="shared" si="13"/>
        <v>90.05</v>
      </c>
      <c r="AU38" s="89">
        <f t="shared" si="14"/>
        <v>0.90049999999999997</v>
      </c>
      <c r="AV38" s="79">
        <f t="shared" si="15"/>
        <v>45.9</v>
      </c>
      <c r="AW38" s="89">
        <f t="shared" si="16"/>
        <v>0.91799999999999993</v>
      </c>
      <c r="AX38" s="79">
        <f t="shared" si="17"/>
        <v>65.511300000000006</v>
      </c>
      <c r="AY38" s="89">
        <f t="shared" si="18"/>
        <v>0.82925696202531651</v>
      </c>
      <c r="AZ38" s="80">
        <f t="shared" si="19"/>
        <v>108.74010000000001</v>
      </c>
      <c r="BA38" s="89">
        <f t="shared" si="20"/>
        <v>0.89867851239669427</v>
      </c>
      <c r="BB38" s="79">
        <f t="shared" si="21"/>
        <v>91.2</v>
      </c>
      <c r="BC38" s="89">
        <f t="shared" si="22"/>
        <v>0.91200000000000003</v>
      </c>
      <c r="BF38" s="4">
        <f t="shared" si="26"/>
        <v>44.15</v>
      </c>
      <c r="BG38" s="4">
        <f t="shared" si="27"/>
        <v>13.3408</v>
      </c>
      <c r="BH38" s="81">
        <f t="shared" si="28"/>
        <v>45.225000000000001</v>
      </c>
      <c r="BI38" s="81">
        <f t="shared" si="29"/>
        <v>42.75</v>
      </c>
      <c r="BJ38" s="81">
        <f t="shared" si="30"/>
        <v>45.225000000000001</v>
      </c>
      <c r="BK38" s="4"/>
      <c r="BL38" s="4"/>
      <c r="BM38" s="4"/>
      <c r="BN38" s="4"/>
      <c r="BO38" s="81">
        <f t="shared" si="31"/>
        <v>50</v>
      </c>
      <c r="BP38" s="81">
        <f t="shared" si="32"/>
        <v>36.5</v>
      </c>
      <c r="BQ38" s="81">
        <f t="shared" si="33"/>
        <v>45.9</v>
      </c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81">
        <f t="shared" si="34"/>
        <v>41</v>
      </c>
      <c r="CE38" s="81">
        <f t="shared" si="35"/>
        <v>41.35</v>
      </c>
      <c r="CF38" s="81" t="str">
        <f>IFERROR(IF(Y38="","",IFERROR(Y38*($Y$9/100),""))+IF(AB38="","",IFERROR(AB38*($AB$9/100),""))+IF(#REF!="","",IFERROR(#REF!*(#REF!/100),"")),"")</f>
        <v/>
      </c>
      <c r="CG38" s="4"/>
      <c r="CH38" s="4"/>
      <c r="CI38" s="4"/>
      <c r="CJ38" s="81" t="str">
        <f>IFERROR(IF(#REF!="","",IFERROR(#REF!*(#REF!/100),"")),"")</f>
        <v/>
      </c>
      <c r="CK38" s="81" t="str">
        <f>IFERROR(IF(#REF!="","",IFERROR(#REF!*(#REF!/100),""))+IF(#REF!="","",IFERROR(#REF!*(#REF!/100),"")),"")</f>
        <v/>
      </c>
      <c r="CL38" s="81" t="str">
        <f>IFERROR(IF(E38="","",IFERROR(E38*($E$9/100),""))+IF(K38="","",IFERROR(K38*($K$9/100),""))+IF(#REF!="","",IFERROR(#REF!*(#REF!/100),""))+IF(#REF!="","",IFERROR(#REF!*(#REF!/100),"")),"")</f>
        <v/>
      </c>
      <c r="CM38" s="4"/>
      <c r="CN38" s="81" t="str">
        <f>IFERROR(IF(AC38="","",IFERROR(AC38*($AC$9/100),""))+IF(#REF!="","",IFERROR(#REF!*(#REF!/100),"")),"")</f>
        <v/>
      </c>
      <c r="CO38" s="81">
        <f t="shared" si="36"/>
        <v>39.5</v>
      </c>
      <c r="CP38">
        <f t="shared" si="23"/>
        <v>444.94079999999997</v>
      </c>
      <c r="CQ38" s="82" t="e">
        <f t="shared" si="24"/>
        <v>#REF!</v>
      </c>
    </row>
    <row r="39" spans="1:95">
      <c r="A39" s="206">
        <v>29</v>
      </c>
      <c r="B39" s="207" t="s">
        <v>336</v>
      </c>
      <c r="C39" s="207" t="s">
        <v>337</v>
      </c>
      <c r="D39" s="73">
        <f>'Penguk.CPMK-Smt1'!D39</f>
        <v>82</v>
      </c>
      <c r="E39" s="73">
        <f>'Penguk.CPMK-Smt1'!E39</f>
        <v>82</v>
      </c>
      <c r="F39" s="73">
        <f t="shared" si="0"/>
        <v>82</v>
      </c>
      <c r="G39" s="91">
        <f>'Penguk.CPMK-Smt1'!G39</f>
        <v>89.5</v>
      </c>
      <c r="H39" s="91">
        <f>'Penguk.CPMK-Smt1'!H39</f>
        <v>89.5</v>
      </c>
      <c r="I39" s="91">
        <f>'Penguk.CPMK-Smt1'!I39</f>
        <v>88.92</v>
      </c>
      <c r="J39" s="91">
        <f>'Penguk.CPMK-Smt1'!J39</f>
        <v>89.14</v>
      </c>
      <c r="K39" s="91">
        <f>'Penguk.CPMK-Smt1'!K39</f>
        <v>89.14</v>
      </c>
      <c r="L39" s="91">
        <f t="shared" si="1"/>
        <v>33.039400000000001</v>
      </c>
      <c r="M39" s="74">
        <f>'Penguk.CPMK-Smt1'!M39</f>
        <v>84.1</v>
      </c>
      <c r="N39" s="74">
        <f>'Penguk.CPMK-Smt1'!N39</f>
        <v>98.1</v>
      </c>
      <c r="O39" s="74">
        <f t="shared" si="2"/>
        <v>91.1</v>
      </c>
      <c r="P39" s="75">
        <f>'Penguk.CPMK-Smt1'!P39</f>
        <v>81</v>
      </c>
      <c r="Q39" s="75">
        <f>'Penguk.CPMK-Smt1'!Q39</f>
        <v>88</v>
      </c>
      <c r="R39" s="75">
        <f t="shared" si="3"/>
        <v>84.5</v>
      </c>
      <c r="S39" s="76">
        <f>'Penguk.CPMK-Smt1'!S39</f>
        <v>95.9</v>
      </c>
      <c r="T39" s="76">
        <f>'Penguk.CPMK-Smt1'!T39</f>
        <v>94.5</v>
      </c>
      <c r="U39" s="76">
        <f t="shared" si="4"/>
        <v>95.2</v>
      </c>
      <c r="V39" s="38">
        <f>'Penguk.CPMK-Smt1'!V39</f>
        <v>91.25</v>
      </c>
      <c r="W39" s="38">
        <f>'Penguk.CPMK-Smt1'!W39</f>
        <v>91</v>
      </c>
      <c r="X39" s="38">
        <f t="shared" si="5"/>
        <v>91.125</v>
      </c>
      <c r="Y39" s="77">
        <f>'Penguk.CPMK-Smt1'!Y39</f>
        <v>79.7</v>
      </c>
      <c r="Z39" s="77">
        <f>'Penguk.CPMK-Smt1'!Z39</f>
        <v>79.7</v>
      </c>
      <c r="AA39" s="77">
        <f t="shared" si="25"/>
        <v>79.7</v>
      </c>
      <c r="AB39" s="78">
        <f>'Penguk.CPMK-Smt1'!AB39</f>
        <v>91.5</v>
      </c>
      <c r="AC39" s="78">
        <f>'Penguk.CPMK-Smt1'!AC39</f>
        <v>93.8</v>
      </c>
      <c r="AD39" s="78">
        <f t="shared" si="6"/>
        <v>92.65</v>
      </c>
      <c r="AF39" s="79">
        <f t="shared" si="7"/>
        <v>170.82499999999999</v>
      </c>
      <c r="AG39" s="89">
        <f t="shared" si="8"/>
        <v>0.85412499999999991</v>
      </c>
      <c r="AH39" s="79">
        <f t="shared" si="9"/>
        <v>82</v>
      </c>
      <c r="AI39" s="89">
        <f t="shared" si="10"/>
        <v>0.82</v>
      </c>
      <c r="AJ39" s="79"/>
      <c r="AK39" s="89" t="str">
        <f t="shared" si="11"/>
        <v/>
      </c>
      <c r="AL39" s="79"/>
      <c r="AM39" s="89" t="str">
        <f t="shared" si="12"/>
        <v/>
      </c>
      <c r="AN39" s="80"/>
      <c r="AO39" s="80"/>
      <c r="AP39" s="80"/>
      <c r="AQ39" s="80"/>
      <c r="AR39" s="80"/>
      <c r="AS39" s="80"/>
      <c r="AT39" s="80">
        <f t="shared" si="13"/>
        <v>91.1</v>
      </c>
      <c r="AU39" s="89">
        <f t="shared" si="14"/>
        <v>0.91099999999999992</v>
      </c>
      <c r="AV39" s="79">
        <f t="shared" si="15"/>
        <v>49.05</v>
      </c>
      <c r="AW39" s="89">
        <f t="shared" si="16"/>
        <v>0.98099999999999998</v>
      </c>
      <c r="AX39" s="79">
        <f t="shared" si="17"/>
        <v>70.4786</v>
      </c>
      <c r="AY39" s="89">
        <f t="shared" si="18"/>
        <v>0.89213417721518984</v>
      </c>
      <c r="AZ39" s="80">
        <f t="shared" si="19"/>
        <v>113.9194</v>
      </c>
      <c r="BA39" s="89">
        <f t="shared" si="20"/>
        <v>0.94148264462809916</v>
      </c>
      <c r="BB39" s="79">
        <f t="shared" si="21"/>
        <v>92.65</v>
      </c>
      <c r="BC39" s="89">
        <f t="shared" si="22"/>
        <v>0.9265000000000001</v>
      </c>
      <c r="BF39" s="4">
        <f t="shared" si="26"/>
        <v>42.05</v>
      </c>
      <c r="BG39" s="4">
        <f t="shared" si="27"/>
        <v>14.32</v>
      </c>
      <c r="BH39" s="81">
        <f t="shared" si="28"/>
        <v>45.625</v>
      </c>
      <c r="BI39" s="81">
        <f t="shared" si="29"/>
        <v>41</v>
      </c>
      <c r="BJ39" s="81">
        <f t="shared" si="30"/>
        <v>45.5</v>
      </c>
      <c r="BK39" s="4"/>
      <c r="BL39" s="4"/>
      <c r="BM39" s="4"/>
      <c r="BN39" s="4"/>
      <c r="BO39" s="81">
        <f t="shared" si="31"/>
        <v>47.95</v>
      </c>
      <c r="BP39" s="81">
        <f t="shared" si="32"/>
        <v>40.5</v>
      </c>
      <c r="BQ39" s="81">
        <f t="shared" si="33"/>
        <v>49.05</v>
      </c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81">
        <f t="shared" si="34"/>
        <v>44</v>
      </c>
      <c r="CE39" s="81">
        <f t="shared" si="35"/>
        <v>47.25</v>
      </c>
      <c r="CF39" s="81" t="str">
        <f>IFERROR(IF(Y39="","",IFERROR(Y39*($Y$9/100),""))+IF(AB39="","",IFERROR(AB39*($AB$9/100),""))+IF(#REF!="","",IFERROR(#REF!*(#REF!/100),"")),"")</f>
        <v/>
      </c>
      <c r="CG39" s="4"/>
      <c r="CH39" s="4"/>
      <c r="CI39" s="4"/>
      <c r="CJ39" s="81" t="str">
        <f>IFERROR(IF(#REF!="","",IFERROR(#REF!*(#REF!/100),"")),"")</f>
        <v/>
      </c>
      <c r="CK39" s="81" t="str">
        <f>IFERROR(IF(#REF!="","",IFERROR(#REF!*(#REF!/100),""))+IF(#REF!="","",IFERROR(#REF!*(#REF!/100),"")),"")</f>
        <v/>
      </c>
      <c r="CL39" s="81" t="str">
        <f>IFERROR(IF(E39="","",IFERROR(E39*($E$9/100),""))+IF(K39="","",IFERROR(K39*($K$9/100),""))+IF(#REF!="","",IFERROR(#REF!*(#REF!/100),""))+IF(#REF!="","",IFERROR(#REF!*(#REF!/100),"")),"")</f>
        <v/>
      </c>
      <c r="CM39" s="4"/>
      <c r="CN39" s="81" t="str">
        <f>IFERROR(IF(AC39="","",IFERROR(AC39*($AC$9/100),""))+IF(#REF!="","",IFERROR(#REF!*(#REF!/100),"")),"")</f>
        <v/>
      </c>
      <c r="CO39" s="81">
        <f t="shared" si="36"/>
        <v>39.85</v>
      </c>
      <c r="CP39">
        <f t="shared" si="23"/>
        <v>457.09500000000003</v>
      </c>
      <c r="CQ39" s="82" t="e">
        <f t="shared" si="24"/>
        <v>#REF!</v>
      </c>
    </row>
    <row r="40" spans="1:95">
      <c r="A40" s="206">
        <v>30</v>
      </c>
      <c r="B40" s="207" t="s">
        <v>338</v>
      </c>
      <c r="C40" s="207" t="s">
        <v>339</v>
      </c>
      <c r="D40" s="73">
        <f>'Penguk.CPMK-Smt1'!D40</f>
        <v>82</v>
      </c>
      <c r="E40" s="73">
        <f>'Penguk.CPMK-Smt1'!E40</f>
        <v>82</v>
      </c>
      <c r="F40" s="73">
        <f t="shared" si="0"/>
        <v>82</v>
      </c>
      <c r="G40" s="91">
        <f>'Penguk.CPMK-Smt1'!G40</f>
        <v>83.38</v>
      </c>
      <c r="H40" s="91">
        <f>'Penguk.CPMK-Smt1'!H40</f>
        <v>83.38</v>
      </c>
      <c r="I40" s="91">
        <f>'Penguk.CPMK-Smt1'!I40</f>
        <v>82.46</v>
      </c>
      <c r="J40" s="91">
        <f>'Penguk.CPMK-Smt1'!J40</f>
        <v>82.81</v>
      </c>
      <c r="K40" s="91">
        <f>'Penguk.CPMK-Smt1'!K40</f>
        <v>82.81</v>
      </c>
      <c r="L40" s="91">
        <f t="shared" si="1"/>
        <v>30.730899999999998</v>
      </c>
      <c r="M40" s="74">
        <f>'Penguk.CPMK-Smt1'!M40</f>
        <v>79.5</v>
      </c>
      <c r="N40" s="74">
        <f>'Penguk.CPMK-Smt1'!N40</f>
        <v>68.5</v>
      </c>
      <c r="O40" s="74">
        <f t="shared" si="2"/>
        <v>74</v>
      </c>
      <c r="P40" s="75">
        <f>'Penguk.CPMK-Smt1'!P40</f>
        <v>81</v>
      </c>
      <c r="Q40" s="75">
        <f>'Penguk.CPMK-Smt1'!Q40</f>
        <v>87</v>
      </c>
      <c r="R40" s="75">
        <f t="shared" si="3"/>
        <v>84</v>
      </c>
      <c r="S40" s="76">
        <f>'Penguk.CPMK-Smt1'!S40</f>
        <v>95.3</v>
      </c>
      <c r="T40" s="76">
        <f>'Penguk.CPMK-Smt1'!T40</f>
        <v>100</v>
      </c>
      <c r="U40" s="76">
        <f t="shared" si="4"/>
        <v>97.65</v>
      </c>
      <c r="V40" s="38">
        <f>'Penguk.CPMK-Smt1'!V40</f>
        <v>94</v>
      </c>
      <c r="W40" s="38">
        <f>'Penguk.CPMK-Smt1'!W40</f>
        <v>94</v>
      </c>
      <c r="X40" s="38">
        <f t="shared" si="5"/>
        <v>94</v>
      </c>
      <c r="Y40" s="77">
        <f>'Penguk.CPMK-Smt1'!Y40</f>
        <v>83.5</v>
      </c>
      <c r="Z40" s="77">
        <f>'Penguk.CPMK-Smt1'!Z40</f>
        <v>83.5</v>
      </c>
      <c r="AA40" s="77">
        <f t="shared" si="25"/>
        <v>83.5</v>
      </c>
      <c r="AB40" s="78">
        <f>'Penguk.CPMK-Smt1'!AB40</f>
        <v>91</v>
      </c>
      <c r="AC40" s="78">
        <f>'Penguk.CPMK-Smt1'!AC40</f>
        <v>91.5</v>
      </c>
      <c r="AD40" s="78">
        <f t="shared" si="6"/>
        <v>91.25</v>
      </c>
      <c r="AF40" s="79">
        <f t="shared" si="7"/>
        <v>177.5</v>
      </c>
      <c r="AG40" s="89">
        <f t="shared" si="8"/>
        <v>0.88749999999999996</v>
      </c>
      <c r="AH40" s="79">
        <f t="shared" si="9"/>
        <v>82</v>
      </c>
      <c r="AI40" s="89">
        <f t="shared" si="10"/>
        <v>0.82</v>
      </c>
      <c r="AJ40" s="79"/>
      <c r="AK40" s="89"/>
      <c r="AL40" s="79"/>
      <c r="AM40" s="89"/>
      <c r="AN40" s="80"/>
      <c r="AO40" s="80"/>
      <c r="AP40" s="80"/>
      <c r="AQ40" s="80"/>
      <c r="AR40" s="80"/>
      <c r="AS40" s="80"/>
      <c r="AT40" s="80">
        <f t="shared" si="13"/>
        <v>74</v>
      </c>
      <c r="AU40" s="89">
        <f t="shared" si="14"/>
        <v>0.74</v>
      </c>
      <c r="AV40" s="79">
        <f t="shared" si="15"/>
        <v>34.25</v>
      </c>
      <c r="AW40" s="89">
        <f t="shared" si="16"/>
        <v>0.68500000000000005</v>
      </c>
      <c r="AX40" s="79">
        <f t="shared" si="17"/>
        <v>65.511300000000006</v>
      </c>
      <c r="AY40" s="89">
        <f t="shared" si="18"/>
        <v>0.82925696202531651</v>
      </c>
      <c r="AZ40" s="80">
        <f t="shared" si="19"/>
        <v>115.0401</v>
      </c>
      <c r="BA40" s="89">
        <f t="shared" si="20"/>
        <v>0.95074462809917348</v>
      </c>
      <c r="BB40" s="79">
        <f t="shared" si="21"/>
        <v>91.25</v>
      </c>
      <c r="BC40" s="89">
        <f t="shared" si="22"/>
        <v>0.91249999999999998</v>
      </c>
      <c r="BF40" s="4"/>
      <c r="BG40" s="4"/>
      <c r="BH40" s="81"/>
      <c r="BI40" s="81"/>
      <c r="BJ40" s="81"/>
      <c r="BK40" s="4"/>
      <c r="BL40" s="4"/>
      <c r="BM40" s="4"/>
      <c r="BN40" s="4"/>
      <c r="BO40" s="81"/>
      <c r="BP40" s="81"/>
      <c r="BQ40" s="81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81"/>
      <c r="CE40" s="81"/>
      <c r="CF40" s="81"/>
      <c r="CG40" s="4"/>
      <c r="CH40" s="4"/>
      <c r="CI40" s="4"/>
      <c r="CJ40" s="81"/>
      <c r="CK40" s="81"/>
      <c r="CL40" s="81"/>
      <c r="CM40" s="4"/>
      <c r="CN40" s="81"/>
      <c r="CO40" s="81"/>
      <c r="CQ40" s="82"/>
    </row>
    <row r="41" spans="1:95">
      <c r="A41" s="206">
        <v>31</v>
      </c>
      <c r="B41" s="207" t="s">
        <v>340</v>
      </c>
      <c r="C41" s="207" t="s">
        <v>341</v>
      </c>
      <c r="D41" s="73">
        <f>'Penguk.CPMK-Smt1'!D41</f>
        <v>82</v>
      </c>
      <c r="E41" s="73">
        <f>'Penguk.CPMK-Smt1'!E41</f>
        <v>82</v>
      </c>
      <c r="F41" s="73">
        <f t="shared" si="0"/>
        <v>82</v>
      </c>
      <c r="G41" s="91">
        <f>'Penguk.CPMK-Smt1'!G41</f>
        <v>80.75</v>
      </c>
      <c r="H41" s="91">
        <f>'Penguk.CPMK-Smt1'!H41</f>
        <v>80.75</v>
      </c>
      <c r="I41" s="91">
        <f>'Penguk.CPMK-Smt1'!I41</f>
        <v>79.69</v>
      </c>
      <c r="J41" s="91">
        <f>'Penguk.CPMK-Smt1'!J41</f>
        <v>80.099999999999994</v>
      </c>
      <c r="K41" s="91">
        <f>'Penguk.CPMK-Smt1'!K41</f>
        <v>80.099999999999994</v>
      </c>
      <c r="L41" s="91">
        <f t="shared" si="1"/>
        <v>29.741</v>
      </c>
      <c r="M41" s="74">
        <f>'Penguk.CPMK-Smt1'!M41</f>
        <v>70.599999999999994</v>
      </c>
      <c r="N41" s="74">
        <f>'Penguk.CPMK-Smt1'!N41</f>
        <v>73.599999999999994</v>
      </c>
      <c r="O41" s="74">
        <f t="shared" si="2"/>
        <v>72.099999999999994</v>
      </c>
      <c r="P41" s="75">
        <f>'Penguk.CPMK-Smt1'!P41</f>
        <v>74</v>
      </c>
      <c r="Q41" s="75">
        <f>'Penguk.CPMK-Smt1'!Q41</f>
        <v>80</v>
      </c>
      <c r="R41" s="75">
        <f t="shared" si="3"/>
        <v>77</v>
      </c>
      <c r="S41" s="76">
        <f>'Penguk.CPMK-Smt1'!S41</f>
        <v>86</v>
      </c>
      <c r="T41" s="76">
        <f>'Penguk.CPMK-Smt1'!T41</f>
        <v>85.4</v>
      </c>
      <c r="U41" s="76">
        <f t="shared" si="4"/>
        <v>85.7</v>
      </c>
      <c r="V41" s="38">
        <f>'Penguk.CPMK-Smt1'!V41</f>
        <v>87.35</v>
      </c>
      <c r="W41" s="38">
        <f>'Penguk.CPMK-Smt1'!W41</f>
        <v>87.35</v>
      </c>
      <c r="X41" s="38">
        <f t="shared" si="5"/>
        <v>87.35</v>
      </c>
      <c r="Y41" s="77">
        <f>'Penguk.CPMK-Smt1'!Y41</f>
        <v>83.75</v>
      </c>
      <c r="Z41" s="77">
        <f>'Penguk.CPMK-Smt1'!Z41</f>
        <v>83.75</v>
      </c>
      <c r="AA41" s="77">
        <f t="shared" si="25"/>
        <v>83.75</v>
      </c>
      <c r="AB41" s="78">
        <f>'Penguk.CPMK-Smt1'!AB41</f>
        <v>91</v>
      </c>
      <c r="AC41" s="78">
        <f>'Penguk.CPMK-Smt1'!AC41</f>
        <v>91</v>
      </c>
      <c r="AD41" s="78">
        <f t="shared" si="6"/>
        <v>91</v>
      </c>
      <c r="AF41" s="79">
        <f t="shared" si="7"/>
        <v>171.1</v>
      </c>
      <c r="AG41" s="89">
        <f t="shared" si="8"/>
        <v>0.85549999999999993</v>
      </c>
      <c r="AH41" s="79">
        <f t="shared" si="9"/>
        <v>82</v>
      </c>
      <c r="AI41" s="89">
        <f t="shared" si="10"/>
        <v>0.82</v>
      </c>
      <c r="AJ41" s="79"/>
      <c r="AK41" s="89"/>
      <c r="AL41" s="79"/>
      <c r="AM41" s="89"/>
      <c r="AN41" s="80"/>
      <c r="AO41" s="80"/>
      <c r="AP41" s="80"/>
      <c r="AQ41" s="80"/>
      <c r="AR41" s="80"/>
      <c r="AS41" s="80"/>
      <c r="AT41" s="80">
        <f t="shared" si="13"/>
        <v>72.099999999999994</v>
      </c>
      <c r="AU41" s="89">
        <f t="shared" si="14"/>
        <v>0.72099999999999997</v>
      </c>
      <c r="AV41" s="79">
        <f t="shared" si="15"/>
        <v>36.799999999999997</v>
      </c>
      <c r="AW41" s="89">
        <f t="shared" si="16"/>
        <v>0.73599999999999999</v>
      </c>
      <c r="AX41" s="79">
        <f t="shared" si="17"/>
        <v>63.380399999999995</v>
      </c>
      <c r="AY41" s="89">
        <f t="shared" si="18"/>
        <v>0.80228354430379745</v>
      </c>
      <c r="AZ41" s="80">
        <f t="shared" si="19"/>
        <v>102.521</v>
      </c>
      <c r="BA41" s="89">
        <f t="shared" si="20"/>
        <v>0.84728099173553717</v>
      </c>
      <c r="BB41" s="79">
        <f t="shared" si="21"/>
        <v>91</v>
      </c>
      <c r="BC41" s="89">
        <f t="shared" si="22"/>
        <v>0.91</v>
      </c>
      <c r="BF41" s="4"/>
      <c r="BG41" s="4"/>
      <c r="BH41" s="81"/>
      <c r="BI41" s="81"/>
      <c r="BJ41" s="81"/>
      <c r="BK41" s="4"/>
      <c r="BL41" s="4"/>
      <c r="BM41" s="4"/>
      <c r="BN41" s="4"/>
      <c r="BO41" s="81"/>
      <c r="BP41" s="81"/>
      <c r="BQ41" s="81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81"/>
      <c r="CE41" s="81"/>
      <c r="CF41" s="81"/>
      <c r="CG41" s="4"/>
      <c r="CH41" s="4"/>
      <c r="CI41" s="4"/>
      <c r="CJ41" s="81"/>
      <c r="CK41" s="81"/>
      <c r="CL41" s="81"/>
      <c r="CM41" s="4"/>
      <c r="CN41" s="81"/>
      <c r="CO41" s="81"/>
      <c r="CQ41" s="82"/>
    </row>
    <row r="42" spans="1:95">
      <c r="A42" s="206">
        <v>32</v>
      </c>
      <c r="B42" s="207" t="s">
        <v>342</v>
      </c>
      <c r="C42" s="207" t="s">
        <v>343</v>
      </c>
      <c r="D42" s="73">
        <f>'Penguk.CPMK-Smt1'!D42</f>
        <v>82</v>
      </c>
      <c r="E42" s="73">
        <f>'Penguk.CPMK-Smt1'!E42</f>
        <v>82</v>
      </c>
      <c r="F42" s="73">
        <f t="shared" si="0"/>
        <v>82</v>
      </c>
      <c r="G42" s="91">
        <f>'Penguk.CPMK-Smt1'!G42</f>
        <v>82.5</v>
      </c>
      <c r="H42" s="91">
        <f>'Penguk.CPMK-Smt1'!H42</f>
        <v>82.5</v>
      </c>
      <c r="I42" s="91">
        <f>'Penguk.CPMK-Smt1'!I42</f>
        <v>81.540000000000006</v>
      </c>
      <c r="J42" s="91">
        <f>'Penguk.CPMK-Smt1'!J42</f>
        <v>81.900000000000006</v>
      </c>
      <c r="K42" s="91">
        <f>'Penguk.CPMK-Smt1'!K42</f>
        <v>81.900000000000006</v>
      </c>
      <c r="L42" s="91">
        <f t="shared" si="1"/>
        <v>30.399000000000001</v>
      </c>
      <c r="M42" s="74">
        <f>'Penguk.CPMK-Smt1'!M42</f>
        <v>74.8</v>
      </c>
      <c r="N42" s="74">
        <f>'Penguk.CPMK-Smt1'!N42</f>
        <v>8.8000000000000007</v>
      </c>
      <c r="O42" s="74">
        <f t="shared" si="2"/>
        <v>41.8</v>
      </c>
      <c r="P42" s="75">
        <f>'Penguk.CPMK-Smt1'!P42</f>
        <v>81</v>
      </c>
      <c r="Q42" s="75">
        <f>'Penguk.CPMK-Smt1'!Q42</f>
        <v>88</v>
      </c>
      <c r="R42" s="75">
        <f t="shared" si="3"/>
        <v>84.5</v>
      </c>
      <c r="S42" s="76">
        <f>'Penguk.CPMK-Smt1'!S42</f>
        <v>99.4</v>
      </c>
      <c r="T42" s="76">
        <f>'Penguk.CPMK-Smt1'!T42</f>
        <v>92.7</v>
      </c>
      <c r="U42" s="76">
        <f t="shared" si="4"/>
        <v>96.050000000000011</v>
      </c>
      <c r="V42" s="38">
        <f>'Penguk.CPMK-Smt1'!V42</f>
        <v>91</v>
      </c>
      <c r="W42" s="38">
        <f>'Penguk.CPMK-Smt1'!W42</f>
        <v>91</v>
      </c>
      <c r="X42" s="38">
        <f t="shared" si="5"/>
        <v>91</v>
      </c>
      <c r="Y42" s="77">
        <f>'Penguk.CPMK-Smt1'!Y42</f>
        <v>83.6</v>
      </c>
      <c r="Z42" s="77">
        <f>'Penguk.CPMK-Smt1'!Z42</f>
        <v>83.6</v>
      </c>
      <c r="AA42" s="77">
        <f t="shared" si="25"/>
        <v>83.6</v>
      </c>
      <c r="AB42" s="78">
        <f>'Penguk.CPMK-Smt1'!AB42</f>
        <v>85.5</v>
      </c>
      <c r="AC42" s="78">
        <f>'Penguk.CPMK-Smt1'!AC42</f>
        <v>87.6</v>
      </c>
      <c r="AD42" s="78">
        <f t="shared" si="6"/>
        <v>86.55</v>
      </c>
      <c r="AF42" s="79">
        <f t="shared" si="7"/>
        <v>174.60000000000002</v>
      </c>
      <c r="AG42" s="89">
        <f t="shared" si="8"/>
        <v>0.87300000000000011</v>
      </c>
      <c r="AH42" s="79">
        <f t="shared" si="9"/>
        <v>82</v>
      </c>
      <c r="AI42" s="89">
        <f t="shared" si="10"/>
        <v>0.82</v>
      </c>
      <c r="AJ42" s="79"/>
      <c r="AK42" s="89"/>
      <c r="AL42" s="79"/>
      <c r="AM42" s="89"/>
      <c r="AN42" s="80"/>
      <c r="AO42" s="80"/>
      <c r="AP42" s="80"/>
      <c r="AQ42" s="80"/>
      <c r="AR42" s="80"/>
      <c r="AS42" s="80"/>
      <c r="AT42" s="80">
        <f t="shared" si="13"/>
        <v>41.8</v>
      </c>
      <c r="AU42" s="89">
        <f t="shared" si="14"/>
        <v>0.41799999999999998</v>
      </c>
      <c r="AV42" s="79">
        <f t="shared" si="15"/>
        <v>4.4000000000000004</v>
      </c>
      <c r="AW42" s="89">
        <f t="shared" si="16"/>
        <v>8.8000000000000009E-2</v>
      </c>
      <c r="AX42" s="79">
        <f t="shared" si="17"/>
        <v>64.799400000000006</v>
      </c>
      <c r="AY42" s="89">
        <f t="shared" si="18"/>
        <v>0.82024556962025319</v>
      </c>
      <c r="AZ42" s="80">
        <f t="shared" si="19"/>
        <v>113.249</v>
      </c>
      <c r="BA42" s="89">
        <f t="shared" si="20"/>
        <v>0.93594214876033055</v>
      </c>
      <c r="BB42" s="79">
        <f t="shared" si="21"/>
        <v>86.55</v>
      </c>
      <c r="BC42" s="89">
        <f t="shared" si="22"/>
        <v>0.86549999999999994</v>
      </c>
      <c r="BF42" s="4"/>
      <c r="BG42" s="4"/>
      <c r="BH42" s="81"/>
      <c r="BI42" s="81"/>
      <c r="BJ42" s="81"/>
      <c r="BK42" s="4"/>
      <c r="BL42" s="4"/>
      <c r="BM42" s="4"/>
      <c r="BN42" s="4"/>
      <c r="BO42" s="81"/>
      <c r="BP42" s="81"/>
      <c r="BQ42" s="81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81"/>
      <c r="CE42" s="81"/>
      <c r="CF42" s="81"/>
      <c r="CG42" s="4"/>
      <c r="CH42" s="4"/>
      <c r="CI42" s="4"/>
      <c r="CJ42" s="81"/>
      <c r="CK42" s="81"/>
      <c r="CL42" s="81"/>
      <c r="CM42" s="4"/>
      <c r="CN42" s="81"/>
      <c r="CO42" s="81"/>
      <c r="CQ42" s="82"/>
    </row>
    <row r="43" spans="1:95">
      <c r="A43" s="206">
        <v>33</v>
      </c>
      <c r="B43" s="207" t="s">
        <v>344</v>
      </c>
      <c r="C43" s="207" t="s">
        <v>345</v>
      </c>
      <c r="D43" s="73">
        <f>'Penguk.CPMK-Smt1'!D40</f>
        <v>82</v>
      </c>
      <c r="E43" s="73">
        <f>'Penguk.CPMK-Smt1'!E40</f>
        <v>82</v>
      </c>
      <c r="F43" s="73">
        <f t="shared" si="0"/>
        <v>82</v>
      </c>
      <c r="G43" s="91">
        <f>'Penguk.CPMK-Smt1'!G40</f>
        <v>83.38</v>
      </c>
      <c r="H43" s="91">
        <f>'Penguk.CPMK-Smt1'!H40</f>
        <v>83.38</v>
      </c>
      <c r="I43" s="91">
        <f>'Penguk.CPMK-Smt1'!I40</f>
        <v>82.46</v>
      </c>
      <c r="J43" s="91">
        <f>'Penguk.CPMK-Smt1'!J40</f>
        <v>82.81</v>
      </c>
      <c r="K43" s="91">
        <f>'Penguk.CPMK-Smt1'!K40</f>
        <v>82.81</v>
      </c>
      <c r="L43" s="91">
        <f t="shared" si="1"/>
        <v>30.730899999999998</v>
      </c>
      <c r="M43" s="74">
        <f>'Penguk.CPMK-Smt1'!M43</f>
        <v>66.5</v>
      </c>
      <c r="N43" s="74">
        <f>'Penguk.CPMK-Smt1'!N40</f>
        <v>68.5</v>
      </c>
      <c r="O43" s="74">
        <f t="shared" si="2"/>
        <v>67.5</v>
      </c>
      <c r="P43" s="75">
        <f>'Penguk.CPMK-Smt1'!P43</f>
        <v>73</v>
      </c>
      <c r="Q43" s="75">
        <f>'Penguk.CPMK-Smt1'!Q40</f>
        <v>87</v>
      </c>
      <c r="R43" s="75">
        <f t="shared" si="3"/>
        <v>80</v>
      </c>
      <c r="S43" s="76">
        <f>'Penguk.CPMK-Smt1'!S40</f>
        <v>95.3</v>
      </c>
      <c r="T43" s="76">
        <f>'Penguk.CPMK-Smt1'!T40</f>
        <v>100</v>
      </c>
      <c r="U43" s="76">
        <f t="shared" si="4"/>
        <v>97.65</v>
      </c>
      <c r="V43" s="38">
        <f>'Penguk.CPMK-Smt1'!V40</f>
        <v>94</v>
      </c>
      <c r="W43" s="38">
        <f>'Penguk.CPMK-Smt1'!W40</f>
        <v>94</v>
      </c>
      <c r="X43" s="38">
        <f t="shared" si="5"/>
        <v>94</v>
      </c>
      <c r="Y43" s="77">
        <f>'Penguk.CPMK-Smt1'!Y40</f>
        <v>83.5</v>
      </c>
      <c r="Z43" s="77">
        <f>'Penguk.CPMK-Smt1'!Z40</f>
        <v>83.5</v>
      </c>
      <c r="AA43" s="77">
        <f t="shared" si="25"/>
        <v>83.5</v>
      </c>
      <c r="AB43" s="78">
        <f>'Penguk.CPMK-Smt1'!AB43</f>
        <v>91</v>
      </c>
      <c r="AC43" s="78">
        <f>'Penguk.CPMK-Smt1'!AC40</f>
        <v>91.5</v>
      </c>
      <c r="AD43" s="78">
        <f t="shared" si="6"/>
        <v>91.25</v>
      </c>
      <c r="AF43" s="79">
        <f t="shared" si="7"/>
        <v>177.5</v>
      </c>
      <c r="AG43" s="89">
        <f t="shared" si="8"/>
        <v>0.88749999999999996</v>
      </c>
      <c r="AH43" s="79">
        <f t="shared" si="9"/>
        <v>82</v>
      </c>
      <c r="AI43" s="89">
        <f t="shared" si="10"/>
        <v>0.82</v>
      </c>
      <c r="AJ43" s="79"/>
      <c r="AK43" s="89" t="str">
        <f t="shared" si="11"/>
        <v/>
      </c>
      <c r="AL43" s="79"/>
      <c r="AM43" s="89" t="str">
        <f t="shared" si="12"/>
        <v/>
      </c>
      <c r="AN43" s="80"/>
      <c r="AO43" s="80"/>
      <c r="AP43" s="80"/>
      <c r="AQ43" s="80"/>
      <c r="AR43" s="80"/>
      <c r="AS43" s="80"/>
      <c r="AT43" s="80">
        <f t="shared" si="13"/>
        <v>67.5</v>
      </c>
      <c r="AU43" s="89">
        <f t="shared" si="14"/>
        <v>0.67500000000000004</v>
      </c>
      <c r="AV43" s="79">
        <f t="shared" si="15"/>
        <v>34.25</v>
      </c>
      <c r="AW43" s="89">
        <f t="shared" si="16"/>
        <v>0.68500000000000005</v>
      </c>
      <c r="AX43" s="79">
        <f t="shared" si="17"/>
        <v>65.511300000000006</v>
      </c>
      <c r="AY43" s="89">
        <f t="shared" si="18"/>
        <v>0.82925696202531651</v>
      </c>
      <c r="AZ43" s="80">
        <f t="shared" si="19"/>
        <v>115.0401</v>
      </c>
      <c r="BA43" s="89">
        <f t="shared" si="20"/>
        <v>0.95074462809917348</v>
      </c>
      <c r="BB43" s="79">
        <f t="shared" si="21"/>
        <v>91.25</v>
      </c>
      <c r="BC43" s="89">
        <f t="shared" si="22"/>
        <v>0.91249999999999998</v>
      </c>
      <c r="BF43" s="4">
        <f t="shared" si="26"/>
        <v>33.25</v>
      </c>
      <c r="BG43" s="4">
        <f t="shared" si="27"/>
        <v>13.3408</v>
      </c>
      <c r="BH43" s="81">
        <f t="shared" si="28"/>
        <v>47</v>
      </c>
      <c r="BI43" s="81">
        <f t="shared" si="29"/>
        <v>41</v>
      </c>
      <c r="BJ43" s="81">
        <f t="shared" si="30"/>
        <v>47</v>
      </c>
      <c r="BK43" s="4"/>
      <c r="BL43" s="4"/>
      <c r="BM43" s="4"/>
      <c r="BN43" s="4"/>
      <c r="BO43" s="81">
        <f t="shared" si="31"/>
        <v>47.65</v>
      </c>
      <c r="BP43" s="81">
        <f t="shared" si="32"/>
        <v>36.5</v>
      </c>
      <c r="BQ43" s="81">
        <f t="shared" si="33"/>
        <v>34.25</v>
      </c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81">
        <f t="shared" si="34"/>
        <v>43.5</v>
      </c>
      <c r="CE43" s="81">
        <f t="shared" si="35"/>
        <v>50</v>
      </c>
      <c r="CF43" s="81" t="str">
        <f>IFERROR(IF(Y43="","",IFERROR(Y43*($Y$9/100),""))+IF(AB43="","",IFERROR(AB43*($AB$9/100),""))+IF(#REF!="","",IFERROR(#REF!*(#REF!/100),"")),"")</f>
        <v/>
      </c>
      <c r="CG43" s="4"/>
      <c r="CH43" s="4"/>
      <c r="CI43" s="4"/>
      <c r="CJ43" s="81" t="str">
        <f>IFERROR(IF(#REF!="","",IFERROR(#REF!*(#REF!/100),"")),"")</f>
        <v/>
      </c>
      <c r="CK43" s="81" t="str">
        <f>IFERROR(IF(#REF!="","",IFERROR(#REF!*(#REF!/100),""))+IF(#REF!="","",IFERROR(#REF!*(#REF!/100),"")),"")</f>
        <v/>
      </c>
      <c r="CL43" s="81" t="str">
        <f>IFERROR(IF(E43="","",IFERROR(E43*($E$9/100),""))+IF(K43="","",IFERROR(K43*($K$9/100),""))+IF(#REF!="","",IFERROR(#REF!*(#REF!/100),""))+IF(#REF!="","",IFERROR(#REF!*(#REF!/100),"")),"")</f>
        <v/>
      </c>
      <c r="CM43" s="4"/>
      <c r="CN43" s="81" t="str">
        <f>IFERROR(IF(AC43="","",IFERROR(AC43*($AC$9/100),""))+IF(#REF!="","",IFERROR(#REF!*(#REF!/100),"")),"")</f>
        <v/>
      </c>
      <c r="CO43" s="81">
        <f t="shared" si="36"/>
        <v>41.75</v>
      </c>
      <c r="CP43">
        <f t="shared" si="23"/>
        <v>435.24080000000004</v>
      </c>
      <c r="CQ43" s="82" t="e">
        <f t="shared" si="24"/>
        <v>#REF!</v>
      </c>
    </row>
    <row r="44" spans="1:95">
      <c r="A44" s="206">
        <v>34</v>
      </c>
      <c r="B44" s="207" t="s">
        <v>346</v>
      </c>
      <c r="C44" s="207" t="s">
        <v>347</v>
      </c>
      <c r="D44" s="73">
        <f>'Penguk.CPMK-Smt1'!D41</f>
        <v>82</v>
      </c>
      <c r="E44" s="73">
        <f>'Penguk.CPMK-Smt1'!E41</f>
        <v>82</v>
      </c>
      <c r="F44" s="73">
        <f t="shared" si="0"/>
        <v>82</v>
      </c>
      <c r="G44" s="91">
        <f>'Penguk.CPMK-Smt1'!G41</f>
        <v>80.75</v>
      </c>
      <c r="H44" s="91">
        <f>'Penguk.CPMK-Smt1'!H41</f>
        <v>80.75</v>
      </c>
      <c r="I44" s="91">
        <f>'Penguk.CPMK-Smt1'!I41</f>
        <v>79.69</v>
      </c>
      <c r="J44" s="91">
        <f>'Penguk.CPMK-Smt1'!J41</f>
        <v>80.099999999999994</v>
      </c>
      <c r="K44" s="91">
        <f>'Penguk.CPMK-Smt1'!K41</f>
        <v>80.099999999999994</v>
      </c>
      <c r="L44" s="91">
        <f t="shared" si="1"/>
        <v>29.741</v>
      </c>
      <c r="M44" s="74">
        <f>'Penguk.CPMK-Smt1'!M41</f>
        <v>70.599999999999994</v>
      </c>
      <c r="N44" s="74">
        <f>'Penguk.CPMK-Smt1'!N41</f>
        <v>73.599999999999994</v>
      </c>
      <c r="O44" s="74">
        <f t="shared" si="2"/>
        <v>72.099999999999994</v>
      </c>
      <c r="P44" s="75">
        <f>'Penguk.CPMK-Smt1'!P41</f>
        <v>74</v>
      </c>
      <c r="Q44" s="75">
        <f>'Penguk.CPMK-Smt1'!Q41</f>
        <v>80</v>
      </c>
      <c r="R44" s="75">
        <f t="shared" si="3"/>
        <v>77</v>
      </c>
      <c r="S44" s="76">
        <f>'Penguk.CPMK-Smt1'!S41</f>
        <v>86</v>
      </c>
      <c r="T44" s="76">
        <f>'Penguk.CPMK-Smt1'!T41</f>
        <v>85.4</v>
      </c>
      <c r="U44" s="76">
        <f t="shared" si="4"/>
        <v>85.7</v>
      </c>
      <c r="V44" s="38">
        <f>'Penguk.CPMK-Smt1'!V41</f>
        <v>87.35</v>
      </c>
      <c r="W44" s="38">
        <f>'Penguk.CPMK-Smt1'!W41</f>
        <v>87.35</v>
      </c>
      <c r="X44" s="38">
        <f t="shared" si="5"/>
        <v>87.35</v>
      </c>
      <c r="Y44" s="77">
        <f>'Penguk.CPMK-Smt1'!Y41</f>
        <v>83.75</v>
      </c>
      <c r="Z44" s="77">
        <f>'Penguk.CPMK-Smt1'!Z41</f>
        <v>83.75</v>
      </c>
      <c r="AA44" s="77">
        <f t="shared" si="25"/>
        <v>83.75</v>
      </c>
      <c r="AB44" s="78">
        <f>'Penguk.CPMK-Smt1'!AB41</f>
        <v>91</v>
      </c>
      <c r="AC44" s="78">
        <f>'Penguk.CPMK-Smt1'!AC41</f>
        <v>91</v>
      </c>
      <c r="AD44" s="78">
        <f t="shared" si="6"/>
        <v>91</v>
      </c>
      <c r="AF44" s="79">
        <f t="shared" si="7"/>
        <v>171.1</v>
      </c>
      <c r="AG44" s="89">
        <f t="shared" si="8"/>
        <v>0.85549999999999993</v>
      </c>
      <c r="AH44" s="79">
        <f t="shared" si="9"/>
        <v>82</v>
      </c>
      <c r="AI44" s="89">
        <f t="shared" si="10"/>
        <v>0.82</v>
      </c>
      <c r="AJ44" s="79"/>
      <c r="AK44" s="89" t="str">
        <f t="shared" si="11"/>
        <v/>
      </c>
      <c r="AL44" s="79"/>
      <c r="AM44" s="89" t="str">
        <f t="shared" si="12"/>
        <v/>
      </c>
      <c r="AN44" s="80"/>
      <c r="AO44" s="80"/>
      <c r="AP44" s="80"/>
      <c r="AQ44" s="80"/>
      <c r="AR44" s="80"/>
      <c r="AS44" s="80"/>
      <c r="AT44" s="80">
        <f t="shared" si="13"/>
        <v>72.099999999999994</v>
      </c>
      <c r="AU44" s="89">
        <f t="shared" si="14"/>
        <v>0.72099999999999997</v>
      </c>
      <c r="AV44" s="79">
        <f t="shared" si="15"/>
        <v>36.799999999999997</v>
      </c>
      <c r="AW44" s="89">
        <f t="shared" si="16"/>
        <v>0.73599999999999999</v>
      </c>
      <c r="AX44" s="79">
        <f t="shared" si="17"/>
        <v>63.380399999999995</v>
      </c>
      <c r="AY44" s="89">
        <f t="shared" si="18"/>
        <v>0.80228354430379745</v>
      </c>
      <c r="AZ44" s="80">
        <f t="shared" si="19"/>
        <v>102.521</v>
      </c>
      <c r="BA44" s="89">
        <f t="shared" si="20"/>
        <v>0.84728099173553717</v>
      </c>
      <c r="BB44" s="79">
        <f t="shared" si="21"/>
        <v>91</v>
      </c>
      <c r="BC44" s="89">
        <f t="shared" si="22"/>
        <v>0.91</v>
      </c>
      <c r="BF44" s="4">
        <f t="shared" si="26"/>
        <v>35.299999999999997</v>
      </c>
      <c r="BG44" s="4">
        <f t="shared" si="27"/>
        <v>12.92</v>
      </c>
      <c r="BH44" s="81">
        <f t="shared" si="28"/>
        <v>43.674999999999997</v>
      </c>
      <c r="BI44" s="81">
        <f t="shared" si="29"/>
        <v>41</v>
      </c>
      <c r="BJ44" s="81">
        <f t="shared" si="30"/>
        <v>43.674999999999997</v>
      </c>
      <c r="BK44" s="4"/>
      <c r="BL44" s="4"/>
      <c r="BM44" s="4"/>
      <c r="BN44" s="4"/>
      <c r="BO44" s="81">
        <f t="shared" si="31"/>
        <v>43</v>
      </c>
      <c r="BP44" s="81">
        <f t="shared" si="32"/>
        <v>37</v>
      </c>
      <c r="BQ44" s="81">
        <f t="shared" si="33"/>
        <v>36.799999999999997</v>
      </c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81">
        <f t="shared" si="34"/>
        <v>40</v>
      </c>
      <c r="CE44" s="81">
        <f t="shared" si="35"/>
        <v>42.7</v>
      </c>
      <c r="CF44" s="81" t="str">
        <f>IFERROR(IF(Y44="","",IFERROR(Y44*($Y$9/100),""))+IF(AB44="","",IFERROR(AB44*($AB$9/100),""))+IF(#REF!="","",IFERROR(#REF!*(#REF!/100),"")),"")</f>
        <v/>
      </c>
      <c r="CG44" s="4"/>
      <c r="CH44" s="4"/>
      <c r="CI44" s="4"/>
      <c r="CJ44" s="81" t="str">
        <f>IFERROR(IF(#REF!="","",IFERROR(#REF!*(#REF!/100),"")),"")</f>
        <v/>
      </c>
      <c r="CK44" s="81" t="str">
        <f>IFERROR(IF(#REF!="","",IFERROR(#REF!*(#REF!/100),""))+IF(#REF!="","",IFERROR(#REF!*(#REF!/100),"")),"")</f>
        <v/>
      </c>
      <c r="CL44" s="81" t="str">
        <f>IFERROR(IF(E44="","",IFERROR(E44*($E$9/100),""))+IF(K44="","",IFERROR(K44*($K$9/100),""))+IF(#REF!="","",IFERROR(#REF!*(#REF!/100),""))+IF(#REF!="","",IFERROR(#REF!*(#REF!/100),"")),"")</f>
        <v/>
      </c>
      <c r="CM44" s="4"/>
      <c r="CN44" s="81" t="str">
        <f>IFERROR(IF(AC44="","",IFERROR(AC44*($AC$9/100),""))+IF(#REF!="","",IFERROR(#REF!*(#REF!/100),"")),"")</f>
        <v/>
      </c>
      <c r="CO44" s="81">
        <f t="shared" si="36"/>
        <v>41.875</v>
      </c>
      <c r="CP44">
        <f t="shared" si="23"/>
        <v>417.94499999999999</v>
      </c>
      <c r="CQ44" s="82" t="e">
        <f t="shared" si="24"/>
        <v>#REF!</v>
      </c>
    </row>
    <row r="45" spans="1:95">
      <c r="A45" s="206">
        <v>35</v>
      </c>
      <c r="B45" s="207" t="s">
        <v>348</v>
      </c>
      <c r="C45" s="207" t="s">
        <v>349</v>
      </c>
      <c r="D45" s="73">
        <f>'Penguk.CPMK-Smt1'!D45</f>
        <v>82</v>
      </c>
      <c r="E45" s="73">
        <f>'Penguk.CPMK-Smt1'!E45</f>
        <v>82</v>
      </c>
      <c r="F45" s="73">
        <f t="shared" si="0"/>
        <v>82</v>
      </c>
      <c r="G45" s="91">
        <f>'Penguk.CPMK-Smt1'!G45</f>
        <v>82.5</v>
      </c>
      <c r="H45" s="91">
        <f>'Penguk.CPMK-Smt1'!H45</f>
        <v>82.5</v>
      </c>
      <c r="I45" s="91">
        <f>'Penguk.CPMK-Smt1'!I45</f>
        <v>86.15</v>
      </c>
      <c r="J45" s="91">
        <f>'Penguk.CPMK-Smt1'!J45</f>
        <v>86.43</v>
      </c>
      <c r="K45" s="91">
        <f>'Penguk.CPMK-Smt1'!K45</f>
        <v>86.43</v>
      </c>
      <c r="L45" s="91">
        <f t="shared" si="1"/>
        <v>31.350300000000004</v>
      </c>
      <c r="M45" s="74">
        <f>'Penguk.CPMK-Smt1'!M45</f>
        <v>72.5</v>
      </c>
      <c r="N45" s="74">
        <f>'Penguk.CPMK-Smt1'!N45</f>
        <v>72</v>
      </c>
      <c r="O45" s="74">
        <f t="shared" si="2"/>
        <v>72.25</v>
      </c>
      <c r="P45" s="75">
        <f>'Penguk.CPMK-Smt1'!P45</f>
        <v>80</v>
      </c>
      <c r="Q45" s="75">
        <f>'Penguk.CPMK-Smt1'!Q45</f>
        <v>89</v>
      </c>
      <c r="R45" s="75">
        <f t="shared" si="3"/>
        <v>84.5</v>
      </c>
      <c r="S45" s="76">
        <f>'Penguk.CPMK-Smt1'!S45</f>
        <v>99.4</v>
      </c>
      <c r="T45" s="76">
        <f>'Penguk.CPMK-Smt1'!T45</f>
        <v>92.7</v>
      </c>
      <c r="U45" s="76">
        <f t="shared" si="4"/>
        <v>96.050000000000011</v>
      </c>
      <c r="V45" s="38">
        <f>'Penguk.CPMK-Smt1'!V45</f>
        <v>87.4</v>
      </c>
      <c r="W45" s="38">
        <f>'Penguk.CPMK-Smt1'!W45</f>
        <v>87.4</v>
      </c>
      <c r="X45" s="38">
        <f t="shared" si="5"/>
        <v>87.4</v>
      </c>
      <c r="Y45" s="77">
        <f>'Penguk.CPMK-Smt1'!Y45</f>
        <v>85.5</v>
      </c>
      <c r="Z45" s="77">
        <f>'Penguk.CPMK-Smt1'!Z45</f>
        <v>85.5</v>
      </c>
      <c r="AA45" s="77">
        <f t="shared" si="25"/>
        <v>85.5</v>
      </c>
      <c r="AB45" s="78">
        <f>'Penguk.CPMK-Smt1'!AB45</f>
        <v>95.5</v>
      </c>
      <c r="AC45" s="78">
        <f>'Penguk.CPMK-Smt1'!AC45</f>
        <v>91.3</v>
      </c>
      <c r="AD45" s="78">
        <f t="shared" si="6"/>
        <v>93.4</v>
      </c>
      <c r="AF45" s="79">
        <f t="shared" si="7"/>
        <v>172.9</v>
      </c>
      <c r="AG45" s="89">
        <f t="shared" si="8"/>
        <v>0.86450000000000005</v>
      </c>
      <c r="AH45" s="79">
        <f t="shared" si="9"/>
        <v>82</v>
      </c>
      <c r="AI45" s="89">
        <f t="shared" si="10"/>
        <v>0.82</v>
      </c>
      <c r="AJ45" s="79"/>
      <c r="AK45" s="89" t="str">
        <f t="shared" si="11"/>
        <v/>
      </c>
      <c r="AL45" s="79"/>
      <c r="AM45" s="89" t="str">
        <f t="shared" si="12"/>
        <v/>
      </c>
      <c r="AN45" s="80"/>
      <c r="AO45" s="80"/>
      <c r="AP45" s="80"/>
      <c r="AQ45" s="80"/>
      <c r="AR45" s="80"/>
      <c r="AS45" s="80"/>
      <c r="AT45" s="80">
        <f t="shared" si="13"/>
        <v>72.25</v>
      </c>
      <c r="AU45" s="89">
        <f t="shared" si="14"/>
        <v>0.72250000000000003</v>
      </c>
      <c r="AV45" s="79">
        <f t="shared" si="15"/>
        <v>36</v>
      </c>
      <c r="AW45" s="89">
        <f t="shared" si="16"/>
        <v>0.72</v>
      </c>
      <c r="AX45" s="79">
        <f t="shared" si="17"/>
        <v>66.949300000000008</v>
      </c>
      <c r="AY45" s="89">
        <f t="shared" si="18"/>
        <v>0.84745949367088613</v>
      </c>
      <c r="AZ45" s="80">
        <f t="shared" si="19"/>
        <v>114.2003</v>
      </c>
      <c r="BA45" s="89">
        <f t="shared" si="20"/>
        <v>0.94380413223140491</v>
      </c>
      <c r="BB45" s="79">
        <f t="shared" si="21"/>
        <v>93.4</v>
      </c>
      <c r="BC45" s="89">
        <f t="shared" si="22"/>
        <v>0.93400000000000005</v>
      </c>
      <c r="BF45" s="4">
        <f t="shared" si="26"/>
        <v>36.25</v>
      </c>
      <c r="BG45" s="4">
        <f t="shared" si="27"/>
        <v>13.200000000000001</v>
      </c>
      <c r="BH45" s="81">
        <f t="shared" si="28"/>
        <v>43.7</v>
      </c>
      <c r="BI45" s="81">
        <f t="shared" si="29"/>
        <v>41</v>
      </c>
      <c r="BJ45" s="81">
        <f t="shared" si="30"/>
        <v>43.7</v>
      </c>
      <c r="BK45" s="4"/>
      <c r="BL45" s="4"/>
      <c r="BM45" s="4"/>
      <c r="BN45" s="4"/>
      <c r="BO45" s="81">
        <f t="shared" si="31"/>
        <v>49.7</v>
      </c>
      <c r="BP45" s="81">
        <f t="shared" si="32"/>
        <v>40</v>
      </c>
      <c r="BQ45" s="81">
        <f t="shared" si="33"/>
        <v>36</v>
      </c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81">
        <f t="shared" si="34"/>
        <v>44.5</v>
      </c>
      <c r="CE45" s="81">
        <f t="shared" si="35"/>
        <v>46.35</v>
      </c>
      <c r="CF45" s="81" t="str">
        <f>IFERROR(IF(Y45="","",IFERROR(Y45*($Y$9/100),""))+IF(AB45="","",IFERROR(AB45*($AB$9/100),""))+IF(#REF!="","",IFERROR(#REF!*(#REF!/100),"")),"")</f>
        <v/>
      </c>
      <c r="CG45" s="4"/>
      <c r="CH45" s="4"/>
      <c r="CI45" s="4"/>
      <c r="CJ45" s="81" t="str">
        <f>IFERROR(IF(#REF!="","",IFERROR(#REF!*(#REF!/100),"")),"")</f>
        <v/>
      </c>
      <c r="CK45" s="81" t="str">
        <f>IFERROR(IF(#REF!="","",IFERROR(#REF!*(#REF!/100),""))+IF(#REF!="","",IFERROR(#REF!*(#REF!/100),"")),"")</f>
        <v/>
      </c>
      <c r="CL45" s="81" t="str">
        <f>IFERROR(IF(E45="","",IFERROR(E45*($E$9/100),""))+IF(K45="","",IFERROR(K45*($K$9/100),""))+IF(#REF!="","",IFERROR(#REF!*(#REF!/100),""))+IF(#REF!="","",IFERROR(#REF!*(#REF!/100),"")),"")</f>
        <v/>
      </c>
      <c r="CM45" s="4"/>
      <c r="CN45" s="81" t="str">
        <f>IFERROR(IF(AC45="","",IFERROR(AC45*($AC$9/100),""))+IF(#REF!="","",IFERROR(#REF!*(#REF!/100),"")),"")</f>
        <v/>
      </c>
      <c r="CO45" s="81">
        <f t="shared" si="36"/>
        <v>42.75</v>
      </c>
      <c r="CP45">
        <f t="shared" si="23"/>
        <v>437.15000000000003</v>
      </c>
      <c r="CQ45" s="82" t="e">
        <f t="shared" si="24"/>
        <v>#REF!</v>
      </c>
    </row>
    <row r="46" spans="1:95">
      <c r="A46" s="206">
        <v>36</v>
      </c>
      <c r="B46" s="207" t="s">
        <v>350</v>
      </c>
      <c r="C46" s="207" t="s">
        <v>351</v>
      </c>
      <c r="D46" s="73">
        <f>'Penguk.CPMK-Smt1'!D46</f>
        <v>85.5</v>
      </c>
      <c r="E46" s="73">
        <f>'Penguk.CPMK-Smt1'!E46</f>
        <v>85.5</v>
      </c>
      <c r="F46" s="73">
        <f t="shared" si="0"/>
        <v>85.5</v>
      </c>
      <c r="G46" s="91">
        <f>'Penguk.CPMK-Smt1'!G46</f>
        <v>85.25</v>
      </c>
      <c r="H46" s="91">
        <f>'Penguk.CPMK-Smt1'!H46</f>
        <v>85.25</v>
      </c>
      <c r="I46" s="91">
        <f>'Penguk.CPMK-Smt1'!I46</f>
        <v>84.77</v>
      </c>
      <c r="J46" s="91">
        <f>'Penguk.CPMK-Smt1'!J46</f>
        <v>84.95</v>
      </c>
      <c r="K46" s="91">
        <f>'Penguk.CPMK-Smt1'!K46</f>
        <v>84.95</v>
      </c>
      <c r="L46" s="91">
        <f t="shared" si="1"/>
        <v>31.479500000000002</v>
      </c>
      <c r="M46" s="74">
        <f>'Penguk.CPMK-Smt1'!M46</f>
        <v>74.8</v>
      </c>
      <c r="N46" s="74">
        <f>'Penguk.CPMK-Smt1'!N46</f>
        <v>77.8</v>
      </c>
      <c r="O46" s="74">
        <f t="shared" si="2"/>
        <v>76.3</v>
      </c>
      <c r="P46" s="75">
        <f>'Penguk.CPMK-Smt1'!P46</f>
        <v>74</v>
      </c>
      <c r="Q46" s="75">
        <f>'Penguk.CPMK-Smt1'!Q46</f>
        <v>81</v>
      </c>
      <c r="R46" s="75">
        <f t="shared" si="3"/>
        <v>77.5</v>
      </c>
      <c r="S46" s="76">
        <f>'Penguk.CPMK-Smt1'!S46</f>
        <v>95.9</v>
      </c>
      <c r="T46" s="76">
        <f>'Penguk.CPMK-Smt1'!T46</f>
        <v>81.2</v>
      </c>
      <c r="U46" s="76">
        <f t="shared" si="4"/>
        <v>88.550000000000011</v>
      </c>
      <c r="V46" s="38">
        <f>'Penguk.CPMK-Smt1'!V46</f>
        <v>91.5</v>
      </c>
      <c r="W46" s="38">
        <f>'Penguk.CPMK-Smt1'!W46</f>
        <v>91.5</v>
      </c>
      <c r="X46" s="38">
        <f t="shared" si="5"/>
        <v>91.5</v>
      </c>
      <c r="Y46" s="77">
        <f>'Penguk.CPMK-Smt1'!Y46</f>
        <v>91.9</v>
      </c>
      <c r="Z46" s="77">
        <f>'Penguk.CPMK-Smt1'!Z46</f>
        <v>91.9</v>
      </c>
      <c r="AA46" s="77">
        <f t="shared" si="25"/>
        <v>91.9</v>
      </c>
      <c r="AB46" s="78">
        <f>'Penguk.CPMK-Smt1'!AB46</f>
        <v>91.5</v>
      </c>
      <c r="AC46" s="78">
        <f>'Penguk.CPMK-Smt1'!AC46</f>
        <v>95.5</v>
      </c>
      <c r="AD46" s="78">
        <f t="shared" si="6"/>
        <v>93.5</v>
      </c>
      <c r="AF46" s="79">
        <f t="shared" si="7"/>
        <v>183.39999999999998</v>
      </c>
      <c r="AG46" s="89">
        <f t="shared" si="8"/>
        <v>0.91699999999999993</v>
      </c>
      <c r="AH46" s="79">
        <f t="shared" si="9"/>
        <v>85.5</v>
      </c>
      <c r="AI46" s="89">
        <f t="shared" si="10"/>
        <v>0.85499999999999998</v>
      </c>
      <c r="AJ46" s="79"/>
      <c r="AK46" s="89" t="str">
        <f t="shared" si="11"/>
        <v/>
      </c>
      <c r="AL46" s="79"/>
      <c r="AM46" s="89" t="str">
        <f t="shared" si="12"/>
        <v/>
      </c>
      <c r="AN46" s="80"/>
      <c r="AO46" s="80"/>
      <c r="AP46" s="80"/>
      <c r="AQ46" s="80"/>
      <c r="AR46" s="80"/>
      <c r="AS46" s="80"/>
      <c r="AT46" s="80">
        <f t="shared" si="13"/>
        <v>76.3</v>
      </c>
      <c r="AU46" s="89">
        <f t="shared" si="14"/>
        <v>0.76300000000000001</v>
      </c>
      <c r="AV46" s="79">
        <f t="shared" si="15"/>
        <v>38.9</v>
      </c>
      <c r="AW46" s="89">
        <f t="shared" si="16"/>
        <v>0.77800000000000002</v>
      </c>
      <c r="AX46" s="79">
        <f t="shared" si="17"/>
        <v>67.159700000000001</v>
      </c>
      <c r="AY46" s="89">
        <f t="shared" si="18"/>
        <v>0.8501227848101266</v>
      </c>
      <c r="AZ46" s="80">
        <f t="shared" si="19"/>
        <v>106.3895</v>
      </c>
      <c r="BA46" s="89">
        <f t="shared" si="20"/>
        <v>0.8792520661157025</v>
      </c>
      <c r="BB46" s="79">
        <f t="shared" si="21"/>
        <v>93.5</v>
      </c>
      <c r="BC46" s="89">
        <f t="shared" si="22"/>
        <v>0.93500000000000005</v>
      </c>
      <c r="BF46" s="4">
        <f t="shared" si="26"/>
        <v>37.4</v>
      </c>
      <c r="BG46" s="4">
        <f t="shared" si="27"/>
        <v>13.64</v>
      </c>
      <c r="BH46" s="81">
        <f t="shared" si="28"/>
        <v>45.75</v>
      </c>
      <c r="BI46" s="81">
        <f t="shared" si="29"/>
        <v>42.75</v>
      </c>
      <c r="BJ46" s="81">
        <f t="shared" si="30"/>
        <v>45.75</v>
      </c>
      <c r="BK46" s="4"/>
      <c r="BL46" s="4"/>
      <c r="BM46" s="4"/>
      <c r="BN46" s="4"/>
      <c r="BO46" s="81">
        <f t="shared" si="31"/>
        <v>47.95</v>
      </c>
      <c r="BP46" s="81">
        <f t="shared" si="32"/>
        <v>37</v>
      </c>
      <c r="BQ46" s="81">
        <f t="shared" si="33"/>
        <v>38.9</v>
      </c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81">
        <f t="shared" si="34"/>
        <v>40.5</v>
      </c>
      <c r="CE46" s="81">
        <f t="shared" si="35"/>
        <v>40.6</v>
      </c>
      <c r="CF46" s="81" t="str">
        <f>IFERROR(IF(Y46="","",IFERROR(Y46*($Y$9/100),""))+IF(AB46="","",IFERROR(AB46*($AB$9/100),""))+IF(#REF!="","",IFERROR(#REF!*(#REF!/100),"")),"")</f>
        <v/>
      </c>
      <c r="CG46" s="4"/>
      <c r="CH46" s="4"/>
      <c r="CI46" s="4"/>
      <c r="CJ46" s="81" t="str">
        <f>IFERROR(IF(#REF!="","",IFERROR(#REF!*(#REF!/100),"")),"")</f>
        <v/>
      </c>
      <c r="CK46" s="81" t="str">
        <f>IFERROR(IF(#REF!="","",IFERROR(#REF!*(#REF!/100),""))+IF(#REF!="","",IFERROR(#REF!*(#REF!/100),"")),"")</f>
        <v/>
      </c>
      <c r="CL46" s="81" t="str">
        <f>IFERROR(IF(E46="","",IFERROR(E46*($E$9/100),""))+IF(K46="","",IFERROR(K46*($K$9/100),""))+IF(#REF!="","",IFERROR(#REF!*(#REF!/100),""))+IF(#REF!="","",IFERROR(#REF!*(#REF!/100),"")),"")</f>
        <v/>
      </c>
      <c r="CM46" s="4"/>
      <c r="CN46" s="81" t="str">
        <f>IFERROR(IF(AC46="","",IFERROR(AC46*($AC$9/100),""))+IF(#REF!="","",IFERROR(#REF!*(#REF!/100),"")),"")</f>
        <v/>
      </c>
      <c r="CO46" s="81">
        <f t="shared" si="36"/>
        <v>45.95</v>
      </c>
      <c r="CP46">
        <f t="shared" si="23"/>
        <v>436.19</v>
      </c>
      <c r="CQ46" s="82" t="e">
        <f t="shared" si="24"/>
        <v>#REF!</v>
      </c>
    </row>
    <row r="47" spans="1:95">
      <c r="A47" s="206">
        <v>37</v>
      </c>
      <c r="B47" s="207" t="s">
        <v>352</v>
      </c>
      <c r="C47" s="207" t="s">
        <v>353</v>
      </c>
      <c r="D47" s="73">
        <f>'Penguk.CPMK-Smt1'!D47</f>
        <v>85.5</v>
      </c>
      <c r="E47" s="73">
        <f>'Penguk.CPMK-Smt1'!E47</f>
        <v>85.5</v>
      </c>
      <c r="F47" s="73">
        <f t="shared" si="0"/>
        <v>85.5</v>
      </c>
      <c r="G47" s="91">
        <f>'Penguk.CPMK-Smt1'!G47</f>
        <v>85.13</v>
      </c>
      <c r="H47" s="91">
        <f>'Penguk.CPMK-Smt1'!H47</f>
        <v>85.13</v>
      </c>
      <c r="I47" s="91">
        <f>'Penguk.CPMK-Smt1'!I47</f>
        <v>84.31</v>
      </c>
      <c r="J47" s="91">
        <f>'Penguk.CPMK-Smt1'!J47</f>
        <v>84.62</v>
      </c>
      <c r="K47" s="91">
        <f>'Penguk.CPMK-Smt1'!K47</f>
        <v>84.62</v>
      </c>
      <c r="L47" s="91">
        <f t="shared" si="1"/>
        <v>31.390999999999998</v>
      </c>
      <c r="M47" s="74">
        <f>'Penguk.CPMK-Smt1'!M47</f>
        <v>95.9</v>
      </c>
      <c r="N47" s="74">
        <f>'Penguk.CPMK-Smt1'!N47</f>
        <v>71.400000000000006</v>
      </c>
      <c r="O47" s="74">
        <f t="shared" si="2"/>
        <v>83.65</v>
      </c>
      <c r="P47" s="75">
        <f>'Penguk.CPMK-Smt1'!P47</f>
        <v>80</v>
      </c>
      <c r="Q47" s="75">
        <f>'Penguk.CPMK-Smt1'!Q47</f>
        <v>88</v>
      </c>
      <c r="R47" s="75">
        <f t="shared" si="3"/>
        <v>84</v>
      </c>
      <c r="S47" s="76">
        <f>'Penguk.CPMK-Smt1'!S47</f>
        <v>95.9</v>
      </c>
      <c r="T47" s="76">
        <f>'Penguk.CPMK-Smt1'!T47</f>
        <v>88.2</v>
      </c>
      <c r="U47" s="76">
        <f>IFERROR((S47*($S$9/100))+(T47*($T$9/100)),"")</f>
        <v>92.050000000000011</v>
      </c>
      <c r="V47" s="38">
        <f>'Penguk.CPMK-Smt1'!V47</f>
        <v>88.35</v>
      </c>
      <c r="W47" s="38">
        <f>'Penguk.CPMK-Smt1'!W47</f>
        <v>88.35</v>
      </c>
      <c r="X47" s="38">
        <f t="shared" si="5"/>
        <v>88.35</v>
      </c>
      <c r="Y47" s="77">
        <f>'Penguk.CPMK-Smt1'!Y47</f>
        <v>77.8</v>
      </c>
      <c r="Z47" s="77">
        <f>'Penguk.CPMK-Smt1'!Z47</f>
        <v>77.8</v>
      </c>
      <c r="AA47" s="77">
        <f t="shared" si="25"/>
        <v>77.8</v>
      </c>
      <c r="AB47" s="78">
        <f>'Penguk.CPMK-Smt1'!AB47</f>
        <v>93.8</v>
      </c>
      <c r="AC47" s="78">
        <f>'Penguk.CPMK-Smt1'!AC47</f>
        <v>91</v>
      </c>
      <c r="AD47" s="78">
        <f t="shared" si="6"/>
        <v>92.4</v>
      </c>
      <c r="AF47" s="79">
        <f t="shared" si="7"/>
        <v>166.15</v>
      </c>
      <c r="AG47" s="89">
        <f t="shared" si="8"/>
        <v>0.83074999999999999</v>
      </c>
      <c r="AH47" s="79">
        <f t="shared" si="9"/>
        <v>85.5</v>
      </c>
      <c r="AI47" s="89">
        <f t="shared" si="10"/>
        <v>0.85499999999999998</v>
      </c>
      <c r="AJ47" s="79"/>
      <c r="AK47" s="89" t="str">
        <f t="shared" si="11"/>
        <v/>
      </c>
      <c r="AL47" s="79"/>
      <c r="AM47" s="89" t="str">
        <f t="shared" si="12"/>
        <v/>
      </c>
      <c r="AN47" s="80"/>
      <c r="AO47" s="80"/>
      <c r="AP47" s="80"/>
      <c r="AQ47" s="80"/>
      <c r="AR47" s="80"/>
      <c r="AS47" s="80"/>
      <c r="AT47" s="80">
        <f t="shared" si="13"/>
        <v>83.65</v>
      </c>
      <c r="AU47" s="89">
        <f t="shared" si="14"/>
        <v>0.83650000000000002</v>
      </c>
      <c r="AV47" s="79">
        <f t="shared" si="15"/>
        <v>35.700000000000003</v>
      </c>
      <c r="AW47" s="89">
        <f t="shared" si="16"/>
        <v>0.71400000000000008</v>
      </c>
      <c r="AX47" s="79">
        <f t="shared" si="17"/>
        <v>66.932400000000001</v>
      </c>
      <c r="AY47" s="89">
        <f t="shared" si="18"/>
        <v>0.84724556962025321</v>
      </c>
      <c r="AZ47" s="80">
        <f t="shared" si="19"/>
        <v>109.8202</v>
      </c>
      <c r="BA47" s="89">
        <f t="shared" si="20"/>
        <v>0.90760495867768598</v>
      </c>
      <c r="BB47" s="79">
        <f t="shared" si="21"/>
        <v>92.4</v>
      </c>
      <c r="BC47" s="89">
        <f t="shared" si="22"/>
        <v>0.92400000000000004</v>
      </c>
      <c r="BF47" s="4">
        <f t="shared" si="26"/>
        <v>47.95</v>
      </c>
      <c r="BG47" s="4">
        <f t="shared" si="27"/>
        <v>13.620799999999999</v>
      </c>
      <c r="BH47" s="81">
        <f t="shared" si="28"/>
        <v>44.174999999999997</v>
      </c>
      <c r="BI47" s="81">
        <f t="shared" si="29"/>
        <v>42.75</v>
      </c>
      <c r="BJ47" s="81">
        <f t="shared" si="30"/>
        <v>44.174999999999997</v>
      </c>
      <c r="BK47" s="4"/>
      <c r="BL47" s="4"/>
      <c r="BM47" s="4"/>
      <c r="BN47" s="4"/>
      <c r="BO47" s="81">
        <f t="shared" si="31"/>
        <v>47.95</v>
      </c>
      <c r="BP47" s="81">
        <f t="shared" si="32"/>
        <v>40</v>
      </c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</row>
    <row r="48" spans="1:95" ht="14.5" thickBot="1">
      <c r="AT48" s="80"/>
    </row>
    <row r="49" spans="3:95" ht="14.5" hidden="1" thickBot="1">
      <c r="D49" s="36" t="str">
        <f>D8</f>
        <v>CPMK021</v>
      </c>
      <c r="E49" s="36" t="str">
        <f>E8</f>
        <v>CPMK023</v>
      </c>
      <c r="G49" s="36" t="str">
        <f>G8</f>
        <v>CPMK101</v>
      </c>
      <c r="K49" s="36" t="str">
        <f>K8</f>
        <v>CPMK111</v>
      </c>
      <c r="M49" s="36" t="str">
        <f>M8</f>
        <v>CPMK81</v>
      </c>
      <c r="N49" s="36" t="str">
        <f>N8</f>
        <v>CPMK91</v>
      </c>
      <c r="P49" s="36" t="str">
        <f>P8</f>
        <v>CPMK55</v>
      </c>
      <c r="Q49" s="36" t="str">
        <f>Q8</f>
        <v>CPMK56</v>
      </c>
      <c r="S49" s="36" t="str">
        <f>S8</f>
        <v>CPMK114</v>
      </c>
      <c r="T49" s="36" t="str">
        <f>T8</f>
        <v>CPMK115</v>
      </c>
      <c r="V49" s="36" t="str">
        <f>V8</f>
        <v>CPMK11</v>
      </c>
      <c r="W49" s="36" t="str">
        <f>W8</f>
        <v>CPMK13</v>
      </c>
      <c r="Y49" s="36" t="str">
        <f>Y8</f>
        <v>CPMK12</v>
      </c>
      <c r="Z49" s="36" t="str">
        <f>Z8</f>
        <v>CPMK13</v>
      </c>
      <c r="AB49" s="36" t="str">
        <f>AB8</f>
        <v>CPMK122</v>
      </c>
      <c r="AC49" s="36" t="str">
        <f>AC8</f>
        <v>CPMK123</v>
      </c>
      <c r="AT49" s="80" t="str">
        <f t="shared" si="13"/>
        <v/>
      </c>
    </row>
    <row r="50" spans="3:95" ht="14.5" hidden="1" thickBot="1">
      <c r="C50" s="41" t="s">
        <v>172</v>
      </c>
      <c r="D50" s="42">
        <f t="shared" ref="D50:AD50" si="37">COUNTIF(D11:D43,$C$50)</f>
        <v>0</v>
      </c>
      <c r="E50" s="42">
        <f t="shared" si="37"/>
        <v>0</v>
      </c>
      <c r="F50" s="42">
        <f t="shared" si="37"/>
        <v>0</v>
      </c>
      <c r="G50" s="42">
        <f t="shared" si="37"/>
        <v>1</v>
      </c>
      <c r="H50" s="42"/>
      <c r="I50" s="42"/>
      <c r="J50" s="42"/>
      <c r="K50" s="42">
        <f t="shared" si="37"/>
        <v>1</v>
      </c>
      <c r="L50" s="42">
        <f t="shared" si="37"/>
        <v>33</v>
      </c>
      <c r="M50" s="42">
        <f t="shared" si="37"/>
        <v>2</v>
      </c>
      <c r="N50" s="42">
        <f t="shared" si="37"/>
        <v>3</v>
      </c>
      <c r="O50" s="42">
        <f t="shared" si="37"/>
        <v>3</v>
      </c>
      <c r="P50" s="42">
        <f t="shared" si="37"/>
        <v>1</v>
      </c>
      <c r="Q50" s="42">
        <f t="shared" si="37"/>
        <v>2</v>
      </c>
      <c r="R50" s="42">
        <f t="shared" si="37"/>
        <v>2</v>
      </c>
      <c r="S50" s="42">
        <f t="shared" si="37"/>
        <v>6</v>
      </c>
      <c r="T50" s="42">
        <f t="shared" si="37"/>
        <v>5</v>
      </c>
      <c r="U50" s="42">
        <f t="shared" si="37"/>
        <v>1</v>
      </c>
      <c r="V50" s="42">
        <f t="shared" si="37"/>
        <v>1</v>
      </c>
      <c r="W50" s="42">
        <f t="shared" si="37"/>
        <v>1</v>
      </c>
      <c r="X50" s="42">
        <f t="shared" si="37"/>
        <v>1</v>
      </c>
      <c r="Y50" s="42">
        <f t="shared" si="37"/>
        <v>1</v>
      </c>
      <c r="Z50" s="42">
        <f t="shared" si="37"/>
        <v>1</v>
      </c>
      <c r="AA50" s="42">
        <f t="shared" si="37"/>
        <v>1</v>
      </c>
      <c r="AB50" s="42">
        <f t="shared" si="37"/>
        <v>1</v>
      </c>
      <c r="AC50" s="42">
        <f t="shared" si="37"/>
        <v>1</v>
      </c>
      <c r="AD50" s="42">
        <f t="shared" si="37"/>
        <v>1</v>
      </c>
      <c r="AT50" s="80">
        <f t="shared" si="13"/>
        <v>2.5</v>
      </c>
    </row>
    <row r="51" spans="3:95" ht="14.5" hidden="1" thickBot="1">
      <c r="C51" s="43" t="s">
        <v>99</v>
      </c>
      <c r="D51" s="44">
        <f t="shared" ref="D51:AD51" si="38">COUNTIF(D11:D43,$C$51)-D50</f>
        <v>23</v>
      </c>
      <c r="E51" s="44">
        <f t="shared" si="38"/>
        <v>19</v>
      </c>
      <c r="F51" s="44">
        <f t="shared" si="38"/>
        <v>21</v>
      </c>
      <c r="G51" s="44">
        <f t="shared" si="38"/>
        <v>6</v>
      </c>
      <c r="H51" s="44"/>
      <c r="I51" s="44"/>
      <c r="J51" s="44"/>
      <c r="K51" s="44">
        <f t="shared" si="38"/>
        <v>11</v>
      </c>
      <c r="L51" s="44">
        <f t="shared" si="38"/>
        <v>0</v>
      </c>
      <c r="M51" s="44">
        <f t="shared" si="38"/>
        <v>6</v>
      </c>
      <c r="N51" s="44">
        <f t="shared" si="38"/>
        <v>3</v>
      </c>
      <c r="O51" s="44">
        <f t="shared" si="38"/>
        <v>3</v>
      </c>
      <c r="P51" s="44">
        <f t="shared" si="38"/>
        <v>19</v>
      </c>
      <c r="Q51" s="44">
        <f t="shared" si="38"/>
        <v>12</v>
      </c>
      <c r="R51" s="44">
        <f t="shared" si="38"/>
        <v>17</v>
      </c>
      <c r="S51" s="44">
        <f t="shared" si="38"/>
        <v>19</v>
      </c>
      <c r="T51" s="44">
        <f t="shared" si="38"/>
        <v>18</v>
      </c>
      <c r="U51" s="44">
        <f t="shared" si="38"/>
        <v>22</v>
      </c>
      <c r="V51" s="44">
        <f t="shared" si="38"/>
        <v>21</v>
      </c>
      <c r="W51" s="44">
        <f t="shared" si="38"/>
        <v>0</v>
      </c>
      <c r="X51" s="44">
        <f t="shared" si="38"/>
        <v>4</v>
      </c>
      <c r="Y51" s="44">
        <f t="shared" si="38"/>
        <v>24</v>
      </c>
      <c r="Z51" s="44">
        <f t="shared" si="38"/>
        <v>24</v>
      </c>
      <c r="AA51" s="44">
        <f t="shared" si="38"/>
        <v>24</v>
      </c>
      <c r="AB51" s="44">
        <f t="shared" si="38"/>
        <v>4</v>
      </c>
      <c r="AC51" s="44">
        <f t="shared" si="38"/>
        <v>4</v>
      </c>
      <c r="AD51" s="44">
        <f t="shared" si="38"/>
        <v>4</v>
      </c>
      <c r="AT51" s="80">
        <f t="shared" si="13"/>
        <v>4.5</v>
      </c>
    </row>
    <row r="52" spans="3:95" ht="14.5" hidden="1" thickBot="1">
      <c r="C52" s="46" t="s">
        <v>100</v>
      </c>
      <c r="D52" s="47">
        <f t="shared" ref="D52:AD52" si="39">COUNTIF(D11:D43,$C$52)</f>
        <v>10</v>
      </c>
      <c r="E52" s="47">
        <f t="shared" si="39"/>
        <v>14</v>
      </c>
      <c r="F52" s="47">
        <f t="shared" si="39"/>
        <v>12</v>
      </c>
      <c r="G52" s="47">
        <f t="shared" si="39"/>
        <v>26</v>
      </c>
      <c r="H52" s="47"/>
      <c r="I52" s="47"/>
      <c r="J52" s="47"/>
      <c r="K52" s="47">
        <f t="shared" si="39"/>
        <v>21</v>
      </c>
      <c r="L52" s="47">
        <f t="shared" si="39"/>
        <v>0</v>
      </c>
      <c r="M52" s="47">
        <f t="shared" si="39"/>
        <v>25</v>
      </c>
      <c r="N52" s="47">
        <f t="shared" si="39"/>
        <v>27</v>
      </c>
      <c r="O52" s="47">
        <f t="shared" si="39"/>
        <v>27</v>
      </c>
      <c r="P52" s="47">
        <f t="shared" si="39"/>
        <v>13</v>
      </c>
      <c r="Q52" s="47">
        <f t="shared" si="39"/>
        <v>19</v>
      </c>
      <c r="R52" s="47">
        <f t="shared" si="39"/>
        <v>14</v>
      </c>
      <c r="S52" s="47">
        <f t="shared" si="39"/>
        <v>8</v>
      </c>
      <c r="T52" s="47">
        <f t="shared" si="39"/>
        <v>10</v>
      </c>
      <c r="U52" s="47">
        <f t="shared" si="39"/>
        <v>10</v>
      </c>
      <c r="V52" s="47">
        <f t="shared" si="39"/>
        <v>11</v>
      </c>
      <c r="W52" s="47">
        <f t="shared" si="39"/>
        <v>32</v>
      </c>
      <c r="X52" s="47">
        <f t="shared" si="39"/>
        <v>28</v>
      </c>
      <c r="Y52" s="47">
        <f t="shared" si="39"/>
        <v>8</v>
      </c>
      <c r="Z52" s="47">
        <f t="shared" si="39"/>
        <v>8</v>
      </c>
      <c r="AA52" s="47">
        <f t="shared" si="39"/>
        <v>8</v>
      </c>
      <c r="AB52" s="47">
        <f t="shared" si="39"/>
        <v>28</v>
      </c>
      <c r="AC52" s="47">
        <f t="shared" si="39"/>
        <v>28</v>
      </c>
      <c r="AD52" s="47">
        <f t="shared" si="39"/>
        <v>28</v>
      </c>
      <c r="AT52" s="80">
        <f t="shared" si="13"/>
        <v>26</v>
      </c>
    </row>
    <row r="53" spans="3:95" ht="14.5" hidden="1" thickBot="1">
      <c r="C53" s="48" t="s">
        <v>78</v>
      </c>
      <c r="D53" s="49">
        <f t="shared" ref="D53:AD53" si="40">SUM(D50:D52)</f>
        <v>33</v>
      </c>
      <c r="E53" s="49">
        <f t="shared" si="40"/>
        <v>33</v>
      </c>
      <c r="F53" s="49">
        <f t="shared" si="40"/>
        <v>33</v>
      </c>
      <c r="G53" s="49">
        <f t="shared" si="40"/>
        <v>33</v>
      </c>
      <c r="H53" s="49"/>
      <c r="I53" s="49"/>
      <c r="J53" s="49"/>
      <c r="K53" s="49">
        <f t="shared" si="40"/>
        <v>33</v>
      </c>
      <c r="L53" s="49">
        <f t="shared" si="40"/>
        <v>33</v>
      </c>
      <c r="M53" s="49">
        <f t="shared" si="40"/>
        <v>33</v>
      </c>
      <c r="N53" s="49">
        <f t="shared" si="40"/>
        <v>33</v>
      </c>
      <c r="O53" s="49">
        <f t="shared" si="40"/>
        <v>33</v>
      </c>
      <c r="P53" s="49">
        <f t="shared" si="40"/>
        <v>33</v>
      </c>
      <c r="Q53" s="49">
        <f t="shared" si="40"/>
        <v>33</v>
      </c>
      <c r="R53" s="49">
        <f t="shared" si="40"/>
        <v>33</v>
      </c>
      <c r="S53" s="49">
        <f t="shared" si="40"/>
        <v>33</v>
      </c>
      <c r="T53" s="49">
        <f t="shared" si="40"/>
        <v>33</v>
      </c>
      <c r="U53" s="49">
        <f t="shared" si="40"/>
        <v>33</v>
      </c>
      <c r="V53" s="49">
        <f t="shared" si="40"/>
        <v>33</v>
      </c>
      <c r="W53" s="49">
        <f t="shared" si="40"/>
        <v>33</v>
      </c>
      <c r="X53" s="49">
        <f t="shared" si="40"/>
        <v>33</v>
      </c>
      <c r="Y53" s="49">
        <f t="shared" si="40"/>
        <v>33</v>
      </c>
      <c r="Z53" s="49">
        <f t="shared" si="40"/>
        <v>33</v>
      </c>
      <c r="AA53" s="49">
        <f t="shared" si="40"/>
        <v>33</v>
      </c>
      <c r="AB53" s="49">
        <f t="shared" si="40"/>
        <v>33</v>
      </c>
      <c r="AC53" s="49">
        <f t="shared" si="40"/>
        <v>33</v>
      </c>
      <c r="AD53" s="49">
        <f t="shared" si="40"/>
        <v>33</v>
      </c>
      <c r="AT53" s="80">
        <f t="shared" si="13"/>
        <v>33</v>
      </c>
    </row>
    <row r="54" spans="3:95" ht="14.5" hidden="1" thickBot="1">
      <c r="C54" s="50"/>
      <c r="D54" s="50"/>
      <c r="E54" s="50"/>
      <c r="F54" s="50"/>
      <c r="AT54" s="80">
        <f t="shared" si="13"/>
        <v>0</v>
      </c>
    </row>
    <row r="55" spans="3:95" ht="14.5" hidden="1" thickBot="1">
      <c r="C55" s="51" t="s">
        <v>101</v>
      </c>
      <c r="D55" s="52">
        <f>(D51+D52)/D53</f>
        <v>1</v>
      </c>
      <c r="E55" s="52">
        <f t="shared" ref="E55:AD55" si="41">(E51+E52)/E53</f>
        <v>1</v>
      </c>
      <c r="F55" s="52">
        <f t="shared" si="41"/>
        <v>1</v>
      </c>
      <c r="G55" s="52">
        <f t="shared" si="41"/>
        <v>0.96969696969696972</v>
      </c>
      <c r="H55" s="52"/>
      <c r="I55" s="52"/>
      <c r="J55" s="52"/>
      <c r="K55" s="52">
        <f t="shared" si="41"/>
        <v>0.96969696969696972</v>
      </c>
      <c r="L55" s="52">
        <f t="shared" si="41"/>
        <v>0</v>
      </c>
      <c r="M55" s="52">
        <f t="shared" si="41"/>
        <v>0.93939393939393945</v>
      </c>
      <c r="N55" s="52">
        <f t="shared" si="41"/>
        <v>0.90909090909090906</v>
      </c>
      <c r="O55" s="52">
        <f t="shared" si="41"/>
        <v>0.90909090909090906</v>
      </c>
      <c r="P55" s="52">
        <f t="shared" si="41"/>
        <v>0.96969696969696972</v>
      </c>
      <c r="Q55" s="52">
        <f t="shared" si="41"/>
        <v>0.93939393939393945</v>
      </c>
      <c r="R55" s="52">
        <f t="shared" si="41"/>
        <v>0.93939393939393945</v>
      </c>
      <c r="S55" s="52">
        <f t="shared" si="41"/>
        <v>0.81818181818181823</v>
      </c>
      <c r="T55" s="52">
        <f t="shared" si="41"/>
        <v>0.84848484848484851</v>
      </c>
      <c r="U55" s="52">
        <f t="shared" si="41"/>
        <v>0.96969696969696972</v>
      </c>
      <c r="V55" s="52">
        <f t="shared" si="41"/>
        <v>0.96969696969696972</v>
      </c>
      <c r="W55" s="52">
        <f t="shared" si="41"/>
        <v>0.96969696969696972</v>
      </c>
      <c r="X55" s="52">
        <f t="shared" si="41"/>
        <v>0.96969696969696972</v>
      </c>
      <c r="Y55" s="52">
        <f t="shared" si="41"/>
        <v>0.96969696969696972</v>
      </c>
      <c r="Z55" s="52">
        <f t="shared" si="41"/>
        <v>0.96969696969696972</v>
      </c>
      <c r="AA55" s="52">
        <f t="shared" si="41"/>
        <v>0.96969696969696972</v>
      </c>
      <c r="AB55" s="52">
        <f t="shared" si="41"/>
        <v>0.96969696969696972</v>
      </c>
      <c r="AC55" s="52">
        <f t="shared" si="41"/>
        <v>0.96969696969696972</v>
      </c>
      <c r="AD55" s="52">
        <f t="shared" si="41"/>
        <v>0.96969696969696972</v>
      </c>
      <c r="AT55" s="80">
        <f t="shared" si="13"/>
        <v>0.92424242424242431</v>
      </c>
    </row>
    <row r="56" spans="3:95" ht="14.5" hidden="1" thickBot="1">
      <c r="C56" s="50"/>
      <c r="D56" s="50"/>
      <c r="E56" s="50"/>
      <c r="F56" s="50"/>
      <c r="AT56" s="80">
        <f t="shared" si="13"/>
        <v>0</v>
      </c>
    </row>
    <row r="57" spans="3:95" ht="14.5" hidden="1" thickBot="1">
      <c r="C57" s="51" t="s">
        <v>102</v>
      </c>
      <c r="D57" s="20">
        <f t="shared" ref="D57:AD57" si="42">MIN(D11:D43)</f>
        <v>72.099999999999994</v>
      </c>
      <c r="E57" s="20">
        <f t="shared" si="42"/>
        <v>76.099999999999994</v>
      </c>
      <c r="F57" s="20">
        <f t="shared" si="42"/>
        <v>74.099999999999994</v>
      </c>
      <c r="G57" s="20">
        <f t="shared" si="42"/>
        <v>35</v>
      </c>
      <c r="H57" s="20"/>
      <c r="I57" s="20"/>
      <c r="J57" s="20"/>
      <c r="K57" s="20">
        <f t="shared" si="42"/>
        <v>9.52</v>
      </c>
      <c r="L57" s="20">
        <f t="shared" si="42"/>
        <v>7.5992000000000006</v>
      </c>
      <c r="M57" s="20">
        <f t="shared" si="42"/>
        <v>0</v>
      </c>
      <c r="N57" s="20">
        <f t="shared" si="42"/>
        <v>0</v>
      </c>
      <c r="O57" s="20">
        <f t="shared" si="42"/>
        <v>0</v>
      </c>
      <c r="P57" s="20">
        <f t="shared" si="42"/>
        <v>46</v>
      </c>
      <c r="Q57" s="20">
        <f t="shared" si="42"/>
        <v>30</v>
      </c>
      <c r="R57" s="20">
        <f t="shared" si="42"/>
        <v>52.5</v>
      </c>
      <c r="S57" s="20">
        <f t="shared" si="42"/>
        <v>22.5</v>
      </c>
      <c r="T57" s="20">
        <f t="shared" si="42"/>
        <v>22.5</v>
      </c>
      <c r="U57" s="20">
        <f t="shared" si="42"/>
        <v>22.5</v>
      </c>
      <c r="V57" s="20">
        <f t="shared" si="42"/>
        <v>8.5</v>
      </c>
      <c r="W57" s="20">
        <f t="shared" si="42"/>
        <v>17</v>
      </c>
      <c r="X57" s="20">
        <f t="shared" si="42"/>
        <v>12.75</v>
      </c>
      <c r="Y57" s="20">
        <f t="shared" si="42"/>
        <v>0</v>
      </c>
      <c r="Z57" s="20">
        <f t="shared" si="42"/>
        <v>0</v>
      </c>
      <c r="AA57" s="20">
        <f t="shared" si="42"/>
        <v>0</v>
      </c>
      <c r="AB57" s="20">
        <f t="shared" si="42"/>
        <v>0</v>
      </c>
      <c r="AC57" s="20">
        <f t="shared" si="42"/>
        <v>0</v>
      </c>
      <c r="AD57" s="20">
        <f t="shared" si="42"/>
        <v>0</v>
      </c>
      <c r="AF57" s="83">
        <f t="shared" ref="AF57:AM57" si="43">MIN(AF11:AF43)</f>
        <v>12.75</v>
      </c>
      <c r="AG57" s="84">
        <f t="shared" si="43"/>
        <v>6.3750000000000001E-2</v>
      </c>
      <c r="AH57" s="83">
        <f t="shared" si="43"/>
        <v>74.099999999999994</v>
      </c>
      <c r="AI57" s="84">
        <f t="shared" si="43"/>
        <v>0.74099999999999999</v>
      </c>
      <c r="AJ57" s="83"/>
      <c r="AK57" s="84">
        <f t="shared" si="43"/>
        <v>0</v>
      </c>
      <c r="AL57" s="83"/>
      <c r="AM57" s="84">
        <f t="shared" si="43"/>
        <v>0</v>
      </c>
      <c r="AN57" s="84"/>
      <c r="AO57" s="84"/>
      <c r="AP57" s="84"/>
      <c r="AQ57" s="84"/>
      <c r="AR57" s="84"/>
      <c r="AS57" s="84"/>
      <c r="AT57" s="80">
        <f t="shared" si="13"/>
        <v>0</v>
      </c>
      <c r="AU57" s="84"/>
      <c r="AV57" s="83">
        <f>MIN(AV11:AV43)</f>
        <v>0</v>
      </c>
      <c r="AW57" s="84">
        <f>MIN(AW11:AW43)</f>
        <v>0</v>
      </c>
      <c r="AX57" s="83">
        <f>MIN(AX11:AX43)</f>
        <v>26.58</v>
      </c>
      <c r="AY57" s="84">
        <f>MIN(AY11:AY43)</f>
        <v>0.33645569620253163</v>
      </c>
      <c r="AZ57" s="84"/>
      <c r="BA57" s="84"/>
      <c r="BB57" s="83">
        <f t="shared" ref="BB57:BC57" si="44">MIN(BB11:BB43)</f>
        <v>0</v>
      </c>
      <c r="BC57" s="84">
        <f t="shared" si="44"/>
        <v>0</v>
      </c>
    </row>
    <row r="58" spans="3:95" ht="14.5" hidden="1" thickBot="1">
      <c r="C58" s="85" t="s">
        <v>103</v>
      </c>
      <c r="D58" s="86">
        <f t="shared" ref="D58:AD58" si="45">MAX(D11:D43)</f>
        <v>93.5</v>
      </c>
      <c r="E58" s="86">
        <f t="shared" si="45"/>
        <v>99.5</v>
      </c>
      <c r="F58" s="86">
        <f t="shared" si="45"/>
        <v>96.5</v>
      </c>
      <c r="G58" s="86">
        <f t="shared" si="45"/>
        <v>94.38</v>
      </c>
      <c r="H58" s="86"/>
      <c r="I58" s="86"/>
      <c r="J58" s="86"/>
      <c r="K58" s="86">
        <f t="shared" si="45"/>
        <v>90.95</v>
      </c>
      <c r="L58" s="86">
        <f t="shared" si="45"/>
        <v>34.200299999999999</v>
      </c>
      <c r="M58" s="86">
        <f t="shared" si="45"/>
        <v>88.3</v>
      </c>
      <c r="N58" s="86">
        <f t="shared" si="45"/>
        <v>98.1</v>
      </c>
      <c r="O58" s="86">
        <f t="shared" si="45"/>
        <v>91.1</v>
      </c>
      <c r="P58" s="86">
        <f t="shared" si="45"/>
        <v>89.5</v>
      </c>
      <c r="Q58" s="86">
        <f t="shared" si="45"/>
        <v>89.5</v>
      </c>
      <c r="R58" s="86">
        <f t="shared" si="45"/>
        <v>89.5</v>
      </c>
      <c r="S58" s="86">
        <f t="shared" si="45"/>
        <v>100</v>
      </c>
      <c r="T58" s="86">
        <f t="shared" si="45"/>
        <v>100</v>
      </c>
      <c r="U58" s="86">
        <f t="shared" si="45"/>
        <v>97.65</v>
      </c>
      <c r="V58" s="86">
        <f t="shared" si="45"/>
        <v>94</v>
      </c>
      <c r="W58" s="86">
        <f t="shared" si="45"/>
        <v>97</v>
      </c>
      <c r="X58" s="86">
        <f t="shared" si="45"/>
        <v>95.35</v>
      </c>
      <c r="Y58" s="86">
        <f t="shared" si="45"/>
        <v>99.4</v>
      </c>
      <c r="Z58" s="86">
        <f t="shared" si="45"/>
        <v>99.4</v>
      </c>
      <c r="AA58" s="86">
        <f t="shared" si="45"/>
        <v>99.4</v>
      </c>
      <c r="AB58" s="86">
        <f t="shared" si="45"/>
        <v>93.8</v>
      </c>
      <c r="AC58" s="86">
        <f t="shared" si="45"/>
        <v>93.8</v>
      </c>
      <c r="AD58" s="86">
        <f t="shared" si="45"/>
        <v>93.8</v>
      </c>
      <c r="AF58" s="83">
        <f t="shared" ref="AF58:AM58" si="46">MAX(AF11:AF43)</f>
        <v>184.9</v>
      </c>
      <c r="AG58" s="84">
        <f t="shared" si="46"/>
        <v>0.92449999999999999</v>
      </c>
      <c r="AH58" s="83">
        <f t="shared" si="46"/>
        <v>96.5</v>
      </c>
      <c r="AI58" s="84">
        <f t="shared" si="46"/>
        <v>0.96499999999999997</v>
      </c>
      <c r="AJ58" s="83"/>
      <c r="AK58" s="84">
        <f t="shared" si="46"/>
        <v>0</v>
      </c>
      <c r="AL58" s="83"/>
      <c r="AM58" s="84">
        <f t="shared" si="46"/>
        <v>0</v>
      </c>
      <c r="AN58" s="84"/>
      <c r="AO58" s="84"/>
      <c r="AP58" s="84"/>
      <c r="AQ58" s="84"/>
      <c r="AR58" s="84"/>
      <c r="AS58" s="84"/>
      <c r="AT58" s="80">
        <f t="shared" si="13"/>
        <v>93.199999999999989</v>
      </c>
      <c r="AU58" s="84"/>
      <c r="AV58" s="83">
        <f>MAX(AV11:AV43)</f>
        <v>49.05</v>
      </c>
      <c r="AW58" s="84">
        <f>MAX(AW11:AW43)</f>
        <v>0.98099999999999998</v>
      </c>
      <c r="AX58" s="83">
        <f>MAX(AX11:AX43)</f>
        <v>73.251000000000005</v>
      </c>
      <c r="AY58" s="84">
        <f>MAX(AY11:AY43)</f>
        <v>0.92722784810126591</v>
      </c>
      <c r="AZ58" s="84"/>
      <c r="BA58" s="84"/>
      <c r="BB58" s="83">
        <f t="shared" ref="BB58:BC58" si="47">MAX(BB11:BB43)</f>
        <v>93.8</v>
      </c>
      <c r="BC58" s="84">
        <f t="shared" si="47"/>
        <v>0.93799999999999994</v>
      </c>
    </row>
    <row r="59" spans="3:95" ht="14.5" thickBot="1">
      <c r="C59" s="55" t="s">
        <v>173</v>
      </c>
      <c r="D59" s="58">
        <f t="shared" ref="D59:AD59" si="48">AVERAGE(D11:D43)</f>
        <v>82.907575757575756</v>
      </c>
      <c r="E59" s="58">
        <f t="shared" si="48"/>
        <v>86.377272727272725</v>
      </c>
      <c r="F59" s="58">
        <f t="shared" si="48"/>
        <v>84.642424242424241</v>
      </c>
      <c r="G59" s="58">
        <f t="shared" si="48"/>
        <v>89.576060606060651</v>
      </c>
      <c r="H59" s="58">
        <f t="shared" si="48"/>
        <v>87.151818181818228</v>
      </c>
      <c r="I59" s="58">
        <f t="shared" si="48"/>
        <v>84.162727272727281</v>
      </c>
      <c r="J59" s="58">
        <f t="shared" si="48"/>
        <v>87.48484848484847</v>
      </c>
      <c r="K59" s="58">
        <f t="shared" si="48"/>
        <v>84.74484848484849</v>
      </c>
      <c r="L59" s="58">
        <f t="shared" si="48"/>
        <v>32.128587878787876</v>
      </c>
      <c r="M59" s="58">
        <f t="shared" si="48"/>
        <v>79.806060606060612</v>
      </c>
      <c r="N59" s="58">
        <f t="shared" si="48"/>
        <v>78.351515151515159</v>
      </c>
      <c r="O59" s="58">
        <f t="shared" si="48"/>
        <v>79.078787878787892</v>
      </c>
      <c r="P59" s="58">
        <f t="shared" si="48"/>
        <v>81.781818181818181</v>
      </c>
      <c r="Q59" s="58">
        <f t="shared" si="48"/>
        <v>82.600000000000009</v>
      </c>
      <c r="R59" s="58">
        <f t="shared" si="48"/>
        <v>82.190909090909102</v>
      </c>
      <c r="S59" s="58">
        <f t="shared" si="48"/>
        <v>74.854545454545473</v>
      </c>
      <c r="T59" s="58">
        <f t="shared" si="48"/>
        <v>75.478787878787898</v>
      </c>
      <c r="U59" s="58">
        <f t="shared" si="48"/>
        <v>75.166666666666686</v>
      </c>
      <c r="V59" s="58">
        <f t="shared" si="48"/>
        <v>82.359090909090895</v>
      </c>
      <c r="W59" s="58">
        <f t="shared" si="48"/>
        <v>88.596969696969694</v>
      </c>
      <c r="X59" s="58">
        <f t="shared" si="48"/>
        <v>85.478030303030295</v>
      </c>
      <c r="Y59" s="58">
        <f t="shared" si="48"/>
        <v>82.006060606060615</v>
      </c>
      <c r="Z59" s="58">
        <f t="shared" si="48"/>
        <v>82.006060606060615</v>
      </c>
      <c r="AA59" s="58">
        <f t="shared" si="48"/>
        <v>82.006060606060615</v>
      </c>
      <c r="AB59" s="58">
        <f t="shared" si="48"/>
        <v>86.307575757575762</v>
      </c>
      <c r="AC59" s="58">
        <f t="shared" si="48"/>
        <v>86.510606060606065</v>
      </c>
      <c r="AD59" s="58">
        <f t="shared" si="48"/>
        <v>86.409090909090921</v>
      </c>
      <c r="AF59" s="53">
        <f>IFERROR(AVERAGE(AF11:AF47),"")</f>
        <v>168.12229729729728</v>
      </c>
      <c r="AG59" s="97">
        <f>AVERAGE(AG11:AG47)</f>
        <v>0.84061148648648643</v>
      </c>
      <c r="AH59" s="53">
        <f t="shared" ref="AH59:BB59" si="49">IFERROR(AVERAGE(AH11:AH47),"")</f>
        <v>84.545945945945945</v>
      </c>
      <c r="AI59" s="97">
        <f>AVERAGE(AI11:AI47)</f>
        <v>0.84545945945945933</v>
      </c>
      <c r="AJ59" s="53"/>
      <c r="AK59" s="97" t="e">
        <f>AVERAGE(AK11:AK47)</f>
        <v>#DIV/0!</v>
      </c>
      <c r="AL59" s="53"/>
      <c r="AM59" s="97" t="e">
        <f>AVERAGE(AM11:AM47)</f>
        <v>#DIV/0!</v>
      </c>
      <c r="AN59" s="53" t="str">
        <f t="shared" ref="AN59" si="50">IFERROR(AVERAGE(AN11:AN47),"")</f>
        <v/>
      </c>
      <c r="AO59" s="97" t="e">
        <f>AVERAGE(AO11:AO47)</f>
        <v>#DIV/0!</v>
      </c>
      <c r="AP59" s="53" t="str">
        <f t="shared" si="49"/>
        <v/>
      </c>
      <c r="AQ59" s="53" t="str">
        <f t="shared" si="49"/>
        <v/>
      </c>
      <c r="AR59" s="53" t="str">
        <f t="shared" si="49"/>
        <v/>
      </c>
      <c r="AS59" s="53" t="str">
        <f t="shared" si="49"/>
        <v/>
      </c>
      <c r="AT59" s="80">
        <f t="shared" si="13"/>
        <v>79.078787878787892</v>
      </c>
      <c r="AU59" s="97">
        <f>AVERAGE(AU11:AU47)</f>
        <v>0.78754054054054068</v>
      </c>
      <c r="AV59" s="53">
        <f t="shared" si="49"/>
        <v>38.924324324324331</v>
      </c>
      <c r="AW59" s="97">
        <f>AVERAGE(AW11:AW47)</f>
        <v>0.77848648648648644</v>
      </c>
      <c r="AX59" s="53">
        <f t="shared" si="49"/>
        <v>68.268410810810821</v>
      </c>
      <c r="AY59" s="97">
        <f>AVERAGE(AY11:AY47)</f>
        <v>0.86415709887102277</v>
      </c>
      <c r="AZ59" s="53">
        <f t="shared" ref="AZ59" si="51">IFERROR(AVERAGE(AZ11:AZ47),"")</f>
        <v>94.613859459459462</v>
      </c>
      <c r="BA59" s="97">
        <f>AVERAGE(BA11:BA47)</f>
        <v>0.78193272280545012</v>
      </c>
      <c r="BB59" s="53">
        <f t="shared" si="49"/>
        <v>87.075675675675697</v>
      </c>
      <c r="BC59" s="97">
        <f>AVERAGE(BC11:BC47)</f>
        <v>0.87075675675675701</v>
      </c>
      <c r="BF59" s="81">
        <f>AVERAGE(BF11:BF47)</f>
        <v>38.09210526315789</v>
      </c>
      <c r="BG59" s="81">
        <f>AVERAGE(BG11:BG47)</f>
        <v>13.703663157894733</v>
      </c>
      <c r="BH59" s="81">
        <f t="shared" ref="BH59:BJ59" si="52">AVERAGE(BH11:BH47)</f>
        <v>41.282894736842103</v>
      </c>
      <c r="BI59" s="81">
        <f t="shared" si="52"/>
        <v>41.346052631578949</v>
      </c>
      <c r="BJ59" s="81">
        <f t="shared" si="52"/>
        <v>43.175000000000004</v>
      </c>
      <c r="BK59" s="81"/>
      <c r="BL59" s="81"/>
      <c r="BM59" s="81"/>
      <c r="BN59" s="81"/>
      <c r="BO59" s="81">
        <f t="shared" ref="BO59:BQ59" si="53">AVERAGE(BO11:BO47)</f>
        <v>39.963157894736852</v>
      </c>
      <c r="BP59" s="81">
        <f t="shared" si="53"/>
        <v>39.244736842105262</v>
      </c>
      <c r="BQ59" s="81">
        <f t="shared" si="53"/>
        <v>38.419444444444437</v>
      </c>
      <c r="BR59" s="81"/>
      <c r="BS59" s="81"/>
      <c r="BT59" s="81"/>
      <c r="BU59" s="81"/>
      <c r="BV59" s="81"/>
      <c r="BW59" s="81"/>
      <c r="BX59" s="81"/>
      <c r="BY59" s="81"/>
      <c r="BZ59" s="81"/>
      <c r="CA59" s="81"/>
      <c r="CB59" s="81"/>
      <c r="CC59" s="81"/>
      <c r="CD59" s="81">
        <f t="shared" ref="CD59:CF59" si="54">AVERAGE(CD11:CD47)</f>
        <v>39.93888888888889</v>
      </c>
      <c r="CE59" s="81">
        <f t="shared" si="54"/>
        <v>38.677777777777784</v>
      </c>
      <c r="CF59" s="81" t="e">
        <f t="shared" si="54"/>
        <v>#DIV/0!</v>
      </c>
      <c r="CG59" s="81"/>
      <c r="CH59" s="81"/>
      <c r="CI59" s="81"/>
      <c r="CJ59" s="81" t="e">
        <f t="shared" ref="CJ59:CL59" si="55">AVERAGE(CJ11:CJ47)</f>
        <v>#DIV/0!</v>
      </c>
      <c r="CK59" s="81" t="e">
        <f t="shared" si="55"/>
        <v>#DIV/0!</v>
      </c>
      <c r="CL59" s="81" t="e">
        <f t="shared" si="55"/>
        <v>#DIV/0!</v>
      </c>
      <c r="CM59" s="81"/>
      <c r="CN59" s="81" t="e">
        <f t="shared" ref="CN59:CP59" si="56">AVERAGE(CN11:CN47)</f>
        <v>#DIV/0!</v>
      </c>
      <c r="CO59" s="81">
        <f t="shared" si="56"/>
        <v>39.509722222222223</v>
      </c>
      <c r="CP59" s="82">
        <f t="shared" si="56"/>
        <v>412.03048888888884</v>
      </c>
      <c r="CQ59" s="82"/>
    </row>
    <row r="60" spans="3:95">
      <c r="AG60" s="58">
        <f>COUNTIF($AG$11:$AG$47,"&gt;=70%")</f>
        <v>36</v>
      </c>
      <c r="AI60" s="58">
        <f>COUNTIF($AI$11:$AI$47,"&gt;=70%")</f>
        <v>37</v>
      </c>
      <c r="AK60" s="58">
        <f>COUNTIF($AK$11:$AK$47,"&gt;=70%")</f>
        <v>0</v>
      </c>
      <c r="AM60" s="58">
        <f>COUNTIF($AM$11:$AM$47,"&gt;=70%")</f>
        <v>0</v>
      </c>
      <c r="AN60" s="36"/>
      <c r="AO60" s="58">
        <f>COUNTIF($AI$11:$AI$47,"&gt;=70%")</f>
        <v>37</v>
      </c>
      <c r="AT60" s="36"/>
      <c r="AU60" s="58">
        <f>COUNTIF($AI$11:$AI$47,"&gt;=70%")</f>
        <v>37</v>
      </c>
      <c r="AW60" s="58">
        <f>COUNTIF($AW$11:$AW$47,"&gt;=70%")</f>
        <v>32</v>
      </c>
      <c r="AY60" s="58">
        <f>COUNTIF($AY$11:$AY$47,"&gt;=70%")</f>
        <v>36</v>
      </c>
      <c r="AZ60" s="36"/>
      <c r="BA60" s="58">
        <f>COUNTIF($AI$11:$AI$47,"&gt;=70%")</f>
        <v>37</v>
      </c>
      <c r="BC60" s="58">
        <f>COUNTIF($BC$11:$BC$47,"&gt;=70%")</f>
        <v>36</v>
      </c>
      <c r="BF60" s="87">
        <f>BF59/BF9</f>
        <v>0.76184210526315777</v>
      </c>
      <c r="BG60" s="87">
        <f>BG59/BG9</f>
        <v>0.85647894736842078</v>
      </c>
      <c r="BH60" s="87">
        <f t="shared" ref="BH60:BJ60" si="57">BH59/BH9</f>
        <v>0.82565789473684204</v>
      </c>
      <c r="BI60" s="87">
        <f t="shared" si="57"/>
        <v>0.826921052631579</v>
      </c>
      <c r="BJ60" s="87">
        <f t="shared" si="57"/>
        <v>0.86350000000000005</v>
      </c>
      <c r="BK60" s="87"/>
      <c r="BL60" s="87"/>
      <c r="BM60" s="87"/>
      <c r="BN60" s="87"/>
      <c r="BO60" s="87">
        <f t="shared" ref="BO60:BQ60" si="58">BO59/BO9</f>
        <v>0.79926315789473701</v>
      </c>
      <c r="BP60" s="87">
        <f t="shared" si="58"/>
        <v>0.7848947368421052</v>
      </c>
      <c r="BQ60" s="87">
        <f t="shared" si="58"/>
        <v>0.76838888888888879</v>
      </c>
      <c r="BR60" s="87"/>
      <c r="BS60" s="87"/>
      <c r="BT60" s="87"/>
      <c r="BU60" s="87"/>
      <c r="BV60" s="87"/>
      <c r="BW60" s="87"/>
      <c r="BX60" s="87"/>
      <c r="BY60" s="87"/>
      <c r="BZ60" s="87"/>
      <c r="CA60" s="87"/>
      <c r="CB60" s="87"/>
      <c r="CC60" s="87"/>
      <c r="CD60" s="87">
        <f t="shared" ref="CD60:CF60" si="59">CD59/CD9</f>
        <v>0.79877777777777781</v>
      </c>
      <c r="CE60" s="87">
        <f t="shared" si="59"/>
        <v>0.77355555555555566</v>
      </c>
      <c r="CF60" s="87" t="e">
        <f t="shared" si="59"/>
        <v>#DIV/0!</v>
      </c>
      <c r="CG60" s="87"/>
      <c r="CH60" s="87"/>
      <c r="CI60" s="87"/>
      <c r="CJ60" s="87" t="e">
        <f t="shared" ref="CJ60:CL60" si="60">CJ59/CJ9</f>
        <v>#DIV/0!</v>
      </c>
      <c r="CK60" s="87" t="e">
        <f t="shared" si="60"/>
        <v>#DIV/0!</v>
      </c>
      <c r="CL60" s="87" t="e">
        <f t="shared" si="60"/>
        <v>#DIV/0!</v>
      </c>
      <c r="CM60" s="87"/>
      <c r="CN60" s="87" t="e">
        <f t="shared" ref="CN60:CP60" si="61">CN59/CN9</f>
        <v>#DIV/0!</v>
      </c>
      <c r="CO60" s="87">
        <f t="shared" si="61"/>
        <v>0.79019444444444442</v>
      </c>
      <c r="CP60" s="82" t="e">
        <f t="shared" si="61"/>
        <v>#REF!</v>
      </c>
      <c r="CQ60" s="82"/>
    </row>
    <row r="61" spans="3:95">
      <c r="AG61" s="90">
        <f>AG60/AG62</f>
        <v>0.97297297297297303</v>
      </c>
      <c r="AI61" s="90">
        <f>AI60/AI62</f>
        <v>1</v>
      </c>
      <c r="AK61" s="90" t="e">
        <f>AK60/AK62</f>
        <v>#DIV/0!</v>
      </c>
      <c r="AM61" s="90" t="e">
        <f>AM60/AM62</f>
        <v>#DIV/0!</v>
      </c>
      <c r="AN61" s="36"/>
      <c r="AO61" s="90" t="e">
        <f>AO60/AO62</f>
        <v>#DIV/0!</v>
      </c>
      <c r="AT61" s="36"/>
      <c r="AU61" s="90">
        <f>AU60/AU62</f>
        <v>1</v>
      </c>
      <c r="AW61" s="90">
        <f>AW60/AW62</f>
        <v>0.86486486486486491</v>
      </c>
      <c r="AY61" s="90">
        <f>AY60/AY62</f>
        <v>0.97297297297297303</v>
      </c>
      <c r="AZ61" s="36"/>
      <c r="BA61" s="90">
        <f>BA60/BA62</f>
        <v>1</v>
      </c>
      <c r="BC61" s="90">
        <f>BC60/BC62</f>
        <v>0.97297297297297303</v>
      </c>
    </row>
    <row r="62" spans="3:95">
      <c r="AG62" s="69">
        <f>COUNT(AG10:AG47)</f>
        <v>37</v>
      </c>
      <c r="AI62" s="69">
        <f>COUNT(AI11:AI47)</f>
        <v>37</v>
      </c>
      <c r="AK62" s="69">
        <f>COUNT(AK11:AK47)</f>
        <v>0</v>
      </c>
      <c r="AM62" s="69">
        <f>COUNT(AM10:AM46)</f>
        <v>0</v>
      </c>
      <c r="AN62" s="36"/>
      <c r="AO62" s="69">
        <f>COUNT(AO11:AO47)</f>
        <v>0</v>
      </c>
      <c r="AT62" s="36"/>
      <c r="AU62" s="69">
        <f>COUNT(AU11:AU47)</f>
        <v>37</v>
      </c>
      <c r="AW62" s="69">
        <f>COUNT(AW11:AW47)</f>
        <v>37</v>
      </c>
      <c r="AY62" s="69">
        <f>COUNT(AY10:AY47)</f>
        <v>37</v>
      </c>
      <c r="AZ62" s="36"/>
      <c r="BA62" s="69">
        <f>COUNT(BA11:BA47)</f>
        <v>37</v>
      </c>
      <c r="BC62" s="69">
        <f>COUNT(BC11:BC47)</f>
        <v>37</v>
      </c>
    </row>
    <row r="63" spans="3:95">
      <c r="C63" s="35" t="s">
        <v>187</v>
      </c>
      <c r="AJ63" s="36"/>
      <c r="AK63" s="36"/>
      <c r="AL63" s="36"/>
      <c r="AM63" s="36"/>
    </row>
    <row r="64" spans="3:95">
      <c r="C64" s="88" t="s">
        <v>174</v>
      </c>
      <c r="D64" s="1" t="s">
        <v>175</v>
      </c>
      <c r="E64" s="1" t="s">
        <v>176</v>
      </c>
      <c r="F64" s="1" t="s">
        <v>177</v>
      </c>
      <c r="G64" s="1" t="s">
        <v>178</v>
      </c>
      <c r="H64" s="1" t="s">
        <v>184</v>
      </c>
      <c r="I64" s="1" t="s">
        <v>185</v>
      </c>
      <c r="J64" s="1" t="s">
        <v>177</v>
      </c>
      <c r="K64" s="1" t="s">
        <v>178</v>
      </c>
      <c r="AJ64" s="36"/>
      <c r="AK64" s="36"/>
      <c r="AL64" s="36"/>
      <c r="AM64" s="36"/>
    </row>
    <row r="65" spans="3:39">
      <c r="C65" s="69" t="s">
        <v>94</v>
      </c>
      <c r="D65" s="2">
        <f>IF(AF8="","",AF8)</f>
        <v>200</v>
      </c>
      <c r="E65" s="79">
        <f>IF(AF59="","",AF59)</f>
        <v>168.12229729729728</v>
      </c>
      <c r="F65" s="89">
        <f>IF(E65="","",(IFERROR(E65/D65,0)))</f>
        <v>0.84061148648648643</v>
      </c>
      <c r="G65" s="89" t="str">
        <f>IF(F65="","",IF(F65&gt;70%,"Tercapai","Belum Tercapai"))</f>
        <v>Tercapai</v>
      </c>
      <c r="H65" s="98">
        <f>IF(AG62="","",AG62)</f>
        <v>37</v>
      </c>
      <c r="I65" s="98">
        <f>IF(AG60="","",AG60)</f>
        <v>36</v>
      </c>
      <c r="J65" s="89">
        <f>IFERROR(I65/H65,"")</f>
        <v>0.97297297297297303</v>
      </c>
      <c r="K65" s="2" t="str">
        <f>IF(J65="","",(IF(J65&gt;=70%,"Tercapai","Belum Tercapai")))</f>
        <v>Tercapai</v>
      </c>
      <c r="AJ65" s="36"/>
      <c r="AK65" s="36"/>
      <c r="AL65" s="36"/>
      <c r="AM65" s="36"/>
    </row>
    <row r="66" spans="3:39">
      <c r="C66" s="69" t="s">
        <v>118</v>
      </c>
      <c r="D66" s="2">
        <f>IF(AH8="","",AH8)</f>
        <v>100</v>
      </c>
      <c r="E66" s="79">
        <f>IF(AH59="","",AH59)</f>
        <v>84.545945945945945</v>
      </c>
      <c r="F66" s="103">
        <f t="shared" ref="F66:F76" si="62">IF(E66="","",(IFERROR(E66/D66,0)))</f>
        <v>0.84545945945945944</v>
      </c>
      <c r="G66" s="103" t="str">
        <f>IF(F66="","",IF(F66&gt;70%,"Tercapai","Belum Tercapai"))</f>
        <v>Tercapai</v>
      </c>
      <c r="H66" s="104">
        <f>IF(AI62="","",AI62)</f>
        <v>37</v>
      </c>
      <c r="I66" s="104">
        <f>IF(AI60="","",AI60)</f>
        <v>37</v>
      </c>
      <c r="J66" s="103">
        <f>IFERROR(I66/H66,"")</f>
        <v>1</v>
      </c>
      <c r="K66" s="2" t="str">
        <f t="shared" ref="K66:K78" si="63">IF(J66="","",(IF(J66&gt;=70%,"Tercapai","Belum Tercapai")))</f>
        <v>Tercapai</v>
      </c>
      <c r="AJ66" s="36"/>
      <c r="AK66" s="36"/>
      <c r="AL66" s="36"/>
      <c r="AM66" s="36"/>
    </row>
    <row r="67" spans="3:39">
      <c r="C67" s="69" t="s">
        <v>108</v>
      </c>
      <c r="D67" s="2" t="str">
        <f>IF(AJ8="","",AJ8)</f>
        <v/>
      </c>
      <c r="E67" s="79" t="str">
        <f>IF(AJ59="","",AJ59)</f>
        <v/>
      </c>
      <c r="F67" s="89" t="str">
        <f t="shared" si="62"/>
        <v/>
      </c>
      <c r="G67" s="89" t="str">
        <f t="shared" ref="G67:G76" si="64">IF(F67="","",IF(F67&gt;70%,"Tercapai","Belum Tercapai"))</f>
        <v/>
      </c>
      <c r="H67" s="98"/>
      <c r="I67" s="98"/>
      <c r="J67" s="89" t="str">
        <f t="shared" ref="J67:J76" si="65">IFERROR(I67/H67,"")</f>
        <v/>
      </c>
      <c r="K67" s="2" t="str">
        <f t="shared" si="63"/>
        <v/>
      </c>
      <c r="AJ67" s="36"/>
      <c r="AK67" s="36"/>
      <c r="AL67" s="36"/>
      <c r="AM67" s="36"/>
    </row>
    <row r="68" spans="3:39">
      <c r="C68" s="69" t="s">
        <v>107</v>
      </c>
      <c r="D68" s="2" t="str">
        <f>IF(AL8="","",AL8)</f>
        <v/>
      </c>
      <c r="E68" s="79" t="str">
        <f>IF(AL59="","",AL59)</f>
        <v/>
      </c>
      <c r="F68" s="89" t="str">
        <f t="shared" si="62"/>
        <v/>
      </c>
      <c r="G68" s="89" t="str">
        <f t="shared" si="64"/>
        <v/>
      </c>
      <c r="H68" s="98"/>
      <c r="I68" s="98"/>
      <c r="J68" s="89" t="str">
        <f t="shared" si="65"/>
        <v/>
      </c>
      <c r="K68" s="2" t="str">
        <f t="shared" si="63"/>
        <v/>
      </c>
      <c r="AJ68" s="36"/>
      <c r="AK68" s="36"/>
      <c r="AL68" s="36"/>
      <c r="AM68" s="36"/>
    </row>
    <row r="69" spans="3:39">
      <c r="C69" s="69" t="s">
        <v>145</v>
      </c>
      <c r="D69" s="2"/>
      <c r="E69" s="2"/>
      <c r="F69" s="89"/>
      <c r="G69" s="89"/>
      <c r="H69" s="98"/>
      <c r="I69" s="98"/>
      <c r="J69" s="89" t="str">
        <f t="shared" si="65"/>
        <v/>
      </c>
      <c r="K69" s="2" t="str">
        <f t="shared" si="63"/>
        <v/>
      </c>
      <c r="AJ69" s="36"/>
      <c r="AK69" s="36"/>
      <c r="AL69" s="36"/>
      <c r="AM69" s="36"/>
    </row>
    <row r="70" spans="3:39">
      <c r="C70" s="69" t="s">
        <v>146</v>
      </c>
      <c r="D70" s="2" t="str">
        <f>IF(AP8="","",AP8)</f>
        <v/>
      </c>
      <c r="E70" s="2" t="str">
        <f>IF(AP59="","",AP59)</f>
        <v/>
      </c>
      <c r="F70" s="89" t="str">
        <f t="shared" si="62"/>
        <v/>
      </c>
      <c r="G70" s="89" t="str">
        <f t="shared" si="64"/>
        <v/>
      </c>
      <c r="H70" s="98" t="str">
        <f>IF(AQ62="","",AQ62)</f>
        <v/>
      </c>
      <c r="I70" s="98" t="str">
        <f>IF(AQ60="","",AQ60)</f>
        <v/>
      </c>
      <c r="J70" s="89" t="str">
        <f t="shared" si="65"/>
        <v/>
      </c>
      <c r="K70" s="2" t="str">
        <f t="shared" si="63"/>
        <v/>
      </c>
      <c r="AJ70" s="36"/>
      <c r="AK70" s="36"/>
      <c r="AL70" s="36"/>
      <c r="AM70" s="36"/>
    </row>
    <row r="71" spans="3:39">
      <c r="C71" s="69" t="s">
        <v>147</v>
      </c>
      <c r="D71" s="2" t="str">
        <f>IF(AR8="","",AR8)</f>
        <v/>
      </c>
      <c r="E71" s="2" t="str">
        <f>IF(AR59="","",AR59)</f>
        <v/>
      </c>
      <c r="F71" s="89" t="str">
        <f t="shared" si="62"/>
        <v/>
      </c>
      <c r="G71" s="89" t="str">
        <f t="shared" si="64"/>
        <v/>
      </c>
      <c r="H71" s="98" t="str">
        <f>IF(AS62="","",AS62)</f>
        <v/>
      </c>
      <c r="I71" s="98" t="str">
        <f>IF(AS60="","",AS60)</f>
        <v/>
      </c>
      <c r="J71" s="89" t="str">
        <f t="shared" si="65"/>
        <v/>
      </c>
      <c r="K71" s="2" t="str">
        <f t="shared" si="63"/>
        <v/>
      </c>
      <c r="AJ71" s="36"/>
      <c r="AK71" s="36"/>
      <c r="AL71" s="36"/>
      <c r="AM71" s="36"/>
    </row>
    <row r="72" spans="3:39">
      <c r="C72" s="69" t="s">
        <v>148</v>
      </c>
      <c r="D72" s="2">
        <f>IF(AT8="","",AT8)</f>
        <v>100</v>
      </c>
      <c r="E72" s="79">
        <f>IF(AT59="","",AT59)</f>
        <v>79.078787878787892</v>
      </c>
      <c r="F72" s="89">
        <f t="shared" si="62"/>
        <v>0.79078787878787893</v>
      </c>
      <c r="G72" s="89" t="str">
        <f t="shared" si="64"/>
        <v>Tercapai</v>
      </c>
      <c r="H72" s="98">
        <f>IF(AU62="","",AU62)</f>
        <v>37</v>
      </c>
      <c r="I72" s="98">
        <f>IF(AU60="","",AU60)</f>
        <v>37</v>
      </c>
      <c r="J72" s="89">
        <f t="shared" si="65"/>
        <v>1</v>
      </c>
      <c r="K72" s="2" t="str">
        <f t="shared" si="63"/>
        <v>Tercapai</v>
      </c>
      <c r="AJ72" s="36"/>
      <c r="AK72" s="36"/>
      <c r="AL72" s="36"/>
      <c r="AM72" s="36"/>
    </row>
    <row r="73" spans="3:39">
      <c r="C73" s="69" t="s">
        <v>114</v>
      </c>
      <c r="D73" s="2">
        <f>IF(AV8="","",AV8)</f>
        <v>50</v>
      </c>
      <c r="E73" s="79">
        <f>IF(AV59="","",AV59)</f>
        <v>38.924324324324331</v>
      </c>
      <c r="F73" s="89">
        <f>IF(E73="","",(IFERROR(E73/D73,0)))</f>
        <v>0.77848648648648666</v>
      </c>
      <c r="G73" s="89" t="str">
        <f t="shared" si="64"/>
        <v>Tercapai</v>
      </c>
      <c r="H73" s="98">
        <f>IF(AW62="","",AW62)</f>
        <v>37</v>
      </c>
      <c r="I73" s="98">
        <f>IF(AW60="","",AW60)</f>
        <v>32</v>
      </c>
      <c r="J73" s="89">
        <f t="shared" si="65"/>
        <v>0.86486486486486491</v>
      </c>
      <c r="K73" s="2" t="str">
        <f t="shared" si="63"/>
        <v>Tercapai</v>
      </c>
      <c r="AJ73" s="36"/>
      <c r="AK73" s="36"/>
      <c r="AL73" s="36"/>
      <c r="AM73" s="36"/>
    </row>
    <row r="74" spans="3:39">
      <c r="C74" s="69" t="s">
        <v>121</v>
      </c>
      <c r="D74" s="2">
        <f>IF(AX8="","",AX8)</f>
        <v>79</v>
      </c>
      <c r="E74" s="79">
        <f>IF(AX59="","",AX59)</f>
        <v>68.268410810810821</v>
      </c>
      <c r="F74" s="89">
        <f t="shared" si="62"/>
        <v>0.8641570988710231</v>
      </c>
      <c r="G74" s="89" t="str">
        <f t="shared" si="64"/>
        <v>Tercapai</v>
      </c>
      <c r="H74" s="98">
        <f>IF(AY62="","",AY62)</f>
        <v>37</v>
      </c>
      <c r="I74" s="98">
        <f>IF(AY60="","",AY60)</f>
        <v>36</v>
      </c>
      <c r="J74" s="89">
        <f t="shared" si="65"/>
        <v>0.97297297297297303</v>
      </c>
      <c r="K74" s="2" t="str">
        <f t="shared" si="63"/>
        <v>Tercapai</v>
      </c>
      <c r="AJ74" s="36"/>
      <c r="AK74" s="36"/>
      <c r="AL74" s="36"/>
      <c r="AM74" s="36"/>
    </row>
    <row r="75" spans="3:39">
      <c r="C75" s="69" t="s">
        <v>149</v>
      </c>
      <c r="D75" s="2">
        <f>IF(AZ8="","",AZ8)</f>
        <v>121</v>
      </c>
      <c r="E75" s="79">
        <f>IF(AZ59="","",AZ59)</f>
        <v>94.613859459459462</v>
      </c>
      <c r="F75" s="89">
        <f t="shared" si="62"/>
        <v>0.78193272280545012</v>
      </c>
      <c r="G75" s="89" t="str">
        <f t="shared" si="64"/>
        <v>Tercapai</v>
      </c>
      <c r="H75" s="98">
        <f>IF(BA62="","",BA62)</f>
        <v>37</v>
      </c>
      <c r="I75" s="98">
        <f>IF(BA60="","",BA60)</f>
        <v>37</v>
      </c>
      <c r="J75" s="89">
        <f t="shared" si="65"/>
        <v>1</v>
      </c>
      <c r="K75" s="2" t="str">
        <f t="shared" si="63"/>
        <v>Tercapai</v>
      </c>
      <c r="AJ75" s="36"/>
      <c r="AK75" s="36"/>
      <c r="AL75" s="36"/>
      <c r="AM75" s="36"/>
    </row>
    <row r="76" spans="3:39">
      <c r="C76" s="69" t="s">
        <v>122</v>
      </c>
      <c r="D76" s="2">
        <f>IF(BB8="","",BB8)</f>
        <v>100</v>
      </c>
      <c r="E76" s="79">
        <f>IF(BB59="","",BB59)</f>
        <v>87.075675675675697</v>
      </c>
      <c r="F76" s="103">
        <f t="shared" si="62"/>
        <v>0.87075675675675701</v>
      </c>
      <c r="G76" s="103" t="str">
        <f t="shared" si="64"/>
        <v>Tercapai</v>
      </c>
      <c r="H76" s="104">
        <f>IF(BC62="","",BC62)</f>
        <v>37</v>
      </c>
      <c r="I76" s="104">
        <f>IF(BC60="","",BC60)</f>
        <v>36</v>
      </c>
      <c r="J76" s="103">
        <f t="shared" si="65"/>
        <v>0.97297297297297303</v>
      </c>
      <c r="K76" s="2" t="str">
        <f t="shared" si="63"/>
        <v>Tercapai</v>
      </c>
      <c r="AJ76" s="36"/>
      <c r="AK76" s="36"/>
      <c r="AL76" s="36"/>
      <c r="AM76" s="36"/>
    </row>
    <row r="77" spans="3:39">
      <c r="C77" s="3"/>
      <c r="D77" s="2"/>
      <c r="E77" s="2"/>
      <c r="F77" s="2"/>
      <c r="H77" s="2"/>
      <c r="I77" s="2"/>
      <c r="J77" s="2"/>
      <c r="K77" s="2" t="str">
        <f t="shared" si="63"/>
        <v/>
      </c>
    </row>
    <row r="78" spans="3:39">
      <c r="C78" s="3"/>
      <c r="D78" s="2">
        <v>900</v>
      </c>
      <c r="E78" s="79">
        <f>SUM(E65:E76)</f>
        <v>620.6293013923015</v>
      </c>
      <c r="F78" s="89">
        <f>AVERAGE(F65:F76)</f>
        <v>0.82459884137907746</v>
      </c>
      <c r="G78" s="89"/>
      <c r="H78" s="89"/>
      <c r="I78" s="89"/>
      <c r="J78" s="89">
        <f>AVERAGE(J65:J76)</f>
        <v>0.96911196911196906</v>
      </c>
      <c r="K78" s="2" t="str">
        <f t="shared" si="63"/>
        <v>Tercapai</v>
      </c>
    </row>
    <row r="80" spans="3:39">
      <c r="C80" s="35" t="s">
        <v>179</v>
      </c>
    </row>
    <row r="81" spans="3:36">
      <c r="C81" s="35" t="s">
        <v>189</v>
      </c>
    </row>
    <row r="96" spans="3:36">
      <c r="AJ96" s="36"/>
    </row>
    <row r="97" spans="36:36">
      <c r="AJ97" s="36"/>
    </row>
  </sheetData>
  <mergeCells count="84">
    <mergeCell ref="P6:Q6"/>
    <mergeCell ref="S6:T6"/>
    <mergeCell ref="V6:W6"/>
    <mergeCell ref="D4:E4"/>
    <mergeCell ref="F4:F9"/>
    <mergeCell ref="G4:K4"/>
    <mergeCell ref="L4:L9"/>
    <mergeCell ref="M4:N4"/>
    <mergeCell ref="O4:O9"/>
    <mergeCell ref="D6:E6"/>
    <mergeCell ref="G6:K6"/>
    <mergeCell ref="M6:N6"/>
    <mergeCell ref="P4:Q4"/>
    <mergeCell ref="R4:R9"/>
    <mergeCell ref="S4:T4"/>
    <mergeCell ref="U4:U9"/>
    <mergeCell ref="V4:W4"/>
    <mergeCell ref="Y6:Z6"/>
    <mergeCell ref="AB6:AC6"/>
    <mergeCell ref="Y4:Z4"/>
    <mergeCell ref="AA4:AA9"/>
    <mergeCell ref="AB4:AC4"/>
    <mergeCell ref="V5:W5"/>
    <mergeCell ref="Y5:Z5"/>
    <mergeCell ref="AB5:AC5"/>
    <mergeCell ref="AR4:AS5"/>
    <mergeCell ref="AV4:AW5"/>
    <mergeCell ref="AX4:AY5"/>
    <mergeCell ref="AZ4:BA5"/>
    <mergeCell ref="BF6:BI6"/>
    <mergeCell ref="BB4:BC5"/>
    <mergeCell ref="AG7:AG9"/>
    <mergeCell ref="AI7:AI9"/>
    <mergeCell ref="AK7:AK9"/>
    <mergeCell ref="AU7:AU9"/>
    <mergeCell ref="AM7:AM9"/>
    <mergeCell ref="AO7:AO9"/>
    <mergeCell ref="AQ7:AQ9"/>
    <mergeCell ref="AS7:AS9"/>
    <mergeCell ref="CD6:CE6"/>
    <mergeCell ref="CF6:CG6"/>
    <mergeCell ref="D5:E5"/>
    <mergeCell ref="G5:K5"/>
    <mergeCell ref="M5:N5"/>
    <mergeCell ref="P5:Q5"/>
    <mergeCell ref="S5:T5"/>
    <mergeCell ref="AT4:AU5"/>
    <mergeCell ref="AD4:AD9"/>
    <mergeCell ref="X4:X9"/>
    <mergeCell ref="AF4:AG5"/>
    <mergeCell ref="AH4:AI5"/>
    <mergeCell ref="AJ4:AK5"/>
    <mergeCell ref="AL4:AM5"/>
    <mergeCell ref="AN4:AO5"/>
    <mergeCell ref="AP4:AQ5"/>
    <mergeCell ref="BJ7:BM7"/>
    <mergeCell ref="BN7:BP7"/>
    <mergeCell ref="BQ7:BR7"/>
    <mergeCell ref="BS7:BT7"/>
    <mergeCell ref="BQ6:BR6"/>
    <mergeCell ref="BS6:BT6"/>
    <mergeCell ref="BN6:BP6"/>
    <mergeCell ref="BJ6:BM6"/>
    <mergeCell ref="AW7:AW9"/>
    <mergeCell ref="AY7:AY9"/>
    <mergeCell ref="BA7:BA9"/>
    <mergeCell ref="BC7:BC9"/>
    <mergeCell ref="BF7:BI7"/>
    <mergeCell ref="BU7:BX7"/>
    <mergeCell ref="CL6:CM6"/>
    <mergeCell ref="CN6:CO6"/>
    <mergeCell ref="CH6:CI6"/>
    <mergeCell ref="CJ6:CK6"/>
    <mergeCell ref="BU6:BX6"/>
    <mergeCell ref="BY6:CA6"/>
    <mergeCell ref="CL7:CM7"/>
    <mergeCell ref="CN7:CO7"/>
    <mergeCell ref="BY7:CA7"/>
    <mergeCell ref="CB7:CC7"/>
    <mergeCell ref="CD7:CE7"/>
    <mergeCell ref="CF7:CG7"/>
    <mergeCell ref="CH7:CI7"/>
    <mergeCell ref="CJ7:CK7"/>
    <mergeCell ref="CB6:CC6"/>
  </mergeCells>
  <printOptions horizontalCentered="1"/>
  <pageMargins left="0.31496062992125984" right="0.31496062992125984" top="0.55118110236220474" bottom="0.35433070866141736" header="0" footer="0"/>
  <pageSetup scale="74" orientation="landscape" r:id="rId1"/>
  <rowBreaks count="1" manualBreakCount="1">
    <brk id="62" max="16383" man="1"/>
  </rowBreaks>
  <colBreaks count="4" manualBreakCount="4">
    <brk id="15" max="1048575" man="1"/>
    <brk id="27" max="1048575" man="1"/>
    <brk id="30" max="1048575" man="1"/>
    <brk id="45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2</vt:i4>
      </vt:variant>
    </vt:vector>
  </HeadingPairs>
  <TitlesOfParts>
    <vt:vector size="15" baseType="lpstr">
      <vt:lpstr>Mhsw2024</vt:lpstr>
      <vt:lpstr>ListMKSmt-1</vt:lpstr>
      <vt:lpstr>MK1-TM</vt:lpstr>
      <vt:lpstr>MK2-TO</vt:lpstr>
      <vt:lpstr>MK3-PSTI</vt:lpstr>
      <vt:lpstr>MK4-L&amp;A</vt:lpstr>
      <vt:lpstr>MK5-BP</vt:lpstr>
      <vt:lpstr>MK7-MBD</vt:lpstr>
      <vt:lpstr>MK8_BID</vt:lpstr>
      <vt:lpstr>MK16-AGM</vt:lpstr>
      <vt:lpstr>MK59-KWN</vt:lpstr>
      <vt:lpstr>Penguk.CPMK-Smt1</vt:lpstr>
      <vt:lpstr>Penguk.CPL-Smt1</vt:lpstr>
      <vt:lpstr>'MK3-PSTI'!Print_Area</vt:lpstr>
      <vt:lpstr>'Penguk.CPMK-Smt1'!Print_Area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Arief  Jananto, S.Kom., M.Cs</dc:creator>
  <cp:lastModifiedBy>ThinkPad</cp:lastModifiedBy>
  <cp:lastPrinted>2026-06-05T04:22:50Z</cp:lastPrinted>
  <dcterms:created xsi:type="dcterms:W3CDTF">2026-03-14T10:22:13Z</dcterms:created>
  <dcterms:modified xsi:type="dcterms:W3CDTF">2026-06-05T04:31:46Z</dcterms:modified>
</cp:coreProperties>
</file>