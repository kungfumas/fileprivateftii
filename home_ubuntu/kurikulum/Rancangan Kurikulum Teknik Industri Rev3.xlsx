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E\Progdi\2021-2029\Kurikulum\2024\Teknik Industri\"/>
    </mc:Choice>
  </mc:AlternateContent>
  <bookViews>
    <workbookView xWindow="360" yWindow="135" windowWidth="13395" windowHeight="7500" activeTab="6"/>
  </bookViews>
  <sheets>
    <sheet name="Mata Kuliah Rev" sheetId="6" r:id="rId1"/>
    <sheet name="MK-CPMK" sheetId="4" r:id="rId2"/>
    <sheet name="CPL-CPMK-MK" sheetId="5" r:id="rId3"/>
    <sheet name="MK-CPL-CPMK-Sub" sheetId="7" r:id="rId4"/>
    <sheet name="Teknik Pen" sheetId="8" r:id="rId5"/>
    <sheet name="Teknik" sheetId="9" r:id="rId6"/>
    <sheet name="Tahap &amp; Mekaniseme" sheetId="10" r:id="rId7"/>
    <sheet name="Bobot MK" sheetId="12" r:id="rId8"/>
    <sheet name="Bobot CPL" sheetId="13" r:id="rId9"/>
    <sheet name="NIlai AKhir MK" sheetId="14" r:id="rId10"/>
    <sheet name="Nilai Akhir CPL" sheetId="15" r:id="rId11"/>
    <sheet name="Rubrik" sheetId="11" r:id="rId12"/>
  </sheets>
  <definedNames>
    <definedName name="_xlnm._FilterDatabase" localSheetId="2" hidden="1">'CPL-CPMK-MK'!$A$2:$H$131</definedName>
  </definedNames>
  <calcPr calcId="152511"/>
</workbook>
</file>

<file path=xl/calcChain.xml><?xml version="1.0" encoding="utf-8"?>
<calcChain xmlns="http://schemas.openxmlformats.org/spreadsheetml/2006/main">
  <c r="H4" i="6" l="1"/>
  <c r="L120" i="15" l="1"/>
  <c r="K5" i="15"/>
  <c r="K4" i="15"/>
  <c r="K60" i="15"/>
  <c r="K61" i="15"/>
  <c r="K86" i="13"/>
  <c r="K85" i="13"/>
  <c r="K130" i="15" l="1"/>
  <c r="K129" i="15"/>
  <c r="K128" i="15"/>
  <c r="K127" i="15"/>
  <c r="L127" i="15" s="1"/>
  <c r="K126" i="15"/>
  <c r="K125" i="15"/>
  <c r="L125" i="15" s="1"/>
  <c r="K124" i="15"/>
  <c r="K123" i="15"/>
  <c r="K122" i="15"/>
  <c r="K121" i="15"/>
  <c r="K120" i="15"/>
  <c r="K119" i="15"/>
  <c r="K118" i="15"/>
  <c r="K117" i="15"/>
  <c r="K116" i="15"/>
  <c r="K115" i="15"/>
  <c r="K114" i="15"/>
  <c r="K113" i="15"/>
  <c r="K112" i="15"/>
  <c r="K111" i="15"/>
  <c r="K110" i="15"/>
  <c r="K109" i="15"/>
  <c r="K108" i="15"/>
  <c r="K107" i="15"/>
  <c r="K106" i="15"/>
  <c r="K105" i="15"/>
  <c r="K104" i="15"/>
  <c r="K103" i="15"/>
  <c r="K102" i="15"/>
  <c r="K101" i="15"/>
  <c r="K100" i="15"/>
  <c r="K99" i="15"/>
  <c r="K98" i="15"/>
  <c r="K97" i="15"/>
  <c r="K96" i="15"/>
  <c r="K95" i="15"/>
  <c r="K94" i="15"/>
  <c r="K93" i="15"/>
  <c r="K92" i="15"/>
  <c r="K91" i="15"/>
  <c r="K90" i="15"/>
  <c r="K89" i="15"/>
  <c r="K88" i="15"/>
  <c r="K87" i="15"/>
  <c r="K84" i="15"/>
  <c r="K83" i="15"/>
  <c r="K82" i="15"/>
  <c r="K81" i="15"/>
  <c r="K80" i="15"/>
  <c r="K79" i="15"/>
  <c r="K78" i="15"/>
  <c r="K77" i="15"/>
  <c r="K76" i="15"/>
  <c r="K75" i="15"/>
  <c r="K74" i="15"/>
  <c r="K73" i="15"/>
  <c r="K72" i="15"/>
  <c r="K71" i="15"/>
  <c r="K70" i="15"/>
  <c r="K69" i="15"/>
  <c r="K68" i="15"/>
  <c r="K67" i="15"/>
  <c r="K66" i="15"/>
  <c r="K65" i="15"/>
  <c r="K64" i="15"/>
  <c r="K63" i="15"/>
  <c r="K62" i="15"/>
  <c r="K59" i="15"/>
  <c r="K58" i="15"/>
  <c r="K57" i="15"/>
  <c r="K56" i="15"/>
  <c r="K55" i="15"/>
  <c r="K54" i="15"/>
  <c r="K53" i="15"/>
  <c r="K52" i="15"/>
  <c r="K51" i="15"/>
  <c r="K50" i="15"/>
  <c r="K49" i="15"/>
  <c r="K48" i="15"/>
  <c r="K47" i="15"/>
  <c r="K46" i="15"/>
  <c r="K45" i="15"/>
  <c r="K44" i="15"/>
  <c r="K43" i="15"/>
  <c r="K42" i="15"/>
  <c r="K41" i="15"/>
  <c r="K40" i="15"/>
  <c r="K39" i="15"/>
  <c r="K38" i="15"/>
  <c r="K37" i="15"/>
  <c r="K36" i="15"/>
  <c r="K35" i="15"/>
  <c r="K34" i="15"/>
  <c r="K33" i="15"/>
  <c r="K32" i="15"/>
  <c r="K31" i="15"/>
  <c r="K30" i="15"/>
  <c r="K29" i="15"/>
  <c r="K28" i="15"/>
  <c r="K27" i="15"/>
  <c r="K26" i="15"/>
  <c r="K25" i="15"/>
  <c r="K24" i="15"/>
  <c r="K23" i="15"/>
  <c r="K22" i="15"/>
  <c r="K21" i="15"/>
  <c r="K20" i="15"/>
  <c r="K19" i="15"/>
  <c r="K18" i="15"/>
  <c r="K17" i="15"/>
  <c r="K16" i="15"/>
  <c r="K15" i="15"/>
  <c r="K14" i="15"/>
  <c r="K13" i="15"/>
  <c r="K12" i="15"/>
  <c r="K11" i="15"/>
  <c r="K10" i="15"/>
  <c r="K9" i="15"/>
  <c r="K8" i="15"/>
  <c r="K7" i="15"/>
  <c r="K6" i="15"/>
  <c r="L10" i="14"/>
  <c r="L12" i="14"/>
  <c r="L14" i="14"/>
  <c r="L16" i="14"/>
  <c r="L18" i="14"/>
  <c r="L20" i="14"/>
  <c r="L22" i="14"/>
  <c r="L24" i="14"/>
  <c r="L26" i="14"/>
  <c r="L28" i="14"/>
  <c r="L30" i="14"/>
  <c r="L32" i="14"/>
  <c r="L34" i="14"/>
  <c r="L36" i="14"/>
  <c r="L38" i="14"/>
  <c r="L40" i="14"/>
  <c r="L42" i="14"/>
  <c r="L44" i="14"/>
  <c r="L46" i="14"/>
  <c r="L48" i="14"/>
  <c r="L50" i="14"/>
  <c r="L52" i="14"/>
  <c r="L54" i="14"/>
  <c r="L56" i="14"/>
  <c r="L58" i="14"/>
  <c r="L60" i="14"/>
  <c r="L62" i="14"/>
  <c r="L64" i="14"/>
  <c r="L66" i="14"/>
  <c r="L68" i="14"/>
  <c r="L70" i="14"/>
  <c r="L72" i="14"/>
  <c r="L74" i="14"/>
  <c r="L76" i="14"/>
  <c r="L78" i="14"/>
  <c r="L80" i="14"/>
  <c r="L82" i="14"/>
  <c r="L84" i="14"/>
  <c r="L86" i="14"/>
  <c r="L88" i="14"/>
  <c r="L90" i="14"/>
  <c r="L92" i="14"/>
  <c r="L94" i="14"/>
  <c r="L96" i="14"/>
  <c r="L98" i="14"/>
  <c r="L100" i="14"/>
  <c r="L102" i="14"/>
  <c r="L104" i="14"/>
  <c r="L106" i="14"/>
  <c r="L117" i="14"/>
  <c r="L119" i="14"/>
  <c r="L121" i="14"/>
  <c r="L123" i="14"/>
  <c r="L125" i="14"/>
  <c r="L127" i="14"/>
  <c r="L129" i="14"/>
  <c r="L6" i="14"/>
  <c r="L8" i="14"/>
  <c r="L4" i="14"/>
  <c r="K130" i="14"/>
  <c r="K129" i="14"/>
  <c r="K128" i="14"/>
  <c r="K127" i="14"/>
  <c r="K126" i="14"/>
  <c r="K125" i="14"/>
  <c r="K124" i="14"/>
  <c r="K123" i="14"/>
  <c r="K122" i="14"/>
  <c r="K121" i="14"/>
  <c r="K120" i="14"/>
  <c r="K119" i="14"/>
  <c r="K118" i="14"/>
  <c r="K117" i="14"/>
  <c r="K116" i="14"/>
  <c r="K115" i="14"/>
  <c r="K114" i="14"/>
  <c r="K113" i="14"/>
  <c r="K112" i="14"/>
  <c r="K111" i="14"/>
  <c r="K110" i="14"/>
  <c r="K109" i="14"/>
  <c r="K108" i="14"/>
  <c r="K107" i="14"/>
  <c r="K106" i="14"/>
  <c r="K105" i="14"/>
  <c r="K104" i="14"/>
  <c r="K103" i="14"/>
  <c r="K102" i="14"/>
  <c r="K101" i="14"/>
  <c r="K100" i="14"/>
  <c r="K99" i="14"/>
  <c r="K98" i="14"/>
  <c r="K97" i="14"/>
  <c r="K96" i="14"/>
  <c r="K95" i="14"/>
  <c r="K94" i="14"/>
  <c r="K93" i="14"/>
  <c r="K92" i="14"/>
  <c r="K91" i="14"/>
  <c r="K90" i="14"/>
  <c r="K89" i="14"/>
  <c r="K88" i="14"/>
  <c r="K87" i="14"/>
  <c r="K86" i="14"/>
  <c r="K85" i="14"/>
  <c r="K84" i="14"/>
  <c r="K83" i="14"/>
  <c r="K82" i="14"/>
  <c r="K81" i="14"/>
  <c r="K80" i="14"/>
  <c r="K79" i="14"/>
  <c r="K78" i="14"/>
  <c r="K77" i="14"/>
  <c r="K76" i="14"/>
  <c r="K75" i="14"/>
  <c r="K74" i="14"/>
  <c r="K73" i="14"/>
  <c r="K72" i="14"/>
  <c r="K71" i="14"/>
  <c r="K70" i="14"/>
  <c r="K69" i="14"/>
  <c r="K68" i="14"/>
  <c r="K67" i="14"/>
  <c r="K66" i="14"/>
  <c r="K65" i="14"/>
  <c r="K64" i="14"/>
  <c r="K63" i="14"/>
  <c r="K62" i="14"/>
  <c r="K61" i="14"/>
  <c r="K60" i="14"/>
  <c r="K59" i="14"/>
  <c r="K58" i="14"/>
  <c r="K57" i="14"/>
  <c r="K56" i="14"/>
  <c r="K55" i="14"/>
  <c r="K54" i="14"/>
  <c r="K53" i="14"/>
  <c r="K52" i="14"/>
  <c r="K51" i="14"/>
  <c r="K50" i="14"/>
  <c r="K49" i="14"/>
  <c r="K48" i="14"/>
  <c r="K47" i="14"/>
  <c r="K46" i="14"/>
  <c r="K45" i="14"/>
  <c r="K44" i="14"/>
  <c r="K43" i="14"/>
  <c r="K42" i="14"/>
  <c r="K41" i="14"/>
  <c r="K40" i="14"/>
  <c r="K39" i="14"/>
  <c r="K38" i="14"/>
  <c r="K37" i="14"/>
  <c r="K36" i="14"/>
  <c r="K35" i="14"/>
  <c r="K34" i="14"/>
  <c r="K33" i="14"/>
  <c r="K32" i="14"/>
  <c r="K31" i="14"/>
  <c r="K30" i="14"/>
  <c r="K29" i="14"/>
  <c r="K28" i="14"/>
  <c r="K27" i="14"/>
  <c r="K26" i="14"/>
  <c r="K25" i="14"/>
  <c r="K24" i="14"/>
  <c r="K23" i="14"/>
  <c r="K22" i="14"/>
  <c r="K21" i="14"/>
  <c r="K20" i="14"/>
  <c r="K19" i="14"/>
  <c r="K18" i="14"/>
  <c r="K17" i="14"/>
  <c r="K16" i="14"/>
  <c r="K15" i="14"/>
  <c r="K14" i="14"/>
  <c r="K13" i="14"/>
  <c r="K12" i="14"/>
  <c r="K11" i="14"/>
  <c r="K10" i="14"/>
  <c r="K9" i="14"/>
  <c r="K8" i="14"/>
  <c r="K7" i="14"/>
  <c r="K6" i="14"/>
  <c r="K5" i="14"/>
  <c r="K4" i="14"/>
  <c r="L52" i="15" l="1"/>
  <c r="L108" i="15"/>
  <c r="L87" i="15"/>
  <c r="L110" i="15"/>
  <c r="L4" i="15"/>
  <c r="L26" i="15"/>
  <c r="L102" i="15"/>
  <c r="L54" i="15"/>
  <c r="K83" i="13"/>
  <c r="K82" i="13"/>
  <c r="K130" i="13"/>
  <c r="K129" i="13"/>
  <c r="K128" i="13"/>
  <c r="K127" i="13"/>
  <c r="K124" i="13"/>
  <c r="K123" i="13"/>
  <c r="K119" i="13"/>
  <c r="K118" i="13"/>
  <c r="K117" i="13"/>
  <c r="K116" i="13"/>
  <c r="K115" i="13"/>
  <c r="K114" i="13"/>
  <c r="K110" i="13"/>
  <c r="K109" i="13"/>
  <c r="K108" i="13"/>
  <c r="K84" i="13"/>
  <c r="K122" i="13"/>
  <c r="K113" i="13"/>
  <c r="K107" i="13"/>
  <c r="K81" i="13"/>
  <c r="K80" i="13"/>
  <c r="K106" i="13"/>
  <c r="K105" i="13"/>
  <c r="K121" i="13"/>
  <c r="K120" i="13"/>
  <c r="K104" i="13"/>
  <c r="K103" i="13"/>
  <c r="K79" i="13"/>
  <c r="K78" i="13"/>
  <c r="K112" i="13"/>
  <c r="K111" i="13"/>
  <c r="K77" i="13"/>
  <c r="K76" i="13"/>
  <c r="K126" i="13"/>
  <c r="K125" i="13"/>
  <c r="K102" i="13"/>
  <c r="K101" i="13"/>
  <c r="K75" i="13"/>
  <c r="K74" i="13"/>
  <c r="K100" i="13"/>
  <c r="K99" i="13"/>
  <c r="K51" i="13"/>
  <c r="K50" i="13"/>
  <c r="K98" i="13"/>
  <c r="K97" i="13"/>
  <c r="K49" i="13"/>
  <c r="K48" i="13"/>
  <c r="K47" i="13"/>
  <c r="K46" i="13"/>
  <c r="K73" i="13"/>
  <c r="K72" i="13"/>
  <c r="K96" i="13"/>
  <c r="K95" i="13"/>
  <c r="K45" i="13"/>
  <c r="K44" i="13"/>
  <c r="K71" i="13"/>
  <c r="K70" i="13"/>
  <c r="K69" i="13"/>
  <c r="K68" i="13"/>
  <c r="K94" i="13"/>
  <c r="K93" i="13"/>
  <c r="K43" i="13"/>
  <c r="K42" i="13"/>
  <c r="K67" i="13"/>
  <c r="K66" i="13"/>
  <c r="K41" i="13"/>
  <c r="K40" i="13"/>
  <c r="K25" i="13"/>
  <c r="K24" i="13"/>
  <c r="K39" i="13"/>
  <c r="K38" i="13"/>
  <c r="K65" i="13"/>
  <c r="K64" i="13"/>
  <c r="K23" i="13"/>
  <c r="K22" i="13"/>
  <c r="K63" i="13"/>
  <c r="K62" i="13"/>
  <c r="K61" i="13"/>
  <c r="K60" i="13"/>
  <c r="K21" i="13"/>
  <c r="K20" i="13"/>
  <c r="K59" i="13"/>
  <c r="K58" i="13"/>
  <c r="K19" i="13"/>
  <c r="K18" i="13"/>
  <c r="K37" i="13"/>
  <c r="K36" i="13"/>
  <c r="K17" i="13"/>
  <c r="K16" i="13"/>
  <c r="K92" i="13"/>
  <c r="K91" i="13"/>
  <c r="K57" i="13"/>
  <c r="K56" i="13"/>
  <c r="K55" i="13"/>
  <c r="K54" i="13"/>
  <c r="K90" i="13"/>
  <c r="K89" i="13"/>
  <c r="K35" i="13"/>
  <c r="K34" i="13"/>
  <c r="K15" i="13"/>
  <c r="K14" i="13"/>
  <c r="K33" i="13"/>
  <c r="K32" i="13"/>
  <c r="K53" i="13"/>
  <c r="K52" i="13"/>
  <c r="K13" i="13"/>
  <c r="K12" i="13"/>
  <c r="K11" i="13"/>
  <c r="K10" i="13"/>
  <c r="K9" i="13"/>
  <c r="K8" i="13"/>
  <c r="K31" i="13"/>
  <c r="K30" i="13"/>
  <c r="K29" i="13"/>
  <c r="K28" i="13"/>
  <c r="K88" i="13"/>
  <c r="K87" i="13"/>
  <c r="K27" i="13"/>
  <c r="K26" i="13"/>
  <c r="K7" i="13"/>
  <c r="K6" i="13"/>
  <c r="K5" i="13"/>
  <c r="K4" i="13"/>
  <c r="K130" i="12" l="1"/>
  <c r="K129" i="12"/>
  <c r="K128" i="12"/>
  <c r="K127" i="12"/>
  <c r="K126" i="12"/>
  <c r="K125" i="12"/>
  <c r="K124" i="12"/>
  <c r="K123" i="12"/>
  <c r="K122" i="12"/>
  <c r="K121" i="12"/>
  <c r="K120" i="12"/>
  <c r="K119" i="12"/>
  <c r="K118" i="12"/>
  <c r="K117" i="12"/>
  <c r="K116" i="12"/>
  <c r="K115" i="12"/>
  <c r="K114" i="12"/>
  <c r="K113" i="12"/>
  <c r="K112" i="12"/>
  <c r="K111" i="12"/>
  <c r="K110" i="12"/>
  <c r="K109" i="12"/>
  <c r="K108" i="12"/>
  <c r="K107" i="12"/>
  <c r="K106" i="12"/>
  <c r="K105" i="12"/>
  <c r="K104" i="12"/>
  <c r="K103" i="12"/>
  <c r="K102" i="12"/>
  <c r="K101" i="12"/>
  <c r="K100" i="12"/>
  <c r="K99" i="12"/>
  <c r="K98" i="12"/>
  <c r="K97" i="12"/>
  <c r="K96" i="12"/>
  <c r="K95" i="12"/>
  <c r="K94" i="12"/>
  <c r="K93" i="12"/>
  <c r="K92" i="12"/>
  <c r="K91" i="12"/>
  <c r="K90" i="12"/>
  <c r="K89" i="12"/>
  <c r="K88" i="12"/>
  <c r="K87" i="12"/>
  <c r="K86" i="12"/>
  <c r="K85" i="12"/>
  <c r="K84" i="12"/>
  <c r="K83" i="12"/>
  <c r="K82" i="12"/>
  <c r="K81" i="12"/>
  <c r="K80" i="12"/>
  <c r="K79" i="12"/>
  <c r="K78" i="12"/>
  <c r="K77" i="12"/>
  <c r="K76" i="12"/>
  <c r="K75" i="12"/>
  <c r="K74" i="12"/>
  <c r="K73" i="12"/>
  <c r="K72" i="12"/>
  <c r="K71" i="12"/>
  <c r="K70" i="12"/>
  <c r="K69" i="12"/>
  <c r="K68" i="12"/>
  <c r="K67" i="12"/>
  <c r="K66" i="12"/>
  <c r="K65" i="12"/>
  <c r="K64" i="12"/>
  <c r="K63" i="12"/>
  <c r="K62" i="12"/>
  <c r="K61" i="12"/>
  <c r="K60" i="12"/>
  <c r="K59" i="12"/>
  <c r="K58" i="12"/>
  <c r="K57" i="12"/>
  <c r="K56" i="12"/>
  <c r="K55" i="12"/>
  <c r="K54" i="12"/>
  <c r="K53" i="12"/>
  <c r="K52" i="12"/>
  <c r="K51" i="12"/>
  <c r="K50" i="12"/>
  <c r="K49" i="12"/>
  <c r="K48" i="12"/>
  <c r="K47" i="12"/>
  <c r="K46" i="12"/>
  <c r="K45" i="12"/>
  <c r="K44" i="12"/>
  <c r="K43" i="12"/>
  <c r="K42" i="12"/>
  <c r="K41" i="12"/>
  <c r="K40" i="12"/>
  <c r="K39" i="12"/>
  <c r="K38" i="12"/>
  <c r="K37" i="12"/>
  <c r="K36" i="12"/>
  <c r="K35" i="12"/>
  <c r="K34" i="12"/>
  <c r="K33" i="12"/>
  <c r="K32" i="12"/>
  <c r="K31" i="12"/>
  <c r="K30" i="12"/>
  <c r="K29" i="12"/>
  <c r="K28" i="12"/>
  <c r="K27" i="12"/>
  <c r="K26" i="12"/>
  <c r="K25" i="12"/>
  <c r="K24" i="12"/>
  <c r="K23" i="12"/>
  <c r="K22" i="12"/>
  <c r="K21" i="12"/>
  <c r="K20" i="12"/>
  <c r="K19" i="12"/>
  <c r="K18" i="12"/>
  <c r="K17" i="12"/>
  <c r="K16" i="12"/>
  <c r="K15" i="12"/>
  <c r="K14" i="12"/>
  <c r="K13" i="12"/>
  <c r="K11" i="12"/>
  <c r="K9" i="12"/>
  <c r="K7" i="12"/>
  <c r="K6" i="12"/>
  <c r="K10" i="12"/>
  <c r="K12" i="12"/>
  <c r="K8" i="12"/>
  <c r="K5" i="12"/>
  <c r="K4" i="12"/>
  <c r="E90" i="6" l="1"/>
  <c r="E95" i="6"/>
  <c r="E77" i="6"/>
  <c r="E59" i="6"/>
  <c r="E48" i="6"/>
  <c r="E36" i="6"/>
  <c r="E25" i="6"/>
  <c r="E12" i="6"/>
  <c r="E97" i="6" l="1"/>
</calcChain>
</file>

<file path=xl/sharedStrings.xml><?xml version="1.0" encoding="utf-8"?>
<sst xmlns="http://schemas.openxmlformats.org/spreadsheetml/2006/main" count="4427" uniqueCount="1195">
  <si>
    <t>KODE MK</t>
  </si>
  <si>
    <t>SKS</t>
  </si>
  <si>
    <t>NO</t>
  </si>
  <si>
    <t>MATA KULIAH (MK)</t>
  </si>
  <si>
    <t>Bahasa Inggris 1</t>
  </si>
  <si>
    <t>Material Teknik</t>
  </si>
  <si>
    <t>Menggambar Teknik</t>
  </si>
  <si>
    <t>Pengantar Teknik Industri</t>
  </si>
  <si>
    <t>Bahasa Indonesia</t>
  </si>
  <si>
    <t>Aljabar Linier</t>
  </si>
  <si>
    <t>Mekanika Teknik</t>
  </si>
  <si>
    <t>Proses Manufaktur</t>
  </si>
  <si>
    <t>Teori probabilitas</t>
  </si>
  <si>
    <t>Statistik Industri 1</t>
  </si>
  <si>
    <t>Perencanaan dan Pengendalian Produksi</t>
  </si>
  <si>
    <t>Ekonomi Teknik</t>
  </si>
  <si>
    <t>Statistik Industri 2</t>
  </si>
  <si>
    <t>Pemodelan Sistem</t>
  </si>
  <si>
    <t>Sistem produksi</t>
  </si>
  <si>
    <t>Sistem Rantai Pasok</t>
  </si>
  <si>
    <t>Elektronika Industri</t>
  </si>
  <si>
    <t>Metodologi Penelitian</t>
  </si>
  <si>
    <t>Praktikum Terintegrasi</t>
  </si>
  <si>
    <t>Keselamatan &amp; Kesehatan Kerja</t>
  </si>
  <si>
    <t>SEMESTER</t>
  </si>
  <si>
    <t>Fisika Dasar 1</t>
  </si>
  <si>
    <t>Kalkulus 1</t>
  </si>
  <si>
    <t>Kimia Dasar</t>
  </si>
  <si>
    <t>Total SKS semester 1</t>
  </si>
  <si>
    <t>Kalkulus 2</t>
  </si>
  <si>
    <t>Fisika Dasar 2</t>
  </si>
  <si>
    <t>Pengantar Rekayasa Desain</t>
  </si>
  <si>
    <t>Total SKS semester 2</t>
  </si>
  <si>
    <t>Perancangan Pengembangan Produk</t>
  </si>
  <si>
    <t>Total SKS semester 3</t>
  </si>
  <si>
    <t>Teori Keputusan</t>
  </si>
  <si>
    <t>Total SKS semester 4</t>
  </si>
  <si>
    <t>Pengendalian dan Penjaminan Mutu</t>
  </si>
  <si>
    <t>Total SKS semester 5</t>
  </si>
  <si>
    <t>Analisis dan Perancangan Sistem Informasi</t>
  </si>
  <si>
    <t>Perancangan Berbasis Ergonomi</t>
  </si>
  <si>
    <t>Techno-preneurship</t>
  </si>
  <si>
    <t>Manajemen Produktivitas</t>
  </si>
  <si>
    <t>Total SKS semester 6</t>
  </si>
  <si>
    <t>Manajemen Logistik</t>
  </si>
  <si>
    <t>ERP</t>
  </si>
  <si>
    <t>Total SKS semester 7</t>
  </si>
  <si>
    <t>Skripsi</t>
  </si>
  <si>
    <t>Kewarganegaraan</t>
  </si>
  <si>
    <t>Total SKS semester 8</t>
  </si>
  <si>
    <t>Perancangan Sistem Terpadu</t>
  </si>
  <si>
    <t>Analitika Data</t>
  </si>
  <si>
    <t>Manajemen Proyek</t>
  </si>
  <si>
    <t>Penjadwalan Produksi</t>
  </si>
  <si>
    <t>Rekayasa Kualitas</t>
  </si>
  <si>
    <t>P.24.05.41.1.01</t>
  </si>
  <si>
    <t>P.24.05.41.1.02</t>
  </si>
  <si>
    <t>P.24.05.41.1.03</t>
  </si>
  <si>
    <t>P.24.05.41.1.04</t>
  </si>
  <si>
    <t>Praktik Menggambar Teknik</t>
  </si>
  <si>
    <t>P.24.05.41.1.05</t>
  </si>
  <si>
    <t>P.24.05.41.1.06</t>
  </si>
  <si>
    <t>Perilaku Organisasi</t>
  </si>
  <si>
    <t>P.24.05.41.1.07</t>
  </si>
  <si>
    <t>U.24.05.41.1.01</t>
  </si>
  <si>
    <t>Agama</t>
  </si>
  <si>
    <t>U.24.05.41.1.02</t>
  </si>
  <si>
    <t xml:space="preserve">Praktik Fisika Dasar </t>
  </si>
  <si>
    <t>Praktik Proses Manufaktur</t>
  </si>
  <si>
    <t>P.24.05.41.2.08</t>
  </si>
  <si>
    <t>Pancasila</t>
  </si>
  <si>
    <t>Logika Pemrograman</t>
  </si>
  <si>
    <t>Praktik Logika Pemrograman</t>
  </si>
  <si>
    <t>Ekologi Industri</t>
  </si>
  <si>
    <t>Riset Operasi 1</t>
  </si>
  <si>
    <t>Entrepreneur for Startup</t>
  </si>
  <si>
    <t>Riset Operasi 2</t>
  </si>
  <si>
    <t>Ergonomika</t>
  </si>
  <si>
    <t>Pengukuran dan Perancangan Sistem Kerja</t>
  </si>
  <si>
    <t>Analisis dan Pengendalian Biaya</t>
  </si>
  <si>
    <t xml:space="preserve">Agile Entrepreneur </t>
  </si>
  <si>
    <t>Perancangan Fasilitas</t>
  </si>
  <si>
    <t>Praktik Perancangan Fasilitas</t>
  </si>
  <si>
    <t>Simulasi Sistem</t>
  </si>
  <si>
    <t>Praktik Analisis dan Perancangan Sistem Informasi</t>
  </si>
  <si>
    <t>Kerja Praktik</t>
  </si>
  <si>
    <t xml:space="preserve">Manajemen Perawatan </t>
  </si>
  <si>
    <t>Perancangan dan Manajemen Organisasi Industri</t>
  </si>
  <si>
    <t xml:space="preserve">KKN Tematik </t>
  </si>
  <si>
    <t xml:space="preserve">Metaheuristik </t>
  </si>
  <si>
    <t>P.24.05.41.2.09</t>
  </si>
  <si>
    <t>P.24.05.41.2.10</t>
  </si>
  <si>
    <t>P.24.05.41.2.11</t>
  </si>
  <si>
    <t>P.24.05.41.2.12</t>
  </si>
  <si>
    <t>P.24.05.41.2.13</t>
  </si>
  <si>
    <t>P.24.05.41.2.14</t>
  </si>
  <si>
    <t>U.24.05.41.2.03</t>
  </si>
  <si>
    <t>U.24.05.41.2.04</t>
  </si>
  <si>
    <t>U.24.05.41.3.05</t>
  </si>
  <si>
    <t>P.24.05.41.3.16</t>
  </si>
  <si>
    <t>P.24.05.41.3.18</t>
  </si>
  <si>
    <t>P.24.05.41.3.19</t>
  </si>
  <si>
    <t>P.24.05.41.3.20</t>
  </si>
  <si>
    <t>P.24.05.41.3.21</t>
  </si>
  <si>
    <t>P.24.05.41.3.22</t>
  </si>
  <si>
    <t>P.24.05.41.4.23</t>
  </si>
  <si>
    <t>P.24.05.41.4.24</t>
  </si>
  <si>
    <t>P.24.05.41.4.25</t>
  </si>
  <si>
    <t>P.24.05.41.4.26</t>
  </si>
  <si>
    <t>P.24.05.41.4.27</t>
  </si>
  <si>
    <t>P.24.05.41.4.28</t>
  </si>
  <si>
    <t>P.24.05.41.4.29</t>
  </si>
  <si>
    <t>U.24.05.41.4.06</t>
  </si>
  <si>
    <t>P.24.05.41.5.30</t>
  </si>
  <si>
    <t>P.24.05.41.5.31</t>
  </si>
  <si>
    <t>P.24.05.41.5.33</t>
  </si>
  <si>
    <t>P.24.05.41.5.34</t>
  </si>
  <si>
    <t>P.24.05.41.5.35</t>
  </si>
  <si>
    <t>P.24.05.41.5.36</t>
  </si>
  <si>
    <t>P.24.05.41.5.37</t>
  </si>
  <si>
    <t>P.24.05.41.6.39</t>
  </si>
  <si>
    <t>P.24.05.41.6.38</t>
  </si>
  <si>
    <t>P.24.05.41.6.41</t>
  </si>
  <si>
    <t>P.24.05.41.6.42</t>
  </si>
  <si>
    <t>P.24.05.41.6.43</t>
  </si>
  <si>
    <t>P.24.05.41.6.44</t>
  </si>
  <si>
    <t>P.24.05.41.6.45</t>
  </si>
  <si>
    <t>P.24.05.41.6.46</t>
  </si>
  <si>
    <t>P.24.05.41.6.47</t>
  </si>
  <si>
    <t>P.24.05.41.6.48</t>
  </si>
  <si>
    <t>P.24.05.41.6.49</t>
  </si>
  <si>
    <t>P.24.05.41.6.50</t>
  </si>
  <si>
    <t>P.24.05.41.7.51</t>
  </si>
  <si>
    <t>P.24.05.41.7.52</t>
  </si>
  <si>
    <t>P.24.05.41.7.53</t>
  </si>
  <si>
    <t>P.24.05.41.7.54</t>
  </si>
  <si>
    <t>P.24.05.41.7.55</t>
  </si>
  <si>
    <t>P.24.05.41.7.56</t>
  </si>
  <si>
    <t>P.24.05.41.7.57</t>
  </si>
  <si>
    <t>KETERANGAN</t>
  </si>
  <si>
    <t>Wajib</t>
  </si>
  <si>
    <t>Pilihan</t>
  </si>
  <si>
    <t>Kode CPMK</t>
  </si>
  <si>
    <t>Mata Kuliah</t>
  </si>
  <si>
    <t>Mahasiswa mampu menjelaskan dan memahami konsep dasar fisika seperti kinematika, dinamika, energi, momentum, dan gravitasi</t>
  </si>
  <si>
    <t>Mahasiswa mampu menerapkan hukum-hukum fisika untuk menyelesaikan masalah teknik sederhana, termasuk penggunaan persamaan matematika dalam kinematika, dinamika, dan energi</t>
  </si>
  <si>
    <t xml:space="preserve">Mahasiswa mampu menjelaskan dan memahami konsep dasar kalkulus, termasuk limit, kontinuitas, dan turunan fungsi
</t>
  </si>
  <si>
    <t xml:space="preserve">Mahasiswa mampu menyelesaikan berbagai masalah teknik dan ilmiah menggunakan teknik kalkulus, seperti optimasi dan analisis grafik fungsi
</t>
  </si>
  <si>
    <t xml:space="preserve">Mahasiswa memahami konsep dan prinsip dasar dalam menggambar teknik, termasuk penggunaan standar internasional seperti ISO, ANSI, atau JIS dalam pembuatan gambar teknik
</t>
  </si>
  <si>
    <t>Mahasiswa memahami peran teknik industri dalam berbagai sektor, termasuk manufaktur, jasa, dan logistik</t>
  </si>
  <si>
    <t>Mahasiswa mampu menerapkan pendekatan sistematis dan terstruktur dalam menganalisis masalah-masalah industri</t>
  </si>
  <si>
    <t>CPMK012</t>
  </si>
  <si>
    <t>Mahasiswa mampu menjelaskan konsep dasar perilaku organisasi, termasuk pengertian, ruang lingkup, dan pentingnya perilaku organisasi dalam konteks manajemen dan operasi industri</t>
  </si>
  <si>
    <t>Mahasiswa mampu mengaplikasikan teori dan konsep perilaku organisasi dalam menganalisis kasus nyata di tempat kerja atau dalam simulasi organisasi</t>
  </si>
  <si>
    <t>MK01</t>
  </si>
  <si>
    <t>MK02</t>
  </si>
  <si>
    <t>MK03</t>
  </si>
  <si>
    <t>MK04</t>
  </si>
  <si>
    <t>MK05</t>
  </si>
  <si>
    <t>MK06</t>
  </si>
  <si>
    <t>MK07</t>
  </si>
  <si>
    <t>CPMK013</t>
  </si>
  <si>
    <t>CPMK014</t>
  </si>
  <si>
    <t>Mahasiswa mampu menjelaskan konsep dasar kimia seperti struktur atom, tabel periodik, ikatan kimia, dan stoikiometri</t>
  </si>
  <si>
    <t>Mahasiswa dapat mengidentifikasi, merumuskan, dan menyelesaikan masalah kimia dengan pendekatan sistematis</t>
  </si>
  <si>
    <t xml:space="preserve">Mahasiswa mampu menerapkan teknik menggambar untuk mendesain komponen mekanik dan sistem sederhana, serta mampu menyajikan desain tersebut dalam bentuk gambar teknik yang dapat dipahami oleh pihak lain
</t>
  </si>
  <si>
    <t>MK08</t>
  </si>
  <si>
    <t>CPMK015</t>
  </si>
  <si>
    <t>Mahasiswa mampu memahami dan menerapkan konsep-konsep dasar deret, termasuk deret aritmetika, deret geometri, dan uji konvergensi</t>
  </si>
  <si>
    <t>Mahasiswa mampu memecahkan masalah matematika yang lebih kompleks, seperti optimasi pada fungsi multivariabel dan aplikasi integral dalam fisika dan teknik</t>
  </si>
  <si>
    <t>MK09</t>
  </si>
  <si>
    <t>CPMK017</t>
  </si>
  <si>
    <t>Mahasiswa mampu menjelaskan konsep dasar muatan listrik, medan listrik, dan potensial listrik</t>
  </si>
  <si>
    <t>Mahasiswa dapat mengintegrasikan konsep-konsep fisika dasar dalam analisis dan pemecahan masalah di bidang teknik dan sains, seperti dalam desain sirkuit elektronik atau pengembangan sistem optik</t>
  </si>
  <si>
    <t>MK10</t>
  </si>
  <si>
    <t>CPMK019</t>
  </si>
  <si>
    <t>CPMK021</t>
  </si>
  <si>
    <t>Mahasiswa mampu mengidentifikasi masalah yang muncul selama pelaksanaan eksperimen dan merancang solusi untuk mengatasi masalah tersebut</t>
  </si>
  <si>
    <t>Mahasiswa mampu menerapkan konsep-konsep dasar fisika yang telah dipelajari dalam perkuliahan teori ke dalam konteks eksperimen laboratorium</t>
  </si>
  <si>
    <t>MK11</t>
  </si>
  <si>
    <t>Mahasiswa mampu menjelaskan konsep-konsep dasar ekonomi teknik, termasuk nilai waktu dari uang, suku bunga, inflasi, dan depresiasi</t>
  </si>
  <si>
    <t>Mahasiswa mampu mengaplikasikan prinsip-prinsip ekonomi teknik dalam konteks industri, termasuk manufaktur</t>
  </si>
  <si>
    <t>CPMK022</t>
  </si>
  <si>
    <t>CPMK023</t>
  </si>
  <si>
    <t>CPMK024</t>
  </si>
  <si>
    <t>CPMK025</t>
  </si>
  <si>
    <t>CPMK026</t>
  </si>
  <si>
    <t>CPMK027</t>
  </si>
  <si>
    <t>CPMK028</t>
  </si>
  <si>
    <t>CPMK029</t>
  </si>
  <si>
    <t>CPMK031</t>
  </si>
  <si>
    <t>CPMK032</t>
  </si>
  <si>
    <t>CPMK041</t>
  </si>
  <si>
    <t>CPMK042</t>
  </si>
  <si>
    <t>MK12</t>
  </si>
  <si>
    <t>Mahasiswa mampu menjelaskan prinsip-prinsip dasar mekanika, seperti hukum Newton, keseimbangan statis, dan prinsip kerja gaya dalam struktur</t>
  </si>
  <si>
    <t>Mahasiswa dapat menerapkan pendekatan sistematis dalam memecahkan masalah teknis yang berkaitan dengan mekanika struktur</t>
  </si>
  <si>
    <t>Mahasiswa mampu menjelaskan konsep dasar proses manufaktur, termasuk definisi, ruang lingkup, dan pentingnya manufaktur dalam industri</t>
  </si>
  <si>
    <t>Mahasiswa mampu mengaplikasikan pengetahuan tentang proses manufaktur dalam merancang dan mengembangkan produk dari konsep hingga produksi</t>
  </si>
  <si>
    <t>MK14</t>
  </si>
  <si>
    <t>Mahasiswa dapat menggunakan berbagai alat dan mesin manufaktur dengan benar, seperti mesin bubut, mesin frais, dan mesin gerinda</t>
  </si>
  <si>
    <t>Mahasiswa dapat bekerja sama dalam tim untuk menyelesaikan tugas praktikum dan berkomunikasi secara efektif mengenai aspek teknis</t>
  </si>
  <si>
    <t>MK15</t>
  </si>
  <si>
    <t>Mahasiswa mampu memahami peran rekayasa dan peran insinyur dalam rekayasa dan keterkaitannya</t>
  </si>
  <si>
    <t>Mahasiswa dapat menghubungkan Kerekayasaan dalam bidang teknik manufaktur dan dalam bidang teknik lainnya</t>
  </si>
  <si>
    <t>MK16</t>
  </si>
  <si>
    <t>Mahasiswa dapat memahami dan menerapkan struktur dasar pemrograman seperti variabel, tipe data, operator, dan kontrol alur (seperti percabangan dan perulangan) dalam menyelesaikan masalah komputasi sederhana</t>
  </si>
  <si>
    <t>Mahasiswa dapat merancang dan mengimplementasikan algoritma yang efisien serta memilih dan menggunakan struktur data yang sesuai untuk memecahkan masalah pemrograman yang lebih kompleks</t>
  </si>
  <si>
    <t>MK17</t>
  </si>
  <si>
    <t>Mahasiswa mampu membuat dengan metodologi life cycle dengan langkah-langkahnya pembuatan perangkat lunak, baik menggunakan bahasa tinngkat rendah (low level language) hingga tingkat tinggi (high level language) – baik yang bersifat terbuka (open source) maupun tertutup (proprietary)</t>
  </si>
  <si>
    <t>Kemampuan seorang individu dalam merancang, mendesain, mengkonfigurasi, dan membuat perangkat lunak (sotfware) maupun aplikasi yang dijalankan/dioperasikan dalam lingkungan komputer, piranti digital, maupun jaringan</t>
  </si>
  <si>
    <t>MK18</t>
  </si>
  <si>
    <t>Mahasiswa dapat mengidentifikasi jenis-jenis data (kualitatif dan kuantitatif) dan metode pengumpulan data yang sesuai dalam konteks industri</t>
  </si>
  <si>
    <t>Mahasiswa mampu menggunakan metode statistik untuk memecahkan masalah nyata dalam industri, seperti pengendalian kualitas, peramalan, dan optimasi proses</t>
  </si>
  <si>
    <t>MK19</t>
  </si>
  <si>
    <t>Mahasiswa mampu menjelaskan konsep-konsep dasar ekologi industri, termasuk definisi, ruang lingkup, dan pentingnya ekologi dalam konteks industri</t>
  </si>
  <si>
    <t>Mahasiswa mampu menganalisis studi kasus terkait dengan penerapan prinsip ekologi industri dalam berbagai sektor industri</t>
  </si>
  <si>
    <t>Mahasiswa mampu menjelaskan konsep dasar aljabar linier, termasuk vektor, ruang vektor, dan sistem persamaan linier</t>
  </si>
  <si>
    <t>Mahasiswa dapat menerapkan metode matriks untuk menyelesaikan masalah aplikasi dalam berbagai bidang teknik</t>
  </si>
  <si>
    <t>CPMK043</t>
  </si>
  <si>
    <t>CPMK044</t>
  </si>
  <si>
    <t>CPMK045</t>
  </si>
  <si>
    <t>CPMK046</t>
  </si>
  <si>
    <t>CPMK047</t>
  </si>
  <si>
    <t>CPMK048</t>
  </si>
  <si>
    <t>CPMK049</t>
  </si>
  <si>
    <t>CPMK051</t>
  </si>
  <si>
    <t>CPMK052</t>
  </si>
  <si>
    <t>CPMK053</t>
  </si>
  <si>
    <t>CPMK054</t>
  </si>
  <si>
    <t>CPMK055</t>
  </si>
  <si>
    <t>CPMK056</t>
  </si>
  <si>
    <t>CPMK057</t>
  </si>
  <si>
    <t>CPMK058</t>
  </si>
  <si>
    <t>CPMK059</t>
  </si>
  <si>
    <t>CPMK061</t>
  </si>
  <si>
    <t>CPMK062</t>
  </si>
  <si>
    <t>CPMK063</t>
  </si>
  <si>
    <t>CPMK064</t>
  </si>
  <si>
    <t>CPMK071</t>
  </si>
  <si>
    <t>CPMK072</t>
  </si>
  <si>
    <t>CPMK081</t>
  </si>
  <si>
    <t>CPMK093</t>
  </si>
  <si>
    <t>MK21</t>
  </si>
  <si>
    <t>Mahasiswa dapat memahami dan menyusun model matematis dari masalah optimasi serta menerapkan teknik analisis yang tepat, seperti program linear, untuk menyelesaikan masalah tersebut</t>
  </si>
  <si>
    <t>Mahasiswa dapat menerapkan metode pencarian dan heuristik untuk menyelesaikan masalah optimasi yang kompleks, termasuk memahami konsep dasar algoritma pencarian dan strategi heuristik dalam konteks riset operasi</t>
  </si>
  <si>
    <t>MK22</t>
  </si>
  <si>
    <t>Mahasiswa dapat mengidentifikasi berbagai jenis material teknik, seperti logam, polimer, keramik, dan komposit, serta aplikasi dalam industri</t>
  </si>
  <si>
    <t>Mahasiswa dapat memahami dan menerapkan berbagai teknik uji material, seperti uji tarik, uji kekerasan, dan uji impact</t>
  </si>
  <si>
    <t>MK23</t>
  </si>
  <si>
    <t>Mahasiswa dapat menyusun dan menyelesaikan model program non-linear, termasuk memahami teknik-teknik optimasi non-linear seperti metode Lagrange dan teknik optimasi konveks</t>
  </si>
  <si>
    <t>Mahasiswa dapat menganalisis dan memecahkan masalah optimasi nyata dalam konteks industri, seperti perencanaan produksi, logistik, dan penjadwalan, serta menerapkan teknik riset operasi untuk meningkatkan efisiensi dan efektivitas</t>
  </si>
  <si>
    <t>MK24</t>
  </si>
  <si>
    <t>Mahasiswa dapat menerapkan teknik data mining dan pembelajaran mesin (machine learning) untuk mengidentifikasi pola, tren, dan hubungan dalam data, serta membangun model prediktif dan klasifikasi</t>
  </si>
  <si>
    <t>Mahasiswa dapat menerapkan teknik analitika data dalam studi kasus nyata, mengidentifikasi masalah yang relevan, serta memberikan solusi berbasis data dalam konteks industri atau penelitian</t>
  </si>
  <si>
    <t>MK25</t>
  </si>
  <si>
    <t>Mahasiswa mampu menjelaskan pengertian probabilitas dan hukum dasar probabilitas</t>
  </si>
  <si>
    <t>Mahasiswa dapat membangun dan menerapkan model probabilistik untuk memecahkan masalah nyata dalam berbagai bidang teknik</t>
  </si>
  <si>
    <t>MK26</t>
  </si>
  <si>
    <t>Mahasiswa dapat memahami prinsip-prinsip dasar ergonomika, termasuk konsep desain ergonomis, faktor manusia, dan pengaruhnya terhadap kesehatan dan kinerja</t>
  </si>
  <si>
    <t>Mahasiswa dapat memahami dan menerapkan konsep ergonomika dalam konteks kesehatan dan keselamatan kerja, termasuk pencegahan cedera kerja dan pengelolaan risiko ergonomi</t>
  </si>
  <si>
    <t>MK27</t>
  </si>
  <si>
    <t>MK28</t>
  </si>
  <si>
    <t>Mahasiswa mampu mengidentifikasi konsep-konsep statistik lanjutan seperti analisis regresi, ANOVA, metode non-parametrik, dan statistik multivariate</t>
  </si>
  <si>
    <t>Mahasiswa mampu mengevaluasi hasil analisis statistik untuk memastikan keakuratan, relevansi, dan penerapannya dalam sistem industri</t>
  </si>
  <si>
    <t>MK29</t>
  </si>
  <si>
    <t>Mahasiswa memahami jenis-jenis biaya, seperti biaya tetap, biaya variabel, biaya langsung, dan biaya tidak langsung</t>
  </si>
  <si>
    <t>MK30</t>
  </si>
  <si>
    <t>Mahasiswa dapat memahami dan menjelaskan konsep dasar dalam teori keputusan, termasuk jenis keputusan, kriteria pengambilan keputusan, dan model-model dasar pengambilan keputusan</t>
  </si>
  <si>
    <t>Mahasiswa dapat menerapkan teori keputusan dalam konteks organisasi, termasuk pengambilan keputusan strategis, operasional, dan taktis, serta memahami dinamika pengambilan keputusan dalam kelompok dan tim</t>
  </si>
  <si>
    <t>MK31</t>
  </si>
  <si>
    <t>Mahasiswa mampu menjelaskan konsep dasar perancangan fasilitas, termasuk definisi, tujuan, dan prinsip-prinsip dasar dalam perancangan fasilitas</t>
  </si>
  <si>
    <t>Analisis kinerja fasilitas untuk memastikan bahwa desain memenuhi kebutuhan dan spesifikasi</t>
  </si>
  <si>
    <t>MK32</t>
  </si>
  <si>
    <t>Mahasiswa dapat menggunakan teknik perancangan untuk merancang layout fasilitas yang optimal, termasuk aliran material, tenaga kerja, dan informasi</t>
  </si>
  <si>
    <t>MK33</t>
  </si>
  <si>
    <t>Mahasiswa dapat memahami konsep dasar pemodelan sistem, termasuk tujuan, manfaat, dan jenis model sistem seperti model fisik, matematis, dan simulasi</t>
  </si>
  <si>
    <t>Mahasiswa dapat menggunakan model sistem untuk mendukung pengambilan keputusan, termasuk menganalisis berbagai skenario dan dampak dari keputusan yang diambil</t>
  </si>
  <si>
    <t>MK34</t>
  </si>
  <si>
    <t>Mahasiswa dapat memahami dan menjelaskan konsep dasar perencanaan dan pengendalian produksi, termasuk tujuan, manfaat, dan komponen utama dalam sistem produksi</t>
  </si>
  <si>
    <t>Mahasiswa dapat menerapkan teori dan teknik perencanaan dan pengendalian produksi dalam studi kasus nyata termasuk menganalisis masalah produksi dan merancang solusi yang efektif</t>
  </si>
  <si>
    <t>MK35</t>
  </si>
  <si>
    <t>Mahasiswa mampu menjelaskan konsep dasar perancangan dan pengembangan produk, termasuk definisi, tujuan, dan pentingnya proses ini dalam siklus hidup produk</t>
  </si>
  <si>
    <t xml:space="preserve">Mahasiswa dapat menerapkan konsep dan teknik yang dipelajari dalam proyek pengembangan produk nyata </t>
  </si>
  <si>
    <t>MK36</t>
  </si>
  <si>
    <t>Mahasiswa dapat menjelaskan konsep dasar simulasi sistem, termasuk tujuan, jenis, dan manfaat dari simulasi sistem dalam berbagai konteks</t>
  </si>
  <si>
    <t>Mahasiswa dapat menggunakan simulasi untuk mengevaluasi dan mengoptimalkan kinerja sistem dan perbandingan alternatif desain</t>
  </si>
  <si>
    <t>MK37</t>
  </si>
  <si>
    <t>MK38</t>
  </si>
  <si>
    <t>Mahasiswa dapat memahami dan menjelaskan konsep dasar pengendalian dan penjaminan mutu, termasuk tujuan, manfaat, dan prinsip dasar dari kedua proses ini</t>
  </si>
  <si>
    <t>Mahasiswa dapat menerapkan konsep dan teknik pengendalian dan penjaminan mutu dalam studi kasus nyata termasuk menganalisis masalah kualitas dan merancang solusi yang efektif.</t>
  </si>
  <si>
    <t>Mahasiswa memahami bagaimana sistem rantai pasok berkontribusi terhadap kinerja keseluruhan organisasi</t>
  </si>
  <si>
    <t>Identifikasi dan penerapan indikator kinerja utama untuk mengevaluasi efektivitas rantai pasok.</t>
  </si>
  <si>
    <t>MK39</t>
  </si>
  <si>
    <t>Mahasiswa mampu menjelaskan definisi, komponen, dan fungsi sistem informasi dalam organisasi</t>
  </si>
  <si>
    <t>Mahasiswa menerapkan konsep dan teknik yang dipelajari dalam proyek praktis untuk merancang dan mengembangkan sistem informasi</t>
  </si>
  <si>
    <t>MK40</t>
  </si>
  <si>
    <t>MK41</t>
  </si>
  <si>
    <t>Mahasiswa memahami berbagai fungsi dalam organisasi industri, termasuk produksi, pemasaran, keuangan, dan sumber daya manusia</t>
  </si>
  <si>
    <t>Mahasiswa menerapkan konsep dan teknik yang dipelajari dalam proyek praktis terkait perancangan dan manajemen organisasi industri</t>
  </si>
  <si>
    <t>Mahasiswa dapat mengidentifikasi dan memahami fungsi berbagai komponen elektronika industri seperti sensor, aktuator, relay, dan perangkat semikonduktor</t>
  </si>
  <si>
    <t>Mahasiswa dapat mengidentifikasi dan menerapkan standar dan regulasi industri yang relevan dengan sistem elektronika, termasuk aspek keselamatan dan kepatuhan</t>
  </si>
  <si>
    <t>MK42</t>
  </si>
  <si>
    <t>MK43</t>
  </si>
  <si>
    <t>Mahasiswa dapat memahami dan menjelaskan konsep dasar sistem produksi, termasuk definisi, tujuan, dan komponen utama dalam sistem produksi</t>
  </si>
  <si>
    <t>Mahasiswa dapat menganalisis kinerja sistem produksi dan menerapkan teknik perbaikan berkelanjutan untuk meningkatkan efisiensi dan efektivitas</t>
  </si>
  <si>
    <t>MK44</t>
  </si>
  <si>
    <t>Memahami pendekatan-pendekatan teknik industri dalam menyelesaikan masalah</t>
  </si>
  <si>
    <t>MK45</t>
  </si>
  <si>
    <t>Memahami konsep dasar ergonomi, termasuk prinsip-prinsip desain yang berfokus pada interaksi antara manusia dan lingkungan kerjanya</t>
  </si>
  <si>
    <t>Mampu mengaplikasikan prinsip ergonomi dalam berbagai konteks, termasuk desain produk konsumen, lingkungan kerja industri</t>
  </si>
  <si>
    <t>MK46</t>
  </si>
  <si>
    <t>CPMK094</t>
  </si>
  <si>
    <t>CPMK095</t>
  </si>
  <si>
    <t>CPMK096</t>
  </si>
  <si>
    <t>CPMK099</t>
  </si>
  <si>
    <t>CPMK100</t>
  </si>
  <si>
    <t>CPMK101</t>
  </si>
  <si>
    <t>CPMK102</t>
  </si>
  <si>
    <t>CPMK103</t>
  </si>
  <si>
    <t>CPMK104</t>
  </si>
  <si>
    <t>CPMK105</t>
  </si>
  <si>
    <t>CPMK106</t>
  </si>
  <si>
    <t>CPMK107</t>
  </si>
  <si>
    <t>Mampu mengerti dan memahami peran strategis manajemen perawatan , ruang lingkup, definisi dan istilah yang ada</t>
  </si>
  <si>
    <t>Mahasiswa mampu mengerti dan memahami biaya perawatan atau Maintenance Costing, analisa biaya manajemen perawatan beserta 
komponen komponennya</t>
  </si>
  <si>
    <t>MK51</t>
  </si>
  <si>
    <t>Keselamatan dan Kesehatan Kerja</t>
  </si>
  <si>
    <t>Mahasiswa mampu memahami konsep dasar keselamatan dan kesehatan kerja, termasuk prinsip-prinsip pencegahan kecelakaan, pengendalian risiko</t>
  </si>
  <si>
    <t>Mahasiswa mampu merancang dan menerapkan langkah-langkah pencegahan kecelakaan kerja</t>
  </si>
  <si>
    <t>MK52</t>
  </si>
  <si>
    <t>Mahasiswa mampu memahami prinsip dasar logistik, termasuk fungsi, tujuan, dan peran logistik dalam sistem rantai pasok</t>
  </si>
  <si>
    <t>Mahasiswa mampu mengevaluasi kinerja logistik menggunakan indikator seperti biaya logistik, waktu siklus, dan tingkat layanan pelanggan</t>
  </si>
  <si>
    <t>MK53</t>
  </si>
  <si>
    <t>MK54</t>
  </si>
  <si>
    <t xml:space="preserve">Mahasiswa dapat mengintegrasikan konsep dan teknik dari berbagai mata kuliah dalam Teknik Industri, seperti manajemen operasi, ergonomi, analisis keputusan, dan sistem produksi, untuk menyelesaikan masalah yang kompleks </t>
  </si>
  <si>
    <t>Mahasiswa dapat menyusun dokumentasi yang lengkap dan profesional untuk setiap tahap proyek, termasuk perencanaan, implementasi, hasil, dan evaluasi akhir, serta menyajikan laporan proyek yang sesuai standar industri</t>
  </si>
  <si>
    <t>MK55</t>
  </si>
  <si>
    <t>Memahami dan menerapkan struktur kalimat dasar dalam bahasa Inggris, termasuk penggunaan tenses, subject-verb agreement, dan modals</t>
  </si>
  <si>
    <t>Memahami dan menerapkan etika berkomunikasi yang sesuai dalam interaksi formal dan informal dalam bahasa Inggris</t>
  </si>
  <si>
    <t>Mahasiswa dapat memahami konsep dasar, prinsip, dan etika dalam penelitian ilmiah, khususnya yang relevan dengan teknik industri</t>
  </si>
  <si>
    <t>Mahasiswa dapat menyusun proposal penelitian yang sistematis, mencakup latar belakang, metodologi, hasil, dan kesimpulan, serta mempresentasikannya dengan baik</t>
  </si>
  <si>
    <t>Mahasiswa mampu menjelaskan konsep dasar optimasi, algoritma heuristik, dan metaheuristik, serta perbedaan antara algoritma eksak dan pendekatan metaheuristik</t>
  </si>
  <si>
    <t>Mahasiswa mampu memilih algoritma metaheuristik yang sesuai untuk menyelesaikan masalah optimasi dalam berbagai konteks, seperti penjadwalan, perencanaan, dan desain sistem</t>
  </si>
  <si>
    <t>CPMK110</t>
  </si>
  <si>
    <t>CPMK111</t>
  </si>
  <si>
    <t>MK60</t>
  </si>
  <si>
    <t>Mahasiswa mampu mengidentifikasi dan merumuskan masalah penelitian atau perancangan sistem berdasarkan kajian literatur dan kebutuhan di bidang teknik industri</t>
  </si>
  <si>
    <t>Mahasiswa mampu merumuskan tujuan penelitian serta menentukan ruang lingkup dan batasan masalah secara jelas dan sistematis</t>
  </si>
  <si>
    <t xml:space="preserve"> Mahasiswa mampu menyusun laporan penelitian yang sesuai dengan format skripsi yang berlaku dan menyampaikan hasil penelitian secara lisan dan tertulis dengan jelas dan sistematis</t>
  </si>
  <si>
    <t>Mahasiswa mampu mematuhi kaidah dan etika penelitian, termasuk penghormatan terhadap hak kekayaan intelektual (plagiarisme), perlindungan data, dan etika komunikasi ilmiah</t>
  </si>
  <si>
    <t>Mahasiswa mampu mengevaluasi hasil penelitian dan menarik kesimpulan yang valid, termasuk memberikan rekomendasi praktis atau implikasi teoretis dari hasil penelitian</t>
  </si>
  <si>
    <t>MK61</t>
  </si>
  <si>
    <t>Mahasiswa dapat memahami dan menjelaskan konsep sistem terpadu, serta bagaimana sistem ini dapat meningkatkan efisiensi dan efektivitas dalam konteks organisasi</t>
  </si>
  <si>
    <t>Mahasiswa dapat merancang, mengembangkan, dan mengimplementasikan proyek sistem terpadu yang mencerminkan aplikasi nyata dari konsep yang dipelajari</t>
  </si>
  <si>
    <t>Nomor MK</t>
  </si>
  <si>
    <t>Deskripsi CPMK</t>
  </si>
  <si>
    <t>No</t>
  </si>
  <si>
    <t>CPL</t>
  </si>
  <si>
    <t>CPMK</t>
  </si>
  <si>
    <t xml:space="preserve">Deskripsi </t>
  </si>
  <si>
    <t>Kemampuan untuk merancang sistem terintegrasi dengan memenuhi standar yang diperlukan dan berbagai batasan multi aspek yang realistis (misal: teknis, aspek hukum, ekonomi, lingkungan, sosial, politik, kesehatan dan keselamatan, keberlanjutan), serta melibatkan berbagai pemangku kepentingan, dan mengidentifikasi dan/atau memanfaatkan potensi sumber daya lokal dan nasional dengan pandangan global di bidang teknik industri</t>
  </si>
  <si>
    <t>Kemampuan untuk merancang dan melakukan eksperimen laboratorium dan/atau lapangan dan menganalisis dan menerjemahkan data untuk mendukung proses pengambilan keputusan keteknikindustrian</t>
  </si>
  <si>
    <t>Kemampuan untuk mengidentifikasi, merumuskan, menganalisis dan menyelesaikan permasalahan kompleks di bidang teknik industri</t>
  </si>
  <si>
    <t>Kemampuan untuk menerapkan metode, keterampilan, dan peralatan teknik modern yang diperlukan dalam praktik keteknikindustrian</t>
  </si>
  <si>
    <t>Kemampuan untuk berkomunikasi lisan dan tulisan secara efektif</t>
  </si>
  <si>
    <t>Kemampuan untuk merencanakan, menyelesaikan, dan mengevaluasi tugas dengan memperhatikan batasan yang diberikan</t>
  </si>
  <si>
    <t>Kemampuan untuk bekerja dalam tim</t>
  </si>
  <si>
    <t>Kemampuan untuk bertanggungjawab kepada masyarakat, akuntabel, dan menjalankan etika profesi dalam menyelesaikan permasalahan keteknikindustrian</t>
  </si>
  <si>
    <t>Kemampuan untuk terlibat dalam pembelajaran sepanjang hayat, termasuk akses terhadap pengetahuan yang relevan dari isu-isu terkini</t>
  </si>
  <si>
    <t>Kemampuan merancang dan mengembangkan teknologi tepat guna yang sesuai dengan kebutuhan masyarakat</t>
  </si>
  <si>
    <t>Kemampuan untuk mengembangkan, menciptakan, mengelola kewirausahaan berbasis teknologi</t>
  </si>
  <si>
    <t>Kemampuan untuk menerapkan pengetahuan matematika, ilmu alam dan/atau material, teknologi informasi dan keteknikan untuk memperoleh pemahaman menyeluruh dari prinsip-prinsip keteknikindustrian</t>
  </si>
  <si>
    <t>Mahasiswa mampu menjelaskan dan memahami konsep dasar kalkulus, termasuk limit, kontinuitas, dan turunan fungsi</t>
  </si>
  <si>
    <t>Mahasiswa mampu menyelesaikan berbagai masalah teknik dan ilmiah menggunakan teknik kalkulus, seperti optimasi dan analisis grafik fungsi</t>
  </si>
  <si>
    <t>MK20</t>
  </si>
  <si>
    <t>CPMK011</t>
  </si>
  <si>
    <t>CPMK016</t>
  </si>
  <si>
    <t>CPMK018</t>
  </si>
  <si>
    <t>CPMK121</t>
  </si>
  <si>
    <t>CPMK122</t>
  </si>
  <si>
    <t>CPMK123</t>
  </si>
  <si>
    <t>CPMK124</t>
  </si>
  <si>
    <t>CPMK120</t>
  </si>
  <si>
    <t>CPMK125</t>
  </si>
  <si>
    <t>CPMK126</t>
  </si>
  <si>
    <t>CPMK127</t>
  </si>
  <si>
    <t>CPMK128</t>
  </si>
  <si>
    <t>CPMK129</t>
  </si>
  <si>
    <t>CPMK130</t>
  </si>
  <si>
    <t>CPMK131</t>
  </si>
  <si>
    <t>CPMK132</t>
  </si>
  <si>
    <t>CPMK133</t>
  </si>
  <si>
    <t>CPMK134</t>
  </si>
  <si>
    <t>MK13</t>
  </si>
  <si>
    <t>CPMK230</t>
  </si>
  <si>
    <t>CPMK231</t>
  </si>
  <si>
    <t>CPMK232</t>
  </si>
  <si>
    <t>CPMK233</t>
  </si>
  <si>
    <t>CPMK234</t>
  </si>
  <si>
    <t>CPMK235</t>
  </si>
  <si>
    <t>CPMK236</t>
  </si>
  <si>
    <t>CPMK237</t>
  </si>
  <si>
    <t>CPMK238</t>
  </si>
  <si>
    <t>CPMK239</t>
  </si>
  <si>
    <t>CPMK240</t>
  </si>
  <si>
    <t>CPMK241</t>
  </si>
  <si>
    <t>CPMK242</t>
  </si>
  <si>
    <t>CPMK243</t>
  </si>
  <si>
    <t>CPMK244</t>
  </si>
  <si>
    <t>P.24.05.41.8.59</t>
  </si>
  <si>
    <t>MK59</t>
  </si>
  <si>
    <t>CPMK245</t>
  </si>
  <si>
    <t>CPMK246</t>
  </si>
  <si>
    <t>CPMK450</t>
  </si>
  <si>
    <t>CPMK451</t>
  </si>
  <si>
    <t>CPMK452</t>
  </si>
  <si>
    <t>CPMK453</t>
  </si>
  <si>
    <t>CPMK454</t>
  </si>
  <si>
    <t>CPMK455</t>
  </si>
  <si>
    <t>CPMK456</t>
  </si>
  <si>
    <t>CPMK457</t>
  </si>
  <si>
    <t>CPMK458</t>
  </si>
  <si>
    <t>CPMK459</t>
  </si>
  <si>
    <t>CPMK460</t>
  </si>
  <si>
    <t>CPMK461</t>
  </si>
  <si>
    <t>CPMK462</t>
  </si>
  <si>
    <t>CPMK463</t>
  </si>
  <si>
    <t>CPMK464</t>
  </si>
  <si>
    <t>Mahasiswa mampu mengerti dan memahami biaya perawatan atau Maintenance Costing, analisa biaya manajemen perawatan beserta komponen komponennya</t>
  </si>
  <si>
    <t>CPMK465</t>
  </si>
  <si>
    <t>CPMK466</t>
  </si>
  <si>
    <t>CPMK467</t>
  </si>
  <si>
    <t>CPMK468</t>
  </si>
  <si>
    <t>CPMK469</t>
  </si>
  <si>
    <t>CPMK470</t>
  </si>
  <si>
    <t>CPMK471</t>
  </si>
  <si>
    <t>CPMK560</t>
  </si>
  <si>
    <t>CPMK561</t>
  </si>
  <si>
    <t>CPMK562</t>
  </si>
  <si>
    <t>CPMK563</t>
  </si>
  <si>
    <t>CPMK564</t>
  </si>
  <si>
    <t>CPMK565</t>
  </si>
  <si>
    <t>CPMK566</t>
  </si>
  <si>
    <t>Identifikasi dan Perumusan Masalah, Kajian Literatur, Pengumpulan dan Validasi Data, Analisis Data dan Pemodelan</t>
  </si>
  <si>
    <t>MK62</t>
  </si>
  <si>
    <t>Mahasiswa mampu memahami nilai-nilai dasar agama yang berlandaskan ketuhanan, moral, dan etika sesuai dengan kepercayaan masing-masing.</t>
  </si>
  <si>
    <t>Mahasiswa mampu menjelaskan pentingnya kesadaran bernegara dengan memahami hak dan kewajiban sebagai warga negara dalam menjaga persatuan dan kesatuan bangsa</t>
  </si>
  <si>
    <t>Mahasiswa mampu menunjukkan sikap bela negara melalui partisipasi aktif dalam menjaga ketertiban sosial, stabilitas politik, dan kedaulatan negara</t>
  </si>
  <si>
    <t>MK63</t>
  </si>
  <si>
    <t>Mahasiswa mampu memahami sejarah, hakikat, dan kedudukan Pancasila sebagai dasar negara, ideologi, dan pandangan hidup bangsa Indonesia</t>
  </si>
  <si>
    <t>Mahasiswa mampu berperan aktif sebagai agen perubahan dalam menanamkan nilai-nilai Pancasila di berbagai aspek kehidupan, baik lokal, nasional, maupun global.</t>
  </si>
  <si>
    <t>MK64</t>
  </si>
  <si>
    <t>MK65</t>
  </si>
  <si>
    <t>Mahasiswa mampu menyampaikan gagasan secara lisan dalam forum formal maupun informal menggunakan Bahasa Indonesia yang efektif, jelas, dan komunikatif</t>
  </si>
  <si>
    <t>Mahasiswa mampu mengembangkan keterampilan literasi, seperti membaca kritis, menulis kreatif, dan memahami teks kompleks, untuk mendukung kemampuan akademik dan profesional</t>
  </si>
  <si>
    <t>MK66</t>
  </si>
  <si>
    <t>MK67</t>
  </si>
  <si>
    <t>Mahasiswa mampu memahami konsep dasar kewirausahaan, termasuk karakteristik wirausaha, mindset entrepreneur, dan prinsip-prinsip membangun bisnis startup</t>
  </si>
  <si>
    <t>Mahasiswa mampu menyusun rencana bisnis (business plan) yang mencakup visi, misi, strategi pemasaran, analisis keuangan, dan rencana operasional</t>
  </si>
  <si>
    <t>Mahasiswa mampu memahami konsep, nilai, dan prinsip metodologi agile yang relevan dalam mengelola bisnis startup dan usaha yang dinamis.</t>
  </si>
  <si>
    <t>Mahasiswa mampu merancang dan menerapkan strategi untuk meningkatkan kecepatan pengambilan keputusan dan efisiensi dalam pengembangan produk atau layanan.</t>
  </si>
  <si>
    <t>Agile Entrepreneur</t>
  </si>
  <si>
    <t>MK</t>
  </si>
  <si>
    <t>Sub CPMK</t>
  </si>
  <si>
    <t>Deskripsi Sub-CPMK</t>
  </si>
  <si>
    <t>Mahasiswa mampu menunjukkan sikap toleransi terhadap perbedaan agama, budaya, dan kepercayaan dalam konteks kehidupan bermasyarakat</t>
  </si>
  <si>
    <t>Mahasiswa mampu bekerja dalam tim multidisiplin, serta berkomunikasi secara efektif untuk menyampaikan hasil analisis dan rekomendasi desain kepada pihak terkait</t>
  </si>
  <si>
    <t>Mahasiswa mampu melakukan evaluasi terhadap sistem yang telah diimplementasikan, serta mengusulkan perbaikan atau modifikasi untuk meningkatkan efisiensi, efektivitas, dan fleksibilitas sistem</t>
  </si>
  <si>
    <t>Mahasiswa mampu menyusun laporan penelitian yang sesuai dengan format skripsi yang berlaku dan menyampaikan hasil penelitian secara lisan dan tertulis dengan jelas dan sistematis</t>
  </si>
  <si>
    <t>Mengaplikasikan prinsip-prinsip agama dalam konteks profesional dan etika kerja, termasuk tanggung jawab sosial dan keberlanjutan</t>
  </si>
  <si>
    <t>Menguasai pengetahuan tentang sistem hukum dan konstitusi Indonesia, termasuk UUD 1945, hak asasi manusia, dan supremasi hokum</t>
  </si>
  <si>
    <t>Memahami dampak globalisasi terhadap identitas dan kewarganegaraan, serta tantangan yang dihadapi dalam mempertahankan kedaulatan dan nasionalisme</t>
  </si>
  <si>
    <t>Memahami sejarah perumusan Pancasila, latar belakang filosofis, dan peran tokoh-tokoh dalam pembentukan Pancasila</t>
  </si>
  <si>
    <t>Menunjukkan komitmen pribadi dan sosial untuk mengimplementasikan Pancasila dalam setiap aspek kehidupan</t>
  </si>
  <si>
    <t xml:space="preserve">Mahasiswa mampu menyusun laporan penelitian yang sesuai dengan format skripsi yang berlaku dan menyampaikan hasil penelitian secara lisan dan tertulis dengan jelas </t>
  </si>
  <si>
    <t>CPMK097</t>
  </si>
  <si>
    <t>Mampu menyusun tulisan ilmiah yang logis, sistematis, dan sesuai dengan kaidah bahasa Indonesia yang benar</t>
  </si>
  <si>
    <t>Mampu mencari, mengelola, dan menyajikan informasi dari berbagai sumber dalam bahasa Indonesia, serta mengkomunikasikannya secara efektif</t>
  </si>
  <si>
    <t>Menjelaskan konsep dasar kewirausahaan dan karakteristik startup</t>
  </si>
  <si>
    <t>Mampu mengembangkan dan menerapkan strategi penjualan dan pemasaran yang efektif untuk menarik dan mempertahankan pelanggan</t>
  </si>
  <si>
    <t>Mampu menerapkan prinsip-prinsip Agile dalam pengembangan produk, termasuk iterasi, umpan balik cepat, dan adaptasi</t>
  </si>
  <si>
    <t>Mampu menerapkan metodologi Agile dalam berbagai konteks kewirausahaan, termasuk pengembangan produk digital, layanan, dan sistem bisnis</t>
  </si>
  <si>
    <t>Sub-CPMK0111</t>
  </si>
  <si>
    <t>Sub-CPMK0112</t>
  </si>
  <si>
    <t>Mampu menjelaskan konsep kinematika, termasuk besaran skalar dan vektor, kecepatan, percepatan, serta gerak lurus dan gerak melingkar dan mampu menganalisis dinamika gerak, termasuk penerapan Hukum Newton dalam sistem partikel dan benda tegar</t>
  </si>
  <si>
    <t>Sub-CPMK0121</t>
  </si>
  <si>
    <t>Sub-CPMK0122</t>
  </si>
  <si>
    <t>Sub-CPMK0131</t>
  </si>
  <si>
    <t>Sub-CPMK0132</t>
  </si>
  <si>
    <t>Sub-CPMK0211</t>
  </si>
  <si>
    <t>Mahasiswa memahami konsep dan prinsip dasar dalam menggambar teknik, termasuk penggunaan standar internasional seperti ISO, ANSI, atau JIS dalam pembuatan gambar teknik</t>
  </si>
  <si>
    <t>Memahami dan menjelaskan ajaran-ajaran dasar agama yang dipelajari, termasuk kitab suci, hukum, dan etika agama</t>
  </si>
  <si>
    <t>Sub-CPMK0212</t>
  </si>
  <si>
    <t>Sub-CPMK0141</t>
  </si>
  <si>
    <t>Sub-CPMK0142</t>
  </si>
  <si>
    <t>Mampu menyelesaikan masalah momentum dan impuls, termasuk penerapan hukum kekekalan momentum dalam tumbukan elastis dan tidak elastis. Mampu menganalisis gaya dan percepatan gravitasi dalam perhitungan gerak benda jatuh bebas, orbit satelit, dan aplikasi teknik sederhana</t>
  </si>
  <si>
    <t>Mampu melakukan analisis grafik fungsi teknik, termasuk menentukan titik stasioner, titik belok, serta memahami tren suatu sistem berdasarkan turunan dan integralnya</t>
  </si>
  <si>
    <t>Mampu menerapkan teknik menggambar untuk mendesain komponen mekanik dan sistem sederhana, dengan memperhatikan aspek geometri, dimensi, serta toleransi yang sesuai dengan standar industri.</t>
  </si>
  <si>
    <t>Mampu menyajikan desain dalam bentuk gambar teknik yang dapat dipahami oleh pihak lain, baik dalam bentuk gambar dua dimensi (2D) maupun tiga dimensi (3D)</t>
  </si>
  <si>
    <t>Sub-CPMK0221</t>
  </si>
  <si>
    <t>Sub-CPMK0222</t>
  </si>
  <si>
    <t>Sub-CPMK0511</t>
  </si>
  <si>
    <t>Mahasiswa mampu menggunakan perangkat lunak Computer-Aided Design (CAD) dalam pembuatan gambar teknik</t>
  </si>
  <si>
    <t>Mahasiswa dapat menghasilkan gambar dua dimensi (2D) dan tiga dimensi (3D) untuk desain komponen mekanik dan sistem sederhana</t>
  </si>
  <si>
    <t xml:space="preserve">Mampu mengoperasikan perangkat lunak CAD untuk membuat gambar teknik dua dimensi (2D) </t>
  </si>
  <si>
    <t>Mampu membuat dan mengedit gambar teknik tiga dimensi (3D) menggunakan CAD, termasuk pemodelan komponen mekanik dan sistem sederhana.</t>
  </si>
  <si>
    <t>Sub-CPMK0521</t>
  </si>
  <si>
    <t>Sub-CPMK0231</t>
  </si>
  <si>
    <t xml:space="preserve">Mampu menganalisis penerapan teknik industri dalam sektor manufaktur, optimasi proses, pengendalian kualitas, dll. </t>
  </si>
  <si>
    <t>Sub-CPMK0241</t>
  </si>
  <si>
    <t>Sub-CPMK0232</t>
  </si>
  <si>
    <t>Mampu merancang model sistematis untuk memahami dan memetakan permasalahan industri, termasuk pemanfaatan diagram alir, peta proses, atau pemodelan matematis</t>
  </si>
  <si>
    <t>Sub-CPMK0242</t>
  </si>
  <si>
    <t>Mampu mengembangkan solusi berbasis sistem dengan mempertimbangkan aspek efisiensi, efektivitas, dan keberlanjutan dalam industri manufaktur, jasa, dan logistik</t>
  </si>
  <si>
    <t>Sub-CPMK0251</t>
  </si>
  <si>
    <t>Mampu memahami faktor-faktor yang memengaruhi perilaku individu dalam organisasi, seperti motivasi, persepsi, sikap, dan kepuasan kerja</t>
  </si>
  <si>
    <t>Mampu menjelaskan pengertian dasar perilaku organisasi, termasuk konsep individu, kelompok, dan struktur dalam organisasi industri</t>
  </si>
  <si>
    <t>Sub-CPMK0252</t>
  </si>
  <si>
    <t>Sub-CPMK0261</t>
  </si>
  <si>
    <t>Mampu mengumpulkan dan menganalisis data perilaku organisasi dari studi kasus nyata atau simulasi untuk mengidentifikasi pola dan tantangan dalam organisasi.</t>
  </si>
  <si>
    <t>Mampu mengevaluasi faktor-faktor yang mempengaruhi efektivitas kerja, seperti komunikasi organisasi, budaya kerja, dan manajemen konflik.</t>
  </si>
  <si>
    <t>Sub-CPMK0262</t>
  </si>
  <si>
    <t>Sub-CPMK0151</t>
  </si>
  <si>
    <t>Mampu menjelaskan konsep dasar struktur atom, termasuk partikel penyusun atom, nomor atom, dan nomor massa dan mampu memahami dan menginterpretasikan tabel periodik unsur</t>
  </si>
  <si>
    <t>Sub-CPMK0152</t>
  </si>
  <si>
    <t>Mampu menjelaskan jenis-jenis ikatan kimia, seperti ikatan ionik, kovalen, dan logam, serta mampu menerapkan konsep stoikiometri dalam perhitungan reaksi kimia,</t>
  </si>
  <si>
    <t>Sub-CPMK0161</t>
  </si>
  <si>
    <t>Mampu mengidentifikasi masalah kimia berdasarkan konsep dasar seperti reaksi kimia, stoikiometri, termokimia, kesetimbangan, dan kinetika reaksi.</t>
  </si>
  <si>
    <t>Sub-CPMK0162</t>
  </si>
  <si>
    <t>Mampu menganalisis dan mengevaluasi hasil penyelesaian masalah kimia untuk memastikan kesesuaian dengan hukum dan prinsip kimia yang berlaku.</t>
  </si>
  <si>
    <t>Sub-CPMK0171</t>
  </si>
  <si>
    <t>Mampu menjelaskan konsep dasar deret dan suku ke-n, termasuk definisi deret aritmetika dan deret geometri dan mampu menghitung jumlah n suku pertama dari deret aritmetika</t>
  </si>
  <si>
    <t>Mampu menghitung jumlah n suku pertama dari deret geometri, baik untuk kasus deret geometri terbatas maupun tak hingga dan mampu menerapkan kriteria dan metode uji konvergens</t>
  </si>
  <si>
    <t>Sub-CPMK0172</t>
  </si>
  <si>
    <t>Sub-CPMK0181</t>
  </si>
  <si>
    <t>Sub-CPMK0182</t>
  </si>
  <si>
    <t xml:space="preserve">Mampu memahami dan menjelaskan konsep optimasi fungsi multivariabel, termasuk titik stasioner, maksimum, minimum, dan penggunaan metode Lagrange dalam kendala optimasi.
Mahasiswa mampu menerapkan teknik diferensial parsial untuk menentukan titik kritis </t>
  </si>
  <si>
    <t>Mampu menyelesaikan masalah dalam fisika dan teknik menggunakan integral</t>
  </si>
  <si>
    <t>Sub-CPMK0191</t>
  </si>
  <si>
    <t>Mampu menjelaskan konsep dasar muatan listrik, mampu memahami dan menerapkan hukum Coulomb dan mampu menjelaskan konsep medan listrik</t>
  </si>
  <si>
    <t>Sub-CPMK0192</t>
  </si>
  <si>
    <t>Mampu menerapkan hukum Gauss dalam menghitung medan listrik dan mampu menjelaskan konsep potensial listrik</t>
  </si>
  <si>
    <t>Sub-CPMK1201</t>
  </si>
  <si>
    <t>Sub-CPMK1202</t>
  </si>
  <si>
    <t>Mampu mengidentifikasi konsep-konsep fisika dasar yang relevan dalam berbagai aplikasi teknik dan sains dan mampu menerapkan hukum dasar kelistrikan</t>
  </si>
  <si>
    <t>Mampu menggunakan prinsip elektromagnetisme dan mampu menganalisis dan menerapkan konsep optik fisik dan geometris</t>
  </si>
  <si>
    <t>Mampu menghitung energi mekanik, mencakup energi kinetik, energi potensial, serta hukum kekekalan energi dalam berbagai sistem fisika, dan mampu memahami hukum gravitasi Newton, termasuk gaya gravitasi, percepatan gravitasi, dan gerak benda dalam medan gravitasi</t>
  </si>
  <si>
    <t>Mampu mengidentifikasi dan merumuskan persamaan kinematika untuk menyelesaikan permasalahan gerak lurus, gerak melingkar, dan gerak parabola dan mampu menerapkan hukum Newton dalam menganalisis gaya-gaya yang bekerja pada benda dan  menggunakan hukum kekekalan energi mekanik untuk menghitung energi kinetik, energi potensial, serta perubahan energi dalam sistem fisika.</t>
  </si>
  <si>
    <t>Memahami konsep dasar dalam menggambar teknik, dan mampu menjelaskan prinsip-prinsip dasar dalam menggambar teknik, seperti skala, dimensi, dan toleransi geometrik yang digunakan dalam desain komponen mekani dan menerapkan standar internasional dalam gambar teknik, seperti ISO dan ANSI</t>
  </si>
  <si>
    <t>Mampu membaca dan menginterpretasikan gambar teknik sesuai dengan standar internasional, dan mampu membuat gambar teknik sederhana sesuai dengan standar yang berlaku</t>
  </si>
  <si>
    <t>Mampu memahami peran teknik industri dalam sektor jasa, dan  mampu mengidentifikasi dan menjelaskan peran teknik industri dalam manajemen rantai pasok dan logistik</t>
  </si>
  <si>
    <t>Sub-CPMK1211</t>
  </si>
  <si>
    <t>Sub-CPMK0311</t>
  </si>
  <si>
    <t>Sub-CPMK0321</t>
  </si>
  <si>
    <t>Sub-CPMK0271</t>
  </si>
  <si>
    <t>Mampu memahami dan menjelaskan konsep nilai waktu dari uang. Mampu menjelaskan berbagai jenis suku bunga, dan mampu menganalisis dampak inflasi terhadap keputusan ekonomi teknik</t>
  </si>
  <si>
    <t>Mampu menjelaskan metode depresiasi aset, dan mampu menggunakan konsep nilai waktu dari uang dalam analisis kelayakan ekonomi proyek teknik</t>
  </si>
  <si>
    <t>Sub-CPMK0272</t>
  </si>
  <si>
    <t>Sub-CPMK0281</t>
  </si>
  <si>
    <t>Sub-CPMK0282</t>
  </si>
  <si>
    <t xml:space="preserve">Mampu menerapkan konsep nilai waktu dari uang (Time Value of Money, TVM) dalam pengambilan keputusan investasi industri, dan mampu menganalisis dan mengevaluasi kelayakan ekonomi proyek industri </t>
  </si>
  <si>
    <t>Mampu menghitung dan membandingkan biaya modal dan biaya operasional dalam industri manufaktur, dan mampu menerapkan konsep depresiasi aset dalam perencanaan keuangan dan akuntansi industri</t>
  </si>
  <si>
    <t>Sub-CPMK1231</t>
  </si>
  <si>
    <t>Mampu memahami dan menjelaskan hukum Newton (hukum I, II, dan III) serta penerapannya, dan mampu menganalisis keseimbangan statis pada benda tegar</t>
  </si>
  <si>
    <t>Mampu memahami dan menerapkan prinsip gaya dalam struktur, dan mampu menghitung gaya dalam suatu struktur</t>
  </si>
  <si>
    <t>Sub-CPMK1241</t>
  </si>
  <si>
    <t>Sub-CPMK1232</t>
  </si>
  <si>
    <t>Mampu mengidentifikasi dan merumuskan permasalahan mekanika struktur, dan mampu menerapkan hukum-hukum dasar mekanika</t>
  </si>
  <si>
    <t>Sub-CPMK1242</t>
  </si>
  <si>
    <t>Mampu menganalisis keseimbangan gaya dan momen pada benda tegar, dan mampu menerapkan metode analisis struktur</t>
  </si>
  <si>
    <t>Sub-CPMK0291</t>
  </si>
  <si>
    <t>Sub-CPMK0292</t>
  </si>
  <si>
    <t>Mampu menjelaskan definisi manufaktur serta peran dan kontribusinya dalam perkembangan industri modern, dan mampu mengidentifikasi ruang lingkup proses manufaktur</t>
  </si>
  <si>
    <t>Mampu memahami hubungan antara teknologi manufaktur dan efisiensi produksi, dan mampu menjelaskan prinsip dasar dalam pemilihan bahan dan metode manufaktur</t>
  </si>
  <si>
    <t>Sub-CPMK2301</t>
  </si>
  <si>
    <t>Sub-CPMK2302</t>
  </si>
  <si>
    <t xml:space="preserve">Mampu mengidentifikasi dan memahami tahapan utama dalam proses manufaktur, dan mampu menerapkan prinsip-prinsip desain untuk manufaktur </t>
  </si>
  <si>
    <t>Mampu memilih dan mengoptimalkan metode manufaktur dan mampu menganalisis faktor-faktor yang memengaruhi kualitas produk dalam proses manufaktur</t>
  </si>
  <si>
    <t>Sub-CPMK0531</t>
  </si>
  <si>
    <t>Sub-CPMK0532</t>
  </si>
  <si>
    <t>Mampu memahami prinsip kerja dan fungsi utama berbagai mesin manufaktur. Mampu mengoperasikan mesin bubut dengan benar, dan mampu menggunakan mesin frais untuk berbagai proses pemesinan</t>
  </si>
  <si>
    <t>Mampu mengoperasikan mesin gerinda dengan aman dan efisien, dan mampu memahami dan menerapkan prosedur keselamatan kerja (K3) dalam pengoperasian alat dan mesin manufaktur</t>
  </si>
  <si>
    <t>Sub-CPMK0541</t>
  </si>
  <si>
    <t>Sub-CPMK0542</t>
  </si>
  <si>
    <t>Mampu memahami dan menerapkan prinsip kerja tim yang efektif, dan mampu berkomunikasi secara jelas dan profesional</t>
  </si>
  <si>
    <t>Mampu mendokumentasikan hasil praktikum secara sistematis, dan mampu menyajikan hasil praktikum secara efektif</t>
  </si>
  <si>
    <t>Sub-CPMK0411</t>
  </si>
  <si>
    <t>Sub-CPMK0412</t>
  </si>
  <si>
    <t>Mampu menjelaskan konsep dasar rekayasa, dan mampu memahami peran insinyur dalam pengembangan solusi teknik</t>
  </si>
  <si>
    <t>Mampu menjelaskan keterkaitan antara rekayasa dan industri, dan mampu menghubungkan prinsip-prinsip rekayasa dengan tren dan tantangan global</t>
  </si>
  <si>
    <t>Sub-CPMK0421</t>
  </si>
  <si>
    <t>Sub-CPMK0422</t>
  </si>
  <si>
    <t>Mampu memahami prinsip dasar kerekayasaan dalam teknik manufaktur, dan mampu mengidentifikasi keterkaitan antara teknik manufaktur dan disiplin teknik lainnya</t>
  </si>
  <si>
    <t>Mampu menganalisis bagaimana teknik manufaktur mendukung perkembangan teknologi lain, dan mampu memahami penerapan prinsip rekayasa manufaktur dalam industri lainnya,</t>
  </si>
  <si>
    <t>Sub-CPMK0431</t>
  </si>
  <si>
    <t>Mampu memahami konsep dasar pemrograman dan mampu menggunakan variabel dan tipe data dalam program</t>
  </si>
  <si>
    <t>Mampu menggunakan operator aritmatika untuk melakukan perhitungan. Mampu menggunakan struktur percabangan untuk pengambilan keputusan dan mampu menerapkan perulangan dalam program</t>
  </si>
  <si>
    <t>Sub-CPMK0432</t>
  </si>
  <si>
    <t>Sub-CPMK0551</t>
  </si>
  <si>
    <t>Sub-CPMK0552</t>
  </si>
  <si>
    <t>Sub-CPMK0441</t>
  </si>
  <si>
    <t>Sub-CPMK0442</t>
  </si>
  <si>
    <t>Mampu memahami prinsip dasar perancangan algoritma yang efisien dan merancang algoritma untuk menyelesaikan masalah</t>
  </si>
  <si>
    <t xml:space="preserve"> Mampu mengenali berbagai jenis struktur data dan mampu memilih struktur data yang paling sesuai untuk menyelesaikan suatu masalah</t>
  </si>
  <si>
    <t>Mmapu memahami metodologi software development life cycle dan mampu melakukan analisis dan perancangan perangkat lunak</t>
  </si>
  <si>
    <t>Mampu mengembangkan perangkat lunak menggunakan bahasa pemrograman dan  mampu mengimplementasikan perangkat lunak dalam lingkungan produksi</t>
  </si>
  <si>
    <t>Sub-CPMK0561</t>
  </si>
  <si>
    <t>Sub-CPMK0562</t>
  </si>
  <si>
    <t>Mampu memahami prinsip dasar rekayasa perangkat lunak dan kebutuhan sistem dan mampu memilih bahasa pemrograman yang sesuai dengan jenis aplikasi yang dikembangkan</t>
  </si>
  <si>
    <t>Mampu melakukan konfigurasi perangkat lunak agar dapat berjalan optimal dalam berbagai lingkungan dan mampu mengoperasikan dan mengelola perangkat lunak di lingkungan digital</t>
  </si>
  <si>
    <t>Sub-CPMK1251</t>
  </si>
  <si>
    <t>Sub-CPMK1252</t>
  </si>
  <si>
    <t>Mampu menjelaskan perbedaan antara data kualitatif dan data kuantitatif dan mampu mengidentifikasi karakteristik data kualitatif dan kuantitatif dalam konteks industri</t>
  </si>
  <si>
    <t>Mampu menjelaskan berbagai metode pengumpulan data dan mampu menentukan metode pengumpulan data yang tepat berdasarkan jenis data yang dibutuhkan</t>
  </si>
  <si>
    <t>Sub-CPMK1261</t>
  </si>
  <si>
    <t>Mampu memahami konsep statistik dalam industri dan menggunakan statistik untuk pengendalian kualitas</t>
  </si>
  <si>
    <t>Mampu menggunakan statistik untuk optimasi proses industri dan menyelesaikan masalah industri dengan pendekatan statistik</t>
  </si>
  <si>
    <t>Sub-CPMK1262</t>
  </si>
  <si>
    <t>Sub-CPMK2311</t>
  </si>
  <si>
    <t>Sub-CPMK2312</t>
  </si>
  <si>
    <t>Mampu memahami definisi dan ruang lingkup ekologi industri dan mampu menjelaskan pentingnya ekologi dalam konteks industri</t>
  </si>
  <si>
    <t>Mampu mengidentifikasi prinsip-Prinsip ekologi industri dan Mampu menganalisis penerapan ekologi industri dalam berbagai sektor</t>
  </si>
  <si>
    <t>Sub-CPMK2321</t>
  </si>
  <si>
    <t>Sub-CPMK2322</t>
  </si>
  <si>
    <t>Mampu menjelaskan bagaimana ekologi industri berkontribusi dalam keberlanjutan lingkungan dan efisiensi industri dan mampu mengevaluasi dampak penerapan ekologi industri terhadap lingkungan</t>
  </si>
  <si>
    <t xml:space="preserve"> Mampu menyusun rekomendasi strategi perbaikan untuk penerapan ekologi industri</t>
  </si>
  <si>
    <t>Sub-CPMK1271</t>
  </si>
  <si>
    <t>Sub-CPMK1272</t>
  </si>
  <si>
    <t>Mampu menjelaskan definisi dan sifat dasar vektor dan mampu menjelaskan definisi ruang vektor dan sifat-sifatnya</t>
  </si>
  <si>
    <t>Mampu menyelesaikan sistem persamaan linier dan mampu menerapkan konsep aljabar linier dalam pemodelan masalah industri, ekonomi, dan sains</t>
  </si>
  <si>
    <t>Sub-CPMK1281</t>
  </si>
  <si>
    <t>Mampu melakukan operasi dasar pada matriks dan mampu menyelesaikan sistem persamaan linier menggunakan metode matriks</t>
  </si>
  <si>
    <t>Sub-CPMK1282</t>
  </si>
  <si>
    <t xml:space="preserve"> Mampu memahami konsep transformasi linier dan representasinya dalam bentuk matriks dan mampu mengaplikasikan metode matriks dalam pemodelan sistem dinamis dan kontrol.</t>
  </si>
  <si>
    <t>Sub-CPMK0451</t>
  </si>
  <si>
    <t>Sub-CPMK0452</t>
  </si>
  <si>
    <t>Mampu mengidentifikasi jenis-jenis masalah optimasi dalam berbagai bidang teknik dan industri dan mampu menerjemahkan permasalahan dunia nyata ke dalam model matematis</t>
  </si>
  <si>
    <t>Mampu menerapkan teknik analisis dalam penyelesaian masalah optimasi dan mampu menerapkan hasil optimasi dalam skenario dunia nyata untuk meningkatkan efisiensi dan efektivitas sistem</t>
  </si>
  <si>
    <t>Sub-CPMK0461</t>
  </si>
  <si>
    <t>Sub-CPMK0462</t>
  </si>
  <si>
    <t>Mampu menjelaskan konsep dasar algoritma pencarian dalam optimasi dan mampu menggunakan metode pencarian eksak dalam penyelesaian masalah</t>
  </si>
  <si>
    <t>Mampu memahami konsep heuristik dan penggunaannya dalam optimasi industri dan teknik dan mampu menerapkan metode metaheuristik dalam menyelesaikan masalah optimasi</t>
  </si>
  <si>
    <t>Sub-CPMK1291</t>
  </si>
  <si>
    <t>Mampu menjelaskan definisi dan peran material teknik dalam berbagai bidang industri dan mampu mengenali dan mengklasifikasikan material teknik menjadi logam, polimer, keramik, dan komposit</t>
  </si>
  <si>
    <t>Sub-CPMK1292</t>
  </si>
  <si>
    <t>Mampu membandingkan berbagai jenis material berdasarkan sifat mekanik, biaya, dan ketersediaan dan mampu mampu menentukan material yang sesuai untuk kebutuhan desain dan manufaktur produk tertentu</t>
  </si>
  <si>
    <t>Sub-CPMK1301</t>
  </si>
  <si>
    <t>Mampu menjelaskan tujuan dan pentingnya pengujian material dalam industri dan mampu  mampu mengidentifikasi berbagai metode pengujian material berdasarkan sifat mekanik, fisik, dan kimia</t>
  </si>
  <si>
    <t>Sub-CPMK1302</t>
  </si>
  <si>
    <t>Mampu menentukan metode pengujian yang tepat berdasarkan jenis material dan aplikasi produk dan mampu mengevaluasi dampak kualitas material terhadap performa produk akhir dalam industri</t>
  </si>
  <si>
    <t>Mampu menjelaskan perbedaan antara optimasi linier dan non-linier dan mampu memahami contoh aplikasi optimasi non-linier dalam bidang teknik, ekonomi, dan industri</t>
  </si>
  <si>
    <t xml:space="preserve"> Mampu menjelaskan konsep Lagrange Multiplier untuk menangani kendala dalam optimasi non-linier dan mampu menganalisis dan menginterpretasikan hasil optimasi konveks dalam pemecahan masalah industri</t>
  </si>
  <si>
    <t>Sub-CPMK0481</t>
  </si>
  <si>
    <t>Sub-CPMK0482</t>
  </si>
  <si>
    <t>Mampu menjelaskan peran optimasi dalam meningkatkan efisiensi dan efektivitas di sektor industri dan mampu menerjemahkan masalah industri ke dalam model matematis optimasi</t>
  </si>
  <si>
    <t>Mampu menggunakan program linier untuk menyelesaikan masalah optimasi perencanaan produksi. Mampuampu menerapkan metode transportasi dan jaringan dalam optimasi logistik dan distribusi barang dan mampu menggunakan algoritma penjadwalan dalam pengelolaan produksi dan tenaga kerja</t>
  </si>
  <si>
    <t>Sub-CPMK0471</t>
  </si>
  <si>
    <t>Sub-CPMK0472</t>
  </si>
  <si>
    <t>Sub-CPMK0491</t>
  </si>
  <si>
    <t>Mampu menjelaskan konsep dasar data mining dan machine learning serta perbedaannya dan mampu menerapkan teknik eksplorasi data menggunakan statistik deskriptif dan visualisasi data</t>
  </si>
  <si>
    <t>Sub-CPMK0492</t>
  </si>
  <si>
    <t>Mampu membangun model regresi untuk melakukan prediksi tren berbasis data historis dan mampu menginterpretasikan hasil dari model machine learning untuk mendukung pengambilan keputusan.</t>
  </si>
  <si>
    <t>Sub-CPMK4501</t>
  </si>
  <si>
    <t>Sub-CPMK4502</t>
  </si>
  <si>
    <t>Mampu menjelaskan konsep dasar analitika data dan perannya dalam pengambilan keputusan berbasis data dan mampu mengidentifikasi masalah nyata yang dapat diselesaikan menggunakan analitika data</t>
  </si>
  <si>
    <t>Mampu menggunakan model prediktif dan klasifikasi untuk menganalisis tren dan pola dalam data dan mampu mengembangkan solusi berbasis data yang dapat meningkatkan efisiensi operasional dalam industri.</t>
  </si>
  <si>
    <t>Sub-CPMK1311</t>
  </si>
  <si>
    <t>Sub-CPMK1312</t>
  </si>
  <si>
    <t>Mampu menjelaskan definisi probabilitas dan perannya dalam analisis ketidakpastian dan mampu memahami aturan penjumlahan probabilitas dan aturan perkalian probabilitas</t>
  </si>
  <si>
    <t>Mampu menggunakan teorema probabilitas dalam penyelesaian masalah dan mampu  memahami penerapan probabilitas dalam pengambilan keputusan industri</t>
  </si>
  <si>
    <t>Sub-CPMK1321</t>
  </si>
  <si>
    <t>Sub-CPMK1322</t>
  </si>
  <si>
    <t>Mahasiswa mampu membedakan jenis model probabilistik, seperti model diskrit, model kontinu, dan proses stokastik dan mampu memahami penggunaan distribusi probabilitas dalam pemecahan masalah teknik.</t>
  </si>
  <si>
    <t>Mampu menyusun model probabilistik berdasarkan masalah nyata dalam berbagai bidang teknik dan mampu menerapkan distribusi probabilitas dalam pemecahan masalah teknik</t>
  </si>
  <si>
    <t>Sub-CPMK4511</t>
  </si>
  <si>
    <t>Sub-CPMK4512</t>
  </si>
  <si>
    <t>Mampu menjelaskan pengertian ergonomika dan perannya serta mampu mengidentifikasi hubungan antara faktor manusia, lingkungan kerja, dan desain sistem dalam ergonomika</t>
  </si>
  <si>
    <t>Mampu mengevaluasi faktor desain yang mempengaruhi kenyamanan, keamanan, dan efisiensi kerja serta mampu mengevaluasi efektivitas desain ergonomis dalam mengurangi kelelahan, meningkatkan kenyamanan, dan memperbaiki produktivitas kerja</t>
  </si>
  <si>
    <t>Sub-CPMK4521</t>
  </si>
  <si>
    <t>Mampu menjelaskan hubungan antara ergonomika dan kesehatan serta keselamatan kerja dan mampu memahami dan menerapkan metode penilaian risiko ergonomi,</t>
  </si>
  <si>
    <t>Sub-CPMK4522</t>
  </si>
  <si>
    <t>Mampu menerapkan ergonomika dalam desain tempat kerja untuk mengurangi stres fisik dan mental pekerja serta mampu menyusun strategi perbaikan desain kerja berdasarkan prinsip ergonomika.</t>
  </si>
  <si>
    <t>Sub-CPMK2331</t>
  </si>
  <si>
    <t>Sub-CPMK2332</t>
  </si>
  <si>
    <t>Mampu menerapkan teknik diferensiasi dan integrasi dalam penyelesaian masalah teknik dan ilmiah, dan mampu menggunakan kalkulus untuk optimasi sistem teknik dalam suatu sistem</t>
  </si>
  <si>
    <t>Mampu menghitung turunan fungsi satu variabel dengan menggunakan aturan diferensiasi, seperti aturan rantai, aturan produk, dan aturan pembagian. Mampu menerapkan konsep turunan dalam berbagai aplikasi teknik.</t>
  </si>
  <si>
    <t>Mampu menjelaskan konsep dasar limit fungsi, untuk menyelesaikan permasalahan yang melibatkan limit fungsi aljabar, trigonometri, eksponensial, dan logaritma dan mampu memahami konsep kontinuitas, serta mampu menentukan titik diskontinuitas suatu fungsi.</t>
  </si>
  <si>
    <t>Sub-CPMK234</t>
  </si>
  <si>
    <t>Mahasiswa mampu memahami konsep dasar pengukuran dan perancangan sistem kerja serta peranannya dalam meningkatkan produktivitas dan efisiensi kerja</t>
  </si>
  <si>
    <t>Mampu mengidentifikasi faktor-faktor yang mempengaruhi efektivitas proses kerja dalam suatu sistem dan mampu mengevaluasi efisiensi proses kerja menggunakan metode analisis</t>
  </si>
  <si>
    <t>Mampu menganalisis hubungan antara pengukuran dan perancangan sistem kerja dengan produktivitas</t>
  </si>
  <si>
    <t>Mampu mengembangkan solusi dan rekomendasi berbasis pengukuran kerja untuk meningkatkan produktivitas, efisiensi, dan keselamatan kerja dalam berbagai sektor industri</t>
  </si>
  <si>
    <t>Sub-CPMK235</t>
  </si>
  <si>
    <t>Mampu menjelaskan peran statistik lanjutan dalam analisis data dan pengambilan keputusan berbasis data dan mampu memahami konsep analisis regresi linier sederhana dan berganda</t>
  </si>
  <si>
    <t>Mampu menginterpretasikan hasil uji non-parametrik dalam konteks penelitian dan industri dan memahami konsep dasar statistik multivariat dan penerapannya dalam analisis data kompleks</t>
  </si>
  <si>
    <t>Mampu memahami konsep validitas, reliabilitas, dan akurasi dalam analisis statistik dan mampu menganalisis kelayakan model statistik menggunakan metrik evaluasi</t>
  </si>
  <si>
    <t>Mampu menerjemahkan output statistik yang dapat digunakan pemangku kepentingan industri dan  mampu mengevaluasi model prediktif dalam sistem industri</t>
  </si>
  <si>
    <t>Mampu mengidentifikasi faktor-faktor yang mempengaruhi struktur biaya dalam berbagai sektor industri dan mampu menjelaskan perbedaan antara biaya tetap dan biaya variabel dalam konteks produksi dan operasional</t>
  </si>
  <si>
    <t>Mampu mendefinisikan biaya langsung (direct costs) dan biaya tidak langsung dan mampu menerapkan metode perhitungan biaya dalam menentukan harga pokok produksi (HPP) dan harga jual produk</t>
  </si>
  <si>
    <t>Sub-CPMK2351</t>
  </si>
  <si>
    <t>Sub-CPMK1331</t>
  </si>
  <si>
    <t>Sub-CPMK1332</t>
  </si>
  <si>
    <t>Sub-CPMK1341</t>
  </si>
  <si>
    <t>Sub-CPMK1342</t>
  </si>
  <si>
    <t>Sub-CPMK2352</t>
  </si>
  <si>
    <t>ahasiswa mampu mengevaluasi dan mengimplementasikan teknik pengendalian biaya dalam berbagai sektor industri untuk meningkatkan profitabilitas dan daya saing</t>
  </si>
  <si>
    <t>Mampu menjelaskan pentingnya pengendalian biaya dalam meningkatkan efisiensi operasional, dan profitabilitas dan mampu mampu menjelaskan pentingnya pengendalian biaya dalam meningkatkan efisiensi operasional, profitabilitas,</t>
  </si>
  <si>
    <t>Sub-CPMK2361</t>
  </si>
  <si>
    <t>Sub-CPMK2362</t>
  </si>
  <si>
    <t>Mampu menyusun strategi pengendalian biaya yang sesuai dengan karakteristik industri dan mampu menilai dampak pengendalian biaya terhadap laporan laba rugi, margin kontribusi, dan break-even analysis</t>
  </si>
  <si>
    <t>Sub-CPMK4531</t>
  </si>
  <si>
    <t>Mampu menjelaskan pengertian teori keputusan dan peranannya dalam berbagai bidang dan mampu membedakan antara keputusan terstruktur, semi-terstruktur, dan tidak terstruktur.</t>
  </si>
  <si>
    <t>Sub-CPMK4532</t>
  </si>
  <si>
    <t>Mampu menjelaskan berbagai kriteria pengambilan keputusan dan mampu menerapkan teori keputusan dalam studi kasus teknik industri</t>
  </si>
  <si>
    <t>Mampu mengumpulkan dan mengolah data pengukuran kerja menggunakan time study, motion study, dan work sampling dan mampu merancang perbaikan sistem kerja berdasarkan hasil pengukuran</t>
  </si>
  <si>
    <t>Mampu mengusulkan perbaikan desain tempat kerja untuk mengurangi cedera dan mampu menyajikan solusi yang dapat diterapkan dalam berbagai sektor</t>
  </si>
  <si>
    <t>Sub-CPMK4541</t>
  </si>
  <si>
    <t>Sub-CPMK4542</t>
  </si>
  <si>
    <t>Mampu menjelaskan peran teori keputusan dalam konteks organisasi dan bisnis dan mampu menggunakan model pengambilan keputusan untuk menyusun strategi bisnis dan perencanaan jangka panjang</t>
  </si>
  <si>
    <t>Mampu memahami perbedaan antara keputusan individu dan keputusan kelompok dalam lingkungan organisasi dan mampu menggunakan sistem pendukung keputusan dalam organisasi</t>
  </si>
  <si>
    <t>Sub-CPMK2371</t>
  </si>
  <si>
    <t>Sub-CPMK2372</t>
  </si>
  <si>
    <t>Mampu menjelaskan pengertian perancangan fasilitas dalam konteks industri dan mampu memahami prinsip-prinsip dasar dalam perancangan fasilitas</t>
  </si>
  <si>
    <t>Mampu mengidentifikasi jenis-jenis fasilitas dan tata letaknya dan mampu menggunakan teknik analisis dalam mendukung desain fasilitas</t>
  </si>
  <si>
    <t>Sub-CPMK2381</t>
  </si>
  <si>
    <t>Sub-CPMK2382</t>
  </si>
  <si>
    <t>Nampu menganalisis pemanfaatan ruang kerja dan aliran material untuk menilai efisiensi tata letak fasilitas dan mampu engevaluasi efisiensi dan produktivitas fasilitas</t>
  </si>
  <si>
    <t>Mampu merancang strategi optimasi tata letak, aliran material, dan penggunaan ruang kerja untuk meningkatkan efisiensi</t>
  </si>
  <si>
    <t>Sub-CPMK0571</t>
  </si>
  <si>
    <t>Sub-CPMK0572</t>
  </si>
  <si>
    <t xml:space="preserve">Mampu memahami prinsip-prinsip perancangan layout fasilitas dan mampu menganalisis aliran material, tenaga kerja, dan informasi dalam perancangan layout
</t>
  </si>
  <si>
    <t>Mampu menerapkan teknik perancangan dalam merancang tata letak fasilitas dan mampu mengevaluasi dan mengoptimalkan tata letak fasilitas</t>
  </si>
  <si>
    <t>Sub-CPMK0581</t>
  </si>
  <si>
    <t>Sub-CPMK0582</t>
  </si>
  <si>
    <t>Mahasiswa dapat menyelesaikan proyek perancangan fasilitas, termasuk koordinasi dan integrasi berbagai aspek desain</t>
  </si>
  <si>
    <t>Mampu menjelaskan tahapan dalam proyek perancangan fasilitas dan mampu mengelola proyek dengan menggunakan metode manajemen proyek</t>
  </si>
  <si>
    <t xml:space="preserve">Mampu menyusun desain fasilitas dengan mempertimbangkan tata letak, aliran material, tenaga kerja, ergonomi, dan teknologi serta mampu menguji berbagai alternatif desain fasilitas </t>
  </si>
  <si>
    <t>Sub-CPMK4551</t>
  </si>
  <si>
    <t>Mampu memahami konsep dasar pemodelan sistem dan mampu mengidentifikasi bagaimana pemodelan membantu dalam perencanaan, pengendalian, dan perbaikan sistem</t>
  </si>
  <si>
    <t>Sub-CPMK4552</t>
  </si>
  <si>
    <t>Mampu memahami jenis-jenis model sistem dan  mampu memahami model matematis sebagai representasi kuantitatif dari sistem nyata</t>
  </si>
  <si>
    <t>Sub-CPMK4561</t>
  </si>
  <si>
    <t>Sub-CPMK4562</t>
  </si>
  <si>
    <t>Mmapu memahami peran ,odel sistem dalam pengambilan keputusan dan mampu ,emahami peran model sistem dalam pengambilan keputusan</t>
  </si>
  <si>
    <t>Mampu menganalisis berbagai skenario dalam pengambilan keputusan dan mampu mengevaluasi dampak keputusan yang diambil berdasarkan model sistem</t>
  </si>
  <si>
    <t>Sub-CPMK4571</t>
  </si>
  <si>
    <t>Sub-CPMK4572</t>
  </si>
  <si>
    <t>Mampu memahami konsep dasar perencanaan dan pengendalian produksi dan mampu menjelaskan tujuan perencanaan dan pengendalian produksi</t>
  </si>
  <si>
    <t>Mampu menganalisis manfaat perencanaan dan pengendalian produksi dan mampu menjelaskan metode dan pendekatan dalam perencanaan dan pengendalian produksi</t>
  </si>
  <si>
    <t>Sub-CPMK4581</t>
  </si>
  <si>
    <t>Sub-CPMK4582</t>
  </si>
  <si>
    <t>Mampu memahami dan menganalisis masalah produksi dalam studi kasus nyata dan mampu menerapkan teknik perencanaan produksi dalam studi kasus</t>
  </si>
  <si>
    <t>Mampu merancang solusi efektif untuk permasalahan produksi dan mampu mengevaluasi dampak implementasi solusi terhadap kinerja produksi</t>
  </si>
  <si>
    <t>Mampu memahami definisi dan konsep dasar perancangan dan pengembangan produk dan mampu menjelaskan tujuan perancangan dan pengembangan produk</t>
  </si>
  <si>
    <t>Sub-CPMK2391</t>
  </si>
  <si>
    <t>Sub-CPMK2392</t>
  </si>
  <si>
    <t xml:space="preserve">Mampu menganalisis pentingnya proses perancangan dan pengembangan produk dalam siklus hidup produk dan mampu menganalisis faktor keberhasilan dalam pengembangan produk
</t>
  </si>
  <si>
    <t>Sub-CPMK2401</t>
  </si>
  <si>
    <t>Sub-CPMK2402</t>
  </si>
  <si>
    <t>Mampu memahami dan mengidentifikasi kebutuhan pengembangan produk dan mampu merancang dan mengembangkan konsep produk</t>
  </si>
  <si>
    <t>Mampu menggunakan metode perancangan produk dalam prototyping dan mampu menyusun dan menyajikan hasil pengembangan produk dalam proyek nyata</t>
  </si>
  <si>
    <t>Sub-CPMK0591</t>
  </si>
  <si>
    <t>Sub-CPMK0592</t>
  </si>
  <si>
    <t>Mampu memahami konsep dasar simulasi sistem dan mampu menjelaskan tujuan simulasi sistem</t>
  </si>
  <si>
    <t>Mampu mengidentifikasi jenis-jenis simulasi sistem dan mampu menganalisis manfaat simulasi sistem dalam berbagai konteks</t>
  </si>
  <si>
    <t>Sub-CPMK5601</t>
  </si>
  <si>
    <t>Sub-CPMK5602</t>
  </si>
  <si>
    <t xml:space="preserve">Mampu memahami peran simulasi dalam evaluasi dan optimalisasi sistem dan mampu menerapkan simulasi dalam evaluasi kinerja sistem
</t>
  </si>
  <si>
    <t>Mampu menggunakan simulasi untuk perbandingan alternatif desain sistem dan mampu menerapkan teknik optimasi dalam simulasi</t>
  </si>
  <si>
    <t>Sub-CPMK4591</t>
  </si>
  <si>
    <t>Sub-CPMK4592</t>
  </si>
  <si>
    <t xml:space="preserve">Mampu memahami konsep dasar pengendalian dan penjaminan mutu dan mampu menganalisis manfaat pengendalian dan penjaminan mutu
</t>
  </si>
  <si>
    <t>Mampu memahami prinsip-prinsip dasar pengendalian dan penjaminan mutu dan mampu mengidentifikasi metode dan standar dalam pengendalian dan penjaminan mutu</t>
  </si>
  <si>
    <t>Sub-CPMK4601</t>
  </si>
  <si>
    <t>Sub-CPMK4602</t>
  </si>
  <si>
    <t>Mahasiswa dapat menerapkan konsep dan teknik pengendalian dan penjaminan mutu dalam studi kasus nyata termasuk menganalisis masalah kualitas dan merancang solusi yang efektif</t>
  </si>
  <si>
    <t>Mampu menganalisis masalah kualitas dalam studi Kasus nyata dan mampu menerapkan teknik pengendalian mutu dalam studi kasus</t>
  </si>
  <si>
    <t>Mampu menerapkan teknik penjaminan mutu dalam studi kasus dan mampu merancang solusi yang efektif untuk perbaikan mutu</t>
  </si>
  <si>
    <t>Sub-CPMK2411</t>
  </si>
  <si>
    <t>Sub-CPMK2412</t>
  </si>
  <si>
    <t>Mampu memahami bagaimana sistem rantai pasok berkontribusi terhadap kinerja keseluruhan organisasi dan mampu menjelaskan kontribusi rantai pasok terhadap kinerja organisasi</t>
  </si>
  <si>
    <t>Mampu menganalisis faktor-faktor yang mempengaruhi efektivitas rantai pasok dan mampu menganalisis studi kasus tentang optimalisasi rantai pasok</t>
  </si>
  <si>
    <t>Sub-CPMK2421</t>
  </si>
  <si>
    <t>Sub-CPMK2422</t>
  </si>
  <si>
    <t>Identifikasi dan penerapan indikator kinerja utama untuk mengevaluasi efektivitas rantai pasok</t>
  </si>
  <si>
    <t xml:space="preserve">Mampu memahami peran indikator kinerja utama dalam Rantai Pasok dan mampu menerapkan metode evaluasi efektivitas rantai pasok </t>
  </si>
  <si>
    <t>Mampu menganalisis dan menginterpretasikan hasil  indikator kinerja utam rantai pasok dan mampu menyusun strategi perbaikan berdasarkan evaluasi KPI</t>
  </si>
  <si>
    <t>Sub-CPMK2431</t>
  </si>
  <si>
    <t>Sub-CPMK2432</t>
  </si>
  <si>
    <t>Mampu memahami definisi sistem informasi dalam organisasi dan mampu mengidentifikasi komponen utama dalam sistem informasi</t>
  </si>
  <si>
    <t>Mampu memahami jenis-jenis sistem informasi dalam organisasi dan mampu menganalisis peran sistem informasi dalam transformasi digital organisasi</t>
  </si>
  <si>
    <t>Sub-CPMK2441</t>
  </si>
  <si>
    <t>Sub-CPMK2442</t>
  </si>
  <si>
    <t xml:space="preserve">Mampu menganalisis kebutuhan pengguna dan organisasi dan mampu merancang arsitektur dan komponen sistem informasi
</t>
  </si>
  <si>
    <t>Mampu menerapkan pengelolaan data dalam sistem informasi dan mampu menerapkan prinsip pengembangan berkelanjutan dan pemeliharaan sistem</t>
  </si>
  <si>
    <t>Mahasiswa mampu mengidentifikasi kebutuhan pengguna dan organisasi untuk merancang sistem informasi yang sesuai dengan tujuan bisnis</t>
  </si>
  <si>
    <t>Mahasiswa mampu mengembangkan rancangan database yang optimal untuk sistem informasi menggunakan konsep normalisasi dan relasi data</t>
  </si>
  <si>
    <t>Sub-CPMK5611</t>
  </si>
  <si>
    <t>Sub-CPMK5612</t>
  </si>
  <si>
    <t>Mampu mengidentifikasi kebutuhan pengguna dan organisasi dan mampu menganalisis dan mendokumentasikan kebutuhan sistem</t>
  </si>
  <si>
    <t xml:space="preserve">Mampu mengusulkan strategi pengembangan sistem informasi yang meningkatkan produktivitas </t>
  </si>
  <si>
    <t>Mampu memahami konsep dasar rancangan database dan mampu menganalisis kebutuhan data dalam sistem informasi</t>
  </si>
  <si>
    <t>Mampu merancang relasi data dalam database relasional dan mampu mengimplementasikan rancangan database ke dalam sistem informasi</t>
  </si>
  <si>
    <t>Sub-CPMK5621</t>
  </si>
  <si>
    <t>Sub-CPMK5622</t>
  </si>
  <si>
    <t>Sub-CPMK2451</t>
  </si>
  <si>
    <t>Sub-CPMK2452</t>
  </si>
  <si>
    <t>Sub-CPMK2461</t>
  </si>
  <si>
    <t>Sub-CPMK2462</t>
  </si>
  <si>
    <t>Mampu memahami struktur dan fungsi dalam organisasi industri dan mampu memahami fungsi produksi, pemasaran, keuangan, dan sumber saya manusia dalam organisasi industri</t>
  </si>
  <si>
    <t>Mampu menganalisis keterkaitan antara berbagai fungsi dalam organisasi industri dan mampu menganalisis studi Kasus tentang fungsi organisasi dalam industri nyata</t>
  </si>
  <si>
    <t xml:space="preserve">Mampu menganalisis struktur dan fungsi organisasi industri dan mampu merancang struktur organisasi yang efektif untuk industri </t>
  </si>
  <si>
    <t>Mampu menganalisis dan mengevaluasi implementasi manajemen organisasi industri dalam studi kasus</t>
  </si>
  <si>
    <t>Sub-CPMK5631</t>
  </si>
  <si>
    <t>Sub-CPMK5632</t>
  </si>
  <si>
    <t>Mampu memahami konsep dasar elektronika industri dan mampu mengidentifikasi dan memahami fungsi sensor dalam elektronika industri</t>
  </si>
  <si>
    <t xml:space="preserve">Mampu memahami fungsi relay dalam elektronika industri dan mampu menganalisis aplikasi komponen elektronika dalam sistem industri
</t>
  </si>
  <si>
    <t>Sub-CPMK5641</t>
  </si>
  <si>
    <t>Sub-CPMK5642</t>
  </si>
  <si>
    <t>Mampu memahami konsep standar dan regulasi dalam sistem elektronika industri dan mampu mengidentifikasi standar dan regulasi yang berlaku dalam elektronika industri</t>
  </si>
  <si>
    <t>Mampu menerapkan standar keselamatan dan kepatuhan dalam sistem elektronika dan mampu menganalisis studi kasus implementasi standar dan regulasi dalam elektronika industri</t>
  </si>
  <si>
    <t>Sub-CPMK4611</t>
  </si>
  <si>
    <t>Sub-CPMK4612</t>
  </si>
  <si>
    <t>Mampu menjelaskan definisi sistem produksi dan tujuan sistem produksi</t>
  </si>
  <si>
    <t>Mampu memahami jenis-jenis sistem produksi dan mampu menganalisis faktor yang mempengaruhi efisiensi sistem produksi</t>
  </si>
  <si>
    <t>Sub-CPMK4621</t>
  </si>
  <si>
    <t>Sub-CPMK4622</t>
  </si>
  <si>
    <t>Mampu menerapkan teknik perbaikan berkelanjutan dalam produksi dan mampu mengembangkan solusi untuk meningkatkan efisiensi dan efektivitas produksi</t>
  </si>
  <si>
    <t>Mampu membandingkan hasil sebelum dan sesudah penerapan teknik perbaikan produksi</t>
  </si>
  <si>
    <t xml:space="preserve">Mampu membuat laporan hasil perancangan dan perbaikan sistem terintegrasi sesuai ketentuan dokumentasi dan penulisan baku 
</t>
  </si>
  <si>
    <t>CPMK567</t>
  </si>
  <si>
    <t>Sub-CPMK5651</t>
  </si>
  <si>
    <t>Sub-CPMK5652</t>
  </si>
  <si>
    <t>Mampu memahami konsep dasar pendekatan teknik industri dan mampu mengidentifikasi serta menganalisis masalah dengan pendekatan teknik industri</t>
  </si>
  <si>
    <t>Mampu melakukan pendekatan kuantitatif dalam menyelesaikan masalah teknik industri dan mampu menganalisis kasus penyelesaian masalah dengan teknik industri</t>
  </si>
  <si>
    <t>Sub-CPMK0611</t>
  </si>
  <si>
    <t>Sub-CPMK0612</t>
  </si>
  <si>
    <t xml:space="preserve">Mampu menyusun struktur laporan perancangan dan perbaikan sistem dan mampu menggunakan standar penulisan dan format yang sesuai
</t>
  </si>
  <si>
    <t>Mampu menyusun dokumentasi perancangan dan perbaikan sistem yang terintegrasi dan mampu melakukan review serta penyuntingan laporan</t>
  </si>
  <si>
    <t>Memahami Definisi dan Ruang Lingkup Ergonomi dan Menganalisis Interaksi antara Manusia dan Lingkungan Kerja</t>
  </si>
  <si>
    <t>Menerapkan Ergonomi dalam Desain Tempat Kerja dan Peralatan dan Menganalisis Dampak Ergonomi terhadap Kesehatan dan Produktivitas</t>
  </si>
  <si>
    <t>Mampu menganalisis kebutuhan ergonomi dalam desain produk konsumen dan mampu mengevaluasi faktor ergonomi dalam lingkungan kerja industri</t>
  </si>
  <si>
    <t xml:space="preserve">Mampu menerapkan ergonomi kognitif dan interaksi manusia-mesin dalam desain sistem dan mampu menilai dampak ergonomi terhadap produktivitas </t>
  </si>
  <si>
    <t>Sub-CPMK4631</t>
  </si>
  <si>
    <t>Sub-CPMK4632</t>
  </si>
  <si>
    <t>Mampu memahami konsep dasar manajemen perawatan dan mampu menjelaskan fungsi an peran manajemen perawatan dalam organisasi</t>
  </si>
  <si>
    <t>Mampu menggunakan indikator kinerja dalam manajemen perawatan dan mampu menganalisis tantangan dalam manajemen perawatan modern</t>
  </si>
  <si>
    <t>Sub-CPMK4641</t>
  </si>
  <si>
    <t>Sub-CPMK4642</t>
  </si>
  <si>
    <t>Mampu memahami konsep biaya perawatan dan mampu menganalisis komponen biaya perawatan</t>
  </si>
  <si>
    <t>Mampu menganalisis metode poerhitungan biaya perawatan dan mampu membandingkan strategi optimasi biaya perawatan</t>
  </si>
  <si>
    <t>Sub-CPMK0931</t>
  </si>
  <si>
    <t>Sub-CPMK0932</t>
  </si>
  <si>
    <t>Mampu memahami konsep dasar keselamatan dan kesehatan kerja dan mampu mengevaluasi risiko di tempat kerja</t>
  </si>
  <si>
    <t>Mampu memahami keselamatan kesehatan kerja dalam berbagai sektor industri dan mampu menganalisis kejadian kecelakaan dan penyakit akibat kerja</t>
  </si>
  <si>
    <t>Sub-CPMK0941</t>
  </si>
  <si>
    <t>Sub-CPMK0942</t>
  </si>
  <si>
    <t>Mampu melakukan identifikasi dan analisis risiko kecelakaan kerja dan mampu merancang strategi pencegahan kecelakaan kerja</t>
  </si>
  <si>
    <t>Mampu menerapkan langkah-langkah pencegahan kecelakaan kerja dan mampu mengevaluasi efektivitas program pencegahan kecelakaan kerja</t>
  </si>
  <si>
    <t>Sub-CPMK4661</t>
  </si>
  <si>
    <t>Sub-CPMK4662</t>
  </si>
  <si>
    <t>Sub-CPMK4651</t>
  </si>
  <si>
    <t>Sub-CPMK4652</t>
  </si>
  <si>
    <t>Mampu memahami konsep dasar evaluasi kinerja logistik dan mampu menganalisis biaya logistik sebagai indikator kinerja</t>
  </si>
  <si>
    <t>Mampu menilai tingkat layanan pelanggan dalam logistik dan mampu mengembangkan strategi perbaikan kinerja logistik</t>
  </si>
  <si>
    <t>Mampu memahami konsep dan prinsip dasar logistik dan mampu menganalisis fungsi-fungsi utama logistik</t>
  </si>
  <si>
    <t>Mampu memahami tujuan dan manfaat logistik dalam rantai pasok dan mampu menganalisis peran strategis logistik dalam rantai pasok</t>
  </si>
  <si>
    <t>Sub-CPMK5661</t>
  </si>
  <si>
    <t>Sub-CPMK5662</t>
  </si>
  <si>
    <t>Sub-CPMK5671</t>
  </si>
  <si>
    <t>Sub-CPMK5672</t>
  </si>
  <si>
    <t>Mampu mengidentifikasi keterkaitan antar bidang ilmu dalam Teknik Industri untuk pengambilan keputusan yang lebih baik</t>
  </si>
  <si>
    <t>Mampu menerapkan metode analisis keputusan dalam problem solving dan mampu merancang solusi terintegrasi untuk masalah industri</t>
  </si>
  <si>
    <t>Mampu menyusun laporam secara sistematis dan mampu menganalisis dan melaporkan hasil laporan</t>
  </si>
  <si>
    <t>Mampu melakukan evaluasi akhir dan dokumentasi pembelajaran dan mampu menyajikan laporan proyek dalam format profesional</t>
  </si>
  <si>
    <t>CPMK098</t>
  </si>
  <si>
    <t>Sub-CPMK1101</t>
  </si>
  <si>
    <t>Sub-CPMK1102</t>
  </si>
  <si>
    <t>Sub-CPMK1111</t>
  </si>
  <si>
    <t>Sub-CPMK1112</t>
  </si>
  <si>
    <t>Sub-CPMK1011</t>
  </si>
  <si>
    <t>Sub-CPMK1012</t>
  </si>
  <si>
    <t>Mampu memahami konsep dDasar struktur kalimat dalam bahasa inggris dan mampu menerapkan penggunaan tenses dalam kalimat</t>
  </si>
  <si>
    <t>Mampu menerapkan penggunaan tenses dalam kalimat dan mampu menganalisis dan menyusun kalimat yang gramatikal dan bermakna</t>
  </si>
  <si>
    <t xml:space="preserve">Mampu memahami konsep etika berkomunikasi dalam konteks formal dan informal dan mampu menerapkan etika berkomunikasi </t>
  </si>
  <si>
    <t>Sub-CPMK1021</t>
  </si>
  <si>
    <t>Sub-CPMK1022</t>
  </si>
  <si>
    <t>Menggunakan bahasa yang tepat dalam berbagai situasi dan mampu berlatih berkomunikasi sSecara efektif dalam interaksi lisan</t>
  </si>
  <si>
    <t>MK56</t>
  </si>
  <si>
    <t>Sub-CPMK0621</t>
  </si>
  <si>
    <t>Sub-CPMK0622</t>
  </si>
  <si>
    <t>Mampu memahami konsep dasar penelitian ilmiah dan mampu menganalisis prinsip-prinsip penelitian ilmiah</t>
  </si>
  <si>
    <t>Menentukan dan merumuskan masalah penelitian yang relevan dalam teknik industri dan mampu memilih dan menerapkan metode penelitian yang tepat</t>
  </si>
  <si>
    <t>Sub-CPMK0631</t>
  </si>
  <si>
    <t>Sub-CPMK0632</t>
  </si>
  <si>
    <t>Mampu memahami struktur dan komponen proposal penelitian dan mampu menentukan metodologi penelitian yang tepat</t>
  </si>
  <si>
    <t>Mampu menyusun kesimpulan dan rekomendasi dalam proposal penelitian dan mampu memastikan kualitas proposal sesuai dengan etika dan standar akademik</t>
  </si>
  <si>
    <t>Sub-CPMK4671</t>
  </si>
  <si>
    <t>Sub-CPMK4672</t>
  </si>
  <si>
    <t>Mampu Memahami konsep dasar optimasi dan mampu mengenal algoritma heuristik serta penerapannya</t>
  </si>
  <si>
    <t>Mampu memahami konsep metaheuristik serta penerapannya dan mampu menganalisis studi kasus penerapan optimasi dalam industri dan teknik industri</t>
  </si>
  <si>
    <t>Sub-CPMK4681</t>
  </si>
  <si>
    <t>Sub-CPMK4682</t>
  </si>
  <si>
    <t>Mampu memahami prinsip dasar metaheuristik dalam optimasi dan mampu mengklasifikasikan algoritma metaheuristik berdasarkan pendekatannya</t>
  </si>
  <si>
    <t>Mampu memilih algoritma metaheuristik yang sesuai untuk masalah optimasi tertentu dan mampu menerapkan algoritma metaheuristik dalam studi kasus nyata</t>
  </si>
  <si>
    <t>Sub-CPMK4691</t>
  </si>
  <si>
    <t>Sub-CPMK4692</t>
  </si>
  <si>
    <t>Mampu memahami konsep identifikasi masalah dan mampu menganalisis sumber dan referensi ilmiah</t>
  </si>
  <si>
    <t>Mampu menentukan metode pengumpulan data dan mampu menyusun laporan hasil analisis dengan visualisasi data</t>
  </si>
  <si>
    <t>Sub-CPMK4701</t>
  </si>
  <si>
    <t>Sub-CPMK4702</t>
  </si>
  <si>
    <t>Mampu memahami konsep dasar sistem terpadu dan mampu merancang proyek sistem terpadu yang relevan dengan dunia industri</t>
  </si>
  <si>
    <t>Mampu menganalisis dan mengevaluasi kinerja sistem dan mampu menerapkan manajemen proyek dalam pengembangan sistem terpadu</t>
  </si>
  <si>
    <t xml:space="preserve">Mampu memahami struktur dan format laporan dan mampu menulis laporan penelitian yang jelas dan terstruktur
</t>
  </si>
  <si>
    <t>Sub-CPMK0641</t>
  </si>
  <si>
    <t>Sub-CPMK0642</t>
  </si>
  <si>
    <t xml:space="preserve">Mampu mempresentasikan hasil penelitian secara lisan dengan jelas dan sistematis dan mampu menjawab pertanyaan dalam diskusi </t>
  </si>
  <si>
    <t>Mampu memahami prinsip evaluasi hasil penelitian dan menarik kesimpulan yang valid berdasarkan hasil analisis</t>
  </si>
  <si>
    <t>Mampu merumuskan rekomendasi praktis dan mampu menyajikan hasil evaluasi dalam bentuk laporan yang sistematis</t>
  </si>
  <si>
    <t>Sub-CPMK0951</t>
  </si>
  <si>
    <t>Sub-CPMK0952</t>
  </si>
  <si>
    <t>Sub- CPMK1031</t>
  </si>
  <si>
    <t>Sub- CPMK1032</t>
  </si>
  <si>
    <t xml:space="preserve">Mampu memahami prinsip etika dalam penelitian ilmiah dan mampu mematuhi etika dalam pengumpulan dan pengolahan data </t>
  </si>
  <si>
    <t>Mampu mematuhi etika dalam komunikasi ilmiah dan mampu memahami etika dalam kolaborasi dan publikasi ilmiah</t>
  </si>
  <si>
    <t>Sub-CPMK4711</t>
  </si>
  <si>
    <t>Sub-CPMK4712</t>
  </si>
  <si>
    <t>Mampu memahami konsep dasar sistem terpadu dan mampu menganalisis manfaat sistem terpadu dalam peningkatan efisiensi operasional</t>
  </si>
  <si>
    <t>Mampu mengevaluasi peningkatan efektivitas organisasi melalui sistem terpadu dan mampu menganalisis implementasi sistem terpadu dalam berbagai sektor industri</t>
  </si>
  <si>
    <t>Sub-CPMK0711</t>
  </si>
  <si>
    <t>Sub-CPMK0712</t>
  </si>
  <si>
    <t>Mampu memahami prinsip perancangan sistem terpadu dan mampu merancang model sistem terpadu</t>
  </si>
  <si>
    <t>Mampu mengoptimalkan efisiensi dan efektivitas sistem terpadu dan mampu mendokumentasikan dan mempresentasikan hasil proyek sistem terpadu</t>
  </si>
  <si>
    <t>Sub-CPMK0721</t>
  </si>
  <si>
    <t>Sub-CPMK0722</t>
  </si>
  <si>
    <t>Mampu melakukan pengujian dan pengukuran kinerja sistem dan mampu mengidentifikasi masalah dan hambatan dalam implementasi sistem</t>
  </si>
  <si>
    <t>Mampu mengusulkan perbaikan atau modidikasi sistem dan mampu meningkatkan efisiensi dan efektivitas sistem</t>
  </si>
  <si>
    <t>Mampu bekerja dalam tim multidisiplin dan mampu mengembangkan keterampilan komunikasi efektif dalam tim</t>
  </si>
  <si>
    <t>Sub-CPMK0811</t>
  </si>
  <si>
    <t>Sub-CPMK0812</t>
  </si>
  <si>
    <t>Mampu menyusun laporan dan dokumentasi hasil analisis dan mampu mempresentasikan rekomendasi desain kepada pihak terkait</t>
  </si>
  <si>
    <t>Sub-CPMK0961</t>
  </si>
  <si>
    <t>Sub-CPMK0962</t>
  </si>
  <si>
    <t>Mampu menganalisis kitab suci dalam agama yang dipelajari dan mampu memahami hukum dan aturan dalam agama</t>
  </si>
  <si>
    <t>Mampu menganalisis etika dan nilai-nilai moral dalam agama dan mampu menganalisis etika dan nilai-nilai moral dalam agama</t>
  </si>
  <si>
    <t>Sub-CPMK0971</t>
  </si>
  <si>
    <t>Sub-CPMK0972</t>
  </si>
  <si>
    <t>Mampu menerapkan etika kerja berbasis nilai-nilai keagamaan dan mampu menerapkan prinsip keagamaan dalam keberlanjutan dan etika lingkungan</t>
  </si>
  <si>
    <t>Mampu menghindari praktik tidak etis dalam dunia profesional dan mampu mengevaluasi dampak penerapan nilai-nilai agama dalam dunia profesional</t>
  </si>
  <si>
    <t>Sub-CPMK0981</t>
  </si>
  <si>
    <t>Sub-CPMK0982</t>
  </si>
  <si>
    <t>Mampu menguasai prinsip-prinsip konstitusi indonesia dan mampu menguasai konsep supremasi hukum dalam konteks Indoensia</t>
  </si>
  <si>
    <t>Mampu mengevaluasi implementasi hukum dalam konteks sosial serta politik dan mampu menganalisis dampak perubahan konstitusi dan hukum terhadap pembangunan nasional</t>
  </si>
  <si>
    <t>Sub-CPMK0991</t>
  </si>
  <si>
    <t>Sub-CPMK0992</t>
  </si>
  <si>
    <t>Mampu memahami konsep globalisasi dan kaitannya dengan identitas serta kewarganegaraan dan mampu menganalisis dampak globalisasi terhadap identitas nasional</t>
  </si>
  <si>
    <t>Mampu mengevaluasi tantangan globalisasi terhadap kedaulatan negara dan mampu menganalisis strategi dalam mempertahankan kedaulatan serta nasionalisme</t>
  </si>
  <si>
    <t>Sub-CPMK1001</t>
  </si>
  <si>
    <t>Sub-CPMK1002</t>
  </si>
  <si>
    <t>Mampu memahami sejarah perumusan pancasila dan mampu menganalisis latar belakang filosofis pancasila</t>
  </si>
  <si>
    <t>Mampu mengidentifikasi perkembangan pancasila dari masa ke masa dan mampu menganalisis pancasila sebagai ideologi dan dasar negara</t>
  </si>
  <si>
    <t>Mampu memahami prinsip dasar pancasila sebagai pedoman hidup dan mampu mengimplementasikan sila-sila pancasila dalam kehidupan</t>
  </si>
  <si>
    <t>Mampu mengevaluasi dan meningkatkan komitmen terhadap implementasi pancasila dan mampu mempresentasikan hasil implementasi pancasila dalam kehidupan sehari-hari</t>
  </si>
  <si>
    <t>Sub-CPMK1061</t>
  </si>
  <si>
    <t>Sub-CPMK1062</t>
  </si>
  <si>
    <t>Mampu memahami prinsip dasar penulisan ilmiah dan mampu menerapkan kaidah bahasa indonesia yang benar dalam penulisan ilmiah</t>
  </si>
  <si>
    <t>Mampu menggunakan sumber referensi yang kredibel dan menerapkan teknik sitasi yang tepat dan mampu menyusun tulisan ilmiah secara sistematis dan terstruktur</t>
  </si>
  <si>
    <t>Sub-CPMK1071</t>
  </si>
  <si>
    <t>Sub-CPMK1072</t>
  </si>
  <si>
    <t>Mampu mengelola dan mengorganisasi informasi secara sistematis dan mampu menyajikan informasi secara jelas dan terstruktur dalam bahasa indonesia</t>
  </si>
  <si>
    <t>Mampu mengkomunikasikan informasi secara efektif dalam bentuk lisan dan mampu mengevaluasi kualitas penyajian dan komunikasi informasi</t>
  </si>
  <si>
    <t>Sub-CPMK1212</t>
  </si>
  <si>
    <t>Mampu memahami konsep dasar penjualan dan pemasaran dan mampu merancang strategi pemasaran yang efektif</t>
  </si>
  <si>
    <t>Mampu menganalisis perilaku konsumen dan tren pasar dan mampu merancang dan mengeksekusi kampanye pemasaran</t>
  </si>
  <si>
    <t>Mampu memahami konsep dasar kewirausahaan dan mampu mengidentifikasi karakteristik wirausahawan yang sukses</t>
  </si>
  <si>
    <t>Mampu memahami karakteristik startup dan perbedaannya dengan bisnis konvensional dan mampu mengembangkan ide dan inovasi bisnis dalam kewirausahaan</t>
  </si>
  <si>
    <t>Sub-CPMK122</t>
  </si>
  <si>
    <t>Mampu memahami konsep dasar agile dan mampu menerapkan metodologi agile dalam pengembangan produk</t>
  </si>
  <si>
    <t>Mampu menggunakan alat bantu agile untuk meningkatkan produktivitas dan mampu menganalisis keberhasilan implementasi agile dalam pengembangan produk</t>
  </si>
  <si>
    <t>Mampu memahami prinsip agile dalam konteks kewirausahaan dan mampu mengelola proses bisnis secara agile</t>
  </si>
  <si>
    <t>Mampu menganalisis keberhasilan penerapan agile dalam bisnis dan startup dan mampu menyesuaikan agile dengan dinamika industri dan tren pasar</t>
  </si>
  <si>
    <t>Presesni</t>
  </si>
  <si>
    <t>UTS</t>
  </si>
  <si>
    <t>UAS</t>
  </si>
  <si>
    <t>Quiz / Tugas / Presentasi</t>
  </si>
  <si>
    <t>V</t>
  </si>
  <si>
    <t>I</t>
  </si>
  <si>
    <t>II</t>
  </si>
  <si>
    <t>III</t>
  </si>
  <si>
    <t>IV</t>
  </si>
  <si>
    <t>Presensi</t>
  </si>
  <si>
    <t>Tahap Penilaian</t>
  </si>
  <si>
    <t>Teknik Penilaian</t>
  </si>
  <si>
    <t>Instrumen</t>
  </si>
  <si>
    <t>Kriteria</t>
  </si>
  <si>
    <t>Bobot</t>
  </si>
  <si>
    <t>Awal-Tengah Semester</t>
  </si>
  <si>
    <t>Tengah-Akhir Semester</t>
  </si>
  <si>
    <t>Presensi, T1, T2</t>
  </si>
  <si>
    <t>Presensi, T3, T4</t>
  </si>
  <si>
    <t>Rubrik Holistik, Rubrik Analitik, Rubrik Skala Persepsi, dan Portofolio</t>
  </si>
  <si>
    <t>Skala Penilaian Sesuai Dengan Instrumen Penilaian</t>
  </si>
  <si>
    <t>Skor</t>
  </si>
  <si>
    <t>Kriteria Penilaian</t>
  </si>
  <si>
    <t>Rancangan sangat inovatif, detail lengkap, sesuai kebutuhan, dan mudah diimplementasikan. Visualisasi atau dokumentasi jelas, serta menunjukkan pemahaman konsep yang sangat baik.</t>
  </si>
  <si>
    <t>Rancangan cukup inovatif dan memiliki detail yang jelas, tetapi masih ada beberapa aspek yang perlu dikembangkan lebih lanjut. Dokumentasi cukup baik, tetapi bisa lebih eksplisit.</t>
  </si>
  <si>
    <t>Rancangan memiliki ide dasar yang baik, tetapi kurang detail dan implementasi tidak terlalu jelas. Dokumentasi masih perlu diperbaiki.</t>
  </si>
  <si>
    <t>Rancangan kurang inovatif, kurang detail, dan tidak menunjukkan solusi yang jelas. Dokumentasi tidak sistematis dan banyak informasi yang hilang.</t>
  </si>
  <si>
    <t>Rancangan tidak sesuai tujuan, tidak memiliki inovasi, dan banyak kekurangan dalam konsep serta dokumentasi. Bisa berupa plagiat atau tidak selesai.</t>
  </si>
  <si>
    <t>Keterangan</t>
  </si>
  <si>
    <t>&lt;20</t>
  </si>
  <si>
    <t>21 - 40</t>
  </si>
  <si>
    <t>41 - 60</t>
  </si>
  <si>
    <t>61 - 80</t>
  </si>
  <si>
    <t>&gt;80</t>
  </si>
  <si>
    <t>Sangat Baik</t>
  </si>
  <si>
    <t>Baik</t>
  </si>
  <si>
    <t>Kurang</t>
  </si>
  <si>
    <t>Sangat Kurang</t>
  </si>
  <si>
    <t>Cukup</t>
  </si>
  <si>
    <t>90 - 100 (Sangat Baik)</t>
  </si>
  <si>
    <t>80 - 89 (Baik)</t>
  </si>
  <si>
    <t>70 - 79 (Cukup)</t>
  </si>
  <si>
    <t>60 - 69 (Kurang)</t>
  </si>
  <si>
    <t>0 - 59 (Tidak Memadai)</t>
  </si>
  <si>
    <t>Kreativitas dan Inovasi</t>
  </si>
  <si>
    <t>Rancangan sangat inovatif, unik, dan menawarkan solusi baru yang efektif.</t>
  </si>
  <si>
    <t>Rancangan cukup inovatif, tetapi masih ada elemen yang dapat dikembangkan.</t>
  </si>
  <si>
    <t>Ide dasar menarik, tetapi kurang memiliki keunikan atau keunggulan.</t>
  </si>
  <si>
    <t>Rancangan kurang inovatif dan masih banyak kelemahan.</t>
  </si>
  <si>
    <t>Tidak ada unsur inovasi atau hanya meniru rancangan lain.</t>
  </si>
  <si>
    <t>Kesesuaian dengan Tujuan</t>
  </si>
  <si>
    <t>Rancangan sangat sesuai dengan tujuan yang ditetapkan dan kebutuhan pengguna.</t>
  </si>
  <si>
    <t>Rancangan cukup sesuai dengan tujuan, meskipun ada beberapa kekurangan kecil.</t>
  </si>
  <si>
    <t>Rancangan kurang sesuai dengan tujuan, tetapi masih dapat dimanfaatkan dengan perbaikan.</t>
  </si>
  <si>
    <t>Rancangan jauh dari tujuan dan tidak sesuai kebutuhan pengguna.</t>
  </si>
  <si>
    <t>Tidak ada hubungan dengan tujuan atau kebutuhan pengguna.</t>
  </si>
  <si>
    <t>Detail Teknis dan Fungsionalitas</t>
  </si>
  <si>
    <t>Detail teknis sangat lengkap, fungsionalitas jelas dan optimal.</t>
  </si>
  <si>
    <t>Detail cukup baik, tetapi ada beberapa aspek yang perlu diperjelas.</t>
  </si>
  <si>
    <t>Ada beberapa bagian yang kurang jelas dan kurang mendukung fungsionalitas.</t>
  </si>
  <si>
    <t>Banyak detail teknis yang hilang, fungsionalitas lemah.</t>
  </si>
  <si>
    <t>Tidak ada detail teknis yang jelas, tidak berfungsi dengan baik.</t>
  </si>
  <si>
    <t>Dokumentasi dan Penyajian</t>
  </si>
  <si>
    <t>Dokumentasi sangat rapi, lengkap, dan mudah dipahami.</t>
  </si>
  <si>
    <t>Dokumentasi cukup baik, tetapi masih ada kekurangan kecil.</t>
  </si>
  <si>
    <t>Dokumentasi kurang jelas atau tidak sistematis.</t>
  </si>
  <si>
    <t>Dokumentasi banyak kesalahan, sulit dipahami.</t>
  </si>
  <si>
    <t>Tidak ada dokumentasi atau sangat buruk.</t>
  </si>
  <si>
    <t>Aspek Penilaian</t>
  </si>
  <si>
    <t>Kesesuaian rancangan dengan kebutuhan pengguna</t>
  </si>
  <si>
    <t>Rancangan sesuai dengan kebutuhan pengguna dan dapat digunakan dengan baik.</t>
  </si>
  <si>
    <t>Kreativitas dan inovasi rancangan</t>
  </si>
  <si>
    <t>Kejelasan struktur dan dokumentasi rancangan</t>
  </si>
  <si>
    <t>Struktur rancangan jelas dan terdokumentasi dengan baik.</t>
  </si>
  <si>
    <t>Kesesuaian rancangan dengan standar industri atau akademik</t>
  </si>
  <si>
    <t>Kelayakan implementasi rancangan</t>
  </si>
  <si>
    <t>Penggunaan teknologi dan alat desain</t>
  </si>
  <si>
    <t>Tidak menggunakan teknologi atau alat desain yang relevan.</t>
  </si>
  <si>
    <t>Penggunaan teknologi sangat baik dan optimal dalam mendukung rancangan.</t>
  </si>
  <si>
    <t>Komunikasi dan presentasi rancangan kepada pihak terkait</t>
  </si>
  <si>
    <t>Baik (70-84)</t>
  </si>
  <si>
    <t>Sangat Baik (85-100)</t>
  </si>
  <si>
    <t>Rancangan tidak sesuai dengan kebutuhan pengguna dan tidak dapat digunakan.</t>
  </si>
  <si>
    <t>Rancangan cukup sesuai tetapi masih membutuhkan banyak perbaikan agar bisa digunakan dengan optimal.</t>
  </si>
  <si>
    <t>Rancangan sangat sesuai dengan kebutuhan pengguna, optimal, dan memenuhi semua kebutuhan.</t>
  </si>
  <si>
    <t>Tidak ada kreativitas dan inovasi dalam rancangan. Desain generik dan tidak menarik.</t>
  </si>
  <si>
    <t>Rancangan cukup kreatif dan inovatif, tetapi masih dapat ditingkatkan.</t>
  </si>
  <si>
    <t>Rancangan sangat kreatif dan inovatif, memberikan solusi unik dan memiliki nilai tambah yang signifikan.</t>
  </si>
  <si>
    <t>Struktur rancangan tidak jelas, sulit dipahami, dan dokumentasi tidak lengkap.</t>
  </si>
  <si>
    <t>Struktur rancangan cukup jelas, tetapi masih ada bagian yang kurang sistematis atau dokumentasi kurang lengkap.</t>
  </si>
  <si>
    <t>Struktur rancangan sangat jelas, sistematis, lengkap, dan mudah dipahami oleh pihak terkait.</t>
  </si>
  <si>
    <t>Tidak sesuai dengan standar industri/akademik yang berlaku dan memiliki banyak kekurangan.</t>
  </si>
  <si>
    <t>Sesuai dengan standar industri/akademik yang berlaku.</t>
  </si>
  <si>
    <t>Sangat sesuai dengan standar, memenuhi semua kriteria akademik/industri dengan baik.</t>
  </si>
  <si>
    <t>Rancangan tidak mungkin diimplementasikan karena tidak mempertimbangkan aspek teknis, biaya, atau keberlanjutan.</t>
  </si>
  <si>
    <t>Rancangan cukup layak diimplementasikan, tetapi masih menghadapi banyak tantangan teknis dan biaya.</t>
  </si>
  <si>
    <t>Rancangan cukup layak diimplementasikan dengan beberapa penyesuaian kecil.</t>
  </si>
  <si>
    <t>Rancangan sangat layak diimplementasikan dengan hasil yang optimal dan pertimbangan yang matang.</t>
  </si>
  <si>
    <t>Penggunaan teknologi dan alat desain masih kurang efektif atau tidak optimal.</t>
  </si>
  <si>
    <t>Penggunaan teknologi cukup baik dan mendukung rancangan dengan baik.</t>
  </si>
  <si>
    <t>Tidak mampu menyampaikan rancangan dengan baik, informasi tidak jelas dan sulit dipahami.</t>
  </si>
  <si>
    <t>Penyampaian rancangan baik, jelas, dan mudah dipahami oleh pihak terkait.</t>
  </si>
  <si>
    <t>Penyampaian rancangan sangat jelas, menarik, persuasif, berbasis data, dan sesuai dengan audiens.</t>
  </si>
  <si>
    <t>Sangat Kurang (0-39)</t>
  </si>
  <si>
    <t>Kurang (40-54)</t>
  </si>
  <si>
    <t>Cukup (55-69)</t>
  </si>
  <si>
    <t>Rancangan kurang sesuai dengan kebutuhan pengguna, ada banyak kekurangan.</t>
  </si>
  <si>
    <t>Rancangan memiliki sedikit kreativitas, tetapi terlalu sederhana dan tidak ada nilai tambah.</t>
  </si>
  <si>
    <t>Rancangan memiliki unsur kreativitas dan inovasi, tetapi masih terbatas.</t>
  </si>
  <si>
    <t>Struktur rancangan kurang jelas, ada banyak bagian yang membingungkan.</t>
  </si>
  <si>
    <t>Rancangan kurang sesuai dengan standar yang berlaku, ada beberapa aspek yang tidak terpenuhi.</t>
  </si>
  <si>
    <t>Cukup sesuai dengan standar, tetapi masih ada beberapa aspek yang belum terpenuhi.</t>
  </si>
  <si>
    <t>Rancangan sulit diimplementasikan, ada banyak tantangan teknis atau biaya yang tidak dipertimbangkan.</t>
  </si>
  <si>
    <t>Penggunaan teknologi dan alat desain kurang tepat, tidak mendukung efisiensi rancangan.</t>
  </si>
  <si>
    <t>Penyampaian rancangan kurang jelas, ada banyak kesalahan dalam komunikasi.</t>
  </si>
  <si>
    <t>Penyampaian rancangan cukup jelas, tetapi masih ada aspek yang perlu diperbaiki dalam komunikasi.</t>
  </si>
  <si>
    <t>Total Bobot</t>
  </si>
  <si>
    <t>Sub-CPMK0312</t>
  </si>
  <si>
    <t>Sub-CPMK0322</t>
  </si>
  <si>
    <t>Mampu memahami prinsip dasar fisika dalam eksperimen dan melaksanakan prosedur eksperimen dengan benar</t>
  </si>
  <si>
    <t>Mampu melakukan pengukuran dan analisis data serta mengevaluasi hasil eksperimen</t>
  </si>
  <si>
    <t>Mampu mengembangkan strategi untuk mengatasi masalah dan mampu melakukan perbaikan dalam pelaksanaan eksperimen</t>
  </si>
  <si>
    <t>Mampu mengevaluasi efektivitas solusi yang diterapkan dan mampu mendokumentasikan dan melaporkan proses penyelesaian masalah</t>
  </si>
  <si>
    <t>Total</t>
  </si>
  <si>
    <t xml:space="preserve">Total </t>
  </si>
  <si>
    <t>U.24.05.41.4.07</t>
  </si>
  <si>
    <t>Kecerdasan Buatan</t>
  </si>
  <si>
    <t>U.24.05.41.7.08</t>
  </si>
  <si>
    <t>Mahasiswa mampu menjelaskan konsep dasar kecerdasan buatan, metode pencarian, representasi pengetahuan, serta prinsip-prinsip machine learning yang relevan dengan bidang teknik industri</t>
  </si>
  <si>
    <t>Mahasiswa mampu merancang dan menerapkan model AI sederhana (machine learning, fuzzy logic, atau optimasi metaheuristik) untuk menyelesaikan permasalahan nyata dalam industri, seperti peramalan permintaan, penjadwalan produksi, atau pengendalian kualitas</t>
  </si>
  <si>
    <t>CPMK472</t>
  </si>
  <si>
    <t>CPMK473</t>
  </si>
  <si>
    <t>Sub-CPMK4721</t>
  </si>
  <si>
    <t>Sub-CPMK4722</t>
  </si>
  <si>
    <t>Sub-CPMK4731</t>
  </si>
  <si>
    <t>Sub-CPMK4732</t>
  </si>
  <si>
    <t>Mampu menguraikan definisi, sejarah, perkembangan, dan ruang lingkup kecerdasan buatan, serta peranannya dalam sistem industri modernMahasiswa mampu menguraikan definisi, sejarah, perkembangan, dan ruang lingkup kecerdasan buatan, serta peranannya dalam sistem industri modern</t>
  </si>
  <si>
    <t>Mampu menjelaskan dan membandingkan metode pencarian, representasi pengetahuan, serta algoritma machine learning dasar (supervised dan unsupervised learning) dengan contoh penerapannya dalam industri</t>
  </si>
  <si>
    <t>Mampu membangun model AI sederhana menggunakan perangkat lunak open-source</t>
  </si>
  <si>
    <t>Mampu menerapkan metode fuzzy logic atau algoritma optimasi metaheuristik (misalnya Genetic Algorithm atau Particle Swarm Optimization) untuk menyelesaikan masalah penjadwalan produksi atau optimasi supply chain</t>
  </si>
  <si>
    <t>MK 61</t>
  </si>
  <si>
    <t>CPMK0110</t>
  </si>
  <si>
    <t>CPMK0111</t>
  </si>
  <si>
    <t>CPMK0112</t>
  </si>
  <si>
    <t>CPMK0113</t>
  </si>
  <si>
    <t>CPMK0114</t>
  </si>
  <si>
    <t>CPMK0115</t>
  </si>
  <si>
    <t>CPMK0116</t>
  </si>
  <si>
    <t>CPMK0117</t>
  </si>
  <si>
    <t>CPMK0118</t>
  </si>
  <si>
    <t>CPMK0119</t>
  </si>
  <si>
    <t>CPMK0120</t>
  </si>
  <si>
    <t>CPMK0121</t>
  </si>
  <si>
    <t>CPMK0122</t>
  </si>
  <si>
    <t>CPMK0210</t>
  </si>
  <si>
    <t>CPMK0211</t>
  </si>
  <si>
    <t>CPMK0212</t>
  </si>
  <si>
    <t>CPMK0213</t>
  </si>
  <si>
    <t>CPMK0214</t>
  </si>
  <si>
    <t>CPMK0215</t>
  </si>
  <si>
    <t>CPMK0216</t>
  </si>
  <si>
    <t>CPMK0217</t>
  </si>
  <si>
    <t>CPMK0218</t>
  </si>
  <si>
    <t>CPMK0219</t>
  </si>
  <si>
    <t>CPMK0220</t>
  </si>
  <si>
    <t>CPMK0221</t>
  </si>
  <si>
    <t>CPMK0222</t>
  </si>
  <si>
    <t>CPMK0223</t>
  </si>
  <si>
    <t>CPMK0224</t>
  </si>
  <si>
    <t>CPMK0225</t>
  </si>
  <si>
    <t>CPMK0226</t>
  </si>
  <si>
    <t>CPMK0410</t>
  </si>
  <si>
    <t>CPMK0411</t>
  </si>
  <si>
    <t>CPMK0412</t>
  </si>
  <si>
    <t>CPMK0413</t>
  </si>
  <si>
    <t>CPMK0414</t>
  </si>
  <si>
    <t>CPMK0415</t>
  </si>
  <si>
    <t>CPMK0416</t>
  </si>
  <si>
    <t>CPMK0417</t>
  </si>
  <si>
    <t>CPMK0418</t>
  </si>
  <si>
    <t>CPMK0419</t>
  </si>
  <si>
    <t>CPMK0420</t>
  </si>
  <si>
    <t>CPMK0421</t>
  </si>
  <si>
    <t>CPMK0422</t>
  </si>
  <si>
    <t>CPMK0423</t>
  </si>
  <si>
    <t>CPMK0424</t>
  </si>
  <si>
    <t>CPMK0425</t>
  </si>
  <si>
    <t>CPMK0426</t>
  </si>
  <si>
    <t>CPMK0427</t>
  </si>
  <si>
    <t>CPMK0428</t>
  </si>
  <si>
    <t>CPMK0429</t>
  </si>
  <si>
    <t>CPMK0430</t>
  </si>
  <si>
    <t>CPMK0431</t>
  </si>
  <si>
    <t>CPMK0432</t>
  </si>
  <si>
    <t>CPMK0433</t>
  </si>
  <si>
    <t>CPMK0510</t>
  </si>
  <si>
    <t>CPMK0511</t>
  </si>
  <si>
    <t>CPMK0512</t>
  </si>
  <si>
    <t>CPMK0513</t>
  </si>
  <si>
    <t>CPMK0514</t>
  </si>
  <si>
    <t>CPMK0515</t>
  </si>
  <si>
    <t>CPMK0516</t>
  </si>
  <si>
    <t>CPMK0517</t>
  </si>
  <si>
    <t>CPMK0910</t>
  </si>
  <si>
    <t>CPMK0911</t>
  </si>
  <si>
    <t>CPMK112</t>
  </si>
  <si>
    <t>P.24.05.41.2.07</t>
  </si>
  <si>
    <t>U.24.05.41.7.09</t>
  </si>
  <si>
    <t>P.24.05.41.8.58</t>
  </si>
  <si>
    <t>CPMK0123</t>
  </si>
  <si>
    <t>CPMK0124</t>
  </si>
  <si>
    <t>Mahasiswa mampu mengevaluasi dan mengimplementasikan teknik pengendalian biaya dalam berbagai sektor industri untuk meningkatkan profitabilitas dan daya saing</t>
  </si>
  <si>
    <t xml:space="preserve">Bahasa Inggris </t>
  </si>
</sst>
</file>

<file path=xl/styles.xml><?xml version="1.0" encoding="utf-8"?>
<styleSheet xmlns="http://schemas.openxmlformats.org/spreadsheetml/2006/main" xmlns:mc="http://schemas.openxmlformats.org/markup-compatibility/2006" xmlns:x14ac="http://schemas.microsoft.com/office/spreadsheetml/2009/9/ac" mc:Ignorable="x14ac">
  <fonts count="14" x14ac:knownFonts="1">
    <font>
      <sz val="11"/>
      <color theme="1"/>
      <name val="Calibri"/>
      <family val="2"/>
      <scheme val="minor"/>
    </font>
    <font>
      <b/>
      <sz val="11"/>
      <name val="Calibri"/>
      <family val="2"/>
      <scheme val="minor"/>
    </font>
    <font>
      <sz val="11"/>
      <name val="Calibri"/>
      <family val="2"/>
      <scheme val="minor"/>
    </font>
    <font>
      <sz val="10"/>
      <name val="Calibri"/>
      <family val="2"/>
      <scheme val="minor"/>
    </font>
    <font>
      <b/>
      <sz val="10"/>
      <name val="Calibri"/>
      <family val="2"/>
      <scheme val="minor"/>
    </font>
    <font>
      <sz val="10"/>
      <color theme="1"/>
      <name val="Calibri"/>
      <family val="2"/>
      <scheme val="minor"/>
    </font>
    <font>
      <sz val="12"/>
      <color theme="1"/>
      <name val="Times New Roman"/>
      <family val="1"/>
    </font>
    <font>
      <sz val="11"/>
      <color theme="1"/>
      <name val="Times New Roman"/>
      <family val="1"/>
    </font>
    <font>
      <b/>
      <sz val="11"/>
      <color theme="1"/>
      <name val="Times New Roman"/>
      <family val="1"/>
    </font>
    <font>
      <b/>
      <sz val="10"/>
      <color theme="1"/>
      <name val="Times New Roman"/>
      <family val="1"/>
    </font>
    <font>
      <sz val="10"/>
      <color theme="1"/>
      <name val="Times New Roman"/>
      <family val="1"/>
    </font>
    <font>
      <b/>
      <sz val="12"/>
      <color theme="1"/>
      <name val="Times New Roman"/>
      <family val="1"/>
    </font>
    <font>
      <b/>
      <sz val="11"/>
      <color theme="1"/>
      <name val="Calibri"/>
      <family val="2"/>
      <scheme val="minor"/>
    </font>
    <font>
      <sz val="11"/>
      <color rgb="FFFF0000"/>
      <name val="Times New Roman"/>
      <family val="1"/>
    </font>
  </fonts>
  <fills count="3">
    <fill>
      <patternFill patternType="none"/>
    </fill>
    <fill>
      <patternFill patternType="gray125"/>
    </fill>
    <fill>
      <patternFill patternType="solid">
        <fgColor theme="0" tint="-0.249977111117893"/>
        <bgColor indexed="64"/>
      </patternFill>
    </fill>
  </fills>
  <borders count="20">
    <border>
      <left/>
      <right/>
      <top/>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style="thin">
        <color indexed="64"/>
      </bottom>
      <diagonal/>
    </border>
  </borders>
  <cellStyleXfs count="1">
    <xf numFmtId="0" fontId="0" fillId="0" borderId="0"/>
  </cellStyleXfs>
  <cellXfs count="243">
    <xf numFmtId="0" fontId="0" fillId="0" borderId="0" xfId="0"/>
    <xf numFmtId="0" fontId="2" fillId="0" borderId="0" xfId="0" applyFont="1" applyFill="1"/>
    <xf numFmtId="0" fontId="3" fillId="0" borderId="6" xfId="0" applyFont="1" applyFill="1" applyBorder="1" applyAlignment="1">
      <alignment horizontal="center" vertical="center"/>
    </xf>
    <xf numFmtId="0" fontId="3" fillId="0" borderId="6" xfId="0" applyFont="1" applyFill="1" applyBorder="1" applyAlignment="1">
      <alignment vertical="center"/>
    </xf>
    <xf numFmtId="0" fontId="3" fillId="0" borderId="7" xfId="0" applyFont="1" applyFill="1" applyBorder="1" applyAlignment="1">
      <alignment vertical="center"/>
    </xf>
    <xf numFmtId="0" fontId="3" fillId="0" borderId="3" xfId="0" applyFont="1" applyFill="1" applyBorder="1" applyAlignment="1">
      <alignment vertical="center"/>
    </xf>
    <xf numFmtId="0" fontId="4" fillId="0" borderId="6" xfId="0" applyFont="1" applyFill="1" applyBorder="1" applyAlignment="1">
      <alignment vertical="center"/>
    </xf>
    <xf numFmtId="0" fontId="3" fillId="0" borderId="7" xfId="0" applyFont="1" applyFill="1" applyBorder="1" applyAlignment="1">
      <alignment horizontal="center" vertical="center"/>
    </xf>
    <xf numFmtId="0" fontId="4" fillId="0" borderId="3" xfId="0" applyFont="1" applyFill="1" applyBorder="1" applyAlignment="1">
      <alignment vertical="center"/>
    </xf>
    <xf numFmtId="0" fontId="3" fillId="0" borderId="3" xfId="0" applyFont="1" applyFill="1" applyBorder="1" applyAlignment="1">
      <alignment horizontal="center" vertical="center"/>
    </xf>
    <xf numFmtId="0" fontId="3" fillId="0" borderId="11" xfId="0" applyFont="1" applyFill="1" applyBorder="1" applyAlignment="1">
      <alignment horizontal="center" vertical="center"/>
    </xf>
    <xf numFmtId="0" fontId="3" fillId="0" borderId="12" xfId="0" applyFont="1" applyFill="1" applyBorder="1" applyAlignment="1">
      <alignment vertical="center"/>
    </xf>
    <xf numFmtId="0" fontId="3" fillId="0" borderId="8" xfId="0" applyFont="1" applyFill="1" applyBorder="1" applyAlignment="1">
      <alignment horizontal="center" vertical="center"/>
    </xf>
    <xf numFmtId="0" fontId="3" fillId="0" borderId="2" xfId="0" applyFont="1" applyFill="1" applyBorder="1" applyAlignment="1">
      <alignment vertical="center"/>
    </xf>
    <xf numFmtId="0" fontId="5" fillId="0" borderId="6" xfId="0" applyFont="1" applyFill="1" applyBorder="1" applyAlignment="1">
      <alignment vertical="center"/>
    </xf>
    <xf numFmtId="0" fontId="5" fillId="0" borderId="6" xfId="0" applyFont="1" applyFill="1" applyBorder="1" applyAlignment="1">
      <alignment horizontal="center" vertical="center"/>
    </xf>
    <xf numFmtId="0" fontId="2" fillId="0" borderId="0" xfId="0" applyFont="1" applyFill="1" applyBorder="1"/>
    <xf numFmtId="0" fontId="3" fillId="0" borderId="0" xfId="0" applyFont="1" applyFill="1" applyBorder="1" applyAlignment="1">
      <alignment horizontal="center" vertical="center"/>
    </xf>
    <xf numFmtId="0" fontId="3" fillId="0" borderId="0" xfId="0" applyFont="1" applyFill="1" applyBorder="1" applyAlignment="1">
      <alignment vertical="center"/>
    </xf>
    <xf numFmtId="0" fontId="5" fillId="0" borderId="3" xfId="0" applyFont="1" applyFill="1" applyBorder="1" applyAlignment="1">
      <alignment vertical="center"/>
    </xf>
    <xf numFmtId="0" fontId="5" fillId="0" borderId="12" xfId="0" applyFont="1" applyFill="1" applyBorder="1" applyAlignment="1">
      <alignment horizontal="center" vertical="center"/>
    </xf>
    <xf numFmtId="0" fontId="3" fillId="0" borderId="9" xfId="0" applyFont="1" applyFill="1" applyBorder="1" applyAlignment="1">
      <alignment horizontal="center" vertical="center"/>
    </xf>
    <xf numFmtId="0" fontId="2" fillId="0" borderId="14" xfId="0" applyFont="1" applyFill="1" applyBorder="1" applyAlignment="1">
      <alignment horizont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1" xfId="0" applyFont="1" applyFill="1" applyBorder="1" applyAlignment="1">
      <alignment horizontal="center" vertical="center"/>
    </xf>
    <xf numFmtId="0" fontId="2" fillId="0" borderId="15" xfId="0" applyFont="1" applyFill="1" applyBorder="1" applyAlignment="1">
      <alignment horizontal="center"/>
    </xf>
    <xf numFmtId="0" fontId="1" fillId="2" borderId="2" xfId="0" applyFont="1" applyFill="1" applyBorder="1"/>
    <xf numFmtId="0" fontId="1" fillId="2" borderId="2" xfId="0" applyFont="1" applyFill="1" applyBorder="1" applyAlignment="1">
      <alignment horizontal="center"/>
    </xf>
    <xf numFmtId="0" fontId="7" fillId="0" borderId="0" xfId="0" applyFont="1" applyAlignment="1">
      <alignment horizontal="center"/>
    </xf>
    <xf numFmtId="0" fontId="7" fillId="0" borderId="0" xfId="0" applyFont="1" applyBorder="1" applyAlignment="1">
      <alignment horizontal="center"/>
    </xf>
    <xf numFmtId="0" fontId="7" fillId="0" borderId="0" xfId="0" applyFont="1"/>
    <xf numFmtId="0" fontId="7" fillId="0" borderId="0" xfId="0" applyFont="1" applyBorder="1"/>
    <xf numFmtId="0" fontId="7" fillId="0" borderId="0" xfId="0" applyFont="1" applyAlignment="1">
      <alignment vertical="center" wrapText="1"/>
    </xf>
    <xf numFmtId="0" fontId="7" fillId="0" borderId="14" xfId="0" applyFont="1" applyBorder="1" applyAlignment="1">
      <alignment wrapText="1"/>
    </xf>
    <xf numFmtId="0" fontId="7" fillId="0" borderId="14" xfId="0" applyFont="1" applyBorder="1" applyAlignment="1">
      <alignment vertical="center" wrapText="1"/>
    </xf>
    <xf numFmtId="0" fontId="3" fillId="0" borderId="12" xfId="0" applyFont="1" applyFill="1" applyBorder="1" applyAlignment="1">
      <alignment horizontal="center" vertical="center"/>
    </xf>
    <xf numFmtId="0" fontId="7" fillId="0" borderId="14" xfId="0" applyFont="1" applyBorder="1" applyAlignment="1">
      <alignment vertical="top" wrapText="1"/>
    </xf>
    <xf numFmtId="0" fontId="7" fillId="0" borderId="0" xfId="0" applyFont="1" applyAlignment="1">
      <alignment horizontal="center" vertical="center"/>
    </xf>
    <xf numFmtId="0" fontId="8" fillId="0" borderId="0" xfId="0" applyFont="1" applyAlignment="1">
      <alignment horizontal="center"/>
    </xf>
    <xf numFmtId="0" fontId="7" fillId="0" borderId="0" xfId="0" applyFont="1" applyAlignment="1">
      <alignment vertical="center"/>
    </xf>
    <xf numFmtId="0" fontId="7" fillId="0" borderId="14" xfId="0" applyFont="1" applyBorder="1" applyAlignment="1">
      <alignment horizontal="center" vertical="center"/>
    </xf>
    <xf numFmtId="0" fontId="7" fillId="0" borderId="14" xfId="0" applyFont="1" applyBorder="1" applyAlignment="1">
      <alignment horizontal="left" vertical="center" wrapText="1"/>
    </xf>
    <xf numFmtId="0" fontId="7" fillId="0" borderId="14" xfId="0" applyFont="1" applyBorder="1" applyAlignment="1">
      <alignment horizontal="left" vertical="top" wrapText="1"/>
    </xf>
    <xf numFmtId="0" fontId="7" fillId="0" borderId="16" xfId="0" applyFont="1" applyBorder="1" applyAlignment="1">
      <alignment horizontal="center" vertical="top"/>
    </xf>
    <xf numFmtId="0" fontId="6" fillId="0" borderId="16" xfId="0" applyFont="1" applyBorder="1" applyAlignment="1">
      <alignment horizontal="left" vertical="top" wrapText="1"/>
    </xf>
    <xf numFmtId="0" fontId="7" fillId="0" borderId="14" xfId="0" applyFont="1" applyBorder="1" applyAlignment="1">
      <alignment horizontal="center" vertical="center"/>
    </xf>
    <xf numFmtId="0" fontId="7" fillId="0" borderId="14" xfId="0" applyFont="1" applyBorder="1" applyAlignment="1">
      <alignment horizontal="center" vertical="top"/>
    </xf>
    <xf numFmtId="0" fontId="8" fillId="0" borderId="14" xfId="0" applyFont="1" applyBorder="1" applyAlignment="1">
      <alignment horizontal="center"/>
    </xf>
    <xf numFmtId="0" fontId="7" fillId="0" borderId="14" xfId="0" applyFont="1" applyBorder="1" applyAlignment="1">
      <alignment vertical="top"/>
    </xf>
    <xf numFmtId="0" fontId="7" fillId="0" borderId="14" xfId="0" applyFont="1" applyBorder="1" applyAlignment="1">
      <alignment horizontal="center" vertical="center"/>
    </xf>
    <xf numFmtId="0" fontId="7" fillId="0" borderId="16" xfId="0" applyFont="1" applyBorder="1" applyAlignment="1">
      <alignment vertical="top"/>
    </xf>
    <xf numFmtId="0" fontId="9" fillId="2" borderId="14" xfId="0" applyFont="1" applyFill="1" applyBorder="1" applyAlignment="1">
      <alignment horizontal="center" vertical="center" wrapText="1"/>
    </xf>
    <xf numFmtId="0" fontId="7" fillId="0" borderId="15" xfId="0" applyFont="1" applyBorder="1" applyAlignment="1">
      <alignment vertical="top" wrapText="1"/>
    </xf>
    <xf numFmtId="0" fontId="7" fillId="0" borderId="14" xfId="0" applyFont="1" applyFill="1" applyBorder="1" applyAlignment="1">
      <alignment horizontal="center" vertical="center"/>
    </xf>
    <xf numFmtId="0" fontId="7" fillId="0" borderId="12" xfId="0" applyFont="1" applyBorder="1" applyAlignment="1">
      <alignment horizontal="justify" vertical="center" wrapText="1"/>
    </xf>
    <xf numFmtId="0" fontId="7" fillId="0" borderId="0" xfId="0" applyFont="1" applyAlignment="1">
      <alignment horizontal="left" vertical="center"/>
    </xf>
    <xf numFmtId="0" fontId="7" fillId="0" borderId="0" xfId="0" applyFont="1" applyAlignment="1">
      <alignment vertical="top"/>
    </xf>
    <xf numFmtId="0" fontId="7" fillId="0" borderId="14" xfId="0" applyFont="1" applyBorder="1" applyAlignment="1">
      <alignment horizontal="center" vertical="center"/>
    </xf>
    <xf numFmtId="0" fontId="7" fillId="0" borderId="14" xfId="0" applyFont="1" applyBorder="1" applyAlignment="1">
      <alignment horizontal="center" vertical="top"/>
    </xf>
    <xf numFmtId="0" fontId="7" fillId="0" borderId="14" xfId="0" applyFont="1" applyBorder="1" applyAlignment="1">
      <alignment horizontal="center" vertical="center"/>
    </xf>
    <xf numFmtId="0" fontId="7" fillId="0" borderId="14" xfId="0" applyFont="1" applyBorder="1" applyAlignment="1">
      <alignment horizontal="center" vertical="top"/>
    </xf>
    <xf numFmtId="0" fontId="7" fillId="0" borderId="14" xfId="0" applyFont="1" applyBorder="1" applyAlignment="1">
      <alignment horizontal="center" vertical="top"/>
    </xf>
    <xf numFmtId="0" fontId="7" fillId="0" borderId="14" xfId="0" applyFont="1" applyBorder="1" applyAlignment="1">
      <alignment horizontal="center" vertical="top"/>
    </xf>
    <xf numFmtId="0" fontId="7" fillId="0" borderId="14" xfId="0" applyFont="1" applyBorder="1" applyAlignment="1"/>
    <xf numFmtId="0" fontId="7" fillId="0" borderId="14" xfId="0" applyFont="1" applyBorder="1" applyAlignment="1">
      <alignment horizontal="center" vertical="center"/>
    </xf>
    <xf numFmtId="0" fontId="7" fillId="0" borderId="14" xfId="0" applyFont="1" applyBorder="1" applyAlignment="1">
      <alignment horizontal="center" vertical="top"/>
    </xf>
    <xf numFmtId="0" fontId="7" fillId="0" borderId="14" xfId="0" applyFont="1" applyBorder="1" applyAlignment="1">
      <alignment horizontal="center" vertical="top" wrapText="1"/>
    </xf>
    <xf numFmtId="0" fontId="7" fillId="0" borderId="14" xfId="0" applyFont="1" applyBorder="1" applyAlignment="1">
      <alignment horizontal="left" vertical="top" wrapText="1"/>
    </xf>
    <xf numFmtId="0" fontId="7" fillId="0" borderId="14" xfId="0" applyFont="1" applyBorder="1" applyAlignment="1">
      <alignment horizontal="center" vertical="top"/>
    </xf>
    <xf numFmtId="0" fontId="7" fillId="0" borderId="14" xfId="0" applyFont="1" applyBorder="1" applyAlignment="1">
      <alignment horizontal="center" vertical="top"/>
    </xf>
    <xf numFmtId="0" fontId="7" fillId="0" borderId="16" xfId="0" applyFont="1" applyBorder="1" applyAlignment="1">
      <alignment vertical="top" wrapText="1"/>
    </xf>
    <xf numFmtId="0" fontId="0" fillId="0" borderId="0" xfId="0" applyAlignment="1">
      <alignment vertical="top" wrapText="1"/>
    </xf>
    <xf numFmtId="0" fontId="7" fillId="0" borderId="14" xfId="0" applyFont="1" applyBorder="1" applyAlignment="1">
      <alignment horizontal="center" vertical="center"/>
    </xf>
    <xf numFmtId="0" fontId="7" fillId="0" borderId="14" xfId="0" applyFont="1" applyBorder="1" applyAlignment="1">
      <alignment horizontal="center" vertical="top"/>
    </xf>
    <xf numFmtId="0" fontId="7" fillId="0" borderId="14" xfId="0" applyFont="1" applyBorder="1"/>
    <xf numFmtId="0" fontId="7" fillId="0" borderId="14" xfId="0" applyFont="1" applyBorder="1" applyAlignment="1">
      <alignment horizontal="center" vertical="center"/>
    </xf>
    <xf numFmtId="0" fontId="7" fillId="0" borderId="14" xfId="0" applyFont="1" applyBorder="1" applyAlignment="1">
      <alignment horizontal="left" vertical="top" wrapText="1"/>
    </xf>
    <xf numFmtId="0" fontId="7" fillId="0" borderId="14" xfId="0" applyFont="1" applyBorder="1" applyAlignment="1">
      <alignment horizontal="center" vertical="center"/>
    </xf>
    <xf numFmtId="0" fontId="7" fillId="0" borderId="14" xfId="0" applyFont="1" applyBorder="1" applyAlignment="1">
      <alignment horizontal="center" vertical="top"/>
    </xf>
    <xf numFmtId="0" fontId="7" fillId="0" borderId="14" xfId="0" applyFont="1" applyBorder="1" applyAlignment="1">
      <alignment horizontal="center" vertical="center"/>
    </xf>
    <xf numFmtId="0" fontId="7" fillId="0" borderId="16" xfId="0" applyFont="1" applyBorder="1" applyAlignment="1">
      <alignment horizontal="center" vertical="top"/>
    </xf>
    <xf numFmtId="0" fontId="7" fillId="0" borderId="14" xfId="0" applyFont="1" applyBorder="1" applyAlignment="1">
      <alignment horizontal="center" vertical="top"/>
    </xf>
    <xf numFmtId="0" fontId="7" fillId="0" borderId="14" xfId="0" applyFont="1" applyBorder="1" applyAlignment="1">
      <alignment horizontal="left" vertical="top" wrapText="1"/>
    </xf>
    <xf numFmtId="0" fontId="7" fillId="0" borderId="15" xfId="0" applyFont="1" applyBorder="1" applyAlignment="1">
      <alignment horizontal="center" vertical="center"/>
    </xf>
    <xf numFmtId="0" fontId="7" fillId="0" borderId="14" xfId="0" applyFont="1" applyBorder="1" applyAlignment="1">
      <alignment horizontal="center" vertical="center"/>
    </xf>
    <xf numFmtId="0" fontId="7" fillId="0" borderId="14" xfId="0" applyFont="1" applyBorder="1" applyAlignment="1">
      <alignment horizontal="center" vertical="top"/>
    </xf>
    <xf numFmtId="0" fontId="7" fillId="0" borderId="14" xfId="0" applyFont="1" applyFill="1" applyBorder="1" applyAlignment="1">
      <alignment horizontal="center" vertical="top"/>
    </xf>
    <xf numFmtId="0" fontId="7" fillId="0" borderId="14" xfId="0" applyFont="1" applyBorder="1" applyAlignment="1">
      <alignment horizontal="center" vertical="center"/>
    </xf>
    <xf numFmtId="0" fontId="7" fillId="0" borderId="16" xfId="0" applyFont="1" applyBorder="1" applyAlignment="1">
      <alignment horizontal="center" vertical="center"/>
    </xf>
    <xf numFmtId="0" fontId="7" fillId="0" borderId="14" xfId="0" applyFont="1" applyFill="1" applyBorder="1" applyAlignment="1">
      <alignment vertical="top"/>
    </xf>
    <xf numFmtId="0" fontId="7" fillId="0" borderId="15" xfId="0" applyFont="1" applyBorder="1" applyAlignment="1">
      <alignment horizontal="center" vertical="center"/>
    </xf>
    <xf numFmtId="0" fontId="7" fillId="0" borderId="14" xfId="0" applyFont="1" applyBorder="1" applyAlignment="1">
      <alignment horizontal="center" vertical="center"/>
    </xf>
    <xf numFmtId="0" fontId="7" fillId="0" borderId="14" xfId="0" applyFont="1" applyBorder="1" applyAlignment="1">
      <alignment horizontal="center" vertical="top"/>
    </xf>
    <xf numFmtId="0" fontId="7" fillId="0" borderId="14" xfId="0" applyFont="1" applyFill="1" applyBorder="1" applyAlignment="1">
      <alignment horizontal="center" vertical="top"/>
    </xf>
    <xf numFmtId="0" fontId="7" fillId="0" borderId="14" xfId="0" applyFont="1" applyBorder="1" applyAlignment="1">
      <alignment horizontal="center" vertical="top"/>
    </xf>
    <xf numFmtId="0" fontId="7" fillId="0" borderId="16" xfId="0" applyFont="1" applyBorder="1" applyAlignment="1">
      <alignment horizontal="center" vertical="top"/>
    </xf>
    <xf numFmtId="0" fontId="7" fillId="0" borderId="14" xfId="0" applyFont="1" applyBorder="1" applyAlignment="1">
      <alignment horizontal="center" vertical="center"/>
    </xf>
    <xf numFmtId="0" fontId="7" fillId="0" borderId="14" xfId="0" applyFont="1" applyBorder="1" applyAlignment="1">
      <alignment horizontal="center" vertical="top"/>
    </xf>
    <xf numFmtId="0" fontId="7" fillId="0" borderId="14" xfId="0" applyFont="1" applyBorder="1" applyAlignment="1">
      <alignment horizontal="center" vertical="top" wrapText="1"/>
    </xf>
    <xf numFmtId="0" fontId="7" fillId="0" borderId="14" xfId="0" applyFont="1" applyFill="1" applyBorder="1" applyAlignment="1">
      <alignment horizontal="center" vertical="top"/>
    </xf>
    <xf numFmtId="0" fontId="7" fillId="0" borderId="16" xfId="0" applyFont="1" applyBorder="1" applyAlignment="1">
      <alignment horizontal="center" vertical="top"/>
    </xf>
    <xf numFmtId="0" fontId="7" fillId="0" borderId="17" xfId="0" applyFont="1" applyBorder="1" applyAlignment="1">
      <alignment horizontal="center" vertical="top"/>
    </xf>
    <xf numFmtId="0" fontId="7" fillId="0" borderId="14" xfId="0" applyFont="1" applyBorder="1" applyAlignment="1">
      <alignment horizontal="center" vertical="center"/>
    </xf>
    <xf numFmtId="0" fontId="7" fillId="0" borderId="14" xfId="0" applyFont="1" applyBorder="1" applyAlignment="1">
      <alignment horizontal="center" vertical="top"/>
    </xf>
    <xf numFmtId="0" fontId="7" fillId="0" borderId="16" xfId="0" applyFont="1" applyFill="1" applyBorder="1" applyAlignment="1">
      <alignment horizontal="center" vertical="top"/>
    </xf>
    <xf numFmtId="0" fontId="7" fillId="0" borderId="16" xfId="0" applyFont="1" applyFill="1" applyBorder="1" applyAlignment="1">
      <alignment horizontal="center" vertical="top" wrapText="1"/>
    </xf>
    <xf numFmtId="0" fontId="7" fillId="0" borderId="14" xfId="0" applyFont="1" applyBorder="1" applyAlignment="1">
      <alignment horizontal="center" vertical="top" wrapText="1"/>
    </xf>
    <xf numFmtId="0" fontId="7" fillId="0" borderId="16" xfId="0" applyFont="1" applyBorder="1" applyAlignment="1">
      <alignment horizontal="center" vertical="top" wrapText="1"/>
    </xf>
    <xf numFmtId="0" fontId="7" fillId="0" borderId="14" xfId="0" applyFont="1" applyFill="1" applyBorder="1" applyAlignment="1">
      <alignment horizontal="center" vertical="top"/>
    </xf>
    <xf numFmtId="0" fontId="8" fillId="0" borderId="14" xfId="0" applyFont="1" applyBorder="1" applyAlignment="1">
      <alignment horizontal="center" vertical="top"/>
    </xf>
    <xf numFmtId="0" fontId="8" fillId="0" borderId="14" xfId="0" applyFont="1" applyBorder="1" applyAlignment="1">
      <alignment horizontal="center" vertical="top" wrapText="1"/>
    </xf>
    <xf numFmtId="0" fontId="8" fillId="0" borderId="0" xfId="0" applyFont="1" applyAlignment="1">
      <alignment horizontal="center" vertical="center"/>
    </xf>
    <xf numFmtId="0" fontId="8" fillId="0" borderId="14" xfId="0" applyFont="1" applyBorder="1" applyAlignment="1">
      <alignment horizontal="center" vertical="center"/>
    </xf>
    <xf numFmtId="0" fontId="7" fillId="0" borderId="14" xfId="0" applyFont="1" applyBorder="1" applyAlignment="1">
      <alignment vertical="center"/>
    </xf>
    <xf numFmtId="0" fontId="8" fillId="0" borderId="14" xfId="0" applyFont="1" applyBorder="1" applyAlignment="1">
      <alignment horizontal="center" vertical="center" wrapText="1"/>
    </xf>
    <xf numFmtId="0" fontId="10" fillId="0" borderId="17" xfId="0" applyFont="1" applyBorder="1" applyAlignment="1">
      <alignment horizontal="center" vertical="top"/>
    </xf>
    <xf numFmtId="0" fontId="10" fillId="0" borderId="14" xfId="0" applyFont="1" applyBorder="1" applyAlignment="1">
      <alignment horizontal="center" vertical="center" wrapText="1"/>
    </xf>
    <xf numFmtId="0" fontId="10" fillId="0" borderId="14" xfId="0" applyFont="1" applyBorder="1" applyAlignment="1">
      <alignment horizontal="center" vertical="center"/>
    </xf>
    <xf numFmtId="0" fontId="10" fillId="0" borderId="16" xfId="0" applyFont="1" applyBorder="1" applyAlignment="1">
      <alignment horizontal="center" vertical="top"/>
    </xf>
    <xf numFmtId="0" fontId="10" fillId="0" borderId="14" xfId="0" applyFont="1" applyBorder="1" applyAlignment="1">
      <alignment horizontal="center" vertical="top"/>
    </xf>
    <xf numFmtId="0" fontId="10" fillId="0" borderId="16" xfId="0" applyFont="1" applyBorder="1" applyAlignment="1">
      <alignment horizontal="center" vertical="top" wrapText="1"/>
    </xf>
    <xf numFmtId="0" fontId="10" fillId="0" borderId="14" xfId="0" applyFont="1" applyBorder="1" applyAlignment="1">
      <alignment horizontal="center" vertical="top" wrapText="1"/>
    </xf>
    <xf numFmtId="0" fontId="10" fillId="0" borderId="16" xfId="0" applyFont="1" applyFill="1" applyBorder="1" applyAlignment="1">
      <alignment horizontal="center" vertical="top"/>
    </xf>
    <xf numFmtId="0" fontId="10" fillId="0" borderId="16" xfId="0" applyFont="1" applyFill="1" applyBorder="1" applyAlignment="1">
      <alignment horizontal="center" vertical="top" wrapText="1"/>
    </xf>
    <xf numFmtId="0" fontId="10" fillId="0" borderId="14" xfId="0" applyFont="1" applyFill="1" applyBorder="1" applyAlignment="1">
      <alignment horizontal="center" vertical="top"/>
    </xf>
    <xf numFmtId="0" fontId="10" fillId="0" borderId="14" xfId="0" applyFont="1" applyBorder="1" applyAlignment="1">
      <alignment horizontal="center"/>
    </xf>
    <xf numFmtId="0" fontId="6" fillId="0" borderId="0" xfId="0" applyFont="1"/>
    <xf numFmtId="0" fontId="11" fillId="0" borderId="14" xfId="0" applyFont="1" applyBorder="1" applyAlignment="1">
      <alignment horizontal="center" vertical="center" wrapText="1"/>
    </xf>
    <xf numFmtId="0" fontId="6" fillId="0" borderId="14" xfId="0" applyFont="1" applyBorder="1" applyAlignment="1">
      <alignment vertical="center" wrapText="1"/>
    </xf>
    <xf numFmtId="0" fontId="11" fillId="0" borderId="14" xfId="0" applyFont="1" applyBorder="1" applyAlignment="1">
      <alignment vertical="center"/>
    </xf>
    <xf numFmtId="0" fontId="6" fillId="0" borderId="14" xfId="0" applyFont="1" applyBorder="1" applyAlignment="1">
      <alignment horizontal="center" vertical="center" wrapText="1"/>
    </xf>
    <xf numFmtId="0" fontId="7" fillId="0" borderId="16" xfId="0" applyFont="1" applyBorder="1" applyAlignment="1">
      <alignment horizontal="center" vertical="top"/>
    </xf>
    <xf numFmtId="0" fontId="7" fillId="0" borderId="17" xfId="0" applyFont="1" applyBorder="1" applyAlignment="1">
      <alignment horizontal="center" vertical="top"/>
    </xf>
    <xf numFmtId="0" fontId="7" fillId="0" borderId="14" xfId="0" applyFont="1" applyBorder="1" applyAlignment="1">
      <alignment horizontal="center" vertical="center"/>
    </xf>
    <xf numFmtId="0" fontId="7" fillId="0" borderId="14" xfId="0" applyFont="1" applyBorder="1" applyAlignment="1">
      <alignment horizontal="center" vertical="top"/>
    </xf>
    <xf numFmtId="0" fontId="7" fillId="0" borderId="16" xfId="0" applyFont="1" applyFill="1" applyBorder="1" applyAlignment="1">
      <alignment horizontal="center" vertical="top"/>
    </xf>
    <xf numFmtId="0" fontId="7" fillId="0" borderId="16" xfId="0" applyFont="1" applyBorder="1" applyAlignment="1">
      <alignment horizontal="center" vertical="top" wrapText="1"/>
    </xf>
    <xf numFmtId="0" fontId="7" fillId="0" borderId="14" xfId="0" applyFont="1" applyFill="1" applyBorder="1" applyAlignment="1">
      <alignment horizontal="center" vertical="top"/>
    </xf>
    <xf numFmtId="0" fontId="7" fillId="0" borderId="14" xfId="0" applyFont="1" applyBorder="1" applyAlignment="1">
      <alignment horizontal="center" vertical="top" wrapText="1"/>
    </xf>
    <xf numFmtId="0" fontId="7" fillId="0" borderId="16" xfId="0" applyFont="1" applyFill="1" applyBorder="1" applyAlignment="1">
      <alignment horizontal="center" vertical="top" wrapText="1"/>
    </xf>
    <xf numFmtId="0" fontId="8" fillId="0" borderId="14" xfId="0" applyFont="1" applyBorder="1" applyAlignment="1">
      <alignment horizontal="center" vertical="center"/>
    </xf>
    <xf numFmtId="0" fontId="12" fillId="0" borderId="14" xfId="0" applyFont="1" applyBorder="1" applyAlignment="1">
      <alignment horizontal="center" vertical="center" wrapText="1"/>
    </xf>
    <xf numFmtId="0" fontId="12" fillId="0" borderId="14" xfId="0" applyFont="1" applyBorder="1" applyAlignment="1">
      <alignment vertical="center" wrapText="1"/>
    </xf>
    <xf numFmtId="0" fontId="0" fillId="0" borderId="14" xfId="0" applyBorder="1" applyAlignment="1">
      <alignment vertical="center" wrapText="1"/>
    </xf>
    <xf numFmtId="0" fontId="7" fillId="0" borderId="16" xfId="0" applyFont="1" applyBorder="1" applyAlignment="1">
      <alignment horizontal="center" vertical="top"/>
    </xf>
    <xf numFmtId="0" fontId="7" fillId="0" borderId="17" xfId="0" applyFont="1" applyBorder="1" applyAlignment="1">
      <alignment horizontal="center" vertical="top"/>
    </xf>
    <xf numFmtId="0" fontId="7" fillId="0" borderId="14" xfId="0" applyFont="1" applyBorder="1" applyAlignment="1">
      <alignment horizontal="center" vertical="center"/>
    </xf>
    <xf numFmtId="0" fontId="7" fillId="0" borderId="14" xfId="0" applyFont="1" applyBorder="1" applyAlignment="1">
      <alignment horizontal="center" vertical="top"/>
    </xf>
    <xf numFmtId="0" fontId="7" fillId="0" borderId="16" xfId="0" applyFont="1" applyFill="1" applyBorder="1" applyAlignment="1">
      <alignment horizontal="center" vertical="top"/>
    </xf>
    <xf numFmtId="0" fontId="7" fillId="0" borderId="16" xfId="0" applyFont="1" applyFill="1" applyBorder="1" applyAlignment="1">
      <alignment horizontal="center" vertical="top" wrapText="1"/>
    </xf>
    <xf numFmtId="0" fontId="7" fillId="0" borderId="14" xfId="0" applyFont="1" applyBorder="1" applyAlignment="1">
      <alignment horizontal="center" vertical="top" wrapText="1"/>
    </xf>
    <xf numFmtId="0" fontId="7" fillId="0" borderId="16" xfId="0" applyFont="1" applyBorder="1" applyAlignment="1">
      <alignment horizontal="center" vertical="top" wrapText="1"/>
    </xf>
    <xf numFmtId="0" fontId="7" fillId="0" borderId="14" xfId="0" applyFont="1" applyFill="1" applyBorder="1" applyAlignment="1">
      <alignment horizontal="center" vertical="top"/>
    </xf>
    <xf numFmtId="0" fontId="8" fillId="0" borderId="14" xfId="0" applyFont="1" applyBorder="1" applyAlignment="1">
      <alignment horizontal="center" vertical="center"/>
    </xf>
    <xf numFmtId="0" fontId="7" fillId="0" borderId="14" xfId="0" applyFont="1" applyBorder="1" applyAlignment="1">
      <alignment horizontal="center"/>
    </xf>
    <xf numFmtId="0" fontId="7" fillId="0" borderId="16" xfId="0" applyFont="1" applyBorder="1" applyAlignment="1">
      <alignment horizontal="center" vertical="top"/>
    </xf>
    <xf numFmtId="0" fontId="7" fillId="0" borderId="17" xfId="0" applyFont="1" applyBorder="1" applyAlignment="1">
      <alignment horizontal="center" vertical="top"/>
    </xf>
    <xf numFmtId="0" fontId="7" fillId="0" borderId="14" xfId="0" applyFont="1" applyBorder="1" applyAlignment="1">
      <alignment horizontal="center" vertical="center"/>
    </xf>
    <xf numFmtId="0" fontId="7" fillId="0" borderId="14" xfId="0" applyFont="1" applyBorder="1" applyAlignment="1">
      <alignment horizontal="center" vertical="top"/>
    </xf>
    <xf numFmtId="0" fontId="7" fillId="0" borderId="16" xfId="0" applyFont="1" applyFill="1" applyBorder="1" applyAlignment="1">
      <alignment horizontal="center" vertical="top"/>
    </xf>
    <xf numFmtId="0" fontId="7" fillId="0" borderId="16" xfId="0" applyFont="1" applyBorder="1" applyAlignment="1">
      <alignment horizontal="center" vertical="top" wrapText="1"/>
    </xf>
    <xf numFmtId="0" fontId="7" fillId="0" borderId="14" xfId="0" applyFont="1" applyFill="1" applyBorder="1" applyAlignment="1">
      <alignment horizontal="center" vertical="top"/>
    </xf>
    <xf numFmtId="0" fontId="7" fillId="0" borderId="14" xfId="0" applyFont="1" applyBorder="1" applyAlignment="1">
      <alignment horizontal="center" vertical="top" wrapText="1"/>
    </xf>
    <xf numFmtId="0" fontId="7" fillId="0" borderId="16" xfId="0" applyFont="1" applyFill="1" applyBorder="1" applyAlignment="1">
      <alignment horizontal="center" vertical="top" wrapText="1"/>
    </xf>
    <xf numFmtId="0" fontId="8" fillId="0" borderId="14" xfId="0" applyFont="1" applyBorder="1" applyAlignment="1">
      <alignment horizontal="center" vertical="center"/>
    </xf>
    <xf numFmtId="0" fontId="7" fillId="0" borderId="16" xfId="0" applyFont="1" applyBorder="1" applyAlignment="1">
      <alignment horizontal="center" vertical="center"/>
    </xf>
    <xf numFmtId="0" fontId="7" fillId="0" borderId="16" xfId="0" applyFont="1" applyBorder="1" applyAlignment="1">
      <alignment horizontal="center" vertical="top"/>
    </xf>
    <xf numFmtId="0" fontId="7" fillId="0" borderId="14" xfId="0" applyFont="1" applyBorder="1" applyAlignment="1">
      <alignment horizontal="center" vertical="center"/>
    </xf>
    <xf numFmtId="0" fontId="7" fillId="0" borderId="14" xfId="0" applyFont="1" applyBorder="1" applyAlignment="1">
      <alignment horizontal="center" vertical="top"/>
    </xf>
    <xf numFmtId="0" fontId="7" fillId="0" borderId="16" xfId="0" applyFont="1" applyFill="1" applyBorder="1" applyAlignment="1">
      <alignment horizontal="center" vertical="top"/>
    </xf>
    <xf numFmtId="0" fontId="7" fillId="0" borderId="14" xfId="0" applyFont="1" applyFill="1" applyBorder="1" applyAlignment="1">
      <alignment horizontal="center" vertical="top"/>
    </xf>
    <xf numFmtId="0" fontId="13" fillId="0" borderId="14" xfId="0" applyFont="1" applyBorder="1" applyAlignment="1">
      <alignment horizontal="center" vertical="center"/>
    </xf>
    <xf numFmtId="0" fontId="13" fillId="0" borderId="14" xfId="0" applyFont="1" applyFill="1" applyBorder="1" applyAlignment="1">
      <alignment horizontal="center" vertical="center"/>
    </xf>
    <xf numFmtId="0" fontId="13" fillId="0" borderId="14" xfId="0" applyFont="1" applyBorder="1" applyAlignment="1">
      <alignment vertical="top" wrapText="1"/>
    </xf>
    <xf numFmtId="0" fontId="4" fillId="0" borderId="8" xfId="0" applyFont="1" applyFill="1" applyBorder="1" applyAlignment="1">
      <alignment vertical="center"/>
    </xf>
    <xf numFmtId="0" fontId="4" fillId="0" borderId="9" xfId="0" applyFont="1" applyFill="1" applyBorder="1" applyAlignment="1">
      <alignment vertical="center"/>
    </xf>
    <xf numFmtId="0" fontId="3" fillId="0" borderId="13" xfId="0" applyFont="1" applyFill="1" applyBorder="1" applyAlignment="1">
      <alignment horizontal="center" vertical="center"/>
    </xf>
    <xf numFmtId="0" fontId="3" fillId="0" borderId="5" xfId="0" applyFont="1" applyFill="1" applyBorder="1" applyAlignment="1">
      <alignment horizontal="center" vertical="center"/>
    </xf>
    <xf numFmtId="0" fontId="3" fillId="0" borderId="4" xfId="0" applyFont="1" applyFill="1" applyBorder="1" applyAlignment="1">
      <alignment horizontal="center" vertical="center"/>
    </xf>
    <xf numFmtId="0" fontId="3" fillId="0" borderId="12" xfId="0" applyFont="1" applyFill="1" applyBorder="1" applyAlignment="1">
      <alignment horizontal="center" vertical="center"/>
    </xf>
    <xf numFmtId="0" fontId="4" fillId="0" borderId="10" xfId="0" applyFont="1" applyFill="1" applyBorder="1" applyAlignment="1">
      <alignment vertical="center"/>
    </xf>
    <xf numFmtId="0" fontId="4" fillId="0" borderId="1" xfId="0" applyFont="1" applyFill="1" applyBorder="1" applyAlignment="1">
      <alignment vertical="center"/>
    </xf>
    <xf numFmtId="0" fontId="7" fillId="0" borderId="18" xfId="0" applyFont="1" applyBorder="1" applyAlignment="1">
      <alignment horizontal="center" vertical="center"/>
    </xf>
    <xf numFmtId="0" fontId="7" fillId="0" borderId="19" xfId="0" applyFont="1" applyBorder="1" applyAlignment="1">
      <alignment horizontal="center" vertical="center"/>
    </xf>
    <xf numFmtId="0" fontId="7" fillId="0" borderId="16" xfId="0" applyFont="1" applyBorder="1" applyAlignment="1">
      <alignment horizontal="left" vertical="center"/>
    </xf>
    <xf numFmtId="0" fontId="7" fillId="0" borderId="15" xfId="0" applyFont="1" applyBorder="1" applyAlignment="1">
      <alignment horizontal="left" vertical="center"/>
    </xf>
    <xf numFmtId="0" fontId="7" fillId="0" borderId="14" xfId="0" applyFont="1" applyBorder="1" applyAlignment="1">
      <alignment horizontal="left" vertical="center"/>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7" fillId="0" borderId="15" xfId="0" applyFont="1" applyBorder="1" applyAlignment="1">
      <alignment horizontal="center" vertical="center"/>
    </xf>
    <xf numFmtId="0" fontId="7" fillId="0" borderId="17" xfId="0" applyFont="1" applyBorder="1" applyAlignment="1">
      <alignment horizontal="left" vertical="center"/>
    </xf>
    <xf numFmtId="0" fontId="7" fillId="0" borderId="16" xfId="0" applyFont="1" applyBorder="1" applyAlignment="1">
      <alignment vertical="center" wrapText="1"/>
    </xf>
    <xf numFmtId="0" fontId="7" fillId="0" borderId="15" xfId="0" applyFont="1" applyBorder="1" applyAlignment="1">
      <alignment vertical="center" wrapText="1"/>
    </xf>
    <xf numFmtId="0" fontId="7" fillId="0" borderId="16"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16" xfId="0" applyFont="1" applyBorder="1" applyAlignment="1">
      <alignment horizontal="left" vertical="center" wrapText="1"/>
    </xf>
    <xf numFmtId="0" fontId="7" fillId="0" borderId="15" xfId="0" applyFont="1" applyBorder="1" applyAlignment="1">
      <alignment horizontal="left" vertical="center" wrapText="1"/>
    </xf>
    <xf numFmtId="0" fontId="13" fillId="0" borderId="16" xfId="0" applyFont="1" applyBorder="1" applyAlignment="1">
      <alignment horizontal="center" vertical="center"/>
    </xf>
    <xf numFmtId="0" fontId="13" fillId="0" borderId="15" xfId="0" applyFont="1" applyBorder="1" applyAlignment="1">
      <alignment horizontal="center" vertical="center"/>
    </xf>
    <xf numFmtId="0" fontId="13" fillId="0" borderId="16" xfId="0" applyFont="1" applyBorder="1" applyAlignment="1">
      <alignment horizontal="left" vertical="center"/>
    </xf>
    <xf numFmtId="0" fontId="13" fillId="0" borderId="15" xfId="0" applyFont="1" applyBorder="1" applyAlignment="1">
      <alignment horizontal="left" vertical="center"/>
    </xf>
    <xf numFmtId="0" fontId="7" fillId="0" borderId="16" xfId="0" applyFont="1" applyFill="1" applyBorder="1" applyAlignment="1">
      <alignment horizontal="left" vertical="center"/>
    </xf>
    <xf numFmtId="0" fontId="7" fillId="0" borderId="15" xfId="0" applyFont="1" applyFill="1" applyBorder="1" applyAlignment="1">
      <alignment horizontal="left" vertical="center"/>
    </xf>
    <xf numFmtId="0" fontId="7" fillId="0" borderId="16" xfId="0" applyFont="1" applyBorder="1" applyAlignment="1">
      <alignment horizontal="center" vertical="top"/>
    </xf>
    <xf numFmtId="0" fontId="7" fillId="0" borderId="17" xfId="0" applyFont="1" applyBorder="1" applyAlignment="1">
      <alignment horizontal="center" vertical="top"/>
    </xf>
    <xf numFmtId="0" fontId="7" fillId="0" borderId="15" xfId="0" applyFont="1" applyBorder="1" applyAlignment="1">
      <alignment horizontal="center" vertical="top"/>
    </xf>
    <xf numFmtId="0" fontId="6" fillId="0" borderId="16" xfId="0" applyFont="1" applyBorder="1" applyAlignment="1">
      <alignment horizontal="left" vertical="top" wrapText="1"/>
    </xf>
    <xf numFmtId="0" fontId="6" fillId="0" borderId="17" xfId="0" applyFont="1" applyBorder="1" applyAlignment="1">
      <alignment horizontal="left" vertical="top" wrapText="1"/>
    </xf>
    <xf numFmtId="0" fontId="6" fillId="0" borderId="15" xfId="0" applyFont="1" applyBorder="1" applyAlignment="1">
      <alignment horizontal="left" vertical="top" wrapText="1"/>
    </xf>
    <xf numFmtId="0" fontId="7" fillId="0" borderId="14" xfId="0" applyFont="1" applyBorder="1" applyAlignment="1">
      <alignment horizontal="center" vertical="center"/>
    </xf>
    <xf numFmtId="0" fontId="7" fillId="0" borderId="14" xfId="0" applyFont="1" applyBorder="1" applyAlignment="1">
      <alignment horizontal="center" vertical="center" wrapText="1"/>
    </xf>
    <xf numFmtId="0" fontId="7" fillId="0" borderId="14" xfId="0" applyFont="1" applyBorder="1" applyAlignment="1">
      <alignment horizontal="center" vertical="top"/>
    </xf>
    <xf numFmtId="0" fontId="6" fillId="0" borderId="14" xfId="0" applyFont="1" applyBorder="1" applyAlignment="1">
      <alignment horizontal="left" vertical="top" wrapText="1"/>
    </xf>
    <xf numFmtId="0" fontId="6" fillId="0" borderId="16" xfId="0" applyFont="1" applyBorder="1" applyAlignment="1">
      <alignment vertical="top" wrapText="1"/>
    </xf>
    <xf numFmtId="0" fontId="6" fillId="0" borderId="17" xfId="0" applyFont="1" applyBorder="1" applyAlignment="1">
      <alignment vertical="top" wrapText="1"/>
    </xf>
    <xf numFmtId="0" fontId="6" fillId="0" borderId="15" xfId="0" applyFont="1" applyBorder="1" applyAlignment="1">
      <alignment vertical="top" wrapText="1"/>
    </xf>
    <xf numFmtId="0" fontId="7" fillId="0" borderId="16" xfId="0" applyFont="1" applyBorder="1" applyAlignment="1">
      <alignment horizontal="left" vertical="top" wrapText="1"/>
    </xf>
    <xf numFmtId="0" fontId="7" fillId="0" borderId="15" xfId="0" applyFont="1" applyBorder="1" applyAlignment="1">
      <alignment horizontal="left" vertical="top" wrapText="1"/>
    </xf>
    <xf numFmtId="0" fontId="7" fillId="0" borderId="16" xfId="0" applyFont="1" applyBorder="1" applyAlignment="1">
      <alignment horizontal="left" vertical="top"/>
    </xf>
    <xf numFmtId="0" fontId="7" fillId="0" borderId="15" xfId="0" applyFont="1" applyBorder="1" applyAlignment="1">
      <alignment horizontal="left" vertical="top"/>
    </xf>
    <xf numFmtId="0" fontId="7" fillId="0" borderId="16" xfId="0" applyFont="1" applyFill="1" applyBorder="1" applyAlignment="1">
      <alignment horizontal="center" vertical="top"/>
    </xf>
    <xf numFmtId="0" fontId="7" fillId="0" borderId="15" xfId="0" applyFont="1" applyFill="1" applyBorder="1" applyAlignment="1">
      <alignment horizontal="center" vertical="top"/>
    </xf>
    <xf numFmtId="0" fontId="7" fillId="0" borderId="16" xfId="0" applyFont="1" applyFill="1" applyBorder="1" applyAlignment="1">
      <alignment horizontal="center" vertical="top" wrapText="1"/>
    </xf>
    <xf numFmtId="0" fontId="7" fillId="0" borderId="15" xfId="0" applyFont="1" applyFill="1" applyBorder="1" applyAlignment="1">
      <alignment horizontal="center" vertical="top" wrapText="1"/>
    </xf>
    <xf numFmtId="0" fontId="7" fillId="0" borderId="16" xfId="0" applyFont="1" applyBorder="1" applyAlignment="1">
      <alignment horizontal="center" vertical="top" wrapText="1"/>
    </xf>
    <xf numFmtId="0" fontId="7" fillId="0" borderId="17" xfId="0" applyFont="1" applyBorder="1" applyAlignment="1">
      <alignment horizontal="center" vertical="top" wrapText="1"/>
    </xf>
    <xf numFmtId="0" fontId="7" fillId="0" borderId="15" xfId="0" applyFont="1" applyBorder="1" applyAlignment="1">
      <alignment horizontal="center" vertical="top" wrapText="1"/>
    </xf>
    <xf numFmtId="0" fontId="7" fillId="0" borderId="14" xfId="0" applyFont="1" applyBorder="1" applyAlignment="1">
      <alignment horizontal="left" vertical="top" wrapText="1"/>
    </xf>
    <xf numFmtId="0" fontId="7" fillId="0" borderId="14" xfId="0" applyFont="1" applyBorder="1" applyAlignment="1">
      <alignment horizontal="center" vertical="top" wrapText="1"/>
    </xf>
    <xf numFmtId="0" fontId="7" fillId="0" borderId="14" xfId="0" applyFont="1" applyFill="1" applyBorder="1" applyAlignment="1">
      <alignment horizontal="center" vertical="top"/>
    </xf>
    <xf numFmtId="0" fontId="7" fillId="0" borderId="16" xfId="0" applyFont="1" applyBorder="1" applyAlignment="1">
      <alignment vertical="top" wrapText="1"/>
    </xf>
    <xf numFmtId="0" fontId="7" fillId="0" borderId="15" xfId="0" applyFont="1" applyBorder="1" applyAlignment="1">
      <alignment vertical="top" wrapText="1"/>
    </xf>
    <xf numFmtId="0" fontId="8" fillId="0" borderId="14" xfId="0" applyFont="1" applyBorder="1" applyAlignment="1">
      <alignment horizontal="center" vertical="center"/>
    </xf>
    <xf numFmtId="0" fontId="8" fillId="0" borderId="14" xfId="0" applyFont="1" applyBorder="1" applyAlignment="1">
      <alignment horizontal="center" vertical="top" wrapText="1"/>
    </xf>
    <xf numFmtId="0" fontId="8" fillId="0" borderId="16" xfId="0" applyFont="1" applyBorder="1" applyAlignment="1">
      <alignment horizontal="center" vertical="center"/>
    </xf>
    <xf numFmtId="0" fontId="8" fillId="0" borderId="15" xfId="0" applyFont="1" applyBorder="1" applyAlignment="1">
      <alignment horizontal="center" vertical="center"/>
    </xf>
    <xf numFmtId="0" fontId="10" fillId="0" borderId="16" xfId="0" applyFont="1" applyBorder="1" applyAlignment="1">
      <alignment horizontal="center" vertical="top"/>
    </xf>
    <xf numFmtId="0" fontId="10" fillId="0" borderId="17" xfId="0" applyFont="1" applyBorder="1" applyAlignment="1">
      <alignment horizontal="center" vertical="top"/>
    </xf>
    <xf numFmtId="0" fontId="10" fillId="0" borderId="15" xfId="0" applyFont="1" applyBorder="1" applyAlignment="1">
      <alignment horizontal="center" vertical="top"/>
    </xf>
    <xf numFmtId="0" fontId="10" fillId="0" borderId="14" xfId="0" applyFont="1" applyBorder="1" applyAlignment="1">
      <alignment horizontal="center" vertical="top"/>
    </xf>
    <xf numFmtId="0" fontId="10" fillId="0" borderId="17" xfId="0" applyFont="1" applyBorder="1" applyAlignment="1">
      <alignment horizontal="center" vertical="top" wrapText="1"/>
    </xf>
    <xf numFmtId="0" fontId="8" fillId="0" borderId="1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7"/>
  <sheetViews>
    <sheetView topLeftCell="A3" workbookViewId="0">
      <selection activeCell="B66" sqref="B66:B67"/>
    </sheetView>
  </sheetViews>
  <sheetFormatPr defaultRowHeight="15" x14ac:dyDescent="0.25"/>
  <cols>
    <col min="1" max="1" width="12.140625" style="16" customWidth="1"/>
    <col min="2" max="2" width="5.85546875" style="16" customWidth="1"/>
    <col min="3" max="3" width="14.7109375" style="16" customWidth="1"/>
    <col min="4" max="4" width="30.42578125" style="16" customWidth="1"/>
    <col min="5" max="5" width="9.140625" style="16"/>
    <col min="6" max="6" width="15.5703125" style="1" customWidth="1"/>
    <col min="7" max="7" width="9.140625" style="16"/>
    <col min="8" max="9" width="9.140625" style="16" customWidth="1"/>
    <col min="10" max="16384" width="9.140625" style="1"/>
  </cols>
  <sheetData>
    <row r="1" spans="1:8" ht="15.75" thickBot="1" x14ac:dyDescent="0.3"/>
    <row r="2" spans="1:8" ht="15.75" thickBot="1" x14ac:dyDescent="0.3">
      <c r="A2" s="23" t="s">
        <v>24</v>
      </c>
      <c r="B2" s="24" t="s">
        <v>2</v>
      </c>
      <c r="C2" s="24" t="s">
        <v>0</v>
      </c>
      <c r="D2" s="24" t="s">
        <v>3</v>
      </c>
      <c r="E2" s="25" t="s">
        <v>1</v>
      </c>
      <c r="F2" s="28" t="s">
        <v>139</v>
      </c>
    </row>
    <row r="3" spans="1:8" ht="15.75" thickBot="1" x14ac:dyDescent="0.3">
      <c r="A3" s="177">
        <v>1</v>
      </c>
      <c r="B3" s="2">
        <v>1</v>
      </c>
      <c r="C3" s="3" t="s">
        <v>55</v>
      </c>
      <c r="D3" s="3" t="s">
        <v>25</v>
      </c>
      <c r="E3" s="21">
        <v>3</v>
      </c>
      <c r="F3" s="26" t="s">
        <v>140</v>
      </c>
    </row>
    <row r="4" spans="1:8" ht="15.75" thickBot="1" x14ac:dyDescent="0.3">
      <c r="A4" s="178"/>
      <c r="B4" s="2">
        <v>2</v>
      </c>
      <c r="C4" s="3" t="s">
        <v>56</v>
      </c>
      <c r="D4" s="3" t="s">
        <v>26</v>
      </c>
      <c r="E4" s="21">
        <v>3</v>
      </c>
      <c r="F4" s="22" t="s">
        <v>140</v>
      </c>
      <c r="H4" s="16">
        <f>E3+E4+E9+E15+E16+E17+E30+E32+E41+E44</f>
        <v>25</v>
      </c>
    </row>
    <row r="5" spans="1:8" ht="15.75" thickBot="1" x14ac:dyDescent="0.3">
      <c r="A5" s="178"/>
      <c r="B5" s="2">
        <v>3</v>
      </c>
      <c r="C5" s="3" t="s">
        <v>57</v>
      </c>
      <c r="D5" s="3" t="s">
        <v>6</v>
      </c>
      <c r="E5" s="21">
        <v>2</v>
      </c>
      <c r="F5" s="22" t="s">
        <v>140</v>
      </c>
    </row>
    <row r="6" spans="1:8" ht="15.75" thickBot="1" x14ac:dyDescent="0.3">
      <c r="A6" s="178"/>
      <c r="B6" s="2">
        <v>4</v>
      </c>
      <c r="C6" s="3" t="s">
        <v>58</v>
      </c>
      <c r="D6" s="3" t="s">
        <v>59</v>
      </c>
      <c r="E6" s="21">
        <v>1</v>
      </c>
      <c r="F6" s="22" t="s">
        <v>140</v>
      </c>
    </row>
    <row r="7" spans="1:8" ht="15.75" thickBot="1" x14ac:dyDescent="0.3">
      <c r="A7" s="178"/>
      <c r="B7" s="2">
        <v>5</v>
      </c>
      <c r="C7" s="3" t="s">
        <v>60</v>
      </c>
      <c r="D7" s="3" t="s">
        <v>7</v>
      </c>
      <c r="E7" s="21">
        <v>2</v>
      </c>
      <c r="F7" s="22" t="s">
        <v>140</v>
      </c>
    </row>
    <row r="8" spans="1:8" ht="15.75" thickBot="1" x14ac:dyDescent="0.3">
      <c r="A8" s="178"/>
      <c r="B8" s="2">
        <v>6</v>
      </c>
      <c r="C8" s="3" t="s">
        <v>61</v>
      </c>
      <c r="D8" s="3" t="s">
        <v>62</v>
      </c>
      <c r="E8" s="21">
        <v>2</v>
      </c>
      <c r="F8" s="22" t="s">
        <v>140</v>
      </c>
    </row>
    <row r="9" spans="1:8" ht="15.75" thickBot="1" x14ac:dyDescent="0.3">
      <c r="A9" s="178"/>
      <c r="B9" s="2">
        <v>7</v>
      </c>
      <c r="C9" s="3" t="s">
        <v>63</v>
      </c>
      <c r="D9" s="3" t="s">
        <v>27</v>
      </c>
      <c r="E9" s="21">
        <v>2</v>
      </c>
      <c r="F9" s="22" t="s">
        <v>140</v>
      </c>
    </row>
    <row r="10" spans="1:8" ht="15.75" thickBot="1" x14ac:dyDescent="0.3">
      <c r="A10" s="178"/>
      <c r="B10" s="2">
        <v>8</v>
      </c>
      <c r="C10" s="3" t="s">
        <v>64</v>
      </c>
      <c r="D10" s="4" t="s">
        <v>65</v>
      </c>
      <c r="E10" s="21">
        <v>2</v>
      </c>
      <c r="F10" s="22" t="s">
        <v>140</v>
      </c>
    </row>
    <row r="11" spans="1:8" ht="15.75" thickBot="1" x14ac:dyDescent="0.3">
      <c r="A11" s="179"/>
      <c r="B11" s="15">
        <v>9</v>
      </c>
      <c r="C11" s="14" t="s">
        <v>66</v>
      </c>
      <c r="D11" s="19" t="s">
        <v>48</v>
      </c>
      <c r="E11" s="21">
        <v>2</v>
      </c>
      <c r="F11" s="22" t="s">
        <v>140</v>
      </c>
    </row>
    <row r="12" spans="1:8" ht="15.75" thickBot="1" x14ac:dyDescent="0.3">
      <c r="A12" s="175" t="s">
        <v>28</v>
      </c>
      <c r="B12" s="176"/>
      <c r="C12" s="176"/>
      <c r="D12" s="6"/>
      <c r="E12" s="2">
        <f>SUM(E3:E11)</f>
        <v>19</v>
      </c>
    </row>
    <row r="13" spans="1:8" ht="15.75" thickBot="1" x14ac:dyDescent="0.3"/>
    <row r="14" spans="1:8" ht="15.75" thickBot="1" x14ac:dyDescent="0.3">
      <c r="A14" s="23" t="s">
        <v>24</v>
      </c>
      <c r="B14" s="24" t="s">
        <v>2</v>
      </c>
      <c r="C14" s="24" t="s">
        <v>0</v>
      </c>
      <c r="D14" s="24" t="s">
        <v>3</v>
      </c>
      <c r="E14" s="25" t="s">
        <v>1</v>
      </c>
      <c r="F14" s="27" t="s">
        <v>139</v>
      </c>
    </row>
    <row r="15" spans="1:8" ht="15.75" thickBot="1" x14ac:dyDescent="0.3">
      <c r="A15" s="177">
        <v>2</v>
      </c>
      <c r="B15" s="2">
        <v>1</v>
      </c>
      <c r="C15" s="3" t="s">
        <v>1188</v>
      </c>
      <c r="D15" s="3" t="s">
        <v>29</v>
      </c>
      <c r="E15" s="2">
        <v>3</v>
      </c>
      <c r="F15" s="22" t="s">
        <v>140</v>
      </c>
    </row>
    <row r="16" spans="1:8" ht="15.75" thickBot="1" x14ac:dyDescent="0.3">
      <c r="A16" s="178"/>
      <c r="B16" s="2">
        <v>2</v>
      </c>
      <c r="C16" s="3" t="s">
        <v>69</v>
      </c>
      <c r="D16" s="3" t="s">
        <v>30</v>
      </c>
      <c r="E16" s="2">
        <v>2</v>
      </c>
      <c r="F16" s="22" t="s">
        <v>140</v>
      </c>
    </row>
    <row r="17" spans="1:9" ht="15.75" thickBot="1" x14ac:dyDescent="0.3">
      <c r="A17" s="178"/>
      <c r="B17" s="2">
        <v>3</v>
      </c>
      <c r="C17" s="3" t="s">
        <v>90</v>
      </c>
      <c r="D17" s="3" t="s">
        <v>67</v>
      </c>
      <c r="E17" s="2">
        <v>1</v>
      </c>
      <c r="F17" s="22" t="s">
        <v>140</v>
      </c>
    </row>
    <row r="18" spans="1:9" ht="15.75" thickBot="1" x14ac:dyDescent="0.3">
      <c r="A18" s="178"/>
      <c r="B18" s="2">
        <v>4</v>
      </c>
      <c r="C18" s="3" t="s">
        <v>91</v>
      </c>
      <c r="D18" s="3" t="s">
        <v>15</v>
      </c>
      <c r="E18" s="2">
        <v>2</v>
      </c>
      <c r="F18" s="22" t="s">
        <v>140</v>
      </c>
    </row>
    <row r="19" spans="1:9" ht="15.75" thickBot="1" x14ac:dyDescent="0.3">
      <c r="A19" s="178"/>
      <c r="B19" s="2">
        <v>5</v>
      </c>
      <c r="C19" s="3" t="s">
        <v>92</v>
      </c>
      <c r="D19" s="3" t="s">
        <v>10</v>
      </c>
      <c r="E19" s="2">
        <v>2</v>
      </c>
      <c r="F19" s="22" t="s">
        <v>140</v>
      </c>
    </row>
    <row r="20" spans="1:9" ht="15.75" thickBot="1" x14ac:dyDescent="0.3">
      <c r="A20" s="178"/>
      <c r="B20" s="2">
        <v>6</v>
      </c>
      <c r="C20" s="3" t="s">
        <v>93</v>
      </c>
      <c r="D20" s="3" t="s">
        <v>11</v>
      </c>
      <c r="E20" s="2">
        <v>2</v>
      </c>
      <c r="F20" s="22" t="s">
        <v>140</v>
      </c>
    </row>
    <row r="21" spans="1:9" ht="15.75" thickBot="1" x14ac:dyDescent="0.3">
      <c r="A21" s="178"/>
      <c r="B21" s="2">
        <v>7</v>
      </c>
      <c r="C21" s="3" t="s">
        <v>94</v>
      </c>
      <c r="D21" s="3" t="s">
        <v>68</v>
      </c>
      <c r="E21" s="2">
        <v>1</v>
      </c>
      <c r="F21" s="22" t="s">
        <v>140</v>
      </c>
    </row>
    <row r="22" spans="1:9" ht="15.75" thickBot="1" x14ac:dyDescent="0.3">
      <c r="A22" s="178"/>
      <c r="B22" s="2">
        <v>8</v>
      </c>
      <c r="C22" s="3" t="s">
        <v>95</v>
      </c>
      <c r="D22" s="3" t="s">
        <v>31</v>
      </c>
      <c r="E22" s="2">
        <v>2</v>
      </c>
      <c r="F22" s="22" t="s">
        <v>140</v>
      </c>
    </row>
    <row r="23" spans="1:9" ht="15.75" thickBot="1" x14ac:dyDescent="0.3">
      <c r="A23" s="178"/>
      <c r="B23" s="2">
        <v>9</v>
      </c>
      <c r="C23" s="3" t="s">
        <v>96</v>
      </c>
      <c r="D23" s="4" t="s">
        <v>8</v>
      </c>
      <c r="E23" s="2">
        <v>2</v>
      </c>
      <c r="F23" s="22" t="s">
        <v>140</v>
      </c>
    </row>
    <row r="24" spans="1:9" ht="15.75" thickBot="1" x14ac:dyDescent="0.3">
      <c r="A24" s="179"/>
      <c r="B24" s="2">
        <v>10</v>
      </c>
      <c r="C24" s="3" t="s">
        <v>97</v>
      </c>
      <c r="D24" s="5" t="s">
        <v>70</v>
      </c>
      <c r="E24" s="2">
        <v>2</v>
      </c>
      <c r="F24" s="22" t="s">
        <v>140</v>
      </c>
    </row>
    <row r="25" spans="1:9" ht="15.75" thickBot="1" x14ac:dyDescent="0.3">
      <c r="A25" s="175" t="s">
        <v>32</v>
      </c>
      <c r="B25" s="176"/>
      <c r="C25" s="176"/>
      <c r="D25" s="6"/>
      <c r="E25" s="2">
        <f>SUM(E15:E24)</f>
        <v>19</v>
      </c>
    </row>
    <row r="26" spans="1:9" ht="15.75" thickBot="1" x14ac:dyDescent="0.3"/>
    <row r="27" spans="1:9" ht="15.75" thickBot="1" x14ac:dyDescent="0.3">
      <c r="A27" s="23" t="s">
        <v>24</v>
      </c>
      <c r="B27" s="24" t="s">
        <v>2</v>
      </c>
      <c r="C27" s="24" t="s">
        <v>0</v>
      </c>
      <c r="D27" s="24" t="s">
        <v>3</v>
      </c>
      <c r="E27" s="25" t="s">
        <v>1</v>
      </c>
      <c r="F27" s="28" t="s">
        <v>139</v>
      </c>
    </row>
    <row r="28" spans="1:9" ht="15.75" thickBot="1" x14ac:dyDescent="0.3">
      <c r="A28" s="177">
        <v>3</v>
      </c>
      <c r="B28" s="2">
        <v>1</v>
      </c>
      <c r="C28" s="3" t="s">
        <v>99</v>
      </c>
      <c r="D28" s="3" t="s">
        <v>71</v>
      </c>
      <c r="E28" s="2">
        <v>3</v>
      </c>
      <c r="F28" s="22" t="s">
        <v>140</v>
      </c>
    </row>
    <row r="29" spans="1:9" ht="15.75" thickBot="1" x14ac:dyDescent="0.3">
      <c r="A29" s="178"/>
      <c r="B29" s="2"/>
      <c r="C29" s="3"/>
      <c r="D29" s="3"/>
      <c r="E29" s="2"/>
      <c r="F29" s="22"/>
    </row>
    <row r="30" spans="1:9" ht="15.75" thickBot="1" x14ac:dyDescent="0.3">
      <c r="A30" s="178"/>
      <c r="B30" s="2">
        <v>2</v>
      </c>
      <c r="C30" s="3" t="s">
        <v>100</v>
      </c>
      <c r="D30" s="3" t="s">
        <v>13</v>
      </c>
      <c r="E30" s="2">
        <v>3</v>
      </c>
      <c r="F30" s="22" t="s">
        <v>140</v>
      </c>
    </row>
    <row r="31" spans="1:9" ht="15.75" thickBot="1" x14ac:dyDescent="0.3">
      <c r="A31" s="178"/>
      <c r="B31" s="2">
        <v>3</v>
      </c>
      <c r="C31" s="3" t="s">
        <v>101</v>
      </c>
      <c r="D31" s="3" t="s">
        <v>73</v>
      </c>
      <c r="E31" s="2">
        <v>2</v>
      </c>
      <c r="F31" s="22" t="s">
        <v>140</v>
      </c>
      <c r="G31" s="18"/>
      <c r="H31" s="18"/>
      <c r="I31" s="17"/>
    </row>
    <row r="32" spans="1:9" ht="15.75" thickBot="1" x14ac:dyDescent="0.3">
      <c r="A32" s="178"/>
      <c r="B32" s="2">
        <v>4</v>
      </c>
      <c r="C32" s="3" t="s">
        <v>102</v>
      </c>
      <c r="D32" s="3" t="s">
        <v>9</v>
      </c>
      <c r="E32" s="2">
        <v>3</v>
      </c>
      <c r="F32" s="22" t="s">
        <v>140</v>
      </c>
    </row>
    <row r="33" spans="1:9" ht="15.75" thickBot="1" x14ac:dyDescent="0.3">
      <c r="A33" s="178"/>
      <c r="B33" s="2">
        <v>5</v>
      </c>
      <c r="C33" s="3" t="s">
        <v>103</v>
      </c>
      <c r="D33" s="3" t="s">
        <v>74</v>
      </c>
      <c r="E33" s="2">
        <v>3</v>
      </c>
      <c r="F33" s="22" t="s">
        <v>140</v>
      </c>
    </row>
    <row r="34" spans="1:9" ht="15.75" thickBot="1" x14ac:dyDescent="0.3">
      <c r="A34" s="178"/>
      <c r="B34" s="2">
        <v>6</v>
      </c>
      <c r="C34" s="3" t="s">
        <v>104</v>
      </c>
      <c r="D34" s="3" t="s">
        <v>5</v>
      </c>
      <c r="E34" s="2">
        <v>2</v>
      </c>
      <c r="F34" s="22" t="s">
        <v>140</v>
      </c>
    </row>
    <row r="35" spans="1:9" ht="15.75" thickBot="1" x14ac:dyDescent="0.3">
      <c r="A35" s="180"/>
      <c r="B35" s="2">
        <v>7</v>
      </c>
      <c r="C35" s="13" t="s">
        <v>98</v>
      </c>
      <c r="D35" s="5" t="s">
        <v>75</v>
      </c>
      <c r="E35" s="2">
        <v>3</v>
      </c>
      <c r="F35" s="22" t="s">
        <v>140</v>
      </c>
    </row>
    <row r="36" spans="1:9" ht="15.75" thickBot="1" x14ac:dyDescent="0.3">
      <c r="A36" s="175" t="s">
        <v>34</v>
      </c>
      <c r="B36" s="176"/>
      <c r="C36" s="176"/>
      <c r="D36" s="8"/>
      <c r="E36" s="2">
        <f>SUM(E28:E35)</f>
        <v>19</v>
      </c>
    </row>
    <row r="37" spans="1:9" ht="15.75" thickBot="1" x14ac:dyDescent="0.3">
      <c r="A37" s="1"/>
      <c r="B37" s="1"/>
      <c r="C37" s="1"/>
      <c r="D37" s="1"/>
      <c r="E37" s="1"/>
    </row>
    <row r="38" spans="1:9" ht="15.75" thickBot="1" x14ac:dyDescent="0.3">
      <c r="A38" s="23" t="s">
        <v>24</v>
      </c>
      <c r="B38" s="24" t="s">
        <v>2</v>
      </c>
      <c r="C38" s="24" t="s">
        <v>0</v>
      </c>
      <c r="D38" s="24" t="s">
        <v>3</v>
      </c>
      <c r="E38" s="25" t="s">
        <v>1</v>
      </c>
      <c r="F38" s="28" t="s">
        <v>139</v>
      </c>
    </row>
    <row r="39" spans="1:9" ht="15.75" thickBot="1" x14ac:dyDescent="0.3">
      <c r="A39" s="177">
        <v>4</v>
      </c>
      <c r="B39" s="2">
        <v>1</v>
      </c>
      <c r="C39" s="3" t="s">
        <v>105</v>
      </c>
      <c r="D39" s="3" t="s">
        <v>76</v>
      </c>
      <c r="E39" s="2">
        <v>3</v>
      </c>
      <c r="F39" s="22" t="s">
        <v>140</v>
      </c>
    </row>
    <row r="40" spans="1:9" ht="15.75" thickBot="1" x14ac:dyDescent="0.3">
      <c r="A40" s="178"/>
      <c r="B40" s="2">
        <v>2</v>
      </c>
      <c r="C40" s="3" t="s">
        <v>106</v>
      </c>
      <c r="D40" s="3" t="s">
        <v>51</v>
      </c>
      <c r="E40" s="2">
        <v>2</v>
      </c>
      <c r="F40" s="22" t="s">
        <v>140</v>
      </c>
      <c r="G40" s="18"/>
      <c r="H40" s="18"/>
      <c r="I40" s="17"/>
    </row>
    <row r="41" spans="1:9" ht="15.75" thickBot="1" x14ac:dyDescent="0.3">
      <c r="A41" s="178"/>
      <c r="B41" s="2">
        <v>3</v>
      </c>
      <c r="C41" s="3" t="s">
        <v>107</v>
      </c>
      <c r="D41" s="3" t="s">
        <v>12</v>
      </c>
      <c r="E41" s="2">
        <v>3</v>
      </c>
      <c r="F41" s="22" t="s">
        <v>140</v>
      </c>
    </row>
    <row r="42" spans="1:9" ht="15.75" thickBot="1" x14ac:dyDescent="0.3">
      <c r="A42" s="178"/>
      <c r="B42" s="2">
        <v>4</v>
      </c>
      <c r="C42" s="3" t="s">
        <v>108</v>
      </c>
      <c r="D42" s="3" t="s">
        <v>77</v>
      </c>
      <c r="E42" s="2">
        <v>2</v>
      </c>
      <c r="F42" s="22" t="s">
        <v>140</v>
      </c>
    </row>
    <row r="43" spans="1:9" ht="15.75" thickBot="1" x14ac:dyDescent="0.3">
      <c r="A43" s="178"/>
      <c r="B43" s="2">
        <v>5</v>
      </c>
      <c r="C43" s="3" t="s">
        <v>109</v>
      </c>
      <c r="D43" s="3" t="s">
        <v>78</v>
      </c>
      <c r="E43" s="2">
        <v>2</v>
      </c>
      <c r="F43" s="22" t="s">
        <v>140</v>
      </c>
    </row>
    <row r="44" spans="1:9" ht="15.75" thickBot="1" x14ac:dyDescent="0.3">
      <c r="A44" s="178"/>
      <c r="B44" s="2">
        <v>6</v>
      </c>
      <c r="C44" s="3" t="s">
        <v>110</v>
      </c>
      <c r="D44" s="3" t="s">
        <v>16</v>
      </c>
      <c r="E44" s="2">
        <v>2</v>
      </c>
      <c r="F44" s="22" t="s">
        <v>140</v>
      </c>
    </row>
    <row r="45" spans="1:9" ht="15.75" thickBot="1" x14ac:dyDescent="0.3">
      <c r="A45" s="178"/>
      <c r="B45" s="2">
        <v>7</v>
      </c>
      <c r="C45" s="3" t="s">
        <v>111</v>
      </c>
      <c r="D45" s="14" t="s">
        <v>79</v>
      </c>
      <c r="E45" s="2">
        <v>2</v>
      </c>
      <c r="F45" s="22" t="s">
        <v>140</v>
      </c>
    </row>
    <row r="46" spans="1:9" ht="15.75" thickBot="1" x14ac:dyDescent="0.3">
      <c r="A46" s="178"/>
      <c r="B46" s="2">
        <v>8</v>
      </c>
      <c r="C46" s="13" t="s">
        <v>112</v>
      </c>
      <c r="D46" s="5" t="s">
        <v>80</v>
      </c>
      <c r="E46" s="2">
        <v>3</v>
      </c>
      <c r="F46" s="22" t="s">
        <v>140</v>
      </c>
    </row>
    <row r="47" spans="1:9" ht="15.75" thickBot="1" x14ac:dyDescent="0.3">
      <c r="A47" s="180"/>
      <c r="B47" s="2">
        <v>9</v>
      </c>
      <c r="C47" s="4" t="s">
        <v>1107</v>
      </c>
      <c r="D47" s="4" t="s">
        <v>1108</v>
      </c>
      <c r="E47" s="2">
        <v>2</v>
      </c>
      <c r="F47" s="22" t="s">
        <v>140</v>
      </c>
    </row>
    <row r="48" spans="1:9" ht="15.75" thickBot="1" x14ac:dyDescent="0.3">
      <c r="A48" s="181" t="s">
        <v>36</v>
      </c>
      <c r="B48" s="182"/>
      <c r="C48" s="182"/>
      <c r="D48" s="8"/>
      <c r="E48" s="2">
        <f>SUM(E39:E47)</f>
        <v>21</v>
      </c>
    </row>
    <row r="49" spans="1:9" ht="15.75" thickBot="1" x14ac:dyDescent="0.3"/>
    <row r="50" spans="1:9" ht="15.75" thickBot="1" x14ac:dyDescent="0.3">
      <c r="A50" s="23" t="s">
        <v>24</v>
      </c>
      <c r="B50" s="24" t="s">
        <v>2</v>
      </c>
      <c r="C50" s="24" t="s">
        <v>0</v>
      </c>
      <c r="D50" s="24" t="s">
        <v>3</v>
      </c>
      <c r="E50" s="25" t="s">
        <v>1</v>
      </c>
      <c r="F50" s="28" t="s">
        <v>139</v>
      </c>
    </row>
    <row r="51" spans="1:9" ht="15.75" thickBot="1" x14ac:dyDescent="0.3">
      <c r="A51" s="177">
        <v>5</v>
      </c>
      <c r="B51" s="2">
        <v>1</v>
      </c>
      <c r="C51" s="3" t="s">
        <v>113</v>
      </c>
      <c r="D51" s="3" t="s">
        <v>35</v>
      </c>
      <c r="E51" s="2">
        <v>2</v>
      </c>
      <c r="F51" s="22" t="s">
        <v>140</v>
      </c>
    </row>
    <row r="52" spans="1:9" ht="15.75" thickBot="1" x14ac:dyDescent="0.3">
      <c r="A52" s="178"/>
      <c r="B52" s="2">
        <v>2</v>
      </c>
      <c r="C52" s="3" t="s">
        <v>114</v>
      </c>
      <c r="D52" s="3" t="s">
        <v>81</v>
      </c>
      <c r="E52" s="2">
        <v>3</v>
      </c>
      <c r="F52" s="22" t="s">
        <v>140</v>
      </c>
      <c r="G52" s="18"/>
      <c r="H52" s="18"/>
      <c r="I52" s="17"/>
    </row>
    <row r="53" spans="1:9" ht="15.75" thickBot="1" x14ac:dyDescent="0.3">
      <c r="A53" s="178"/>
      <c r="B53" s="2"/>
      <c r="C53" s="3"/>
      <c r="D53" s="3"/>
      <c r="E53" s="2"/>
      <c r="F53" s="22"/>
    </row>
    <row r="54" spans="1:9" ht="15.75" thickBot="1" x14ac:dyDescent="0.3">
      <c r="A54" s="178"/>
      <c r="B54" s="2">
        <v>3</v>
      </c>
      <c r="C54" s="3" t="s">
        <v>115</v>
      </c>
      <c r="D54" s="3" t="s">
        <v>17</v>
      </c>
      <c r="E54" s="2">
        <v>2</v>
      </c>
      <c r="F54" s="22" t="s">
        <v>140</v>
      </c>
    </row>
    <row r="55" spans="1:9" ht="15.75" thickBot="1" x14ac:dyDescent="0.3">
      <c r="A55" s="178"/>
      <c r="B55" s="2">
        <v>4</v>
      </c>
      <c r="C55" s="3" t="s">
        <v>116</v>
      </c>
      <c r="D55" s="3" t="s">
        <v>14</v>
      </c>
      <c r="E55" s="2">
        <v>3</v>
      </c>
      <c r="F55" s="22" t="s">
        <v>140</v>
      </c>
    </row>
    <row r="56" spans="1:9" ht="15.75" thickBot="1" x14ac:dyDescent="0.3">
      <c r="A56" s="178"/>
      <c r="B56" s="2">
        <v>5</v>
      </c>
      <c r="C56" s="3" t="s">
        <v>117</v>
      </c>
      <c r="D56" s="3" t="s">
        <v>33</v>
      </c>
      <c r="E56" s="2">
        <v>2</v>
      </c>
      <c r="F56" s="22" t="s">
        <v>140</v>
      </c>
    </row>
    <row r="57" spans="1:9" ht="15.75" thickBot="1" x14ac:dyDescent="0.3">
      <c r="A57" s="178"/>
      <c r="B57" s="2">
        <v>6</v>
      </c>
      <c r="C57" s="3" t="s">
        <v>118</v>
      </c>
      <c r="D57" s="3" t="s">
        <v>83</v>
      </c>
      <c r="E57" s="2">
        <v>3</v>
      </c>
      <c r="F57" s="22" t="s">
        <v>140</v>
      </c>
    </row>
    <row r="58" spans="1:9" ht="15.75" thickBot="1" x14ac:dyDescent="0.3">
      <c r="A58" s="180"/>
      <c r="B58" s="2">
        <v>7</v>
      </c>
      <c r="C58" s="3" t="s">
        <v>119</v>
      </c>
      <c r="D58" s="5" t="s">
        <v>37</v>
      </c>
      <c r="E58" s="2">
        <v>3</v>
      </c>
      <c r="F58" s="22" t="s">
        <v>140</v>
      </c>
    </row>
    <row r="59" spans="1:9" ht="15.75" thickBot="1" x14ac:dyDescent="0.3">
      <c r="A59" s="175" t="s">
        <v>38</v>
      </c>
      <c r="B59" s="176"/>
      <c r="C59" s="176"/>
      <c r="D59" s="6"/>
      <c r="E59" s="2">
        <f>SUM(E51:E58)</f>
        <v>18</v>
      </c>
    </row>
    <row r="60" spans="1:9" x14ac:dyDescent="0.25">
      <c r="A60" s="1"/>
      <c r="B60" s="1"/>
      <c r="C60" s="1"/>
      <c r="D60" s="1"/>
      <c r="E60" s="1"/>
    </row>
    <row r="61" spans="1:9" ht="15.75" thickBot="1" x14ac:dyDescent="0.3">
      <c r="A61" s="1"/>
      <c r="B61" s="1"/>
      <c r="C61" s="1"/>
      <c r="D61" s="1"/>
      <c r="E61" s="1"/>
    </row>
    <row r="62" spans="1:9" ht="15.75" thickBot="1" x14ac:dyDescent="0.3">
      <c r="A62" s="23" t="s">
        <v>24</v>
      </c>
      <c r="B62" s="24" t="s">
        <v>2</v>
      </c>
      <c r="C62" s="24" t="s">
        <v>0</v>
      </c>
      <c r="D62" s="24" t="s">
        <v>3</v>
      </c>
      <c r="E62" s="25" t="s">
        <v>1</v>
      </c>
      <c r="F62" s="28" t="s">
        <v>139</v>
      </c>
    </row>
    <row r="63" spans="1:9" ht="15.75" thickBot="1" x14ac:dyDescent="0.3">
      <c r="A63" s="177">
        <v>6</v>
      </c>
      <c r="B63" s="2">
        <v>1</v>
      </c>
      <c r="C63" s="3" t="s">
        <v>121</v>
      </c>
      <c r="D63" s="3" t="s">
        <v>19</v>
      </c>
      <c r="E63" s="2">
        <v>2</v>
      </c>
      <c r="F63" s="22" t="s">
        <v>140</v>
      </c>
    </row>
    <row r="64" spans="1:9" ht="15.75" thickBot="1" x14ac:dyDescent="0.3">
      <c r="A64" s="178"/>
      <c r="B64" s="2">
        <v>2</v>
      </c>
      <c r="C64" s="3" t="s">
        <v>120</v>
      </c>
      <c r="D64" s="3" t="s">
        <v>39</v>
      </c>
      <c r="E64" s="2">
        <v>3</v>
      </c>
      <c r="F64" s="22" t="s">
        <v>140</v>
      </c>
    </row>
    <row r="65" spans="1:6" ht="15.75" thickBot="1" x14ac:dyDescent="0.3">
      <c r="A65" s="178"/>
      <c r="B65" s="2"/>
      <c r="C65" s="3"/>
      <c r="D65" s="3"/>
      <c r="E65" s="2"/>
      <c r="F65" s="22"/>
    </row>
    <row r="66" spans="1:6" ht="15.75" thickBot="1" x14ac:dyDescent="0.3">
      <c r="A66" s="178"/>
      <c r="B66" s="2">
        <v>3</v>
      </c>
      <c r="C66" s="3" t="s">
        <v>122</v>
      </c>
      <c r="D66" s="3" t="s">
        <v>87</v>
      </c>
      <c r="E66" s="2">
        <v>3</v>
      </c>
      <c r="F66" s="22" t="s">
        <v>140</v>
      </c>
    </row>
    <row r="67" spans="1:6" ht="15.75" thickBot="1" x14ac:dyDescent="0.3">
      <c r="A67" s="178"/>
      <c r="B67" s="2">
        <v>4</v>
      </c>
      <c r="C67" s="3" t="s">
        <v>123</v>
      </c>
      <c r="D67" s="4" t="s">
        <v>20</v>
      </c>
      <c r="E67" s="7">
        <v>2</v>
      </c>
      <c r="F67" s="22" t="s">
        <v>140</v>
      </c>
    </row>
    <row r="68" spans="1:6" ht="15.75" thickBot="1" x14ac:dyDescent="0.3">
      <c r="A68" s="178"/>
      <c r="B68" s="2">
        <v>6</v>
      </c>
      <c r="C68" s="3" t="s">
        <v>124</v>
      </c>
      <c r="D68" s="5" t="s">
        <v>18</v>
      </c>
      <c r="E68" s="9">
        <v>2</v>
      </c>
      <c r="F68" s="22" t="s">
        <v>140</v>
      </c>
    </row>
    <row r="69" spans="1:6" ht="15.75" thickBot="1" x14ac:dyDescent="0.3">
      <c r="A69" s="179"/>
      <c r="B69" s="2">
        <v>7</v>
      </c>
      <c r="C69" s="3" t="s">
        <v>125</v>
      </c>
      <c r="D69" s="11" t="s">
        <v>85</v>
      </c>
      <c r="E69" s="2">
        <v>4</v>
      </c>
      <c r="F69" s="22" t="s">
        <v>140</v>
      </c>
    </row>
    <row r="70" spans="1:6" ht="15.75" thickBot="1" x14ac:dyDescent="0.3">
      <c r="A70" s="12"/>
      <c r="B70" s="24" t="s">
        <v>2</v>
      </c>
      <c r="C70" s="24" t="s">
        <v>0</v>
      </c>
      <c r="D70" s="24" t="s">
        <v>3</v>
      </c>
      <c r="E70" s="25" t="s">
        <v>1</v>
      </c>
      <c r="F70" s="28" t="s">
        <v>139</v>
      </c>
    </row>
    <row r="71" spans="1:6" ht="15.75" thickBot="1" x14ac:dyDescent="0.3">
      <c r="A71" s="12"/>
      <c r="B71" s="36">
        <v>1</v>
      </c>
      <c r="C71" s="14" t="s">
        <v>126</v>
      </c>
      <c r="D71" s="14" t="s">
        <v>40</v>
      </c>
      <c r="E71" s="2">
        <v>3</v>
      </c>
      <c r="F71" s="22" t="s">
        <v>141</v>
      </c>
    </row>
    <row r="72" spans="1:6" ht="15.75" thickBot="1" x14ac:dyDescent="0.3">
      <c r="A72" s="12"/>
      <c r="B72" s="36">
        <v>2</v>
      </c>
      <c r="C72" s="14" t="s">
        <v>127</v>
      </c>
      <c r="D72" s="14" t="s">
        <v>86</v>
      </c>
      <c r="E72" s="15">
        <v>3</v>
      </c>
      <c r="F72" s="22" t="s">
        <v>141</v>
      </c>
    </row>
    <row r="73" spans="1:6" ht="15.75" thickBot="1" x14ac:dyDescent="0.3">
      <c r="A73" s="12"/>
      <c r="B73" s="36">
        <v>3</v>
      </c>
      <c r="C73" s="14" t="s">
        <v>128</v>
      </c>
      <c r="D73" s="14" t="s">
        <v>54</v>
      </c>
      <c r="E73" s="15">
        <v>3</v>
      </c>
      <c r="F73" s="22" t="s">
        <v>141</v>
      </c>
    </row>
    <row r="74" spans="1:6" ht="15.75" thickBot="1" x14ac:dyDescent="0.3">
      <c r="A74" s="12"/>
      <c r="B74" s="36">
        <v>4</v>
      </c>
      <c r="C74" s="14" t="s">
        <v>129</v>
      </c>
      <c r="D74" s="14" t="s">
        <v>41</v>
      </c>
      <c r="E74" s="2">
        <v>3</v>
      </c>
      <c r="F74" s="22" t="s">
        <v>141</v>
      </c>
    </row>
    <row r="75" spans="1:6" ht="15.75" thickBot="1" x14ac:dyDescent="0.3">
      <c r="A75" s="12"/>
      <c r="B75" s="36">
        <v>5</v>
      </c>
      <c r="C75" s="14" t="s">
        <v>130</v>
      </c>
      <c r="D75" s="3" t="s">
        <v>42</v>
      </c>
      <c r="E75" s="2">
        <v>3</v>
      </c>
      <c r="F75" s="22" t="s">
        <v>141</v>
      </c>
    </row>
    <row r="76" spans="1:6" ht="15.75" thickBot="1" x14ac:dyDescent="0.3">
      <c r="A76" s="12"/>
      <c r="B76" s="36">
        <v>6</v>
      </c>
      <c r="C76" s="14" t="s">
        <v>131</v>
      </c>
      <c r="D76" s="3" t="s">
        <v>53</v>
      </c>
      <c r="E76" s="2">
        <v>3</v>
      </c>
      <c r="F76" s="22" t="s">
        <v>141</v>
      </c>
    </row>
    <row r="77" spans="1:6" ht="15.75" thickBot="1" x14ac:dyDescent="0.3">
      <c r="A77" s="181" t="s">
        <v>43</v>
      </c>
      <c r="B77" s="182"/>
      <c r="C77" s="182"/>
      <c r="D77" s="6"/>
      <c r="E77" s="2">
        <f>SUM(E63:E69)+E71+E72</f>
        <v>22</v>
      </c>
    </row>
    <row r="78" spans="1:6" ht="15.75" thickBot="1" x14ac:dyDescent="0.3">
      <c r="A78" s="1"/>
      <c r="B78" s="1"/>
      <c r="C78" s="1"/>
      <c r="D78" s="1"/>
      <c r="E78" s="1"/>
    </row>
    <row r="79" spans="1:6" ht="15.75" thickBot="1" x14ac:dyDescent="0.3">
      <c r="A79" s="23" t="s">
        <v>24</v>
      </c>
      <c r="B79" s="24" t="s">
        <v>2</v>
      </c>
      <c r="C79" s="24" t="s">
        <v>0</v>
      </c>
      <c r="D79" s="24" t="s">
        <v>3</v>
      </c>
      <c r="E79" s="25" t="s">
        <v>1</v>
      </c>
      <c r="F79" s="28" t="s">
        <v>139</v>
      </c>
    </row>
    <row r="80" spans="1:6" ht="15.75" thickBot="1" x14ac:dyDescent="0.3">
      <c r="A80" s="177">
        <v>7</v>
      </c>
      <c r="B80" s="2">
        <v>1</v>
      </c>
      <c r="C80" s="3" t="s">
        <v>132</v>
      </c>
      <c r="D80" s="3" t="s">
        <v>23</v>
      </c>
      <c r="E80" s="2">
        <v>2</v>
      </c>
      <c r="F80" s="26" t="s">
        <v>140</v>
      </c>
    </row>
    <row r="81" spans="1:6" ht="15.75" thickBot="1" x14ac:dyDescent="0.3">
      <c r="A81" s="178"/>
      <c r="B81" s="2">
        <v>2</v>
      </c>
      <c r="C81" s="3" t="s">
        <v>133</v>
      </c>
      <c r="D81" s="3" t="s">
        <v>44</v>
      </c>
      <c r="E81" s="2">
        <v>3</v>
      </c>
      <c r="F81" s="22" t="s">
        <v>140</v>
      </c>
    </row>
    <row r="82" spans="1:6" ht="15.75" thickBot="1" x14ac:dyDescent="0.3">
      <c r="A82" s="178"/>
      <c r="B82" s="2">
        <v>3</v>
      </c>
      <c r="C82" s="3" t="s">
        <v>134</v>
      </c>
      <c r="D82" s="3" t="s">
        <v>22</v>
      </c>
      <c r="E82" s="2">
        <v>2</v>
      </c>
      <c r="F82" s="22" t="s">
        <v>140</v>
      </c>
    </row>
    <row r="83" spans="1:6" ht="15.75" thickBot="1" x14ac:dyDescent="0.3">
      <c r="A83" s="178"/>
      <c r="B83" s="2">
        <v>4</v>
      </c>
      <c r="C83" s="3" t="s">
        <v>135</v>
      </c>
      <c r="D83" s="3" t="s">
        <v>21</v>
      </c>
      <c r="E83" s="2">
        <v>2</v>
      </c>
      <c r="F83" s="22" t="s">
        <v>140</v>
      </c>
    </row>
    <row r="84" spans="1:6" ht="15.75" thickBot="1" x14ac:dyDescent="0.3">
      <c r="A84" s="178"/>
      <c r="B84" s="2">
        <v>5</v>
      </c>
      <c r="C84" s="3" t="s">
        <v>1109</v>
      </c>
      <c r="D84" s="5" t="s">
        <v>1194</v>
      </c>
      <c r="E84" s="2">
        <v>2</v>
      </c>
      <c r="F84" s="22" t="s">
        <v>140</v>
      </c>
    </row>
    <row r="85" spans="1:6" ht="15.75" thickBot="1" x14ac:dyDescent="0.3">
      <c r="A85" s="179"/>
      <c r="B85" s="2">
        <v>6</v>
      </c>
      <c r="C85" s="13" t="s">
        <v>1189</v>
      </c>
      <c r="D85" s="11" t="s">
        <v>88</v>
      </c>
      <c r="E85" s="2">
        <v>4</v>
      </c>
      <c r="F85" s="22" t="s">
        <v>140</v>
      </c>
    </row>
    <row r="86" spans="1:6" ht="15.75" thickBot="1" x14ac:dyDescent="0.3">
      <c r="A86" s="12"/>
      <c r="B86" s="24" t="s">
        <v>2</v>
      </c>
      <c r="C86" s="24" t="s">
        <v>0</v>
      </c>
      <c r="D86" s="24" t="s">
        <v>3</v>
      </c>
      <c r="E86" s="25" t="s">
        <v>1</v>
      </c>
      <c r="F86" s="28" t="s">
        <v>139</v>
      </c>
    </row>
    <row r="87" spans="1:6" ht="15.75" thickBot="1" x14ac:dyDescent="0.3">
      <c r="A87" s="12"/>
      <c r="B87" s="36">
        <v>1</v>
      </c>
      <c r="C87" s="3" t="s">
        <v>136</v>
      </c>
      <c r="D87" s="3" t="s">
        <v>89</v>
      </c>
      <c r="E87" s="2">
        <v>3</v>
      </c>
      <c r="F87" s="22" t="s">
        <v>141</v>
      </c>
    </row>
    <row r="88" spans="1:6" ht="15.75" thickBot="1" x14ac:dyDescent="0.3">
      <c r="A88" s="12"/>
      <c r="B88" s="20">
        <v>2</v>
      </c>
      <c r="C88" s="14" t="s">
        <v>137</v>
      </c>
      <c r="D88" s="14" t="s">
        <v>45</v>
      </c>
      <c r="E88" s="15">
        <v>3</v>
      </c>
      <c r="F88" s="22" t="s">
        <v>141</v>
      </c>
    </row>
    <row r="89" spans="1:6" ht="15.75" thickBot="1" x14ac:dyDescent="0.3">
      <c r="A89" s="12"/>
      <c r="B89" s="20">
        <v>3</v>
      </c>
      <c r="C89" s="14" t="s">
        <v>138</v>
      </c>
      <c r="D89" s="14" t="s">
        <v>52</v>
      </c>
      <c r="E89" s="15">
        <v>3</v>
      </c>
      <c r="F89" s="22" t="s">
        <v>141</v>
      </c>
    </row>
    <row r="90" spans="1:6" ht="15.75" thickBot="1" x14ac:dyDescent="0.3">
      <c r="A90" s="181" t="s">
        <v>46</v>
      </c>
      <c r="B90" s="182"/>
      <c r="C90" s="182"/>
      <c r="D90" s="6"/>
      <c r="E90" s="2">
        <f>SUM(E80:E85)+E87</f>
        <v>18</v>
      </c>
    </row>
    <row r="91" spans="1:6" ht="15.75" thickBot="1" x14ac:dyDescent="0.3">
      <c r="A91" s="1"/>
      <c r="B91" s="1"/>
      <c r="C91" s="1"/>
      <c r="D91" s="1"/>
      <c r="E91" s="1"/>
    </row>
    <row r="92" spans="1:6" ht="15.75" thickBot="1" x14ac:dyDescent="0.3">
      <c r="A92" s="23" t="s">
        <v>24</v>
      </c>
      <c r="B92" s="24" t="s">
        <v>2</v>
      </c>
      <c r="C92" s="24" t="s">
        <v>0</v>
      </c>
      <c r="D92" s="24" t="s">
        <v>3</v>
      </c>
      <c r="E92" s="25" t="s">
        <v>1</v>
      </c>
      <c r="F92" s="28" t="s">
        <v>139</v>
      </c>
    </row>
    <row r="93" spans="1:6" ht="15.75" thickBot="1" x14ac:dyDescent="0.3">
      <c r="A93" s="177">
        <v>8</v>
      </c>
      <c r="B93" s="10">
        <v>1</v>
      </c>
      <c r="C93" s="4" t="s">
        <v>1190</v>
      </c>
      <c r="D93" s="4" t="s">
        <v>47</v>
      </c>
      <c r="E93" s="2">
        <v>5</v>
      </c>
      <c r="F93" s="22" t="s">
        <v>140</v>
      </c>
    </row>
    <row r="94" spans="1:6" ht="15.75" thickBot="1" x14ac:dyDescent="0.3">
      <c r="A94" s="180"/>
      <c r="B94" s="9">
        <v>2</v>
      </c>
      <c r="C94" s="5" t="s">
        <v>410</v>
      </c>
      <c r="D94" s="5" t="s">
        <v>50</v>
      </c>
      <c r="E94" s="2">
        <v>4</v>
      </c>
      <c r="F94" s="22" t="s">
        <v>140</v>
      </c>
    </row>
    <row r="95" spans="1:6" ht="15.75" thickBot="1" x14ac:dyDescent="0.3">
      <c r="A95" s="175" t="s">
        <v>49</v>
      </c>
      <c r="B95" s="176"/>
      <c r="C95" s="176"/>
      <c r="D95" s="6"/>
      <c r="E95" s="2">
        <f>SUM(E93:E94)</f>
        <v>9</v>
      </c>
    </row>
    <row r="96" spans="1:6" x14ac:dyDescent="0.25">
      <c r="A96" s="1"/>
      <c r="B96" s="1"/>
      <c r="C96" s="1"/>
      <c r="D96" s="1"/>
      <c r="E96" s="1"/>
    </row>
    <row r="97" spans="1:5" x14ac:dyDescent="0.25">
      <c r="A97" s="1"/>
      <c r="B97" s="1"/>
      <c r="C97" s="1"/>
      <c r="D97" s="1"/>
      <c r="E97" s="1">
        <f>E95+E90+E77+E59+E48+E36+E25+E12</f>
        <v>145</v>
      </c>
    </row>
  </sheetData>
  <mergeCells count="16">
    <mergeCell ref="A80:A85"/>
    <mergeCell ref="A90:C90"/>
    <mergeCell ref="A93:A94"/>
    <mergeCell ref="A95:C95"/>
    <mergeCell ref="A39:A47"/>
    <mergeCell ref="A48:C48"/>
    <mergeCell ref="A51:A58"/>
    <mergeCell ref="A59:C59"/>
    <mergeCell ref="A63:A69"/>
    <mergeCell ref="A77:C77"/>
    <mergeCell ref="A36:C36"/>
    <mergeCell ref="A3:A11"/>
    <mergeCell ref="A12:C12"/>
    <mergeCell ref="A15:A24"/>
    <mergeCell ref="A25:C25"/>
    <mergeCell ref="A28:A35"/>
  </mergeCells>
  <pageMargins left="0.7" right="0.7" top="0.75" bottom="0.75" header="0.3" footer="0.3"/>
  <pageSetup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0"/>
  <sheetViews>
    <sheetView topLeftCell="A50" workbookViewId="0">
      <selection activeCell="I47" sqref="I47"/>
    </sheetView>
  </sheetViews>
  <sheetFormatPr defaultRowHeight="15" x14ac:dyDescent="0.25"/>
  <cols>
    <col min="1" max="1" width="9.140625" style="38"/>
    <col min="2" max="2" width="28.5703125" style="56" customWidth="1"/>
    <col min="3" max="3" width="63.140625" style="57" customWidth="1"/>
    <col min="4" max="4" width="11.85546875" style="31" customWidth="1"/>
    <col min="5" max="16384" width="9.140625" style="31"/>
  </cols>
  <sheetData>
    <row r="1" spans="1:3" s="38" customFormat="1" ht="30.75" customHeight="1" x14ac:dyDescent="0.25">
      <c r="A1" s="52" t="s">
        <v>355</v>
      </c>
      <c r="B1" s="52" t="s">
        <v>143</v>
      </c>
      <c r="C1" s="52" t="s">
        <v>356</v>
      </c>
    </row>
    <row r="2" spans="1:3" s="40" customFormat="1" ht="32.25" customHeight="1" x14ac:dyDescent="0.25">
      <c r="A2" s="189" t="s">
        <v>154</v>
      </c>
      <c r="B2" s="191" t="s">
        <v>25</v>
      </c>
      <c r="C2" s="53" t="s">
        <v>144</v>
      </c>
    </row>
    <row r="3" spans="1:3" ht="50.25" customHeight="1" x14ac:dyDescent="0.25">
      <c r="A3" s="190"/>
      <c r="B3" s="186"/>
      <c r="C3" s="43" t="s">
        <v>145</v>
      </c>
    </row>
    <row r="4" spans="1:3" ht="37.5" customHeight="1" x14ac:dyDescent="0.25">
      <c r="A4" s="188" t="s">
        <v>155</v>
      </c>
      <c r="B4" s="185" t="s">
        <v>26</v>
      </c>
      <c r="C4" s="37" t="s">
        <v>146</v>
      </c>
    </row>
    <row r="5" spans="1:3" ht="37.5" customHeight="1" x14ac:dyDescent="0.25">
      <c r="A5" s="190"/>
      <c r="B5" s="186"/>
      <c r="C5" s="37" t="s">
        <v>147</v>
      </c>
    </row>
    <row r="6" spans="1:3" ht="50.25" customHeight="1" x14ac:dyDescent="0.25">
      <c r="A6" s="188" t="s">
        <v>156</v>
      </c>
      <c r="B6" s="202" t="s">
        <v>6</v>
      </c>
      <c r="C6" s="37" t="s">
        <v>148</v>
      </c>
    </row>
    <row r="7" spans="1:3" ht="49.5" customHeight="1" x14ac:dyDescent="0.25">
      <c r="A7" s="190"/>
      <c r="B7" s="203"/>
      <c r="C7" s="37" t="s">
        <v>165</v>
      </c>
    </row>
    <row r="8" spans="1:3" ht="30" x14ac:dyDescent="0.25">
      <c r="A8" s="188" t="s">
        <v>157</v>
      </c>
      <c r="B8" s="185" t="s">
        <v>59</v>
      </c>
      <c r="C8" s="37" t="s">
        <v>503</v>
      </c>
    </row>
    <row r="9" spans="1:3" ht="34.5" customHeight="1" x14ac:dyDescent="0.25">
      <c r="A9" s="190"/>
      <c r="B9" s="186"/>
      <c r="C9" s="37" t="s">
        <v>504</v>
      </c>
    </row>
    <row r="10" spans="1:3" ht="30" x14ac:dyDescent="0.25">
      <c r="A10" s="188" t="s">
        <v>158</v>
      </c>
      <c r="B10" s="185" t="s">
        <v>7</v>
      </c>
      <c r="C10" s="37" t="s">
        <v>149</v>
      </c>
    </row>
    <row r="11" spans="1:3" ht="30" x14ac:dyDescent="0.25">
      <c r="A11" s="190"/>
      <c r="B11" s="186"/>
      <c r="C11" s="37" t="s">
        <v>150</v>
      </c>
    </row>
    <row r="12" spans="1:3" ht="45" x14ac:dyDescent="0.25">
      <c r="A12" s="188" t="s">
        <v>159</v>
      </c>
      <c r="B12" s="185" t="s">
        <v>62</v>
      </c>
      <c r="C12" s="37" t="s">
        <v>152</v>
      </c>
    </row>
    <row r="13" spans="1:3" ht="45" x14ac:dyDescent="0.25">
      <c r="A13" s="190"/>
      <c r="B13" s="186"/>
      <c r="C13" s="37" t="s">
        <v>153</v>
      </c>
    </row>
    <row r="14" spans="1:3" ht="30" x14ac:dyDescent="0.25">
      <c r="A14" s="188" t="s">
        <v>160</v>
      </c>
      <c r="B14" s="185" t="s">
        <v>27</v>
      </c>
      <c r="C14" s="37" t="s">
        <v>163</v>
      </c>
    </row>
    <row r="15" spans="1:3" ht="30" x14ac:dyDescent="0.25">
      <c r="A15" s="190"/>
      <c r="B15" s="186"/>
      <c r="C15" s="37" t="s">
        <v>164</v>
      </c>
    </row>
    <row r="16" spans="1:3" ht="30.75" customHeight="1" x14ac:dyDescent="0.25">
      <c r="A16" s="188" t="s">
        <v>166</v>
      </c>
      <c r="B16" s="185" t="s">
        <v>29</v>
      </c>
      <c r="C16" s="37" t="s">
        <v>168</v>
      </c>
    </row>
    <row r="17" spans="1:3" ht="47.25" customHeight="1" x14ac:dyDescent="0.25">
      <c r="A17" s="190"/>
      <c r="B17" s="186"/>
      <c r="C17" s="37" t="s">
        <v>169</v>
      </c>
    </row>
    <row r="18" spans="1:3" ht="30" x14ac:dyDescent="0.25">
      <c r="A18" s="198" t="s">
        <v>170</v>
      </c>
      <c r="B18" s="200" t="s">
        <v>30</v>
      </c>
      <c r="C18" s="174" t="s">
        <v>172</v>
      </c>
    </row>
    <row r="19" spans="1:3" ht="45" x14ac:dyDescent="0.25">
      <c r="A19" s="199"/>
      <c r="B19" s="201"/>
      <c r="C19" s="174" t="s">
        <v>173</v>
      </c>
    </row>
    <row r="20" spans="1:3" ht="45" x14ac:dyDescent="0.25">
      <c r="A20" s="198" t="s">
        <v>174</v>
      </c>
      <c r="B20" s="200" t="s">
        <v>67</v>
      </c>
      <c r="C20" s="174" t="s">
        <v>178</v>
      </c>
    </row>
    <row r="21" spans="1:3" ht="45" x14ac:dyDescent="0.25">
      <c r="A21" s="199"/>
      <c r="B21" s="201"/>
      <c r="C21" s="174" t="s">
        <v>177</v>
      </c>
    </row>
    <row r="22" spans="1:3" ht="30" x14ac:dyDescent="0.25">
      <c r="A22" s="188" t="s">
        <v>179</v>
      </c>
      <c r="B22" s="185" t="s">
        <v>15</v>
      </c>
      <c r="C22" s="37" t="s">
        <v>180</v>
      </c>
    </row>
    <row r="23" spans="1:3" ht="30" x14ac:dyDescent="0.25">
      <c r="A23" s="190"/>
      <c r="B23" s="186"/>
      <c r="C23" s="37" t="s">
        <v>181</v>
      </c>
    </row>
    <row r="24" spans="1:3" ht="35.25" customHeight="1" x14ac:dyDescent="0.25">
      <c r="A24" s="188" t="s">
        <v>194</v>
      </c>
      <c r="B24" s="185" t="s">
        <v>10</v>
      </c>
      <c r="C24" s="37" t="s">
        <v>195</v>
      </c>
    </row>
    <row r="25" spans="1:3" ht="32.25" customHeight="1" x14ac:dyDescent="0.25">
      <c r="A25" s="190"/>
      <c r="B25" s="186"/>
      <c r="C25" s="37" t="s">
        <v>196</v>
      </c>
    </row>
    <row r="26" spans="1:3" ht="36" customHeight="1" x14ac:dyDescent="0.25">
      <c r="A26" s="188" t="s">
        <v>394</v>
      </c>
      <c r="B26" s="185" t="s">
        <v>11</v>
      </c>
      <c r="C26" s="37" t="s">
        <v>197</v>
      </c>
    </row>
    <row r="27" spans="1:3" ht="45" x14ac:dyDescent="0.25">
      <c r="A27" s="190"/>
      <c r="B27" s="186"/>
      <c r="C27" s="37" t="s">
        <v>198</v>
      </c>
    </row>
    <row r="28" spans="1:3" ht="32.25" customHeight="1" x14ac:dyDescent="0.25">
      <c r="A28" s="188" t="s">
        <v>199</v>
      </c>
      <c r="B28" s="185" t="s">
        <v>68</v>
      </c>
      <c r="C28" s="37" t="s">
        <v>200</v>
      </c>
    </row>
    <row r="29" spans="1:3" ht="33" customHeight="1" x14ac:dyDescent="0.25">
      <c r="A29" s="190"/>
      <c r="B29" s="186"/>
      <c r="C29" s="37" t="s">
        <v>201</v>
      </c>
    </row>
    <row r="30" spans="1:3" ht="30" x14ac:dyDescent="0.25">
      <c r="A30" s="188" t="s">
        <v>202</v>
      </c>
      <c r="B30" s="185" t="s">
        <v>31</v>
      </c>
      <c r="C30" s="37" t="s">
        <v>203</v>
      </c>
    </row>
    <row r="31" spans="1:3" ht="30" x14ac:dyDescent="0.25">
      <c r="A31" s="190"/>
      <c r="B31" s="186"/>
      <c r="C31" s="37" t="s">
        <v>204</v>
      </c>
    </row>
    <row r="32" spans="1:3" ht="60" x14ac:dyDescent="0.25">
      <c r="A32" s="198" t="s">
        <v>205</v>
      </c>
      <c r="B32" s="200" t="s">
        <v>71</v>
      </c>
      <c r="C32" s="174" t="s">
        <v>206</v>
      </c>
    </row>
    <row r="33" spans="1:3" ht="45" x14ac:dyDescent="0.25">
      <c r="A33" s="199"/>
      <c r="B33" s="201"/>
      <c r="C33" s="174" t="s">
        <v>207</v>
      </c>
    </row>
    <row r="34" spans="1:3" ht="75" x14ac:dyDescent="0.25">
      <c r="A34" s="198" t="s">
        <v>208</v>
      </c>
      <c r="B34" s="200" t="s">
        <v>72</v>
      </c>
      <c r="C34" s="174" t="s">
        <v>209</v>
      </c>
    </row>
    <row r="35" spans="1:3" ht="60" x14ac:dyDescent="0.25">
      <c r="A35" s="199"/>
      <c r="B35" s="201"/>
      <c r="C35" s="174" t="s">
        <v>210</v>
      </c>
    </row>
    <row r="36" spans="1:3" ht="45" x14ac:dyDescent="0.25">
      <c r="A36" s="188" t="s">
        <v>211</v>
      </c>
      <c r="B36" s="185" t="s">
        <v>13</v>
      </c>
      <c r="C36" s="37" t="s">
        <v>212</v>
      </c>
    </row>
    <row r="37" spans="1:3" ht="45" x14ac:dyDescent="0.25">
      <c r="A37" s="190"/>
      <c r="B37" s="186"/>
      <c r="C37" s="37" t="s">
        <v>213</v>
      </c>
    </row>
    <row r="38" spans="1:3" ht="45" x14ac:dyDescent="0.25">
      <c r="A38" s="188" t="s">
        <v>214</v>
      </c>
      <c r="B38" s="185" t="s">
        <v>73</v>
      </c>
      <c r="C38" s="37" t="s">
        <v>215</v>
      </c>
    </row>
    <row r="39" spans="1:3" ht="30" x14ac:dyDescent="0.25">
      <c r="A39" s="190"/>
      <c r="B39" s="186"/>
      <c r="C39" s="37" t="s">
        <v>216</v>
      </c>
    </row>
    <row r="40" spans="1:3" ht="30" x14ac:dyDescent="0.25">
      <c r="A40" s="188" t="s">
        <v>375</v>
      </c>
      <c r="B40" s="185" t="s">
        <v>9</v>
      </c>
      <c r="C40" s="37" t="s">
        <v>217</v>
      </c>
    </row>
    <row r="41" spans="1:3" ht="30" x14ac:dyDescent="0.25">
      <c r="A41" s="190"/>
      <c r="B41" s="186"/>
      <c r="C41" s="37" t="s">
        <v>218</v>
      </c>
    </row>
    <row r="42" spans="1:3" ht="45" x14ac:dyDescent="0.25">
      <c r="A42" s="188" t="s">
        <v>243</v>
      </c>
      <c r="B42" s="185" t="s">
        <v>74</v>
      </c>
      <c r="C42" s="37" t="s">
        <v>244</v>
      </c>
    </row>
    <row r="43" spans="1:3" ht="60" x14ac:dyDescent="0.25">
      <c r="A43" s="190"/>
      <c r="B43" s="186"/>
      <c r="C43" s="37" t="s">
        <v>245</v>
      </c>
    </row>
    <row r="44" spans="1:3" ht="30" x14ac:dyDescent="0.25">
      <c r="A44" s="188" t="s">
        <v>246</v>
      </c>
      <c r="B44" s="185" t="s">
        <v>5</v>
      </c>
      <c r="C44" s="37" t="s">
        <v>247</v>
      </c>
    </row>
    <row r="45" spans="1:3" ht="30" x14ac:dyDescent="0.25">
      <c r="A45" s="190"/>
      <c r="B45" s="186"/>
      <c r="C45" s="37" t="s">
        <v>248</v>
      </c>
    </row>
    <row r="46" spans="1:3" ht="45" x14ac:dyDescent="0.25">
      <c r="A46" s="188" t="s">
        <v>249</v>
      </c>
      <c r="B46" s="185" t="s">
        <v>76</v>
      </c>
      <c r="C46" s="37" t="s">
        <v>250</v>
      </c>
    </row>
    <row r="47" spans="1:3" ht="60" x14ac:dyDescent="0.25">
      <c r="A47" s="190"/>
      <c r="B47" s="186"/>
      <c r="C47" s="37" t="s">
        <v>251</v>
      </c>
    </row>
    <row r="48" spans="1:3" ht="45" x14ac:dyDescent="0.25">
      <c r="A48" s="188" t="s">
        <v>252</v>
      </c>
      <c r="B48" s="185" t="s">
        <v>51</v>
      </c>
      <c r="C48" s="37" t="s">
        <v>253</v>
      </c>
    </row>
    <row r="49" spans="1:3" ht="48" customHeight="1" x14ac:dyDescent="0.25">
      <c r="A49" s="190"/>
      <c r="B49" s="186"/>
      <c r="C49" s="37" t="s">
        <v>254</v>
      </c>
    </row>
    <row r="50" spans="1:3" ht="30" x14ac:dyDescent="0.25">
      <c r="A50" s="188" t="s">
        <v>255</v>
      </c>
      <c r="B50" s="185" t="s">
        <v>12</v>
      </c>
      <c r="C50" s="37" t="s">
        <v>256</v>
      </c>
    </row>
    <row r="51" spans="1:3" ht="30" x14ac:dyDescent="0.25">
      <c r="A51" s="190"/>
      <c r="B51" s="186"/>
      <c r="C51" s="37" t="s">
        <v>257</v>
      </c>
    </row>
    <row r="52" spans="1:3" ht="45" x14ac:dyDescent="0.25">
      <c r="A52" s="188" t="s">
        <v>258</v>
      </c>
      <c r="B52" s="185" t="s">
        <v>77</v>
      </c>
      <c r="C52" s="37" t="s">
        <v>259</v>
      </c>
    </row>
    <row r="53" spans="1:3" ht="45" x14ac:dyDescent="0.25">
      <c r="A53" s="190"/>
      <c r="B53" s="186"/>
      <c r="C53" s="37" t="s">
        <v>260</v>
      </c>
    </row>
    <row r="54" spans="1:3" ht="45" x14ac:dyDescent="0.25">
      <c r="A54" s="188" t="s">
        <v>261</v>
      </c>
      <c r="B54" s="196" t="s">
        <v>78</v>
      </c>
      <c r="C54" s="37" t="s">
        <v>689</v>
      </c>
    </row>
    <row r="55" spans="1:3" ht="46.5" customHeight="1" x14ac:dyDescent="0.25">
      <c r="A55" s="190"/>
      <c r="B55" s="197"/>
      <c r="C55" s="37" t="s">
        <v>692</v>
      </c>
    </row>
    <row r="56" spans="1:3" ht="45" x14ac:dyDescent="0.25">
      <c r="A56" s="188" t="s">
        <v>262</v>
      </c>
      <c r="B56" s="185" t="s">
        <v>16</v>
      </c>
      <c r="C56" s="37" t="s">
        <v>263</v>
      </c>
    </row>
    <row r="57" spans="1:3" ht="34.5" customHeight="1" x14ac:dyDescent="0.25">
      <c r="A57" s="190"/>
      <c r="B57" s="186"/>
      <c r="C57" s="37" t="s">
        <v>264</v>
      </c>
    </row>
    <row r="58" spans="1:3" ht="30" x14ac:dyDescent="0.25">
      <c r="A58" s="188" t="s">
        <v>265</v>
      </c>
      <c r="B58" s="196" t="s">
        <v>79</v>
      </c>
      <c r="C58" s="37" t="s">
        <v>266</v>
      </c>
    </row>
    <row r="59" spans="1:3" ht="45" x14ac:dyDescent="0.25">
      <c r="A59" s="190"/>
      <c r="B59" s="197"/>
      <c r="C59" s="37" t="s">
        <v>706</v>
      </c>
    </row>
    <row r="60" spans="1:3" ht="45" x14ac:dyDescent="0.25">
      <c r="A60" s="188" t="s">
        <v>267</v>
      </c>
      <c r="B60" s="185" t="s">
        <v>35</v>
      </c>
      <c r="C60" s="37" t="s">
        <v>268</v>
      </c>
    </row>
    <row r="61" spans="1:3" ht="47.25" customHeight="1" x14ac:dyDescent="0.25">
      <c r="A61" s="190"/>
      <c r="B61" s="186"/>
      <c r="C61" s="37" t="s">
        <v>269</v>
      </c>
    </row>
    <row r="62" spans="1:3" ht="45" x14ac:dyDescent="0.25">
      <c r="A62" s="188" t="s">
        <v>270</v>
      </c>
      <c r="B62" s="185" t="s">
        <v>81</v>
      </c>
      <c r="C62" s="37" t="s">
        <v>271</v>
      </c>
    </row>
    <row r="63" spans="1:3" ht="30" x14ac:dyDescent="0.25">
      <c r="A63" s="190"/>
      <c r="B63" s="186"/>
      <c r="C63" s="37" t="s">
        <v>272</v>
      </c>
    </row>
    <row r="64" spans="1:3" ht="45" x14ac:dyDescent="0.25">
      <c r="A64" s="188" t="s">
        <v>273</v>
      </c>
      <c r="B64" s="185" t="s">
        <v>82</v>
      </c>
      <c r="C64" s="37" t="s">
        <v>274</v>
      </c>
    </row>
    <row r="65" spans="1:3" ht="30" x14ac:dyDescent="0.25">
      <c r="A65" s="190"/>
      <c r="B65" s="186"/>
      <c r="C65" s="37" t="s">
        <v>735</v>
      </c>
    </row>
    <row r="66" spans="1:3" ht="45" x14ac:dyDescent="0.25">
      <c r="A66" s="188" t="s">
        <v>275</v>
      </c>
      <c r="B66" s="185" t="s">
        <v>17</v>
      </c>
      <c r="C66" s="37" t="s">
        <v>276</v>
      </c>
    </row>
    <row r="67" spans="1:3" ht="45" x14ac:dyDescent="0.25">
      <c r="A67" s="190"/>
      <c r="B67" s="186"/>
      <c r="C67" s="37" t="s">
        <v>277</v>
      </c>
    </row>
    <row r="68" spans="1:3" ht="45" x14ac:dyDescent="0.25">
      <c r="A68" s="188" t="s">
        <v>278</v>
      </c>
      <c r="B68" s="192" t="s">
        <v>14</v>
      </c>
      <c r="C68" s="43" t="s">
        <v>279</v>
      </c>
    </row>
    <row r="69" spans="1:3" ht="45" x14ac:dyDescent="0.25">
      <c r="A69" s="190"/>
      <c r="B69" s="193"/>
      <c r="C69" s="37" t="s">
        <v>280</v>
      </c>
    </row>
    <row r="70" spans="1:3" ht="45" x14ac:dyDescent="0.25">
      <c r="A70" s="188" t="s">
        <v>281</v>
      </c>
      <c r="B70" s="196" t="s">
        <v>33</v>
      </c>
      <c r="C70" s="37" t="s">
        <v>282</v>
      </c>
    </row>
    <row r="71" spans="1:3" ht="30" x14ac:dyDescent="0.25">
      <c r="A71" s="190"/>
      <c r="B71" s="197"/>
      <c r="C71" s="37" t="s">
        <v>283</v>
      </c>
    </row>
    <row r="72" spans="1:3" ht="33" customHeight="1" x14ac:dyDescent="0.25">
      <c r="A72" s="188" t="s">
        <v>284</v>
      </c>
      <c r="B72" s="185" t="s">
        <v>83</v>
      </c>
      <c r="C72" s="37" t="s">
        <v>285</v>
      </c>
    </row>
    <row r="73" spans="1:3" ht="30" x14ac:dyDescent="0.25">
      <c r="A73" s="190"/>
      <c r="B73" s="186"/>
      <c r="C73" s="37" t="s">
        <v>286</v>
      </c>
    </row>
    <row r="74" spans="1:3" ht="45" x14ac:dyDescent="0.25">
      <c r="A74" s="188" t="s">
        <v>287</v>
      </c>
      <c r="B74" s="196" t="s">
        <v>37</v>
      </c>
      <c r="C74" s="37" t="s">
        <v>289</v>
      </c>
    </row>
    <row r="75" spans="1:3" ht="45" x14ac:dyDescent="0.25">
      <c r="A75" s="190"/>
      <c r="B75" s="197"/>
      <c r="C75" s="37" t="s">
        <v>290</v>
      </c>
    </row>
    <row r="76" spans="1:3" ht="30" x14ac:dyDescent="0.25">
      <c r="A76" s="188" t="s">
        <v>288</v>
      </c>
      <c r="B76" s="185" t="s">
        <v>19</v>
      </c>
      <c r="C76" s="37" t="s">
        <v>291</v>
      </c>
    </row>
    <row r="77" spans="1:3" ht="30" x14ac:dyDescent="0.25">
      <c r="A77" s="190"/>
      <c r="B77" s="186"/>
      <c r="C77" s="37" t="s">
        <v>292</v>
      </c>
    </row>
    <row r="78" spans="1:3" ht="30" x14ac:dyDescent="0.25">
      <c r="A78" s="188" t="s">
        <v>293</v>
      </c>
      <c r="B78" s="196" t="s">
        <v>39</v>
      </c>
      <c r="C78" s="37" t="s">
        <v>294</v>
      </c>
    </row>
    <row r="79" spans="1:3" ht="30" x14ac:dyDescent="0.25">
      <c r="A79" s="190"/>
      <c r="B79" s="197"/>
      <c r="C79" s="37" t="s">
        <v>295</v>
      </c>
    </row>
    <row r="80" spans="1:3" ht="34.5" customHeight="1" x14ac:dyDescent="0.25">
      <c r="A80" s="188" t="s">
        <v>296</v>
      </c>
      <c r="B80" s="196" t="s">
        <v>84</v>
      </c>
      <c r="C80" s="37" t="s">
        <v>796</v>
      </c>
    </row>
    <row r="81" spans="1:3" ht="30" x14ac:dyDescent="0.25">
      <c r="A81" s="190"/>
      <c r="B81" s="197"/>
      <c r="C81" s="37" t="s">
        <v>797</v>
      </c>
    </row>
    <row r="82" spans="1:3" ht="30" customHeight="1" x14ac:dyDescent="0.25">
      <c r="A82" s="188" t="s">
        <v>297</v>
      </c>
      <c r="B82" s="196" t="s">
        <v>87</v>
      </c>
      <c r="C82" s="37" t="s">
        <v>298</v>
      </c>
    </row>
    <row r="83" spans="1:3" ht="33" customHeight="1" x14ac:dyDescent="0.25">
      <c r="A83" s="190"/>
      <c r="B83" s="197"/>
      <c r="C83" s="37" t="s">
        <v>299</v>
      </c>
    </row>
    <row r="84" spans="1:3" ht="45" x14ac:dyDescent="0.25">
      <c r="A84" s="188" t="s">
        <v>302</v>
      </c>
      <c r="B84" s="185" t="s">
        <v>20</v>
      </c>
      <c r="C84" s="37" t="s">
        <v>300</v>
      </c>
    </row>
    <row r="85" spans="1:3" ht="45" x14ac:dyDescent="0.25">
      <c r="A85" s="190"/>
      <c r="B85" s="186"/>
      <c r="C85" s="37" t="s">
        <v>301</v>
      </c>
    </row>
    <row r="86" spans="1:3" ht="45" x14ac:dyDescent="0.25">
      <c r="A86" s="188" t="s">
        <v>303</v>
      </c>
      <c r="B86" s="185" t="s">
        <v>18</v>
      </c>
      <c r="C86" s="37" t="s">
        <v>304</v>
      </c>
    </row>
    <row r="87" spans="1:3" ht="45" x14ac:dyDescent="0.25">
      <c r="A87" s="190"/>
      <c r="B87" s="186"/>
      <c r="C87" s="37" t="s">
        <v>305</v>
      </c>
    </row>
    <row r="88" spans="1:3" ht="30" x14ac:dyDescent="0.25">
      <c r="A88" s="188" t="s">
        <v>306</v>
      </c>
      <c r="B88" s="196" t="s">
        <v>85</v>
      </c>
      <c r="C88" s="43" t="s">
        <v>307</v>
      </c>
    </row>
    <row r="89" spans="1:3" ht="39.75" customHeight="1" x14ac:dyDescent="0.25">
      <c r="A89" s="190"/>
      <c r="B89" s="197"/>
      <c r="C89" s="37" t="s">
        <v>830</v>
      </c>
    </row>
    <row r="90" spans="1:3" ht="35.25" customHeight="1" x14ac:dyDescent="0.25">
      <c r="A90" s="188" t="s">
        <v>308</v>
      </c>
      <c r="B90" s="192" t="s">
        <v>40</v>
      </c>
      <c r="C90" s="37" t="s">
        <v>309</v>
      </c>
    </row>
    <row r="91" spans="1:3" ht="30" x14ac:dyDescent="0.25">
      <c r="A91" s="190"/>
      <c r="B91" s="193"/>
      <c r="C91" s="37" t="s">
        <v>310</v>
      </c>
    </row>
    <row r="92" spans="1:3" ht="30" x14ac:dyDescent="0.25">
      <c r="A92" s="188" t="s">
        <v>311</v>
      </c>
      <c r="B92" s="185" t="s">
        <v>86</v>
      </c>
      <c r="C92" s="43" t="s">
        <v>324</v>
      </c>
    </row>
    <row r="93" spans="1:3" ht="45" x14ac:dyDescent="0.25">
      <c r="A93" s="190"/>
      <c r="B93" s="186"/>
      <c r="C93" s="37" t="s">
        <v>325</v>
      </c>
    </row>
    <row r="94" spans="1:3" ht="31.5" customHeight="1" x14ac:dyDescent="0.25">
      <c r="A94" s="194" t="s">
        <v>326</v>
      </c>
      <c r="B94" s="196" t="s">
        <v>327</v>
      </c>
      <c r="C94" s="37" t="s">
        <v>328</v>
      </c>
    </row>
    <row r="95" spans="1:3" ht="30" x14ac:dyDescent="0.25">
      <c r="A95" s="195"/>
      <c r="B95" s="197"/>
      <c r="C95" s="37" t="s">
        <v>329</v>
      </c>
    </row>
    <row r="96" spans="1:3" ht="30" x14ac:dyDescent="0.25">
      <c r="A96" s="188" t="s">
        <v>330</v>
      </c>
      <c r="B96" s="185" t="s">
        <v>44</v>
      </c>
      <c r="C96" s="37" t="s">
        <v>331</v>
      </c>
    </row>
    <row r="97" spans="1:3" ht="34.5" customHeight="1" x14ac:dyDescent="0.25">
      <c r="A97" s="190"/>
      <c r="B97" s="186"/>
      <c r="C97" s="37" t="s">
        <v>332</v>
      </c>
    </row>
    <row r="98" spans="1:3" ht="60" x14ac:dyDescent="0.25">
      <c r="A98" s="188" t="s">
        <v>333</v>
      </c>
      <c r="B98" s="185" t="s">
        <v>22</v>
      </c>
      <c r="C98" s="37" t="s">
        <v>335</v>
      </c>
    </row>
    <row r="99" spans="1:3" ht="60" x14ac:dyDescent="0.25">
      <c r="A99" s="190"/>
      <c r="B99" s="186"/>
      <c r="C99" s="37" t="s">
        <v>336</v>
      </c>
    </row>
    <row r="100" spans="1:3" ht="34.5" customHeight="1" x14ac:dyDescent="0.25">
      <c r="A100" s="188" t="s">
        <v>334</v>
      </c>
      <c r="B100" s="185" t="s">
        <v>4</v>
      </c>
      <c r="C100" s="37" t="s">
        <v>338</v>
      </c>
    </row>
    <row r="101" spans="1:3" ht="30" x14ac:dyDescent="0.25">
      <c r="A101" s="190"/>
      <c r="B101" s="186"/>
      <c r="C101" s="37" t="s">
        <v>339</v>
      </c>
    </row>
    <row r="102" spans="1:3" ht="30" x14ac:dyDescent="0.25">
      <c r="A102" s="188" t="s">
        <v>337</v>
      </c>
      <c r="B102" s="185" t="s">
        <v>21</v>
      </c>
      <c r="C102" s="37" t="s">
        <v>340</v>
      </c>
    </row>
    <row r="103" spans="1:3" ht="45" x14ac:dyDescent="0.25">
      <c r="A103" s="190"/>
      <c r="B103" s="186"/>
      <c r="C103" s="37" t="s">
        <v>341</v>
      </c>
    </row>
    <row r="104" spans="1:3" ht="45" x14ac:dyDescent="0.25">
      <c r="A104" s="188" t="s">
        <v>889</v>
      </c>
      <c r="B104" s="185" t="s">
        <v>89</v>
      </c>
      <c r="C104" s="37" t="s">
        <v>342</v>
      </c>
    </row>
    <row r="105" spans="1:3" ht="45" x14ac:dyDescent="0.25">
      <c r="A105" s="190"/>
      <c r="B105" s="186"/>
      <c r="C105" s="37" t="s">
        <v>343</v>
      </c>
    </row>
    <row r="106" spans="1:3" ht="45" x14ac:dyDescent="0.25">
      <c r="A106" s="188" t="s">
        <v>411</v>
      </c>
      <c r="B106" s="185" t="s">
        <v>47</v>
      </c>
      <c r="C106" s="37" t="s">
        <v>347</v>
      </c>
    </row>
    <row r="107" spans="1:3" ht="33.75" customHeight="1" x14ac:dyDescent="0.25">
      <c r="A107" s="189"/>
      <c r="B107" s="191"/>
      <c r="C107" s="37" t="s">
        <v>348</v>
      </c>
    </row>
    <row r="108" spans="1:3" ht="45" x14ac:dyDescent="0.25">
      <c r="A108" s="189"/>
      <c r="B108" s="191"/>
      <c r="C108" s="37" t="s">
        <v>349</v>
      </c>
    </row>
    <row r="109" spans="1:3" ht="45" x14ac:dyDescent="0.25">
      <c r="A109" s="189"/>
      <c r="B109" s="191"/>
      <c r="C109" s="37" t="s">
        <v>351</v>
      </c>
    </row>
    <row r="110" spans="1:3" ht="45" x14ac:dyDescent="0.25">
      <c r="A110" s="189"/>
      <c r="B110" s="191"/>
      <c r="C110" s="37" t="s">
        <v>350</v>
      </c>
    </row>
    <row r="111" spans="1:3" ht="30" x14ac:dyDescent="0.25">
      <c r="A111" s="189"/>
      <c r="B111" s="191"/>
      <c r="C111" s="37" t="s">
        <v>444</v>
      </c>
    </row>
    <row r="112" spans="1:3" ht="45.75" thickBot="1" x14ac:dyDescent="0.3">
      <c r="A112" s="190"/>
      <c r="B112" s="186"/>
      <c r="C112" s="55" t="s">
        <v>475</v>
      </c>
    </row>
    <row r="113" spans="1:3" ht="45" x14ac:dyDescent="0.25">
      <c r="A113" s="188" t="s">
        <v>346</v>
      </c>
      <c r="B113" s="185" t="s">
        <v>50</v>
      </c>
      <c r="C113" s="37" t="s">
        <v>353</v>
      </c>
    </row>
    <row r="114" spans="1:3" ht="45" x14ac:dyDescent="0.25">
      <c r="A114" s="189"/>
      <c r="B114" s="191"/>
      <c r="C114" s="37" t="s">
        <v>354</v>
      </c>
    </row>
    <row r="115" spans="1:3" ht="48" customHeight="1" x14ac:dyDescent="0.25">
      <c r="A115" s="189"/>
      <c r="B115" s="191"/>
      <c r="C115" s="37" t="s">
        <v>468</v>
      </c>
    </row>
    <row r="116" spans="1:3" ht="45.75" customHeight="1" x14ac:dyDescent="0.25">
      <c r="A116" s="190"/>
      <c r="B116" s="186"/>
      <c r="C116" s="37" t="s">
        <v>467</v>
      </c>
    </row>
    <row r="117" spans="1:3" ht="45" x14ac:dyDescent="0.25">
      <c r="A117" s="188" t="s">
        <v>352</v>
      </c>
      <c r="B117" s="185" t="s">
        <v>1108</v>
      </c>
      <c r="C117" s="37" t="s">
        <v>1110</v>
      </c>
    </row>
    <row r="118" spans="1:3" ht="63" customHeight="1" x14ac:dyDescent="0.25">
      <c r="A118" s="190"/>
      <c r="B118" s="186"/>
      <c r="C118" s="37" t="s">
        <v>1111</v>
      </c>
    </row>
    <row r="119" spans="1:3" ht="32.25" customHeight="1" x14ac:dyDescent="0.25">
      <c r="A119" s="188" t="s">
        <v>445</v>
      </c>
      <c r="B119" s="185" t="s">
        <v>65</v>
      </c>
      <c r="C119" s="37" t="s">
        <v>446</v>
      </c>
    </row>
    <row r="120" spans="1:3" ht="34.5" customHeight="1" x14ac:dyDescent="0.25">
      <c r="A120" s="190"/>
      <c r="B120" s="186"/>
      <c r="C120" s="37" t="s">
        <v>466</v>
      </c>
    </row>
    <row r="121" spans="1:3" ht="45" x14ac:dyDescent="0.25">
      <c r="A121" s="183" t="s">
        <v>449</v>
      </c>
      <c r="B121" s="187" t="s">
        <v>48</v>
      </c>
      <c r="C121" s="37" t="s">
        <v>447</v>
      </c>
    </row>
    <row r="122" spans="1:3" ht="45" x14ac:dyDescent="0.25">
      <c r="A122" s="184"/>
      <c r="B122" s="187"/>
      <c r="C122" s="37" t="s">
        <v>448</v>
      </c>
    </row>
    <row r="123" spans="1:3" ht="34.5" customHeight="1" x14ac:dyDescent="0.25">
      <c r="A123" s="183" t="s">
        <v>452</v>
      </c>
      <c r="B123" s="185" t="s">
        <v>70</v>
      </c>
      <c r="C123" s="37" t="s">
        <v>450</v>
      </c>
    </row>
    <row r="124" spans="1:3" ht="45" x14ac:dyDescent="0.25">
      <c r="A124" s="184"/>
      <c r="B124" s="186"/>
      <c r="C124" s="43" t="s">
        <v>451</v>
      </c>
    </row>
    <row r="125" spans="1:3" ht="45" x14ac:dyDescent="0.25">
      <c r="A125" s="183" t="s">
        <v>453</v>
      </c>
      <c r="B125" s="185" t="s">
        <v>8</v>
      </c>
      <c r="C125" s="37" t="s">
        <v>454</v>
      </c>
    </row>
    <row r="126" spans="1:3" ht="45" x14ac:dyDescent="0.25">
      <c r="A126" s="184"/>
      <c r="B126" s="186"/>
      <c r="C126" s="37" t="s">
        <v>455</v>
      </c>
    </row>
    <row r="127" spans="1:3" ht="45" x14ac:dyDescent="0.25">
      <c r="A127" s="183" t="s">
        <v>456</v>
      </c>
      <c r="B127" s="185" t="s">
        <v>75</v>
      </c>
      <c r="C127" s="37" t="s">
        <v>458</v>
      </c>
    </row>
    <row r="128" spans="1:3" ht="45" x14ac:dyDescent="0.25">
      <c r="A128" s="184"/>
      <c r="B128" s="186"/>
      <c r="C128" s="37" t="s">
        <v>459</v>
      </c>
    </row>
    <row r="129" spans="1:3" ht="34.5" customHeight="1" x14ac:dyDescent="0.25">
      <c r="A129" s="183" t="s">
        <v>457</v>
      </c>
      <c r="B129" s="187" t="s">
        <v>462</v>
      </c>
      <c r="C129" s="37" t="s">
        <v>460</v>
      </c>
    </row>
    <row r="130" spans="1:3" ht="45" x14ac:dyDescent="0.25">
      <c r="A130" s="184"/>
      <c r="B130" s="187"/>
      <c r="C130" s="37" t="s">
        <v>461</v>
      </c>
    </row>
  </sheetData>
  <mergeCells count="122">
    <mergeCell ref="A66:A67"/>
    <mergeCell ref="B66:B67"/>
    <mergeCell ref="A24:A25"/>
    <mergeCell ref="B24:B25"/>
    <mergeCell ref="A64:A65"/>
    <mergeCell ref="B64:B65"/>
    <mergeCell ref="A44:A45"/>
    <mergeCell ref="B44:B45"/>
    <mergeCell ref="A46:A47"/>
    <mergeCell ref="B46:B47"/>
    <mergeCell ref="A48:A49"/>
    <mergeCell ref="B48:B49"/>
    <mergeCell ref="A50:A51"/>
    <mergeCell ref="B50:B51"/>
    <mergeCell ref="A52:A53"/>
    <mergeCell ref="B52:B53"/>
    <mergeCell ref="A54:A55"/>
    <mergeCell ref="B54:B55"/>
    <mergeCell ref="A56:A57"/>
    <mergeCell ref="B56:B57"/>
    <mergeCell ref="A58:A59"/>
    <mergeCell ref="B58:B59"/>
    <mergeCell ref="A60:A61"/>
    <mergeCell ref="B60:B61"/>
    <mergeCell ref="A62:A63"/>
    <mergeCell ref="B62:B63"/>
    <mergeCell ref="A2:A3"/>
    <mergeCell ref="B2:B3"/>
    <mergeCell ref="A4:A5"/>
    <mergeCell ref="B4:B5"/>
    <mergeCell ref="A6:A7"/>
    <mergeCell ref="B6:B7"/>
    <mergeCell ref="A20:A21"/>
    <mergeCell ref="B20:B21"/>
    <mergeCell ref="A22:A23"/>
    <mergeCell ref="B22:B23"/>
    <mergeCell ref="A14:A15"/>
    <mergeCell ref="B14:B15"/>
    <mergeCell ref="A16:A17"/>
    <mergeCell ref="B16:B17"/>
    <mergeCell ref="A18:A19"/>
    <mergeCell ref="B18:B19"/>
    <mergeCell ref="A8:A9"/>
    <mergeCell ref="B8:B9"/>
    <mergeCell ref="A10:A11"/>
    <mergeCell ref="B10:B11"/>
    <mergeCell ref="A12:A13"/>
    <mergeCell ref="B12:B13"/>
    <mergeCell ref="A68:A69"/>
    <mergeCell ref="B68:B69"/>
    <mergeCell ref="A70:A71"/>
    <mergeCell ref="B70:B71"/>
    <mergeCell ref="A72:A73"/>
    <mergeCell ref="B72:B73"/>
    <mergeCell ref="A32:A33"/>
    <mergeCell ref="B32:B33"/>
    <mergeCell ref="A26:A27"/>
    <mergeCell ref="B26:B27"/>
    <mergeCell ref="A28:A29"/>
    <mergeCell ref="B28:B29"/>
    <mergeCell ref="A30:A31"/>
    <mergeCell ref="B30:B31"/>
    <mergeCell ref="A34:A35"/>
    <mergeCell ref="B34:B35"/>
    <mergeCell ref="A36:A37"/>
    <mergeCell ref="B36:B37"/>
    <mergeCell ref="A38:A39"/>
    <mergeCell ref="B38:B39"/>
    <mergeCell ref="A40:A41"/>
    <mergeCell ref="B40:B41"/>
    <mergeCell ref="A42:A43"/>
    <mergeCell ref="B42:B43"/>
    <mergeCell ref="A90:A91"/>
    <mergeCell ref="B90:B91"/>
    <mergeCell ref="A92:A93"/>
    <mergeCell ref="B92:B93"/>
    <mergeCell ref="A94:A95"/>
    <mergeCell ref="B94:B95"/>
    <mergeCell ref="A74:A75"/>
    <mergeCell ref="B74:B75"/>
    <mergeCell ref="A82:A83"/>
    <mergeCell ref="B82:B83"/>
    <mergeCell ref="A84:A85"/>
    <mergeCell ref="B84:B85"/>
    <mergeCell ref="A76:A77"/>
    <mergeCell ref="B76:B77"/>
    <mergeCell ref="A78:A79"/>
    <mergeCell ref="B78:B79"/>
    <mergeCell ref="A80:A81"/>
    <mergeCell ref="B80:B81"/>
    <mergeCell ref="A88:A89"/>
    <mergeCell ref="B88:B89"/>
    <mergeCell ref="A86:A87"/>
    <mergeCell ref="B86:B87"/>
    <mergeCell ref="A100:A101"/>
    <mergeCell ref="B100:B101"/>
    <mergeCell ref="A102:A103"/>
    <mergeCell ref="B102:B103"/>
    <mergeCell ref="A104:A105"/>
    <mergeCell ref="B104:B105"/>
    <mergeCell ref="A96:A97"/>
    <mergeCell ref="B96:B97"/>
    <mergeCell ref="A98:A99"/>
    <mergeCell ref="B98:B99"/>
    <mergeCell ref="A127:A128"/>
    <mergeCell ref="A129:A130"/>
    <mergeCell ref="B127:B128"/>
    <mergeCell ref="B129:B130"/>
    <mergeCell ref="A106:A112"/>
    <mergeCell ref="B106:B112"/>
    <mergeCell ref="A119:A120"/>
    <mergeCell ref="B119:B120"/>
    <mergeCell ref="A121:A122"/>
    <mergeCell ref="B121:B122"/>
    <mergeCell ref="A123:A124"/>
    <mergeCell ref="B123:B124"/>
    <mergeCell ref="A125:A126"/>
    <mergeCell ref="B125:B126"/>
    <mergeCell ref="A113:A116"/>
    <mergeCell ref="B113:B116"/>
    <mergeCell ref="A117:A118"/>
    <mergeCell ref="B117:B118"/>
  </mergeCells>
  <pageMargins left="0.7" right="0.7" top="0.75" bottom="0.75" header="0.3" footer="0.3"/>
  <pageSetup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131"/>
  <sheetViews>
    <sheetView topLeftCell="A22" zoomScaleNormal="100" workbookViewId="0">
      <selection activeCell="C27" sqref="C27:C52"/>
    </sheetView>
  </sheetViews>
  <sheetFormatPr defaultRowHeight="15" x14ac:dyDescent="0.25"/>
  <cols>
    <col min="1" max="1" width="4.28515625" style="31" customWidth="1"/>
    <col min="2" max="2" width="6.7109375" style="31" customWidth="1"/>
    <col min="3" max="3" width="63.140625" style="32" customWidth="1"/>
    <col min="4" max="4" width="12" style="38" customWidth="1"/>
    <col min="5" max="5" width="51.5703125" style="31" customWidth="1"/>
    <col min="6" max="6" width="20.5703125" style="31" customWidth="1"/>
    <col min="7" max="8" width="9.140625" style="31"/>
    <col min="9" max="9" width="9.140625" style="31" customWidth="1"/>
    <col min="10" max="16384" width="9.140625" style="31"/>
  </cols>
  <sheetData>
    <row r="2" spans="1:8" s="29" customFormat="1" ht="15" customHeight="1" x14ac:dyDescent="0.25">
      <c r="A2" s="29" t="s">
        <v>357</v>
      </c>
      <c r="B2" s="29" t="s">
        <v>358</v>
      </c>
      <c r="C2" s="30" t="s">
        <v>360</v>
      </c>
      <c r="D2" s="38" t="s">
        <v>142</v>
      </c>
      <c r="E2" s="29" t="s">
        <v>359</v>
      </c>
      <c r="F2" s="29" t="s">
        <v>143</v>
      </c>
    </row>
    <row r="3" spans="1:8" ht="46.5" customHeight="1" x14ac:dyDescent="0.25">
      <c r="A3" s="46">
        <v>1</v>
      </c>
      <c r="B3" s="204">
        <v>1</v>
      </c>
      <c r="C3" s="207" t="s">
        <v>372</v>
      </c>
      <c r="D3" s="46" t="s">
        <v>376</v>
      </c>
      <c r="E3" s="37" t="s">
        <v>144</v>
      </c>
      <c r="F3" s="211" t="s">
        <v>154</v>
      </c>
    </row>
    <row r="4" spans="1:8" ht="60.75" customHeight="1" x14ac:dyDescent="0.25">
      <c r="A4" s="46">
        <v>2</v>
      </c>
      <c r="B4" s="205"/>
      <c r="C4" s="208"/>
      <c r="D4" s="46" t="s">
        <v>151</v>
      </c>
      <c r="E4" s="37" t="s">
        <v>145</v>
      </c>
      <c r="F4" s="211"/>
      <c r="H4" s="33"/>
    </row>
    <row r="5" spans="1:8" ht="30" customHeight="1" x14ac:dyDescent="0.25">
      <c r="A5" s="46">
        <v>3</v>
      </c>
      <c r="B5" s="205"/>
      <c r="C5" s="208"/>
      <c r="D5" s="46" t="s">
        <v>161</v>
      </c>
      <c r="E5" s="37" t="s">
        <v>373</v>
      </c>
      <c r="F5" s="211" t="s">
        <v>155</v>
      </c>
    </row>
    <row r="6" spans="1:8" ht="47.25" customHeight="1" x14ac:dyDescent="0.25">
      <c r="A6" s="46">
        <v>4</v>
      </c>
      <c r="B6" s="205"/>
      <c r="C6" s="208"/>
      <c r="D6" s="46" t="s">
        <v>162</v>
      </c>
      <c r="E6" s="34" t="s">
        <v>374</v>
      </c>
      <c r="F6" s="211"/>
    </row>
    <row r="7" spans="1:8" ht="34.5" customHeight="1" x14ac:dyDescent="0.25">
      <c r="A7" s="46">
        <v>5</v>
      </c>
      <c r="B7" s="205"/>
      <c r="C7" s="208"/>
      <c r="D7" s="46" t="s">
        <v>167</v>
      </c>
      <c r="E7" s="37" t="s">
        <v>163</v>
      </c>
      <c r="F7" s="211" t="s">
        <v>160</v>
      </c>
    </row>
    <row r="8" spans="1:8" ht="30" customHeight="1" x14ac:dyDescent="0.25">
      <c r="A8" s="46">
        <v>6</v>
      </c>
      <c r="B8" s="205"/>
      <c r="C8" s="208"/>
      <c r="D8" s="46" t="s">
        <v>377</v>
      </c>
      <c r="E8" s="37" t="s">
        <v>164</v>
      </c>
      <c r="F8" s="211"/>
    </row>
    <row r="9" spans="1:8" ht="46.5" customHeight="1" x14ac:dyDescent="0.25">
      <c r="A9" s="46">
        <v>7</v>
      </c>
      <c r="B9" s="205"/>
      <c r="C9" s="208"/>
      <c r="D9" s="46" t="s">
        <v>171</v>
      </c>
      <c r="E9" s="37" t="s">
        <v>168</v>
      </c>
      <c r="F9" s="211" t="s">
        <v>166</v>
      </c>
    </row>
    <row r="10" spans="1:8" ht="45" customHeight="1" x14ac:dyDescent="0.25">
      <c r="A10" s="46">
        <v>8</v>
      </c>
      <c r="B10" s="205"/>
      <c r="C10" s="208"/>
      <c r="D10" s="46" t="s">
        <v>378</v>
      </c>
      <c r="E10" s="37" t="s">
        <v>169</v>
      </c>
      <c r="F10" s="211"/>
    </row>
    <row r="11" spans="1:8" ht="33.75" customHeight="1" x14ac:dyDescent="0.25">
      <c r="A11" s="46">
        <v>9</v>
      </c>
      <c r="B11" s="205"/>
      <c r="C11" s="208"/>
      <c r="D11" s="46" t="s">
        <v>175</v>
      </c>
      <c r="E11" s="37" t="s">
        <v>172</v>
      </c>
      <c r="F11" s="211" t="s">
        <v>170</v>
      </c>
    </row>
    <row r="12" spans="1:8" ht="60.75" customHeight="1" x14ac:dyDescent="0.25">
      <c r="A12" s="46">
        <v>10</v>
      </c>
      <c r="B12" s="205"/>
      <c r="C12" s="208"/>
      <c r="D12" s="172" t="s">
        <v>1123</v>
      </c>
      <c r="E12" s="37" t="s">
        <v>173</v>
      </c>
      <c r="F12" s="211"/>
    </row>
    <row r="13" spans="1:8" ht="47.25" customHeight="1" x14ac:dyDescent="0.25">
      <c r="A13" s="46">
        <v>11</v>
      </c>
      <c r="B13" s="205"/>
      <c r="C13" s="208"/>
      <c r="D13" s="172" t="s">
        <v>1124</v>
      </c>
      <c r="E13" s="37" t="s">
        <v>178</v>
      </c>
      <c r="F13" s="211" t="s">
        <v>174</v>
      </c>
    </row>
    <row r="14" spans="1:8" ht="48" customHeight="1" x14ac:dyDescent="0.25">
      <c r="A14" s="46">
        <v>12</v>
      </c>
      <c r="B14" s="205"/>
      <c r="C14" s="208"/>
      <c r="D14" s="172" t="s">
        <v>1125</v>
      </c>
      <c r="E14" s="37" t="s">
        <v>177</v>
      </c>
      <c r="F14" s="211"/>
    </row>
    <row r="15" spans="1:8" ht="48" customHeight="1" x14ac:dyDescent="0.25">
      <c r="A15" s="46">
        <v>13</v>
      </c>
      <c r="B15" s="205"/>
      <c r="C15" s="208"/>
      <c r="D15" s="172" t="s">
        <v>1126</v>
      </c>
      <c r="E15" s="37" t="s">
        <v>195</v>
      </c>
      <c r="F15" s="211" t="s">
        <v>194</v>
      </c>
    </row>
    <row r="16" spans="1:8" ht="47.25" customHeight="1" x14ac:dyDescent="0.25">
      <c r="A16" s="46">
        <v>14</v>
      </c>
      <c r="B16" s="205"/>
      <c r="C16" s="208"/>
      <c r="D16" s="172" t="s">
        <v>1127</v>
      </c>
      <c r="E16" s="37" t="s">
        <v>196</v>
      </c>
      <c r="F16" s="211"/>
    </row>
    <row r="17" spans="1:6" ht="47.25" customHeight="1" x14ac:dyDescent="0.25">
      <c r="A17" s="46">
        <v>15</v>
      </c>
      <c r="B17" s="205"/>
      <c r="C17" s="208"/>
      <c r="D17" s="172" t="s">
        <v>1128</v>
      </c>
      <c r="E17" s="37" t="s">
        <v>212</v>
      </c>
      <c r="F17" s="211" t="s">
        <v>211</v>
      </c>
    </row>
    <row r="18" spans="1:6" ht="46.5" customHeight="1" x14ac:dyDescent="0.25">
      <c r="A18" s="46">
        <v>16</v>
      </c>
      <c r="B18" s="205"/>
      <c r="C18" s="208"/>
      <c r="D18" s="172" t="s">
        <v>1129</v>
      </c>
      <c r="E18" s="37" t="s">
        <v>213</v>
      </c>
      <c r="F18" s="211"/>
    </row>
    <row r="19" spans="1:6" ht="33" customHeight="1" x14ac:dyDescent="0.25">
      <c r="A19" s="46">
        <v>17</v>
      </c>
      <c r="B19" s="205"/>
      <c r="C19" s="208"/>
      <c r="D19" s="172" t="s">
        <v>1130</v>
      </c>
      <c r="E19" s="37" t="s">
        <v>217</v>
      </c>
      <c r="F19" s="211" t="s">
        <v>375</v>
      </c>
    </row>
    <row r="20" spans="1:6" ht="45.75" customHeight="1" x14ac:dyDescent="0.25">
      <c r="A20" s="46">
        <v>18</v>
      </c>
      <c r="B20" s="205"/>
      <c r="C20" s="208"/>
      <c r="D20" s="172" t="s">
        <v>1131</v>
      </c>
      <c r="E20" s="37" t="s">
        <v>218</v>
      </c>
      <c r="F20" s="211"/>
    </row>
    <row r="21" spans="1:6" ht="47.25" customHeight="1" x14ac:dyDescent="0.25">
      <c r="A21" s="46">
        <v>19</v>
      </c>
      <c r="B21" s="205"/>
      <c r="C21" s="208"/>
      <c r="D21" s="172" t="s">
        <v>1132</v>
      </c>
      <c r="E21" s="37" t="s">
        <v>247</v>
      </c>
      <c r="F21" s="211" t="s">
        <v>246</v>
      </c>
    </row>
    <row r="22" spans="1:6" ht="47.25" customHeight="1" x14ac:dyDescent="0.25">
      <c r="A22" s="46">
        <v>20</v>
      </c>
      <c r="B22" s="205"/>
      <c r="C22" s="208"/>
      <c r="D22" s="172" t="s">
        <v>1133</v>
      </c>
      <c r="E22" s="37" t="s">
        <v>248</v>
      </c>
      <c r="F22" s="211"/>
    </row>
    <row r="23" spans="1:6" ht="32.25" customHeight="1" x14ac:dyDescent="0.25">
      <c r="A23" s="46">
        <v>21</v>
      </c>
      <c r="B23" s="205"/>
      <c r="C23" s="208"/>
      <c r="D23" s="172" t="s">
        <v>1134</v>
      </c>
      <c r="E23" s="37" t="s">
        <v>256</v>
      </c>
      <c r="F23" s="210" t="s">
        <v>255</v>
      </c>
    </row>
    <row r="24" spans="1:6" ht="47.25" customHeight="1" x14ac:dyDescent="0.25">
      <c r="A24" s="46">
        <v>22</v>
      </c>
      <c r="B24" s="205"/>
      <c r="C24" s="208"/>
      <c r="D24" s="172" t="s">
        <v>1135</v>
      </c>
      <c r="E24" s="37" t="s">
        <v>257</v>
      </c>
      <c r="F24" s="210"/>
    </row>
    <row r="25" spans="1:6" ht="45.75" customHeight="1" x14ac:dyDescent="0.25">
      <c r="A25" s="46">
        <v>23</v>
      </c>
      <c r="B25" s="205"/>
      <c r="C25" s="208"/>
      <c r="D25" s="172" t="s">
        <v>1191</v>
      </c>
      <c r="E25" s="37" t="s">
        <v>263</v>
      </c>
      <c r="F25" s="194" t="s">
        <v>262</v>
      </c>
    </row>
    <row r="26" spans="1:6" ht="47.25" customHeight="1" x14ac:dyDescent="0.25">
      <c r="A26" s="46">
        <v>24</v>
      </c>
      <c r="B26" s="206"/>
      <c r="C26" s="209"/>
      <c r="D26" s="172" t="s">
        <v>1192</v>
      </c>
      <c r="E26" s="37" t="s">
        <v>264</v>
      </c>
      <c r="F26" s="195"/>
    </row>
    <row r="27" spans="1:6" ht="61.5" customHeight="1" x14ac:dyDescent="0.25">
      <c r="A27" s="46">
        <v>25</v>
      </c>
      <c r="B27" s="204">
        <v>2</v>
      </c>
      <c r="C27" s="207" t="s">
        <v>361</v>
      </c>
      <c r="D27" s="46" t="s">
        <v>176</v>
      </c>
      <c r="E27" s="37" t="s">
        <v>148</v>
      </c>
      <c r="F27" s="210" t="s">
        <v>156</v>
      </c>
    </row>
    <row r="28" spans="1:6" ht="63" customHeight="1" x14ac:dyDescent="0.25">
      <c r="A28" s="46">
        <v>26</v>
      </c>
      <c r="B28" s="205"/>
      <c r="C28" s="208"/>
      <c r="D28" s="46" t="s">
        <v>182</v>
      </c>
      <c r="E28" s="37" t="s">
        <v>165</v>
      </c>
      <c r="F28" s="210"/>
    </row>
    <row r="29" spans="1:6" ht="31.5" customHeight="1" x14ac:dyDescent="0.25">
      <c r="A29" s="46">
        <v>27</v>
      </c>
      <c r="B29" s="205"/>
      <c r="C29" s="208"/>
      <c r="D29" s="46" t="s">
        <v>183</v>
      </c>
      <c r="E29" s="37" t="s">
        <v>149</v>
      </c>
      <c r="F29" s="210" t="s">
        <v>158</v>
      </c>
    </row>
    <row r="30" spans="1:6" ht="33" customHeight="1" x14ac:dyDescent="0.25">
      <c r="A30" s="46">
        <v>28</v>
      </c>
      <c r="B30" s="205"/>
      <c r="C30" s="208"/>
      <c r="D30" s="46" t="s">
        <v>184</v>
      </c>
      <c r="E30" s="37" t="s">
        <v>150</v>
      </c>
      <c r="F30" s="210"/>
    </row>
    <row r="31" spans="1:6" ht="60" customHeight="1" x14ac:dyDescent="0.25">
      <c r="A31" s="46">
        <v>29</v>
      </c>
      <c r="B31" s="205"/>
      <c r="C31" s="208"/>
      <c r="D31" s="46" t="s">
        <v>185</v>
      </c>
      <c r="E31" s="37" t="s">
        <v>152</v>
      </c>
      <c r="F31" s="210" t="s">
        <v>159</v>
      </c>
    </row>
    <row r="32" spans="1:6" ht="48" customHeight="1" x14ac:dyDescent="0.25">
      <c r="A32" s="46">
        <v>30</v>
      </c>
      <c r="B32" s="205"/>
      <c r="C32" s="208"/>
      <c r="D32" s="46" t="s">
        <v>186</v>
      </c>
      <c r="E32" s="37" t="s">
        <v>153</v>
      </c>
      <c r="F32" s="210"/>
    </row>
    <row r="33" spans="1:6" ht="49.5" customHeight="1" x14ac:dyDescent="0.25">
      <c r="A33" s="46">
        <v>31</v>
      </c>
      <c r="B33" s="205"/>
      <c r="C33" s="208"/>
      <c r="D33" s="46" t="s">
        <v>187</v>
      </c>
      <c r="E33" s="37" t="s">
        <v>180</v>
      </c>
      <c r="F33" s="210" t="s">
        <v>179</v>
      </c>
    </row>
    <row r="34" spans="1:6" ht="31.5" customHeight="1" x14ac:dyDescent="0.25">
      <c r="A34" s="46">
        <v>32</v>
      </c>
      <c r="B34" s="205"/>
      <c r="C34" s="208"/>
      <c r="D34" s="46" t="s">
        <v>188</v>
      </c>
      <c r="E34" s="37" t="s">
        <v>181</v>
      </c>
      <c r="F34" s="210"/>
    </row>
    <row r="35" spans="1:6" ht="46.5" customHeight="1" x14ac:dyDescent="0.25">
      <c r="A35" s="46">
        <v>33</v>
      </c>
      <c r="B35" s="205"/>
      <c r="C35" s="208"/>
      <c r="D35" s="46" t="s">
        <v>189</v>
      </c>
      <c r="E35" s="37" t="s">
        <v>197</v>
      </c>
      <c r="F35" s="210" t="s">
        <v>394</v>
      </c>
    </row>
    <row r="36" spans="1:6" ht="46.5" customHeight="1" x14ac:dyDescent="0.25">
      <c r="A36" s="46">
        <v>34</v>
      </c>
      <c r="B36" s="205"/>
      <c r="C36" s="208"/>
      <c r="D36" s="172" t="s">
        <v>1136</v>
      </c>
      <c r="E36" s="37" t="s">
        <v>198</v>
      </c>
      <c r="F36" s="210"/>
    </row>
    <row r="37" spans="1:6" ht="51" customHeight="1" x14ac:dyDescent="0.25">
      <c r="A37" s="46">
        <v>35</v>
      </c>
      <c r="B37" s="205"/>
      <c r="C37" s="208"/>
      <c r="D37" s="172" t="s">
        <v>1137</v>
      </c>
      <c r="E37" s="37" t="s">
        <v>215</v>
      </c>
      <c r="F37" s="210" t="s">
        <v>214</v>
      </c>
    </row>
    <row r="38" spans="1:6" ht="45.75" customHeight="1" x14ac:dyDescent="0.25">
      <c r="A38" s="46">
        <v>36</v>
      </c>
      <c r="B38" s="205"/>
      <c r="C38" s="208"/>
      <c r="D38" s="172" t="s">
        <v>1138</v>
      </c>
      <c r="E38" s="37" t="s">
        <v>216</v>
      </c>
      <c r="F38" s="210"/>
    </row>
    <row r="39" spans="1:6" ht="45.75" customHeight="1" x14ac:dyDescent="0.25">
      <c r="A39" s="46">
        <v>37</v>
      </c>
      <c r="B39" s="205"/>
      <c r="C39" s="208"/>
      <c r="D39" s="172" t="s">
        <v>1139</v>
      </c>
      <c r="E39" s="37" t="s">
        <v>689</v>
      </c>
      <c r="F39" s="210" t="s">
        <v>261</v>
      </c>
    </row>
    <row r="40" spans="1:6" ht="48" customHeight="1" x14ac:dyDescent="0.25">
      <c r="A40" s="46">
        <v>38</v>
      </c>
      <c r="B40" s="205"/>
      <c r="C40" s="208"/>
      <c r="D40" s="172" t="s">
        <v>1140</v>
      </c>
      <c r="E40" s="37" t="s">
        <v>692</v>
      </c>
      <c r="F40" s="210"/>
    </row>
    <row r="41" spans="1:6" ht="30.75" customHeight="1" x14ac:dyDescent="0.25">
      <c r="A41" s="46">
        <v>39</v>
      </c>
      <c r="B41" s="205"/>
      <c r="C41" s="208"/>
      <c r="D41" s="172" t="s">
        <v>1141</v>
      </c>
      <c r="E41" s="37" t="s">
        <v>266</v>
      </c>
      <c r="F41" s="210" t="s">
        <v>265</v>
      </c>
    </row>
    <row r="42" spans="1:6" ht="45.75" customHeight="1" x14ac:dyDescent="0.25">
      <c r="A42" s="46">
        <v>40</v>
      </c>
      <c r="B42" s="205"/>
      <c r="C42" s="208"/>
      <c r="D42" s="172" t="s">
        <v>1142</v>
      </c>
      <c r="E42" s="37" t="s">
        <v>1193</v>
      </c>
      <c r="F42" s="210"/>
    </row>
    <row r="43" spans="1:6" ht="51" customHeight="1" x14ac:dyDescent="0.25">
      <c r="A43" s="46">
        <v>41</v>
      </c>
      <c r="B43" s="205"/>
      <c r="C43" s="208"/>
      <c r="D43" s="172" t="s">
        <v>1143</v>
      </c>
      <c r="E43" s="37" t="s">
        <v>271</v>
      </c>
      <c r="F43" s="210" t="s">
        <v>270</v>
      </c>
    </row>
    <row r="44" spans="1:6" ht="32.25" customHeight="1" x14ac:dyDescent="0.25">
      <c r="A44" s="46">
        <v>42</v>
      </c>
      <c r="B44" s="205"/>
      <c r="C44" s="208"/>
      <c r="D44" s="172" t="s">
        <v>1144</v>
      </c>
      <c r="E44" s="37" t="s">
        <v>272</v>
      </c>
      <c r="F44" s="210"/>
    </row>
    <row r="45" spans="1:6" ht="48.75" customHeight="1" x14ac:dyDescent="0.25">
      <c r="A45" s="46">
        <v>43</v>
      </c>
      <c r="B45" s="205"/>
      <c r="C45" s="208"/>
      <c r="D45" s="172" t="s">
        <v>1145</v>
      </c>
      <c r="E45" s="37" t="s">
        <v>282</v>
      </c>
      <c r="F45" s="210" t="s">
        <v>281</v>
      </c>
    </row>
    <row r="46" spans="1:6" ht="33.75" customHeight="1" x14ac:dyDescent="0.25">
      <c r="A46" s="46">
        <v>44</v>
      </c>
      <c r="B46" s="205"/>
      <c r="C46" s="208"/>
      <c r="D46" s="172" t="s">
        <v>1146</v>
      </c>
      <c r="E46" s="37" t="s">
        <v>283</v>
      </c>
      <c r="F46" s="210"/>
    </row>
    <row r="47" spans="1:6" ht="33.75" customHeight="1" x14ac:dyDescent="0.25">
      <c r="A47" s="46">
        <v>45</v>
      </c>
      <c r="B47" s="205"/>
      <c r="C47" s="208"/>
      <c r="D47" s="172" t="s">
        <v>1147</v>
      </c>
      <c r="E47" s="37" t="s">
        <v>291</v>
      </c>
      <c r="F47" s="188" t="s">
        <v>288</v>
      </c>
    </row>
    <row r="48" spans="1:6" ht="30.75" customHeight="1" x14ac:dyDescent="0.25">
      <c r="A48" s="46">
        <v>46</v>
      </c>
      <c r="B48" s="205"/>
      <c r="C48" s="208"/>
      <c r="D48" s="172" t="s">
        <v>1148</v>
      </c>
      <c r="E48" s="37" t="s">
        <v>292</v>
      </c>
      <c r="F48" s="190"/>
    </row>
    <row r="49" spans="1:6" ht="34.5" customHeight="1" x14ac:dyDescent="0.25">
      <c r="A49" s="46">
        <v>47</v>
      </c>
      <c r="B49" s="205"/>
      <c r="C49" s="208"/>
      <c r="D49" s="172" t="s">
        <v>1149</v>
      </c>
      <c r="E49" s="37" t="s">
        <v>294</v>
      </c>
      <c r="F49" s="188" t="s">
        <v>293</v>
      </c>
    </row>
    <row r="50" spans="1:6" ht="48" customHeight="1" x14ac:dyDescent="0.25">
      <c r="A50" s="46">
        <v>48</v>
      </c>
      <c r="B50" s="205"/>
      <c r="C50" s="208"/>
      <c r="D50" s="172" t="s">
        <v>1150</v>
      </c>
      <c r="E50" s="37" t="s">
        <v>295</v>
      </c>
      <c r="F50" s="190"/>
    </row>
    <row r="51" spans="1:6" ht="51" customHeight="1" x14ac:dyDescent="0.25">
      <c r="A51" s="46">
        <v>49</v>
      </c>
      <c r="B51" s="205"/>
      <c r="C51" s="208"/>
      <c r="D51" s="172" t="s">
        <v>1151</v>
      </c>
      <c r="E51" s="37" t="s">
        <v>298</v>
      </c>
      <c r="F51" s="188" t="s">
        <v>297</v>
      </c>
    </row>
    <row r="52" spans="1:6" ht="48" customHeight="1" x14ac:dyDescent="0.25">
      <c r="A52" s="46">
        <v>50</v>
      </c>
      <c r="B52" s="206"/>
      <c r="C52" s="209"/>
      <c r="D52" s="172" t="s">
        <v>1152</v>
      </c>
      <c r="E52" s="37" t="s">
        <v>299</v>
      </c>
      <c r="F52" s="190"/>
    </row>
    <row r="53" spans="1:6" ht="48.75" customHeight="1" x14ac:dyDescent="0.25">
      <c r="A53" s="46">
        <v>51</v>
      </c>
      <c r="B53" s="212">
        <v>3</v>
      </c>
      <c r="C53" s="213" t="s">
        <v>362</v>
      </c>
      <c r="D53" s="46" t="s">
        <v>190</v>
      </c>
      <c r="E53" s="37" t="s">
        <v>178</v>
      </c>
      <c r="F53" s="188" t="s">
        <v>174</v>
      </c>
    </row>
    <row r="54" spans="1:6" ht="51.75" customHeight="1" x14ac:dyDescent="0.25">
      <c r="A54" s="46">
        <v>52</v>
      </c>
      <c r="B54" s="212"/>
      <c r="C54" s="213"/>
      <c r="D54" s="46" t="s">
        <v>191</v>
      </c>
      <c r="E54" s="37" t="s">
        <v>177</v>
      </c>
      <c r="F54" s="190"/>
    </row>
    <row r="55" spans="1:6" ht="34.5" customHeight="1" x14ac:dyDescent="0.25">
      <c r="A55" s="46">
        <v>53</v>
      </c>
      <c r="B55" s="204">
        <v>4</v>
      </c>
      <c r="C55" s="207" t="s">
        <v>363</v>
      </c>
      <c r="D55" s="46" t="s">
        <v>192</v>
      </c>
      <c r="E55" s="37" t="s">
        <v>203</v>
      </c>
      <c r="F55" s="210" t="s">
        <v>202</v>
      </c>
    </row>
    <row r="56" spans="1:6" ht="32.25" customHeight="1" x14ac:dyDescent="0.25">
      <c r="A56" s="46">
        <v>54</v>
      </c>
      <c r="B56" s="205"/>
      <c r="C56" s="208"/>
      <c r="D56" s="46" t="s">
        <v>193</v>
      </c>
      <c r="E56" s="37" t="s">
        <v>204</v>
      </c>
      <c r="F56" s="210"/>
    </row>
    <row r="57" spans="1:6" ht="65.25" customHeight="1" x14ac:dyDescent="0.25">
      <c r="A57" s="46">
        <v>55</v>
      </c>
      <c r="B57" s="205"/>
      <c r="C57" s="208"/>
      <c r="D57" s="46" t="s">
        <v>219</v>
      </c>
      <c r="E57" s="37" t="s">
        <v>206</v>
      </c>
      <c r="F57" s="210" t="s">
        <v>205</v>
      </c>
    </row>
    <row r="58" spans="1:6" ht="61.5" customHeight="1" x14ac:dyDescent="0.25">
      <c r="A58" s="46">
        <v>56</v>
      </c>
      <c r="B58" s="205"/>
      <c r="C58" s="208"/>
      <c r="D58" s="46" t="s">
        <v>220</v>
      </c>
      <c r="E58" s="37" t="s">
        <v>207</v>
      </c>
      <c r="F58" s="210"/>
    </row>
    <row r="59" spans="1:6" ht="62.25" customHeight="1" x14ac:dyDescent="0.25">
      <c r="A59" s="46">
        <v>57</v>
      </c>
      <c r="B59" s="205"/>
      <c r="C59" s="208"/>
      <c r="D59" s="46" t="s">
        <v>221</v>
      </c>
      <c r="E59" s="37" t="s">
        <v>244</v>
      </c>
      <c r="F59" s="210" t="s">
        <v>243</v>
      </c>
    </row>
    <row r="60" spans="1:6" ht="62.25" customHeight="1" x14ac:dyDescent="0.25">
      <c r="A60" s="46">
        <v>58</v>
      </c>
      <c r="B60" s="205"/>
      <c r="C60" s="208"/>
      <c r="D60" s="46" t="s">
        <v>222</v>
      </c>
      <c r="E60" s="37" t="s">
        <v>245</v>
      </c>
      <c r="F60" s="210"/>
    </row>
    <row r="61" spans="1:6" ht="63.75" customHeight="1" x14ac:dyDescent="0.25">
      <c r="A61" s="46">
        <v>59</v>
      </c>
      <c r="B61" s="205"/>
      <c r="C61" s="208"/>
      <c r="D61" s="46" t="s">
        <v>223</v>
      </c>
      <c r="E61" s="37" t="s">
        <v>250</v>
      </c>
      <c r="F61" s="210" t="s">
        <v>249</v>
      </c>
    </row>
    <row r="62" spans="1:6" ht="64.5" customHeight="1" x14ac:dyDescent="0.25">
      <c r="A62" s="46">
        <v>60</v>
      </c>
      <c r="B62" s="205"/>
      <c r="C62" s="208"/>
      <c r="D62" s="46" t="s">
        <v>224</v>
      </c>
      <c r="E62" s="37" t="s">
        <v>251</v>
      </c>
      <c r="F62" s="210"/>
    </row>
    <row r="63" spans="1:6" ht="66" customHeight="1" x14ac:dyDescent="0.25">
      <c r="A63" s="46">
        <v>61</v>
      </c>
      <c r="B63" s="205"/>
      <c r="C63" s="208"/>
      <c r="D63" s="46" t="s">
        <v>225</v>
      </c>
      <c r="E63" s="37" t="s">
        <v>253</v>
      </c>
      <c r="F63" s="194" t="s">
        <v>252</v>
      </c>
    </row>
    <row r="64" spans="1:6" ht="58.5" customHeight="1" x14ac:dyDescent="0.25">
      <c r="A64" s="46">
        <v>62</v>
      </c>
      <c r="B64" s="205"/>
      <c r="C64" s="208"/>
      <c r="D64" s="172" t="s">
        <v>1153</v>
      </c>
      <c r="E64" s="37" t="s">
        <v>254</v>
      </c>
      <c r="F64" s="195"/>
    </row>
    <row r="65" spans="1:6" ht="47.25" customHeight="1" x14ac:dyDescent="0.25">
      <c r="A65" s="46">
        <v>63</v>
      </c>
      <c r="B65" s="205"/>
      <c r="C65" s="208"/>
      <c r="D65" s="172" t="s">
        <v>1154</v>
      </c>
      <c r="E65" s="37" t="s">
        <v>259</v>
      </c>
      <c r="F65" s="210" t="s">
        <v>258</v>
      </c>
    </row>
    <row r="66" spans="1:6" ht="60" customHeight="1" x14ac:dyDescent="0.25">
      <c r="A66" s="46">
        <v>64</v>
      </c>
      <c r="B66" s="205"/>
      <c r="C66" s="208"/>
      <c r="D66" s="172" t="s">
        <v>1155</v>
      </c>
      <c r="E66" s="37" t="s">
        <v>260</v>
      </c>
      <c r="F66" s="210"/>
    </row>
    <row r="67" spans="1:6" ht="62.25" customHeight="1" x14ac:dyDescent="0.25">
      <c r="A67" s="46">
        <v>65</v>
      </c>
      <c r="B67" s="205"/>
      <c r="C67" s="208"/>
      <c r="D67" s="172" t="s">
        <v>1156</v>
      </c>
      <c r="E67" s="37" t="s">
        <v>268</v>
      </c>
      <c r="F67" s="210" t="s">
        <v>267</v>
      </c>
    </row>
    <row r="68" spans="1:6" ht="64.5" customHeight="1" x14ac:dyDescent="0.25">
      <c r="A68" s="46">
        <v>66</v>
      </c>
      <c r="B68" s="205"/>
      <c r="C68" s="208"/>
      <c r="D68" s="172" t="s">
        <v>1157</v>
      </c>
      <c r="E68" s="37" t="s">
        <v>269</v>
      </c>
      <c r="F68" s="210"/>
    </row>
    <row r="69" spans="1:6" ht="51" customHeight="1" x14ac:dyDescent="0.25">
      <c r="A69" s="46">
        <v>67</v>
      </c>
      <c r="B69" s="205"/>
      <c r="C69" s="208"/>
      <c r="D69" s="172" t="s">
        <v>1158</v>
      </c>
      <c r="E69" s="37" t="s">
        <v>276</v>
      </c>
      <c r="F69" s="210" t="s">
        <v>275</v>
      </c>
    </row>
    <row r="70" spans="1:6" ht="48" customHeight="1" x14ac:dyDescent="0.25">
      <c r="A70" s="46">
        <v>68</v>
      </c>
      <c r="B70" s="205"/>
      <c r="C70" s="208"/>
      <c r="D70" s="172" t="s">
        <v>1159</v>
      </c>
      <c r="E70" s="37" t="s">
        <v>277</v>
      </c>
      <c r="F70" s="210"/>
    </row>
    <row r="71" spans="1:6" ht="48.75" customHeight="1" x14ac:dyDescent="0.25">
      <c r="A71" s="46">
        <v>69</v>
      </c>
      <c r="B71" s="205"/>
      <c r="C71" s="208"/>
      <c r="D71" s="172" t="s">
        <v>1160</v>
      </c>
      <c r="E71" s="43" t="s">
        <v>279</v>
      </c>
      <c r="F71" s="210" t="s">
        <v>278</v>
      </c>
    </row>
    <row r="72" spans="1:6" ht="61.5" customHeight="1" x14ac:dyDescent="0.25">
      <c r="A72" s="46">
        <v>70</v>
      </c>
      <c r="B72" s="205"/>
      <c r="C72" s="208"/>
      <c r="D72" s="172" t="s">
        <v>1161</v>
      </c>
      <c r="E72" s="37" t="s">
        <v>280</v>
      </c>
      <c r="F72" s="210"/>
    </row>
    <row r="73" spans="1:6" ht="45" customHeight="1" x14ac:dyDescent="0.25">
      <c r="A73" s="46">
        <v>71</v>
      </c>
      <c r="B73" s="205"/>
      <c r="C73" s="208"/>
      <c r="D73" s="172" t="s">
        <v>1162</v>
      </c>
      <c r="E73" s="37" t="s">
        <v>289</v>
      </c>
      <c r="F73" s="210" t="s">
        <v>287</v>
      </c>
    </row>
    <row r="74" spans="1:6" ht="48.75" customHeight="1" x14ac:dyDescent="0.25">
      <c r="A74" s="46">
        <v>72</v>
      </c>
      <c r="B74" s="205"/>
      <c r="C74" s="208"/>
      <c r="D74" s="172" t="s">
        <v>1163</v>
      </c>
      <c r="E74" s="37" t="s">
        <v>290</v>
      </c>
      <c r="F74" s="210"/>
    </row>
    <row r="75" spans="1:6" ht="48.75" customHeight="1" x14ac:dyDescent="0.25">
      <c r="A75" s="46">
        <v>73</v>
      </c>
      <c r="B75" s="205"/>
      <c r="C75" s="208"/>
      <c r="D75" s="172" t="s">
        <v>1164</v>
      </c>
      <c r="E75" s="37" t="s">
        <v>304</v>
      </c>
      <c r="F75" s="210" t="s">
        <v>303</v>
      </c>
    </row>
    <row r="76" spans="1:6" ht="48.75" customHeight="1" x14ac:dyDescent="0.25">
      <c r="A76" s="46">
        <v>74</v>
      </c>
      <c r="B76" s="205"/>
      <c r="C76" s="208"/>
      <c r="D76" s="172" t="s">
        <v>1165</v>
      </c>
      <c r="E76" s="37" t="s">
        <v>305</v>
      </c>
      <c r="F76" s="210"/>
    </row>
    <row r="77" spans="1:6" ht="36" customHeight="1" x14ac:dyDescent="0.25">
      <c r="A77" s="78">
        <v>75</v>
      </c>
      <c r="B77" s="205"/>
      <c r="C77" s="208"/>
      <c r="D77" s="172" t="s">
        <v>1166</v>
      </c>
      <c r="E77" s="43" t="s">
        <v>324</v>
      </c>
      <c r="F77" s="210" t="s">
        <v>311</v>
      </c>
    </row>
    <row r="78" spans="1:6" ht="51" customHeight="1" x14ac:dyDescent="0.25">
      <c r="A78" s="78">
        <v>76</v>
      </c>
      <c r="B78" s="205"/>
      <c r="C78" s="208"/>
      <c r="D78" s="172" t="s">
        <v>1167</v>
      </c>
      <c r="E78" s="37" t="s">
        <v>429</v>
      </c>
      <c r="F78" s="210"/>
    </row>
    <row r="79" spans="1:6" ht="50.25" customHeight="1" x14ac:dyDescent="0.25">
      <c r="A79" s="78">
        <v>77</v>
      </c>
      <c r="B79" s="205"/>
      <c r="C79" s="208"/>
      <c r="D79" s="172" t="s">
        <v>1168</v>
      </c>
      <c r="E79" s="37" t="s">
        <v>331</v>
      </c>
      <c r="F79" s="210" t="s">
        <v>330</v>
      </c>
    </row>
    <row r="80" spans="1:6" ht="50.25" customHeight="1" x14ac:dyDescent="0.25">
      <c r="A80" s="78">
        <v>78</v>
      </c>
      <c r="B80" s="205"/>
      <c r="C80" s="208"/>
      <c r="D80" s="172" t="s">
        <v>1169</v>
      </c>
      <c r="E80" s="37" t="s">
        <v>332</v>
      </c>
      <c r="F80" s="210"/>
    </row>
    <row r="81" spans="1:6" ht="50.25" customHeight="1" x14ac:dyDescent="0.25">
      <c r="A81" s="78">
        <v>79</v>
      </c>
      <c r="B81" s="205"/>
      <c r="C81" s="208"/>
      <c r="D81" s="172" t="s">
        <v>1170</v>
      </c>
      <c r="E81" s="37" t="s">
        <v>342</v>
      </c>
      <c r="F81" s="188" t="s">
        <v>889</v>
      </c>
    </row>
    <row r="82" spans="1:6" ht="60" customHeight="1" x14ac:dyDescent="0.25">
      <c r="A82" s="78">
        <v>80</v>
      </c>
      <c r="B82" s="205"/>
      <c r="C82" s="208"/>
      <c r="D82" s="172" t="s">
        <v>1171</v>
      </c>
      <c r="E82" s="37" t="s">
        <v>343</v>
      </c>
      <c r="F82" s="190"/>
    </row>
    <row r="83" spans="1:6" ht="48.75" customHeight="1" x14ac:dyDescent="0.25">
      <c r="A83" s="78">
        <v>81</v>
      </c>
      <c r="B83" s="205"/>
      <c r="C83" s="208"/>
      <c r="D83" s="172" t="s">
        <v>1172</v>
      </c>
      <c r="E83" s="37" t="s">
        <v>444</v>
      </c>
      <c r="F83" s="188" t="s">
        <v>411</v>
      </c>
    </row>
    <row r="84" spans="1:6" ht="51.75" customHeight="1" x14ac:dyDescent="0.25">
      <c r="A84" s="78">
        <v>82</v>
      </c>
      <c r="B84" s="205"/>
      <c r="C84" s="208"/>
      <c r="D84" s="172" t="s">
        <v>1173</v>
      </c>
      <c r="E84" s="37" t="s">
        <v>354</v>
      </c>
      <c r="F84" s="190"/>
    </row>
    <row r="85" spans="1:6" ht="51.75" customHeight="1" x14ac:dyDescent="0.25">
      <c r="A85" s="168"/>
      <c r="B85" s="205"/>
      <c r="C85" s="208"/>
      <c r="D85" s="172" t="s">
        <v>1174</v>
      </c>
      <c r="E85" s="37" t="s">
        <v>353</v>
      </c>
      <c r="F85" s="166" t="s">
        <v>346</v>
      </c>
    </row>
    <row r="86" spans="1:6" ht="60" customHeight="1" x14ac:dyDescent="0.25">
      <c r="A86" s="168"/>
      <c r="B86" s="205"/>
      <c r="C86" s="208"/>
      <c r="D86" s="172" t="s">
        <v>1175</v>
      </c>
      <c r="E86" s="37" t="s">
        <v>1110</v>
      </c>
      <c r="F86" s="188" t="s">
        <v>352</v>
      </c>
    </row>
    <row r="87" spans="1:6" ht="77.25" customHeight="1" x14ac:dyDescent="0.25">
      <c r="A87" s="78">
        <v>83</v>
      </c>
      <c r="B87" s="205"/>
      <c r="C87" s="208"/>
      <c r="D87" s="172" t="s">
        <v>1176</v>
      </c>
      <c r="E87" s="37" t="s">
        <v>1111</v>
      </c>
      <c r="F87" s="190"/>
    </row>
    <row r="88" spans="1:6" ht="45" customHeight="1" x14ac:dyDescent="0.25">
      <c r="A88" s="78">
        <v>84</v>
      </c>
      <c r="B88" s="204">
        <v>5</v>
      </c>
      <c r="C88" s="207" t="s">
        <v>364</v>
      </c>
      <c r="D88" s="46" t="s">
        <v>226</v>
      </c>
      <c r="E88" s="37" t="s">
        <v>503</v>
      </c>
      <c r="F88" s="188" t="s">
        <v>157</v>
      </c>
    </row>
    <row r="89" spans="1:6" ht="48" customHeight="1" x14ac:dyDescent="0.25">
      <c r="A89" s="78">
        <v>85</v>
      </c>
      <c r="B89" s="205"/>
      <c r="C89" s="208"/>
      <c r="D89" s="46" t="s">
        <v>227</v>
      </c>
      <c r="E89" s="37" t="s">
        <v>504</v>
      </c>
      <c r="F89" s="190"/>
    </row>
    <row r="90" spans="1:6" ht="46.5" customHeight="1" x14ac:dyDescent="0.25">
      <c r="A90" s="78">
        <v>86</v>
      </c>
      <c r="B90" s="205"/>
      <c r="C90" s="208"/>
      <c r="D90" s="80" t="s">
        <v>228</v>
      </c>
      <c r="E90" s="37" t="s">
        <v>200</v>
      </c>
      <c r="F90" s="188" t="s">
        <v>199</v>
      </c>
    </row>
    <row r="91" spans="1:6" ht="46.5" customHeight="1" x14ac:dyDescent="0.25">
      <c r="A91" s="78">
        <v>87</v>
      </c>
      <c r="B91" s="205"/>
      <c r="C91" s="208"/>
      <c r="D91" s="80" t="s">
        <v>229</v>
      </c>
      <c r="E91" s="37" t="s">
        <v>201</v>
      </c>
      <c r="F91" s="190"/>
    </row>
    <row r="92" spans="1:6" ht="91.5" customHeight="1" x14ac:dyDescent="0.25">
      <c r="A92" s="78">
        <v>88</v>
      </c>
      <c r="B92" s="205"/>
      <c r="C92" s="208"/>
      <c r="D92" s="80" t="s">
        <v>230</v>
      </c>
      <c r="E92" s="37" t="s">
        <v>209</v>
      </c>
      <c r="F92" s="188" t="s">
        <v>208</v>
      </c>
    </row>
    <row r="93" spans="1:6" ht="60.75" customHeight="1" x14ac:dyDescent="0.25">
      <c r="A93" s="78">
        <v>89</v>
      </c>
      <c r="B93" s="205"/>
      <c r="C93" s="208"/>
      <c r="D93" s="80" t="s">
        <v>231</v>
      </c>
      <c r="E93" s="37" t="s">
        <v>210</v>
      </c>
      <c r="F93" s="190"/>
    </row>
    <row r="94" spans="1:6" ht="46.5" customHeight="1" x14ac:dyDescent="0.25">
      <c r="A94" s="78">
        <v>90</v>
      </c>
      <c r="B94" s="205"/>
      <c r="C94" s="208"/>
      <c r="D94" s="80" t="s">
        <v>232</v>
      </c>
      <c r="E94" s="37" t="s">
        <v>274</v>
      </c>
      <c r="F94" s="188" t="s">
        <v>273</v>
      </c>
    </row>
    <row r="95" spans="1:6" ht="48" customHeight="1" x14ac:dyDescent="0.25">
      <c r="A95" s="78">
        <v>91</v>
      </c>
      <c r="B95" s="205"/>
      <c r="C95" s="208"/>
      <c r="D95" s="80" t="s">
        <v>233</v>
      </c>
      <c r="E95" s="37" t="s">
        <v>735</v>
      </c>
      <c r="F95" s="190"/>
    </row>
    <row r="96" spans="1:6" ht="48.75" customHeight="1" x14ac:dyDescent="0.25">
      <c r="A96" s="78">
        <v>92</v>
      </c>
      <c r="B96" s="205"/>
      <c r="C96" s="208"/>
      <c r="D96" s="80" t="s">
        <v>234</v>
      </c>
      <c r="E96" s="37" t="s">
        <v>285</v>
      </c>
      <c r="F96" s="188" t="s">
        <v>284</v>
      </c>
    </row>
    <row r="97" spans="1:6" ht="45" customHeight="1" x14ac:dyDescent="0.25">
      <c r="A97" s="78">
        <v>93</v>
      </c>
      <c r="B97" s="205"/>
      <c r="C97" s="208"/>
      <c r="D97" s="172" t="s">
        <v>1177</v>
      </c>
      <c r="E97" s="37" t="s">
        <v>286</v>
      </c>
      <c r="F97" s="190"/>
    </row>
    <row r="98" spans="1:6" ht="49.5" customHeight="1" x14ac:dyDescent="0.25">
      <c r="A98" s="78">
        <v>94</v>
      </c>
      <c r="B98" s="205"/>
      <c r="C98" s="208"/>
      <c r="D98" s="172" t="s">
        <v>1178</v>
      </c>
      <c r="E98" s="37" t="s">
        <v>796</v>
      </c>
      <c r="F98" s="188" t="s">
        <v>296</v>
      </c>
    </row>
    <row r="99" spans="1:6" ht="48" customHeight="1" x14ac:dyDescent="0.25">
      <c r="A99" s="78">
        <v>95</v>
      </c>
      <c r="B99" s="205"/>
      <c r="C99" s="208"/>
      <c r="D99" s="172" t="s">
        <v>1179</v>
      </c>
      <c r="E99" s="37" t="s">
        <v>797</v>
      </c>
      <c r="F99" s="190"/>
    </row>
    <row r="100" spans="1:6" ht="30.75" customHeight="1" x14ac:dyDescent="0.25">
      <c r="A100" s="78">
        <v>96</v>
      </c>
      <c r="B100" s="205"/>
      <c r="C100" s="208"/>
      <c r="D100" s="172" t="s">
        <v>1180</v>
      </c>
      <c r="E100" s="37" t="s">
        <v>300</v>
      </c>
      <c r="F100" s="210" t="s">
        <v>302</v>
      </c>
    </row>
    <row r="101" spans="1:6" ht="49.5" customHeight="1" x14ac:dyDescent="0.25">
      <c r="A101" s="78">
        <v>97</v>
      </c>
      <c r="B101" s="205"/>
      <c r="C101" s="208"/>
      <c r="D101" s="172" t="s">
        <v>1181</v>
      </c>
      <c r="E101" s="37" t="s">
        <v>301</v>
      </c>
      <c r="F101" s="210"/>
    </row>
    <row r="102" spans="1:6" ht="30" customHeight="1" x14ac:dyDescent="0.25">
      <c r="A102" s="78">
        <v>98</v>
      </c>
      <c r="B102" s="205"/>
      <c r="C102" s="208"/>
      <c r="D102" s="172" t="s">
        <v>1182</v>
      </c>
      <c r="E102" s="77" t="s">
        <v>307</v>
      </c>
      <c r="F102" s="76" t="s">
        <v>306</v>
      </c>
    </row>
    <row r="103" spans="1:6" ht="62.25" customHeight="1" x14ac:dyDescent="0.25">
      <c r="A103" s="78">
        <v>99</v>
      </c>
      <c r="B103" s="205"/>
      <c r="C103" s="208"/>
      <c r="D103" s="172" t="s">
        <v>1183</v>
      </c>
      <c r="E103" s="37" t="s">
        <v>335</v>
      </c>
      <c r="F103" s="210" t="s">
        <v>333</v>
      </c>
    </row>
    <row r="104" spans="1:6" ht="63" customHeight="1" x14ac:dyDescent="0.25">
      <c r="A104" s="78">
        <v>100</v>
      </c>
      <c r="B104" s="206"/>
      <c r="C104" s="209"/>
      <c r="D104" s="172" t="s">
        <v>1184</v>
      </c>
      <c r="E104" s="37" t="s">
        <v>336</v>
      </c>
      <c r="F104" s="210"/>
    </row>
    <row r="105" spans="1:6" ht="48.75" customHeight="1" x14ac:dyDescent="0.25">
      <c r="A105" s="78">
        <v>101</v>
      </c>
      <c r="B105" s="204">
        <v>6</v>
      </c>
      <c r="C105" s="214" t="s">
        <v>365</v>
      </c>
      <c r="D105" s="46" t="s">
        <v>235</v>
      </c>
      <c r="E105" s="37" t="s">
        <v>830</v>
      </c>
      <c r="F105" s="76" t="s">
        <v>306</v>
      </c>
    </row>
    <row r="106" spans="1:6" ht="48.75" customHeight="1" x14ac:dyDescent="0.25">
      <c r="A106" s="78">
        <v>102</v>
      </c>
      <c r="B106" s="205"/>
      <c r="C106" s="215"/>
      <c r="D106" s="76" t="s">
        <v>236</v>
      </c>
      <c r="E106" s="37" t="s">
        <v>340</v>
      </c>
      <c r="F106" s="188" t="s">
        <v>337</v>
      </c>
    </row>
    <row r="107" spans="1:6" ht="46.5" customHeight="1" x14ac:dyDescent="0.25">
      <c r="A107" s="78">
        <v>103</v>
      </c>
      <c r="B107" s="205"/>
      <c r="C107" s="215"/>
      <c r="D107" s="76" t="s">
        <v>237</v>
      </c>
      <c r="E107" s="37" t="s">
        <v>341</v>
      </c>
      <c r="F107" s="190"/>
    </row>
    <row r="108" spans="1:6" ht="64.5" customHeight="1" x14ac:dyDescent="0.25">
      <c r="A108" s="78">
        <v>104</v>
      </c>
      <c r="B108" s="206"/>
      <c r="C108" s="216"/>
      <c r="D108" s="76" t="s">
        <v>238</v>
      </c>
      <c r="E108" s="34" t="s">
        <v>469</v>
      </c>
      <c r="F108" s="46" t="s">
        <v>411</v>
      </c>
    </row>
    <row r="109" spans="1:6" ht="47.25" customHeight="1" x14ac:dyDescent="0.25">
      <c r="A109" s="78">
        <v>105</v>
      </c>
      <c r="B109" s="204">
        <v>7</v>
      </c>
      <c r="C109" s="207" t="s">
        <v>366</v>
      </c>
      <c r="D109" s="46" t="s">
        <v>239</v>
      </c>
      <c r="E109" s="37" t="s">
        <v>354</v>
      </c>
      <c r="F109" s="188" t="s">
        <v>346</v>
      </c>
    </row>
    <row r="110" spans="1:6" ht="62.25" customHeight="1" x14ac:dyDescent="0.25">
      <c r="A110" s="85">
        <v>106</v>
      </c>
      <c r="B110" s="206"/>
      <c r="C110" s="209"/>
      <c r="D110" s="46" t="s">
        <v>240</v>
      </c>
      <c r="E110" s="37" t="s">
        <v>468</v>
      </c>
      <c r="F110" s="190"/>
    </row>
    <row r="111" spans="1:6" ht="45.75" customHeight="1" x14ac:dyDescent="0.25">
      <c r="A111" s="85">
        <v>107</v>
      </c>
      <c r="B111" s="44">
        <v>8</v>
      </c>
      <c r="C111" s="45" t="s">
        <v>367</v>
      </c>
      <c r="D111" s="46" t="s">
        <v>241</v>
      </c>
      <c r="E111" s="37" t="s">
        <v>467</v>
      </c>
      <c r="F111" s="46" t="s">
        <v>346</v>
      </c>
    </row>
    <row r="112" spans="1:6" ht="45.75" customHeight="1" x14ac:dyDescent="0.25">
      <c r="A112" s="85">
        <v>108</v>
      </c>
      <c r="B112" s="204">
        <v>9</v>
      </c>
      <c r="C112" s="207" t="s">
        <v>368</v>
      </c>
      <c r="D112" s="54" t="s">
        <v>242</v>
      </c>
      <c r="E112" s="37" t="s">
        <v>328</v>
      </c>
      <c r="F112" s="188" t="s">
        <v>326</v>
      </c>
    </row>
    <row r="113" spans="1:6" ht="34.5" customHeight="1" x14ac:dyDescent="0.25">
      <c r="A113" s="85">
        <v>109</v>
      </c>
      <c r="B113" s="205"/>
      <c r="C113" s="208"/>
      <c r="D113" s="54" t="s">
        <v>312</v>
      </c>
      <c r="E113" s="37" t="s">
        <v>329</v>
      </c>
      <c r="F113" s="190"/>
    </row>
    <row r="114" spans="1:6" ht="58.5" customHeight="1" x14ac:dyDescent="0.25">
      <c r="A114" s="85">
        <v>110</v>
      </c>
      <c r="B114" s="205"/>
      <c r="C114" s="208"/>
      <c r="D114" s="54" t="s">
        <v>313</v>
      </c>
      <c r="E114" s="42" t="s">
        <v>351</v>
      </c>
      <c r="F114" s="85" t="s">
        <v>411</v>
      </c>
    </row>
    <row r="115" spans="1:6" ht="34.5" customHeight="1" x14ac:dyDescent="0.25">
      <c r="A115" s="85">
        <v>111</v>
      </c>
      <c r="B115" s="205"/>
      <c r="C115" s="208"/>
      <c r="D115" s="54" t="s">
        <v>314</v>
      </c>
      <c r="E115" s="37" t="s">
        <v>492</v>
      </c>
      <c r="F115" s="188" t="s">
        <v>445</v>
      </c>
    </row>
    <row r="116" spans="1:6" ht="46.5" customHeight="1" x14ac:dyDescent="0.25">
      <c r="A116" s="85">
        <v>112</v>
      </c>
      <c r="B116" s="205"/>
      <c r="C116" s="208"/>
      <c r="D116" s="54" t="s">
        <v>476</v>
      </c>
      <c r="E116" s="35" t="s">
        <v>470</v>
      </c>
      <c r="F116" s="190"/>
    </row>
    <row r="117" spans="1:6" ht="46.5" customHeight="1" x14ac:dyDescent="0.25">
      <c r="A117" s="85">
        <v>113</v>
      </c>
      <c r="B117" s="205"/>
      <c r="C117" s="208"/>
      <c r="D117" s="54" t="s">
        <v>876</v>
      </c>
      <c r="E117" s="42" t="s">
        <v>471</v>
      </c>
      <c r="F117" s="188" t="s">
        <v>449</v>
      </c>
    </row>
    <row r="118" spans="1:6" ht="46.5" customHeight="1" x14ac:dyDescent="0.25">
      <c r="A118" s="85">
        <v>114</v>
      </c>
      <c r="B118" s="205"/>
      <c r="C118" s="208"/>
      <c r="D118" s="54" t="s">
        <v>315</v>
      </c>
      <c r="E118" s="42" t="s">
        <v>472</v>
      </c>
      <c r="F118" s="190"/>
    </row>
    <row r="119" spans="1:6" ht="46.5" customHeight="1" x14ac:dyDescent="0.25">
      <c r="A119" s="85">
        <v>115</v>
      </c>
      <c r="B119" s="205"/>
      <c r="C119" s="208"/>
      <c r="D119" s="173" t="s">
        <v>1185</v>
      </c>
      <c r="E119" s="42" t="s">
        <v>473</v>
      </c>
      <c r="F119" s="89" t="s">
        <v>452</v>
      </c>
    </row>
    <row r="120" spans="1:6" ht="46.5" customHeight="1" x14ac:dyDescent="0.25">
      <c r="A120" s="85">
        <v>116</v>
      </c>
      <c r="B120" s="205"/>
      <c r="C120" s="208"/>
      <c r="D120" s="173" t="s">
        <v>1186</v>
      </c>
      <c r="E120" s="42" t="s">
        <v>474</v>
      </c>
      <c r="F120" s="91"/>
    </row>
    <row r="121" spans="1:6" ht="33" customHeight="1" x14ac:dyDescent="0.25">
      <c r="A121" s="85">
        <v>117</v>
      </c>
      <c r="B121" s="204">
        <v>10</v>
      </c>
      <c r="C121" s="207" t="s">
        <v>369</v>
      </c>
      <c r="D121" s="54" t="s">
        <v>317</v>
      </c>
      <c r="E121" s="37" t="s">
        <v>338</v>
      </c>
      <c r="F121" s="188" t="s">
        <v>334</v>
      </c>
    </row>
    <row r="122" spans="1:6" ht="33" customHeight="1" x14ac:dyDescent="0.25">
      <c r="A122" s="85">
        <v>118</v>
      </c>
      <c r="B122" s="205"/>
      <c r="C122" s="208"/>
      <c r="D122" s="54" t="s">
        <v>318</v>
      </c>
      <c r="E122" s="37" t="s">
        <v>339</v>
      </c>
      <c r="F122" s="190"/>
    </row>
    <row r="123" spans="1:6" ht="49.5" customHeight="1" x14ac:dyDescent="0.25">
      <c r="A123" s="85">
        <v>119</v>
      </c>
      <c r="B123" s="205"/>
      <c r="C123" s="208"/>
      <c r="D123" s="54" t="s">
        <v>319</v>
      </c>
      <c r="E123" s="37" t="s">
        <v>350</v>
      </c>
      <c r="F123" s="84" t="s">
        <v>411</v>
      </c>
    </row>
    <row r="124" spans="1:6" ht="33" customHeight="1" x14ac:dyDescent="0.25">
      <c r="A124" s="88">
        <v>122</v>
      </c>
      <c r="B124" s="205"/>
      <c r="C124" s="208"/>
      <c r="D124" s="54" t="s">
        <v>322</v>
      </c>
      <c r="E124" s="83" t="s">
        <v>477</v>
      </c>
      <c r="F124" s="188" t="s">
        <v>453</v>
      </c>
    </row>
    <row r="125" spans="1:6" ht="48" customHeight="1" x14ac:dyDescent="0.25">
      <c r="A125" s="88">
        <v>123</v>
      </c>
      <c r="B125" s="205"/>
      <c r="C125" s="208"/>
      <c r="D125" s="54" t="s">
        <v>323</v>
      </c>
      <c r="E125" s="43" t="s">
        <v>478</v>
      </c>
      <c r="F125" s="190"/>
    </row>
    <row r="126" spans="1:6" ht="49.5" customHeight="1" x14ac:dyDescent="0.25">
      <c r="A126" s="88">
        <v>128</v>
      </c>
      <c r="B126" s="204">
        <v>11</v>
      </c>
      <c r="C126" s="207" t="s">
        <v>370</v>
      </c>
      <c r="D126" s="172" t="s">
        <v>345</v>
      </c>
      <c r="E126" s="34" t="s">
        <v>309</v>
      </c>
      <c r="F126" s="188" t="s">
        <v>308</v>
      </c>
    </row>
    <row r="127" spans="1:6" ht="48.75" customHeight="1" x14ac:dyDescent="0.25">
      <c r="A127" s="88">
        <v>129</v>
      </c>
      <c r="B127" s="206"/>
      <c r="C127" s="209"/>
      <c r="D127" s="172" t="s">
        <v>1187</v>
      </c>
      <c r="E127" s="34" t="s">
        <v>310</v>
      </c>
      <c r="F127" s="190"/>
    </row>
    <row r="128" spans="1:6" ht="32.25" customHeight="1" x14ac:dyDescent="0.25">
      <c r="A128" s="88">
        <v>130</v>
      </c>
      <c r="B128" s="204">
        <v>12</v>
      </c>
      <c r="C128" s="207" t="s">
        <v>371</v>
      </c>
      <c r="D128" s="172" t="s">
        <v>379</v>
      </c>
      <c r="E128" s="34" t="s">
        <v>479</v>
      </c>
      <c r="F128" s="188" t="s">
        <v>456</v>
      </c>
    </row>
    <row r="129" spans="1:6" ht="45" customHeight="1" x14ac:dyDescent="0.25">
      <c r="A129" s="88">
        <v>131</v>
      </c>
      <c r="B129" s="205"/>
      <c r="C129" s="208"/>
      <c r="D129" s="172" t="s">
        <v>380</v>
      </c>
      <c r="E129" s="34" t="s">
        <v>480</v>
      </c>
      <c r="F129" s="190"/>
    </row>
    <row r="130" spans="1:6" ht="45" customHeight="1" x14ac:dyDescent="0.25">
      <c r="A130" s="88">
        <v>132</v>
      </c>
      <c r="B130" s="205"/>
      <c r="C130" s="208"/>
      <c r="D130" s="172" t="s">
        <v>381</v>
      </c>
      <c r="E130" s="34" t="s">
        <v>481</v>
      </c>
      <c r="F130" s="188" t="s">
        <v>457</v>
      </c>
    </row>
    <row r="131" spans="1:6" ht="45" customHeight="1" x14ac:dyDescent="0.25">
      <c r="A131" s="88">
        <v>133</v>
      </c>
      <c r="B131" s="206"/>
      <c r="C131" s="209"/>
      <c r="D131" s="172" t="s">
        <v>382</v>
      </c>
      <c r="E131" s="34" t="s">
        <v>482</v>
      </c>
      <c r="F131" s="190"/>
    </row>
  </sheetData>
  <autoFilter ref="A2:H131"/>
  <mergeCells count="82">
    <mergeCell ref="B109:B110"/>
    <mergeCell ref="C109:C110"/>
    <mergeCell ref="F83:F84"/>
    <mergeCell ref="B105:B108"/>
    <mergeCell ref="C105:C108"/>
    <mergeCell ref="F100:F101"/>
    <mergeCell ref="F103:F104"/>
    <mergeCell ref="B88:B104"/>
    <mergeCell ref="C88:C104"/>
    <mergeCell ref="F98:F99"/>
    <mergeCell ref="F88:F89"/>
    <mergeCell ref="F90:F91"/>
    <mergeCell ref="F92:F93"/>
    <mergeCell ref="B55:B87"/>
    <mergeCell ref="C55:C87"/>
    <mergeCell ref="F55:F56"/>
    <mergeCell ref="F57:F58"/>
    <mergeCell ref="F59:F60"/>
    <mergeCell ref="F71:F72"/>
    <mergeCell ref="F73:F74"/>
    <mergeCell ref="C27:C52"/>
    <mergeCell ref="F41:F42"/>
    <mergeCell ref="F35:F36"/>
    <mergeCell ref="F37:F38"/>
    <mergeCell ref="F39:F40"/>
    <mergeCell ref="F29:F30"/>
    <mergeCell ref="F31:F32"/>
    <mergeCell ref="F33:F34"/>
    <mergeCell ref="F61:F62"/>
    <mergeCell ref="F63:F64"/>
    <mergeCell ref="B53:B54"/>
    <mergeCell ref="C53:C54"/>
    <mergeCell ref="F53:F54"/>
    <mergeCell ref="F43:F44"/>
    <mergeCell ref="F45:F46"/>
    <mergeCell ref="F47:F48"/>
    <mergeCell ref="F49:F50"/>
    <mergeCell ref="F51:F52"/>
    <mergeCell ref="B3:B26"/>
    <mergeCell ref="C3:C26"/>
    <mergeCell ref="F25:F26"/>
    <mergeCell ref="F27:F28"/>
    <mergeCell ref="F13:F14"/>
    <mergeCell ref="F15:F16"/>
    <mergeCell ref="F17:F18"/>
    <mergeCell ref="F19:F20"/>
    <mergeCell ref="F21:F22"/>
    <mergeCell ref="F3:F4"/>
    <mergeCell ref="F5:F6"/>
    <mergeCell ref="F7:F8"/>
    <mergeCell ref="F9:F10"/>
    <mergeCell ref="F11:F12"/>
    <mergeCell ref="F23:F24"/>
    <mergeCell ref="B27:B52"/>
    <mergeCell ref="F109:F110"/>
    <mergeCell ref="F65:F66"/>
    <mergeCell ref="F67:F68"/>
    <mergeCell ref="F69:F70"/>
    <mergeCell ref="F75:F76"/>
    <mergeCell ref="F77:F78"/>
    <mergeCell ref="F79:F80"/>
    <mergeCell ref="F106:F107"/>
    <mergeCell ref="F94:F95"/>
    <mergeCell ref="F96:F97"/>
    <mergeCell ref="F81:F82"/>
    <mergeCell ref="F86:F87"/>
    <mergeCell ref="F117:F118"/>
    <mergeCell ref="B112:B120"/>
    <mergeCell ref="C112:C120"/>
    <mergeCell ref="F112:F113"/>
    <mergeCell ref="F115:F116"/>
    <mergeCell ref="B128:B131"/>
    <mergeCell ref="C128:C131"/>
    <mergeCell ref="F128:F129"/>
    <mergeCell ref="F130:F131"/>
    <mergeCell ref="B121:B125"/>
    <mergeCell ref="C121:C125"/>
    <mergeCell ref="B126:B127"/>
    <mergeCell ref="C126:C127"/>
    <mergeCell ref="F126:F127"/>
    <mergeCell ref="F124:F125"/>
    <mergeCell ref="F121:F122"/>
  </mergeCells>
  <pageMargins left="0.7" right="0.7" top="0.75" bottom="0.75" header="0.3" footer="0.3"/>
  <pageSetup orientation="portrait" horizontalDpi="360"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3"/>
  <sheetViews>
    <sheetView topLeftCell="A97" workbookViewId="0">
      <selection activeCell="E102" sqref="E102:E103"/>
    </sheetView>
  </sheetViews>
  <sheetFormatPr defaultRowHeight="15" x14ac:dyDescent="0.25"/>
  <cols>
    <col min="1" max="1" width="4.85546875" style="29" customWidth="1"/>
    <col min="2" max="2" width="8" style="29" customWidth="1"/>
    <col min="3" max="3" width="7" style="29" customWidth="1"/>
    <col min="4" max="4" width="11" style="31" customWidth="1"/>
    <col min="5" max="5" width="42" style="31" customWidth="1"/>
    <col min="6" max="6" width="15.5703125" style="31" customWidth="1"/>
    <col min="7" max="7" width="77.85546875" style="31" customWidth="1"/>
    <col min="8" max="16384" width="9.140625" style="31"/>
  </cols>
  <sheetData>
    <row r="1" spans="1:7" s="39" customFormat="1" ht="14.25" x14ac:dyDescent="0.2">
      <c r="A1" s="48" t="s">
        <v>2</v>
      </c>
      <c r="B1" s="48" t="s">
        <v>463</v>
      </c>
      <c r="C1" s="48" t="s">
        <v>358</v>
      </c>
      <c r="D1" s="48" t="s">
        <v>359</v>
      </c>
      <c r="E1" s="48" t="s">
        <v>356</v>
      </c>
      <c r="F1" s="48" t="s">
        <v>464</v>
      </c>
      <c r="G1" s="48" t="s">
        <v>465</v>
      </c>
    </row>
    <row r="2" spans="1:7" s="40" customFormat="1" ht="50.25" customHeight="1" x14ac:dyDescent="0.25">
      <c r="A2" s="204">
        <v>1</v>
      </c>
      <c r="B2" s="225" t="s">
        <v>154</v>
      </c>
      <c r="C2" s="204">
        <v>1</v>
      </c>
      <c r="D2" s="204" t="s">
        <v>376</v>
      </c>
      <c r="E2" s="217" t="s">
        <v>144</v>
      </c>
      <c r="F2" s="41" t="s">
        <v>483</v>
      </c>
      <c r="G2" s="37" t="s">
        <v>485</v>
      </c>
    </row>
    <row r="3" spans="1:7" ht="60" customHeight="1" x14ac:dyDescent="0.25">
      <c r="A3" s="205"/>
      <c r="B3" s="226"/>
      <c r="C3" s="205"/>
      <c r="D3" s="206"/>
      <c r="E3" s="218"/>
      <c r="F3" s="41" t="s">
        <v>484</v>
      </c>
      <c r="G3" s="43" t="s">
        <v>547</v>
      </c>
    </row>
    <row r="4" spans="1:7" ht="75" x14ac:dyDescent="0.25">
      <c r="A4" s="205"/>
      <c r="B4" s="226"/>
      <c r="C4" s="205"/>
      <c r="D4" s="204" t="s">
        <v>151</v>
      </c>
      <c r="E4" s="217" t="s">
        <v>145</v>
      </c>
      <c r="F4" s="41" t="s">
        <v>486</v>
      </c>
      <c r="G4" s="37" t="s">
        <v>548</v>
      </c>
    </row>
    <row r="5" spans="1:7" ht="60" x14ac:dyDescent="0.25">
      <c r="A5" s="206"/>
      <c r="B5" s="227"/>
      <c r="C5" s="206"/>
      <c r="D5" s="206"/>
      <c r="E5" s="218"/>
      <c r="F5" s="41" t="s">
        <v>487</v>
      </c>
      <c r="G5" s="34" t="s">
        <v>496</v>
      </c>
    </row>
    <row r="6" spans="1:7" ht="49.5" customHeight="1" x14ac:dyDescent="0.25">
      <c r="A6" s="204">
        <v>2</v>
      </c>
      <c r="B6" s="204" t="s">
        <v>155</v>
      </c>
      <c r="C6" s="204">
        <v>1</v>
      </c>
      <c r="D6" s="204" t="s">
        <v>161</v>
      </c>
      <c r="E6" s="217" t="s">
        <v>373</v>
      </c>
      <c r="F6" s="49" t="s">
        <v>488</v>
      </c>
      <c r="G6" s="37" t="s">
        <v>687</v>
      </c>
    </row>
    <row r="7" spans="1:7" ht="46.5" customHeight="1" x14ac:dyDescent="0.25">
      <c r="A7" s="205"/>
      <c r="B7" s="205"/>
      <c r="C7" s="205"/>
      <c r="D7" s="206"/>
      <c r="E7" s="218"/>
      <c r="F7" s="49" t="s">
        <v>489</v>
      </c>
      <c r="G7" s="37" t="s">
        <v>686</v>
      </c>
    </row>
    <row r="8" spans="1:7" ht="49.5" customHeight="1" x14ac:dyDescent="0.25">
      <c r="A8" s="205"/>
      <c r="B8" s="205"/>
      <c r="C8" s="205"/>
      <c r="D8" s="204" t="s">
        <v>162</v>
      </c>
      <c r="E8" s="217" t="s">
        <v>374</v>
      </c>
      <c r="F8" s="51" t="s">
        <v>494</v>
      </c>
      <c r="G8" s="37" t="s">
        <v>685</v>
      </c>
    </row>
    <row r="9" spans="1:7" ht="33" customHeight="1" x14ac:dyDescent="0.25">
      <c r="A9" s="206"/>
      <c r="B9" s="206"/>
      <c r="C9" s="206"/>
      <c r="D9" s="206"/>
      <c r="E9" s="218"/>
      <c r="F9" s="51" t="s">
        <v>495</v>
      </c>
      <c r="G9" s="37" t="s">
        <v>497</v>
      </c>
    </row>
    <row r="10" spans="1:7" ht="59.25" customHeight="1" x14ac:dyDescent="0.25">
      <c r="A10" s="204">
        <v>3</v>
      </c>
      <c r="B10" s="204" t="s">
        <v>156</v>
      </c>
      <c r="C10" s="204">
        <v>2</v>
      </c>
      <c r="D10" s="204" t="s">
        <v>176</v>
      </c>
      <c r="E10" s="217" t="s">
        <v>491</v>
      </c>
      <c r="F10" s="47" t="s">
        <v>490</v>
      </c>
      <c r="G10" s="37" t="s">
        <v>549</v>
      </c>
    </row>
    <row r="11" spans="1:7" ht="45" x14ac:dyDescent="0.25">
      <c r="A11" s="205"/>
      <c r="B11" s="205"/>
      <c r="C11" s="205"/>
      <c r="D11" s="206"/>
      <c r="E11" s="218"/>
      <c r="F11" s="47" t="s">
        <v>493</v>
      </c>
      <c r="G11" s="37" t="s">
        <v>550</v>
      </c>
    </row>
    <row r="12" spans="1:7" ht="46.5" customHeight="1" x14ac:dyDescent="0.25">
      <c r="A12" s="205"/>
      <c r="B12" s="205"/>
      <c r="C12" s="205"/>
      <c r="D12" s="204" t="s">
        <v>182</v>
      </c>
      <c r="E12" s="217" t="s">
        <v>165</v>
      </c>
      <c r="F12" s="47" t="s">
        <v>500</v>
      </c>
      <c r="G12" s="37" t="s">
        <v>498</v>
      </c>
    </row>
    <row r="13" spans="1:7" ht="30" x14ac:dyDescent="0.25">
      <c r="A13" s="206"/>
      <c r="B13" s="206"/>
      <c r="C13" s="206"/>
      <c r="D13" s="206"/>
      <c r="E13" s="218"/>
      <c r="F13" s="47" t="s">
        <v>501</v>
      </c>
      <c r="G13" s="34" t="s">
        <v>499</v>
      </c>
    </row>
    <row r="14" spans="1:7" ht="30.75" customHeight="1" x14ac:dyDescent="0.25">
      <c r="A14" s="212">
        <v>4</v>
      </c>
      <c r="B14" s="212" t="s">
        <v>157</v>
      </c>
      <c r="C14" s="212">
        <v>5</v>
      </c>
      <c r="D14" s="47" t="s">
        <v>226</v>
      </c>
      <c r="E14" s="43" t="s">
        <v>503</v>
      </c>
      <c r="F14" s="47" t="s">
        <v>502</v>
      </c>
      <c r="G14" s="37" t="s">
        <v>505</v>
      </c>
    </row>
    <row r="15" spans="1:7" ht="46.5" customHeight="1" x14ac:dyDescent="0.25">
      <c r="A15" s="212"/>
      <c r="B15" s="212"/>
      <c r="C15" s="212"/>
      <c r="D15" s="46" t="s">
        <v>227</v>
      </c>
      <c r="E15" s="37" t="s">
        <v>504</v>
      </c>
      <c r="F15" s="46" t="s">
        <v>507</v>
      </c>
      <c r="G15" s="37" t="s">
        <v>506</v>
      </c>
    </row>
    <row r="16" spans="1:7" ht="34.5" customHeight="1" x14ac:dyDescent="0.25">
      <c r="A16" s="204">
        <v>5</v>
      </c>
      <c r="B16" s="204" t="s">
        <v>158</v>
      </c>
      <c r="C16" s="204">
        <v>2</v>
      </c>
      <c r="D16" s="204" t="s">
        <v>183</v>
      </c>
      <c r="E16" s="217" t="s">
        <v>149</v>
      </c>
      <c r="F16" s="50" t="s">
        <v>508</v>
      </c>
      <c r="G16" s="37" t="s">
        <v>509</v>
      </c>
    </row>
    <row r="17" spans="1:7" ht="30" x14ac:dyDescent="0.25">
      <c r="A17" s="205"/>
      <c r="B17" s="205"/>
      <c r="C17" s="205"/>
      <c r="D17" s="206"/>
      <c r="E17" s="218"/>
      <c r="F17" s="50" t="s">
        <v>511</v>
      </c>
      <c r="G17" s="37" t="s">
        <v>551</v>
      </c>
    </row>
    <row r="18" spans="1:7" ht="30.75" customHeight="1" x14ac:dyDescent="0.25">
      <c r="A18" s="205"/>
      <c r="B18" s="205"/>
      <c r="C18" s="205"/>
      <c r="D18" s="204" t="s">
        <v>184</v>
      </c>
      <c r="E18" s="217" t="s">
        <v>150</v>
      </c>
      <c r="F18" s="50" t="s">
        <v>510</v>
      </c>
      <c r="G18" s="43" t="s">
        <v>512</v>
      </c>
    </row>
    <row r="19" spans="1:7" ht="30" x14ac:dyDescent="0.25">
      <c r="A19" s="206"/>
      <c r="B19" s="206"/>
      <c r="C19" s="206"/>
      <c r="D19" s="206"/>
      <c r="E19" s="218"/>
      <c r="F19" s="50" t="s">
        <v>513</v>
      </c>
      <c r="G19" s="37" t="s">
        <v>514</v>
      </c>
    </row>
    <row r="20" spans="1:7" ht="36" customHeight="1" x14ac:dyDescent="0.25">
      <c r="A20" s="204">
        <v>6</v>
      </c>
      <c r="B20" s="204" t="s">
        <v>159</v>
      </c>
      <c r="C20" s="204">
        <v>2</v>
      </c>
      <c r="D20" s="204" t="s">
        <v>185</v>
      </c>
      <c r="E20" s="217" t="s">
        <v>152</v>
      </c>
      <c r="F20" s="50" t="s">
        <v>515</v>
      </c>
      <c r="G20" s="37" t="s">
        <v>517</v>
      </c>
    </row>
    <row r="21" spans="1:7" ht="30" x14ac:dyDescent="0.25">
      <c r="A21" s="205"/>
      <c r="B21" s="205"/>
      <c r="C21" s="205"/>
      <c r="D21" s="206"/>
      <c r="E21" s="218"/>
      <c r="F21" s="50" t="s">
        <v>518</v>
      </c>
      <c r="G21" s="37" t="s">
        <v>516</v>
      </c>
    </row>
    <row r="22" spans="1:7" ht="34.5" customHeight="1" x14ac:dyDescent="0.25">
      <c r="A22" s="205"/>
      <c r="B22" s="205"/>
      <c r="C22" s="205"/>
      <c r="D22" s="204" t="s">
        <v>186</v>
      </c>
      <c r="E22" s="217" t="s">
        <v>153</v>
      </c>
      <c r="F22" s="50" t="s">
        <v>519</v>
      </c>
      <c r="G22" s="37" t="s">
        <v>520</v>
      </c>
    </row>
    <row r="23" spans="1:7" ht="30" x14ac:dyDescent="0.25">
      <c r="A23" s="206"/>
      <c r="B23" s="206"/>
      <c r="C23" s="206"/>
      <c r="D23" s="206"/>
      <c r="E23" s="218"/>
      <c r="F23" s="50" t="s">
        <v>522</v>
      </c>
      <c r="G23" s="34" t="s">
        <v>521</v>
      </c>
    </row>
    <row r="24" spans="1:7" ht="45" x14ac:dyDescent="0.25">
      <c r="A24" s="204">
        <v>7</v>
      </c>
      <c r="B24" s="204" t="s">
        <v>160</v>
      </c>
      <c r="C24" s="204">
        <v>1</v>
      </c>
      <c r="D24" s="204" t="s">
        <v>167</v>
      </c>
      <c r="E24" s="217" t="s">
        <v>163</v>
      </c>
      <c r="F24" s="50" t="s">
        <v>523</v>
      </c>
      <c r="G24" s="34" t="s">
        <v>524</v>
      </c>
    </row>
    <row r="25" spans="1:7" ht="30" x14ac:dyDescent="0.25">
      <c r="A25" s="205"/>
      <c r="B25" s="205"/>
      <c r="C25" s="205"/>
      <c r="D25" s="206"/>
      <c r="E25" s="218"/>
      <c r="F25" s="50" t="s">
        <v>525</v>
      </c>
      <c r="G25" s="34" t="s">
        <v>526</v>
      </c>
    </row>
    <row r="26" spans="1:7" ht="33.75" customHeight="1" x14ac:dyDescent="0.25">
      <c r="A26" s="205"/>
      <c r="B26" s="205"/>
      <c r="C26" s="205"/>
      <c r="D26" s="204" t="s">
        <v>377</v>
      </c>
      <c r="E26" s="217" t="s">
        <v>164</v>
      </c>
      <c r="F26" s="50" t="s">
        <v>527</v>
      </c>
      <c r="G26" s="37" t="s">
        <v>528</v>
      </c>
    </row>
    <row r="27" spans="1:7" ht="30" x14ac:dyDescent="0.25">
      <c r="A27" s="206"/>
      <c r="B27" s="206"/>
      <c r="C27" s="206"/>
      <c r="D27" s="206"/>
      <c r="E27" s="218"/>
      <c r="F27" s="50" t="s">
        <v>529</v>
      </c>
      <c r="G27" s="34" t="s">
        <v>530</v>
      </c>
    </row>
    <row r="28" spans="1:7" ht="33.75" customHeight="1" x14ac:dyDescent="0.25">
      <c r="A28" s="204">
        <v>8</v>
      </c>
      <c r="B28" s="212" t="s">
        <v>166</v>
      </c>
      <c r="C28" s="212">
        <v>1</v>
      </c>
      <c r="D28" s="212" t="s">
        <v>171</v>
      </c>
      <c r="E28" s="229" t="s">
        <v>168</v>
      </c>
      <c r="F28" s="58" t="s">
        <v>531</v>
      </c>
      <c r="G28" s="37" t="s">
        <v>532</v>
      </c>
    </row>
    <row r="29" spans="1:7" ht="45" x14ac:dyDescent="0.25">
      <c r="A29" s="205"/>
      <c r="B29" s="212"/>
      <c r="C29" s="212"/>
      <c r="D29" s="212"/>
      <c r="E29" s="229"/>
      <c r="F29" s="58" t="s">
        <v>534</v>
      </c>
      <c r="G29" s="37" t="s">
        <v>533</v>
      </c>
    </row>
    <row r="30" spans="1:7" ht="48" customHeight="1" x14ac:dyDescent="0.25">
      <c r="A30" s="205"/>
      <c r="B30" s="212"/>
      <c r="C30" s="212"/>
      <c r="D30" s="212" t="s">
        <v>378</v>
      </c>
      <c r="E30" s="228" t="s">
        <v>169</v>
      </c>
      <c r="F30" s="58" t="s">
        <v>535</v>
      </c>
      <c r="G30" s="37" t="s">
        <v>537</v>
      </c>
    </row>
    <row r="31" spans="1:7" x14ac:dyDescent="0.25">
      <c r="A31" s="206"/>
      <c r="B31" s="212"/>
      <c r="C31" s="212"/>
      <c r="D31" s="212"/>
      <c r="E31" s="228"/>
      <c r="F31" s="58" t="s">
        <v>536</v>
      </c>
      <c r="G31" s="49" t="s">
        <v>538</v>
      </c>
    </row>
    <row r="32" spans="1:7" ht="30" x14ac:dyDescent="0.25">
      <c r="A32" s="204">
        <v>9</v>
      </c>
      <c r="B32" s="204" t="s">
        <v>170</v>
      </c>
      <c r="C32" s="204">
        <v>1</v>
      </c>
      <c r="D32" s="212" t="s">
        <v>175</v>
      </c>
      <c r="E32" s="228" t="s">
        <v>172</v>
      </c>
      <c r="F32" s="58" t="s">
        <v>539</v>
      </c>
      <c r="G32" s="37" t="s">
        <v>540</v>
      </c>
    </row>
    <row r="33" spans="1:7" ht="30" x14ac:dyDescent="0.25">
      <c r="A33" s="205"/>
      <c r="B33" s="205"/>
      <c r="C33" s="205"/>
      <c r="D33" s="212"/>
      <c r="E33" s="228"/>
      <c r="F33" s="58" t="s">
        <v>541</v>
      </c>
      <c r="G33" s="34" t="s">
        <v>542</v>
      </c>
    </row>
    <row r="34" spans="1:7" ht="33" customHeight="1" x14ac:dyDescent="0.25">
      <c r="A34" s="205"/>
      <c r="B34" s="205"/>
      <c r="C34" s="205"/>
      <c r="D34" s="219" t="s">
        <v>383</v>
      </c>
      <c r="E34" s="217" t="s">
        <v>173</v>
      </c>
      <c r="F34" s="58" t="s">
        <v>543</v>
      </c>
      <c r="G34" s="37" t="s">
        <v>545</v>
      </c>
    </row>
    <row r="35" spans="1:7" ht="30" x14ac:dyDescent="0.25">
      <c r="A35" s="206"/>
      <c r="B35" s="206"/>
      <c r="C35" s="206"/>
      <c r="D35" s="220"/>
      <c r="E35" s="218"/>
      <c r="F35" s="58" t="s">
        <v>544</v>
      </c>
      <c r="G35" s="34" t="s">
        <v>546</v>
      </c>
    </row>
    <row r="36" spans="1:7" ht="33" customHeight="1" x14ac:dyDescent="0.25">
      <c r="A36" s="204">
        <v>10</v>
      </c>
      <c r="B36" s="204" t="s">
        <v>174</v>
      </c>
      <c r="C36" s="204">
        <v>3</v>
      </c>
      <c r="D36" s="204" t="s">
        <v>190</v>
      </c>
      <c r="E36" s="217" t="s">
        <v>178</v>
      </c>
      <c r="F36" s="59" t="s">
        <v>553</v>
      </c>
      <c r="G36" s="37" t="s">
        <v>1101</v>
      </c>
    </row>
    <row r="37" spans="1:7" x14ac:dyDescent="0.25">
      <c r="A37" s="205"/>
      <c r="B37" s="205"/>
      <c r="C37" s="205"/>
      <c r="D37" s="206"/>
      <c r="E37" s="218"/>
      <c r="F37" s="148" t="s">
        <v>1099</v>
      </c>
      <c r="G37" s="37" t="s">
        <v>1102</v>
      </c>
    </row>
    <row r="38" spans="1:7" ht="35.25" customHeight="1" x14ac:dyDescent="0.25">
      <c r="A38" s="205"/>
      <c r="B38" s="205"/>
      <c r="C38" s="205"/>
      <c r="D38" s="204" t="s">
        <v>191</v>
      </c>
      <c r="E38" s="217" t="s">
        <v>177</v>
      </c>
      <c r="F38" s="58" t="s">
        <v>554</v>
      </c>
      <c r="G38" s="37" t="s">
        <v>1103</v>
      </c>
    </row>
    <row r="39" spans="1:7" ht="35.25" customHeight="1" x14ac:dyDescent="0.25">
      <c r="A39" s="206"/>
      <c r="B39" s="206"/>
      <c r="C39" s="206"/>
      <c r="D39" s="206"/>
      <c r="E39" s="218"/>
      <c r="F39" s="147" t="s">
        <v>1100</v>
      </c>
      <c r="G39" s="37" t="s">
        <v>1104</v>
      </c>
    </row>
    <row r="40" spans="1:7" ht="47.25" customHeight="1" x14ac:dyDescent="0.25">
      <c r="A40" s="204">
        <v>11</v>
      </c>
      <c r="B40" s="204" t="s">
        <v>179</v>
      </c>
      <c r="C40" s="204">
        <v>2</v>
      </c>
      <c r="D40" s="204" t="s">
        <v>187</v>
      </c>
      <c r="E40" s="217" t="s">
        <v>180</v>
      </c>
      <c r="F40" s="59" t="s">
        <v>555</v>
      </c>
      <c r="G40" s="37" t="s">
        <v>556</v>
      </c>
    </row>
    <row r="41" spans="1:7" ht="30" x14ac:dyDescent="0.25">
      <c r="A41" s="205"/>
      <c r="B41" s="205"/>
      <c r="C41" s="205"/>
      <c r="D41" s="206"/>
      <c r="E41" s="218"/>
      <c r="F41" s="59" t="s">
        <v>558</v>
      </c>
      <c r="G41" s="34" t="s">
        <v>557</v>
      </c>
    </row>
    <row r="42" spans="1:7" ht="45" customHeight="1" x14ac:dyDescent="0.25">
      <c r="A42" s="205"/>
      <c r="B42" s="205"/>
      <c r="C42" s="205"/>
      <c r="D42" s="204" t="s">
        <v>188</v>
      </c>
      <c r="E42" s="217" t="s">
        <v>181</v>
      </c>
      <c r="F42" s="49" t="s">
        <v>559</v>
      </c>
      <c r="G42" s="34" t="s">
        <v>561</v>
      </c>
    </row>
    <row r="43" spans="1:7" ht="45" x14ac:dyDescent="0.25">
      <c r="A43" s="206"/>
      <c r="B43" s="206"/>
      <c r="C43" s="206"/>
      <c r="D43" s="206"/>
      <c r="E43" s="218"/>
      <c r="F43" s="49" t="s">
        <v>560</v>
      </c>
      <c r="G43" s="34" t="s">
        <v>562</v>
      </c>
    </row>
    <row r="44" spans="1:7" ht="34.5" customHeight="1" x14ac:dyDescent="0.25">
      <c r="A44" s="204">
        <v>12</v>
      </c>
      <c r="B44" s="204" t="s">
        <v>194</v>
      </c>
      <c r="C44" s="204">
        <v>1</v>
      </c>
      <c r="D44" s="204" t="s">
        <v>381</v>
      </c>
      <c r="E44" s="217" t="s">
        <v>195</v>
      </c>
      <c r="F44" s="59" t="s">
        <v>563</v>
      </c>
      <c r="G44" s="37" t="s">
        <v>564</v>
      </c>
    </row>
    <row r="45" spans="1:7" ht="30" x14ac:dyDescent="0.25">
      <c r="A45" s="205"/>
      <c r="B45" s="205"/>
      <c r="C45" s="205"/>
      <c r="D45" s="206"/>
      <c r="E45" s="218"/>
      <c r="F45" s="59" t="s">
        <v>567</v>
      </c>
      <c r="G45" s="34" t="s">
        <v>565</v>
      </c>
    </row>
    <row r="46" spans="1:7" ht="33.75" customHeight="1" x14ac:dyDescent="0.25">
      <c r="A46" s="205"/>
      <c r="B46" s="205"/>
      <c r="C46" s="205"/>
      <c r="D46" s="204" t="s">
        <v>382</v>
      </c>
      <c r="E46" s="217" t="s">
        <v>196</v>
      </c>
      <c r="F46" s="58" t="s">
        <v>566</v>
      </c>
      <c r="G46" s="37" t="s">
        <v>568</v>
      </c>
    </row>
    <row r="47" spans="1:7" ht="30" x14ac:dyDescent="0.25">
      <c r="A47" s="206"/>
      <c r="B47" s="206"/>
      <c r="C47" s="206"/>
      <c r="D47" s="206"/>
      <c r="E47" s="218"/>
      <c r="F47" s="58" t="s">
        <v>569</v>
      </c>
      <c r="G47" s="34" t="s">
        <v>570</v>
      </c>
    </row>
    <row r="48" spans="1:7" ht="48" customHeight="1" x14ac:dyDescent="0.25">
      <c r="A48" s="204">
        <v>13</v>
      </c>
      <c r="B48" s="204" t="s">
        <v>394</v>
      </c>
      <c r="C48" s="204">
        <v>2</v>
      </c>
      <c r="D48" s="204" t="s">
        <v>189</v>
      </c>
      <c r="E48" s="217" t="s">
        <v>197</v>
      </c>
      <c r="F48" s="59" t="s">
        <v>571</v>
      </c>
      <c r="G48" s="37" t="s">
        <v>573</v>
      </c>
    </row>
    <row r="49" spans="1:7" ht="30" x14ac:dyDescent="0.25">
      <c r="A49" s="205"/>
      <c r="B49" s="205"/>
      <c r="C49" s="205"/>
      <c r="D49" s="206"/>
      <c r="E49" s="218"/>
      <c r="F49" s="59" t="s">
        <v>572</v>
      </c>
      <c r="G49" s="34" t="s">
        <v>574</v>
      </c>
    </row>
    <row r="50" spans="1:7" ht="32.25" customHeight="1" x14ac:dyDescent="0.25">
      <c r="A50" s="205"/>
      <c r="B50" s="205"/>
      <c r="C50" s="205"/>
      <c r="D50" s="204" t="s">
        <v>395</v>
      </c>
      <c r="E50" s="217" t="s">
        <v>198</v>
      </c>
      <c r="F50" s="59" t="s">
        <v>575</v>
      </c>
      <c r="G50" s="37" t="s">
        <v>577</v>
      </c>
    </row>
    <row r="51" spans="1:7" ht="30" x14ac:dyDescent="0.25">
      <c r="A51" s="206"/>
      <c r="B51" s="206"/>
      <c r="C51" s="206"/>
      <c r="D51" s="206"/>
      <c r="E51" s="218"/>
      <c r="F51" s="59" t="s">
        <v>576</v>
      </c>
      <c r="G51" s="34" t="s">
        <v>578</v>
      </c>
    </row>
    <row r="52" spans="1:7" ht="45" x14ac:dyDescent="0.25">
      <c r="A52" s="204">
        <v>14</v>
      </c>
      <c r="B52" s="204" t="s">
        <v>199</v>
      </c>
      <c r="C52" s="204">
        <v>5</v>
      </c>
      <c r="D52" s="204" t="s">
        <v>228</v>
      </c>
      <c r="E52" s="217" t="s">
        <v>200</v>
      </c>
      <c r="F52" s="58" t="s">
        <v>579</v>
      </c>
      <c r="G52" s="34" t="s">
        <v>581</v>
      </c>
    </row>
    <row r="53" spans="1:7" ht="45" x14ac:dyDescent="0.25">
      <c r="A53" s="205"/>
      <c r="B53" s="205"/>
      <c r="C53" s="205"/>
      <c r="D53" s="206"/>
      <c r="E53" s="218"/>
      <c r="F53" s="58" t="s">
        <v>580</v>
      </c>
      <c r="G53" s="34" t="s">
        <v>582</v>
      </c>
    </row>
    <row r="54" spans="1:7" ht="35.25" customHeight="1" x14ac:dyDescent="0.25">
      <c r="A54" s="205"/>
      <c r="B54" s="205"/>
      <c r="C54" s="205"/>
      <c r="D54" s="204" t="s">
        <v>229</v>
      </c>
      <c r="E54" s="217" t="s">
        <v>201</v>
      </c>
      <c r="F54" s="58" t="s">
        <v>583</v>
      </c>
      <c r="G54" s="37" t="s">
        <v>585</v>
      </c>
    </row>
    <row r="55" spans="1:7" ht="30" x14ac:dyDescent="0.25">
      <c r="A55" s="206"/>
      <c r="B55" s="206"/>
      <c r="C55" s="206"/>
      <c r="D55" s="206"/>
      <c r="E55" s="218"/>
      <c r="F55" s="58" t="s">
        <v>584</v>
      </c>
      <c r="G55" s="34" t="s">
        <v>586</v>
      </c>
    </row>
    <row r="56" spans="1:7" ht="30" x14ac:dyDescent="0.25">
      <c r="A56" s="204">
        <v>15</v>
      </c>
      <c r="B56" s="204" t="s">
        <v>202</v>
      </c>
      <c r="C56" s="204">
        <v>4</v>
      </c>
      <c r="D56" s="204" t="s">
        <v>192</v>
      </c>
      <c r="E56" s="217" t="s">
        <v>203</v>
      </c>
      <c r="F56" s="58" t="s">
        <v>587</v>
      </c>
      <c r="G56" s="34" t="s">
        <v>589</v>
      </c>
    </row>
    <row r="57" spans="1:7" ht="30" x14ac:dyDescent="0.25">
      <c r="A57" s="205"/>
      <c r="B57" s="205"/>
      <c r="C57" s="205"/>
      <c r="D57" s="206"/>
      <c r="E57" s="218"/>
      <c r="F57" s="58" t="s">
        <v>588</v>
      </c>
      <c r="G57" s="34" t="s">
        <v>590</v>
      </c>
    </row>
    <row r="58" spans="1:7" ht="31.5" customHeight="1" x14ac:dyDescent="0.25">
      <c r="A58" s="205"/>
      <c r="B58" s="205"/>
      <c r="C58" s="205"/>
      <c r="D58" s="204" t="s">
        <v>193</v>
      </c>
      <c r="E58" s="228" t="s">
        <v>204</v>
      </c>
      <c r="F58" s="49" t="s">
        <v>591</v>
      </c>
      <c r="G58" s="34" t="s">
        <v>593</v>
      </c>
    </row>
    <row r="59" spans="1:7" ht="33" customHeight="1" x14ac:dyDescent="0.25">
      <c r="A59" s="206"/>
      <c r="B59" s="206"/>
      <c r="C59" s="206"/>
      <c r="D59" s="206"/>
      <c r="E59" s="228"/>
      <c r="F59" s="49" t="s">
        <v>592</v>
      </c>
      <c r="G59" s="37" t="s">
        <v>594</v>
      </c>
    </row>
    <row r="60" spans="1:7" ht="33" customHeight="1" x14ac:dyDescent="0.25">
      <c r="A60" s="204">
        <v>16</v>
      </c>
      <c r="B60" s="204" t="s">
        <v>205</v>
      </c>
      <c r="C60" s="204">
        <v>4</v>
      </c>
      <c r="D60" s="204" t="s">
        <v>219</v>
      </c>
      <c r="E60" s="217" t="s">
        <v>206</v>
      </c>
      <c r="F60" s="60" t="s">
        <v>595</v>
      </c>
      <c r="G60" s="37" t="s">
        <v>596</v>
      </c>
    </row>
    <row r="61" spans="1:7" ht="45" x14ac:dyDescent="0.25">
      <c r="A61" s="205"/>
      <c r="B61" s="205"/>
      <c r="C61" s="205"/>
      <c r="D61" s="206"/>
      <c r="E61" s="218"/>
      <c r="F61" s="60" t="s">
        <v>598</v>
      </c>
      <c r="G61" s="37" t="s">
        <v>597</v>
      </c>
    </row>
    <row r="62" spans="1:7" ht="30" customHeight="1" x14ac:dyDescent="0.25">
      <c r="A62" s="205"/>
      <c r="B62" s="205"/>
      <c r="C62" s="205"/>
      <c r="D62" s="204" t="s">
        <v>220</v>
      </c>
      <c r="E62" s="217" t="s">
        <v>207</v>
      </c>
      <c r="F62" s="60" t="s">
        <v>601</v>
      </c>
      <c r="G62" s="37" t="s">
        <v>603</v>
      </c>
    </row>
    <row r="63" spans="1:7" ht="30" x14ac:dyDescent="0.25">
      <c r="A63" s="206"/>
      <c r="B63" s="206"/>
      <c r="C63" s="206"/>
      <c r="D63" s="206"/>
      <c r="E63" s="218"/>
      <c r="F63" s="60" t="s">
        <v>602</v>
      </c>
      <c r="G63" s="34" t="s">
        <v>604</v>
      </c>
    </row>
    <row r="64" spans="1:7" ht="33" customHeight="1" x14ac:dyDescent="0.25">
      <c r="A64" s="204">
        <v>17</v>
      </c>
      <c r="B64" s="204" t="s">
        <v>208</v>
      </c>
      <c r="C64" s="204">
        <v>5</v>
      </c>
      <c r="D64" s="204" t="s">
        <v>230</v>
      </c>
      <c r="E64" s="217" t="s">
        <v>209</v>
      </c>
      <c r="F64" s="61" t="s">
        <v>599</v>
      </c>
      <c r="G64" s="37" t="s">
        <v>605</v>
      </c>
    </row>
    <row r="65" spans="1:7" ht="30" x14ac:dyDescent="0.25">
      <c r="A65" s="205"/>
      <c r="B65" s="205"/>
      <c r="C65" s="205"/>
      <c r="D65" s="206"/>
      <c r="E65" s="218"/>
      <c r="F65" s="61" t="s">
        <v>600</v>
      </c>
      <c r="G65" s="34" t="s">
        <v>606</v>
      </c>
    </row>
    <row r="66" spans="1:7" ht="35.25" customHeight="1" x14ac:dyDescent="0.25">
      <c r="A66" s="205"/>
      <c r="B66" s="205"/>
      <c r="C66" s="205"/>
      <c r="D66" s="204" t="s">
        <v>231</v>
      </c>
      <c r="E66" s="217" t="s">
        <v>210</v>
      </c>
      <c r="F66" s="60" t="s">
        <v>607</v>
      </c>
      <c r="G66" s="37" t="s">
        <v>609</v>
      </c>
    </row>
    <row r="67" spans="1:7" ht="43.5" customHeight="1" x14ac:dyDescent="0.25">
      <c r="A67" s="206"/>
      <c r="B67" s="206"/>
      <c r="C67" s="206"/>
      <c r="D67" s="206"/>
      <c r="E67" s="218"/>
      <c r="F67" s="60" t="s">
        <v>608</v>
      </c>
      <c r="G67" s="37" t="s">
        <v>610</v>
      </c>
    </row>
    <row r="68" spans="1:7" ht="33" customHeight="1" x14ac:dyDescent="0.25">
      <c r="A68" s="204">
        <v>18</v>
      </c>
      <c r="B68" s="204" t="s">
        <v>211</v>
      </c>
      <c r="C68" s="204">
        <v>1</v>
      </c>
      <c r="D68" s="204" t="s">
        <v>384</v>
      </c>
      <c r="E68" s="217" t="s">
        <v>212</v>
      </c>
      <c r="F68" s="62" t="s">
        <v>611</v>
      </c>
      <c r="G68" s="37" t="s">
        <v>613</v>
      </c>
    </row>
    <row r="69" spans="1:7" ht="30" x14ac:dyDescent="0.25">
      <c r="A69" s="205"/>
      <c r="B69" s="205"/>
      <c r="C69" s="205"/>
      <c r="D69" s="206"/>
      <c r="E69" s="218"/>
      <c r="F69" s="62" t="s">
        <v>612</v>
      </c>
      <c r="G69" s="34" t="s">
        <v>614</v>
      </c>
    </row>
    <row r="70" spans="1:7" ht="32.25" customHeight="1" x14ac:dyDescent="0.25">
      <c r="A70" s="205"/>
      <c r="B70" s="205"/>
      <c r="C70" s="205"/>
      <c r="D70" s="225" t="s">
        <v>385</v>
      </c>
      <c r="E70" s="217" t="s">
        <v>213</v>
      </c>
      <c r="F70" s="49" t="s">
        <v>615</v>
      </c>
      <c r="G70" s="37" t="s">
        <v>616</v>
      </c>
    </row>
    <row r="71" spans="1:7" ht="30" x14ac:dyDescent="0.25">
      <c r="A71" s="206"/>
      <c r="B71" s="206"/>
      <c r="C71" s="206"/>
      <c r="D71" s="227"/>
      <c r="E71" s="218"/>
      <c r="F71" s="49" t="s">
        <v>618</v>
      </c>
      <c r="G71" s="34" t="s">
        <v>617</v>
      </c>
    </row>
    <row r="72" spans="1:7" ht="34.5" customHeight="1" x14ac:dyDescent="0.25">
      <c r="A72" s="204">
        <v>19</v>
      </c>
      <c r="B72" s="204" t="s">
        <v>214</v>
      </c>
      <c r="C72" s="204">
        <v>2</v>
      </c>
      <c r="D72" s="204" t="s">
        <v>396</v>
      </c>
      <c r="E72" s="217" t="s">
        <v>215</v>
      </c>
      <c r="F72" s="62" t="s">
        <v>619</v>
      </c>
      <c r="G72" s="37" t="s">
        <v>621</v>
      </c>
    </row>
    <row r="73" spans="1:7" ht="30" x14ac:dyDescent="0.25">
      <c r="A73" s="205"/>
      <c r="B73" s="205"/>
      <c r="C73" s="205"/>
      <c r="D73" s="206"/>
      <c r="E73" s="218"/>
      <c r="F73" s="62" t="s">
        <v>620</v>
      </c>
      <c r="G73" s="34" t="s">
        <v>622</v>
      </c>
    </row>
    <row r="74" spans="1:7" ht="45" x14ac:dyDescent="0.25">
      <c r="A74" s="205"/>
      <c r="B74" s="205"/>
      <c r="C74" s="205"/>
      <c r="D74" s="204" t="s">
        <v>397</v>
      </c>
      <c r="E74" s="217" t="s">
        <v>216</v>
      </c>
      <c r="F74" s="62" t="s">
        <v>623</v>
      </c>
      <c r="G74" s="37" t="s">
        <v>625</v>
      </c>
    </row>
    <row r="75" spans="1:7" x14ac:dyDescent="0.25">
      <c r="A75" s="206"/>
      <c r="B75" s="206"/>
      <c r="C75" s="206"/>
      <c r="D75" s="206"/>
      <c r="E75" s="218"/>
      <c r="F75" s="62" t="s">
        <v>624</v>
      </c>
      <c r="G75" s="64" t="s">
        <v>626</v>
      </c>
    </row>
    <row r="76" spans="1:7" ht="33.75" customHeight="1" x14ac:dyDescent="0.25">
      <c r="A76" s="204">
        <v>20</v>
      </c>
      <c r="B76" s="204" t="s">
        <v>375</v>
      </c>
      <c r="C76" s="204">
        <v>1</v>
      </c>
      <c r="D76" s="212" t="s">
        <v>386</v>
      </c>
      <c r="E76" s="228" t="s">
        <v>217</v>
      </c>
      <c r="F76" s="62" t="s">
        <v>627</v>
      </c>
      <c r="G76" s="37" t="s">
        <v>629</v>
      </c>
    </row>
    <row r="77" spans="1:7" ht="30" x14ac:dyDescent="0.25">
      <c r="A77" s="205"/>
      <c r="B77" s="205"/>
      <c r="C77" s="205"/>
      <c r="D77" s="212"/>
      <c r="E77" s="228"/>
      <c r="F77" s="62" t="s">
        <v>628</v>
      </c>
      <c r="G77" s="34" t="s">
        <v>630</v>
      </c>
    </row>
    <row r="78" spans="1:7" ht="33.75" customHeight="1" x14ac:dyDescent="0.25">
      <c r="A78" s="205"/>
      <c r="B78" s="205"/>
      <c r="C78" s="205"/>
      <c r="D78" s="225" t="s">
        <v>387</v>
      </c>
      <c r="E78" s="217" t="s">
        <v>218</v>
      </c>
      <c r="F78" s="62" t="s">
        <v>631</v>
      </c>
      <c r="G78" s="37" t="s">
        <v>632</v>
      </c>
    </row>
    <row r="79" spans="1:7" ht="35.25" customHeight="1" x14ac:dyDescent="0.25">
      <c r="A79" s="206"/>
      <c r="B79" s="206"/>
      <c r="C79" s="206"/>
      <c r="D79" s="227"/>
      <c r="E79" s="218"/>
      <c r="F79" s="62" t="s">
        <v>633</v>
      </c>
      <c r="G79" s="37" t="s">
        <v>634</v>
      </c>
    </row>
    <row r="80" spans="1:7" ht="33.75" customHeight="1" x14ac:dyDescent="0.25">
      <c r="A80" s="212">
        <v>21</v>
      </c>
      <c r="B80" s="212" t="s">
        <v>243</v>
      </c>
      <c r="C80" s="212">
        <v>4</v>
      </c>
      <c r="D80" s="204" t="s">
        <v>221</v>
      </c>
      <c r="E80" s="217" t="s">
        <v>244</v>
      </c>
      <c r="F80" s="62" t="s">
        <v>635</v>
      </c>
      <c r="G80" s="37" t="s">
        <v>637</v>
      </c>
    </row>
    <row r="81" spans="1:7" ht="45" x14ac:dyDescent="0.25">
      <c r="A81" s="212"/>
      <c r="B81" s="212"/>
      <c r="C81" s="212"/>
      <c r="D81" s="206"/>
      <c r="E81" s="218"/>
      <c r="F81" s="62" t="s">
        <v>636</v>
      </c>
      <c r="G81" s="34" t="s">
        <v>638</v>
      </c>
    </row>
    <row r="82" spans="1:7" ht="36" customHeight="1" x14ac:dyDescent="0.25">
      <c r="A82" s="212"/>
      <c r="B82" s="212"/>
      <c r="C82" s="212"/>
      <c r="D82" s="204" t="s">
        <v>222</v>
      </c>
      <c r="E82" s="217" t="s">
        <v>245</v>
      </c>
      <c r="F82" s="62" t="s">
        <v>639</v>
      </c>
      <c r="G82" s="37" t="s">
        <v>641</v>
      </c>
    </row>
    <row r="83" spans="1:7" ht="40.5" customHeight="1" x14ac:dyDescent="0.25">
      <c r="A83" s="212"/>
      <c r="B83" s="212"/>
      <c r="C83" s="212"/>
      <c r="D83" s="206"/>
      <c r="E83" s="218"/>
      <c r="F83" s="62" t="s">
        <v>640</v>
      </c>
      <c r="G83" s="37" t="s">
        <v>642</v>
      </c>
    </row>
    <row r="84" spans="1:7" ht="48.75" customHeight="1" x14ac:dyDescent="0.25">
      <c r="A84" s="204">
        <v>22</v>
      </c>
      <c r="B84" s="204" t="s">
        <v>246</v>
      </c>
      <c r="C84" s="204">
        <v>1</v>
      </c>
      <c r="D84" s="204" t="s">
        <v>388</v>
      </c>
      <c r="E84" s="217" t="s">
        <v>247</v>
      </c>
      <c r="F84" s="63" t="s">
        <v>643</v>
      </c>
      <c r="G84" s="37" t="s">
        <v>644</v>
      </c>
    </row>
    <row r="85" spans="1:7" ht="45" x14ac:dyDescent="0.25">
      <c r="A85" s="205"/>
      <c r="B85" s="205"/>
      <c r="C85" s="205"/>
      <c r="D85" s="206"/>
      <c r="E85" s="218"/>
      <c r="F85" s="63" t="s">
        <v>645</v>
      </c>
      <c r="G85" s="34" t="s">
        <v>646</v>
      </c>
    </row>
    <row r="86" spans="1:7" ht="45" x14ac:dyDescent="0.25">
      <c r="A86" s="205"/>
      <c r="B86" s="205"/>
      <c r="C86" s="205"/>
      <c r="D86" s="204" t="s">
        <v>389</v>
      </c>
      <c r="E86" s="217" t="s">
        <v>248</v>
      </c>
      <c r="F86" s="63" t="s">
        <v>647</v>
      </c>
      <c r="G86" s="37" t="s">
        <v>648</v>
      </c>
    </row>
    <row r="87" spans="1:7" ht="45" x14ac:dyDescent="0.25">
      <c r="A87" s="206"/>
      <c r="B87" s="206"/>
      <c r="C87" s="206"/>
      <c r="D87" s="206"/>
      <c r="E87" s="218"/>
      <c r="F87" s="63" t="s">
        <v>649</v>
      </c>
      <c r="G87" s="34" t="s">
        <v>650</v>
      </c>
    </row>
    <row r="88" spans="1:7" ht="36.75" customHeight="1" x14ac:dyDescent="0.25">
      <c r="A88" s="212">
        <v>23</v>
      </c>
      <c r="B88" s="212" t="s">
        <v>249</v>
      </c>
      <c r="C88" s="229">
        <v>4</v>
      </c>
      <c r="D88" s="212" t="s">
        <v>223</v>
      </c>
      <c r="E88" s="228" t="s">
        <v>250</v>
      </c>
      <c r="F88" s="66" t="s">
        <v>657</v>
      </c>
      <c r="G88" s="37" t="s">
        <v>651</v>
      </c>
    </row>
    <row r="89" spans="1:7" ht="45.75" customHeight="1" x14ac:dyDescent="0.25">
      <c r="A89" s="212"/>
      <c r="B89" s="212"/>
      <c r="C89" s="229"/>
      <c r="D89" s="212"/>
      <c r="E89" s="228"/>
      <c r="F89" s="66" t="s">
        <v>658</v>
      </c>
      <c r="G89" s="37" t="s">
        <v>652</v>
      </c>
    </row>
    <row r="90" spans="1:7" ht="35.25" customHeight="1" x14ac:dyDescent="0.25">
      <c r="A90" s="212"/>
      <c r="B90" s="212"/>
      <c r="C90" s="229"/>
      <c r="D90" s="212" t="s">
        <v>224</v>
      </c>
      <c r="E90" s="228" t="s">
        <v>251</v>
      </c>
      <c r="F90" s="65" t="s">
        <v>653</v>
      </c>
      <c r="G90" s="37" t="s">
        <v>655</v>
      </c>
    </row>
    <row r="91" spans="1:7" ht="60" x14ac:dyDescent="0.25">
      <c r="A91" s="212"/>
      <c r="B91" s="212"/>
      <c r="C91" s="229"/>
      <c r="D91" s="212"/>
      <c r="E91" s="228"/>
      <c r="F91" s="65" t="s">
        <v>654</v>
      </c>
      <c r="G91" s="37" t="s">
        <v>656</v>
      </c>
    </row>
    <row r="92" spans="1:7" ht="46.5" customHeight="1" x14ac:dyDescent="0.25">
      <c r="A92" s="204">
        <v>24</v>
      </c>
      <c r="B92" s="204" t="s">
        <v>252</v>
      </c>
      <c r="C92" s="229">
        <v>4</v>
      </c>
      <c r="D92" s="204" t="s">
        <v>225</v>
      </c>
      <c r="E92" s="217" t="s">
        <v>253</v>
      </c>
      <c r="F92" s="66" t="s">
        <v>659</v>
      </c>
      <c r="G92" s="37" t="s">
        <v>660</v>
      </c>
    </row>
    <row r="93" spans="1:7" ht="45" x14ac:dyDescent="0.25">
      <c r="A93" s="205"/>
      <c r="B93" s="205"/>
      <c r="C93" s="229"/>
      <c r="D93" s="206"/>
      <c r="E93" s="218"/>
      <c r="F93" s="66" t="s">
        <v>661</v>
      </c>
      <c r="G93" s="37" t="s">
        <v>662</v>
      </c>
    </row>
    <row r="94" spans="1:7" ht="48.75" customHeight="1" x14ac:dyDescent="0.25">
      <c r="A94" s="205"/>
      <c r="B94" s="205"/>
      <c r="C94" s="229"/>
      <c r="D94" s="204" t="s">
        <v>414</v>
      </c>
      <c r="E94" s="217" t="s">
        <v>254</v>
      </c>
      <c r="F94" s="51" t="s">
        <v>663</v>
      </c>
      <c r="G94" s="37" t="s">
        <v>665</v>
      </c>
    </row>
    <row r="95" spans="1:7" ht="45" x14ac:dyDescent="0.25">
      <c r="A95" s="206"/>
      <c r="B95" s="206"/>
      <c r="C95" s="229"/>
      <c r="D95" s="206"/>
      <c r="E95" s="218"/>
      <c r="F95" s="49" t="s">
        <v>664</v>
      </c>
      <c r="G95" s="37" t="s">
        <v>666</v>
      </c>
    </row>
    <row r="96" spans="1:7" ht="30" customHeight="1" x14ac:dyDescent="0.25">
      <c r="A96" s="204">
        <v>25</v>
      </c>
      <c r="B96" s="204" t="s">
        <v>255</v>
      </c>
      <c r="C96" s="225">
        <v>1</v>
      </c>
      <c r="D96" s="204" t="s">
        <v>390</v>
      </c>
      <c r="E96" s="217" t="s">
        <v>256</v>
      </c>
      <c r="F96" s="66" t="s">
        <v>667</v>
      </c>
      <c r="G96" s="37" t="s">
        <v>669</v>
      </c>
    </row>
    <row r="97" spans="1:7" ht="30" x14ac:dyDescent="0.25">
      <c r="A97" s="205"/>
      <c r="B97" s="205"/>
      <c r="C97" s="226"/>
      <c r="D97" s="206"/>
      <c r="E97" s="218"/>
      <c r="F97" s="66" t="s">
        <v>668</v>
      </c>
      <c r="G97" s="37" t="s">
        <v>670</v>
      </c>
    </row>
    <row r="98" spans="1:7" ht="45" customHeight="1" x14ac:dyDescent="0.25">
      <c r="A98" s="205"/>
      <c r="B98" s="205"/>
      <c r="C98" s="226"/>
      <c r="D98" s="204" t="s">
        <v>391</v>
      </c>
      <c r="E98" s="217" t="s">
        <v>257</v>
      </c>
      <c r="F98" s="51" t="s">
        <v>671</v>
      </c>
      <c r="G98" s="37" t="s">
        <v>673</v>
      </c>
    </row>
    <row r="99" spans="1:7" ht="31.5" customHeight="1" x14ac:dyDescent="0.25">
      <c r="A99" s="206"/>
      <c r="B99" s="206"/>
      <c r="C99" s="227"/>
      <c r="D99" s="206"/>
      <c r="E99" s="218"/>
      <c r="F99" s="49" t="s">
        <v>672</v>
      </c>
      <c r="G99" s="37" t="s">
        <v>674</v>
      </c>
    </row>
    <row r="100" spans="1:7" ht="33" customHeight="1" x14ac:dyDescent="0.25">
      <c r="A100" s="204">
        <v>26</v>
      </c>
      <c r="B100" s="204" t="s">
        <v>258</v>
      </c>
      <c r="C100" s="204">
        <v>4</v>
      </c>
      <c r="D100" s="204" t="s">
        <v>415</v>
      </c>
      <c r="E100" s="217" t="s">
        <v>259</v>
      </c>
      <c r="F100" s="66" t="s">
        <v>675</v>
      </c>
      <c r="G100" s="37" t="s">
        <v>677</v>
      </c>
    </row>
    <row r="101" spans="1:7" ht="45" x14ac:dyDescent="0.25">
      <c r="A101" s="205"/>
      <c r="B101" s="205"/>
      <c r="C101" s="205"/>
      <c r="D101" s="206"/>
      <c r="E101" s="218"/>
      <c r="F101" s="66" t="s">
        <v>676</v>
      </c>
      <c r="G101" s="37" t="s">
        <v>678</v>
      </c>
    </row>
    <row r="102" spans="1:7" ht="34.5" customHeight="1" x14ac:dyDescent="0.25">
      <c r="A102" s="205"/>
      <c r="B102" s="205"/>
      <c r="C102" s="205"/>
      <c r="D102" s="204" t="s">
        <v>416</v>
      </c>
      <c r="E102" s="217" t="s">
        <v>260</v>
      </c>
      <c r="F102" s="66" t="s">
        <v>679</v>
      </c>
      <c r="G102" s="37" t="s">
        <v>680</v>
      </c>
    </row>
    <row r="103" spans="1:7" ht="45" x14ac:dyDescent="0.25">
      <c r="A103" s="206"/>
      <c r="B103" s="206"/>
      <c r="C103" s="206"/>
      <c r="D103" s="206"/>
      <c r="E103" s="218"/>
      <c r="F103" s="66" t="s">
        <v>681</v>
      </c>
      <c r="G103" s="37" t="s">
        <v>682</v>
      </c>
    </row>
    <row r="104" spans="1:7" ht="33" customHeight="1" x14ac:dyDescent="0.25">
      <c r="A104" s="204">
        <v>27</v>
      </c>
      <c r="B104" s="204" t="s">
        <v>261</v>
      </c>
      <c r="C104" s="204">
        <v>2</v>
      </c>
      <c r="D104" s="204" t="s">
        <v>398</v>
      </c>
      <c r="E104" s="217" t="s">
        <v>689</v>
      </c>
      <c r="F104" s="66" t="s">
        <v>683</v>
      </c>
      <c r="G104" s="37" t="s">
        <v>690</v>
      </c>
    </row>
    <row r="105" spans="1:7" ht="30" x14ac:dyDescent="0.25">
      <c r="A105" s="205"/>
      <c r="B105" s="205"/>
      <c r="C105" s="205"/>
      <c r="D105" s="206"/>
      <c r="E105" s="218"/>
      <c r="F105" s="66" t="s">
        <v>684</v>
      </c>
      <c r="G105" s="37" t="s">
        <v>691</v>
      </c>
    </row>
    <row r="106" spans="1:7" ht="45" x14ac:dyDescent="0.25">
      <c r="A106" s="205"/>
      <c r="B106" s="205"/>
      <c r="C106" s="205"/>
      <c r="D106" s="229" t="s">
        <v>399</v>
      </c>
      <c r="E106" s="228" t="s">
        <v>692</v>
      </c>
      <c r="F106" s="67" t="s">
        <v>688</v>
      </c>
      <c r="G106" s="37" t="s">
        <v>715</v>
      </c>
    </row>
    <row r="107" spans="1:7" ht="33" customHeight="1" x14ac:dyDescent="0.25">
      <c r="A107" s="206"/>
      <c r="B107" s="206"/>
      <c r="C107" s="206"/>
      <c r="D107" s="229"/>
      <c r="E107" s="228"/>
      <c r="F107" s="67" t="s">
        <v>693</v>
      </c>
      <c r="G107" s="37" t="s">
        <v>716</v>
      </c>
    </row>
    <row r="108" spans="1:7" ht="35.25" customHeight="1" x14ac:dyDescent="0.25">
      <c r="A108" s="204">
        <v>28</v>
      </c>
      <c r="B108" s="204" t="s">
        <v>262</v>
      </c>
      <c r="C108" s="225">
        <v>1</v>
      </c>
      <c r="D108" s="204" t="s">
        <v>392</v>
      </c>
      <c r="E108" s="217" t="s">
        <v>263</v>
      </c>
      <c r="F108" s="51" t="s">
        <v>701</v>
      </c>
      <c r="G108" s="68" t="s">
        <v>694</v>
      </c>
    </row>
    <row r="109" spans="1:7" ht="45" x14ac:dyDescent="0.25">
      <c r="A109" s="205"/>
      <c r="B109" s="205"/>
      <c r="C109" s="226"/>
      <c r="D109" s="206"/>
      <c r="E109" s="218"/>
      <c r="F109" s="51" t="s">
        <v>702</v>
      </c>
      <c r="G109" s="37" t="s">
        <v>695</v>
      </c>
    </row>
    <row r="110" spans="1:7" ht="34.5" customHeight="1" x14ac:dyDescent="0.25">
      <c r="A110" s="205"/>
      <c r="B110" s="205"/>
      <c r="C110" s="226"/>
      <c r="D110" s="204" t="s">
        <v>393</v>
      </c>
      <c r="E110" s="217" t="s">
        <v>264</v>
      </c>
      <c r="F110" s="51" t="s">
        <v>703</v>
      </c>
      <c r="G110" s="37" t="s">
        <v>696</v>
      </c>
    </row>
    <row r="111" spans="1:7" ht="30" x14ac:dyDescent="0.25">
      <c r="A111" s="206"/>
      <c r="B111" s="206"/>
      <c r="C111" s="227"/>
      <c r="D111" s="206"/>
      <c r="E111" s="218"/>
      <c r="F111" s="51" t="s">
        <v>704</v>
      </c>
      <c r="G111" s="34" t="s">
        <v>697</v>
      </c>
    </row>
    <row r="112" spans="1:7" ht="45" x14ac:dyDescent="0.25">
      <c r="A112" s="204">
        <v>29</v>
      </c>
      <c r="B112" s="204" t="s">
        <v>265</v>
      </c>
      <c r="C112" s="225">
        <v>2</v>
      </c>
      <c r="D112" s="212" t="s">
        <v>400</v>
      </c>
      <c r="E112" s="228" t="s">
        <v>266</v>
      </c>
      <c r="F112" s="49" t="s">
        <v>700</v>
      </c>
      <c r="G112" s="37" t="s">
        <v>698</v>
      </c>
    </row>
    <row r="113" spans="1:7" ht="45" x14ac:dyDescent="0.25">
      <c r="A113" s="205"/>
      <c r="B113" s="205"/>
      <c r="C113" s="226"/>
      <c r="D113" s="212"/>
      <c r="E113" s="228"/>
      <c r="F113" s="49" t="s">
        <v>705</v>
      </c>
      <c r="G113" s="37" t="s">
        <v>699</v>
      </c>
    </row>
    <row r="114" spans="1:7" ht="47.25" customHeight="1" x14ac:dyDescent="0.25">
      <c r="A114" s="205"/>
      <c r="B114" s="205"/>
      <c r="C114" s="226"/>
      <c r="D114" s="204" t="s">
        <v>401</v>
      </c>
      <c r="E114" s="217" t="s">
        <v>706</v>
      </c>
      <c r="F114" s="69" t="s">
        <v>708</v>
      </c>
      <c r="G114" s="37" t="s">
        <v>707</v>
      </c>
    </row>
    <row r="115" spans="1:7" ht="45" x14ac:dyDescent="0.25">
      <c r="A115" s="206"/>
      <c r="B115" s="206"/>
      <c r="C115" s="227"/>
      <c r="D115" s="206"/>
      <c r="E115" s="218"/>
      <c r="F115" s="69" t="s">
        <v>709</v>
      </c>
      <c r="G115" s="37" t="s">
        <v>710</v>
      </c>
    </row>
    <row r="116" spans="1:7" ht="33" customHeight="1" x14ac:dyDescent="0.25">
      <c r="A116" s="204">
        <v>30</v>
      </c>
      <c r="B116" s="204" t="s">
        <v>267</v>
      </c>
      <c r="C116" s="204">
        <v>4</v>
      </c>
      <c r="D116" s="212" t="s">
        <v>417</v>
      </c>
      <c r="E116" s="217" t="s">
        <v>268</v>
      </c>
      <c r="F116" s="69" t="s">
        <v>711</v>
      </c>
      <c r="G116" s="37" t="s">
        <v>712</v>
      </c>
    </row>
    <row r="117" spans="1:7" ht="30" x14ac:dyDescent="0.25">
      <c r="A117" s="205"/>
      <c r="B117" s="205"/>
      <c r="C117" s="205"/>
      <c r="D117" s="212"/>
      <c r="E117" s="218"/>
      <c r="F117" s="69" t="s">
        <v>713</v>
      </c>
      <c r="G117" s="34" t="s">
        <v>714</v>
      </c>
    </row>
    <row r="118" spans="1:7" ht="48" customHeight="1" x14ac:dyDescent="0.25">
      <c r="A118" s="205"/>
      <c r="B118" s="205"/>
      <c r="C118" s="205"/>
      <c r="D118" s="204" t="s">
        <v>418</v>
      </c>
      <c r="E118" s="217" t="s">
        <v>269</v>
      </c>
      <c r="F118" s="69" t="s">
        <v>717</v>
      </c>
      <c r="G118" s="37" t="s">
        <v>719</v>
      </c>
    </row>
    <row r="119" spans="1:7" ht="45" x14ac:dyDescent="0.25">
      <c r="A119" s="206"/>
      <c r="B119" s="206"/>
      <c r="C119" s="206"/>
      <c r="D119" s="206"/>
      <c r="E119" s="218"/>
      <c r="F119" s="69" t="s">
        <v>718</v>
      </c>
      <c r="G119" s="37" t="s">
        <v>720</v>
      </c>
    </row>
    <row r="120" spans="1:7" ht="30" x14ac:dyDescent="0.25">
      <c r="A120" s="204">
        <v>31</v>
      </c>
      <c r="B120" s="204" t="s">
        <v>270</v>
      </c>
      <c r="C120" s="204">
        <v>2</v>
      </c>
      <c r="D120" s="204" t="s">
        <v>402</v>
      </c>
      <c r="E120" s="217" t="s">
        <v>271</v>
      </c>
      <c r="F120" s="69" t="s">
        <v>721</v>
      </c>
      <c r="G120" s="37" t="s">
        <v>723</v>
      </c>
    </row>
    <row r="121" spans="1:7" ht="30" x14ac:dyDescent="0.25">
      <c r="A121" s="205"/>
      <c r="B121" s="205"/>
      <c r="C121" s="205"/>
      <c r="D121" s="206"/>
      <c r="E121" s="218"/>
      <c r="F121" s="69" t="s">
        <v>722</v>
      </c>
      <c r="G121" s="37" t="s">
        <v>724</v>
      </c>
    </row>
    <row r="122" spans="1:7" ht="32.25" customHeight="1" x14ac:dyDescent="0.25">
      <c r="A122" s="205"/>
      <c r="B122" s="205"/>
      <c r="C122" s="205"/>
      <c r="D122" s="204" t="s">
        <v>403</v>
      </c>
      <c r="E122" s="71" t="s">
        <v>272</v>
      </c>
      <c r="F122" s="69" t="s">
        <v>725</v>
      </c>
      <c r="G122" s="37" t="s">
        <v>727</v>
      </c>
    </row>
    <row r="123" spans="1:7" ht="30" x14ac:dyDescent="0.25">
      <c r="A123" s="206"/>
      <c r="B123" s="206"/>
      <c r="C123" s="206"/>
      <c r="D123" s="206"/>
      <c r="E123" s="53"/>
      <c r="F123" s="69" t="s">
        <v>726</v>
      </c>
      <c r="G123" s="37" t="s">
        <v>728</v>
      </c>
    </row>
    <row r="124" spans="1:7" ht="32.25" customHeight="1" x14ac:dyDescent="0.25">
      <c r="A124" s="204">
        <v>32</v>
      </c>
      <c r="B124" s="204" t="s">
        <v>273</v>
      </c>
      <c r="C124" s="204">
        <v>5</v>
      </c>
      <c r="D124" s="204" t="s">
        <v>232</v>
      </c>
      <c r="E124" s="217" t="s">
        <v>274</v>
      </c>
      <c r="F124" s="69" t="s">
        <v>729</v>
      </c>
      <c r="G124" s="37" t="s">
        <v>731</v>
      </c>
    </row>
    <row r="125" spans="1:7" ht="30" x14ac:dyDescent="0.25">
      <c r="A125" s="205"/>
      <c r="B125" s="205"/>
      <c r="C125" s="205"/>
      <c r="D125" s="206"/>
      <c r="E125" s="218"/>
      <c r="F125" s="69" t="s">
        <v>730</v>
      </c>
      <c r="G125" s="37" t="s">
        <v>732</v>
      </c>
    </row>
    <row r="126" spans="1:7" ht="30" x14ac:dyDescent="0.25">
      <c r="A126" s="205"/>
      <c r="B126" s="205"/>
      <c r="C126" s="205"/>
      <c r="D126" s="204" t="s">
        <v>233</v>
      </c>
      <c r="E126" s="217" t="s">
        <v>735</v>
      </c>
      <c r="F126" s="69" t="s">
        <v>733</v>
      </c>
      <c r="G126" s="37" t="s">
        <v>736</v>
      </c>
    </row>
    <row r="127" spans="1:7" ht="45" x14ac:dyDescent="0.25">
      <c r="A127" s="206"/>
      <c r="B127" s="206"/>
      <c r="C127" s="206"/>
      <c r="D127" s="206"/>
      <c r="E127" s="218"/>
      <c r="F127" s="69" t="s">
        <v>734</v>
      </c>
      <c r="G127" s="37" t="s">
        <v>737</v>
      </c>
    </row>
    <row r="128" spans="1:7" ht="33" customHeight="1" x14ac:dyDescent="0.25">
      <c r="A128" s="204">
        <v>33</v>
      </c>
      <c r="B128" s="204" t="s">
        <v>275</v>
      </c>
      <c r="C128" s="204">
        <v>4</v>
      </c>
      <c r="D128" s="204" t="s">
        <v>419</v>
      </c>
      <c r="E128" s="217" t="s">
        <v>276</v>
      </c>
      <c r="F128" s="69" t="s">
        <v>738</v>
      </c>
      <c r="G128" s="37" t="s">
        <v>739</v>
      </c>
    </row>
    <row r="129" spans="1:7" ht="30" x14ac:dyDescent="0.25">
      <c r="A129" s="205"/>
      <c r="B129" s="205"/>
      <c r="C129" s="205"/>
      <c r="D129" s="206"/>
      <c r="E129" s="218"/>
      <c r="F129" s="69" t="s">
        <v>740</v>
      </c>
      <c r="G129" s="72" t="s">
        <v>741</v>
      </c>
    </row>
    <row r="130" spans="1:7" ht="32.25" customHeight="1" x14ac:dyDescent="0.25">
      <c r="A130" s="205"/>
      <c r="B130" s="205"/>
      <c r="C130" s="205"/>
      <c r="D130" s="204" t="s">
        <v>420</v>
      </c>
      <c r="E130" s="217" t="s">
        <v>277</v>
      </c>
      <c r="F130" s="69" t="s">
        <v>742</v>
      </c>
      <c r="G130" s="37" t="s">
        <v>744</v>
      </c>
    </row>
    <row r="131" spans="1:7" ht="30" x14ac:dyDescent="0.25">
      <c r="A131" s="206"/>
      <c r="B131" s="206"/>
      <c r="C131" s="206"/>
      <c r="D131" s="206"/>
      <c r="E131" s="218"/>
      <c r="F131" s="69" t="s">
        <v>743</v>
      </c>
      <c r="G131" s="37" t="s">
        <v>745</v>
      </c>
    </row>
    <row r="132" spans="1:7" ht="30" x14ac:dyDescent="0.25">
      <c r="A132" s="204">
        <v>34</v>
      </c>
      <c r="B132" s="204" t="s">
        <v>278</v>
      </c>
      <c r="C132" s="204">
        <v>4</v>
      </c>
      <c r="D132" s="204" t="s">
        <v>421</v>
      </c>
      <c r="E132" s="217" t="s">
        <v>279</v>
      </c>
      <c r="F132" s="69" t="s">
        <v>746</v>
      </c>
      <c r="G132" s="37" t="s">
        <v>748</v>
      </c>
    </row>
    <row r="133" spans="1:7" ht="30" x14ac:dyDescent="0.25">
      <c r="A133" s="205"/>
      <c r="B133" s="205"/>
      <c r="C133" s="205"/>
      <c r="D133" s="206"/>
      <c r="E133" s="218"/>
      <c r="F133" s="69" t="s">
        <v>747</v>
      </c>
      <c r="G133" s="34" t="s">
        <v>749</v>
      </c>
    </row>
    <row r="134" spans="1:7" ht="36" customHeight="1" x14ac:dyDescent="0.25">
      <c r="A134" s="205"/>
      <c r="B134" s="205"/>
      <c r="C134" s="205"/>
      <c r="D134" s="204" t="s">
        <v>422</v>
      </c>
      <c r="E134" s="217" t="s">
        <v>280</v>
      </c>
      <c r="F134" s="69" t="s">
        <v>750</v>
      </c>
      <c r="G134" s="37" t="s">
        <v>752</v>
      </c>
    </row>
    <row r="135" spans="1:7" ht="30" x14ac:dyDescent="0.25">
      <c r="A135" s="206"/>
      <c r="B135" s="206"/>
      <c r="C135" s="206"/>
      <c r="D135" s="206"/>
      <c r="E135" s="218"/>
      <c r="F135" s="69" t="s">
        <v>751</v>
      </c>
      <c r="G135" s="37" t="s">
        <v>753</v>
      </c>
    </row>
    <row r="136" spans="1:7" ht="36" customHeight="1" x14ac:dyDescent="0.25">
      <c r="A136" s="204">
        <v>35</v>
      </c>
      <c r="B136" s="204" t="s">
        <v>281</v>
      </c>
      <c r="C136" s="204">
        <v>2</v>
      </c>
      <c r="D136" s="204" t="s">
        <v>404</v>
      </c>
      <c r="E136" s="217" t="s">
        <v>282</v>
      </c>
      <c r="F136" s="70" t="s">
        <v>755</v>
      </c>
      <c r="G136" s="37" t="s">
        <v>754</v>
      </c>
    </row>
    <row r="137" spans="1:7" ht="48" customHeight="1" x14ac:dyDescent="0.25">
      <c r="A137" s="205"/>
      <c r="B137" s="205"/>
      <c r="C137" s="205"/>
      <c r="D137" s="206"/>
      <c r="E137" s="218"/>
      <c r="F137" s="70" t="s">
        <v>756</v>
      </c>
      <c r="G137" s="37" t="s">
        <v>757</v>
      </c>
    </row>
    <row r="138" spans="1:7" ht="31.5" customHeight="1" x14ac:dyDescent="0.25">
      <c r="A138" s="205"/>
      <c r="B138" s="205"/>
      <c r="C138" s="205"/>
      <c r="D138" s="70" t="s">
        <v>405</v>
      </c>
      <c r="E138" s="37" t="s">
        <v>283</v>
      </c>
      <c r="F138" s="70" t="s">
        <v>758</v>
      </c>
      <c r="G138" s="37" t="s">
        <v>760</v>
      </c>
    </row>
    <row r="139" spans="1:7" ht="30" x14ac:dyDescent="0.25">
      <c r="A139" s="206"/>
      <c r="B139" s="206"/>
      <c r="C139" s="206"/>
      <c r="D139" s="75"/>
      <c r="E139" s="75"/>
      <c r="F139" s="70" t="s">
        <v>759</v>
      </c>
      <c r="G139" s="37" t="s">
        <v>761</v>
      </c>
    </row>
    <row r="140" spans="1:7" ht="33" customHeight="1" x14ac:dyDescent="0.25">
      <c r="A140" s="204">
        <v>36</v>
      </c>
      <c r="B140" s="204" t="s">
        <v>284</v>
      </c>
      <c r="C140" s="204">
        <v>5</v>
      </c>
      <c r="D140" s="204" t="s">
        <v>234</v>
      </c>
      <c r="E140" s="217" t="s">
        <v>285</v>
      </c>
      <c r="F140" s="70" t="s">
        <v>762</v>
      </c>
      <c r="G140" s="37" t="s">
        <v>764</v>
      </c>
    </row>
    <row r="141" spans="1:7" ht="30" x14ac:dyDescent="0.25">
      <c r="A141" s="205"/>
      <c r="B141" s="205"/>
      <c r="C141" s="205"/>
      <c r="D141" s="206"/>
      <c r="E141" s="218"/>
      <c r="F141" s="70" t="s">
        <v>763</v>
      </c>
      <c r="G141" s="37" t="s">
        <v>765</v>
      </c>
    </row>
    <row r="142" spans="1:7" ht="31.5" customHeight="1" x14ac:dyDescent="0.25">
      <c r="A142" s="205"/>
      <c r="B142" s="205"/>
      <c r="C142" s="205"/>
      <c r="D142" s="204" t="s">
        <v>437</v>
      </c>
      <c r="E142" s="217" t="s">
        <v>286</v>
      </c>
      <c r="F142" s="51" t="s">
        <v>766</v>
      </c>
      <c r="G142" s="37" t="s">
        <v>768</v>
      </c>
    </row>
    <row r="143" spans="1:7" ht="30" x14ac:dyDescent="0.25">
      <c r="A143" s="206"/>
      <c r="B143" s="206"/>
      <c r="C143" s="206"/>
      <c r="D143" s="206"/>
      <c r="E143" s="218"/>
      <c r="F143" s="49" t="s">
        <v>767</v>
      </c>
      <c r="G143" s="37" t="s">
        <v>769</v>
      </c>
    </row>
    <row r="144" spans="1:7" ht="33.75" customHeight="1" x14ac:dyDescent="0.25">
      <c r="A144" s="204">
        <v>37</v>
      </c>
      <c r="B144" s="204" t="s">
        <v>287</v>
      </c>
      <c r="C144" s="204">
        <v>4</v>
      </c>
      <c r="D144" s="204" t="s">
        <v>423</v>
      </c>
      <c r="E144" s="217" t="s">
        <v>289</v>
      </c>
      <c r="F144" s="74" t="s">
        <v>770</v>
      </c>
      <c r="G144" s="37" t="s">
        <v>772</v>
      </c>
    </row>
    <row r="145" spans="1:7" ht="30" x14ac:dyDescent="0.25">
      <c r="A145" s="205"/>
      <c r="B145" s="205"/>
      <c r="C145" s="205"/>
      <c r="D145" s="206"/>
      <c r="E145" s="218"/>
      <c r="F145" s="74" t="s">
        <v>771</v>
      </c>
      <c r="G145" s="37" t="s">
        <v>773</v>
      </c>
    </row>
    <row r="146" spans="1:7" ht="32.25" customHeight="1" x14ac:dyDescent="0.25">
      <c r="A146" s="205"/>
      <c r="B146" s="205"/>
      <c r="C146" s="205"/>
      <c r="D146" s="204" t="s">
        <v>424</v>
      </c>
      <c r="E146" s="217" t="s">
        <v>776</v>
      </c>
      <c r="F146" s="74" t="s">
        <v>774</v>
      </c>
      <c r="G146" s="37" t="s">
        <v>777</v>
      </c>
    </row>
    <row r="147" spans="1:7" ht="30" x14ac:dyDescent="0.25">
      <c r="A147" s="206"/>
      <c r="B147" s="206"/>
      <c r="C147" s="206"/>
      <c r="D147" s="206"/>
      <c r="E147" s="218"/>
      <c r="F147" s="74" t="s">
        <v>775</v>
      </c>
      <c r="G147" s="37" t="s">
        <v>778</v>
      </c>
    </row>
    <row r="148" spans="1:7" ht="45" x14ac:dyDescent="0.25">
      <c r="A148" s="204">
        <v>38</v>
      </c>
      <c r="B148" s="204" t="s">
        <v>288</v>
      </c>
      <c r="C148" s="204">
        <v>2</v>
      </c>
      <c r="D148" s="204" t="s">
        <v>406</v>
      </c>
      <c r="E148" s="217" t="s">
        <v>291</v>
      </c>
      <c r="F148" s="74" t="s">
        <v>779</v>
      </c>
      <c r="G148" s="37" t="s">
        <v>781</v>
      </c>
    </row>
    <row r="149" spans="1:7" ht="30" x14ac:dyDescent="0.25">
      <c r="A149" s="205"/>
      <c r="B149" s="205"/>
      <c r="C149" s="205"/>
      <c r="D149" s="206"/>
      <c r="E149" s="218"/>
      <c r="F149" s="74" t="s">
        <v>780</v>
      </c>
      <c r="G149" s="37" t="s">
        <v>782</v>
      </c>
    </row>
    <row r="150" spans="1:7" ht="33.75" customHeight="1" x14ac:dyDescent="0.25">
      <c r="A150" s="205"/>
      <c r="B150" s="205"/>
      <c r="C150" s="205"/>
      <c r="D150" s="204" t="s">
        <v>407</v>
      </c>
      <c r="E150" s="217" t="s">
        <v>785</v>
      </c>
      <c r="F150" s="74" t="s">
        <v>783</v>
      </c>
      <c r="G150" s="37" t="s">
        <v>786</v>
      </c>
    </row>
    <row r="151" spans="1:7" ht="30" x14ac:dyDescent="0.25">
      <c r="A151" s="206"/>
      <c r="B151" s="206"/>
      <c r="C151" s="206"/>
      <c r="D151" s="206"/>
      <c r="E151" s="218"/>
      <c r="F151" s="74" t="s">
        <v>784</v>
      </c>
      <c r="G151" s="34" t="s">
        <v>787</v>
      </c>
    </row>
    <row r="152" spans="1:7" ht="34.5" customHeight="1" x14ac:dyDescent="0.25">
      <c r="A152" s="204">
        <v>39</v>
      </c>
      <c r="B152" s="204" t="s">
        <v>293</v>
      </c>
      <c r="C152" s="204">
        <v>2</v>
      </c>
      <c r="D152" s="204" t="s">
        <v>408</v>
      </c>
      <c r="E152" s="217" t="s">
        <v>294</v>
      </c>
      <c r="F152" s="74" t="s">
        <v>788</v>
      </c>
      <c r="G152" s="37" t="s">
        <v>790</v>
      </c>
    </row>
    <row r="153" spans="1:7" ht="30" x14ac:dyDescent="0.25">
      <c r="A153" s="205"/>
      <c r="B153" s="205"/>
      <c r="C153" s="205"/>
      <c r="D153" s="206"/>
      <c r="E153" s="218"/>
      <c r="F153" s="74" t="s">
        <v>789</v>
      </c>
      <c r="G153" s="37" t="s">
        <v>791</v>
      </c>
    </row>
    <row r="154" spans="1:7" ht="31.5" customHeight="1" x14ac:dyDescent="0.25">
      <c r="A154" s="205"/>
      <c r="B154" s="205"/>
      <c r="C154" s="205"/>
      <c r="D154" s="204" t="s">
        <v>409</v>
      </c>
      <c r="E154" s="217" t="s">
        <v>295</v>
      </c>
      <c r="F154" s="74" t="s">
        <v>792</v>
      </c>
      <c r="G154" s="37" t="s">
        <v>794</v>
      </c>
    </row>
    <row r="155" spans="1:7" ht="30" x14ac:dyDescent="0.25">
      <c r="A155" s="206"/>
      <c r="B155" s="206"/>
      <c r="C155" s="206"/>
      <c r="D155" s="206"/>
      <c r="E155" s="218"/>
      <c r="F155" s="74" t="s">
        <v>793</v>
      </c>
      <c r="G155" s="37" t="s">
        <v>795</v>
      </c>
    </row>
    <row r="156" spans="1:7" ht="34.5" customHeight="1" x14ac:dyDescent="0.25">
      <c r="A156" s="204">
        <v>40</v>
      </c>
      <c r="B156" s="204" t="s">
        <v>296</v>
      </c>
      <c r="C156" s="204">
        <v>5</v>
      </c>
      <c r="D156" s="212" t="s">
        <v>438</v>
      </c>
      <c r="E156" s="228" t="s">
        <v>796</v>
      </c>
      <c r="F156" s="73" t="s">
        <v>798</v>
      </c>
      <c r="G156" s="37" t="s">
        <v>800</v>
      </c>
    </row>
    <row r="157" spans="1:7" ht="30" x14ac:dyDescent="0.25">
      <c r="A157" s="205"/>
      <c r="B157" s="205"/>
      <c r="C157" s="205"/>
      <c r="D157" s="212"/>
      <c r="E157" s="228"/>
      <c r="F157" s="73" t="s">
        <v>799</v>
      </c>
      <c r="G157" s="37" t="s">
        <v>801</v>
      </c>
    </row>
    <row r="158" spans="1:7" ht="30" x14ac:dyDescent="0.25">
      <c r="A158" s="205"/>
      <c r="B158" s="205"/>
      <c r="C158" s="205"/>
      <c r="D158" s="204" t="s">
        <v>439</v>
      </c>
      <c r="E158" s="228" t="s">
        <v>797</v>
      </c>
      <c r="F158" s="74" t="s">
        <v>804</v>
      </c>
      <c r="G158" s="37" t="s">
        <v>802</v>
      </c>
    </row>
    <row r="159" spans="1:7" ht="30" x14ac:dyDescent="0.25">
      <c r="A159" s="206"/>
      <c r="B159" s="206"/>
      <c r="C159" s="206"/>
      <c r="D159" s="206"/>
      <c r="E159" s="228"/>
      <c r="F159" s="74" t="s">
        <v>805</v>
      </c>
      <c r="G159" s="37" t="s">
        <v>803</v>
      </c>
    </row>
    <row r="160" spans="1:7" ht="36" customHeight="1" x14ac:dyDescent="0.25">
      <c r="A160" s="204">
        <v>41</v>
      </c>
      <c r="B160" s="204" t="s">
        <v>297</v>
      </c>
      <c r="C160" s="204">
        <v>2</v>
      </c>
      <c r="D160" s="204" t="s">
        <v>412</v>
      </c>
      <c r="E160" s="217" t="s">
        <v>298</v>
      </c>
      <c r="F160" s="73" t="s">
        <v>806</v>
      </c>
      <c r="G160" s="37" t="s">
        <v>810</v>
      </c>
    </row>
    <row r="161" spans="1:7" ht="30" x14ac:dyDescent="0.25">
      <c r="A161" s="205"/>
      <c r="B161" s="205"/>
      <c r="C161" s="205"/>
      <c r="D161" s="206"/>
      <c r="E161" s="218"/>
      <c r="F161" s="73" t="s">
        <v>807</v>
      </c>
      <c r="G161" s="37" t="s">
        <v>811</v>
      </c>
    </row>
    <row r="162" spans="1:7" ht="34.5" customHeight="1" x14ac:dyDescent="0.25">
      <c r="A162" s="205"/>
      <c r="B162" s="205"/>
      <c r="C162" s="205"/>
      <c r="D162" s="204" t="s">
        <v>413</v>
      </c>
      <c r="E162" s="217" t="s">
        <v>299</v>
      </c>
      <c r="F162" s="73" t="s">
        <v>808</v>
      </c>
      <c r="G162" s="37" t="s">
        <v>812</v>
      </c>
    </row>
    <row r="163" spans="1:7" ht="30" x14ac:dyDescent="0.25">
      <c r="A163" s="206"/>
      <c r="B163" s="206"/>
      <c r="C163" s="206"/>
      <c r="D163" s="206"/>
      <c r="E163" s="218"/>
      <c r="F163" s="73" t="s">
        <v>809</v>
      </c>
      <c r="G163" s="37" t="s">
        <v>813</v>
      </c>
    </row>
    <row r="164" spans="1:7" ht="33" customHeight="1" x14ac:dyDescent="0.25">
      <c r="A164" s="204">
        <v>42</v>
      </c>
      <c r="B164" s="204" t="s">
        <v>302</v>
      </c>
      <c r="C164" s="204">
        <v>5</v>
      </c>
      <c r="D164" s="204" t="s">
        <v>440</v>
      </c>
      <c r="E164" s="217" t="s">
        <v>300</v>
      </c>
      <c r="F164" s="74" t="s">
        <v>814</v>
      </c>
      <c r="G164" s="37" t="s">
        <v>816</v>
      </c>
    </row>
    <row r="165" spans="1:7" ht="31.5" customHeight="1" x14ac:dyDescent="0.25">
      <c r="A165" s="205"/>
      <c r="B165" s="205"/>
      <c r="C165" s="205"/>
      <c r="D165" s="206"/>
      <c r="E165" s="218"/>
      <c r="F165" s="74" t="s">
        <v>815</v>
      </c>
      <c r="G165" s="37" t="s">
        <v>817</v>
      </c>
    </row>
    <row r="166" spans="1:7" ht="35.25" customHeight="1" x14ac:dyDescent="0.25">
      <c r="A166" s="205"/>
      <c r="B166" s="205"/>
      <c r="C166" s="205"/>
      <c r="D166" s="204" t="s">
        <v>441</v>
      </c>
      <c r="E166" s="217" t="s">
        <v>301</v>
      </c>
      <c r="F166" s="74" t="s">
        <v>818</v>
      </c>
      <c r="G166" s="37" t="s">
        <v>820</v>
      </c>
    </row>
    <row r="167" spans="1:7" ht="45" x14ac:dyDescent="0.25">
      <c r="A167" s="206"/>
      <c r="B167" s="206"/>
      <c r="C167" s="206"/>
      <c r="D167" s="206"/>
      <c r="E167" s="218"/>
      <c r="F167" s="74" t="s">
        <v>819</v>
      </c>
      <c r="G167" s="37" t="s">
        <v>821</v>
      </c>
    </row>
    <row r="168" spans="1:7" ht="19.5" customHeight="1" x14ac:dyDescent="0.25">
      <c r="A168" s="204">
        <v>43</v>
      </c>
      <c r="B168" s="204" t="s">
        <v>303</v>
      </c>
      <c r="C168" s="204">
        <v>4</v>
      </c>
      <c r="D168" s="204" t="s">
        <v>425</v>
      </c>
      <c r="E168" s="217" t="s">
        <v>304</v>
      </c>
      <c r="F168" s="73" t="s">
        <v>822</v>
      </c>
      <c r="G168" s="49" t="s">
        <v>824</v>
      </c>
    </row>
    <row r="169" spans="1:7" ht="30" x14ac:dyDescent="0.25">
      <c r="A169" s="205"/>
      <c r="B169" s="205"/>
      <c r="C169" s="205"/>
      <c r="D169" s="206"/>
      <c r="E169" s="218"/>
      <c r="F169" s="73" t="s">
        <v>823</v>
      </c>
      <c r="G169" s="37" t="s">
        <v>825</v>
      </c>
    </row>
    <row r="170" spans="1:7" ht="34.5" customHeight="1" x14ac:dyDescent="0.25">
      <c r="A170" s="205"/>
      <c r="B170" s="205"/>
      <c r="C170" s="205"/>
      <c r="D170" s="204" t="s">
        <v>426</v>
      </c>
      <c r="E170" s="217" t="s">
        <v>305</v>
      </c>
      <c r="F170" s="74" t="s">
        <v>826</v>
      </c>
      <c r="G170" s="37" t="s">
        <v>828</v>
      </c>
    </row>
    <row r="171" spans="1:7" ht="24.75" customHeight="1" x14ac:dyDescent="0.25">
      <c r="A171" s="206"/>
      <c r="B171" s="206"/>
      <c r="C171" s="206"/>
      <c r="D171" s="206"/>
      <c r="E171" s="218"/>
      <c r="F171" s="74" t="s">
        <v>827</v>
      </c>
      <c r="G171" s="49" t="s">
        <v>829</v>
      </c>
    </row>
    <row r="172" spans="1:7" ht="30" x14ac:dyDescent="0.25">
      <c r="A172" s="204">
        <v>44</v>
      </c>
      <c r="B172" s="204" t="s">
        <v>306</v>
      </c>
      <c r="C172" s="204">
        <v>5</v>
      </c>
      <c r="D172" s="204" t="s">
        <v>442</v>
      </c>
      <c r="E172" s="217" t="s">
        <v>307</v>
      </c>
      <c r="F172" s="79" t="s">
        <v>832</v>
      </c>
      <c r="G172" s="37" t="s">
        <v>834</v>
      </c>
    </row>
    <row r="173" spans="1:7" ht="30" x14ac:dyDescent="0.25">
      <c r="A173" s="205"/>
      <c r="B173" s="205"/>
      <c r="C173" s="206"/>
      <c r="D173" s="206"/>
      <c r="E173" s="218"/>
      <c r="F173" s="79" t="s">
        <v>833</v>
      </c>
      <c r="G173" s="34" t="s">
        <v>835</v>
      </c>
    </row>
    <row r="174" spans="1:7" ht="32.25" customHeight="1" x14ac:dyDescent="0.25">
      <c r="A174" s="205"/>
      <c r="B174" s="205"/>
      <c r="C174" s="204">
        <v>6</v>
      </c>
      <c r="D174" s="204" t="s">
        <v>235</v>
      </c>
      <c r="E174" s="217" t="s">
        <v>830</v>
      </c>
      <c r="F174" s="79" t="s">
        <v>836</v>
      </c>
      <c r="G174" s="37" t="s">
        <v>838</v>
      </c>
    </row>
    <row r="175" spans="1:7" ht="30" x14ac:dyDescent="0.25">
      <c r="A175" s="206"/>
      <c r="B175" s="206"/>
      <c r="C175" s="206"/>
      <c r="D175" s="206"/>
      <c r="E175" s="218"/>
      <c r="F175" s="79" t="s">
        <v>837</v>
      </c>
      <c r="G175" s="37" t="s">
        <v>839</v>
      </c>
    </row>
    <row r="176" spans="1:7" ht="33.75" customHeight="1" x14ac:dyDescent="0.25">
      <c r="A176" s="212">
        <v>45</v>
      </c>
      <c r="B176" s="212" t="s">
        <v>308</v>
      </c>
      <c r="C176" s="204">
        <v>11</v>
      </c>
      <c r="D176" s="204" t="s">
        <v>344</v>
      </c>
      <c r="E176" s="217" t="s">
        <v>309</v>
      </c>
      <c r="F176" s="81" t="s">
        <v>877</v>
      </c>
      <c r="G176" s="37" t="s">
        <v>840</v>
      </c>
    </row>
    <row r="177" spans="1:7" ht="30" x14ac:dyDescent="0.25">
      <c r="A177" s="212"/>
      <c r="B177" s="212"/>
      <c r="C177" s="205"/>
      <c r="D177" s="206"/>
      <c r="E177" s="218"/>
      <c r="F177" s="81" t="s">
        <v>878</v>
      </c>
      <c r="G177" s="37" t="s">
        <v>841</v>
      </c>
    </row>
    <row r="178" spans="1:7" ht="33" customHeight="1" x14ac:dyDescent="0.25">
      <c r="A178" s="212"/>
      <c r="B178" s="212"/>
      <c r="C178" s="205"/>
      <c r="D178" s="204" t="s">
        <v>345</v>
      </c>
      <c r="E178" s="217" t="s">
        <v>310</v>
      </c>
      <c r="F178" s="80" t="s">
        <v>879</v>
      </c>
      <c r="G178" s="37" t="s">
        <v>842</v>
      </c>
    </row>
    <row r="179" spans="1:7" ht="30" x14ac:dyDescent="0.25">
      <c r="A179" s="212"/>
      <c r="B179" s="212"/>
      <c r="C179" s="206"/>
      <c r="D179" s="206"/>
      <c r="E179" s="218"/>
      <c r="F179" s="80" t="s">
        <v>880</v>
      </c>
      <c r="G179" s="37" t="s">
        <v>843</v>
      </c>
    </row>
    <row r="180" spans="1:7" ht="34.5" customHeight="1" x14ac:dyDescent="0.25">
      <c r="A180" s="204">
        <v>46</v>
      </c>
      <c r="B180" s="204" t="s">
        <v>311</v>
      </c>
      <c r="C180" s="204">
        <v>4</v>
      </c>
      <c r="D180" s="204" t="s">
        <v>427</v>
      </c>
      <c r="E180" s="217" t="s">
        <v>324</v>
      </c>
      <c r="F180" s="82" t="s">
        <v>844</v>
      </c>
      <c r="G180" s="37" t="s">
        <v>846</v>
      </c>
    </row>
    <row r="181" spans="1:7" ht="30" x14ac:dyDescent="0.25">
      <c r="A181" s="205"/>
      <c r="B181" s="205"/>
      <c r="C181" s="205"/>
      <c r="D181" s="206"/>
      <c r="E181" s="218"/>
      <c r="F181" s="82" t="s">
        <v>845</v>
      </c>
      <c r="G181" s="37" t="s">
        <v>847</v>
      </c>
    </row>
    <row r="182" spans="1:7" ht="35.25" customHeight="1" x14ac:dyDescent="0.25">
      <c r="A182" s="205"/>
      <c r="B182" s="205"/>
      <c r="C182" s="205"/>
      <c r="D182" s="204" t="s">
        <v>428</v>
      </c>
      <c r="E182" s="217" t="s">
        <v>429</v>
      </c>
      <c r="F182" s="82" t="s">
        <v>848</v>
      </c>
      <c r="G182" s="37" t="s">
        <v>850</v>
      </c>
    </row>
    <row r="183" spans="1:7" ht="30" x14ac:dyDescent="0.25">
      <c r="A183" s="206"/>
      <c r="B183" s="206"/>
      <c r="C183" s="206"/>
      <c r="D183" s="206"/>
      <c r="E183" s="218"/>
      <c r="F183" s="82" t="s">
        <v>849</v>
      </c>
      <c r="G183" s="37" t="s">
        <v>851</v>
      </c>
    </row>
    <row r="184" spans="1:7" ht="33" customHeight="1" x14ac:dyDescent="0.25">
      <c r="A184" s="204">
        <v>51</v>
      </c>
      <c r="B184" s="204" t="s">
        <v>326</v>
      </c>
      <c r="C184" s="204">
        <v>9</v>
      </c>
      <c r="D184" s="221" t="s">
        <v>242</v>
      </c>
      <c r="E184" s="217" t="s">
        <v>328</v>
      </c>
      <c r="F184" s="87" t="s">
        <v>852</v>
      </c>
      <c r="G184" s="37" t="s">
        <v>854</v>
      </c>
    </row>
    <row r="185" spans="1:7" ht="30" x14ac:dyDescent="0.25">
      <c r="A185" s="205"/>
      <c r="B185" s="205"/>
      <c r="C185" s="205"/>
      <c r="D185" s="222"/>
      <c r="E185" s="218"/>
      <c r="F185" s="87" t="s">
        <v>853</v>
      </c>
      <c r="G185" s="83" t="s">
        <v>855</v>
      </c>
    </row>
    <row r="186" spans="1:7" ht="31.5" customHeight="1" x14ac:dyDescent="0.25">
      <c r="A186" s="205"/>
      <c r="B186" s="205"/>
      <c r="C186" s="205"/>
      <c r="D186" s="223" t="s">
        <v>312</v>
      </c>
      <c r="E186" s="217" t="s">
        <v>329</v>
      </c>
      <c r="F186" s="87" t="s">
        <v>856</v>
      </c>
      <c r="G186" s="37" t="s">
        <v>858</v>
      </c>
    </row>
    <row r="187" spans="1:7" ht="30" x14ac:dyDescent="0.25">
      <c r="A187" s="206"/>
      <c r="B187" s="206"/>
      <c r="C187" s="206"/>
      <c r="D187" s="224"/>
      <c r="E187" s="218"/>
      <c r="F187" s="87" t="s">
        <v>857</v>
      </c>
      <c r="G187" s="37" t="s">
        <v>859</v>
      </c>
    </row>
    <row r="188" spans="1:7" ht="33.75" customHeight="1" x14ac:dyDescent="0.25">
      <c r="A188" s="204">
        <v>52</v>
      </c>
      <c r="B188" s="204" t="s">
        <v>330</v>
      </c>
      <c r="C188" s="204">
        <v>4</v>
      </c>
      <c r="D188" s="204" t="s">
        <v>430</v>
      </c>
      <c r="E188" s="217" t="s">
        <v>331</v>
      </c>
      <c r="F188" s="82" t="s">
        <v>862</v>
      </c>
      <c r="G188" s="37" t="s">
        <v>866</v>
      </c>
    </row>
    <row r="189" spans="1:7" ht="30" x14ac:dyDescent="0.25">
      <c r="A189" s="205"/>
      <c r="B189" s="205"/>
      <c r="C189" s="205"/>
      <c r="D189" s="206"/>
      <c r="E189" s="218"/>
      <c r="F189" s="82" t="s">
        <v>863</v>
      </c>
      <c r="G189" s="37" t="s">
        <v>867</v>
      </c>
    </row>
    <row r="190" spans="1:7" ht="34.5" customHeight="1" x14ac:dyDescent="0.25">
      <c r="A190" s="205"/>
      <c r="B190" s="205"/>
      <c r="C190" s="205"/>
      <c r="D190" s="204" t="s">
        <v>431</v>
      </c>
      <c r="E190" s="217" t="s">
        <v>332</v>
      </c>
      <c r="F190" s="51" t="s">
        <v>860</v>
      </c>
      <c r="G190" s="37" t="s">
        <v>864</v>
      </c>
    </row>
    <row r="191" spans="1:7" ht="30" x14ac:dyDescent="0.25">
      <c r="A191" s="206"/>
      <c r="B191" s="206"/>
      <c r="C191" s="206"/>
      <c r="D191" s="206"/>
      <c r="E191" s="218"/>
      <c r="F191" s="49" t="s">
        <v>861</v>
      </c>
      <c r="G191" s="37" t="s">
        <v>865</v>
      </c>
    </row>
    <row r="192" spans="1:7" ht="34.5" customHeight="1" x14ac:dyDescent="0.25">
      <c r="A192" s="204">
        <v>53</v>
      </c>
      <c r="B192" s="204" t="s">
        <v>333</v>
      </c>
      <c r="C192" s="204">
        <v>5</v>
      </c>
      <c r="D192" s="204" t="s">
        <v>443</v>
      </c>
      <c r="E192" s="217" t="s">
        <v>335</v>
      </c>
      <c r="F192" s="51" t="s">
        <v>868</v>
      </c>
      <c r="G192" s="37" t="s">
        <v>872</v>
      </c>
    </row>
    <row r="193" spans="1:7" ht="44.25" customHeight="1" x14ac:dyDescent="0.25">
      <c r="A193" s="205"/>
      <c r="B193" s="205"/>
      <c r="C193" s="205"/>
      <c r="D193" s="206"/>
      <c r="E193" s="218"/>
      <c r="F193" s="51" t="s">
        <v>869</v>
      </c>
      <c r="G193" s="37" t="s">
        <v>873</v>
      </c>
    </row>
    <row r="194" spans="1:7" ht="34.5" customHeight="1" x14ac:dyDescent="0.25">
      <c r="A194" s="205"/>
      <c r="B194" s="205"/>
      <c r="C194" s="205"/>
      <c r="D194" s="204" t="s">
        <v>831</v>
      </c>
      <c r="E194" s="217" t="s">
        <v>336</v>
      </c>
      <c r="F194" s="82" t="s">
        <v>870</v>
      </c>
      <c r="G194" s="37" t="s">
        <v>874</v>
      </c>
    </row>
    <row r="195" spans="1:7" ht="30" x14ac:dyDescent="0.25">
      <c r="A195" s="206"/>
      <c r="B195" s="206"/>
      <c r="C195" s="206"/>
      <c r="D195" s="206"/>
      <c r="E195" s="218"/>
      <c r="F195" s="80" t="s">
        <v>871</v>
      </c>
      <c r="G195" s="37" t="s">
        <v>875</v>
      </c>
    </row>
    <row r="196" spans="1:7" ht="30" x14ac:dyDescent="0.25">
      <c r="A196" s="204">
        <v>54</v>
      </c>
      <c r="B196" s="204" t="s">
        <v>334</v>
      </c>
      <c r="C196" s="204">
        <v>10</v>
      </c>
      <c r="D196" s="221" t="s">
        <v>317</v>
      </c>
      <c r="E196" s="217" t="s">
        <v>338</v>
      </c>
      <c r="F196" s="87" t="s">
        <v>881</v>
      </c>
      <c r="G196" s="37" t="s">
        <v>883</v>
      </c>
    </row>
    <row r="197" spans="1:7" ht="30" x14ac:dyDescent="0.25">
      <c r="A197" s="205"/>
      <c r="B197" s="205"/>
      <c r="C197" s="205"/>
      <c r="D197" s="222"/>
      <c r="E197" s="218"/>
      <c r="F197" s="87" t="s">
        <v>882</v>
      </c>
      <c r="G197" s="37" t="s">
        <v>884</v>
      </c>
    </row>
    <row r="198" spans="1:7" ht="33.75" customHeight="1" x14ac:dyDescent="0.25">
      <c r="A198" s="205"/>
      <c r="B198" s="205"/>
      <c r="C198" s="205"/>
      <c r="D198" s="221" t="s">
        <v>318</v>
      </c>
      <c r="E198" s="217" t="s">
        <v>339</v>
      </c>
      <c r="F198" s="87" t="s">
        <v>886</v>
      </c>
      <c r="G198" s="37" t="s">
        <v>885</v>
      </c>
    </row>
    <row r="199" spans="1:7" ht="30" x14ac:dyDescent="0.25">
      <c r="A199" s="206"/>
      <c r="B199" s="206"/>
      <c r="C199" s="206"/>
      <c r="D199" s="222"/>
      <c r="E199" s="218"/>
      <c r="F199" s="87" t="s">
        <v>887</v>
      </c>
      <c r="G199" s="37" t="s">
        <v>888</v>
      </c>
    </row>
    <row r="200" spans="1:7" ht="30" customHeight="1" x14ac:dyDescent="0.25">
      <c r="A200" s="204">
        <v>55</v>
      </c>
      <c r="B200" s="204" t="s">
        <v>337</v>
      </c>
      <c r="C200" s="204">
        <v>6</v>
      </c>
      <c r="D200" s="204" t="s">
        <v>236</v>
      </c>
      <c r="E200" s="217" t="s">
        <v>340</v>
      </c>
      <c r="F200" s="86" t="s">
        <v>890</v>
      </c>
      <c r="G200" s="37" t="s">
        <v>892</v>
      </c>
    </row>
    <row r="201" spans="1:7" ht="30" x14ac:dyDescent="0.25">
      <c r="A201" s="205"/>
      <c r="B201" s="205"/>
      <c r="C201" s="205"/>
      <c r="D201" s="206"/>
      <c r="E201" s="218"/>
      <c r="F201" s="86" t="s">
        <v>891</v>
      </c>
      <c r="G201" s="37" t="s">
        <v>893</v>
      </c>
    </row>
    <row r="202" spans="1:7" ht="36" customHeight="1" x14ac:dyDescent="0.25">
      <c r="A202" s="205"/>
      <c r="B202" s="205"/>
      <c r="C202" s="205"/>
      <c r="D202" s="204" t="s">
        <v>237</v>
      </c>
      <c r="E202" s="217" t="s">
        <v>341</v>
      </c>
      <c r="F202" s="86" t="s">
        <v>894</v>
      </c>
      <c r="G202" s="37" t="s">
        <v>896</v>
      </c>
    </row>
    <row r="203" spans="1:7" ht="30" x14ac:dyDescent="0.25">
      <c r="A203" s="206"/>
      <c r="B203" s="206"/>
      <c r="C203" s="206"/>
      <c r="D203" s="206"/>
      <c r="E203" s="218"/>
      <c r="F203" s="86" t="s">
        <v>895</v>
      </c>
      <c r="G203" s="37" t="s">
        <v>897</v>
      </c>
    </row>
    <row r="204" spans="1:7" ht="34.5" customHeight="1" x14ac:dyDescent="0.25">
      <c r="A204" s="204">
        <v>56</v>
      </c>
      <c r="B204" s="204" t="s">
        <v>889</v>
      </c>
      <c r="C204" s="204">
        <v>4</v>
      </c>
      <c r="D204" s="204" t="s">
        <v>432</v>
      </c>
      <c r="E204" s="217" t="s">
        <v>342</v>
      </c>
      <c r="F204" s="86" t="s">
        <v>898</v>
      </c>
      <c r="G204" s="37" t="s">
        <v>900</v>
      </c>
    </row>
    <row r="205" spans="1:7" ht="30" x14ac:dyDescent="0.25">
      <c r="A205" s="205"/>
      <c r="B205" s="205"/>
      <c r="C205" s="205"/>
      <c r="D205" s="206"/>
      <c r="E205" s="218"/>
      <c r="F205" s="86" t="s">
        <v>899</v>
      </c>
      <c r="G205" s="37" t="s">
        <v>901</v>
      </c>
    </row>
    <row r="206" spans="1:7" ht="37.5" customHeight="1" x14ac:dyDescent="0.25">
      <c r="A206" s="205"/>
      <c r="B206" s="205"/>
      <c r="C206" s="205"/>
      <c r="D206" s="204" t="s">
        <v>433</v>
      </c>
      <c r="E206" s="217" t="s">
        <v>343</v>
      </c>
      <c r="F206" s="86" t="s">
        <v>902</v>
      </c>
      <c r="G206" s="37" t="s">
        <v>904</v>
      </c>
    </row>
    <row r="207" spans="1:7" ht="30" x14ac:dyDescent="0.25">
      <c r="A207" s="206"/>
      <c r="B207" s="206"/>
      <c r="C207" s="206"/>
      <c r="D207" s="206"/>
      <c r="E207" s="218"/>
      <c r="F207" s="86" t="s">
        <v>903</v>
      </c>
      <c r="G207" s="37" t="s">
        <v>905</v>
      </c>
    </row>
    <row r="208" spans="1:7" ht="35.25" customHeight="1" x14ac:dyDescent="0.25">
      <c r="A208" s="212">
        <v>59</v>
      </c>
      <c r="B208" s="212" t="s">
        <v>411</v>
      </c>
      <c r="C208" s="212">
        <v>4</v>
      </c>
      <c r="D208" s="212" t="s">
        <v>434</v>
      </c>
      <c r="E208" s="228" t="s">
        <v>444</v>
      </c>
      <c r="F208" s="85" t="s">
        <v>906</v>
      </c>
      <c r="G208" s="37" t="s">
        <v>908</v>
      </c>
    </row>
    <row r="209" spans="1:7" ht="30" x14ac:dyDescent="0.25">
      <c r="A209" s="212"/>
      <c r="B209" s="212"/>
      <c r="C209" s="212"/>
      <c r="D209" s="212"/>
      <c r="E209" s="228"/>
      <c r="F209" s="85" t="s">
        <v>907</v>
      </c>
      <c r="G209" s="37" t="s">
        <v>909</v>
      </c>
    </row>
    <row r="210" spans="1:7" ht="33" customHeight="1" x14ac:dyDescent="0.25">
      <c r="A210" s="212"/>
      <c r="B210" s="212"/>
      <c r="C210" s="212"/>
      <c r="D210" s="212" t="s">
        <v>435</v>
      </c>
      <c r="E210" s="228" t="s">
        <v>354</v>
      </c>
      <c r="F210" s="86" t="s">
        <v>910</v>
      </c>
      <c r="G210" s="37" t="s">
        <v>912</v>
      </c>
    </row>
    <row r="211" spans="1:7" ht="30" x14ac:dyDescent="0.25">
      <c r="A211" s="212"/>
      <c r="B211" s="212"/>
      <c r="C211" s="212"/>
      <c r="D211" s="212"/>
      <c r="E211" s="228"/>
      <c r="F211" s="86" t="s">
        <v>911</v>
      </c>
      <c r="G211" s="37" t="s">
        <v>913</v>
      </c>
    </row>
    <row r="212" spans="1:7" ht="31.5" customHeight="1" x14ac:dyDescent="0.25">
      <c r="A212" s="212"/>
      <c r="B212" s="212"/>
      <c r="C212" s="212">
        <v>6</v>
      </c>
      <c r="D212" s="212" t="s">
        <v>238</v>
      </c>
      <c r="E212" s="228" t="s">
        <v>469</v>
      </c>
      <c r="F212" s="86" t="s">
        <v>915</v>
      </c>
      <c r="G212" s="37" t="s">
        <v>914</v>
      </c>
    </row>
    <row r="213" spans="1:7" ht="30" x14ac:dyDescent="0.25">
      <c r="A213" s="212"/>
      <c r="B213" s="212"/>
      <c r="C213" s="212"/>
      <c r="D213" s="212"/>
      <c r="E213" s="228"/>
      <c r="F213" s="86" t="s">
        <v>916</v>
      </c>
      <c r="G213" s="37" t="s">
        <v>917</v>
      </c>
    </row>
    <row r="214" spans="1:7" ht="33.75" customHeight="1" x14ac:dyDescent="0.25">
      <c r="A214" s="212"/>
      <c r="B214" s="212"/>
      <c r="C214" s="212">
        <v>9</v>
      </c>
      <c r="D214" s="230" t="s">
        <v>313</v>
      </c>
      <c r="E214" s="228" t="s">
        <v>351</v>
      </c>
      <c r="F214" s="87" t="s">
        <v>920</v>
      </c>
      <c r="G214" s="37" t="s">
        <v>918</v>
      </c>
    </row>
    <row r="215" spans="1:7" ht="30" x14ac:dyDescent="0.25">
      <c r="A215" s="212"/>
      <c r="B215" s="212"/>
      <c r="C215" s="212"/>
      <c r="D215" s="230"/>
      <c r="E215" s="228"/>
      <c r="F215" s="87" t="s">
        <v>921</v>
      </c>
      <c r="G215" s="37" t="s">
        <v>919</v>
      </c>
    </row>
    <row r="216" spans="1:7" ht="34.5" customHeight="1" x14ac:dyDescent="0.25">
      <c r="A216" s="212"/>
      <c r="B216" s="212"/>
      <c r="C216" s="204">
        <v>10</v>
      </c>
      <c r="D216" s="221" t="s">
        <v>319</v>
      </c>
      <c r="E216" s="217" t="s">
        <v>350</v>
      </c>
      <c r="F216" s="90" t="s">
        <v>922</v>
      </c>
      <c r="G216" s="37" t="s">
        <v>924</v>
      </c>
    </row>
    <row r="217" spans="1:7" ht="30" x14ac:dyDescent="0.25">
      <c r="A217" s="212"/>
      <c r="B217" s="212"/>
      <c r="C217" s="206"/>
      <c r="D217" s="222"/>
      <c r="E217" s="218"/>
      <c r="F217" s="90" t="s">
        <v>923</v>
      </c>
      <c r="G217" s="37" t="s">
        <v>925</v>
      </c>
    </row>
    <row r="218" spans="1:7" ht="34.5" customHeight="1" x14ac:dyDescent="0.25">
      <c r="A218" s="212">
        <v>60</v>
      </c>
      <c r="B218" s="212" t="s">
        <v>346</v>
      </c>
      <c r="C218" s="204">
        <v>4</v>
      </c>
      <c r="D218" s="204" t="s">
        <v>436</v>
      </c>
      <c r="E218" s="217" t="s">
        <v>353</v>
      </c>
      <c r="F218" s="86" t="s">
        <v>926</v>
      </c>
      <c r="G218" s="37" t="s">
        <v>928</v>
      </c>
    </row>
    <row r="219" spans="1:7" ht="30" x14ac:dyDescent="0.25">
      <c r="A219" s="212"/>
      <c r="B219" s="212"/>
      <c r="C219" s="206"/>
      <c r="D219" s="206"/>
      <c r="E219" s="218"/>
      <c r="F219" s="86" t="s">
        <v>927</v>
      </c>
      <c r="G219" s="37" t="s">
        <v>929</v>
      </c>
    </row>
    <row r="220" spans="1:7" ht="34.5" customHeight="1" x14ac:dyDescent="0.25">
      <c r="A220" s="212"/>
      <c r="B220" s="212"/>
      <c r="C220" s="204">
        <v>7</v>
      </c>
      <c r="D220" s="204" t="s">
        <v>239</v>
      </c>
      <c r="E220" s="217" t="s">
        <v>354</v>
      </c>
      <c r="F220" s="86" t="s">
        <v>930</v>
      </c>
      <c r="G220" s="37" t="s">
        <v>932</v>
      </c>
    </row>
    <row r="221" spans="1:7" ht="30" x14ac:dyDescent="0.25">
      <c r="A221" s="212"/>
      <c r="B221" s="212"/>
      <c r="C221" s="205"/>
      <c r="D221" s="206"/>
      <c r="E221" s="218"/>
      <c r="F221" s="86" t="s">
        <v>931</v>
      </c>
      <c r="G221" s="37" t="s">
        <v>933</v>
      </c>
    </row>
    <row r="222" spans="1:7" ht="36" customHeight="1" x14ac:dyDescent="0.25">
      <c r="A222" s="212"/>
      <c r="B222" s="212"/>
      <c r="C222" s="205"/>
      <c r="D222" s="204" t="s">
        <v>240</v>
      </c>
      <c r="E222" s="217" t="s">
        <v>468</v>
      </c>
      <c r="F222" s="86" t="s">
        <v>934</v>
      </c>
      <c r="G222" s="37" t="s">
        <v>936</v>
      </c>
    </row>
    <row r="223" spans="1:7" ht="42" customHeight="1" x14ac:dyDescent="0.25">
      <c r="A223" s="212"/>
      <c r="B223" s="212"/>
      <c r="C223" s="206"/>
      <c r="D223" s="206"/>
      <c r="E223" s="218"/>
      <c r="F223" s="86" t="s">
        <v>935</v>
      </c>
      <c r="G223" s="37" t="s">
        <v>937</v>
      </c>
    </row>
    <row r="224" spans="1:7" ht="33.75" customHeight="1" x14ac:dyDescent="0.25">
      <c r="A224" s="212"/>
      <c r="B224" s="212"/>
      <c r="C224" s="204">
        <v>8</v>
      </c>
      <c r="D224" s="204" t="s">
        <v>241</v>
      </c>
      <c r="E224" s="217" t="s">
        <v>467</v>
      </c>
      <c r="F224" s="88" t="s">
        <v>939</v>
      </c>
      <c r="G224" s="37" t="s">
        <v>938</v>
      </c>
    </row>
    <row r="225" spans="1:7" ht="30" x14ac:dyDescent="0.25">
      <c r="A225" s="212"/>
      <c r="B225" s="212"/>
      <c r="C225" s="206"/>
      <c r="D225" s="206"/>
      <c r="E225" s="218"/>
      <c r="F225" s="88" t="s">
        <v>940</v>
      </c>
      <c r="G225" s="34" t="s">
        <v>941</v>
      </c>
    </row>
    <row r="226" spans="1:7" ht="62.25" customHeight="1" x14ac:dyDescent="0.25">
      <c r="A226" s="204">
        <v>61</v>
      </c>
      <c r="B226" s="204" t="s">
        <v>352</v>
      </c>
      <c r="C226" s="204">
        <v>4</v>
      </c>
      <c r="D226" s="188" t="s">
        <v>1112</v>
      </c>
      <c r="E226" s="217" t="s">
        <v>1110</v>
      </c>
      <c r="F226" s="94" t="s">
        <v>1114</v>
      </c>
      <c r="G226" s="37" t="s">
        <v>1118</v>
      </c>
    </row>
    <row r="227" spans="1:7" ht="45" customHeight="1" x14ac:dyDescent="0.25">
      <c r="A227" s="205"/>
      <c r="B227" s="205"/>
      <c r="C227" s="205"/>
      <c r="D227" s="190"/>
      <c r="E227" s="218"/>
      <c r="F227" s="171" t="s">
        <v>1115</v>
      </c>
      <c r="G227" s="37" t="s">
        <v>1119</v>
      </c>
    </row>
    <row r="228" spans="1:7" ht="20.25" customHeight="1" x14ac:dyDescent="0.25">
      <c r="A228" s="205"/>
      <c r="B228" s="205"/>
      <c r="C228" s="205"/>
      <c r="D228" s="188" t="s">
        <v>1113</v>
      </c>
      <c r="E228" s="217" t="s">
        <v>1111</v>
      </c>
      <c r="F228" s="90" t="s">
        <v>1116</v>
      </c>
      <c r="G228" s="37" t="s">
        <v>1120</v>
      </c>
    </row>
    <row r="229" spans="1:7" ht="69.75" customHeight="1" x14ac:dyDescent="0.25">
      <c r="A229" s="206"/>
      <c r="B229" s="206"/>
      <c r="C229" s="206"/>
      <c r="D229" s="190"/>
      <c r="E229" s="218"/>
      <c r="F229" s="90" t="s">
        <v>1117</v>
      </c>
      <c r="G229" s="37" t="s">
        <v>1121</v>
      </c>
    </row>
    <row r="230" spans="1:7" ht="34.5" customHeight="1" x14ac:dyDescent="0.25">
      <c r="A230" s="204">
        <v>62</v>
      </c>
      <c r="B230" s="204" t="s">
        <v>445</v>
      </c>
      <c r="C230" s="204">
        <v>9</v>
      </c>
      <c r="D230" s="221" t="s">
        <v>314</v>
      </c>
      <c r="E230" s="217" t="s">
        <v>492</v>
      </c>
      <c r="F230" s="94" t="s">
        <v>942</v>
      </c>
      <c r="G230" s="37" t="s">
        <v>944</v>
      </c>
    </row>
    <row r="231" spans="1:7" ht="30" x14ac:dyDescent="0.25">
      <c r="A231" s="205"/>
      <c r="B231" s="205"/>
      <c r="C231" s="205"/>
      <c r="D231" s="222"/>
      <c r="E231" s="218"/>
      <c r="F231" s="94" t="s">
        <v>943</v>
      </c>
      <c r="G231" s="37" t="s">
        <v>945</v>
      </c>
    </row>
    <row r="232" spans="1:7" ht="33.75" customHeight="1" x14ac:dyDescent="0.25">
      <c r="A232" s="205"/>
      <c r="B232" s="205"/>
      <c r="C232" s="205"/>
      <c r="D232" s="221" t="s">
        <v>476</v>
      </c>
      <c r="E232" s="217" t="s">
        <v>470</v>
      </c>
      <c r="F232" s="94" t="s">
        <v>946</v>
      </c>
      <c r="G232" s="37" t="s">
        <v>948</v>
      </c>
    </row>
    <row r="233" spans="1:7" ht="30" x14ac:dyDescent="0.25">
      <c r="A233" s="206"/>
      <c r="B233" s="206"/>
      <c r="C233" s="206"/>
      <c r="D233" s="222"/>
      <c r="E233" s="218"/>
      <c r="F233" s="94" t="s">
        <v>947</v>
      </c>
      <c r="G233" s="37" t="s">
        <v>949</v>
      </c>
    </row>
    <row r="234" spans="1:7" ht="30.75" customHeight="1" x14ac:dyDescent="0.25">
      <c r="A234" s="204">
        <v>63</v>
      </c>
      <c r="B234" s="204" t="s">
        <v>449</v>
      </c>
      <c r="C234" s="204">
        <v>9</v>
      </c>
      <c r="D234" s="221" t="s">
        <v>876</v>
      </c>
      <c r="E234" s="217" t="s">
        <v>471</v>
      </c>
      <c r="F234" s="94" t="s">
        <v>950</v>
      </c>
      <c r="G234" s="37" t="s">
        <v>952</v>
      </c>
    </row>
    <row r="235" spans="1:7" ht="30" x14ac:dyDescent="0.25">
      <c r="A235" s="205"/>
      <c r="B235" s="205"/>
      <c r="C235" s="205"/>
      <c r="D235" s="222"/>
      <c r="E235" s="218"/>
      <c r="F235" s="94" t="s">
        <v>951</v>
      </c>
      <c r="G235" s="37" t="s">
        <v>953</v>
      </c>
    </row>
    <row r="236" spans="1:7" ht="36" customHeight="1" x14ac:dyDescent="0.25">
      <c r="A236" s="205"/>
      <c r="B236" s="205"/>
      <c r="C236" s="205"/>
      <c r="D236" s="221" t="s">
        <v>315</v>
      </c>
      <c r="E236" s="217" t="s">
        <v>472</v>
      </c>
      <c r="F236" s="94" t="s">
        <v>954</v>
      </c>
      <c r="G236" s="37" t="s">
        <v>956</v>
      </c>
    </row>
    <row r="237" spans="1:7" ht="30" x14ac:dyDescent="0.25">
      <c r="A237" s="206"/>
      <c r="B237" s="206"/>
      <c r="C237" s="206"/>
      <c r="D237" s="222"/>
      <c r="E237" s="218"/>
      <c r="F237" s="94" t="s">
        <v>955</v>
      </c>
      <c r="G237" s="37" t="s">
        <v>957</v>
      </c>
    </row>
    <row r="238" spans="1:7" ht="32.25" customHeight="1" x14ac:dyDescent="0.25">
      <c r="A238" s="204">
        <v>64</v>
      </c>
      <c r="B238" s="204" t="s">
        <v>452</v>
      </c>
      <c r="C238" s="204">
        <v>9</v>
      </c>
      <c r="D238" s="221" t="s">
        <v>316</v>
      </c>
      <c r="E238" s="196" t="s">
        <v>473</v>
      </c>
      <c r="F238" s="54" t="s">
        <v>958</v>
      </c>
      <c r="G238" s="37" t="s">
        <v>960</v>
      </c>
    </row>
    <row r="239" spans="1:7" ht="30" x14ac:dyDescent="0.25">
      <c r="A239" s="205"/>
      <c r="B239" s="205"/>
      <c r="C239" s="205"/>
      <c r="D239" s="222"/>
      <c r="E239" s="197"/>
      <c r="F239" s="54" t="s">
        <v>959</v>
      </c>
      <c r="G239" s="37" t="s">
        <v>961</v>
      </c>
    </row>
    <row r="240" spans="1:7" ht="32.25" customHeight="1" x14ac:dyDescent="0.25">
      <c r="A240" s="205"/>
      <c r="B240" s="205"/>
      <c r="C240" s="205"/>
      <c r="D240" s="221" t="s">
        <v>317</v>
      </c>
      <c r="E240" s="217" t="s">
        <v>474</v>
      </c>
      <c r="F240" s="94" t="s">
        <v>881</v>
      </c>
      <c r="G240" s="37" t="s">
        <v>962</v>
      </c>
    </row>
    <row r="241" spans="1:7" ht="30" x14ac:dyDescent="0.25">
      <c r="A241" s="206"/>
      <c r="B241" s="206"/>
      <c r="C241" s="206"/>
      <c r="D241" s="222"/>
      <c r="E241" s="218"/>
      <c r="F241" s="94" t="s">
        <v>882</v>
      </c>
      <c r="G241" s="37" t="s">
        <v>963</v>
      </c>
    </row>
    <row r="242" spans="1:7" ht="32.25" customHeight="1" x14ac:dyDescent="0.25">
      <c r="A242" s="204">
        <v>65</v>
      </c>
      <c r="B242" s="204" t="s">
        <v>453</v>
      </c>
      <c r="C242" s="204">
        <v>10</v>
      </c>
      <c r="D242" s="221" t="s">
        <v>322</v>
      </c>
      <c r="E242" s="217" t="s">
        <v>477</v>
      </c>
      <c r="F242" s="94" t="s">
        <v>964</v>
      </c>
      <c r="G242" s="37" t="s">
        <v>966</v>
      </c>
    </row>
    <row r="243" spans="1:7" ht="30" x14ac:dyDescent="0.25">
      <c r="A243" s="205"/>
      <c r="B243" s="205"/>
      <c r="C243" s="205"/>
      <c r="D243" s="222"/>
      <c r="E243" s="218"/>
      <c r="F243" s="94" t="s">
        <v>965</v>
      </c>
      <c r="G243" s="37" t="s">
        <v>967</v>
      </c>
    </row>
    <row r="244" spans="1:7" ht="33.75" customHeight="1" x14ac:dyDescent="0.25">
      <c r="A244" s="205"/>
      <c r="B244" s="205"/>
      <c r="C244" s="205"/>
      <c r="D244" s="221" t="s">
        <v>323</v>
      </c>
      <c r="E244" s="217" t="s">
        <v>478</v>
      </c>
      <c r="F244" s="94" t="s">
        <v>968</v>
      </c>
      <c r="G244" s="37" t="s">
        <v>970</v>
      </c>
    </row>
    <row r="245" spans="1:7" ht="30" x14ac:dyDescent="0.25">
      <c r="A245" s="206"/>
      <c r="B245" s="206"/>
      <c r="C245" s="206"/>
      <c r="D245" s="222"/>
      <c r="E245" s="218"/>
      <c r="F245" s="94" t="s">
        <v>969</v>
      </c>
      <c r="G245" s="37" t="s">
        <v>971</v>
      </c>
    </row>
    <row r="246" spans="1:7" ht="32.25" customHeight="1" x14ac:dyDescent="0.25">
      <c r="A246" s="204">
        <v>66</v>
      </c>
      <c r="B246" s="204" t="s">
        <v>456</v>
      </c>
      <c r="C246" s="204">
        <v>12</v>
      </c>
      <c r="D246" s="225" t="s">
        <v>383</v>
      </c>
      <c r="E246" s="231" t="s">
        <v>479</v>
      </c>
      <c r="F246" s="92" t="s">
        <v>543</v>
      </c>
      <c r="G246" s="37" t="s">
        <v>975</v>
      </c>
    </row>
    <row r="247" spans="1:7" ht="30" x14ac:dyDescent="0.25">
      <c r="A247" s="205"/>
      <c r="B247" s="205"/>
      <c r="C247" s="205"/>
      <c r="D247" s="227"/>
      <c r="E247" s="232"/>
      <c r="F247" s="92" t="s">
        <v>544</v>
      </c>
      <c r="G247" s="37" t="s">
        <v>976</v>
      </c>
    </row>
    <row r="248" spans="1:7" ht="30" x14ac:dyDescent="0.25">
      <c r="A248" s="205"/>
      <c r="B248" s="205"/>
      <c r="C248" s="205"/>
      <c r="D248" s="204" t="s">
        <v>379</v>
      </c>
      <c r="E248" s="217" t="s">
        <v>480</v>
      </c>
      <c r="F248" s="93" t="s">
        <v>552</v>
      </c>
      <c r="G248" s="37" t="s">
        <v>973</v>
      </c>
    </row>
    <row r="249" spans="1:7" ht="30" x14ac:dyDescent="0.25">
      <c r="A249" s="206"/>
      <c r="B249" s="206"/>
      <c r="C249" s="206"/>
      <c r="D249" s="206"/>
      <c r="E249" s="218"/>
      <c r="F249" s="93" t="s">
        <v>972</v>
      </c>
      <c r="G249" s="37" t="s">
        <v>974</v>
      </c>
    </row>
    <row r="250" spans="1:7" ht="33" customHeight="1" x14ac:dyDescent="0.25">
      <c r="A250" s="204">
        <v>67</v>
      </c>
      <c r="B250" s="204" t="s">
        <v>457</v>
      </c>
      <c r="C250" s="204">
        <v>12</v>
      </c>
      <c r="D250" s="204" t="s">
        <v>380</v>
      </c>
      <c r="E250" s="217" t="s">
        <v>481</v>
      </c>
      <c r="F250" s="219" t="s">
        <v>977</v>
      </c>
      <c r="G250" s="37" t="s">
        <v>978</v>
      </c>
    </row>
    <row r="251" spans="1:7" ht="30" x14ac:dyDescent="0.25">
      <c r="A251" s="205"/>
      <c r="B251" s="205"/>
      <c r="C251" s="205"/>
      <c r="D251" s="206"/>
      <c r="E251" s="218"/>
      <c r="F251" s="220"/>
      <c r="G251" s="37" t="s">
        <v>979</v>
      </c>
    </row>
    <row r="252" spans="1:7" ht="33" customHeight="1" x14ac:dyDescent="0.25">
      <c r="A252" s="205"/>
      <c r="B252" s="205"/>
      <c r="C252" s="205"/>
      <c r="D252" s="204" t="s">
        <v>381</v>
      </c>
      <c r="E252" s="217" t="s">
        <v>482</v>
      </c>
      <c r="F252" s="95" t="s">
        <v>563</v>
      </c>
      <c r="G252" s="37" t="s">
        <v>980</v>
      </c>
    </row>
    <row r="253" spans="1:7" ht="30" x14ac:dyDescent="0.25">
      <c r="A253" s="206"/>
      <c r="B253" s="206"/>
      <c r="C253" s="206"/>
      <c r="D253" s="206"/>
      <c r="E253" s="218"/>
      <c r="F253" s="95" t="s">
        <v>567</v>
      </c>
      <c r="G253" s="37" t="s">
        <v>981</v>
      </c>
    </row>
  </sheetData>
  <mergeCells count="437">
    <mergeCell ref="A242:A245"/>
    <mergeCell ref="B242:B245"/>
    <mergeCell ref="C242:C245"/>
    <mergeCell ref="D242:D243"/>
    <mergeCell ref="E242:E243"/>
    <mergeCell ref="D244:D245"/>
    <mergeCell ref="E244:E245"/>
    <mergeCell ref="A246:A249"/>
    <mergeCell ref="B246:B249"/>
    <mergeCell ref="C246:C249"/>
    <mergeCell ref="D246:D247"/>
    <mergeCell ref="E246:E247"/>
    <mergeCell ref="D248:D249"/>
    <mergeCell ref="E248:E249"/>
    <mergeCell ref="E232:E233"/>
    <mergeCell ref="A234:A237"/>
    <mergeCell ref="B234:B237"/>
    <mergeCell ref="C234:C237"/>
    <mergeCell ref="D234:D235"/>
    <mergeCell ref="E234:E235"/>
    <mergeCell ref="D236:D237"/>
    <mergeCell ref="E236:E237"/>
    <mergeCell ref="D238:D239"/>
    <mergeCell ref="E238:E239"/>
    <mergeCell ref="A238:A241"/>
    <mergeCell ref="B238:B241"/>
    <mergeCell ref="C238:C241"/>
    <mergeCell ref="D240:D241"/>
    <mergeCell ref="E240:E241"/>
    <mergeCell ref="C220:C223"/>
    <mergeCell ref="D220:D221"/>
    <mergeCell ref="E220:E221"/>
    <mergeCell ref="D222:D223"/>
    <mergeCell ref="E222:E223"/>
    <mergeCell ref="A218:A225"/>
    <mergeCell ref="B218:B225"/>
    <mergeCell ref="A208:A217"/>
    <mergeCell ref="B208:B217"/>
    <mergeCell ref="C216:C217"/>
    <mergeCell ref="D216:D217"/>
    <mergeCell ref="E216:E217"/>
    <mergeCell ref="D218:D219"/>
    <mergeCell ref="E218:E219"/>
    <mergeCell ref="C218:C219"/>
    <mergeCell ref="D208:D209"/>
    <mergeCell ref="E208:E209"/>
    <mergeCell ref="D210:D211"/>
    <mergeCell ref="E210:E211"/>
    <mergeCell ref="C208:C211"/>
    <mergeCell ref="C212:C213"/>
    <mergeCell ref="D212:D213"/>
    <mergeCell ref="E212:E213"/>
    <mergeCell ref="C214:C215"/>
    <mergeCell ref="D214:D215"/>
    <mergeCell ref="E214:E215"/>
    <mergeCell ref="A200:A203"/>
    <mergeCell ref="B200:B203"/>
    <mergeCell ref="C200:C203"/>
    <mergeCell ref="D200:D201"/>
    <mergeCell ref="E200:E201"/>
    <mergeCell ref="D202:D203"/>
    <mergeCell ref="E202:E203"/>
    <mergeCell ref="A204:A207"/>
    <mergeCell ref="B204:B207"/>
    <mergeCell ref="C204:C207"/>
    <mergeCell ref="D204:D205"/>
    <mergeCell ref="E204:E205"/>
    <mergeCell ref="D206:D207"/>
    <mergeCell ref="E206:E207"/>
    <mergeCell ref="A164:A167"/>
    <mergeCell ref="B164:B167"/>
    <mergeCell ref="C164:C167"/>
    <mergeCell ref="D164:D165"/>
    <mergeCell ref="E164:E165"/>
    <mergeCell ref="D166:D167"/>
    <mergeCell ref="E166:E167"/>
    <mergeCell ref="A172:A175"/>
    <mergeCell ref="B172:B175"/>
    <mergeCell ref="C172:C173"/>
    <mergeCell ref="D172:D173"/>
    <mergeCell ref="E172:E173"/>
    <mergeCell ref="C174:C175"/>
    <mergeCell ref="D174:D175"/>
    <mergeCell ref="E174:E175"/>
    <mergeCell ref="A168:A171"/>
    <mergeCell ref="B168:B171"/>
    <mergeCell ref="C168:C171"/>
    <mergeCell ref="D168:D169"/>
    <mergeCell ref="E168:E169"/>
    <mergeCell ref="D170:D171"/>
    <mergeCell ref="E170:E171"/>
    <mergeCell ref="D156:D157"/>
    <mergeCell ref="E156:E157"/>
    <mergeCell ref="A156:A159"/>
    <mergeCell ref="B156:B159"/>
    <mergeCell ref="C156:C159"/>
    <mergeCell ref="D158:D159"/>
    <mergeCell ref="E158:E159"/>
    <mergeCell ref="A160:A163"/>
    <mergeCell ref="B160:B163"/>
    <mergeCell ref="C160:C163"/>
    <mergeCell ref="D160:D161"/>
    <mergeCell ref="E160:E161"/>
    <mergeCell ref="D162:D163"/>
    <mergeCell ref="E162:E163"/>
    <mergeCell ref="D148:D149"/>
    <mergeCell ref="E148:E149"/>
    <mergeCell ref="D150:D151"/>
    <mergeCell ref="E150:E151"/>
    <mergeCell ref="A152:A155"/>
    <mergeCell ref="B152:B155"/>
    <mergeCell ref="C152:C155"/>
    <mergeCell ref="D152:D153"/>
    <mergeCell ref="E152:E153"/>
    <mergeCell ref="D154:D155"/>
    <mergeCell ref="E154:E155"/>
    <mergeCell ref="A128:A131"/>
    <mergeCell ref="B128:B131"/>
    <mergeCell ref="C128:C131"/>
    <mergeCell ref="D128:D129"/>
    <mergeCell ref="E128:E129"/>
    <mergeCell ref="D130:D131"/>
    <mergeCell ref="E130:E131"/>
    <mergeCell ref="A132:A135"/>
    <mergeCell ref="B132:B135"/>
    <mergeCell ref="C132:C135"/>
    <mergeCell ref="D132:D133"/>
    <mergeCell ref="E132:E133"/>
    <mergeCell ref="D134:D135"/>
    <mergeCell ref="E134:E135"/>
    <mergeCell ref="D118:D119"/>
    <mergeCell ref="E118:E119"/>
    <mergeCell ref="D120:D121"/>
    <mergeCell ref="E120:E121"/>
    <mergeCell ref="A120:A123"/>
    <mergeCell ref="B120:B123"/>
    <mergeCell ref="C120:C123"/>
    <mergeCell ref="D122:D123"/>
    <mergeCell ref="A124:A127"/>
    <mergeCell ref="B124:B127"/>
    <mergeCell ref="C124:C127"/>
    <mergeCell ref="D124:D125"/>
    <mergeCell ref="E124:E125"/>
    <mergeCell ref="D126:D127"/>
    <mergeCell ref="E126:E127"/>
    <mergeCell ref="B60:B63"/>
    <mergeCell ref="C60:C63"/>
    <mergeCell ref="D62:D63"/>
    <mergeCell ref="E62:E63"/>
    <mergeCell ref="A84:A87"/>
    <mergeCell ref="B84:B87"/>
    <mergeCell ref="C84:C87"/>
    <mergeCell ref="D84:D85"/>
    <mergeCell ref="E84:E85"/>
    <mergeCell ref="D86:D87"/>
    <mergeCell ref="E86:E87"/>
    <mergeCell ref="A80:A83"/>
    <mergeCell ref="B80:B83"/>
    <mergeCell ref="C80:C83"/>
    <mergeCell ref="D80:D81"/>
    <mergeCell ref="E80:E81"/>
    <mergeCell ref="D82:D83"/>
    <mergeCell ref="E82:E83"/>
    <mergeCell ref="A72:A75"/>
    <mergeCell ref="B72:B75"/>
    <mergeCell ref="C72:C75"/>
    <mergeCell ref="D72:D73"/>
    <mergeCell ref="E72:E73"/>
    <mergeCell ref="D74:D75"/>
    <mergeCell ref="E20:E21"/>
    <mergeCell ref="D22:D23"/>
    <mergeCell ref="E22:E23"/>
    <mergeCell ref="B24:B27"/>
    <mergeCell ref="A24:A27"/>
    <mergeCell ref="C24:C27"/>
    <mergeCell ref="D24:D25"/>
    <mergeCell ref="E24:E25"/>
    <mergeCell ref="D26:D27"/>
    <mergeCell ref="E26:E27"/>
    <mergeCell ref="A2:A5"/>
    <mergeCell ref="D2:D3"/>
    <mergeCell ref="E2:E3"/>
    <mergeCell ref="D4:D5"/>
    <mergeCell ref="E4:E5"/>
    <mergeCell ref="B2:B5"/>
    <mergeCell ref="C2:C5"/>
    <mergeCell ref="D6:D7"/>
    <mergeCell ref="E6:E7"/>
    <mergeCell ref="A6:A9"/>
    <mergeCell ref="B6:B9"/>
    <mergeCell ref="C6:C9"/>
    <mergeCell ref="D8:D9"/>
    <mergeCell ref="E8:E9"/>
    <mergeCell ref="A10:A13"/>
    <mergeCell ref="B10:B13"/>
    <mergeCell ref="C10:C13"/>
    <mergeCell ref="D12:D13"/>
    <mergeCell ref="E12:E13"/>
    <mergeCell ref="D10:D11"/>
    <mergeCell ref="E10:E11"/>
    <mergeCell ref="D34:D35"/>
    <mergeCell ref="E34:E35"/>
    <mergeCell ref="A14:A15"/>
    <mergeCell ref="B14:B15"/>
    <mergeCell ref="C14:C15"/>
    <mergeCell ref="A16:A19"/>
    <mergeCell ref="B16:B19"/>
    <mergeCell ref="C16:C19"/>
    <mergeCell ref="D16:D17"/>
    <mergeCell ref="E16:E17"/>
    <mergeCell ref="D18:D19"/>
    <mergeCell ref="E18:E19"/>
    <mergeCell ref="A20:A23"/>
    <mergeCell ref="B20:B23"/>
    <mergeCell ref="C20:C23"/>
    <mergeCell ref="D20:D21"/>
    <mergeCell ref="D28:D29"/>
    <mergeCell ref="E28:E29"/>
    <mergeCell ref="D30:D31"/>
    <mergeCell ref="E30:E31"/>
    <mergeCell ref="D32:D33"/>
    <mergeCell ref="E32:E33"/>
    <mergeCell ref="A36:A39"/>
    <mergeCell ref="B36:B39"/>
    <mergeCell ref="C36:C39"/>
    <mergeCell ref="A28:A31"/>
    <mergeCell ref="B28:B31"/>
    <mergeCell ref="C28:C31"/>
    <mergeCell ref="A32:A35"/>
    <mergeCell ref="B32:B35"/>
    <mergeCell ref="C32:C35"/>
    <mergeCell ref="D36:D37"/>
    <mergeCell ref="E36:E37"/>
    <mergeCell ref="D38:D39"/>
    <mergeCell ref="E38:E39"/>
    <mergeCell ref="E40:E41"/>
    <mergeCell ref="D42:D43"/>
    <mergeCell ref="E42:E43"/>
    <mergeCell ref="A44:A47"/>
    <mergeCell ref="B44:B47"/>
    <mergeCell ref="C44:C47"/>
    <mergeCell ref="D44:D45"/>
    <mergeCell ref="E44:E45"/>
    <mergeCell ref="D46:D47"/>
    <mergeCell ref="E46:E47"/>
    <mergeCell ref="A40:A43"/>
    <mergeCell ref="C40:C43"/>
    <mergeCell ref="B40:B43"/>
    <mergeCell ref="D40:D41"/>
    <mergeCell ref="E48:E49"/>
    <mergeCell ref="D50:D51"/>
    <mergeCell ref="E50:E51"/>
    <mergeCell ref="A52:A55"/>
    <mergeCell ref="B52:B55"/>
    <mergeCell ref="C52:C55"/>
    <mergeCell ref="D52:D53"/>
    <mergeCell ref="E52:E53"/>
    <mergeCell ref="D54:D55"/>
    <mergeCell ref="E54:E55"/>
    <mergeCell ref="A48:A51"/>
    <mergeCell ref="B48:B51"/>
    <mergeCell ref="C48:C51"/>
    <mergeCell ref="D48:D49"/>
    <mergeCell ref="A56:A59"/>
    <mergeCell ref="B56:B59"/>
    <mergeCell ref="C56:C59"/>
    <mergeCell ref="D56:D57"/>
    <mergeCell ref="E56:E57"/>
    <mergeCell ref="D58:D59"/>
    <mergeCell ref="E58:E59"/>
    <mergeCell ref="D68:D69"/>
    <mergeCell ref="E68:E69"/>
    <mergeCell ref="A68:A71"/>
    <mergeCell ref="B68:B71"/>
    <mergeCell ref="C68:C71"/>
    <mergeCell ref="D70:D71"/>
    <mergeCell ref="E70:E71"/>
    <mergeCell ref="D64:D65"/>
    <mergeCell ref="E64:E65"/>
    <mergeCell ref="A64:A67"/>
    <mergeCell ref="B64:B67"/>
    <mergeCell ref="C64:C67"/>
    <mergeCell ref="D66:D67"/>
    <mergeCell ref="E66:E67"/>
    <mergeCell ref="D60:D61"/>
    <mergeCell ref="E60:E61"/>
    <mergeCell ref="A60:A63"/>
    <mergeCell ref="E74:E75"/>
    <mergeCell ref="D76:D77"/>
    <mergeCell ref="E76:E77"/>
    <mergeCell ref="A76:A79"/>
    <mergeCell ref="B76:B79"/>
    <mergeCell ref="C76:C79"/>
    <mergeCell ref="D78:D79"/>
    <mergeCell ref="E78:E79"/>
    <mergeCell ref="D88:D89"/>
    <mergeCell ref="E88:E89"/>
    <mergeCell ref="D90:D91"/>
    <mergeCell ref="E90:E91"/>
    <mergeCell ref="A88:A91"/>
    <mergeCell ref="B88:B91"/>
    <mergeCell ref="C88:C91"/>
    <mergeCell ref="A92:A95"/>
    <mergeCell ref="B92:B95"/>
    <mergeCell ref="C92:C95"/>
    <mergeCell ref="D92:D93"/>
    <mergeCell ref="E92:E93"/>
    <mergeCell ref="D94:D95"/>
    <mergeCell ref="E94:E95"/>
    <mergeCell ref="A104:A107"/>
    <mergeCell ref="B104:B107"/>
    <mergeCell ref="C104:C107"/>
    <mergeCell ref="D104:D105"/>
    <mergeCell ref="E104:E105"/>
    <mergeCell ref="D106:D107"/>
    <mergeCell ref="E106:E107"/>
    <mergeCell ref="A96:A99"/>
    <mergeCell ref="B96:B99"/>
    <mergeCell ref="C96:C99"/>
    <mergeCell ref="D96:D97"/>
    <mergeCell ref="E96:E97"/>
    <mergeCell ref="D98:D99"/>
    <mergeCell ref="E98:E99"/>
    <mergeCell ref="A100:A103"/>
    <mergeCell ref="B100:B103"/>
    <mergeCell ref="C100:C103"/>
    <mergeCell ref="D100:D101"/>
    <mergeCell ref="E100:E101"/>
    <mergeCell ref="D102:D103"/>
    <mergeCell ref="E102:E103"/>
    <mergeCell ref="A108:A111"/>
    <mergeCell ref="B108:B111"/>
    <mergeCell ref="C108:C111"/>
    <mergeCell ref="D108:D109"/>
    <mergeCell ref="E108:E109"/>
    <mergeCell ref="D110:D111"/>
    <mergeCell ref="E110:E111"/>
    <mergeCell ref="A136:A139"/>
    <mergeCell ref="B136:B139"/>
    <mergeCell ref="C136:C139"/>
    <mergeCell ref="D136:D137"/>
    <mergeCell ref="E136:E137"/>
    <mergeCell ref="D112:D113"/>
    <mergeCell ref="E112:E113"/>
    <mergeCell ref="A112:A115"/>
    <mergeCell ref="B112:B115"/>
    <mergeCell ref="C112:C115"/>
    <mergeCell ref="D114:D115"/>
    <mergeCell ref="E114:E115"/>
    <mergeCell ref="D116:D117"/>
    <mergeCell ref="E116:E117"/>
    <mergeCell ref="A116:A119"/>
    <mergeCell ref="B116:B119"/>
    <mergeCell ref="C116:C119"/>
    <mergeCell ref="A176:A179"/>
    <mergeCell ref="B176:B179"/>
    <mergeCell ref="C176:C179"/>
    <mergeCell ref="D176:D177"/>
    <mergeCell ref="E176:E177"/>
    <mergeCell ref="D178:D179"/>
    <mergeCell ref="E178:E179"/>
    <mergeCell ref="A140:A143"/>
    <mergeCell ref="B140:B143"/>
    <mergeCell ref="C140:C143"/>
    <mergeCell ref="D140:D141"/>
    <mergeCell ref="E140:E141"/>
    <mergeCell ref="D142:D143"/>
    <mergeCell ref="E142:E143"/>
    <mergeCell ref="A144:A147"/>
    <mergeCell ref="B144:B147"/>
    <mergeCell ref="C144:C147"/>
    <mergeCell ref="D144:D145"/>
    <mergeCell ref="E144:E145"/>
    <mergeCell ref="D146:D147"/>
    <mergeCell ref="E146:E147"/>
    <mergeCell ref="A148:A151"/>
    <mergeCell ref="B148:B151"/>
    <mergeCell ref="C148:C151"/>
    <mergeCell ref="A180:A183"/>
    <mergeCell ref="B180:B183"/>
    <mergeCell ref="C180:C183"/>
    <mergeCell ref="D180:D181"/>
    <mergeCell ref="E180:E181"/>
    <mergeCell ref="D182:D183"/>
    <mergeCell ref="E182:E183"/>
    <mergeCell ref="A184:A187"/>
    <mergeCell ref="B184:B187"/>
    <mergeCell ref="C184:C187"/>
    <mergeCell ref="D184:D185"/>
    <mergeCell ref="E184:E185"/>
    <mergeCell ref="D186:D187"/>
    <mergeCell ref="E186:E187"/>
    <mergeCell ref="A196:A199"/>
    <mergeCell ref="B196:B199"/>
    <mergeCell ref="C196:C199"/>
    <mergeCell ref="D196:D197"/>
    <mergeCell ref="E196:E197"/>
    <mergeCell ref="A188:A191"/>
    <mergeCell ref="B188:B191"/>
    <mergeCell ref="C188:C191"/>
    <mergeCell ref="D188:D189"/>
    <mergeCell ref="E188:E189"/>
    <mergeCell ref="D190:D191"/>
    <mergeCell ref="E190:E191"/>
    <mergeCell ref="A192:A195"/>
    <mergeCell ref="B192:B195"/>
    <mergeCell ref="C192:C195"/>
    <mergeCell ref="D192:D193"/>
    <mergeCell ref="E192:E193"/>
    <mergeCell ref="D194:D195"/>
    <mergeCell ref="E194:E195"/>
    <mergeCell ref="D198:D199"/>
    <mergeCell ref="E198:E199"/>
    <mergeCell ref="A250:A253"/>
    <mergeCell ref="B250:B253"/>
    <mergeCell ref="C250:C253"/>
    <mergeCell ref="D250:D251"/>
    <mergeCell ref="E250:E251"/>
    <mergeCell ref="F250:F251"/>
    <mergeCell ref="D252:D253"/>
    <mergeCell ref="E252:E253"/>
    <mergeCell ref="C224:C225"/>
    <mergeCell ref="D224:D225"/>
    <mergeCell ref="E224:E225"/>
    <mergeCell ref="A226:A229"/>
    <mergeCell ref="B226:B229"/>
    <mergeCell ref="C226:C229"/>
    <mergeCell ref="D226:D227"/>
    <mergeCell ref="E226:E227"/>
    <mergeCell ref="E228:E229"/>
    <mergeCell ref="D228:D229"/>
    <mergeCell ref="A230:A233"/>
    <mergeCell ref="B230:B233"/>
    <mergeCell ref="C230:C233"/>
    <mergeCell ref="D230:D231"/>
    <mergeCell ref="E230:E231"/>
    <mergeCell ref="D232:D233"/>
  </mergeCells>
  <pageMargins left="0.7" right="0.7" top="0.75" bottom="0.75" header="0.3" footer="0.3"/>
  <pageSetup orientation="portrait" horizontalDpi="360" verticalDpi="36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254"/>
  <sheetViews>
    <sheetView topLeftCell="A94" workbookViewId="0">
      <selection activeCell="C227" sqref="C227:C230"/>
    </sheetView>
  </sheetViews>
  <sheetFormatPr defaultRowHeight="18.75" customHeight="1" x14ac:dyDescent="0.25"/>
  <cols>
    <col min="1" max="1" width="8" style="29" customWidth="1"/>
    <col min="2" max="2" width="7" style="29" customWidth="1"/>
    <col min="3" max="3" width="11" style="31" customWidth="1"/>
    <col min="4" max="4" width="15.5703125" style="31" customWidth="1"/>
    <col min="5" max="5" width="12" style="31" customWidth="1"/>
    <col min="6" max="6" width="14.85546875" style="31" customWidth="1"/>
    <col min="7" max="16384" width="9.140625" style="31"/>
  </cols>
  <sheetData>
    <row r="2" spans="1:8" s="39" customFormat="1" ht="30" customHeight="1" x14ac:dyDescent="0.2">
      <c r="A2" s="110" t="s">
        <v>463</v>
      </c>
      <c r="B2" s="110" t="s">
        <v>358</v>
      </c>
      <c r="C2" s="110" t="s">
        <v>359</v>
      </c>
      <c r="D2" s="110" t="s">
        <v>464</v>
      </c>
      <c r="E2" s="110" t="s">
        <v>982</v>
      </c>
      <c r="F2" s="111" t="s">
        <v>985</v>
      </c>
      <c r="G2" s="110" t="s">
        <v>983</v>
      </c>
      <c r="H2" s="110" t="s">
        <v>984</v>
      </c>
    </row>
    <row r="3" spans="1:8" s="40" customFormat="1" ht="18.75" customHeight="1" x14ac:dyDescent="0.25">
      <c r="A3" s="225" t="s">
        <v>154</v>
      </c>
      <c r="B3" s="204">
        <v>1</v>
      </c>
      <c r="C3" s="204" t="s">
        <v>376</v>
      </c>
      <c r="D3" s="97" t="s">
        <v>483</v>
      </c>
      <c r="E3" s="38" t="s">
        <v>986</v>
      </c>
    </row>
    <row r="4" spans="1:8" ht="18.75" customHeight="1" x14ac:dyDescent="0.25">
      <c r="A4" s="226"/>
      <c r="B4" s="205"/>
      <c r="C4" s="206"/>
      <c r="D4" s="97" t="s">
        <v>484</v>
      </c>
    </row>
    <row r="5" spans="1:8" ht="18.75" customHeight="1" x14ac:dyDescent="0.25">
      <c r="A5" s="226"/>
      <c r="B5" s="205"/>
      <c r="C5" s="204" t="s">
        <v>151</v>
      </c>
      <c r="D5" s="97" t="s">
        <v>486</v>
      </c>
    </row>
    <row r="6" spans="1:8" ht="18.75" customHeight="1" x14ac:dyDescent="0.25">
      <c r="A6" s="227"/>
      <c r="B6" s="206"/>
      <c r="C6" s="206"/>
      <c r="D6" s="97" t="s">
        <v>487</v>
      </c>
    </row>
    <row r="7" spans="1:8" ht="18.75" customHeight="1" x14ac:dyDescent="0.25">
      <c r="A7" s="204" t="s">
        <v>155</v>
      </c>
      <c r="B7" s="204">
        <v>1</v>
      </c>
      <c r="C7" s="204" t="s">
        <v>161</v>
      </c>
      <c r="D7" s="49" t="s">
        <v>488</v>
      </c>
    </row>
    <row r="8" spans="1:8" ht="18.75" customHeight="1" x14ac:dyDescent="0.25">
      <c r="A8" s="205"/>
      <c r="B8" s="205"/>
      <c r="C8" s="206"/>
      <c r="D8" s="49" t="s">
        <v>489</v>
      </c>
    </row>
    <row r="9" spans="1:8" ht="18.75" customHeight="1" x14ac:dyDescent="0.25">
      <c r="A9" s="205"/>
      <c r="B9" s="205"/>
      <c r="C9" s="204" t="s">
        <v>162</v>
      </c>
      <c r="D9" s="51" t="s">
        <v>494</v>
      </c>
    </row>
    <row r="10" spans="1:8" ht="18.75" customHeight="1" x14ac:dyDescent="0.25">
      <c r="A10" s="206"/>
      <c r="B10" s="206"/>
      <c r="C10" s="206"/>
      <c r="D10" s="51" t="s">
        <v>495</v>
      </c>
    </row>
    <row r="11" spans="1:8" ht="18.75" customHeight="1" x14ac:dyDescent="0.25">
      <c r="A11" s="204" t="s">
        <v>156</v>
      </c>
      <c r="B11" s="204">
        <v>2</v>
      </c>
      <c r="C11" s="204" t="s">
        <v>176</v>
      </c>
      <c r="D11" s="98" t="s">
        <v>490</v>
      </c>
    </row>
    <row r="12" spans="1:8" ht="18.75" customHeight="1" x14ac:dyDescent="0.25">
      <c r="A12" s="205"/>
      <c r="B12" s="205"/>
      <c r="C12" s="206"/>
      <c r="D12" s="98" t="s">
        <v>493</v>
      </c>
    </row>
    <row r="13" spans="1:8" ht="18.75" customHeight="1" x14ac:dyDescent="0.25">
      <c r="A13" s="205"/>
      <c r="B13" s="205"/>
      <c r="C13" s="204" t="s">
        <v>182</v>
      </c>
      <c r="D13" s="98" t="s">
        <v>500</v>
      </c>
    </row>
    <row r="14" spans="1:8" ht="18.75" customHeight="1" x14ac:dyDescent="0.25">
      <c r="A14" s="206"/>
      <c r="B14" s="206"/>
      <c r="C14" s="206"/>
      <c r="D14" s="98" t="s">
        <v>501</v>
      </c>
    </row>
    <row r="15" spans="1:8" ht="18.75" customHeight="1" x14ac:dyDescent="0.25">
      <c r="A15" s="212" t="s">
        <v>157</v>
      </c>
      <c r="B15" s="212">
        <v>5</v>
      </c>
      <c r="C15" s="98" t="s">
        <v>226</v>
      </c>
      <c r="D15" s="98" t="s">
        <v>502</v>
      </c>
    </row>
    <row r="16" spans="1:8" ht="18.75" customHeight="1" x14ac:dyDescent="0.25">
      <c r="A16" s="212"/>
      <c r="B16" s="212"/>
      <c r="C16" s="97" t="s">
        <v>227</v>
      </c>
      <c r="D16" s="97" t="s">
        <v>507</v>
      </c>
    </row>
    <row r="17" spans="1:4" ht="18.75" customHeight="1" x14ac:dyDescent="0.25">
      <c r="A17" s="204" t="s">
        <v>158</v>
      </c>
      <c r="B17" s="204">
        <v>2</v>
      </c>
      <c r="C17" s="204" t="s">
        <v>183</v>
      </c>
      <c r="D17" s="97" t="s">
        <v>508</v>
      </c>
    </row>
    <row r="18" spans="1:4" ht="18.75" customHeight="1" x14ac:dyDescent="0.25">
      <c r="A18" s="205"/>
      <c r="B18" s="205"/>
      <c r="C18" s="206"/>
      <c r="D18" s="97" t="s">
        <v>511</v>
      </c>
    </row>
    <row r="19" spans="1:4" ht="18.75" customHeight="1" x14ac:dyDescent="0.25">
      <c r="A19" s="205"/>
      <c r="B19" s="205"/>
      <c r="C19" s="204" t="s">
        <v>184</v>
      </c>
      <c r="D19" s="97" t="s">
        <v>510</v>
      </c>
    </row>
    <row r="20" spans="1:4" ht="18.75" customHeight="1" x14ac:dyDescent="0.25">
      <c r="A20" s="206"/>
      <c r="B20" s="206"/>
      <c r="C20" s="206"/>
      <c r="D20" s="97" t="s">
        <v>513</v>
      </c>
    </row>
    <row r="21" spans="1:4" ht="18.75" customHeight="1" x14ac:dyDescent="0.25">
      <c r="A21" s="204" t="s">
        <v>159</v>
      </c>
      <c r="B21" s="204">
        <v>2</v>
      </c>
      <c r="C21" s="204" t="s">
        <v>185</v>
      </c>
      <c r="D21" s="97" t="s">
        <v>515</v>
      </c>
    </row>
    <row r="22" spans="1:4" ht="18.75" customHeight="1" x14ac:dyDescent="0.25">
      <c r="A22" s="205"/>
      <c r="B22" s="205"/>
      <c r="C22" s="206"/>
      <c r="D22" s="97" t="s">
        <v>518</v>
      </c>
    </row>
    <row r="23" spans="1:4" ht="18.75" customHeight="1" x14ac:dyDescent="0.25">
      <c r="A23" s="205"/>
      <c r="B23" s="205"/>
      <c r="C23" s="204" t="s">
        <v>186</v>
      </c>
      <c r="D23" s="97" t="s">
        <v>519</v>
      </c>
    </row>
    <row r="24" spans="1:4" ht="18.75" customHeight="1" x14ac:dyDescent="0.25">
      <c r="A24" s="206"/>
      <c r="B24" s="206"/>
      <c r="C24" s="206"/>
      <c r="D24" s="97" t="s">
        <v>522</v>
      </c>
    </row>
    <row r="25" spans="1:4" ht="18.75" customHeight="1" x14ac:dyDescent="0.25">
      <c r="A25" s="204" t="s">
        <v>160</v>
      </c>
      <c r="B25" s="204">
        <v>1</v>
      </c>
      <c r="C25" s="204" t="s">
        <v>167</v>
      </c>
      <c r="D25" s="97" t="s">
        <v>523</v>
      </c>
    </row>
    <row r="26" spans="1:4" ht="18.75" customHeight="1" x14ac:dyDescent="0.25">
      <c r="A26" s="205"/>
      <c r="B26" s="205"/>
      <c r="C26" s="206"/>
      <c r="D26" s="97" t="s">
        <v>525</v>
      </c>
    </row>
    <row r="27" spans="1:4" ht="18.75" customHeight="1" x14ac:dyDescent="0.25">
      <c r="A27" s="205"/>
      <c r="B27" s="205"/>
      <c r="C27" s="204" t="s">
        <v>377</v>
      </c>
      <c r="D27" s="97" t="s">
        <v>527</v>
      </c>
    </row>
    <row r="28" spans="1:4" ht="18.75" customHeight="1" x14ac:dyDescent="0.25">
      <c r="A28" s="206"/>
      <c r="B28" s="206"/>
      <c r="C28" s="206"/>
      <c r="D28" s="97" t="s">
        <v>529</v>
      </c>
    </row>
    <row r="29" spans="1:4" ht="18.75" customHeight="1" x14ac:dyDescent="0.25">
      <c r="A29" s="212" t="s">
        <v>166</v>
      </c>
      <c r="B29" s="212">
        <v>1</v>
      </c>
      <c r="C29" s="212" t="s">
        <v>171</v>
      </c>
      <c r="D29" s="97" t="s">
        <v>531</v>
      </c>
    </row>
    <row r="30" spans="1:4" ht="18.75" customHeight="1" x14ac:dyDescent="0.25">
      <c r="A30" s="212"/>
      <c r="B30" s="212"/>
      <c r="C30" s="212"/>
      <c r="D30" s="97" t="s">
        <v>534</v>
      </c>
    </row>
    <row r="31" spans="1:4" ht="18.75" customHeight="1" x14ac:dyDescent="0.25">
      <c r="A31" s="212"/>
      <c r="B31" s="212"/>
      <c r="C31" s="212" t="s">
        <v>378</v>
      </c>
      <c r="D31" s="97" t="s">
        <v>535</v>
      </c>
    </row>
    <row r="32" spans="1:4" ht="18.75" customHeight="1" x14ac:dyDescent="0.25">
      <c r="A32" s="212"/>
      <c r="B32" s="212"/>
      <c r="C32" s="212"/>
      <c r="D32" s="97" t="s">
        <v>536</v>
      </c>
    </row>
    <row r="33" spans="1:4" ht="18.75" customHeight="1" x14ac:dyDescent="0.25">
      <c r="A33" s="204" t="s">
        <v>170</v>
      </c>
      <c r="B33" s="204">
        <v>1</v>
      </c>
      <c r="C33" s="212" t="s">
        <v>175</v>
      </c>
      <c r="D33" s="97" t="s">
        <v>539</v>
      </c>
    </row>
    <row r="34" spans="1:4" ht="18.75" customHeight="1" x14ac:dyDescent="0.25">
      <c r="A34" s="205"/>
      <c r="B34" s="205"/>
      <c r="C34" s="212"/>
      <c r="D34" s="97" t="s">
        <v>541</v>
      </c>
    </row>
    <row r="35" spans="1:4" ht="18.75" customHeight="1" x14ac:dyDescent="0.25">
      <c r="A35" s="205"/>
      <c r="B35" s="205"/>
      <c r="C35" s="219" t="s">
        <v>383</v>
      </c>
      <c r="D35" s="97" t="s">
        <v>543</v>
      </c>
    </row>
    <row r="36" spans="1:4" ht="18.75" customHeight="1" x14ac:dyDescent="0.25">
      <c r="A36" s="206"/>
      <c r="B36" s="206"/>
      <c r="C36" s="220"/>
      <c r="D36" s="97" t="s">
        <v>544</v>
      </c>
    </row>
    <row r="37" spans="1:4" ht="18.75" customHeight="1" x14ac:dyDescent="0.25">
      <c r="A37" s="204" t="s">
        <v>174</v>
      </c>
      <c r="B37" s="204">
        <v>3</v>
      </c>
      <c r="C37" s="204" t="s">
        <v>190</v>
      </c>
      <c r="D37" s="148" t="s">
        <v>553</v>
      </c>
    </row>
    <row r="38" spans="1:4" ht="18.75" customHeight="1" x14ac:dyDescent="0.25">
      <c r="A38" s="205"/>
      <c r="B38" s="205"/>
      <c r="C38" s="206"/>
      <c r="D38" s="148" t="s">
        <v>1099</v>
      </c>
    </row>
    <row r="39" spans="1:4" ht="18.75" customHeight="1" x14ac:dyDescent="0.25">
      <c r="A39" s="205"/>
      <c r="B39" s="205"/>
      <c r="C39" s="204" t="s">
        <v>191</v>
      </c>
      <c r="D39" s="147" t="s">
        <v>554</v>
      </c>
    </row>
    <row r="40" spans="1:4" ht="18.75" customHeight="1" x14ac:dyDescent="0.25">
      <c r="A40" s="206"/>
      <c r="B40" s="206"/>
      <c r="C40" s="206"/>
      <c r="D40" s="147" t="s">
        <v>1100</v>
      </c>
    </row>
    <row r="41" spans="1:4" ht="18.75" customHeight="1" x14ac:dyDescent="0.25">
      <c r="A41" s="204" t="s">
        <v>179</v>
      </c>
      <c r="B41" s="204">
        <v>2</v>
      </c>
      <c r="C41" s="204" t="s">
        <v>187</v>
      </c>
      <c r="D41" s="98" t="s">
        <v>555</v>
      </c>
    </row>
    <row r="42" spans="1:4" ht="18.75" customHeight="1" x14ac:dyDescent="0.25">
      <c r="A42" s="205"/>
      <c r="B42" s="205"/>
      <c r="C42" s="206"/>
      <c r="D42" s="98" t="s">
        <v>558</v>
      </c>
    </row>
    <row r="43" spans="1:4" ht="18.75" customHeight="1" x14ac:dyDescent="0.25">
      <c r="A43" s="205"/>
      <c r="B43" s="205"/>
      <c r="C43" s="204" t="s">
        <v>188</v>
      </c>
      <c r="D43" s="49" t="s">
        <v>559</v>
      </c>
    </row>
    <row r="44" spans="1:4" ht="18.75" customHeight="1" x14ac:dyDescent="0.25">
      <c r="A44" s="206"/>
      <c r="B44" s="206"/>
      <c r="C44" s="206"/>
      <c r="D44" s="49" t="s">
        <v>560</v>
      </c>
    </row>
    <row r="45" spans="1:4" ht="18.75" customHeight="1" x14ac:dyDescent="0.25">
      <c r="A45" s="204" t="s">
        <v>194</v>
      </c>
      <c r="B45" s="204">
        <v>1</v>
      </c>
      <c r="C45" s="204" t="s">
        <v>381</v>
      </c>
      <c r="D45" s="98" t="s">
        <v>563</v>
      </c>
    </row>
    <row r="46" spans="1:4" ht="18.75" customHeight="1" x14ac:dyDescent="0.25">
      <c r="A46" s="205"/>
      <c r="B46" s="205"/>
      <c r="C46" s="206"/>
      <c r="D46" s="98" t="s">
        <v>567</v>
      </c>
    </row>
    <row r="47" spans="1:4" ht="18.75" customHeight="1" x14ac:dyDescent="0.25">
      <c r="A47" s="205"/>
      <c r="B47" s="205"/>
      <c r="C47" s="204" t="s">
        <v>382</v>
      </c>
      <c r="D47" s="97" t="s">
        <v>566</v>
      </c>
    </row>
    <row r="48" spans="1:4" ht="18.75" customHeight="1" x14ac:dyDescent="0.25">
      <c r="A48" s="206"/>
      <c r="B48" s="206"/>
      <c r="C48" s="206"/>
      <c r="D48" s="97" t="s">
        <v>569</v>
      </c>
    </row>
    <row r="49" spans="1:4" ht="18.75" customHeight="1" x14ac:dyDescent="0.25">
      <c r="A49" s="204" t="s">
        <v>394</v>
      </c>
      <c r="B49" s="204">
        <v>2</v>
      </c>
      <c r="C49" s="204" t="s">
        <v>189</v>
      </c>
      <c r="D49" s="98" t="s">
        <v>571</v>
      </c>
    </row>
    <row r="50" spans="1:4" ht="18.75" customHeight="1" x14ac:dyDescent="0.25">
      <c r="A50" s="205"/>
      <c r="B50" s="205"/>
      <c r="C50" s="206"/>
      <c r="D50" s="98" t="s">
        <v>572</v>
      </c>
    </row>
    <row r="51" spans="1:4" ht="18.75" customHeight="1" x14ac:dyDescent="0.25">
      <c r="A51" s="205"/>
      <c r="B51" s="205"/>
      <c r="C51" s="204" t="s">
        <v>395</v>
      </c>
      <c r="D51" s="98" t="s">
        <v>575</v>
      </c>
    </row>
    <row r="52" spans="1:4" ht="18.75" customHeight="1" x14ac:dyDescent="0.25">
      <c r="A52" s="206"/>
      <c r="B52" s="206"/>
      <c r="C52" s="206"/>
      <c r="D52" s="98" t="s">
        <v>576</v>
      </c>
    </row>
    <row r="53" spans="1:4" ht="18.75" customHeight="1" x14ac:dyDescent="0.25">
      <c r="A53" s="204" t="s">
        <v>199</v>
      </c>
      <c r="B53" s="204">
        <v>5</v>
      </c>
      <c r="C53" s="204" t="s">
        <v>228</v>
      </c>
      <c r="D53" s="97" t="s">
        <v>579</v>
      </c>
    </row>
    <row r="54" spans="1:4" ht="18.75" customHeight="1" x14ac:dyDescent="0.25">
      <c r="A54" s="205"/>
      <c r="B54" s="205"/>
      <c r="C54" s="206"/>
      <c r="D54" s="97" t="s">
        <v>580</v>
      </c>
    </row>
    <row r="55" spans="1:4" ht="18.75" customHeight="1" x14ac:dyDescent="0.25">
      <c r="A55" s="205"/>
      <c r="B55" s="205"/>
      <c r="C55" s="204" t="s">
        <v>229</v>
      </c>
      <c r="D55" s="97" t="s">
        <v>583</v>
      </c>
    </row>
    <row r="56" spans="1:4" ht="18.75" customHeight="1" x14ac:dyDescent="0.25">
      <c r="A56" s="206"/>
      <c r="B56" s="206"/>
      <c r="C56" s="206"/>
      <c r="D56" s="97" t="s">
        <v>584</v>
      </c>
    </row>
    <row r="57" spans="1:4" ht="18.75" customHeight="1" x14ac:dyDescent="0.25">
      <c r="A57" s="204" t="s">
        <v>202</v>
      </c>
      <c r="B57" s="204">
        <v>4</v>
      </c>
      <c r="C57" s="204" t="s">
        <v>192</v>
      </c>
      <c r="D57" s="97" t="s">
        <v>587</v>
      </c>
    </row>
    <row r="58" spans="1:4" ht="18.75" customHeight="1" x14ac:dyDescent="0.25">
      <c r="A58" s="205"/>
      <c r="B58" s="205"/>
      <c r="C58" s="206"/>
      <c r="D58" s="97" t="s">
        <v>588</v>
      </c>
    </row>
    <row r="59" spans="1:4" ht="18.75" customHeight="1" x14ac:dyDescent="0.25">
      <c r="A59" s="205"/>
      <c r="B59" s="205"/>
      <c r="C59" s="204" t="s">
        <v>193</v>
      </c>
      <c r="D59" s="49" t="s">
        <v>591</v>
      </c>
    </row>
    <row r="60" spans="1:4" ht="18.75" customHeight="1" x14ac:dyDescent="0.25">
      <c r="A60" s="206"/>
      <c r="B60" s="206"/>
      <c r="C60" s="206"/>
      <c r="D60" s="49" t="s">
        <v>592</v>
      </c>
    </row>
    <row r="61" spans="1:4" ht="18.75" customHeight="1" x14ac:dyDescent="0.25">
      <c r="A61" s="204" t="s">
        <v>205</v>
      </c>
      <c r="B61" s="204">
        <v>4</v>
      </c>
      <c r="C61" s="204" t="s">
        <v>219</v>
      </c>
      <c r="D61" s="97" t="s">
        <v>595</v>
      </c>
    </row>
    <row r="62" spans="1:4" ht="18.75" customHeight="1" x14ac:dyDescent="0.25">
      <c r="A62" s="205"/>
      <c r="B62" s="205"/>
      <c r="C62" s="206"/>
      <c r="D62" s="97" t="s">
        <v>598</v>
      </c>
    </row>
    <row r="63" spans="1:4" ht="18.75" customHeight="1" x14ac:dyDescent="0.25">
      <c r="A63" s="205"/>
      <c r="B63" s="205"/>
      <c r="C63" s="204" t="s">
        <v>220</v>
      </c>
      <c r="D63" s="97" t="s">
        <v>601</v>
      </c>
    </row>
    <row r="64" spans="1:4" ht="18.75" customHeight="1" x14ac:dyDescent="0.25">
      <c r="A64" s="206"/>
      <c r="B64" s="206"/>
      <c r="C64" s="206"/>
      <c r="D64" s="97" t="s">
        <v>602</v>
      </c>
    </row>
    <row r="65" spans="1:4" ht="18.75" customHeight="1" x14ac:dyDescent="0.25">
      <c r="A65" s="204" t="s">
        <v>208</v>
      </c>
      <c r="B65" s="204">
        <v>5</v>
      </c>
      <c r="C65" s="204" t="s">
        <v>230</v>
      </c>
      <c r="D65" s="98" t="s">
        <v>599</v>
      </c>
    </row>
    <row r="66" spans="1:4" ht="18.75" customHeight="1" x14ac:dyDescent="0.25">
      <c r="A66" s="205"/>
      <c r="B66" s="205"/>
      <c r="C66" s="206"/>
      <c r="D66" s="98" t="s">
        <v>600</v>
      </c>
    </row>
    <row r="67" spans="1:4" ht="18.75" customHeight="1" x14ac:dyDescent="0.25">
      <c r="A67" s="205"/>
      <c r="B67" s="205"/>
      <c r="C67" s="204" t="s">
        <v>231</v>
      </c>
      <c r="D67" s="97" t="s">
        <v>607</v>
      </c>
    </row>
    <row r="68" spans="1:4" ht="18.75" customHeight="1" x14ac:dyDescent="0.25">
      <c r="A68" s="206"/>
      <c r="B68" s="206"/>
      <c r="C68" s="206"/>
      <c r="D68" s="97" t="s">
        <v>608</v>
      </c>
    </row>
    <row r="69" spans="1:4" ht="18.75" customHeight="1" x14ac:dyDescent="0.25">
      <c r="A69" s="204" t="s">
        <v>211</v>
      </c>
      <c r="B69" s="204">
        <v>1</v>
      </c>
      <c r="C69" s="204" t="s">
        <v>384</v>
      </c>
      <c r="D69" s="98" t="s">
        <v>611</v>
      </c>
    </row>
    <row r="70" spans="1:4" ht="18.75" customHeight="1" x14ac:dyDescent="0.25">
      <c r="A70" s="205"/>
      <c r="B70" s="205"/>
      <c r="C70" s="206"/>
      <c r="D70" s="98" t="s">
        <v>612</v>
      </c>
    </row>
    <row r="71" spans="1:4" ht="18.75" customHeight="1" x14ac:dyDescent="0.25">
      <c r="A71" s="205"/>
      <c r="B71" s="205"/>
      <c r="C71" s="225" t="s">
        <v>385</v>
      </c>
      <c r="D71" s="49" t="s">
        <v>615</v>
      </c>
    </row>
    <row r="72" spans="1:4" ht="18.75" customHeight="1" x14ac:dyDescent="0.25">
      <c r="A72" s="206"/>
      <c r="B72" s="206"/>
      <c r="C72" s="227"/>
      <c r="D72" s="49" t="s">
        <v>618</v>
      </c>
    </row>
    <row r="73" spans="1:4" ht="18.75" customHeight="1" x14ac:dyDescent="0.25">
      <c r="A73" s="204" t="s">
        <v>214</v>
      </c>
      <c r="B73" s="204">
        <v>2</v>
      </c>
      <c r="C73" s="204" t="s">
        <v>396</v>
      </c>
      <c r="D73" s="98" t="s">
        <v>619</v>
      </c>
    </row>
    <row r="74" spans="1:4" ht="18.75" customHeight="1" x14ac:dyDescent="0.25">
      <c r="A74" s="205"/>
      <c r="B74" s="205"/>
      <c r="C74" s="206"/>
      <c r="D74" s="98" t="s">
        <v>620</v>
      </c>
    </row>
    <row r="75" spans="1:4" ht="18.75" customHeight="1" x14ac:dyDescent="0.25">
      <c r="A75" s="205"/>
      <c r="B75" s="205"/>
      <c r="C75" s="204" t="s">
        <v>397</v>
      </c>
      <c r="D75" s="98" t="s">
        <v>623</v>
      </c>
    </row>
    <row r="76" spans="1:4" ht="18.75" customHeight="1" x14ac:dyDescent="0.25">
      <c r="A76" s="206"/>
      <c r="B76" s="206"/>
      <c r="C76" s="206"/>
      <c r="D76" s="98" t="s">
        <v>624</v>
      </c>
    </row>
    <row r="77" spans="1:4" ht="18.75" customHeight="1" x14ac:dyDescent="0.25">
      <c r="A77" s="204" t="s">
        <v>375</v>
      </c>
      <c r="B77" s="204">
        <v>1</v>
      </c>
      <c r="C77" s="212" t="s">
        <v>386</v>
      </c>
      <c r="D77" s="98" t="s">
        <v>627</v>
      </c>
    </row>
    <row r="78" spans="1:4" ht="18.75" customHeight="1" x14ac:dyDescent="0.25">
      <c r="A78" s="205"/>
      <c r="B78" s="205"/>
      <c r="C78" s="212"/>
      <c r="D78" s="98" t="s">
        <v>628</v>
      </c>
    </row>
    <row r="79" spans="1:4" ht="18.75" customHeight="1" x14ac:dyDescent="0.25">
      <c r="A79" s="205"/>
      <c r="B79" s="205"/>
      <c r="C79" s="225" t="s">
        <v>387</v>
      </c>
      <c r="D79" s="98" t="s">
        <v>631</v>
      </c>
    </row>
    <row r="80" spans="1:4" ht="18.75" customHeight="1" x14ac:dyDescent="0.25">
      <c r="A80" s="206"/>
      <c r="B80" s="206"/>
      <c r="C80" s="227"/>
      <c r="D80" s="98" t="s">
        <v>633</v>
      </c>
    </row>
    <row r="81" spans="1:4" ht="18.75" customHeight="1" x14ac:dyDescent="0.25">
      <c r="A81" s="212" t="s">
        <v>243</v>
      </c>
      <c r="B81" s="212">
        <v>4</v>
      </c>
      <c r="C81" s="204" t="s">
        <v>221</v>
      </c>
      <c r="D81" s="98" t="s">
        <v>635</v>
      </c>
    </row>
    <row r="82" spans="1:4" ht="18.75" customHeight="1" x14ac:dyDescent="0.25">
      <c r="A82" s="212"/>
      <c r="B82" s="212"/>
      <c r="C82" s="206"/>
      <c r="D82" s="98" t="s">
        <v>636</v>
      </c>
    </row>
    <row r="83" spans="1:4" ht="18.75" customHeight="1" x14ac:dyDescent="0.25">
      <c r="A83" s="212"/>
      <c r="B83" s="212"/>
      <c r="C83" s="204" t="s">
        <v>222</v>
      </c>
      <c r="D83" s="98" t="s">
        <v>639</v>
      </c>
    </row>
    <row r="84" spans="1:4" ht="18.75" customHeight="1" x14ac:dyDescent="0.25">
      <c r="A84" s="212"/>
      <c r="B84" s="212"/>
      <c r="C84" s="206"/>
      <c r="D84" s="98" t="s">
        <v>640</v>
      </c>
    </row>
    <row r="85" spans="1:4" ht="18.75" customHeight="1" x14ac:dyDescent="0.25">
      <c r="A85" s="204" t="s">
        <v>246</v>
      </c>
      <c r="B85" s="204">
        <v>1</v>
      </c>
      <c r="C85" s="204" t="s">
        <v>388</v>
      </c>
      <c r="D85" s="98" t="s">
        <v>643</v>
      </c>
    </row>
    <row r="86" spans="1:4" ht="18.75" customHeight="1" x14ac:dyDescent="0.25">
      <c r="A86" s="205"/>
      <c r="B86" s="205"/>
      <c r="C86" s="206"/>
      <c r="D86" s="98" t="s">
        <v>645</v>
      </c>
    </row>
    <row r="87" spans="1:4" ht="18.75" customHeight="1" x14ac:dyDescent="0.25">
      <c r="A87" s="205"/>
      <c r="B87" s="205"/>
      <c r="C87" s="204" t="s">
        <v>389</v>
      </c>
      <c r="D87" s="98" t="s">
        <v>647</v>
      </c>
    </row>
    <row r="88" spans="1:4" ht="18.75" customHeight="1" x14ac:dyDescent="0.25">
      <c r="A88" s="206"/>
      <c r="B88" s="206"/>
      <c r="C88" s="206"/>
      <c r="D88" s="98" t="s">
        <v>649</v>
      </c>
    </row>
    <row r="89" spans="1:4" ht="18.75" customHeight="1" x14ac:dyDescent="0.25">
      <c r="A89" s="212" t="s">
        <v>249</v>
      </c>
      <c r="B89" s="212">
        <v>4</v>
      </c>
      <c r="C89" s="212" t="s">
        <v>223</v>
      </c>
      <c r="D89" s="98" t="s">
        <v>657</v>
      </c>
    </row>
    <row r="90" spans="1:4" ht="18.75" customHeight="1" x14ac:dyDescent="0.25">
      <c r="A90" s="212"/>
      <c r="B90" s="212"/>
      <c r="C90" s="212"/>
      <c r="D90" s="98" t="s">
        <v>658</v>
      </c>
    </row>
    <row r="91" spans="1:4" ht="18.75" customHeight="1" x14ac:dyDescent="0.25">
      <c r="A91" s="212"/>
      <c r="B91" s="212"/>
      <c r="C91" s="212" t="s">
        <v>224</v>
      </c>
      <c r="D91" s="97" t="s">
        <v>653</v>
      </c>
    </row>
    <row r="92" spans="1:4" ht="18.75" customHeight="1" x14ac:dyDescent="0.25">
      <c r="A92" s="212"/>
      <c r="B92" s="212"/>
      <c r="C92" s="212"/>
      <c r="D92" s="97" t="s">
        <v>654</v>
      </c>
    </row>
    <row r="93" spans="1:4" ht="18.75" customHeight="1" x14ac:dyDescent="0.25">
      <c r="A93" s="204" t="s">
        <v>252</v>
      </c>
      <c r="B93" s="204">
        <v>4</v>
      </c>
      <c r="C93" s="204" t="s">
        <v>225</v>
      </c>
      <c r="D93" s="98" t="s">
        <v>659</v>
      </c>
    </row>
    <row r="94" spans="1:4" ht="18.75" customHeight="1" x14ac:dyDescent="0.25">
      <c r="A94" s="205"/>
      <c r="B94" s="205"/>
      <c r="C94" s="206"/>
      <c r="D94" s="98" t="s">
        <v>661</v>
      </c>
    </row>
    <row r="95" spans="1:4" ht="18.75" customHeight="1" x14ac:dyDescent="0.25">
      <c r="A95" s="205"/>
      <c r="B95" s="205"/>
      <c r="C95" s="204" t="s">
        <v>414</v>
      </c>
      <c r="D95" s="51" t="s">
        <v>663</v>
      </c>
    </row>
    <row r="96" spans="1:4" ht="18.75" customHeight="1" x14ac:dyDescent="0.25">
      <c r="A96" s="206"/>
      <c r="B96" s="206"/>
      <c r="C96" s="206"/>
      <c r="D96" s="49" t="s">
        <v>664</v>
      </c>
    </row>
    <row r="97" spans="1:4" ht="18.75" customHeight="1" x14ac:dyDescent="0.25">
      <c r="A97" s="204" t="s">
        <v>255</v>
      </c>
      <c r="B97" s="204">
        <v>1</v>
      </c>
      <c r="C97" s="204" t="s">
        <v>390</v>
      </c>
      <c r="D97" s="98" t="s">
        <v>667</v>
      </c>
    </row>
    <row r="98" spans="1:4" ht="18.75" customHeight="1" x14ac:dyDescent="0.25">
      <c r="A98" s="205"/>
      <c r="B98" s="205"/>
      <c r="C98" s="206"/>
      <c r="D98" s="98" t="s">
        <v>668</v>
      </c>
    </row>
    <row r="99" spans="1:4" ht="18.75" customHeight="1" x14ac:dyDescent="0.25">
      <c r="A99" s="205"/>
      <c r="B99" s="205"/>
      <c r="C99" s="204" t="s">
        <v>391</v>
      </c>
      <c r="D99" s="51" t="s">
        <v>671</v>
      </c>
    </row>
    <row r="100" spans="1:4" ht="18.75" customHeight="1" x14ac:dyDescent="0.25">
      <c r="A100" s="206"/>
      <c r="B100" s="206"/>
      <c r="C100" s="206"/>
      <c r="D100" s="49" t="s">
        <v>672</v>
      </c>
    </row>
    <row r="101" spans="1:4" ht="18.75" customHeight="1" x14ac:dyDescent="0.25">
      <c r="A101" s="204" t="s">
        <v>258</v>
      </c>
      <c r="B101" s="204">
        <v>4</v>
      </c>
      <c r="C101" s="204" t="s">
        <v>415</v>
      </c>
      <c r="D101" s="98" t="s">
        <v>675</v>
      </c>
    </row>
    <row r="102" spans="1:4" ht="18.75" customHeight="1" x14ac:dyDescent="0.25">
      <c r="A102" s="205"/>
      <c r="B102" s="205"/>
      <c r="C102" s="206"/>
      <c r="D102" s="98" t="s">
        <v>676</v>
      </c>
    </row>
    <row r="103" spans="1:4" ht="18.75" customHeight="1" x14ac:dyDescent="0.25">
      <c r="A103" s="205"/>
      <c r="B103" s="205"/>
      <c r="C103" s="204" t="s">
        <v>416</v>
      </c>
      <c r="D103" s="98" t="s">
        <v>679</v>
      </c>
    </row>
    <row r="104" spans="1:4" ht="18.75" customHeight="1" x14ac:dyDescent="0.25">
      <c r="A104" s="206"/>
      <c r="B104" s="206"/>
      <c r="C104" s="206"/>
      <c r="D104" s="98" t="s">
        <v>681</v>
      </c>
    </row>
    <row r="105" spans="1:4" ht="18.75" customHeight="1" x14ac:dyDescent="0.25">
      <c r="A105" s="204" t="s">
        <v>261</v>
      </c>
      <c r="B105" s="204">
        <v>2</v>
      </c>
      <c r="C105" s="204" t="s">
        <v>398</v>
      </c>
      <c r="D105" s="98" t="s">
        <v>683</v>
      </c>
    </row>
    <row r="106" spans="1:4" ht="18.75" customHeight="1" x14ac:dyDescent="0.25">
      <c r="A106" s="205"/>
      <c r="B106" s="205"/>
      <c r="C106" s="206"/>
      <c r="D106" s="98" t="s">
        <v>684</v>
      </c>
    </row>
    <row r="107" spans="1:4" ht="18.75" customHeight="1" x14ac:dyDescent="0.25">
      <c r="A107" s="205"/>
      <c r="B107" s="205"/>
      <c r="C107" s="229" t="s">
        <v>399</v>
      </c>
      <c r="D107" s="99" t="s">
        <v>688</v>
      </c>
    </row>
    <row r="108" spans="1:4" ht="18.75" customHeight="1" x14ac:dyDescent="0.25">
      <c r="A108" s="206"/>
      <c r="B108" s="206"/>
      <c r="C108" s="229"/>
      <c r="D108" s="99" t="s">
        <v>693</v>
      </c>
    </row>
    <row r="109" spans="1:4" ht="18.75" customHeight="1" x14ac:dyDescent="0.25">
      <c r="A109" s="204" t="s">
        <v>262</v>
      </c>
      <c r="B109" s="204">
        <v>1</v>
      </c>
      <c r="C109" s="204" t="s">
        <v>392</v>
      </c>
      <c r="D109" s="51" t="s">
        <v>701</v>
      </c>
    </row>
    <row r="110" spans="1:4" ht="18.75" customHeight="1" x14ac:dyDescent="0.25">
      <c r="A110" s="205"/>
      <c r="B110" s="205"/>
      <c r="C110" s="206"/>
      <c r="D110" s="51" t="s">
        <v>702</v>
      </c>
    </row>
    <row r="111" spans="1:4" ht="18.75" customHeight="1" x14ac:dyDescent="0.25">
      <c r="A111" s="205"/>
      <c r="B111" s="205"/>
      <c r="C111" s="204" t="s">
        <v>393</v>
      </c>
      <c r="D111" s="51" t="s">
        <v>703</v>
      </c>
    </row>
    <row r="112" spans="1:4" ht="18.75" customHeight="1" x14ac:dyDescent="0.25">
      <c r="A112" s="206"/>
      <c r="B112" s="206"/>
      <c r="C112" s="206"/>
      <c r="D112" s="51" t="s">
        <v>704</v>
      </c>
    </row>
    <row r="113" spans="1:4" ht="18.75" customHeight="1" x14ac:dyDescent="0.25">
      <c r="A113" s="204" t="s">
        <v>265</v>
      </c>
      <c r="B113" s="204">
        <v>2</v>
      </c>
      <c r="C113" s="212" t="s">
        <v>400</v>
      </c>
      <c r="D113" s="49" t="s">
        <v>700</v>
      </c>
    </row>
    <row r="114" spans="1:4" ht="18.75" customHeight="1" x14ac:dyDescent="0.25">
      <c r="A114" s="205"/>
      <c r="B114" s="205"/>
      <c r="C114" s="212"/>
      <c r="D114" s="49" t="s">
        <v>705</v>
      </c>
    </row>
    <row r="115" spans="1:4" ht="18.75" customHeight="1" x14ac:dyDescent="0.25">
      <c r="A115" s="205"/>
      <c r="B115" s="205"/>
      <c r="C115" s="204" t="s">
        <v>401</v>
      </c>
      <c r="D115" s="98" t="s">
        <v>708</v>
      </c>
    </row>
    <row r="116" spans="1:4" ht="18.75" customHeight="1" x14ac:dyDescent="0.25">
      <c r="A116" s="206"/>
      <c r="B116" s="206"/>
      <c r="C116" s="206"/>
      <c r="D116" s="98" t="s">
        <v>709</v>
      </c>
    </row>
    <row r="117" spans="1:4" ht="18.75" customHeight="1" x14ac:dyDescent="0.25">
      <c r="A117" s="204" t="s">
        <v>267</v>
      </c>
      <c r="B117" s="204">
        <v>4</v>
      </c>
      <c r="C117" s="212" t="s">
        <v>417</v>
      </c>
      <c r="D117" s="98" t="s">
        <v>711</v>
      </c>
    </row>
    <row r="118" spans="1:4" ht="18.75" customHeight="1" x14ac:dyDescent="0.25">
      <c r="A118" s="205"/>
      <c r="B118" s="205"/>
      <c r="C118" s="212"/>
      <c r="D118" s="98" t="s">
        <v>713</v>
      </c>
    </row>
    <row r="119" spans="1:4" ht="18.75" customHeight="1" x14ac:dyDescent="0.25">
      <c r="A119" s="205"/>
      <c r="B119" s="205"/>
      <c r="C119" s="204" t="s">
        <v>418</v>
      </c>
      <c r="D119" s="98" t="s">
        <v>717</v>
      </c>
    </row>
    <row r="120" spans="1:4" ht="18.75" customHeight="1" x14ac:dyDescent="0.25">
      <c r="A120" s="206"/>
      <c r="B120" s="206"/>
      <c r="C120" s="206"/>
      <c r="D120" s="98" t="s">
        <v>718</v>
      </c>
    </row>
    <row r="121" spans="1:4" ht="18.75" customHeight="1" x14ac:dyDescent="0.25">
      <c r="A121" s="204" t="s">
        <v>270</v>
      </c>
      <c r="B121" s="204">
        <v>2</v>
      </c>
      <c r="C121" s="204" t="s">
        <v>402</v>
      </c>
      <c r="D121" s="98" t="s">
        <v>721</v>
      </c>
    </row>
    <row r="122" spans="1:4" ht="18.75" customHeight="1" x14ac:dyDescent="0.25">
      <c r="A122" s="205"/>
      <c r="B122" s="205"/>
      <c r="C122" s="206"/>
      <c r="D122" s="98" t="s">
        <v>722</v>
      </c>
    </row>
    <row r="123" spans="1:4" ht="18.75" customHeight="1" x14ac:dyDescent="0.25">
      <c r="A123" s="205"/>
      <c r="B123" s="205"/>
      <c r="C123" s="204" t="s">
        <v>403</v>
      </c>
      <c r="D123" s="98" t="s">
        <v>725</v>
      </c>
    </row>
    <row r="124" spans="1:4" ht="18.75" customHeight="1" x14ac:dyDescent="0.25">
      <c r="A124" s="206"/>
      <c r="B124" s="206"/>
      <c r="C124" s="206"/>
      <c r="D124" s="98" t="s">
        <v>726</v>
      </c>
    </row>
    <row r="125" spans="1:4" ht="18.75" customHeight="1" x14ac:dyDescent="0.25">
      <c r="A125" s="204" t="s">
        <v>273</v>
      </c>
      <c r="B125" s="204">
        <v>5</v>
      </c>
      <c r="C125" s="204" t="s">
        <v>232</v>
      </c>
      <c r="D125" s="98" t="s">
        <v>729</v>
      </c>
    </row>
    <row r="126" spans="1:4" ht="18.75" customHeight="1" x14ac:dyDescent="0.25">
      <c r="A126" s="205"/>
      <c r="B126" s="205"/>
      <c r="C126" s="206"/>
      <c r="D126" s="98" t="s">
        <v>730</v>
      </c>
    </row>
    <row r="127" spans="1:4" ht="18.75" customHeight="1" x14ac:dyDescent="0.25">
      <c r="A127" s="205"/>
      <c r="B127" s="205"/>
      <c r="C127" s="204" t="s">
        <v>233</v>
      </c>
      <c r="D127" s="98" t="s">
        <v>733</v>
      </c>
    </row>
    <row r="128" spans="1:4" ht="18.75" customHeight="1" x14ac:dyDescent="0.25">
      <c r="A128" s="206"/>
      <c r="B128" s="206"/>
      <c r="C128" s="206"/>
      <c r="D128" s="98" t="s">
        <v>734</v>
      </c>
    </row>
    <row r="129" spans="1:4" ht="18.75" customHeight="1" x14ac:dyDescent="0.25">
      <c r="A129" s="204" t="s">
        <v>275</v>
      </c>
      <c r="B129" s="204">
        <v>4</v>
      </c>
      <c r="C129" s="204" t="s">
        <v>419</v>
      </c>
      <c r="D129" s="98" t="s">
        <v>738</v>
      </c>
    </row>
    <row r="130" spans="1:4" ht="18.75" customHeight="1" x14ac:dyDescent="0.25">
      <c r="A130" s="205"/>
      <c r="B130" s="205"/>
      <c r="C130" s="206"/>
      <c r="D130" s="98" t="s">
        <v>740</v>
      </c>
    </row>
    <row r="131" spans="1:4" ht="18.75" customHeight="1" x14ac:dyDescent="0.25">
      <c r="A131" s="205"/>
      <c r="B131" s="205"/>
      <c r="C131" s="204" t="s">
        <v>420</v>
      </c>
      <c r="D131" s="98" t="s">
        <v>742</v>
      </c>
    </row>
    <row r="132" spans="1:4" ht="18.75" customHeight="1" x14ac:dyDescent="0.25">
      <c r="A132" s="206"/>
      <c r="B132" s="206"/>
      <c r="C132" s="206"/>
      <c r="D132" s="98" t="s">
        <v>743</v>
      </c>
    </row>
    <row r="133" spans="1:4" ht="18.75" customHeight="1" x14ac:dyDescent="0.25">
      <c r="A133" s="204" t="s">
        <v>278</v>
      </c>
      <c r="B133" s="204">
        <v>4</v>
      </c>
      <c r="C133" s="204" t="s">
        <v>421</v>
      </c>
      <c r="D133" s="98" t="s">
        <v>746</v>
      </c>
    </row>
    <row r="134" spans="1:4" ht="18.75" customHeight="1" x14ac:dyDescent="0.25">
      <c r="A134" s="205"/>
      <c r="B134" s="205"/>
      <c r="C134" s="206"/>
      <c r="D134" s="98" t="s">
        <v>747</v>
      </c>
    </row>
    <row r="135" spans="1:4" ht="18.75" customHeight="1" x14ac:dyDescent="0.25">
      <c r="A135" s="205"/>
      <c r="B135" s="205"/>
      <c r="C135" s="204" t="s">
        <v>422</v>
      </c>
      <c r="D135" s="98" t="s">
        <v>750</v>
      </c>
    </row>
    <row r="136" spans="1:4" ht="18.75" customHeight="1" x14ac:dyDescent="0.25">
      <c r="A136" s="206"/>
      <c r="B136" s="206"/>
      <c r="C136" s="206"/>
      <c r="D136" s="98" t="s">
        <v>751</v>
      </c>
    </row>
    <row r="137" spans="1:4" ht="18.75" customHeight="1" x14ac:dyDescent="0.25">
      <c r="A137" s="204" t="s">
        <v>281</v>
      </c>
      <c r="B137" s="204">
        <v>2</v>
      </c>
      <c r="C137" s="204" t="s">
        <v>404</v>
      </c>
      <c r="D137" s="98" t="s">
        <v>755</v>
      </c>
    </row>
    <row r="138" spans="1:4" ht="18.75" customHeight="1" x14ac:dyDescent="0.25">
      <c r="A138" s="205"/>
      <c r="B138" s="205"/>
      <c r="C138" s="206"/>
      <c r="D138" s="98" t="s">
        <v>756</v>
      </c>
    </row>
    <row r="139" spans="1:4" ht="18.75" customHeight="1" x14ac:dyDescent="0.25">
      <c r="A139" s="205"/>
      <c r="B139" s="205"/>
      <c r="C139" s="98" t="s">
        <v>405</v>
      </c>
      <c r="D139" s="98" t="s">
        <v>758</v>
      </c>
    </row>
    <row r="140" spans="1:4" ht="18.75" customHeight="1" x14ac:dyDescent="0.25">
      <c r="A140" s="206"/>
      <c r="B140" s="206"/>
      <c r="C140" s="75"/>
      <c r="D140" s="98" t="s">
        <v>759</v>
      </c>
    </row>
    <row r="141" spans="1:4" ht="18.75" customHeight="1" x14ac:dyDescent="0.25">
      <c r="A141" s="204" t="s">
        <v>284</v>
      </c>
      <c r="B141" s="204">
        <v>5</v>
      </c>
      <c r="C141" s="204" t="s">
        <v>234</v>
      </c>
      <c r="D141" s="98" t="s">
        <v>762</v>
      </c>
    </row>
    <row r="142" spans="1:4" ht="18.75" customHeight="1" x14ac:dyDescent="0.25">
      <c r="A142" s="205"/>
      <c r="B142" s="205"/>
      <c r="C142" s="206"/>
      <c r="D142" s="98" t="s">
        <v>763</v>
      </c>
    </row>
    <row r="143" spans="1:4" ht="18.75" customHeight="1" x14ac:dyDescent="0.25">
      <c r="A143" s="205"/>
      <c r="B143" s="205"/>
      <c r="C143" s="204" t="s">
        <v>437</v>
      </c>
      <c r="D143" s="51" t="s">
        <v>766</v>
      </c>
    </row>
    <row r="144" spans="1:4" ht="18.75" customHeight="1" x14ac:dyDescent="0.25">
      <c r="A144" s="206"/>
      <c r="B144" s="206"/>
      <c r="C144" s="206"/>
      <c r="D144" s="49" t="s">
        <v>767</v>
      </c>
    </row>
    <row r="145" spans="1:4" ht="18.75" customHeight="1" x14ac:dyDescent="0.25">
      <c r="A145" s="204" t="s">
        <v>287</v>
      </c>
      <c r="B145" s="204">
        <v>4</v>
      </c>
      <c r="C145" s="204" t="s">
        <v>423</v>
      </c>
      <c r="D145" s="98" t="s">
        <v>770</v>
      </c>
    </row>
    <row r="146" spans="1:4" ht="18.75" customHeight="1" x14ac:dyDescent="0.25">
      <c r="A146" s="205"/>
      <c r="B146" s="205"/>
      <c r="C146" s="206"/>
      <c r="D146" s="98" t="s">
        <v>771</v>
      </c>
    </row>
    <row r="147" spans="1:4" ht="18.75" customHeight="1" x14ac:dyDescent="0.25">
      <c r="A147" s="205"/>
      <c r="B147" s="205"/>
      <c r="C147" s="204" t="s">
        <v>424</v>
      </c>
      <c r="D147" s="98" t="s">
        <v>774</v>
      </c>
    </row>
    <row r="148" spans="1:4" ht="18.75" customHeight="1" x14ac:dyDescent="0.25">
      <c r="A148" s="206"/>
      <c r="B148" s="206"/>
      <c r="C148" s="206"/>
      <c r="D148" s="98" t="s">
        <v>775</v>
      </c>
    </row>
    <row r="149" spans="1:4" ht="18.75" customHeight="1" x14ac:dyDescent="0.25">
      <c r="A149" s="204" t="s">
        <v>288</v>
      </c>
      <c r="B149" s="204">
        <v>2</v>
      </c>
      <c r="C149" s="204" t="s">
        <v>406</v>
      </c>
      <c r="D149" s="98" t="s">
        <v>779</v>
      </c>
    </row>
    <row r="150" spans="1:4" ht="18.75" customHeight="1" x14ac:dyDescent="0.25">
      <c r="A150" s="205"/>
      <c r="B150" s="205"/>
      <c r="C150" s="206"/>
      <c r="D150" s="98" t="s">
        <v>780</v>
      </c>
    </row>
    <row r="151" spans="1:4" ht="18.75" customHeight="1" x14ac:dyDescent="0.25">
      <c r="A151" s="205"/>
      <c r="B151" s="205"/>
      <c r="C151" s="204" t="s">
        <v>407</v>
      </c>
      <c r="D151" s="98" t="s">
        <v>783</v>
      </c>
    </row>
    <row r="152" spans="1:4" ht="18.75" customHeight="1" x14ac:dyDescent="0.25">
      <c r="A152" s="206"/>
      <c r="B152" s="206"/>
      <c r="C152" s="206"/>
      <c r="D152" s="98" t="s">
        <v>784</v>
      </c>
    </row>
    <row r="153" spans="1:4" ht="18.75" customHeight="1" x14ac:dyDescent="0.25">
      <c r="A153" s="204" t="s">
        <v>293</v>
      </c>
      <c r="B153" s="204">
        <v>2</v>
      </c>
      <c r="C153" s="204" t="s">
        <v>408</v>
      </c>
      <c r="D153" s="98" t="s">
        <v>788</v>
      </c>
    </row>
    <row r="154" spans="1:4" ht="18.75" customHeight="1" x14ac:dyDescent="0.25">
      <c r="A154" s="205"/>
      <c r="B154" s="205"/>
      <c r="C154" s="206"/>
      <c r="D154" s="98" t="s">
        <v>789</v>
      </c>
    </row>
    <row r="155" spans="1:4" ht="18.75" customHeight="1" x14ac:dyDescent="0.25">
      <c r="A155" s="205"/>
      <c r="B155" s="205"/>
      <c r="C155" s="204" t="s">
        <v>409</v>
      </c>
      <c r="D155" s="98" t="s">
        <v>792</v>
      </c>
    </row>
    <row r="156" spans="1:4" ht="18.75" customHeight="1" x14ac:dyDescent="0.25">
      <c r="A156" s="206"/>
      <c r="B156" s="206"/>
      <c r="C156" s="206"/>
      <c r="D156" s="98" t="s">
        <v>793</v>
      </c>
    </row>
    <row r="157" spans="1:4" ht="18.75" customHeight="1" x14ac:dyDescent="0.25">
      <c r="A157" s="204" t="s">
        <v>296</v>
      </c>
      <c r="B157" s="204">
        <v>5</v>
      </c>
      <c r="C157" s="212" t="s">
        <v>438</v>
      </c>
      <c r="D157" s="97" t="s">
        <v>798</v>
      </c>
    </row>
    <row r="158" spans="1:4" ht="18.75" customHeight="1" x14ac:dyDescent="0.25">
      <c r="A158" s="205"/>
      <c r="B158" s="205"/>
      <c r="C158" s="212"/>
      <c r="D158" s="97" t="s">
        <v>799</v>
      </c>
    </row>
    <row r="159" spans="1:4" ht="18.75" customHeight="1" x14ac:dyDescent="0.25">
      <c r="A159" s="205"/>
      <c r="B159" s="205"/>
      <c r="C159" s="204" t="s">
        <v>439</v>
      </c>
      <c r="D159" s="98" t="s">
        <v>804</v>
      </c>
    </row>
    <row r="160" spans="1:4" ht="18.75" customHeight="1" x14ac:dyDescent="0.25">
      <c r="A160" s="206"/>
      <c r="B160" s="206"/>
      <c r="C160" s="206"/>
      <c r="D160" s="98" t="s">
        <v>805</v>
      </c>
    </row>
    <row r="161" spans="1:4" ht="18.75" customHeight="1" x14ac:dyDescent="0.25">
      <c r="A161" s="204" t="s">
        <v>297</v>
      </c>
      <c r="B161" s="204">
        <v>2</v>
      </c>
      <c r="C161" s="204" t="s">
        <v>412</v>
      </c>
      <c r="D161" s="97" t="s">
        <v>806</v>
      </c>
    </row>
    <row r="162" spans="1:4" ht="18.75" customHeight="1" x14ac:dyDescent="0.25">
      <c r="A162" s="205"/>
      <c r="B162" s="205"/>
      <c r="C162" s="206"/>
      <c r="D162" s="97" t="s">
        <v>807</v>
      </c>
    </row>
    <row r="163" spans="1:4" ht="18.75" customHeight="1" x14ac:dyDescent="0.25">
      <c r="A163" s="205"/>
      <c r="B163" s="205"/>
      <c r="C163" s="204" t="s">
        <v>413</v>
      </c>
      <c r="D163" s="97" t="s">
        <v>808</v>
      </c>
    </row>
    <row r="164" spans="1:4" ht="18.75" customHeight="1" x14ac:dyDescent="0.25">
      <c r="A164" s="206"/>
      <c r="B164" s="206"/>
      <c r="C164" s="206"/>
      <c r="D164" s="97" t="s">
        <v>809</v>
      </c>
    </row>
    <row r="165" spans="1:4" ht="18.75" customHeight="1" x14ac:dyDescent="0.25">
      <c r="A165" s="204" t="s">
        <v>302</v>
      </c>
      <c r="B165" s="204">
        <v>5</v>
      </c>
      <c r="C165" s="204" t="s">
        <v>440</v>
      </c>
      <c r="D165" s="98" t="s">
        <v>814</v>
      </c>
    </row>
    <row r="166" spans="1:4" ht="18.75" customHeight="1" x14ac:dyDescent="0.25">
      <c r="A166" s="205"/>
      <c r="B166" s="205"/>
      <c r="C166" s="206"/>
      <c r="D166" s="98" t="s">
        <v>815</v>
      </c>
    </row>
    <row r="167" spans="1:4" ht="18.75" customHeight="1" x14ac:dyDescent="0.25">
      <c r="A167" s="205"/>
      <c r="B167" s="205"/>
      <c r="C167" s="204" t="s">
        <v>441</v>
      </c>
      <c r="D167" s="98" t="s">
        <v>818</v>
      </c>
    </row>
    <row r="168" spans="1:4" ht="18.75" customHeight="1" x14ac:dyDescent="0.25">
      <c r="A168" s="206"/>
      <c r="B168" s="206"/>
      <c r="C168" s="206"/>
      <c r="D168" s="98" t="s">
        <v>819</v>
      </c>
    </row>
    <row r="169" spans="1:4" ht="18.75" customHeight="1" x14ac:dyDescent="0.25">
      <c r="A169" s="204" t="s">
        <v>303</v>
      </c>
      <c r="B169" s="204">
        <v>4</v>
      </c>
      <c r="C169" s="204" t="s">
        <v>425</v>
      </c>
      <c r="D169" s="97" t="s">
        <v>822</v>
      </c>
    </row>
    <row r="170" spans="1:4" ht="18.75" customHeight="1" x14ac:dyDescent="0.25">
      <c r="A170" s="205"/>
      <c r="B170" s="205"/>
      <c r="C170" s="206"/>
      <c r="D170" s="97" t="s">
        <v>823</v>
      </c>
    </row>
    <row r="171" spans="1:4" ht="18.75" customHeight="1" x14ac:dyDescent="0.25">
      <c r="A171" s="205"/>
      <c r="B171" s="205"/>
      <c r="C171" s="204" t="s">
        <v>426</v>
      </c>
      <c r="D171" s="98" t="s">
        <v>826</v>
      </c>
    </row>
    <row r="172" spans="1:4" ht="18.75" customHeight="1" x14ac:dyDescent="0.25">
      <c r="A172" s="206"/>
      <c r="B172" s="206"/>
      <c r="C172" s="206"/>
      <c r="D172" s="98" t="s">
        <v>827</v>
      </c>
    </row>
    <row r="173" spans="1:4" ht="18.75" customHeight="1" x14ac:dyDescent="0.25">
      <c r="A173" s="204" t="s">
        <v>306</v>
      </c>
      <c r="B173" s="204">
        <v>5</v>
      </c>
      <c r="C173" s="204" t="s">
        <v>442</v>
      </c>
      <c r="D173" s="98" t="s">
        <v>832</v>
      </c>
    </row>
    <row r="174" spans="1:4" ht="18.75" customHeight="1" x14ac:dyDescent="0.25">
      <c r="A174" s="205"/>
      <c r="B174" s="206"/>
      <c r="C174" s="206"/>
      <c r="D174" s="98" t="s">
        <v>833</v>
      </c>
    </row>
    <row r="175" spans="1:4" ht="18.75" customHeight="1" x14ac:dyDescent="0.25">
      <c r="A175" s="205"/>
      <c r="B175" s="204">
        <v>6</v>
      </c>
      <c r="C175" s="204" t="s">
        <v>235</v>
      </c>
      <c r="D175" s="98" t="s">
        <v>836</v>
      </c>
    </row>
    <row r="176" spans="1:4" ht="18.75" customHeight="1" x14ac:dyDescent="0.25">
      <c r="A176" s="206"/>
      <c r="B176" s="206"/>
      <c r="C176" s="206"/>
      <c r="D176" s="98" t="s">
        <v>837</v>
      </c>
    </row>
    <row r="177" spans="1:4" ht="18.75" customHeight="1" x14ac:dyDescent="0.25">
      <c r="A177" s="212" t="s">
        <v>308</v>
      </c>
      <c r="B177" s="204">
        <v>11</v>
      </c>
      <c r="C177" s="204" t="s">
        <v>344</v>
      </c>
      <c r="D177" s="96" t="s">
        <v>877</v>
      </c>
    </row>
    <row r="178" spans="1:4" ht="18.75" customHeight="1" x14ac:dyDescent="0.25">
      <c r="A178" s="212"/>
      <c r="B178" s="205"/>
      <c r="C178" s="206"/>
      <c r="D178" s="96" t="s">
        <v>878</v>
      </c>
    </row>
    <row r="179" spans="1:4" ht="18.75" customHeight="1" x14ac:dyDescent="0.25">
      <c r="A179" s="212"/>
      <c r="B179" s="205"/>
      <c r="C179" s="204" t="s">
        <v>345</v>
      </c>
      <c r="D179" s="97" t="s">
        <v>879</v>
      </c>
    </row>
    <row r="180" spans="1:4" ht="18.75" customHeight="1" x14ac:dyDescent="0.25">
      <c r="A180" s="212"/>
      <c r="B180" s="206"/>
      <c r="C180" s="206"/>
      <c r="D180" s="97" t="s">
        <v>880</v>
      </c>
    </row>
    <row r="181" spans="1:4" ht="18.75" customHeight="1" x14ac:dyDescent="0.25">
      <c r="A181" s="204" t="s">
        <v>311</v>
      </c>
      <c r="B181" s="204">
        <v>4</v>
      </c>
      <c r="C181" s="204" t="s">
        <v>427</v>
      </c>
      <c r="D181" s="98" t="s">
        <v>844</v>
      </c>
    </row>
    <row r="182" spans="1:4" ht="18.75" customHeight="1" x14ac:dyDescent="0.25">
      <c r="A182" s="205"/>
      <c r="B182" s="205"/>
      <c r="C182" s="206"/>
      <c r="D182" s="98" t="s">
        <v>845</v>
      </c>
    </row>
    <row r="183" spans="1:4" ht="18.75" customHeight="1" x14ac:dyDescent="0.25">
      <c r="A183" s="205"/>
      <c r="B183" s="205"/>
      <c r="C183" s="204" t="s">
        <v>428</v>
      </c>
      <c r="D183" s="98" t="s">
        <v>848</v>
      </c>
    </row>
    <row r="184" spans="1:4" ht="18.75" customHeight="1" x14ac:dyDescent="0.25">
      <c r="A184" s="206"/>
      <c r="B184" s="206"/>
      <c r="C184" s="206"/>
      <c r="D184" s="98" t="s">
        <v>849</v>
      </c>
    </row>
    <row r="185" spans="1:4" ht="18.75" customHeight="1" x14ac:dyDescent="0.25">
      <c r="A185" s="204" t="s">
        <v>326</v>
      </c>
      <c r="B185" s="204">
        <v>9</v>
      </c>
      <c r="C185" s="221" t="s">
        <v>242</v>
      </c>
      <c r="D185" s="100" t="s">
        <v>852</v>
      </c>
    </row>
    <row r="186" spans="1:4" ht="18.75" customHeight="1" x14ac:dyDescent="0.25">
      <c r="A186" s="205"/>
      <c r="B186" s="205"/>
      <c r="C186" s="222"/>
      <c r="D186" s="100" t="s">
        <v>853</v>
      </c>
    </row>
    <row r="187" spans="1:4" ht="18.75" customHeight="1" x14ac:dyDescent="0.25">
      <c r="A187" s="205"/>
      <c r="B187" s="205"/>
      <c r="C187" s="223" t="s">
        <v>312</v>
      </c>
      <c r="D187" s="100" t="s">
        <v>856</v>
      </c>
    </row>
    <row r="188" spans="1:4" ht="18.75" customHeight="1" x14ac:dyDescent="0.25">
      <c r="A188" s="206"/>
      <c r="B188" s="206"/>
      <c r="C188" s="224"/>
      <c r="D188" s="100" t="s">
        <v>857</v>
      </c>
    </row>
    <row r="189" spans="1:4" ht="18.75" customHeight="1" x14ac:dyDescent="0.25">
      <c r="A189" s="204" t="s">
        <v>330</v>
      </c>
      <c r="B189" s="204">
        <v>4</v>
      </c>
      <c r="C189" s="204" t="s">
        <v>430</v>
      </c>
      <c r="D189" s="98" t="s">
        <v>862</v>
      </c>
    </row>
    <row r="190" spans="1:4" ht="18.75" customHeight="1" x14ac:dyDescent="0.25">
      <c r="A190" s="205"/>
      <c r="B190" s="205"/>
      <c r="C190" s="206"/>
      <c r="D190" s="98" t="s">
        <v>863</v>
      </c>
    </row>
    <row r="191" spans="1:4" ht="18.75" customHeight="1" x14ac:dyDescent="0.25">
      <c r="A191" s="205"/>
      <c r="B191" s="205"/>
      <c r="C191" s="204" t="s">
        <v>431</v>
      </c>
      <c r="D191" s="51" t="s">
        <v>860</v>
      </c>
    </row>
    <row r="192" spans="1:4" ht="18.75" customHeight="1" x14ac:dyDescent="0.25">
      <c r="A192" s="206"/>
      <c r="B192" s="206"/>
      <c r="C192" s="206"/>
      <c r="D192" s="49" t="s">
        <v>861</v>
      </c>
    </row>
    <row r="193" spans="1:4" ht="18.75" customHeight="1" x14ac:dyDescent="0.25">
      <c r="A193" s="204" t="s">
        <v>333</v>
      </c>
      <c r="B193" s="204">
        <v>6</v>
      </c>
      <c r="C193" s="204" t="s">
        <v>443</v>
      </c>
      <c r="D193" s="51" t="s">
        <v>868</v>
      </c>
    </row>
    <row r="194" spans="1:4" ht="18.75" customHeight="1" x14ac:dyDescent="0.25">
      <c r="A194" s="205"/>
      <c r="B194" s="205"/>
      <c r="C194" s="206"/>
      <c r="D194" s="51" t="s">
        <v>869</v>
      </c>
    </row>
    <row r="195" spans="1:4" ht="18.75" customHeight="1" x14ac:dyDescent="0.25">
      <c r="A195" s="205"/>
      <c r="B195" s="205"/>
      <c r="C195" s="204" t="s">
        <v>831</v>
      </c>
      <c r="D195" s="98" t="s">
        <v>870</v>
      </c>
    </row>
    <row r="196" spans="1:4" ht="18.75" customHeight="1" x14ac:dyDescent="0.25">
      <c r="A196" s="206"/>
      <c r="B196" s="206"/>
      <c r="C196" s="206"/>
      <c r="D196" s="97" t="s">
        <v>871</v>
      </c>
    </row>
    <row r="197" spans="1:4" ht="18.75" customHeight="1" x14ac:dyDescent="0.25">
      <c r="A197" s="204" t="s">
        <v>334</v>
      </c>
      <c r="B197" s="204">
        <v>10</v>
      </c>
      <c r="C197" s="221" t="s">
        <v>317</v>
      </c>
      <c r="D197" s="100" t="s">
        <v>881</v>
      </c>
    </row>
    <row r="198" spans="1:4" ht="18.75" customHeight="1" x14ac:dyDescent="0.25">
      <c r="A198" s="205"/>
      <c r="B198" s="205"/>
      <c r="C198" s="222"/>
      <c r="D198" s="100" t="s">
        <v>882</v>
      </c>
    </row>
    <row r="199" spans="1:4" ht="18.75" customHeight="1" x14ac:dyDescent="0.25">
      <c r="A199" s="205"/>
      <c r="B199" s="205"/>
      <c r="C199" s="221" t="s">
        <v>318</v>
      </c>
      <c r="D199" s="100" t="s">
        <v>886</v>
      </c>
    </row>
    <row r="200" spans="1:4" ht="18.75" customHeight="1" x14ac:dyDescent="0.25">
      <c r="A200" s="206"/>
      <c r="B200" s="206"/>
      <c r="C200" s="222"/>
      <c r="D200" s="100" t="s">
        <v>887</v>
      </c>
    </row>
    <row r="201" spans="1:4" ht="18.75" customHeight="1" x14ac:dyDescent="0.25">
      <c r="A201" s="204" t="s">
        <v>337</v>
      </c>
      <c r="B201" s="204">
        <v>6</v>
      </c>
      <c r="C201" s="204" t="s">
        <v>236</v>
      </c>
      <c r="D201" s="98" t="s">
        <v>890</v>
      </c>
    </row>
    <row r="202" spans="1:4" ht="18.75" customHeight="1" x14ac:dyDescent="0.25">
      <c r="A202" s="205"/>
      <c r="B202" s="205"/>
      <c r="C202" s="206"/>
      <c r="D202" s="98" t="s">
        <v>891</v>
      </c>
    </row>
    <row r="203" spans="1:4" ht="18.75" customHeight="1" x14ac:dyDescent="0.25">
      <c r="A203" s="205"/>
      <c r="B203" s="205"/>
      <c r="C203" s="204" t="s">
        <v>237</v>
      </c>
      <c r="D203" s="98" t="s">
        <v>894</v>
      </c>
    </row>
    <row r="204" spans="1:4" ht="18.75" customHeight="1" x14ac:dyDescent="0.25">
      <c r="A204" s="206"/>
      <c r="B204" s="206"/>
      <c r="C204" s="206"/>
      <c r="D204" s="98" t="s">
        <v>895</v>
      </c>
    </row>
    <row r="205" spans="1:4" ht="18.75" customHeight="1" x14ac:dyDescent="0.25">
      <c r="A205" s="204" t="s">
        <v>889</v>
      </c>
      <c r="B205" s="204">
        <v>4</v>
      </c>
      <c r="C205" s="204" t="s">
        <v>432</v>
      </c>
      <c r="D205" s="98" t="s">
        <v>898</v>
      </c>
    </row>
    <row r="206" spans="1:4" ht="18.75" customHeight="1" x14ac:dyDescent="0.25">
      <c r="A206" s="205"/>
      <c r="B206" s="205"/>
      <c r="C206" s="206"/>
      <c r="D206" s="98" t="s">
        <v>899</v>
      </c>
    </row>
    <row r="207" spans="1:4" ht="18.75" customHeight="1" x14ac:dyDescent="0.25">
      <c r="A207" s="205"/>
      <c r="B207" s="205"/>
      <c r="C207" s="204" t="s">
        <v>433</v>
      </c>
      <c r="D207" s="98" t="s">
        <v>902</v>
      </c>
    </row>
    <row r="208" spans="1:4" ht="18.75" customHeight="1" x14ac:dyDescent="0.25">
      <c r="A208" s="206"/>
      <c r="B208" s="206"/>
      <c r="C208" s="206"/>
      <c r="D208" s="98" t="s">
        <v>903</v>
      </c>
    </row>
    <row r="209" spans="1:4" ht="18.75" customHeight="1" x14ac:dyDescent="0.25">
      <c r="A209" s="212" t="s">
        <v>411</v>
      </c>
      <c r="B209" s="212">
        <v>4</v>
      </c>
      <c r="C209" s="212" t="s">
        <v>434</v>
      </c>
      <c r="D209" s="97" t="s">
        <v>906</v>
      </c>
    </row>
    <row r="210" spans="1:4" ht="18.75" customHeight="1" x14ac:dyDescent="0.25">
      <c r="A210" s="212"/>
      <c r="B210" s="212"/>
      <c r="C210" s="212"/>
      <c r="D210" s="97" t="s">
        <v>907</v>
      </c>
    </row>
    <row r="211" spans="1:4" ht="18.75" customHeight="1" x14ac:dyDescent="0.25">
      <c r="A211" s="212"/>
      <c r="B211" s="212"/>
      <c r="C211" s="212" t="s">
        <v>435</v>
      </c>
      <c r="D211" s="98" t="s">
        <v>910</v>
      </c>
    </row>
    <row r="212" spans="1:4" ht="18.75" customHeight="1" x14ac:dyDescent="0.25">
      <c r="A212" s="212"/>
      <c r="B212" s="212"/>
      <c r="C212" s="212"/>
      <c r="D212" s="98" t="s">
        <v>911</v>
      </c>
    </row>
    <row r="213" spans="1:4" ht="18.75" customHeight="1" x14ac:dyDescent="0.25">
      <c r="A213" s="212"/>
      <c r="B213" s="212">
        <v>6</v>
      </c>
      <c r="C213" s="212" t="s">
        <v>238</v>
      </c>
      <c r="D213" s="98" t="s">
        <v>915</v>
      </c>
    </row>
    <row r="214" spans="1:4" ht="18.75" customHeight="1" x14ac:dyDescent="0.25">
      <c r="A214" s="212"/>
      <c r="B214" s="212"/>
      <c r="C214" s="212"/>
      <c r="D214" s="98" t="s">
        <v>916</v>
      </c>
    </row>
    <row r="215" spans="1:4" ht="18.75" customHeight="1" x14ac:dyDescent="0.25">
      <c r="A215" s="212"/>
      <c r="B215" s="212">
        <v>9</v>
      </c>
      <c r="C215" s="230" t="s">
        <v>313</v>
      </c>
      <c r="D215" s="100" t="s">
        <v>920</v>
      </c>
    </row>
    <row r="216" spans="1:4" ht="18.75" customHeight="1" x14ac:dyDescent="0.25">
      <c r="A216" s="212"/>
      <c r="B216" s="212"/>
      <c r="C216" s="230"/>
      <c r="D216" s="100" t="s">
        <v>921</v>
      </c>
    </row>
    <row r="217" spans="1:4" ht="18.75" customHeight="1" x14ac:dyDescent="0.25">
      <c r="A217" s="212"/>
      <c r="B217" s="204">
        <v>10</v>
      </c>
      <c r="C217" s="221" t="s">
        <v>319</v>
      </c>
      <c r="D217" s="90" t="s">
        <v>922</v>
      </c>
    </row>
    <row r="218" spans="1:4" ht="18.75" customHeight="1" x14ac:dyDescent="0.25">
      <c r="A218" s="212"/>
      <c r="B218" s="206"/>
      <c r="C218" s="222"/>
      <c r="D218" s="90" t="s">
        <v>923</v>
      </c>
    </row>
    <row r="219" spans="1:4" ht="18.75" customHeight="1" x14ac:dyDescent="0.25">
      <c r="A219" s="212" t="s">
        <v>346</v>
      </c>
      <c r="B219" s="204">
        <v>4</v>
      </c>
      <c r="C219" s="204" t="s">
        <v>436</v>
      </c>
      <c r="D219" s="98" t="s">
        <v>926</v>
      </c>
    </row>
    <row r="220" spans="1:4" ht="18.75" customHeight="1" x14ac:dyDescent="0.25">
      <c r="A220" s="212"/>
      <c r="B220" s="206"/>
      <c r="C220" s="206"/>
      <c r="D220" s="98" t="s">
        <v>927</v>
      </c>
    </row>
    <row r="221" spans="1:4" ht="18.75" customHeight="1" x14ac:dyDescent="0.25">
      <c r="A221" s="212"/>
      <c r="B221" s="204">
        <v>7</v>
      </c>
      <c r="C221" s="204" t="s">
        <v>239</v>
      </c>
      <c r="D221" s="98" t="s">
        <v>930</v>
      </c>
    </row>
    <row r="222" spans="1:4" ht="18.75" customHeight="1" x14ac:dyDescent="0.25">
      <c r="A222" s="212"/>
      <c r="B222" s="205"/>
      <c r="C222" s="206"/>
      <c r="D222" s="98" t="s">
        <v>931</v>
      </c>
    </row>
    <row r="223" spans="1:4" ht="18.75" customHeight="1" x14ac:dyDescent="0.25">
      <c r="A223" s="212"/>
      <c r="B223" s="205"/>
      <c r="C223" s="204" t="s">
        <v>240</v>
      </c>
      <c r="D223" s="98" t="s">
        <v>934</v>
      </c>
    </row>
    <row r="224" spans="1:4" ht="18.75" customHeight="1" x14ac:dyDescent="0.25">
      <c r="A224" s="212"/>
      <c r="B224" s="206"/>
      <c r="C224" s="206"/>
      <c r="D224" s="98" t="s">
        <v>935</v>
      </c>
    </row>
    <row r="225" spans="1:4" ht="18.75" customHeight="1" x14ac:dyDescent="0.25">
      <c r="A225" s="212"/>
      <c r="B225" s="204">
        <v>8</v>
      </c>
      <c r="C225" s="204" t="s">
        <v>241</v>
      </c>
      <c r="D225" s="97" t="s">
        <v>939</v>
      </c>
    </row>
    <row r="226" spans="1:4" ht="18.75" customHeight="1" x14ac:dyDescent="0.25">
      <c r="A226" s="212"/>
      <c r="B226" s="206"/>
      <c r="C226" s="206"/>
      <c r="D226" s="97" t="s">
        <v>940</v>
      </c>
    </row>
    <row r="227" spans="1:4" ht="18.75" customHeight="1" x14ac:dyDescent="0.25">
      <c r="A227" s="204" t="s">
        <v>352</v>
      </c>
      <c r="B227" s="204">
        <v>4</v>
      </c>
      <c r="C227" s="188" t="s">
        <v>1112</v>
      </c>
      <c r="D227" s="171" t="s">
        <v>1114</v>
      </c>
    </row>
    <row r="228" spans="1:4" ht="18.75" customHeight="1" x14ac:dyDescent="0.25">
      <c r="A228" s="205"/>
      <c r="B228" s="205"/>
      <c r="C228" s="190"/>
      <c r="D228" s="171" t="s">
        <v>1115</v>
      </c>
    </row>
    <row r="229" spans="1:4" ht="18.75" customHeight="1" x14ac:dyDescent="0.25">
      <c r="A229" s="205"/>
      <c r="B229" s="205"/>
      <c r="C229" s="188" t="s">
        <v>1113</v>
      </c>
      <c r="D229" s="90" t="s">
        <v>1116</v>
      </c>
    </row>
    <row r="230" spans="1:4" ht="18.75" customHeight="1" x14ac:dyDescent="0.25">
      <c r="A230" s="206"/>
      <c r="B230" s="206"/>
      <c r="C230" s="190"/>
      <c r="D230" s="90" t="s">
        <v>1117</v>
      </c>
    </row>
    <row r="231" spans="1:4" ht="18.75" customHeight="1" x14ac:dyDescent="0.25">
      <c r="A231" s="204" t="s">
        <v>445</v>
      </c>
      <c r="B231" s="204">
        <v>9</v>
      </c>
      <c r="C231" s="221" t="s">
        <v>314</v>
      </c>
      <c r="D231" s="100" t="s">
        <v>942</v>
      </c>
    </row>
    <row r="232" spans="1:4" ht="18.75" customHeight="1" x14ac:dyDescent="0.25">
      <c r="A232" s="205"/>
      <c r="B232" s="205"/>
      <c r="C232" s="222"/>
      <c r="D232" s="100" t="s">
        <v>943</v>
      </c>
    </row>
    <row r="233" spans="1:4" ht="18.75" customHeight="1" x14ac:dyDescent="0.25">
      <c r="A233" s="205"/>
      <c r="B233" s="205"/>
      <c r="C233" s="221" t="s">
        <v>476</v>
      </c>
      <c r="D233" s="100" t="s">
        <v>946</v>
      </c>
    </row>
    <row r="234" spans="1:4" ht="18.75" customHeight="1" x14ac:dyDescent="0.25">
      <c r="A234" s="206"/>
      <c r="B234" s="206"/>
      <c r="C234" s="222"/>
      <c r="D234" s="100" t="s">
        <v>947</v>
      </c>
    </row>
    <row r="235" spans="1:4" ht="18.75" customHeight="1" x14ac:dyDescent="0.25">
      <c r="A235" s="204" t="s">
        <v>449</v>
      </c>
      <c r="B235" s="204">
        <v>9</v>
      </c>
      <c r="C235" s="221" t="s">
        <v>876</v>
      </c>
      <c r="D235" s="100" t="s">
        <v>950</v>
      </c>
    </row>
    <row r="236" spans="1:4" ht="18.75" customHeight="1" x14ac:dyDescent="0.25">
      <c r="A236" s="205"/>
      <c r="B236" s="205"/>
      <c r="C236" s="222"/>
      <c r="D236" s="100" t="s">
        <v>951</v>
      </c>
    </row>
    <row r="237" spans="1:4" ht="18.75" customHeight="1" x14ac:dyDescent="0.25">
      <c r="A237" s="205"/>
      <c r="B237" s="205"/>
      <c r="C237" s="221" t="s">
        <v>315</v>
      </c>
      <c r="D237" s="100" t="s">
        <v>954</v>
      </c>
    </row>
    <row r="238" spans="1:4" ht="18.75" customHeight="1" x14ac:dyDescent="0.25">
      <c r="A238" s="206"/>
      <c r="B238" s="206"/>
      <c r="C238" s="222"/>
      <c r="D238" s="100" t="s">
        <v>955</v>
      </c>
    </row>
    <row r="239" spans="1:4" ht="18.75" customHeight="1" x14ac:dyDescent="0.25">
      <c r="A239" s="204" t="s">
        <v>452</v>
      </c>
      <c r="B239" s="204">
        <v>9</v>
      </c>
      <c r="C239" s="221" t="s">
        <v>316</v>
      </c>
      <c r="D239" s="54" t="s">
        <v>958</v>
      </c>
    </row>
    <row r="240" spans="1:4" ht="18.75" customHeight="1" x14ac:dyDescent="0.25">
      <c r="A240" s="205"/>
      <c r="B240" s="205"/>
      <c r="C240" s="222"/>
      <c r="D240" s="54" t="s">
        <v>959</v>
      </c>
    </row>
    <row r="241" spans="1:4" ht="18.75" customHeight="1" x14ac:dyDescent="0.25">
      <c r="A241" s="205"/>
      <c r="B241" s="205"/>
      <c r="C241" s="221" t="s">
        <v>317</v>
      </c>
      <c r="D241" s="100" t="s">
        <v>881</v>
      </c>
    </row>
    <row r="242" spans="1:4" ht="18.75" customHeight="1" x14ac:dyDescent="0.25">
      <c r="A242" s="206"/>
      <c r="B242" s="206"/>
      <c r="C242" s="222"/>
      <c r="D242" s="100" t="s">
        <v>882</v>
      </c>
    </row>
    <row r="243" spans="1:4" ht="18.75" customHeight="1" x14ac:dyDescent="0.25">
      <c r="A243" s="204" t="s">
        <v>453</v>
      </c>
      <c r="B243" s="204">
        <v>10</v>
      </c>
      <c r="C243" s="221" t="s">
        <v>322</v>
      </c>
      <c r="D243" s="100" t="s">
        <v>964</v>
      </c>
    </row>
    <row r="244" spans="1:4" ht="18.75" customHeight="1" x14ac:dyDescent="0.25">
      <c r="A244" s="205"/>
      <c r="B244" s="205"/>
      <c r="C244" s="222"/>
      <c r="D244" s="100" t="s">
        <v>965</v>
      </c>
    </row>
    <row r="245" spans="1:4" ht="18.75" customHeight="1" x14ac:dyDescent="0.25">
      <c r="A245" s="205"/>
      <c r="B245" s="205"/>
      <c r="C245" s="221" t="s">
        <v>323</v>
      </c>
      <c r="D245" s="100" t="s">
        <v>968</v>
      </c>
    </row>
    <row r="246" spans="1:4" ht="18.75" customHeight="1" x14ac:dyDescent="0.25">
      <c r="A246" s="206"/>
      <c r="B246" s="206"/>
      <c r="C246" s="222"/>
      <c r="D246" s="100" t="s">
        <v>969</v>
      </c>
    </row>
    <row r="247" spans="1:4" ht="18.75" customHeight="1" x14ac:dyDescent="0.25">
      <c r="A247" s="204" t="s">
        <v>456</v>
      </c>
      <c r="B247" s="204">
        <v>12</v>
      </c>
      <c r="C247" s="225" t="s">
        <v>383</v>
      </c>
      <c r="D247" s="97" t="s">
        <v>543</v>
      </c>
    </row>
    <row r="248" spans="1:4" ht="18.75" customHeight="1" x14ac:dyDescent="0.25">
      <c r="A248" s="205"/>
      <c r="B248" s="205"/>
      <c r="C248" s="227"/>
      <c r="D248" s="97" t="s">
        <v>544</v>
      </c>
    </row>
    <row r="249" spans="1:4" ht="18.75" customHeight="1" x14ac:dyDescent="0.25">
      <c r="A249" s="205"/>
      <c r="B249" s="205"/>
      <c r="C249" s="204" t="s">
        <v>379</v>
      </c>
      <c r="D249" s="98" t="s">
        <v>552</v>
      </c>
    </row>
    <row r="250" spans="1:4" ht="18.75" customHeight="1" x14ac:dyDescent="0.25">
      <c r="A250" s="206"/>
      <c r="B250" s="206"/>
      <c r="C250" s="206"/>
      <c r="D250" s="98" t="s">
        <v>972</v>
      </c>
    </row>
    <row r="251" spans="1:4" ht="18.75" customHeight="1" x14ac:dyDescent="0.25">
      <c r="A251" s="204" t="s">
        <v>457</v>
      </c>
      <c r="B251" s="204">
        <v>12</v>
      </c>
      <c r="C251" s="204" t="s">
        <v>380</v>
      </c>
      <c r="D251" s="219" t="s">
        <v>977</v>
      </c>
    </row>
    <row r="252" spans="1:4" ht="2.25" customHeight="1" x14ac:dyDescent="0.25">
      <c r="A252" s="205"/>
      <c r="B252" s="205"/>
      <c r="C252" s="206"/>
      <c r="D252" s="220"/>
    </row>
    <row r="253" spans="1:4" ht="18.75" customHeight="1" x14ac:dyDescent="0.25">
      <c r="A253" s="205"/>
      <c r="B253" s="205"/>
      <c r="C253" s="204" t="s">
        <v>381</v>
      </c>
      <c r="D253" s="98" t="s">
        <v>563</v>
      </c>
    </row>
    <row r="254" spans="1:4" ht="18.75" customHeight="1" x14ac:dyDescent="0.25">
      <c r="A254" s="206"/>
      <c r="B254" s="206"/>
      <c r="C254" s="206"/>
      <c r="D254" s="98" t="s">
        <v>567</v>
      </c>
    </row>
  </sheetData>
  <mergeCells count="253">
    <mergeCell ref="A3:A6"/>
    <mergeCell ref="B3:B6"/>
    <mergeCell ref="C3:C4"/>
    <mergeCell ref="C5:C6"/>
    <mergeCell ref="A15:A16"/>
    <mergeCell ref="B15:B16"/>
    <mergeCell ref="A17:A20"/>
    <mergeCell ref="B17:B20"/>
    <mergeCell ref="A11:A14"/>
    <mergeCell ref="B11:B14"/>
    <mergeCell ref="C11:C12"/>
    <mergeCell ref="C13:C14"/>
    <mergeCell ref="A7:A10"/>
    <mergeCell ref="B7:B10"/>
    <mergeCell ref="C7:C8"/>
    <mergeCell ref="C9:C10"/>
    <mergeCell ref="A25:A28"/>
    <mergeCell ref="B25:B28"/>
    <mergeCell ref="C25:C26"/>
    <mergeCell ref="C27:C28"/>
    <mergeCell ref="C17:C18"/>
    <mergeCell ref="C19:C20"/>
    <mergeCell ref="A21:A24"/>
    <mergeCell ref="B21:B24"/>
    <mergeCell ref="C21:C22"/>
    <mergeCell ref="C23:C24"/>
    <mergeCell ref="A37:A40"/>
    <mergeCell ref="B37:B40"/>
    <mergeCell ref="A41:A44"/>
    <mergeCell ref="B41:B44"/>
    <mergeCell ref="A33:A36"/>
    <mergeCell ref="B33:B36"/>
    <mergeCell ref="C33:C34"/>
    <mergeCell ref="C35:C36"/>
    <mergeCell ref="A29:A32"/>
    <mergeCell ref="B29:B32"/>
    <mergeCell ref="C29:C30"/>
    <mergeCell ref="C31:C32"/>
    <mergeCell ref="C37:C38"/>
    <mergeCell ref="C39:C40"/>
    <mergeCell ref="A49:A52"/>
    <mergeCell ref="B49:B52"/>
    <mergeCell ref="C49:C50"/>
    <mergeCell ref="C51:C52"/>
    <mergeCell ref="C41:C42"/>
    <mergeCell ref="C43:C44"/>
    <mergeCell ref="A45:A48"/>
    <mergeCell ref="B45:B48"/>
    <mergeCell ref="C45:C46"/>
    <mergeCell ref="C47:C48"/>
    <mergeCell ref="A61:A64"/>
    <mergeCell ref="B61:B64"/>
    <mergeCell ref="C61:C62"/>
    <mergeCell ref="C63:C64"/>
    <mergeCell ref="A57:A60"/>
    <mergeCell ref="B57:B60"/>
    <mergeCell ref="C57:C58"/>
    <mergeCell ref="C59:C60"/>
    <mergeCell ref="A53:A56"/>
    <mergeCell ref="B53:B56"/>
    <mergeCell ref="C53:C54"/>
    <mergeCell ref="C55:C56"/>
    <mergeCell ref="A73:A76"/>
    <mergeCell ref="B73:B76"/>
    <mergeCell ref="C73:C74"/>
    <mergeCell ref="C75:C76"/>
    <mergeCell ref="A69:A72"/>
    <mergeCell ref="B69:B72"/>
    <mergeCell ref="C69:C70"/>
    <mergeCell ref="C71:C72"/>
    <mergeCell ref="A65:A68"/>
    <mergeCell ref="B65:B68"/>
    <mergeCell ref="C65:C66"/>
    <mergeCell ref="C67:C68"/>
    <mergeCell ref="A85:A88"/>
    <mergeCell ref="B85:B88"/>
    <mergeCell ref="C85:C86"/>
    <mergeCell ref="C87:C88"/>
    <mergeCell ref="A81:A84"/>
    <mergeCell ref="B81:B84"/>
    <mergeCell ref="C81:C82"/>
    <mergeCell ref="C83:C84"/>
    <mergeCell ref="A77:A80"/>
    <mergeCell ref="B77:B80"/>
    <mergeCell ref="C77:C78"/>
    <mergeCell ref="C79:C80"/>
    <mergeCell ref="A97:A100"/>
    <mergeCell ref="B97:B100"/>
    <mergeCell ref="C97:C98"/>
    <mergeCell ref="C99:C100"/>
    <mergeCell ref="A93:A96"/>
    <mergeCell ref="B93:B96"/>
    <mergeCell ref="C93:C94"/>
    <mergeCell ref="C95:C96"/>
    <mergeCell ref="A89:A92"/>
    <mergeCell ref="B89:B92"/>
    <mergeCell ref="C89:C90"/>
    <mergeCell ref="C91:C92"/>
    <mergeCell ref="A109:A112"/>
    <mergeCell ref="B109:B112"/>
    <mergeCell ref="C109:C110"/>
    <mergeCell ref="C111:C112"/>
    <mergeCell ref="A105:A108"/>
    <mergeCell ref="B105:B108"/>
    <mergeCell ref="C105:C106"/>
    <mergeCell ref="C107:C108"/>
    <mergeCell ref="A101:A104"/>
    <mergeCell ref="B101:B104"/>
    <mergeCell ref="C101:C102"/>
    <mergeCell ref="C103:C104"/>
    <mergeCell ref="A121:A124"/>
    <mergeCell ref="B121:B124"/>
    <mergeCell ref="C121:C122"/>
    <mergeCell ref="C123:C124"/>
    <mergeCell ref="A117:A120"/>
    <mergeCell ref="B117:B120"/>
    <mergeCell ref="C117:C118"/>
    <mergeCell ref="C119:C120"/>
    <mergeCell ref="A113:A116"/>
    <mergeCell ref="B113:B116"/>
    <mergeCell ref="C113:C114"/>
    <mergeCell ref="C115:C116"/>
    <mergeCell ref="A133:A136"/>
    <mergeCell ref="B133:B136"/>
    <mergeCell ref="C133:C134"/>
    <mergeCell ref="C135:C136"/>
    <mergeCell ref="A129:A132"/>
    <mergeCell ref="B129:B132"/>
    <mergeCell ref="C129:C130"/>
    <mergeCell ref="C131:C132"/>
    <mergeCell ref="A125:A128"/>
    <mergeCell ref="B125:B128"/>
    <mergeCell ref="C125:C126"/>
    <mergeCell ref="C127:C128"/>
    <mergeCell ref="C143:C144"/>
    <mergeCell ref="A145:A148"/>
    <mergeCell ref="B145:B148"/>
    <mergeCell ref="C145:C146"/>
    <mergeCell ref="C147:C148"/>
    <mergeCell ref="A137:A140"/>
    <mergeCell ref="B137:B140"/>
    <mergeCell ref="C137:C138"/>
    <mergeCell ref="A141:A144"/>
    <mergeCell ref="B141:B144"/>
    <mergeCell ref="C141:C142"/>
    <mergeCell ref="A157:A160"/>
    <mergeCell ref="B157:B160"/>
    <mergeCell ref="C157:C158"/>
    <mergeCell ref="C159:C160"/>
    <mergeCell ref="A153:A156"/>
    <mergeCell ref="B153:B156"/>
    <mergeCell ref="C153:C154"/>
    <mergeCell ref="C155:C156"/>
    <mergeCell ref="A149:A152"/>
    <mergeCell ref="B149:B152"/>
    <mergeCell ref="C149:C150"/>
    <mergeCell ref="C151:C152"/>
    <mergeCell ref="A169:A172"/>
    <mergeCell ref="B169:B172"/>
    <mergeCell ref="C169:C170"/>
    <mergeCell ref="C171:C172"/>
    <mergeCell ref="A165:A168"/>
    <mergeCell ref="B165:B168"/>
    <mergeCell ref="C165:C166"/>
    <mergeCell ref="C167:C168"/>
    <mergeCell ref="A161:A164"/>
    <mergeCell ref="B161:B164"/>
    <mergeCell ref="C161:C162"/>
    <mergeCell ref="C163:C164"/>
    <mergeCell ref="A181:A184"/>
    <mergeCell ref="B181:B184"/>
    <mergeCell ref="C181:C182"/>
    <mergeCell ref="C183:C184"/>
    <mergeCell ref="A177:A180"/>
    <mergeCell ref="B177:B180"/>
    <mergeCell ref="C177:C178"/>
    <mergeCell ref="C179:C180"/>
    <mergeCell ref="A173:A176"/>
    <mergeCell ref="B173:B174"/>
    <mergeCell ref="C173:C174"/>
    <mergeCell ref="B175:B176"/>
    <mergeCell ref="C175:C176"/>
    <mergeCell ref="A193:A196"/>
    <mergeCell ref="B193:B196"/>
    <mergeCell ref="C193:C194"/>
    <mergeCell ref="C195:C196"/>
    <mergeCell ref="A189:A192"/>
    <mergeCell ref="B189:B192"/>
    <mergeCell ref="C189:C190"/>
    <mergeCell ref="C191:C192"/>
    <mergeCell ref="A185:A188"/>
    <mergeCell ref="B185:B188"/>
    <mergeCell ref="C185:C186"/>
    <mergeCell ref="C187:C188"/>
    <mergeCell ref="A205:A208"/>
    <mergeCell ref="B205:B208"/>
    <mergeCell ref="C205:C206"/>
    <mergeCell ref="C207:C208"/>
    <mergeCell ref="A201:A204"/>
    <mergeCell ref="B201:B204"/>
    <mergeCell ref="C201:C202"/>
    <mergeCell ref="C203:C204"/>
    <mergeCell ref="A197:A200"/>
    <mergeCell ref="B197:B200"/>
    <mergeCell ref="C197:C198"/>
    <mergeCell ref="C199:C200"/>
    <mergeCell ref="B215:B216"/>
    <mergeCell ref="C215:C216"/>
    <mergeCell ref="B217:B218"/>
    <mergeCell ref="C217:C218"/>
    <mergeCell ref="A209:A218"/>
    <mergeCell ref="B209:B212"/>
    <mergeCell ref="C209:C210"/>
    <mergeCell ref="C211:C212"/>
    <mergeCell ref="B213:B214"/>
    <mergeCell ref="C213:C214"/>
    <mergeCell ref="A231:A234"/>
    <mergeCell ref="B231:B234"/>
    <mergeCell ref="C231:C232"/>
    <mergeCell ref="C233:C234"/>
    <mergeCell ref="B225:B226"/>
    <mergeCell ref="C225:C226"/>
    <mergeCell ref="A227:A230"/>
    <mergeCell ref="B227:B230"/>
    <mergeCell ref="C227:C228"/>
    <mergeCell ref="C229:C230"/>
    <mergeCell ref="A219:A226"/>
    <mergeCell ref="B219:B220"/>
    <mergeCell ref="C219:C220"/>
    <mergeCell ref="B221:B224"/>
    <mergeCell ref="C221:C222"/>
    <mergeCell ref="C223:C224"/>
    <mergeCell ref="A243:A246"/>
    <mergeCell ref="B243:B246"/>
    <mergeCell ref="C243:C244"/>
    <mergeCell ref="C245:C246"/>
    <mergeCell ref="A239:A242"/>
    <mergeCell ref="B239:B242"/>
    <mergeCell ref="C239:C240"/>
    <mergeCell ref="C241:C242"/>
    <mergeCell ref="A235:A238"/>
    <mergeCell ref="B235:B238"/>
    <mergeCell ref="C235:C236"/>
    <mergeCell ref="C237:C238"/>
    <mergeCell ref="A251:A254"/>
    <mergeCell ref="B251:B254"/>
    <mergeCell ref="C251:C252"/>
    <mergeCell ref="D251:D252"/>
    <mergeCell ref="C253:C254"/>
    <mergeCell ref="A247:A250"/>
    <mergeCell ref="B247:B250"/>
    <mergeCell ref="C247:C248"/>
    <mergeCell ref="C249:C25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130"/>
  <sheetViews>
    <sheetView topLeftCell="A39" workbookViewId="0">
      <selection activeCell="F54" sqref="F54"/>
    </sheetView>
  </sheetViews>
  <sheetFormatPr defaultRowHeight="15" x14ac:dyDescent="0.25"/>
  <cols>
    <col min="1" max="1" width="8" style="29" customWidth="1"/>
    <col min="2" max="2" width="7" style="29" customWidth="1"/>
    <col min="3" max="3" width="11" style="31" customWidth="1"/>
    <col min="4" max="4" width="12" style="29" customWidth="1"/>
    <col min="5" max="8" width="14.85546875" style="31" customWidth="1"/>
    <col min="9" max="16384" width="9.140625" style="31"/>
  </cols>
  <sheetData>
    <row r="2" spans="1:10" s="39" customFormat="1" ht="30" customHeight="1" x14ac:dyDescent="0.2">
      <c r="A2" s="233" t="s">
        <v>463</v>
      </c>
      <c r="B2" s="233" t="s">
        <v>358</v>
      </c>
      <c r="C2" s="235" t="s">
        <v>359</v>
      </c>
      <c r="D2" s="233" t="s">
        <v>991</v>
      </c>
      <c r="E2" s="234" t="s">
        <v>985</v>
      </c>
      <c r="F2" s="234"/>
      <c r="G2" s="234"/>
      <c r="H2" s="234"/>
      <c r="I2" s="235" t="s">
        <v>983</v>
      </c>
      <c r="J2" s="235" t="s">
        <v>984</v>
      </c>
    </row>
    <row r="3" spans="1:10" s="39" customFormat="1" ht="30" customHeight="1" x14ac:dyDescent="0.2">
      <c r="A3" s="233"/>
      <c r="B3" s="233"/>
      <c r="C3" s="236"/>
      <c r="D3" s="233"/>
      <c r="E3" s="113" t="s">
        <v>987</v>
      </c>
      <c r="F3" s="113" t="s">
        <v>988</v>
      </c>
      <c r="G3" s="113" t="s">
        <v>989</v>
      </c>
      <c r="H3" s="113" t="s">
        <v>990</v>
      </c>
      <c r="I3" s="236"/>
      <c r="J3" s="236"/>
    </row>
    <row r="4" spans="1:10" s="40" customFormat="1" ht="18.75" customHeight="1" x14ac:dyDescent="0.25">
      <c r="A4" s="226" t="s">
        <v>154</v>
      </c>
      <c r="B4" s="205">
        <v>1</v>
      </c>
      <c r="C4" s="102" t="s">
        <v>376</v>
      </c>
      <c r="D4" s="134" t="s">
        <v>986</v>
      </c>
      <c r="E4" s="103" t="s">
        <v>986</v>
      </c>
      <c r="F4" s="103" t="s">
        <v>986</v>
      </c>
      <c r="G4" s="114"/>
      <c r="H4" s="114"/>
      <c r="I4" s="103" t="s">
        <v>986</v>
      </c>
      <c r="J4" s="114"/>
    </row>
    <row r="5" spans="1:10" ht="18.75" customHeight="1" x14ac:dyDescent="0.25">
      <c r="A5" s="226"/>
      <c r="B5" s="205"/>
      <c r="C5" s="101" t="s">
        <v>151</v>
      </c>
      <c r="D5" s="134" t="s">
        <v>986</v>
      </c>
      <c r="E5" s="75"/>
      <c r="F5" s="75"/>
      <c r="G5" s="103" t="s">
        <v>986</v>
      </c>
      <c r="H5" s="103" t="s">
        <v>986</v>
      </c>
      <c r="I5" s="75"/>
      <c r="J5" s="103" t="s">
        <v>986</v>
      </c>
    </row>
    <row r="6" spans="1:10" ht="18.75" customHeight="1" x14ac:dyDescent="0.25">
      <c r="A6" s="204" t="s">
        <v>155</v>
      </c>
      <c r="B6" s="204">
        <v>1</v>
      </c>
      <c r="C6" s="101" t="s">
        <v>161</v>
      </c>
      <c r="D6" s="134" t="s">
        <v>986</v>
      </c>
      <c r="E6" s="103" t="s">
        <v>986</v>
      </c>
      <c r="F6" s="103" t="s">
        <v>986</v>
      </c>
      <c r="G6" s="114"/>
      <c r="H6" s="114"/>
      <c r="I6" s="103" t="s">
        <v>986</v>
      </c>
      <c r="J6" s="114"/>
    </row>
    <row r="7" spans="1:10" ht="18.75" customHeight="1" x14ac:dyDescent="0.25">
      <c r="A7" s="205"/>
      <c r="B7" s="205"/>
      <c r="C7" s="101" t="s">
        <v>162</v>
      </c>
      <c r="D7" s="134" t="s">
        <v>986</v>
      </c>
      <c r="E7" s="75"/>
      <c r="F7" s="75"/>
      <c r="G7" s="103" t="s">
        <v>986</v>
      </c>
      <c r="H7" s="103" t="s">
        <v>986</v>
      </c>
      <c r="I7" s="75"/>
      <c r="J7" s="103" t="s">
        <v>986</v>
      </c>
    </row>
    <row r="8" spans="1:10" ht="18.75" customHeight="1" x14ac:dyDescent="0.25">
      <c r="A8" s="204" t="s">
        <v>156</v>
      </c>
      <c r="B8" s="204">
        <v>2</v>
      </c>
      <c r="C8" s="101" t="s">
        <v>176</v>
      </c>
      <c r="D8" s="134" t="s">
        <v>986</v>
      </c>
      <c r="E8" s="103" t="s">
        <v>986</v>
      </c>
      <c r="F8" s="103" t="s">
        <v>986</v>
      </c>
      <c r="G8" s="114"/>
      <c r="H8" s="114"/>
      <c r="I8" s="103" t="s">
        <v>986</v>
      </c>
      <c r="J8" s="114"/>
    </row>
    <row r="9" spans="1:10" ht="18.75" customHeight="1" x14ac:dyDescent="0.25">
      <c r="A9" s="205"/>
      <c r="B9" s="205"/>
      <c r="C9" s="101" t="s">
        <v>182</v>
      </c>
      <c r="D9" s="134" t="s">
        <v>986</v>
      </c>
      <c r="E9" s="75"/>
      <c r="F9" s="75"/>
      <c r="G9" s="103" t="s">
        <v>986</v>
      </c>
      <c r="H9" s="103" t="s">
        <v>986</v>
      </c>
      <c r="I9" s="75"/>
      <c r="J9" s="103" t="s">
        <v>986</v>
      </c>
    </row>
    <row r="10" spans="1:10" ht="18.75" customHeight="1" x14ac:dyDescent="0.25">
      <c r="A10" s="212" t="s">
        <v>157</v>
      </c>
      <c r="B10" s="212">
        <v>5</v>
      </c>
      <c r="C10" s="104" t="s">
        <v>226</v>
      </c>
      <c r="D10" s="134" t="s">
        <v>986</v>
      </c>
      <c r="E10" s="103" t="s">
        <v>986</v>
      </c>
      <c r="F10" s="103" t="s">
        <v>986</v>
      </c>
      <c r="G10" s="114"/>
      <c r="H10" s="114"/>
      <c r="I10" s="103" t="s">
        <v>986</v>
      </c>
      <c r="J10" s="114"/>
    </row>
    <row r="11" spans="1:10" ht="18.75" customHeight="1" x14ac:dyDescent="0.25">
      <c r="A11" s="212"/>
      <c r="B11" s="212"/>
      <c r="C11" s="103" t="s">
        <v>227</v>
      </c>
      <c r="D11" s="134" t="s">
        <v>986</v>
      </c>
      <c r="E11" s="75"/>
      <c r="F11" s="75"/>
      <c r="G11" s="103" t="s">
        <v>986</v>
      </c>
      <c r="H11" s="103" t="s">
        <v>986</v>
      </c>
      <c r="I11" s="75"/>
      <c r="J11" s="103" t="s">
        <v>986</v>
      </c>
    </row>
    <row r="12" spans="1:10" ht="18.75" customHeight="1" x14ac:dyDescent="0.25">
      <c r="A12" s="204" t="s">
        <v>158</v>
      </c>
      <c r="B12" s="204">
        <v>2</v>
      </c>
      <c r="C12" s="101" t="s">
        <v>183</v>
      </c>
      <c r="D12" s="134" t="s">
        <v>986</v>
      </c>
      <c r="E12" s="103" t="s">
        <v>986</v>
      </c>
      <c r="F12" s="103" t="s">
        <v>986</v>
      </c>
      <c r="G12" s="114"/>
      <c r="H12" s="114"/>
      <c r="I12" s="103" t="s">
        <v>986</v>
      </c>
      <c r="J12" s="114"/>
    </row>
    <row r="13" spans="1:10" ht="18.75" customHeight="1" x14ac:dyDescent="0.25">
      <c r="A13" s="205"/>
      <c r="B13" s="205"/>
      <c r="C13" s="101" t="s">
        <v>184</v>
      </c>
      <c r="D13" s="134" t="s">
        <v>986</v>
      </c>
      <c r="E13" s="75"/>
      <c r="F13" s="75"/>
      <c r="G13" s="103" t="s">
        <v>986</v>
      </c>
      <c r="H13" s="103" t="s">
        <v>986</v>
      </c>
      <c r="I13" s="75"/>
      <c r="J13" s="103" t="s">
        <v>986</v>
      </c>
    </row>
    <row r="14" spans="1:10" ht="18.75" customHeight="1" x14ac:dyDescent="0.25">
      <c r="A14" s="204" t="s">
        <v>159</v>
      </c>
      <c r="B14" s="204">
        <v>2</v>
      </c>
      <c r="C14" s="101" t="s">
        <v>185</v>
      </c>
      <c r="D14" s="134" t="s">
        <v>986</v>
      </c>
      <c r="E14" s="103" t="s">
        <v>986</v>
      </c>
      <c r="F14" s="103" t="s">
        <v>986</v>
      </c>
      <c r="G14" s="114"/>
      <c r="H14" s="114"/>
      <c r="I14" s="103" t="s">
        <v>986</v>
      </c>
      <c r="J14" s="114"/>
    </row>
    <row r="15" spans="1:10" ht="18.75" customHeight="1" x14ac:dyDescent="0.25">
      <c r="A15" s="205"/>
      <c r="B15" s="205"/>
      <c r="C15" s="101" t="s">
        <v>186</v>
      </c>
      <c r="D15" s="134" t="s">
        <v>986</v>
      </c>
      <c r="E15" s="75"/>
      <c r="F15" s="75"/>
      <c r="G15" s="103" t="s">
        <v>986</v>
      </c>
      <c r="H15" s="103" t="s">
        <v>986</v>
      </c>
      <c r="I15" s="75"/>
      <c r="J15" s="103" t="s">
        <v>986</v>
      </c>
    </row>
    <row r="16" spans="1:10" ht="18.75" customHeight="1" x14ac:dyDescent="0.25">
      <c r="A16" s="204" t="s">
        <v>160</v>
      </c>
      <c r="B16" s="204">
        <v>1</v>
      </c>
      <c r="C16" s="101" t="s">
        <v>167</v>
      </c>
      <c r="D16" s="134" t="s">
        <v>986</v>
      </c>
      <c r="E16" s="103" t="s">
        <v>986</v>
      </c>
      <c r="F16" s="103" t="s">
        <v>986</v>
      </c>
      <c r="G16" s="114"/>
      <c r="H16" s="114"/>
      <c r="I16" s="103" t="s">
        <v>986</v>
      </c>
      <c r="J16" s="114"/>
    </row>
    <row r="17" spans="1:10" ht="18.75" customHeight="1" x14ac:dyDescent="0.25">
      <c r="A17" s="205"/>
      <c r="B17" s="205"/>
      <c r="C17" s="101" t="s">
        <v>377</v>
      </c>
      <c r="D17" s="134" t="s">
        <v>986</v>
      </c>
      <c r="E17" s="75"/>
      <c r="F17" s="75"/>
      <c r="G17" s="103" t="s">
        <v>986</v>
      </c>
      <c r="H17" s="103" t="s">
        <v>986</v>
      </c>
      <c r="I17" s="75"/>
      <c r="J17" s="103" t="s">
        <v>986</v>
      </c>
    </row>
    <row r="18" spans="1:10" ht="18.75" customHeight="1" x14ac:dyDescent="0.25">
      <c r="A18" s="212" t="s">
        <v>166</v>
      </c>
      <c r="B18" s="212">
        <v>3</v>
      </c>
      <c r="C18" s="104" t="s">
        <v>171</v>
      </c>
      <c r="D18" s="134" t="s">
        <v>986</v>
      </c>
      <c r="E18" s="103" t="s">
        <v>986</v>
      </c>
      <c r="F18" s="103" t="s">
        <v>986</v>
      </c>
      <c r="G18" s="114"/>
      <c r="H18" s="114"/>
      <c r="I18" s="103" t="s">
        <v>986</v>
      </c>
      <c r="J18" s="114"/>
    </row>
    <row r="19" spans="1:10" ht="18.75" customHeight="1" x14ac:dyDescent="0.25">
      <c r="A19" s="212"/>
      <c r="B19" s="212"/>
      <c r="C19" s="104" t="s">
        <v>378</v>
      </c>
      <c r="D19" s="134" t="s">
        <v>986</v>
      </c>
      <c r="E19" s="75"/>
      <c r="F19" s="75"/>
      <c r="G19" s="103" t="s">
        <v>986</v>
      </c>
      <c r="H19" s="103" t="s">
        <v>986</v>
      </c>
      <c r="I19" s="75"/>
      <c r="J19" s="103" t="s">
        <v>986</v>
      </c>
    </row>
    <row r="20" spans="1:10" ht="18.75" customHeight="1" x14ac:dyDescent="0.25">
      <c r="A20" s="204" t="s">
        <v>170</v>
      </c>
      <c r="B20" s="204">
        <v>1</v>
      </c>
      <c r="C20" s="104" t="s">
        <v>175</v>
      </c>
      <c r="D20" s="134" t="s">
        <v>986</v>
      </c>
      <c r="E20" s="103" t="s">
        <v>986</v>
      </c>
      <c r="F20" s="103" t="s">
        <v>986</v>
      </c>
      <c r="G20" s="114"/>
      <c r="H20" s="114"/>
      <c r="I20" s="103" t="s">
        <v>986</v>
      </c>
      <c r="J20" s="114"/>
    </row>
    <row r="21" spans="1:10" ht="18.75" customHeight="1" x14ac:dyDescent="0.25">
      <c r="A21" s="205"/>
      <c r="B21" s="205"/>
      <c r="C21" s="101" t="s">
        <v>383</v>
      </c>
      <c r="D21" s="134" t="s">
        <v>986</v>
      </c>
      <c r="E21" s="75"/>
      <c r="F21" s="75"/>
      <c r="G21" s="103" t="s">
        <v>986</v>
      </c>
      <c r="H21" s="103" t="s">
        <v>986</v>
      </c>
      <c r="I21" s="75"/>
      <c r="J21" s="103" t="s">
        <v>986</v>
      </c>
    </row>
    <row r="22" spans="1:10" ht="18.75" customHeight="1" x14ac:dyDescent="0.25">
      <c r="A22" s="204" t="s">
        <v>174</v>
      </c>
      <c r="B22" s="204">
        <v>3</v>
      </c>
      <c r="C22" s="148" t="s">
        <v>190</v>
      </c>
      <c r="D22" s="134" t="s">
        <v>986</v>
      </c>
      <c r="E22" s="103" t="s">
        <v>986</v>
      </c>
      <c r="F22" s="103" t="s">
        <v>986</v>
      </c>
      <c r="G22" s="114"/>
      <c r="H22" s="114"/>
      <c r="I22" s="103" t="s">
        <v>986</v>
      </c>
      <c r="J22" s="114"/>
    </row>
    <row r="23" spans="1:10" ht="18.75" customHeight="1" x14ac:dyDescent="0.25">
      <c r="A23" s="205"/>
      <c r="B23" s="205"/>
      <c r="C23" s="148" t="s">
        <v>191</v>
      </c>
      <c r="D23" s="134" t="s">
        <v>986</v>
      </c>
      <c r="E23" s="75"/>
      <c r="F23" s="75"/>
      <c r="G23" s="103" t="s">
        <v>986</v>
      </c>
      <c r="H23" s="103" t="s">
        <v>986</v>
      </c>
      <c r="I23" s="75"/>
      <c r="J23" s="103" t="s">
        <v>986</v>
      </c>
    </row>
    <row r="24" spans="1:10" ht="18.75" customHeight="1" x14ac:dyDescent="0.25">
      <c r="A24" s="204" t="s">
        <v>179</v>
      </c>
      <c r="B24" s="204">
        <v>2</v>
      </c>
      <c r="C24" s="101" t="s">
        <v>187</v>
      </c>
      <c r="D24" s="134" t="s">
        <v>986</v>
      </c>
      <c r="E24" s="103" t="s">
        <v>986</v>
      </c>
      <c r="F24" s="103" t="s">
        <v>986</v>
      </c>
      <c r="G24" s="114"/>
      <c r="H24" s="114"/>
      <c r="I24" s="103" t="s">
        <v>986</v>
      </c>
      <c r="J24" s="114"/>
    </row>
    <row r="25" spans="1:10" ht="18.75" customHeight="1" x14ac:dyDescent="0.25">
      <c r="A25" s="205"/>
      <c r="B25" s="205"/>
      <c r="C25" s="101" t="s">
        <v>188</v>
      </c>
      <c r="D25" s="134" t="s">
        <v>986</v>
      </c>
      <c r="E25" s="75"/>
      <c r="F25" s="75"/>
      <c r="G25" s="103" t="s">
        <v>986</v>
      </c>
      <c r="H25" s="103" t="s">
        <v>986</v>
      </c>
      <c r="I25" s="75"/>
      <c r="J25" s="103" t="s">
        <v>986</v>
      </c>
    </row>
    <row r="26" spans="1:10" ht="18.75" customHeight="1" x14ac:dyDescent="0.25">
      <c r="A26" s="204" t="s">
        <v>194</v>
      </c>
      <c r="B26" s="204">
        <v>1</v>
      </c>
      <c r="C26" s="101" t="s">
        <v>381</v>
      </c>
      <c r="D26" s="134" t="s">
        <v>986</v>
      </c>
      <c r="E26" s="103" t="s">
        <v>986</v>
      </c>
      <c r="F26" s="103" t="s">
        <v>986</v>
      </c>
      <c r="G26" s="114"/>
      <c r="H26" s="114"/>
      <c r="I26" s="103" t="s">
        <v>986</v>
      </c>
      <c r="J26" s="114"/>
    </row>
    <row r="27" spans="1:10" ht="18.75" customHeight="1" x14ac:dyDescent="0.25">
      <c r="A27" s="205"/>
      <c r="B27" s="205"/>
      <c r="C27" s="101" t="s">
        <v>382</v>
      </c>
      <c r="D27" s="134" t="s">
        <v>986</v>
      </c>
      <c r="E27" s="75"/>
      <c r="F27" s="75"/>
      <c r="G27" s="103" t="s">
        <v>986</v>
      </c>
      <c r="H27" s="103" t="s">
        <v>986</v>
      </c>
      <c r="I27" s="75"/>
      <c r="J27" s="103" t="s">
        <v>986</v>
      </c>
    </row>
    <row r="28" spans="1:10" ht="18.75" customHeight="1" x14ac:dyDescent="0.25">
      <c r="A28" s="204" t="s">
        <v>394</v>
      </c>
      <c r="B28" s="204">
        <v>2</v>
      </c>
      <c r="C28" s="101" t="s">
        <v>189</v>
      </c>
      <c r="D28" s="134" t="s">
        <v>986</v>
      </c>
      <c r="E28" s="103" t="s">
        <v>986</v>
      </c>
      <c r="F28" s="103" t="s">
        <v>986</v>
      </c>
      <c r="G28" s="114"/>
      <c r="H28" s="114"/>
      <c r="I28" s="103" t="s">
        <v>986</v>
      </c>
      <c r="J28" s="114"/>
    </row>
    <row r="29" spans="1:10" ht="18.75" customHeight="1" x14ac:dyDescent="0.25">
      <c r="A29" s="205"/>
      <c r="B29" s="205"/>
      <c r="C29" s="101" t="s">
        <v>395</v>
      </c>
      <c r="D29" s="134" t="s">
        <v>986</v>
      </c>
      <c r="E29" s="75"/>
      <c r="F29" s="75"/>
      <c r="G29" s="103" t="s">
        <v>986</v>
      </c>
      <c r="H29" s="103" t="s">
        <v>986</v>
      </c>
      <c r="I29" s="75"/>
      <c r="J29" s="103" t="s">
        <v>986</v>
      </c>
    </row>
    <row r="30" spans="1:10" ht="18.75" customHeight="1" x14ac:dyDescent="0.25">
      <c r="A30" s="204" t="s">
        <v>199</v>
      </c>
      <c r="B30" s="204">
        <v>5</v>
      </c>
      <c r="C30" s="101" t="s">
        <v>228</v>
      </c>
      <c r="D30" s="134" t="s">
        <v>986</v>
      </c>
      <c r="E30" s="103" t="s">
        <v>986</v>
      </c>
      <c r="F30" s="103" t="s">
        <v>986</v>
      </c>
      <c r="G30" s="114"/>
      <c r="H30" s="114"/>
      <c r="I30" s="103" t="s">
        <v>986</v>
      </c>
      <c r="J30" s="114"/>
    </row>
    <row r="31" spans="1:10" ht="18.75" customHeight="1" x14ac:dyDescent="0.25">
      <c r="A31" s="205"/>
      <c r="B31" s="205"/>
      <c r="C31" s="101" t="s">
        <v>229</v>
      </c>
      <c r="D31" s="134" t="s">
        <v>986</v>
      </c>
      <c r="E31" s="75"/>
      <c r="F31" s="75"/>
      <c r="G31" s="103" t="s">
        <v>986</v>
      </c>
      <c r="H31" s="103" t="s">
        <v>986</v>
      </c>
      <c r="I31" s="75"/>
      <c r="J31" s="103" t="s">
        <v>986</v>
      </c>
    </row>
    <row r="32" spans="1:10" ht="18.75" customHeight="1" x14ac:dyDescent="0.25">
      <c r="A32" s="204" t="s">
        <v>202</v>
      </c>
      <c r="B32" s="204">
        <v>4</v>
      </c>
      <c r="C32" s="101" t="s">
        <v>192</v>
      </c>
      <c r="D32" s="134" t="s">
        <v>986</v>
      </c>
      <c r="E32" s="103" t="s">
        <v>986</v>
      </c>
      <c r="F32" s="103" t="s">
        <v>986</v>
      </c>
      <c r="G32" s="114"/>
      <c r="H32" s="114"/>
      <c r="I32" s="103" t="s">
        <v>986</v>
      </c>
      <c r="J32" s="114"/>
    </row>
    <row r="33" spans="1:10" ht="18.75" customHeight="1" x14ac:dyDescent="0.25">
      <c r="A33" s="205"/>
      <c r="B33" s="205"/>
      <c r="C33" s="101" t="s">
        <v>193</v>
      </c>
      <c r="D33" s="134" t="s">
        <v>986</v>
      </c>
      <c r="E33" s="75"/>
      <c r="F33" s="75"/>
      <c r="G33" s="103" t="s">
        <v>986</v>
      </c>
      <c r="H33" s="103" t="s">
        <v>986</v>
      </c>
      <c r="I33" s="75"/>
      <c r="J33" s="103" t="s">
        <v>986</v>
      </c>
    </row>
    <row r="34" spans="1:10" ht="18.75" customHeight="1" x14ac:dyDescent="0.25">
      <c r="A34" s="204" t="s">
        <v>205</v>
      </c>
      <c r="B34" s="204">
        <v>4</v>
      </c>
      <c r="C34" s="101" t="s">
        <v>219</v>
      </c>
      <c r="D34" s="134" t="s">
        <v>986</v>
      </c>
      <c r="E34" s="103" t="s">
        <v>986</v>
      </c>
      <c r="F34" s="103" t="s">
        <v>986</v>
      </c>
      <c r="G34" s="114"/>
      <c r="H34" s="114"/>
      <c r="I34" s="103" t="s">
        <v>986</v>
      </c>
      <c r="J34" s="114"/>
    </row>
    <row r="35" spans="1:10" ht="18.75" customHeight="1" x14ac:dyDescent="0.25">
      <c r="A35" s="205"/>
      <c r="B35" s="205"/>
      <c r="C35" s="101" t="s">
        <v>220</v>
      </c>
      <c r="D35" s="134" t="s">
        <v>986</v>
      </c>
      <c r="E35" s="75"/>
      <c r="F35" s="75"/>
      <c r="G35" s="103" t="s">
        <v>986</v>
      </c>
      <c r="H35" s="103" t="s">
        <v>986</v>
      </c>
      <c r="I35" s="75"/>
      <c r="J35" s="103" t="s">
        <v>986</v>
      </c>
    </row>
    <row r="36" spans="1:10" ht="18.75" customHeight="1" x14ac:dyDescent="0.25">
      <c r="A36" s="204" t="s">
        <v>208</v>
      </c>
      <c r="B36" s="204">
        <v>5</v>
      </c>
      <c r="C36" s="101" t="s">
        <v>230</v>
      </c>
      <c r="D36" s="134" t="s">
        <v>986</v>
      </c>
      <c r="E36" s="103" t="s">
        <v>986</v>
      </c>
      <c r="F36" s="103" t="s">
        <v>986</v>
      </c>
      <c r="G36" s="114"/>
      <c r="H36" s="114"/>
      <c r="I36" s="103" t="s">
        <v>986</v>
      </c>
      <c r="J36" s="114"/>
    </row>
    <row r="37" spans="1:10" ht="18.75" customHeight="1" x14ac:dyDescent="0.25">
      <c r="A37" s="205"/>
      <c r="B37" s="205"/>
      <c r="C37" s="101" t="s">
        <v>231</v>
      </c>
      <c r="D37" s="134" t="s">
        <v>986</v>
      </c>
      <c r="E37" s="75"/>
      <c r="F37" s="75"/>
      <c r="G37" s="103" t="s">
        <v>986</v>
      </c>
      <c r="H37" s="103" t="s">
        <v>986</v>
      </c>
      <c r="I37" s="75"/>
      <c r="J37" s="103" t="s">
        <v>986</v>
      </c>
    </row>
    <row r="38" spans="1:10" ht="18.75" customHeight="1" x14ac:dyDescent="0.25">
      <c r="A38" s="204" t="s">
        <v>211</v>
      </c>
      <c r="B38" s="204">
        <v>1</v>
      </c>
      <c r="C38" s="101" t="s">
        <v>384</v>
      </c>
      <c r="D38" s="134" t="s">
        <v>986</v>
      </c>
      <c r="E38" s="103" t="s">
        <v>986</v>
      </c>
      <c r="F38" s="103" t="s">
        <v>986</v>
      </c>
      <c r="G38" s="114"/>
      <c r="H38" s="114"/>
      <c r="I38" s="103" t="s">
        <v>986</v>
      </c>
      <c r="J38" s="114"/>
    </row>
    <row r="39" spans="1:10" ht="18.75" customHeight="1" x14ac:dyDescent="0.25">
      <c r="A39" s="205"/>
      <c r="B39" s="205"/>
      <c r="C39" s="108" t="s">
        <v>385</v>
      </c>
      <c r="D39" s="134" t="s">
        <v>986</v>
      </c>
      <c r="E39" s="75"/>
      <c r="F39" s="75"/>
      <c r="G39" s="103" t="s">
        <v>986</v>
      </c>
      <c r="H39" s="103" t="s">
        <v>986</v>
      </c>
      <c r="I39" s="75"/>
      <c r="J39" s="103" t="s">
        <v>986</v>
      </c>
    </row>
    <row r="40" spans="1:10" ht="18.75" customHeight="1" x14ac:dyDescent="0.25">
      <c r="A40" s="204" t="s">
        <v>214</v>
      </c>
      <c r="B40" s="204">
        <v>2</v>
      </c>
      <c r="C40" s="101" t="s">
        <v>396</v>
      </c>
      <c r="D40" s="134" t="s">
        <v>986</v>
      </c>
      <c r="E40" s="103" t="s">
        <v>986</v>
      </c>
      <c r="F40" s="103" t="s">
        <v>986</v>
      </c>
      <c r="G40" s="114"/>
      <c r="H40" s="114"/>
      <c r="I40" s="103" t="s">
        <v>986</v>
      </c>
      <c r="J40" s="114"/>
    </row>
    <row r="41" spans="1:10" ht="18.75" customHeight="1" x14ac:dyDescent="0.25">
      <c r="A41" s="205"/>
      <c r="B41" s="205"/>
      <c r="C41" s="101" t="s">
        <v>397</v>
      </c>
      <c r="D41" s="134" t="s">
        <v>986</v>
      </c>
      <c r="E41" s="75"/>
      <c r="F41" s="75"/>
      <c r="G41" s="103" t="s">
        <v>986</v>
      </c>
      <c r="H41" s="103" t="s">
        <v>986</v>
      </c>
      <c r="I41" s="75"/>
      <c r="J41" s="103" t="s">
        <v>986</v>
      </c>
    </row>
    <row r="42" spans="1:10" ht="18.75" customHeight="1" x14ac:dyDescent="0.25">
      <c r="A42" s="204" t="s">
        <v>375</v>
      </c>
      <c r="B42" s="204">
        <v>1</v>
      </c>
      <c r="C42" s="104" t="s">
        <v>386</v>
      </c>
      <c r="D42" s="134" t="s">
        <v>986</v>
      </c>
      <c r="E42" s="103" t="s">
        <v>986</v>
      </c>
      <c r="F42" s="103" t="s">
        <v>986</v>
      </c>
      <c r="G42" s="114"/>
      <c r="H42" s="114"/>
      <c r="I42" s="103" t="s">
        <v>986</v>
      </c>
      <c r="J42" s="114"/>
    </row>
    <row r="43" spans="1:10" ht="18.75" customHeight="1" x14ac:dyDescent="0.25">
      <c r="A43" s="205"/>
      <c r="B43" s="205"/>
      <c r="C43" s="108" t="s">
        <v>387</v>
      </c>
      <c r="D43" s="134" t="s">
        <v>986</v>
      </c>
      <c r="E43" s="75"/>
      <c r="F43" s="75"/>
      <c r="G43" s="103" t="s">
        <v>986</v>
      </c>
      <c r="H43" s="103" t="s">
        <v>986</v>
      </c>
      <c r="I43" s="75"/>
      <c r="J43" s="103" t="s">
        <v>986</v>
      </c>
    </row>
    <row r="44" spans="1:10" ht="18.75" customHeight="1" x14ac:dyDescent="0.25">
      <c r="A44" s="212" t="s">
        <v>243</v>
      </c>
      <c r="B44" s="212">
        <v>4</v>
      </c>
      <c r="C44" s="101" t="s">
        <v>221</v>
      </c>
      <c r="D44" s="134" t="s">
        <v>986</v>
      </c>
      <c r="E44" s="103" t="s">
        <v>986</v>
      </c>
      <c r="F44" s="103" t="s">
        <v>986</v>
      </c>
      <c r="G44" s="114"/>
      <c r="H44" s="114"/>
      <c r="I44" s="103" t="s">
        <v>986</v>
      </c>
      <c r="J44" s="114"/>
    </row>
    <row r="45" spans="1:10" ht="18.75" customHeight="1" x14ac:dyDescent="0.25">
      <c r="A45" s="212"/>
      <c r="B45" s="212"/>
      <c r="C45" s="101" t="s">
        <v>222</v>
      </c>
      <c r="D45" s="134" t="s">
        <v>986</v>
      </c>
      <c r="E45" s="75"/>
      <c r="F45" s="75"/>
      <c r="G45" s="103" t="s">
        <v>986</v>
      </c>
      <c r="H45" s="103" t="s">
        <v>986</v>
      </c>
      <c r="I45" s="75"/>
      <c r="J45" s="103" t="s">
        <v>986</v>
      </c>
    </row>
    <row r="46" spans="1:10" ht="18.75" customHeight="1" x14ac:dyDescent="0.25">
      <c r="A46" s="204" t="s">
        <v>246</v>
      </c>
      <c r="B46" s="204">
        <v>1</v>
      </c>
      <c r="C46" s="101" t="s">
        <v>388</v>
      </c>
      <c r="D46" s="134" t="s">
        <v>986</v>
      </c>
      <c r="E46" s="103" t="s">
        <v>986</v>
      </c>
      <c r="F46" s="103" t="s">
        <v>986</v>
      </c>
      <c r="G46" s="114"/>
      <c r="H46" s="114"/>
      <c r="I46" s="103" t="s">
        <v>986</v>
      </c>
      <c r="J46" s="114"/>
    </row>
    <row r="47" spans="1:10" ht="18.75" customHeight="1" x14ac:dyDescent="0.25">
      <c r="A47" s="205"/>
      <c r="B47" s="205"/>
      <c r="C47" s="101" t="s">
        <v>389</v>
      </c>
      <c r="D47" s="134" t="s">
        <v>986</v>
      </c>
      <c r="E47" s="75"/>
      <c r="F47" s="75"/>
      <c r="G47" s="103" t="s">
        <v>986</v>
      </c>
      <c r="H47" s="103" t="s">
        <v>986</v>
      </c>
      <c r="I47" s="75"/>
      <c r="J47" s="103" t="s">
        <v>986</v>
      </c>
    </row>
    <row r="48" spans="1:10" ht="18.75" customHeight="1" x14ac:dyDescent="0.25">
      <c r="A48" s="212" t="s">
        <v>249</v>
      </c>
      <c r="B48" s="212">
        <v>4</v>
      </c>
      <c r="C48" s="104" t="s">
        <v>223</v>
      </c>
      <c r="D48" s="134" t="s">
        <v>986</v>
      </c>
      <c r="E48" s="103" t="s">
        <v>986</v>
      </c>
      <c r="F48" s="103" t="s">
        <v>986</v>
      </c>
      <c r="G48" s="114"/>
      <c r="H48" s="114"/>
      <c r="I48" s="103" t="s">
        <v>986</v>
      </c>
      <c r="J48" s="114"/>
    </row>
    <row r="49" spans="1:10" ht="18.75" customHeight="1" x14ac:dyDescent="0.25">
      <c r="A49" s="212"/>
      <c r="B49" s="212"/>
      <c r="C49" s="104" t="s">
        <v>224</v>
      </c>
      <c r="D49" s="134" t="s">
        <v>986</v>
      </c>
      <c r="E49" s="75"/>
      <c r="F49" s="75"/>
      <c r="G49" s="103" t="s">
        <v>986</v>
      </c>
      <c r="H49" s="103" t="s">
        <v>986</v>
      </c>
      <c r="I49" s="75"/>
      <c r="J49" s="103" t="s">
        <v>986</v>
      </c>
    </row>
    <row r="50" spans="1:10" ht="18.75" customHeight="1" x14ac:dyDescent="0.25">
      <c r="A50" s="204" t="s">
        <v>252</v>
      </c>
      <c r="B50" s="204">
        <v>4</v>
      </c>
      <c r="C50" s="101" t="s">
        <v>225</v>
      </c>
      <c r="D50" s="134" t="s">
        <v>986</v>
      </c>
      <c r="E50" s="103" t="s">
        <v>986</v>
      </c>
      <c r="F50" s="103" t="s">
        <v>986</v>
      </c>
      <c r="G50" s="114"/>
      <c r="H50" s="114"/>
      <c r="I50" s="103" t="s">
        <v>986</v>
      </c>
      <c r="J50" s="114"/>
    </row>
    <row r="51" spans="1:10" ht="18.75" customHeight="1" x14ac:dyDescent="0.25">
      <c r="A51" s="205"/>
      <c r="B51" s="205"/>
      <c r="C51" s="101" t="s">
        <v>414</v>
      </c>
      <c r="D51" s="134" t="s">
        <v>986</v>
      </c>
      <c r="E51" s="75"/>
      <c r="F51" s="75"/>
      <c r="G51" s="103" t="s">
        <v>986</v>
      </c>
      <c r="H51" s="103" t="s">
        <v>986</v>
      </c>
      <c r="I51" s="75"/>
      <c r="J51" s="103" t="s">
        <v>986</v>
      </c>
    </row>
    <row r="52" spans="1:10" ht="18.75" customHeight="1" x14ac:dyDescent="0.25">
      <c r="A52" s="204" t="s">
        <v>255</v>
      </c>
      <c r="B52" s="204">
        <v>1</v>
      </c>
      <c r="C52" s="101" t="s">
        <v>390</v>
      </c>
      <c r="D52" s="134" t="s">
        <v>986</v>
      </c>
      <c r="E52" s="103" t="s">
        <v>986</v>
      </c>
      <c r="F52" s="103" t="s">
        <v>986</v>
      </c>
      <c r="G52" s="114"/>
      <c r="H52" s="114"/>
      <c r="I52" s="103" t="s">
        <v>986</v>
      </c>
      <c r="J52" s="114"/>
    </row>
    <row r="53" spans="1:10" ht="18.75" customHeight="1" x14ac:dyDescent="0.25">
      <c r="A53" s="205"/>
      <c r="B53" s="205"/>
      <c r="C53" s="101" t="s">
        <v>391</v>
      </c>
      <c r="D53" s="134" t="s">
        <v>986</v>
      </c>
      <c r="E53" s="75"/>
      <c r="F53" s="75"/>
      <c r="G53" s="103" t="s">
        <v>986</v>
      </c>
      <c r="H53" s="103" t="s">
        <v>986</v>
      </c>
      <c r="I53" s="75"/>
      <c r="J53" s="103" t="s">
        <v>986</v>
      </c>
    </row>
    <row r="54" spans="1:10" ht="18.75" customHeight="1" x14ac:dyDescent="0.25">
      <c r="A54" s="204" t="s">
        <v>258</v>
      </c>
      <c r="B54" s="204">
        <v>4</v>
      </c>
      <c r="C54" s="101" t="s">
        <v>415</v>
      </c>
      <c r="D54" s="134" t="s">
        <v>986</v>
      </c>
      <c r="E54" s="103" t="s">
        <v>986</v>
      </c>
      <c r="F54" s="103" t="s">
        <v>986</v>
      </c>
      <c r="G54" s="114"/>
      <c r="H54" s="114"/>
      <c r="I54" s="103" t="s">
        <v>986</v>
      </c>
      <c r="J54" s="114"/>
    </row>
    <row r="55" spans="1:10" ht="18.75" customHeight="1" x14ac:dyDescent="0.25">
      <c r="A55" s="205"/>
      <c r="B55" s="205"/>
      <c r="C55" s="101" t="s">
        <v>416</v>
      </c>
      <c r="D55" s="134" t="s">
        <v>986</v>
      </c>
      <c r="E55" s="75"/>
      <c r="F55" s="75"/>
      <c r="G55" s="103" t="s">
        <v>986</v>
      </c>
      <c r="H55" s="103" t="s">
        <v>986</v>
      </c>
      <c r="I55" s="75"/>
      <c r="J55" s="103" t="s">
        <v>986</v>
      </c>
    </row>
    <row r="56" spans="1:10" ht="18.75" customHeight="1" x14ac:dyDescent="0.25">
      <c r="A56" s="204" t="s">
        <v>261</v>
      </c>
      <c r="B56" s="204">
        <v>2</v>
      </c>
      <c r="C56" s="101" t="s">
        <v>398</v>
      </c>
      <c r="D56" s="134" t="s">
        <v>986</v>
      </c>
      <c r="E56" s="103" t="s">
        <v>986</v>
      </c>
      <c r="F56" s="103" t="s">
        <v>986</v>
      </c>
      <c r="G56" s="114"/>
      <c r="H56" s="114"/>
      <c r="I56" s="103" t="s">
        <v>986</v>
      </c>
      <c r="J56" s="114"/>
    </row>
    <row r="57" spans="1:10" ht="18.75" customHeight="1" x14ac:dyDescent="0.25">
      <c r="A57" s="205"/>
      <c r="B57" s="205"/>
      <c r="C57" s="107" t="s">
        <v>399</v>
      </c>
      <c r="D57" s="134" t="s">
        <v>986</v>
      </c>
      <c r="E57" s="75"/>
      <c r="F57" s="75"/>
      <c r="G57" s="103" t="s">
        <v>986</v>
      </c>
      <c r="H57" s="103" t="s">
        <v>986</v>
      </c>
      <c r="I57" s="75"/>
      <c r="J57" s="103" t="s">
        <v>986</v>
      </c>
    </row>
    <row r="58" spans="1:10" ht="18.75" customHeight="1" x14ac:dyDescent="0.25">
      <c r="A58" s="204" t="s">
        <v>262</v>
      </c>
      <c r="B58" s="204">
        <v>1</v>
      </c>
      <c r="C58" s="101" t="s">
        <v>392</v>
      </c>
      <c r="D58" s="134" t="s">
        <v>986</v>
      </c>
      <c r="E58" s="103" t="s">
        <v>986</v>
      </c>
      <c r="F58" s="103" t="s">
        <v>986</v>
      </c>
      <c r="G58" s="114"/>
      <c r="H58" s="114"/>
      <c r="I58" s="103" t="s">
        <v>986</v>
      </c>
      <c r="J58" s="114"/>
    </row>
    <row r="59" spans="1:10" ht="18.75" customHeight="1" x14ac:dyDescent="0.25">
      <c r="A59" s="205"/>
      <c r="B59" s="205"/>
      <c r="C59" s="101" t="s">
        <v>393</v>
      </c>
      <c r="D59" s="134" t="s">
        <v>986</v>
      </c>
      <c r="E59" s="75"/>
      <c r="F59" s="75"/>
      <c r="G59" s="103" t="s">
        <v>986</v>
      </c>
      <c r="H59" s="103" t="s">
        <v>986</v>
      </c>
      <c r="I59" s="75"/>
      <c r="J59" s="103" t="s">
        <v>986</v>
      </c>
    </row>
    <row r="60" spans="1:10" ht="18.75" customHeight="1" x14ac:dyDescent="0.25">
      <c r="A60" s="204" t="s">
        <v>265</v>
      </c>
      <c r="B60" s="204">
        <v>2</v>
      </c>
      <c r="C60" s="104" t="s">
        <v>400</v>
      </c>
      <c r="D60" s="134" t="s">
        <v>986</v>
      </c>
      <c r="E60" s="103" t="s">
        <v>986</v>
      </c>
      <c r="F60" s="103" t="s">
        <v>986</v>
      </c>
      <c r="G60" s="114"/>
      <c r="H60" s="114"/>
      <c r="I60" s="103" t="s">
        <v>986</v>
      </c>
      <c r="J60" s="114"/>
    </row>
    <row r="61" spans="1:10" ht="18.75" customHeight="1" x14ac:dyDescent="0.25">
      <c r="A61" s="205"/>
      <c r="B61" s="205"/>
      <c r="C61" s="101" t="s">
        <v>401</v>
      </c>
      <c r="D61" s="134" t="s">
        <v>986</v>
      </c>
      <c r="E61" s="75"/>
      <c r="F61" s="75"/>
      <c r="G61" s="103" t="s">
        <v>986</v>
      </c>
      <c r="H61" s="103" t="s">
        <v>986</v>
      </c>
      <c r="I61" s="75"/>
      <c r="J61" s="103" t="s">
        <v>986</v>
      </c>
    </row>
    <row r="62" spans="1:10" ht="18.75" customHeight="1" x14ac:dyDescent="0.25">
      <c r="A62" s="204" t="s">
        <v>267</v>
      </c>
      <c r="B62" s="204">
        <v>4</v>
      </c>
      <c r="C62" s="104" t="s">
        <v>417</v>
      </c>
      <c r="D62" s="134" t="s">
        <v>986</v>
      </c>
      <c r="E62" s="103" t="s">
        <v>986</v>
      </c>
      <c r="F62" s="103" t="s">
        <v>986</v>
      </c>
      <c r="G62" s="114"/>
      <c r="H62" s="114"/>
      <c r="I62" s="103" t="s">
        <v>986</v>
      </c>
      <c r="J62" s="114"/>
    </row>
    <row r="63" spans="1:10" ht="18.75" customHeight="1" x14ac:dyDescent="0.25">
      <c r="A63" s="205"/>
      <c r="B63" s="205"/>
      <c r="C63" s="101" t="s">
        <v>418</v>
      </c>
      <c r="D63" s="134" t="s">
        <v>986</v>
      </c>
      <c r="E63" s="75"/>
      <c r="F63" s="75"/>
      <c r="G63" s="103" t="s">
        <v>986</v>
      </c>
      <c r="H63" s="103" t="s">
        <v>986</v>
      </c>
      <c r="I63" s="75"/>
      <c r="J63" s="103" t="s">
        <v>986</v>
      </c>
    </row>
    <row r="64" spans="1:10" ht="18.75" customHeight="1" x14ac:dyDescent="0.25">
      <c r="A64" s="204" t="s">
        <v>270</v>
      </c>
      <c r="B64" s="204">
        <v>2</v>
      </c>
      <c r="C64" s="101" t="s">
        <v>402</v>
      </c>
      <c r="D64" s="134" t="s">
        <v>986</v>
      </c>
      <c r="E64" s="103" t="s">
        <v>986</v>
      </c>
      <c r="F64" s="103" t="s">
        <v>986</v>
      </c>
      <c r="G64" s="114"/>
      <c r="H64" s="114"/>
      <c r="I64" s="103" t="s">
        <v>986</v>
      </c>
      <c r="J64" s="114"/>
    </row>
    <row r="65" spans="1:10" ht="18.75" customHeight="1" x14ac:dyDescent="0.25">
      <c r="A65" s="205"/>
      <c r="B65" s="205"/>
      <c r="C65" s="101" t="s">
        <v>403</v>
      </c>
      <c r="D65" s="134" t="s">
        <v>986</v>
      </c>
      <c r="E65" s="75"/>
      <c r="F65" s="75"/>
      <c r="G65" s="103" t="s">
        <v>986</v>
      </c>
      <c r="H65" s="103" t="s">
        <v>986</v>
      </c>
      <c r="I65" s="75"/>
      <c r="J65" s="103" t="s">
        <v>986</v>
      </c>
    </row>
    <row r="66" spans="1:10" ht="18.75" customHeight="1" x14ac:dyDescent="0.25">
      <c r="A66" s="204" t="s">
        <v>273</v>
      </c>
      <c r="B66" s="204">
        <v>5</v>
      </c>
      <c r="C66" s="101" t="s">
        <v>232</v>
      </c>
      <c r="D66" s="134" t="s">
        <v>986</v>
      </c>
      <c r="E66" s="103" t="s">
        <v>986</v>
      </c>
      <c r="F66" s="103" t="s">
        <v>986</v>
      </c>
      <c r="G66" s="114"/>
      <c r="H66" s="114"/>
      <c r="I66" s="103" t="s">
        <v>986</v>
      </c>
      <c r="J66" s="114"/>
    </row>
    <row r="67" spans="1:10" ht="18.75" customHeight="1" x14ac:dyDescent="0.25">
      <c r="A67" s="205"/>
      <c r="B67" s="205"/>
      <c r="C67" s="101" t="s">
        <v>233</v>
      </c>
      <c r="D67" s="134" t="s">
        <v>986</v>
      </c>
      <c r="E67" s="75"/>
      <c r="F67" s="75"/>
      <c r="G67" s="103" t="s">
        <v>986</v>
      </c>
      <c r="H67" s="103" t="s">
        <v>986</v>
      </c>
      <c r="I67" s="75"/>
      <c r="J67" s="103" t="s">
        <v>986</v>
      </c>
    </row>
    <row r="68" spans="1:10" ht="18.75" customHeight="1" x14ac:dyDescent="0.25">
      <c r="A68" s="204" t="s">
        <v>275</v>
      </c>
      <c r="B68" s="204">
        <v>4</v>
      </c>
      <c r="C68" s="101" t="s">
        <v>419</v>
      </c>
      <c r="D68" s="134" t="s">
        <v>986</v>
      </c>
      <c r="E68" s="103" t="s">
        <v>986</v>
      </c>
      <c r="F68" s="103" t="s">
        <v>986</v>
      </c>
      <c r="G68" s="114"/>
      <c r="H68" s="114"/>
      <c r="I68" s="103" t="s">
        <v>986</v>
      </c>
      <c r="J68" s="114"/>
    </row>
    <row r="69" spans="1:10" ht="18.75" customHeight="1" x14ac:dyDescent="0.25">
      <c r="A69" s="205"/>
      <c r="B69" s="205"/>
      <c r="C69" s="101" t="s">
        <v>420</v>
      </c>
      <c r="D69" s="134" t="s">
        <v>986</v>
      </c>
      <c r="E69" s="75"/>
      <c r="F69" s="75"/>
      <c r="G69" s="103" t="s">
        <v>986</v>
      </c>
      <c r="H69" s="103" t="s">
        <v>986</v>
      </c>
      <c r="I69" s="75"/>
      <c r="J69" s="103" t="s">
        <v>986</v>
      </c>
    </row>
    <row r="70" spans="1:10" ht="18.75" customHeight="1" x14ac:dyDescent="0.25">
      <c r="A70" s="204" t="s">
        <v>278</v>
      </c>
      <c r="B70" s="204">
        <v>4</v>
      </c>
      <c r="C70" s="101" t="s">
        <v>421</v>
      </c>
      <c r="D70" s="134" t="s">
        <v>986</v>
      </c>
      <c r="E70" s="103" t="s">
        <v>986</v>
      </c>
      <c r="F70" s="103" t="s">
        <v>986</v>
      </c>
      <c r="G70" s="114"/>
      <c r="H70" s="114"/>
      <c r="I70" s="103" t="s">
        <v>986</v>
      </c>
      <c r="J70" s="114"/>
    </row>
    <row r="71" spans="1:10" ht="18.75" customHeight="1" x14ac:dyDescent="0.25">
      <c r="A71" s="205"/>
      <c r="B71" s="205"/>
      <c r="C71" s="101" t="s">
        <v>422</v>
      </c>
      <c r="D71" s="134" t="s">
        <v>986</v>
      </c>
      <c r="E71" s="75"/>
      <c r="F71" s="75"/>
      <c r="G71" s="103" t="s">
        <v>986</v>
      </c>
      <c r="H71" s="103" t="s">
        <v>986</v>
      </c>
      <c r="I71" s="75"/>
      <c r="J71" s="103" t="s">
        <v>986</v>
      </c>
    </row>
    <row r="72" spans="1:10" ht="18.75" customHeight="1" x14ac:dyDescent="0.25">
      <c r="A72" s="204" t="s">
        <v>281</v>
      </c>
      <c r="B72" s="204">
        <v>2</v>
      </c>
      <c r="C72" s="101" t="s">
        <v>404</v>
      </c>
      <c r="D72" s="134" t="s">
        <v>986</v>
      </c>
      <c r="E72" s="103" t="s">
        <v>986</v>
      </c>
      <c r="F72" s="103" t="s">
        <v>986</v>
      </c>
      <c r="G72" s="114"/>
      <c r="H72" s="114"/>
      <c r="I72" s="103" t="s">
        <v>986</v>
      </c>
      <c r="J72" s="114"/>
    </row>
    <row r="73" spans="1:10" ht="18.75" customHeight="1" x14ac:dyDescent="0.25">
      <c r="A73" s="205"/>
      <c r="B73" s="205"/>
      <c r="C73" s="104" t="s">
        <v>405</v>
      </c>
      <c r="D73" s="134" t="s">
        <v>986</v>
      </c>
      <c r="E73" s="75"/>
      <c r="F73" s="75"/>
      <c r="G73" s="103" t="s">
        <v>986</v>
      </c>
      <c r="H73" s="103" t="s">
        <v>986</v>
      </c>
      <c r="I73" s="75"/>
      <c r="J73" s="103" t="s">
        <v>986</v>
      </c>
    </row>
    <row r="74" spans="1:10" ht="18.75" customHeight="1" x14ac:dyDescent="0.25">
      <c r="A74" s="204" t="s">
        <v>284</v>
      </c>
      <c r="B74" s="204">
        <v>5</v>
      </c>
      <c r="C74" s="101" t="s">
        <v>234</v>
      </c>
      <c r="D74" s="134" t="s">
        <v>986</v>
      </c>
      <c r="E74" s="103" t="s">
        <v>986</v>
      </c>
      <c r="F74" s="103" t="s">
        <v>986</v>
      </c>
      <c r="G74" s="114"/>
      <c r="H74" s="114"/>
      <c r="I74" s="103" t="s">
        <v>986</v>
      </c>
      <c r="J74" s="114"/>
    </row>
    <row r="75" spans="1:10" ht="18.75" customHeight="1" x14ac:dyDescent="0.25">
      <c r="A75" s="205"/>
      <c r="B75" s="205"/>
      <c r="C75" s="101" t="s">
        <v>437</v>
      </c>
      <c r="D75" s="134" t="s">
        <v>986</v>
      </c>
      <c r="E75" s="75"/>
      <c r="F75" s="75"/>
      <c r="G75" s="103" t="s">
        <v>986</v>
      </c>
      <c r="H75" s="103" t="s">
        <v>986</v>
      </c>
      <c r="I75" s="75"/>
      <c r="J75" s="103" t="s">
        <v>986</v>
      </c>
    </row>
    <row r="76" spans="1:10" ht="18.75" customHeight="1" x14ac:dyDescent="0.25">
      <c r="A76" s="204" t="s">
        <v>287</v>
      </c>
      <c r="B76" s="204">
        <v>4</v>
      </c>
      <c r="C76" s="101" t="s">
        <v>423</v>
      </c>
      <c r="D76" s="134" t="s">
        <v>986</v>
      </c>
      <c r="E76" s="103" t="s">
        <v>986</v>
      </c>
      <c r="F76" s="103" t="s">
        <v>986</v>
      </c>
      <c r="G76" s="114"/>
      <c r="H76" s="114"/>
      <c r="I76" s="103" t="s">
        <v>986</v>
      </c>
      <c r="J76" s="114"/>
    </row>
    <row r="77" spans="1:10" ht="18.75" customHeight="1" x14ac:dyDescent="0.25">
      <c r="A77" s="205"/>
      <c r="B77" s="205"/>
      <c r="C77" s="101" t="s">
        <v>424</v>
      </c>
      <c r="D77" s="134" t="s">
        <v>986</v>
      </c>
      <c r="E77" s="75"/>
      <c r="F77" s="75"/>
      <c r="G77" s="103" t="s">
        <v>986</v>
      </c>
      <c r="H77" s="103" t="s">
        <v>986</v>
      </c>
      <c r="I77" s="75"/>
      <c r="J77" s="103" t="s">
        <v>986</v>
      </c>
    </row>
    <row r="78" spans="1:10" ht="18.75" customHeight="1" x14ac:dyDescent="0.25">
      <c r="A78" s="204" t="s">
        <v>288</v>
      </c>
      <c r="B78" s="204">
        <v>2</v>
      </c>
      <c r="C78" s="101" t="s">
        <v>406</v>
      </c>
      <c r="D78" s="134" t="s">
        <v>986</v>
      </c>
      <c r="E78" s="103" t="s">
        <v>986</v>
      </c>
      <c r="F78" s="103" t="s">
        <v>986</v>
      </c>
      <c r="G78" s="114"/>
      <c r="H78" s="114"/>
      <c r="I78" s="103" t="s">
        <v>986</v>
      </c>
      <c r="J78" s="114"/>
    </row>
    <row r="79" spans="1:10" ht="18.75" customHeight="1" x14ac:dyDescent="0.25">
      <c r="A79" s="205"/>
      <c r="B79" s="205"/>
      <c r="C79" s="101" t="s">
        <v>407</v>
      </c>
      <c r="D79" s="134" t="s">
        <v>986</v>
      </c>
      <c r="E79" s="75"/>
      <c r="F79" s="75"/>
      <c r="G79" s="103" t="s">
        <v>986</v>
      </c>
      <c r="H79" s="103" t="s">
        <v>986</v>
      </c>
      <c r="I79" s="75"/>
      <c r="J79" s="103" t="s">
        <v>986</v>
      </c>
    </row>
    <row r="80" spans="1:10" ht="18.75" customHeight="1" x14ac:dyDescent="0.25">
      <c r="A80" s="204" t="s">
        <v>293</v>
      </c>
      <c r="B80" s="204">
        <v>2</v>
      </c>
      <c r="C80" s="101" t="s">
        <v>408</v>
      </c>
      <c r="D80" s="134" t="s">
        <v>986</v>
      </c>
      <c r="E80" s="103" t="s">
        <v>986</v>
      </c>
      <c r="F80" s="103" t="s">
        <v>986</v>
      </c>
      <c r="G80" s="114"/>
      <c r="H80" s="114"/>
      <c r="I80" s="103" t="s">
        <v>986</v>
      </c>
      <c r="J80" s="114"/>
    </row>
    <row r="81" spans="1:10" ht="18.75" customHeight="1" x14ac:dyDescent="0.25">
      <c r="A81" s="205"/>
      <c r="B81" s="205"/>
      <c r="C81" s="101" t="s">
        <v>409</v>
      </c>
      <c r="D81" s="134" t="s">
        <v>986</v>
      </c>
      <c r="E81" s="75"/>
      <c r="F81" s="75"/>
      <c r="G81" s="103" t="s">
        <v>986</v>
      </c>
      <c r="H81" s="103" t="s">
        <v>986</v>
      </c>
      <c r="I81" s="75"/>
      <c r="J81" s="103" t="s">
        <v>986</v>
      </c>
    </row>
    <row r="82" spans="1:10" ht="18.75" customHeight="1" x14ac:dyDescent="0.25">
      <c r="A82" s="204" t="s">
        <v>296</v>
      </c>
      <c r="B82" s="204">
        <v>5</v>
      </c>
      <c r="C82" s="104" t="s">
        <v>438</v>
      </c>
      <c r="D82" s="134" t="s">
        <v>986</v>
      </c>
      <c r="E82" s="103" t="s">
        <v>986</v>
      </c>
      <c r="F82" s="103" t="s">
        <v>986</v>
      </c>
      <c r="G82" s="114"/>
      <c r="H82" s="114"/>
      <c r="I82" s="103" t="s">
        <v>986</v>
      </c>
      <c r="J82" s="114"/>
    </row>
    <row r="83" spans="1:10" ht="18.75" customHeight="1" x14ac:dyDescent="0.25">
      <c r="A83" s="205"/>
      <c r="B83" s="205"/>
      <c r="C83" s="101" t="s">
        <v>439</v>
      </c>
      <c r="D83" s="134" t="s">
        <v>986</v>
      </c>
      <c r="E83" s="75"/>
      <c r="F83" s="75"/>
      <c r="G83" s="103" t="s">
        <v>986</v>
      </c>
      <c r="H83" s="103" t="s">
        <v>986</v>
      </c>
      <c r="I83" s="75"/>
      <c r="J83" s="103" t="s">
        <v>986</v>
      </c>
    </row>
    <row r="84" spans="1:10" ht="18.75" customHeight="1" x14ac:dyDescent="0.25">
      <c r="A84" s="204" t="s">
        <v>297</v>
      </c>
      <c r="B84" s="204">
        <v>2</v>
      </c>
      <c r="C84" s="101" t="s">
        <v>412</v>
      </c>
      <c r="D84" s="134" t="s">
        <v>986</v>
      </c>
      <c r="E84" s="103" t="s">
        <v>986</v>
      </c>
      <c r="F84" s="103" t="s">
        <v>986</v>
      </c>
      <c r="G84" s="114"/>
      <c r="H84" s="114"/>
      <c r="I84" s="103" t="s">
        <v>986</v>
      </c>
      <c r="J84" s="114"/>
    </row>
    <row r="85" spans="1:10" ht="18.75" customHeight="1" x14ac:dyDescent="0.25">
      <c r="A85" s="205"/>
      <c r="B85" s="205"/>
      <c r="C85" s="101" t="s">
        <v>413</v>
      </c>
      <c r="D85" s="134" t="s">
        <v>986</v>
      </c>
      <c r="E85" s="75"/>
      <c r="F85" s="75"/>
      <c r="G85" s="103" t="s">
        <v>986</v>
      </c>
      <c r="H85" s="103" t="s">
        <v>986</v>
      </c>
      <c r="I85" s="75"/>
      <c r="J85" s="103" t="s">
        <v>986</v>
      </c>
    </row>
    <row r="86" spans="1:10" ht="18.75" customHeight="1" x14ac:dyDescent="0.25">
      <c r="A86" s="204" t="s">
        <v>302</v>
      </c>
      <c r="B86" s="204">
        <v>5</v>
      </c>
      <c r="C86" s="101" t="s">
        <v>440</v>
      </c>
      <c r="D86" s="134" t="s">
        <v>986</v>
      </c>
      <c r="E86" s="103" t="s">
        <v>986</v>
      </c>
      <c r="F86" s="103" t="s">
        <v>986</v>
      </c>
      <c r="G86" s="114"/>
      <c r="H86" s="114"/>
      <c r="I86" s="103" t="s">
        <v>986</v>
      </c>
      <c r="J86" s="114"/>
    </row>
    <row r="87" spans="1:10" ht="18.75" customHeight="1" x14ac:dyDescent="0.25">
      <c r="A87" s="205"/>
      <c r="B87" s="205"/>
      <c r="C87" s="101" t="s">
        <v>441</v>
      </c>
      <c r="D87" s="134" t="s">
        <v>986</v>
      </c>
      <c r="E87" s="75"/>
      <c r="F87" s="75"/>
      <c r="G87" s="103" t="s">
        <v>986</v>
      </c>
      <c r="H87" s="103" t="s">
        <v>986</v>
      </c>
      <c r="I87" s="75"/>
      <c r="J87" s="103" t="s">
        <v>986</v>
      </c>
    </row>
    <row r="88" spans="1:10" ht="18.75" customHeight="1" x14ac:dyDescent="0.25">
      <c r="A88" s="204" t="s">
        <v>303</v>
      </c>
      <c r="B88" s="204">
        <v>4</v>
      </c>
      <c r="C88" s="101" t="s">
        <v>425</v>
      </c>
      <c r="D88" s="134" t="s">
        <v>986</v>
      </c>
      <c r="E88" s="103" t="s">
        <v>986</v>
      </c>
      <c r="F88" s="103" t="s">
        <v>986</v>
      </c>
      <c r="G88" s="114"/>
      <c r="H88" s="114"/>
      <c r="I88" s="103" t="s">
        <v>986</v>
      </c>
      <c r="J88" s="114"/>
    </row>
    <row r="89" spans="1:10" ht="18.75" customHeight="1" x14ac:dyDescent="0.25">
      <c r="A89" s="205"/>
      <c r="B89" s="205"/>
      <c r="C89" s="101" t="s">
        <v>426</v>
      </c>
      <c r="D89" s="134" t="s">
        <v>986</v>
      </c>
      <c r="E89" s="75"/>
      <c r="F89" s="75"/>
      <c r="G89" s="103" t="s">
        <v>986</v>
      </c>
      <c r="H89" s="103" t="s">
        <v>986</v>
      </c>
      <c r="I89" s="75"/>
      <c r="J89" s="103" t="s">
        <v>986</v>
      </c>
    </row>
    <row r="90" spans="1:10" ht="18.75" customHeight="1" x14ac:dyDescent="0.25">
      <c r="A90" s="204" t="s">
        <v>306</v>
      </c>
      <c r="B90" s="101">
        <v>5</v>
      </c>
      <c r="C90" s="101" t="s">
        <v>442</v>
      </c>
      <c r="D90" s="134" t="s">
        <v>986</v>
      </c>
      <c r="E90" s="103" t="s">
        <v>986</v>
      </c>
      <c r="F90" s="103" t="s">
        <v>986</v>
      </c>
      <c r="G90" s="114"/>
      <c r="H90" s="114"/>
      <c r="I90" s="103" t="s">
        <v>986</v>
      </c>
      <c r="J90" s="114"/>
    </row>
    <row r="91" spans="1:10" ht="18.75" customHeight="1" x14ac:dyDescent="0.25">
      <c r="A91" s="205"/>
      <c r="B91" s="101">
        <v>6</v>
      </c>
      <c r="C91" s="101" t="s">
        <v>235</v>
      </c>
      <c r="D91" s="134" t="s">
        <v>986</v>
      </c>
      <c r="E91" s="75"/>
      <c r="F91" s="75"/>
      <c r="G91" s="103" t="s">
        <v>986</v>
      </c>
      <c r="H91" s="103" t="s">
        <v>986</v>
      </c>
      <c r="I91" s="75"/>
      <c r="J91" s="103" t="s">
        <v>986</v>
      </c>
    </row>
    <row r="92" spans="1:10" ht="18.75" customHeight="1" x14ac:dyDescent="0.25">
      <c r="A92" s="212" t="s">
        <v>308</v>
      </c>
      <c r="B92" s="204">
        <v>11</v>
      </c>
      <c r="C92" s="101" t="s">
        <v>344</v>
      </c>
      <c r="D92" s="134" t="s">
        <v>986</v>
      </c>
      <c r="E92" s="103" t="s">
        <v>986</v>
      </c>
      <c r="F92" s="103" t="s">
        <v>986</v>
      </c>
      <c r="G92" s="114"/>
      <c r="H92" s="114"/>
      <c r="I92" s="103" t="s">
        <v>986</v>
      </c>
      <c r="J92" s="114"/>
    </row>
    <row r="93" spans="1:10" ht="18.75" customHeight="1" x14ac:dyDescent="0.25">
      <c r="A93" s="212"/>
      <c r="B93" s="205"/>
      <c r="C93" s="101" t="s">
        <v>345</v>
      </c>
      <c r="D93" s="134" t="s">
        <v>986</v>
      </c>
      <c r="E93" s="75"/>
      <c r="F93" s="75"/>
      <c r="G93" s="103" t="s">
        <v>986</v>
      </c>
      <c r="H93" s="103" t="s">
        <v>986</v>
      </c>
      <c r="I93" s="75"/>
      <c r="J93" s="103" t="s">
        <v>986</v>
      </c>
    </row>
    <row r="94" spans="1:10" ht="18.75" customHeight="1" x14ac:dyDescent="0.25">
      <c r="A94" s="204" t="s">
        <v>311</v>
      </c>
      <c r="B94" s="204">
        <v>4</v>
      </c>
      <c r="C94" s="101" t="s">
        <v>427</v>
      </c>
      <c r="D94" s="134" t="s">
        <v>986</v>
      </c>
      <c r="E94" s="103" t="s">
        <v>986</v>
      </c>
      <c r="F94" s="103" t="s">
        <v>986</v>
      </c>
      <c r="G94" s="114"/>
      <c r="H94" s="114"/>
      <c r="I94" s="103" t="s">
        <v>986</v>
      </c>
      <c r="J94" s="114"/>
    </row>
    <row r="95" spans="1:10" ht="18.75" customHeight="1" x14ac:dyDescent="0.25">
      <c r="A95" s="205"/>
      <c r="B95" s="205"/>
      <c r="C95" s="101" t="s">
        <v>428</v>
      </c>
      <c r="D95" s="134" t="s">
        <v>986</v>
      </c>
      <c r="E95" s="75"/>
      <c r="F95" s="75"/>
      <c r="G95" s="103" t="s">
        <v>986</v>
      </c>
      <c r="H95" s="103" t="s">
        <v>986</v>
      </c>
      <c r="I95" s="75"/>
      <c r="J95" s="103" t="s">
        <v>986</v>
      </c>
    </row>
    <row r="96" spans="1:10" ht="18.75" customHeight="1" x14ac:dyDescent="0.25">
      <c r="A96" s="204" t="s">
        <v>326</v>
      </c>
      <c r="B96" s="204">
        <v>9</v>
      </c>
      <c r="C96" s="105" t="s">
        <v>242</v>
      </c>
      <c r="D96" s="134" t="s">
        <v>986</v>
      </c>
      <c r="E96" s="103" t="s">
        <v>986</v>
      </c>
      <c r="F96" s="103" t="s">
        <v>986</v>
      </c>
      <c r="G96" s="114"/>
      <c r="H96" s="114"/>
      <c r="I96" s="103" t="s">
        <v>986</v>
      </c>
      <c r="J96" s="114"/>
    </row>
    <row r="97" spans="1:10" ht="18.75" customHeight="1" x14ac:dyDescent="0.25">
      <c r="A97" s="205"/>
      <c r="B97" s="205"/>
      <c r="C97" s="106" t="s">
        <v>312</v>
      </c>
      <c r="D97" s="134" t="s">
        <v>986</v>
      </c>
      <c r="E97" s="75"/>
      <c r="F97" s="75"/>
      <c r="G97" s="103" t="s">
        <v>986</v>
      </c>
      <c r="H97" s="103" t="s">
        <v>986</v>
      </c>
      <c r="I97" s="75"/>
      <c r="J97" s="103" t="s">
        <v>986</v>
      </c>
    </row>
    <row r="98" spans="1:10" ht="18.75" customHeight="1" x14ac:dyDescent="0.25">
      <c r="A98" s="204" t="s">
        <v>330</v>
      </c>
      <c r="B98" s="204">
        <v>4</v>
      </c>
      <c r="C98" s="101" t="s">
        <v>430</v>
      </c>
      <c r="D98" s="134" t="s">
        <v>986</v>
      </c>
      <c r="E98" s="103" t="s">
        <v>986</v>
      </c>
      <c r="F98" s="103" t="s">
        <v>986</v>
      </c>
      <c r="G98" s="114"/>
      <c r="H98" s="114"/>
      <c r="I98" s="103" t="s">
        <v>986</v>
      </c>
      <c r="J98" s="114"/>
    </row>
    <row r="99" spans="1:10" ht="18.75" customHeight="1" x14ac:dyDescent="0.25">
      <c r="A99" s="205"/>
      <c r="B99" s="205"/>
      <c r="C99" s="101" t="s">
        <v>431</v>
      </c>
      <c r="D99" s="134" t="s">
        <v>986</v>
      </c>
      <c r="E99" s="75"/>
      <c r="F99" s="75"/>
      <c r="G99" s="103" t="s">
        <v>986</v>
      </c>
      <c r="H99" s="103" t="s">
        <v>986</v>
      </c>
      <c r="I99" s="75"/>
      <c r="J99" s="103" t="s">
        <v>986</v>
      </c>
    </row>
    <row r="100" spans="1:10" ht="18.75" customHeight="1" x14ac:dyDescent="0.25">
      <c r="A100" s="204" t="s">
        <v>333</v>
      </c>
      <c r="B100" s="204">
        <v>6</v>
      </c>
      <c r="C100" s="101" t="s">
        <v>443</v>
      </c>
      <c r="D100" s="134" t="s">
        <v>986</v>
      </c>
      <c r="E100" s="103" t="s">
        <v>986</v>
      </c>
      <c r="F100" s="103" t="s">
        <v>986</v>
      </c>
      <c r="G100" s="114"/>
      <c r="H100" s="114"/>
      <c r="I100" s="103" t="s">
        <v>986</v>
      </c>
      <c r="J100" s="114"/>
    </row>
    <row r="101" spans="1:10" ht="18.75" customHeight="1" x14ac:dyDescent="0.25">
      <c r="A101" s="205"/>
      <c r="B101" s="205"/>
      <c r="C101" s="101" t="s">
        <v>831</v>
      </c>
      <c r="D101" s="134" t="s">
        <v>986</v>
      </c>
      <c r="E101" s="75"/>
      <c r="F101" s="75"/>
      <c r="G101" s="103" t="s">
        <v>986</v>
      </c>
      <c r="H101" s="103" t="s">
        <v>986</v>
      </c>
      <c r="I101" s="75"/>
      <c r="J101" s="103" t="s">
        <v>986</v>
      </c>
    </row>
    <row r="102" spans="1:10" ht="18.75" customHeight="1" x14ac:dyDescent="0.25">
      <c r="A102" s="204" t="s">
        <v>334</v>
      </c>
      <c r="B102" s="204">
        <v>10</v>
      </c>
      <c r="C102" s="105" t="s">
        <v>317</v>
      </c>
      <c r="D102" s="134" t="s">
        <v>986</v>
      </c>
      <c r="E102" s="103" t="s">
        <v>986</v>
      </c>
      <c r="F102" s="103" t="s">
        <v>986</v>
      </c>
      <c r="G102" s="114"/>
      <c r="H102" s="114"/>
      <c r="I102" s="103" t="s">
        <v>986</v>
      </c>
      <c r="J102" s="114"/>
    </row>
    <row r="103" spans="1:10" ht="18.75" customHeight="1" x14ac:dyDescent="0.25">
      <c r="A103" s="205"/>
      <c r="B103" s="205"/>
      <c r="C103" s="105" t="s">
        <v>318</v>
      </c>
      <c r="D103" s="134" t="s">
        <v>986</v>
      </c>
      <c r="E103" s="75"/>
      <c r="F103" s="75"/>
      <c r="G103" s="103" t="s">
        <v>986</v>
      </c>
      <c r="H103" s="103" t="s">
        <v>986</v>
      </c>
      <c r="I103" s="75"/>
      <c r="J103" s="103" t="s">
        <v>986</v>
      </c>
    </row>
    <row r="104" spans="1:10" ht="18.75" customHeight="1" x14ac:dyDescent="0.25">
      <c r="A104" s="204" t="s">
        <v>337</v>
      </c>
      <c r="B104" s="204">
        <v>6</v>
      </c>
      <c r="C104" s="101" t="s">
        <v>236</v>
      </c>
      <c r="D104" s="134" t="s">
        <v>986</v>
      </c>
      <c r="E104" s="103" t="s">
        <v>986</v>
      </c>
      <c r="F104" s="103" t="s">
        <v>986</v>
      </c>
      <c r="G104" s="114"/>
      <c r="H104" s="114"/>
      <c r="I104" s="103" t="s">
        <v>986</v>
      </c>
      <c r="J104" s="114"/>
    </row>
    <row r="105" spans="1:10" ht="18.75" customHeight="1" x14ac:dyDescent="0.25">
      <c r="A105" s="205"/>
      <c r="B105" s="205"/>
      <c r="C105" s="101" t="s">
        <v>237</v>
      </c>
      <c r="D105" s="134" t="s">
        <v>986</v>
      </c>
      <c r="E105" s="75"/>
      <c r="F105" s="75"/>
      <c r="G105" s="103" t="s">
        <v>986</v>
      </c>
      <c r="H105" s="103" t="s">
        <v>986</v>
      </c>
      <c r="I105" s="75"/>
      <c r="J105" s="103" t="s">
        <v>986</v>
      </c>
    </row>
    <row r="106" spans="1:10" ht="18.75" customHeight="1" x14ac:dyDescent="0.25">
      <c r="A106" s="204" t="s">
        <v>889</v>
      </c>
      <c r="B106" s="204">
        <v>4</v>
      </c>
      <c r="C106" s="101" t="s">
        <v>432</v>
      </c>
      <c r="D106" s="134" t="s">
        <v>986</v>
      </c>
      <c r="E106" s="103" t="s">
        <v>986</v>
      </c>
      <c r="F106" s="103" t="s">
        <v>986</v>
      </c>
      <c r="G106" s="114"/>
      <c r="H106" s="114"/>
      <c r="I106" s="103" t="s">
        <v>986</v>
      </c>
      <c r="J106" s="114"/>
    </row>
    <row r="107" spans="1:10" ht="18.75" customHeight="1" x14ac:dyDescent="0.25">
      <c r="A107" s="205"/>
      <c r="B107" s="205"/>
      <c r="C107" s="101" t="s">
        <v>433</v>
      </c>
      <c r="D107" s="134" t="s">
        <v>986</v>
      </c>
      <c r="E107" s="75"/>
      <c r="F107" s="75"/>
      <c r="G107" s="103" t="s">
        <v>986</v>
      </c>
      <c r="H107" s="103" t="s">
        <v>986</v>
      </c>
      <c r="I107" s="75"/>
      <c r="J107" s="103" t="s">
        <v>986</v>
      </c>
    </row>
    <row r="108" spans="1:10" ht="18.75" customHeight="1" x14ac:dyDescent="0.25">
      <c r="A108" s="212" t="s">
        <v>411</v>
      </c>
      <c r="B108" s="212">
        <v>4</v>
      </c>
      <c r="C108" s="104" t="s">
        <v>434</v>
      </c>
      <c r="D108" s="134" t="s">
        <v>986</v>
      </c>
      <c r="E108" s="75"/>
      <c r="F108" s="75"/>
      <c r="G108" s="75"/>
      <c r="H108" s="75"/>
      <c r="I108" s="75"/>
      <c r="J108" s="75"/>
    </row>
    <row r="109" spans="1:10" ht="18.75" customHeight="1" x14ac:dyDescent="0.25">
      <c r="A109" s="212"/>
      <c r="B109" s="212"/>
      <c r="C109" s="104" t="s">
        <v>435</v>
      </c>
      <c r="D109" s="155" t="s">
        <v>986</v>
      </c>
      <c r="E109" s="75"/>
      <c r="F109" s="75"/>
      <c r="G109" s="75"/>
      <c r="H109" s="75"/>
      <c r="I109" s="75"/>
      <c r="J109" s="75"/>
    </row>
    <row r="110" spans="1:10" ht="18.75" customHeight="1" x14ac:dyDescent="0.25">
      <c r="A110" s="212"/>
      <c r="B110" s="104">
        <v>6</v>
      </c>
      <c r="C110" s="104" t="s">
        <v>238</v>
      </c>
      <c r="D110" s="155"/>
      <c r="E110" s="75"/>
      <c r="F110" s="75"/>
      <c r="G110" s="75"/>
      <c r="H110" s="75"/>
      <c r="I110" s="75"/>
      <c r="J110" s="75"/>
    </row>
    <row r="111" spans="1:10" ht="18.75" customHeight="1" x14ac:dyDescent="0.25">
      <c r="A111" s="212"/>
      <c r="B111" s="104">
        <v>9</v>
      </c>
      <c r="C111" s="109" t="s">
        <v>313</v>
      </c>
      <c r="D111" s="155"/>
      <c r="E111" s="75"/>
      <c r="F111" s="75"/>
      <c r="G111" s="75"/>
      <c r="H111" s="75"/>
      <c r="I111" s="75"/>
      <c r="J111" s="75"/>
    </row>
    <row r="112" spans="1:10" ht="18.75" customHeight="1" x14ac:dyDescent="0.25">
      <c r="A112" s="212"/>
      <c r="B112" s="101">
        <v>10</v>
      </c>
      <c r="C112" s="105" t="s">
        <v>319</v>
      </c>
      <c r="D112" s="155"/>
      <c r="E112" s="75"/>
      <c r="F112" s="75"/>
      <c r="G112" s="75"/>
      <c r="H112" s="75"/>
      <c r="I112" s="75"/>
      <c r="J112" s="75"/>
    </row>
    <row r="113" spans="1:10" ht="18.75" customHeight="1" x14ac:dyDescent="0.25">
      <c r="A113" s="212" t="s">
        <v>346</v>
      </c>
      <c r="B113" s="101">
        <v>4</v>
      </c>
      <c r="C113" s="101" t="s">
        <v>436</v>
      </c>
      <c r="D113" s="134" t="s">
        <v>986</v>
      </c>
      <c r="E113" s="75"/>
      <c r="F113" s="75"/>
      <c r="G113" s="75"/>
      <c r="H113" s="75"/>
      <c r="I113" s="75"/>
      <c r="J113" s="75"/>
    </row>
    <row r="114" spans="1:10" ht="18.75" customHeight="1" x14ac:dyDescent="0.25">
      <c r="A114" s="212"/>
      <c r="B114" s="204">
        <v>7</v>
      </c>
      <c r="C114" s="101" t="s">
        <v>239</v>
      </c>
      <c r="D114" s="155" t="s">
        <v>986</v>
      </c>
      <c r="E114" s="103" t="s">
        <v>986</v>
      </c>
      <c r="F114" s="75"/>
      <c r="G114" s="75"/>
      <c r="H114" s="75"/>
      <c r="I114" s="103" t="s">
        <v>986</v>
      </c>
      <c r="J114" s="75"/>
    </row>
    <row r="115" spans="1:10" ht="18.75" customHeight="1" x14ac:dyDescent="0.25">
      <c r="A115" s="212"/>
      <c r="B115" s="205"/>
      <c r="C115" s="101" t="s">
        <v>240</v>
      </c>
      <c r="D115" s="155"/>
      <c r="E115" s="103"/>
      <c r="F115" s="103" t="s">
        <v>986</v>
      </c>
      <c r="G115" s="75"/>
      <c r="H115" s="75"/>
      <c r="I115" s="75"/>
      <c r="J115" s="75"/>
    </row>
    <row r="116" spans="1:10" ht="18.75" customHeight="1" x14ac:dyDescent="0.25">
      <c r="A116" s="212"/>
      <c r="B116" s="101">
        <v>8</v>
      </c>
      <c r="C116" s="101" t="s">
        <v>241</v>
      </c>
      <c r="D116" s="155"/>
      <c r="E116" s="75"/>
      <c r="F116" s="75"/>
      <c r="G116" s="103" t="s">
        <v>986</v>
      </c>
      <c r="H116" s="103" t="s">
        <v>986</v>
      </c>
      <c r="I116" s="75"/>
      <c r="J116" s="103" t="s">
        <v>986</v>
      </c>
    </row>
    <row r="117" spans="1:10" ht="18.75" customHeight="1" x14ac:dyDescent="0.25">
      <c r="A117" s="204" t="s">
        <v>352</v>
      </c>
      <c r="B117" s="204">
        <v>4</v>
      </c>
      <c r="C117" s="105" t="s">
        <v>1112</v>
      </c>
      <c r="D117" s="134" t="s">
        <v>986</v>
      </c>
      <c r="E117" s="103" t="s">
        <v>986</v>
      </c>
      <c r="F117" s="103" t="s">
        <v>986</v>
      </c>
      <c r="G117" s="114"/>
      <c r="H117" s="114"/>
      <c r="I117" s="103" t="s">
        <v>986</v>
      </c>
      <c r="J117" s="114"/>
    </row>
    <row r="118" spans="1:10" ht="18.75" customHeight="1" x14ac:dyDescent="0.25">
      <c r="A118" s="205"/>
      <c r="B118" s="205"/>
      <c r="C118" s="170" t="s">
        <v>1113</v>
      </c>
      <c r="D118" s="134" t="s">
        <v>986</v>
      </c>
      <c r="E118" s="75"/>
      <c r="F118" s="75"/>
      <c r="G118" s="103" t="s">
        <v>986</v>
      </c>
      <c r="H118" s="103" t="s">
        <v>986</v>
      </c>
      <c r="I118" s="75"/>
      <c r="J118" s="103" t="s">
        <v>986</v>
      </c>
    </row>
    <row r="119" spans="1:10" ht="18.75" customHeight="1" x14ac:dyDescent="0.25">
      <c r="A119" s="204" t="s">
        <v>445</v>
      </c>
      <c r="B119" s="204">
        <v>9</v>
      </c>
      <c r="C119" s="105" t="s">
        <v>314</v>
      </c>
      <c r="D119" s="134" t="s">
        <v>986</v>
      </c>
      <c r="E119" s="103" t="s">
        <v>986</v>
      </c>
      <c r="F119" s="103" t="s">
        <v>986</v>
      </c>
      <c r="G119" s="114"/>
      <c r="H119" s="114"/>
      <c r="I119" s="103" t="s">
        <v>986</v>
      </c>
      <c r="J119" s="114"/>
    </row>
    <row r="120" spans="1:10" ht="18.75" customHeight="1" x14ac:dyDescent="0.25">
      <c r="A120" s="205"/>
      <c r="B120" s="205"/>
      <c r="C120" s="105" t="s">
        <v>476</v>
      </c>
      <c r="D120" s="134" t="s">
        <v>986</v>
      </c>
      <c r="E120" s="75"/>
      <c r="F120" s="75"/>
      <c r="G120" s="103" t="s">
        <v>986</v>
      </c>
      <c r="H120" s="103" t="s">
        <v>986</v>
      </c>
      <c r="I120" s="75"/>
      <c r="J120" s="103" t="s">
        <v>986</v>
      </c>
    </row>
    <row r="121" spans="1:10" ht="18.75" customHeight="1" x14ac:dyDescent="0.25">
      <c r="A121" s="204" t="s">
        <v>449</v>
      </c>
      <c r="B121" s="204">
        <v>9</v>
      </c>
      <c r="C121" s="105" t="s">
        <v>876</v>
      </c>
      <c r="D121" s="134" t="s">
        <v>986</v>
      </c>
      <c r="E121" s="103" t="s">
        <v>986</v>
      </c>
      <c r="F121" s="103" t="s">
        <v>986</v>
      </c>
      <c r="G121" s="114"/>
      <c r="H121" s="114"/>
      <c r="I121" s="103" t="s">
        <v>986</v>
      </c>
      <c r="J121" s="114"/>
    </row>
    <row r="122" spans="1:10" ht="18.75" customHeight="1" x14ac:dyDescent="0.25">
      <c r="A122" s="205"/>
      <c r="B122" s="205"/>
      <c r="C122" s="105" t="s">
        <v>315</v>
      </c>
      <c r="D122" s="134" t="s">
        <v>986</v>
      </c>
      <c r="E122" s="75"/>
      <c r="F122" s="75"/>
      <c r="G122" s="103" t="s">
        <v>986</v>
      </c>
      <c r="H122" s="103" t="s">
        <v>986</v>
      </c>
      <c r="I122" s="75"/>
      <c r="J122" s="103" t="s">
        <v>986</v>
      </c>
    </row>
    <row r="123" spans="1:10" ht="18.75" customHeight="1" x14ac:dyDescent="0.25">
      <c r="A123" s="204" t="s">
        <v>452</v>
      </c>
      <c r="B123" s="204">
        <v>9</v>
      </c>
      <c r="C123" s="105" t="s">
        <v>316</v>
      </c>
      <c r="D123" s="134" t="s">
        <v>986</v>
      </c>
      <c r="E123" s="103" t="s">
        <v>986</v>
      </c>
      <c r="F123" s="103" t="s">
        <v>986</v>
      </c>
      <c r="G123" s="114"/>
      <c r="H123" s="114"/>
      <c r="I123" s="103" t="s">
        <v>986</v>
      </c>
      <c r="J123" s="114"/>
    </row>
    <row r="124" spans="1:10" ht="18.75" customHeight="1" x14ac:dyDescent="0.25">
      <c r="A124" s="205"/>
      <c r="B124" s="205"/>
      <c r="C124" s="105" t="s">
        <v>317</v>
      </c>
      <c r="D124" s="134" t="s">
        <v>986</v>
      </c>
      <c r="E124" s="75"/>
      <c r="F124" s="75"/>
      <c r="G124" s="103" t="s">
        <v>986</v>
      </c>
      <c r="H124" s="103" t="s">
        <v>986</v>
      </c>
      <c r="I124" s="75"/>
      <c r="J124" s="103" t="s">
        <v>986</v>
      </c>
    </row>
    <row r="125" spans="1:10" ht="18.75" customHeight="1" x14ac:dyDescent="0.25">
      <c r="A125" s="204" t="s">
        <v>453</v>
      </c>
      <c r="B125" s="204">
        <v>10</v>
      </c>
      <c r="C125" s="105" t="s">
        <v>322</v>
      </c>
      <c r="D125" s="134" t="s">
        <v>986</v>
      </c>
      <c r="E125" s="103" t="s">
        <v>986</v>
      </c>
      <c r="F125" s="103" t="s">
        <v>986</v>
      </c>
      <c r="G125" s="114"/>
      <c r="H125" s="114"/>
      <c r="I125" s="103" t="s">
        <v>986</v>
      </c>
      <c r="J125" s="114"/>
    </row>
    <row r="126" spans="1:10" ht="18.75" customHeight="1" x14ac:dyDescent="0.25">
      <c r="A126" s="205"/>
      <c r="B126" s="205"/>
      <c r="C126" s="105" t="s">
        <v>323</v>
      </c>
      <c r="D126" s="134" t="s">
        <v>986</v>
      </c>
      <c r="E126" s="75"/>
      <c r="F126" s="75"/>
      <c r="G126" s="103" t="s">
        <v>986</v>
      </c>
      <c r="H126" s="103" t="s">
        <v>986</v>
      </c>
      <c r="I126" s="75"/>
      <c r="J126" s="103" t="s">
        <v>986</v>
      </c>
    </row>
    <row r="127" spans="1:10" ht="18.75" customHeight="1" x14ac:dyDescent="0.25">
      <c r="A127" s="204" t="s">
        <v>456</v>
      </c>
      <c r="B127" s="204">
        <v>12</v>
      </c>
      <c r="C127" s="108" t="s">
        <v>383</v>
      </c>
      <c r="D127" s="134" t="s">
        <v>986</v>
      </c>
      <c r="E127" s="103" t="s">
        <v>986</v>
      </c>
      <c r="F127" s="103" t="s">
        <v>986</v>
      </c>
      <c r="G127" s="114"/>
      <c r="H127" s="114"/>
      <c r="I127" s="103" t="s">
        <v>986</v>
      </c>
      <c r="J127" s="114"/>
    </row>
    <row r="128" spans="1:10" ht="18.75" customHeight="1" x14ac:dyDescent="0.25">
      <c r="A128" s="205"/>
      <c r="B128" s="205"/>
      <c r="C128" s="101" t="s">
        <v>379</v>
      </c>
      <c r="D128" s="134" t="s">
        <v>986</v>
      </c>
      <c r="E128" s="75"/>
      <c r="F128" s="75"/>
      <c r="G128" s="103" t="s">
        <v>986</v>
      </c>
      <c r="H128" s="103" t="s">
        <v>986</v>
      </c>
      <c r="I128" s="75"/>
      <c r="J128" s="103" t="s">
        <v>986</v>
      </c>
    </row>
    <row r="129" spans="1:10" ht="18.75" customHeight="1" x14ac:dyDescent="0.25">
      <c r="A129" s="204" t="s">
        <v>457</v>
      </c>
      <c r="B129" s="204">
        <v>12</v>
      </c>
      <c r="C129" s="101" t="s">
        <v>380</v>
      </c>
      <c r="D129" s="134" t="s">
        <v>986</v>
      </c>
      <c r="E129" s="103" t="s">
        <v>986</v>
      </c>
      <c r="F129" s="103" t="s">
        <v>986</v>
      </c>
      <c r="G129" s="114"/>
      <c r="H129" s="114"/>
      <c r="I129" s="103" t="s">
        <v>986</v>
      </c>
      <c r="J129" s="114"/>
    </row>
    <row r="130" spans="1:10" ht="18.75" customHeight="1" x14ac:dyDescent="0.25">
      <c r="A130" s="206"/>
      <c r="B130" s="206"/>
      <c r="C130" s="104" t="s">
        <v>381</v>
      </c>
      <c r="D130" s="134" t="s">
        <v>986</v>
      </c>
      <c r="E130" s="75"/>
      <c r="F130" s="75"/>
      <c r="G130" s="103" t="s">
        <v>986</v>
      </c>
      <c r="H130" s="103" t="s">
        <v>986</v>
      </c>
      <c r="I130" s="75"/>
      <c r="J130" s="103" t="s">
        <v>986</v>
      </c>
    </row>
  </sheetData>
  <mergeCells count="128">
    <mergeCell ref="A12:A13"/>
    <mergeCell ref="B12:B13"/>
    <mergeCell ref="A14:A15"/>
    <mergeCell ref="B14:B15"/>
    <mergeCell ref="A8:A9"/>
    <mergeCell ref="B8:B9"/>
    <mergeCell ref="A10:A11"/>
    <mergeCell ref="B10:B11"/>
    <mergeCell ref="A4:A5"/>
    <mergeCell ref="B4:B5"/>
    <mergeCell ref="A6:A7"/>
    <mergeCell ref="B6:B7"/>
    <mergeCell ref="A24:A25"/>
    <mergeCell ref="B24:B25"/>
    <mergeCell ref="A26:A27"/>
    <mergeCell ref="B26:B27"/>
    <mergeCell ref="A20:A21"/>
    <mergeCell ref="B20:B21"/>
    <mergeCell ref="A22:A23"/>
    <mergeCell ref="B22:B23"/>
    <mergeCell ref="A16:A17"/>
    <mergeCell ref="B16:B17"/>
    <mergeCell ref="A18:A19"/>
    <mergeCell ref="B18:B19"/>
    <mergeCell ref="A36:A37"/>
    <mergeCell ref="B36:B37"/>
    <mergeCell ref="A38:A39"/>
    <mergeCell ref="B38:B39"/>
    <mergeCell ref="A32:A33"/>
    <mergeCell ref="B32:B33"/>
    <mergeCell ref="A34:A35"/>
    <mergeCell ref="B34:B35"/>
    <mergeCell ref="A28:A29"/>
    <mergeCell ref="B28:B29"/>
    <mergeCell ref="A30:A31"/>
    <mergeCell ref="B30:B31"/>
    <mergeCell ref="A48:A49"/>
    <mergeCell ref="B48:B49"/>
    <mergeCell ref="A50:A51"/>
    <mergeCell ref="B50:B51"/>
    <mergeCell ref="A44:A45"/>
    <mergeCell ref="B44:B45"/>
    <mergeCell ref="A46:A47"/>
    <mergeCell ref="B46:B47"/>
    <mergeCell ref="A40:A41"/>
    <mergeCell ref="B40:B41"/>
    <mergeCell ref="A42:A43"/>
    <mergeCell ref="B42:B43"/>
    <mergeCell ref="A60:A61"/>
    <mergeCell ref="B60:B61"/>
    <mergeCell ref="A62:A63"/>
    <mergeCell ref="B62:B63"/>
    <mergeCell ref="A56:A57"/>
    <mergeCell ref="B56:B57"/>
    <mergeCell ref="A58:A59"/>
    <mergeCell ref="B58:B59"/>
    <mergeCell ref="A52:A53"/>
    <mergeCell ref="B52:B53"/>
    <mergeCell ref="A54:A55"/>
    <mergeCell ref="B54:B55"/>
    <mergeCell ref="A72:A73"/>
    <mergeCell ref="B72:B73"/>
    <mergeCell ref="A74:A75"/>
    <mergeCell ref="B74:B75"/>
    <mergeCell ref="A68:A69"/>
    <mergeCell ref="B68:B69"/>
    <mergeCell ref="A70:A71"/>
    <mergeCell ref="B70:B71"/>
    <mergeCell ref="A64:A65"/>
    <mergeCell ref="B64:B65"/>
    <mergeCell ref="A66:A67"/>
    <mergeCell ref="B66:B67"/>
    <mergeCell ref="A84:A85"/>
    <mergeCell ref="B84:B85"/>
    <mergeCell ref="A86:A87"/>
    <mergeCell ref="B86:B87"/>
    <mergeCell ref="A80:A81"/>
    <mergeCell ref="B80:B81"/>
    <mergeCell ref="A82:A83"/>
    <mergeCell ref="B82:B83"/>
    <mergeCell ref="A76:A77"/>
    <mergeCell ref="B76:B77"/>
    <mergeCell ref="A78:A79"/>
    <mergeCell ref="B78:B79"/>
    <mergeCell ref="A96:A97"/>
    <mergeCell ref="B96:B97"/>
    <mergeCell ref="A98:A99"/>
    <mergeCell ref="B98:B99"/>
    <mergeCell ref="A92:A93"/>
    <mergeCell ref="B92:B93"/>
    <mergeCell ref="A94:A95"/>
    <mergeCell ref="B94:B95"/>
    <mergeCell ref="A88:A89"/>
    <mergeCell ref="B88:B89"/>
    <mergeCell ref="A90:A91"/>
    <mergeCell ref="B108:B109"/>
    <mergeCell ref="A104:A105"/>
    <mergeCell ref="B104:B105"/>
    <mergeCell ref="A106:A107"/>
    <mergeCell ref="B106:B107"/>
    <mergeCell ref="A100:A101"/>
    <mergeCell ref="B100:B101"/>
    <mergeCell ref="A102:A103"/>
    <mergeCell ref="B102:B103"/>
    <mergeCell ref="D2:D3"/>
    <mergeCell ref="E2:H2"/>
    <mergeCell ref="I2:I3"/>
    <mergeCell ref="J2:J3"/>
    <mergeCell ref="A129:A130"/>
    <mergeCell ref="B129:B130"/>
    <mergeCell ref="A2:A3"/>
    <mergeCell ref="B2:B3"/>
    <mergeCell ref="C2:C3"/>
    <mergeCell ref="A125:A126"/>
    <mergeCell ref="B125:B126"/>
    <mergeCell ref="A127:A128"/>
    <mergeCell ref="B127:B128"/>
    <mergeCell ref="A121:A122"/>
    <mergeCell ref="B121:B122"/>
    <mergeCell ref="A123:A124"/>
    <mergeCell ref="B123:B124"/>
    <mergeCell ref="A117:A118"/>
    <mergeCell ref="B117:B118"/>
    <mergeCell ref="A119:A120"/>
    <mergeCell ref="B119:B120"/>
    <mergeCell ref="A113:A116"/>
    <mergeCell ref="B114:B115"/>
    <mergeCell ref="A108:A112"/>
  </mergeCells>
  <pageMargins left="0.7" right="0.7" top="0.75" bottom="0.75" header="0.3" footer="0.3"/>
  <pageSetup orientation="portrait" horizontalDpi="360" verticalDpi="36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8"/>
  <sheetViews>
    <sheetView tabSelected="1" workbookViewId="0">
      <selection activeCell="K5" sqref="K5"/>
    </sheetView>
  </sheetViews>
  <sheetFormatPr defaultRowHeight="48" customHeight="1" x14ac:dyDescent="0.25"/>
  <cols>
    <col min="1" max="1" width="8" style="29" customWidth="1"/>
    <col min="2" max="2" width="7" style="29" customWidth="1"/>
    <col min="3" max="3" width="11" style="31" customWidth="1"/>
    <col min="4" max="4" width="15.7109375" style="31" customWidth="1"/>
    <col min="5" max="5" width="18.42578125" style="31" customWidth="1"/>
    <col min="6" max="6" width="22.28515625" style="31" customWidth="1"/>
    <col min="7" max="7" width="17.85546875" style="31" customWidth="1"/>
    <col min="8" max="8" width="14.85546875" style="31" customWidth="1"/>
    <col min="9" max="16384" width="9.140625" style="31"/>
  </cols>
  <sheetData>
    <row r="1" spans="1:8" s="112" customFormat="1" ht="25.5" customHeight="1" x14ac:dyDescent="0.25">
      <c r="A1" s="113" t="s">
        <v>463</v>
      </c>
      <c r="B1" s="113" t="s">
        <v>358</v>
      </c>
      <c r="C1" s="113" t="s">
        <v>359</v>
      </c>
      <c r="D1" s="115" t="s">
        <v>992</v>
      </c>
      <c r="E1" s="115" t="s">
        <v>993</v>
      </c>
      <c r="F1" s="115" t="s">
        <v>994</v>
      </c>
      <c r="G1" s="115" t="s">
        <v>995</v>
      </c>
      <c r="H1" s="115" t="s">
        <v>996</v>
      </c>
    </row>
    <row r="2" spans="1:8" s="40" customFormat="1" ht="51.75" customHeight="1" x14ac:dyDescent="0.25">
      <c r="A2" s="241" t="s">
        <v>154</v>
      </c>
      <c r="B2" s="238">
        <v>1</v>
      </c>
      <c r="C2" s="116" t="s">
        <v>376</v>
      </c>
      <c r="D2" s="117" t="s">
        <v>997</v>
      </c>
      <c r="E2" s="118" t="s">
        <v>999</v>
      </c>
      <c r="F2" s="117" t="s">
        <v>1001</v>
      </c>
      <c r="G2" s="117" t="s">
        <v>1002</v>
      </c>
      <c r="H2" s="118">
        <v>50</v>
      </c>
    </row>
    <row r="3" spans="1:8" ht="48" customHeight="1" x14ac:dyDescent="0.25">
      <c r="A3" s="241"/>
      <c r="B3" s="238"/>
      <c r="C3" s="119" t="s">
        <v>151</v>
      </c>
      <c r="D3" s="117" t="s">
        <v>998</v>
      </c>
      <c r="E3" s="118" t="s">
        <v>1000</v>
      </c>
      <c r="F3" s="117" t="s">
        <v>1001</v>
      </c>
      <c r="G3" s="117" t="s">
        <v>1002</v>
      </c>
      <c r="H3" s="118">
        <v>50</v>
      </c>
    </row>
    <row r="4" spans="1:8" ht="48" customHeight="1" x14ac:dyDescent="0.25">
      <c r="A4" s="237" t="s">
        <v>155</v>
      </c>
      <c r="B4" s="237">
        <v>1</v>
      </c>
      <c r="C4" s="119" t="s">
        <v>161</v>
      </c>
      <c r="D4" s="117" t="s">
        <v>997</v>
      </c>
      <c r="E4" s="118" t="s">
        <v>999</v>
      </c>
      <c r="F4" s="117" t="s">
        <v>1001</v>
      </c>
      <c r="G4" s="117" t="s">
        <v>1002</v>
      </c>
      <c r="H4" s="118">
        <v>50</v>
      </c>
    </row>
    <row r="5" spans="1:8" ht="48" customHeight="1" x14ac:dyDescent="0.25">
      <c r="A5" s="238"/>
      <c r="B5" s="238"/>
      <c r="C5" s="119" t="s">
        <v>162</v>
      </c>
      <c r="D5" s="117" t="s">
        <v>998</v>
      </c>
      <c r="E5" s="118" t="s">
        <v>1000</v>
      </c>
      <c r="F5" s="117" t="s">
        <v>1001</v>
      </c>
      <c r="G5" s="117" t="s">
        <v>1002</v>
      </c>
      <c r="H5" s="118">
        <v>50</v>
      </c>
    </row>
    <row r="6" spans="1:8" ht="48" customHeight="1" x14ac:dyDescent="0.25">
      <c r="A6" s="237" t="s">
        <v>156</v>
      </c>
      <c r="B6" s="237">
        <v>2</v>
      </c>
      <c r="C6" s="119" t="s">
        <v>176</v>
      </c>
      <c r="D6" s="117" t="s">
        <v>997</v>
      </c>
      <c r="E6" s="118" t="s">
        <v>999</v>
      </c>
      <c r="F6" s="117" t="s">
        <v>1001</v>
      </c>
      <c r="G6" s="117" t="s">
        <v>1002</v>
      </c>
      <c r="H6" s="118">
        <v>50</v>
      </c>
    </row>
    <row r="7" spans="1:8" ht="48" customHeight="1" x14ac:dyDescent="0.25">
      <c r="A7" s="238"/>
      <c r="B7" s="238"/>
      <c r="C7" s="119" t="s">
        <v>182</v>
      </c>
      <c r="D7" s="117" t="s">
        <v>998</v>
      </c>
      <c r="E7" s="118" t="s">
        <v>1000</v>
      </c>
      <c r="F7" s="117" t="s">
        <v>1001</v>
      </c>
      <c r="G7" s="117" t="s">
        <v>1002</v>
      </c>
      <c r="H7" s="118">
        <v>50</v>
      </c>
    </row>
    <row r="8" spans="1:8" ht="48" customHeight="1" x14ac:dyDescent="0.25">
      <c r="A8" s="240" t="s">
        <v>157</v>
      </c>
      <c r="B8" s="240">
        <v>5</v>
      </c>
      <c r="C8" s="120" t="s">
        <v>226</v>
      </c>
      <c r="D8" s="117" t="s">
        <v>997</v>
      </c>
      <c r="E8" s="118" t="s">
        <v>999</v>
      </c>
      <c r="F8" s="117" t="s">
        <v>1001</v>
      </c>
      <c r="G8" s="117" t="s">
        <v>1002</v>
      </c>
      <c r="H8" s="118">
        <v>50</v>
      </c>
    </row>
    <row r="9" spans="1:8" ht="48" customHeight="1" x14ac:dyDescent="0.25">
      <c r="A9" s="240"/>
      <c r="B9" s="240"/>
      <c r="C9" s="118" t="s">
        <v>227</v>
      </c>
      <c r="D9" s="117" t="s">
        <v>998</v>
      </c>
      <c r="E9" s="118" t="s">
        <v>1000</v>
      </c>
      <c r="F9" s="117" t="s">
        <v>1001</v>
      </c>
      <c r="G9" s="117" t="s">
        <v>1002</v>
      </c>
      <c r="H9" s="118">
        <v>50</v>
      </c>
    </row>
    <row r="10" spans="1:8" ht="48" customHeight="1" x14ac:dyDescent="0.25">
      <c r="A10" s="237" t="s">
        <v>158</v>
      </c>
      <c r="B10" s="237">
        <v>2</v>
      </c>
      <c r="C10" s="119" t="s">
        <v>183</v>
      </c>
      <c r="D10" s="117" t="s">
        <v>997</v>
      </c>
      <c r="E10" s="118" t="s">
        <v>999</v>
      </c>
      <c r="F10" s="117" t="s">
        <v>1001</v>
      </c>
      <c r="G10" s="117" t="s">
        <v>1002</v>
      </c>
      <c r="H10" s="118">
        <v>50</v>
      </c>
    </row>
    <row r="11" spans="1:8" ht="48" customHeight="1" x14ac:dyDescent="0.25">
      <c r="A11" s="238"/>
      <c r="B11" s="238"/>
      <c r="C11" s="119" t="s">
        <v>184</v>
      </c>
      <c r="D11" s="117" t="s">
        <v>998</v>
      </c>
      <c r="E11" s="118" t="s">
        <v>1000</v>
      </c>
      <c r="F11" s="117" t="s">
        <v>1001</v>
      </c>
      <c r="G11" s="117" t="s">
        <v>1002</v>
      </c>
      <c r="H11" s="118">
        <v>50</v>
      </c>
    </row>
    <row r="12" spans="1:8" ht="48" customHeight="1" x14ac:dyDescent="0.25">
      <c r="A12" s="237" t="s">
        <v>159</v>
      </c>
      <c r="B12" s="237">
        <v>2</v>
      </c>
      <c r="C12" s="119" t="s">
        <v>185</v>
      </c>
      <c r="D12" s="117" t="s">
        <v>997</v>
      </c>
      <c r="E12" s="118" t="s">
        <v>999</v>
      </c>
      <c r="F12" s="117" t="s">
        <v>1001</v>
      </c>
      <c r="G12" s="117" t="s">
        <v>1002</v>
      </c>
      <c r="H12" s="118">
        <v>50</v>
      </c>
    </row>
    <row r="13" spans="1:8" ht="48" customHeight="1" x14ac:dyDescent="0.25">
      <c r="A13" s="238"/>
      <c r="B13" s="238"/>
      <c r="C13" s="119" t="s">
        <v>186</v>
      </c>
      <c r="D13" s="117" t="s">
        <v>998</v>
      </c>
      <c r="E13" s="118" t="s">
        <v>1000</v>
      </c>
      <c r="F13" s="117" t="s">
        <v>1001</v>
      </c>
      <c r="G13" s="117" t="s">
        <v>1002</v>
      </c>
      <c r="H13" s="118">
        <v>50</v>
      </c>
    </row>
    <row r="14" spans="1:8" ht="48" customHeight="1" x14ac:dyDescent="0.25">
      <c r="A14" s="237" t="s">
        <v>160</v>
      </c>
      <c r="B14" s="237">
        <v>1</v>
      </c>
      <c r="C14" s="119" t="s">
        <v>167</v>
      </c>
      <c r="D14" s="117" t="s">
        <v>997</v>
      </c>
      <c r="E14" s="118" t="s">
        <v>999</v>
      </c>
      <c r="F14" s="117" t="s">
        <v>1001</v>
      </c>
      <c r="G14" s="117" t="s">
        <v>1002</v>
      </c>
      <c r="H14" s="118">
        <v>50</v>
      </c>
    </row>
    <row r="15" spans="1:8" ht="48" customHeight="1" x14ac:dyDescent="0.25">
      <c r="A15" s="238"/>
      <c r="B15" s="238"/>
      <c r="C15" s="119" t="s">
        <v>377</v>
      </c>
      <c r="D15" s="117" t="s">
        <v>998</v>
      </c>
      <c r="E15" s="118" t="s">
        <v>1000</v>
      </c>
      <c r="F15" s="117" t="s">
        <v>1001</v>
      </c>
      <c r="G15" s="117" t="s">
        <v>1002</v>
      </c>
      <c r="H15" s="118">
        <v>50</v>
      </c>
    </row>
    <row r="16" spans="1:8" ht="48" customHeight="1" x14ac:dyDescent="0.25">
      <c r="A16" s="240" t="s">
        <v>166</v>
      </c>
      <c r="B16" s="240">
        <v>1</v>
      </c>
      <c r="C16" s="120" t="s">
        <v>171</v>
      </c>
      <c r="D16" s="117" t="s">
        <v>997</v>
      </c>
      <c r="E16" s="118" t="s">
        <v>999</v>
      </c>
      <c r="F16" s="117" t="s">
        <v>1001</v>
      </c>
      <c r="G16" s="117" t="s">
        <v>1002</v>
      </c>
      <c r="H16" s="118">
        <v>50</v>
      </c>
    </row>
    <row r="17" spans="1:8" ht="48" customHeight="1" x14ac:dyDescent="0.25">
      <c r="A17" s="240"/>
      <c r="B17" s="240"/>
      <c r="C17" s="120" t="s">
        <v>378</v>
      </c>
      <c r="D17" s="117" t="s">
        <v>998</v>
      </c>
      <c r="E17" s="118" t="s">
        <v>1000</v>
      </c>
      <c r="F17" s="117" t="s">
        <v>1001</v>
      </c>
      <c r="G17" s="117" t="s">
        <v>1002</v>
      </c>
      <c r="H17" s="118">
        <v>50</v>
      </c>
    </row>
    <row r="18" spans="1:8" ht="48" customHeight="1" x14ac:dyDescent="0.25">
      <c r="A18" s="237" t="s">
        <v>170</v>
      </c>
      <c r="B18" s="237">
        <v>1</v>
      </c>
      <c r="C18" s="120" t="s">
        <v>175</v>
      </c>
      <c r="D18" s="117" t="s">
        <v>997</v>
      </c>
      <c r="E18" s="118" t="s">
        <v>999</v>
      </c>
      <c r="F18" s="117" t="s">
        <v>1001</v>
      </c>
      <c r="G18" s="117" t="s">
        <v>1002</v>
      </c>
      <c r="H18" s="118">
        <v>50</v>
      </c>
    </row>
    <row r="19" spans="1:8" ht="48" customHeight="1" x14ac:dyDescent="0.25">
      <c r="A19" s="238"/>
      <c r="B19" s="238"/>
      <c r="C19" s="119" t="s">
        <v>383</v>
      </c>
      <c r="D19" s="117" t="s">
        <v>998</v>
      </c>
      <c r="E19" s="118" t="s">
        <v>1000</v>
      </c>
      <c r="F19" s="117" t="s">
        <v>1001</v>
      </c>
      <c r="G19" s="117" t="s">
        <v>1002</v>
      </c>
      <c r="H19" s="118">
        <v>50</v>
      </c>
    </row>
    <row r="20" spans="1:8" ht="48" customHeight="1" x14ac:dyDescent="0.25">
      <c r="A20" s="237" t="s">
        <v>174</v>
      </c>
      <c r="B20" s="237">
        <v>3</v>
      </c>
      <c r="C20" s="120" t="s">
        <v>379</v>
      </c>
      <c r="D20" s="117" t="s">
        <v>997</v>
      </c>
      <c r="E20" s="118" t="s">
        <v>999</v>
      </c>
      <c r="F20" s="117" t="s">
        <v>1001</v>
      </c>
      <c r="G20" s="117" t="s">
        <v>1002</v>
      </c>
      <c r="H20" s="118">
        <v>50</v>
      </c>
    </row>
    <row r="21" spans="1:8" ht="48" customHeight="1" x14ac:dyDescent="0.25">
      <c r="A21" s="238"/>
      <c r="B21" s="238"/>
      <c r="C21" s="120" t="s">
        <v>190</v>
      </c>
      <c r="D21" s="117" t="s">
        <v>998</v>
      </c>
      <c r="E21" s="118" t="s">
        <v>1000</v>
      </c>
      <c r="F21" s="117" t="s">
        <v>1001</v>
      </c>
      <c r="G21" s="117" t="s">
        <v>1002</v>
      </c>
      <c r="H21" s="118">
        <v>50</v>
      </c>
    </row>
    <row r="22" spans="1:8" ht="48" customHeight="1" x14ac:dyDescent="0.25">
      <c r="A22" s="237" t="s">
        <v>179</v>
      </c>
      <c r="B22" s="237">
        <v>2</v>
      </c>
      <c r="C22" s="119" t="s">
        <v>187</v>
      </c>
      <c r="D22" s="117" t="s">
        <v>997</v>
      </c>
      <c r="E22" s="118" t="s">
        <v>999</v>
      </c>
      <c r="F22" s="117" t="s">
        <v>1001</v>
      </c>
      <c r="G22" s="117" t="s">
        <v>1002</v>
      </c>
      <c r="H22" s="118">
        <v>50</v>
      </c>
    </row>
    <row r="23" spans="1:8" ht="48" customHeight="1" x14ac:dyDescent="0.25">
      <c r="A23" s="238"/>
      <c r="B23" s="238"/>
      <c r="C23" s="119" t="s">
        <v>188</v>
      </c>
      <c r="D23" s="117" t="s">
        <v>998</v>
      </c>
      <c r="E23" s="118" t="s">
        <v>1000</v>
      </c>
      <c r="F23" s="117" t="s">
        <v>1001</v>
      </c>
      <c r="G23" s="117" t="s">
        <v>1002</v>
      </c>
      <c r="H23" s="118">
        <v>50</v>
      </c>
    </row>
    <row r="24" spans="1:8" ht="48" customHeight="1" x14ac:dyDescent="0.25">
      <c r="A24" s="237" t="s">
        <v>194</v>
      </c>
      <c r="B24" s="237">
        <v>1</v>
      </c>
      <c r="C24" s="119" t="s">
        <v>381</v>
      </c>
      <c r="D24" s="117" t="s">
        <v>997</v>
      </c>
      <c r="E24" s="118" t="s">
        <v>999</v>
      </c>
      <c r="F24" s="117" t="s">
        <v>1001</v>
      </c>
      <c r="G24" s="117" t="s">
        <v>1002</v>
      </c>
      <c r="H24" s="118">
        <v>50</v>
      </c>
    </row>
    <row r="25" spans="1:8" ht="48" customHeight="1" x14ac:dyDescent="0.25">
      <c r="A25" s="238"/>
      <c r="B25" s="238"/>
      <c r="C25" s="119" t="s">
        <v>382</v>
      </c>
      <c r="D25" s="117" t="s">
        <v>998</v>
      </c>
      <c r="E25" s="118" t="s">
        <v>1000</v>
      </c>
      <c r="F25" s="117" t="s">
        <v>1001</v>
      </c>
      <c r="G25" s="117" t="s">
        <v>1002</v>
      </c>
      <c r="H25" s="118">
        <v>50</v>
      </c>
    </row>
    <row r="26" spans="1:8" ht="48" customHeight="1" x14ac:dyDescent="0.25">
      <c r="A26" s="237" t="s">
        <v>394</v>
      </c>
      <c r="B26" s="237">
        <v>2</v>
      </c>
      <c r="C26" s="119" t="s">
        <v>189</v>
      </c>
      <c r="D26" s="117" t="s">
        <v>997</v>
      </c>
      <c r="E26" s="118" t="s">
        <v>999</v>
      </c>
      <c r="F26" s="117" t="s">
        <v>1001</v>
      </c>
      <c r="G26" s="117" t="s">
        <v>1002</v>
      </c>
      <c r="H26" s="118">
        <v>50</v>
      </c>
    </row>
    <row r="27" spans="1:8" ht="48" customHeight="1" x14ac:dyDescent="0.25">
      <c r="A27" s="238"/>
      <c r="B27" s="238"/>
      <c r="C27" s="119" t="s">
        <v>395</v>
      </c>
      <c r="D27" s="117" t="s">
        <v>998</v>
      </c>
      <c r="E27" s="118" t="s">
        <v>1000</v>
      </c>
      <c r="F27" s="117" t="s">
        <v>1001</v>
      </c>
      <c r="G27" s="117" t="s">
        <v>1002</v>
      </c>
      <c r="H27" s="118">
        <v>50</v>
      </c>
    </row>
    <row r="28" spans="1:8" ht="48" customHeight="1" x14ac:dyDescent="0.25">
      <c r="A28" s="237" t="s">
        <v>199</v>
      </c>
      <c r="B28" s="237">
        <v>5</v>
      </c>
      <c r="C28" s="119" t="s">
        <v>228</v>
      </c>
      <c r="D28" s="117" t="s">
        <v>997</v>
      </c>
      <c r="E28" s="118" t="s">
        <v>999</v>
      </c>
      <c r="F28" s="117" t="s">
        <v>1001</v>
      </c>
      <c r="G28" s="117" t="s">
        <v>1002</v>
      </c>
      <c r="H28" s="118">
        <v>50</v>
      </c>
    </row>
    <row r="29" spans="1:8" ht="48" customHeight="1" x14ac:dyDescent="0.25">
      <c r="A29" s="238"/>
      <c r="B29" s="238"/>
      <c r="C29" s="119" t="s">
        <v>229</v>
      </c>
      <c r="D29" s="117" t="s">
        <v>998</v>
      </c>
      <c r="E29" s="118" t="s">
        <v>1000</v>
      </c>
      <c r="F29" s="117" t="s">
        <v>1001</v>
      </c>
      <c r="G29" s="117" t="s">
        <v>1002</v>
      </c>
      <c r="H29" s="118">
        <v>50</v>
      </c>
    </row>
    <row r="30" spans="1:8" ht="48" customHeight="1" x14ac:dyDescent="0.25">
      <c r="A30" s="237" t="s">
        <v>202</v>
      </c>
      <c r="B30" s="237">
        <v>4</v>
      </c>
      <c r="C30" s="119" t="s">
        <v>192</v>
      </c>
      <c r="D30" s="117" t="s">
        <v>997</v>
      </c>
      <c r="E30" s="118" t="s">
        <v>999</v>
      </c>
      <c r="F30" s="117" t="s">
        <v>1001</v>
      </c>
      <c r="G30" s="117" t="s">
        <v>1002</v>
      </c>
      <c r="H30" s="118">
        <v>50</v>
      </c>
    </row>
    <row r="31" spans="1:8" ht="48" customHeight="1" x14ac:dyDescent="0.25">
      <c r="A31" s="238"/>
      <c r="B31" s="238"/>
      <c r="C31" s="119" t="s">
        <v>193</v>
      </c>
      <c r="D31" s="117" t="s">
        <v>998</v>
      </c>
      <c r="E31" s="118" t="s">
        <v>1000</v>
      </c>
      <c r="F31" s="117" t="s">
        <v>1001</v>
      </c>
      <c r="G31" s="117" t="s">
        <v>1002</v>
      </c>
      <c r="H31" s="118">
        <v>50</v>
      </c>
    </row>
    <row r="32" spans="1:8" ht="48" customHeight="1" x14ac:dyDescent="0.25">
      <c r="A32" s="237" t="s">
        <v>205</v>
      </c>
      <c r="B32" s="237">
        <v>4</v>
      </c>
      <c r="C32" s="119" t="s">
        <v>219</v>
      </c>
      <c r="D32" s="117" t="s">
        <v>997</v>
      </c>
      <c r="E32" s="118" t="s">
        <v>999</v>
      </c>
      <c r="F32" s="117" t="s">
        <v>1001</v>
      </c>
      <c r="G32" s="117" t="s">
        <v>1002</v>
      </c>
      <c r="H32" s="118">
        <v>50</v>
      </c>
    </row>
    <row r="33" spans="1:8" ht="48" customHeight="1" x14ac:dyDescent="0.25">
      <c r="A33" s="238"/>
      <c r="B33" s="238"/>
      <c r="C33" s="119" t="s">
        <v>220</v>
      </c>
      <c r="D33" s="117" t="s">
        <v>998</v>
      </c>
      <c r="E33" s="118" t="s">
        <v>1000</v>
      </c>
      <c r="F33" s="117" t="s">
        <v>1001</v>
      </c>
      <c r="G33" s="117" t="s">
        <v>1002</v>
      </c>
      <c r="H33" s="118">
        <v>50</v>
      </c>
    </row>
    <row r="34" spans="1:8" ht="48" customHeight="1" x14ac:dyDescent="0.25">
      <c r="A34" s="237" t="s">
        <v>208</v>
      </c>
      <c r="B34" s="237">
        <v>5</v>
      </c>
      <c r="C34" s="119" t="s">
        <v>230</v>
      </c>
      <c r="D34" s="117" t="s">
        <v>997</v>
      </c>
      <c r="E34" s="118" t="s">
        <v>999</v>
      </c>
      <c r="F34" s="117" t="s">
        <v>1001</v>
      </c>
      <c r="G34" s="117" t="s">
        <v>1002</v>
      </c>
      <c r="H34" s="118">
        <v>50</v>
      </c>
    </row>
    <row r="35" spans="1:8" ht="48" customHeight="1" x14ac:dyDescent="0.25">
      <c r="A35" s="238"/>
      <c r="B35" s="238"/>
      <c r="C35" s="119" t="s">
        <v>231</v>
      </c>
      <c r="D35" s="117" t="s">
        <v>998</v>
      </c>
      <c r="E35" s="118" t="s">
        <v>1000</v>
      </c>
      <c r="F35" s="117" t="s">
        <v>1001</v>
      </c>
      <c r="G35" s="117" t="s">
        <v>1002</v>
      </c>
      <c r="H35" s="118">
        <v>50</v>
      </c>
    </row>
    <row r="36" spans="1:8" ht="48" customHeight="1" x14ac:dyDescent="0.25">
      <c r="A36" s="237" t="s">
        <v>211</v>
      </c>
      <c r="B36" s="237">
        <v>1</v>
      </c>
      <c r="C36" s="119" t="s">
        <v>384</v>
      </c>
      <c r="D36" s="117" t="s">
        <v>997</v>
      </c>
      <c r="E36" s="118" t="s">
        <v>999</v>
      </c>
      <c r="F36" s="117" t="s">
        <v>1001</v>
      </c>
      <c r="G36" s="117" t="s">
        <v>1002</v>
      </c>
      <c r="H36" s="118">
        <v>50</v>
      </c>
    </row>
    <row r="37" spans="1:8" ht="48" customHeight="1" x14ac:dyDescent="0.25">
      <c r="A37" s="238"/>
      <c r="B37" s="238"/>
      <c r="C37" s="121" t="s">
        <v>385</v>
      </c>
      <c r="D37" s="117" t="s">
        <v>998</v>
      </c>
      <c r="E37" s="118" t="s">
        <v>1000</v>
      </c>
      <c r="F37" s="117" t="s">
        <v>1001</v>
      </c>
      <c r="G37" s="117" t="s">
        <v>1002</v>
      </c>
      <c r="H37" s="118">
        <v>50</v>
      </c>
    </row>
    <row r="38" spans="1:8" ht="48" customHeight="1" x14ac:dyDescent="0.25">
      <c r="A38" s="237" t="s">
        <v>214</v>
      </c>
      <c r="B38" s="237">
        <v>2</v>
      </c>
      <c r="C38" s="119" t="s">
        <v>396</v>
      </c>
      <c r="D38" s="117" t="s">
        <v>997</v>
      </c>
      <c r="E38" s="118" t="s">
        <v>999</v>
      </c>
      <c r="F38" s="117" t="s">
        <v>1001</v>
      </c>
      <c r="G38" s="117" t="s">
        <v>1002</v>
      </c>
      <c r="H38" s="118">
        <v>50</v>
      </c>
    </row>
    <row r="39" spans="1:8" ht="48" customHeight="1" x14ac:dyDescent="0.25">
      <c r="A39" s="238"/>
      <c r="B39" s="238"/>
      <c r="C39" s="119" t="s">
        <v>397</v>
      </c>
      <c r="D39" s="117" t="s">
        <v>998</v>
      </c>
      <c r="E39" s="118" t="s">
        <v>1000</v>
      </c>
      <c r="F39" s="117" t="s">
        <v>1001</v>
      </c>
      <c r="G39" s="117" t="s">
        <v>1002</v>
      </c>
      <c r="H39" s="118">
        <v>50</v>
      </c>
    </row>
    <row r="40" spans="1:8" ht="48" customHeight="1" x14ac:dyDescent="0.25">
      <c r="A40" s="237" t="s">
        <v>375</v>
      </c>
      <c r="B40" s="237">
        <v>1</v>
      </c>
      <c r="C40" s="120" t="s">
        <v>386</v>
      </c>
      <c r="D40" s="117" t="s">
        <v>997</v>
      </c>
      <c r="E40" s="118" t="s">
        <v>999</v>
      </c>
      <c r="F40" s="117" t="s">
        <v>1001</v>
      </c>
      <c r="G40" s="117" t="s">
        <v>1002</v>
      </c>
      <c r="H40" s="118">
        <v>50</v>
      </c>
    </row>
    <row r="41" spans="1:8" ht="48" customHeight="1" x14ac:dyDescent="0.25">
      <c r="A41" s="238"/>
      <c r="B41" s="238"/>
      <c r="C41" s="121" t="s">
        <v>387</v>
      </c>
      <c r="D41" s="117" t="s">
        <v>998</v>
      </c>
      <c r="E41" s="118" t="s">
        <v>1000</v>
      </c>
      <c r="F41" s="117" t="s">
        <v>1001</v>
      </c>
      <c r="G41" s="117" t="s">
        <v>1002</v>
      </c>
      <c r="H41" s="118">
        <v>50</v>
      </c>
    </row>
    <row r="42" spans="1:8" ht="48" customHeight="1" x14ac:dyDescent="0.25">
      <c r="A42" s="240" t="s">
        <v>243</v>
      </c>
      <c r="B42" s="240">
        <v>4</v>
      </c>
      <c r="C42" s="119" t="s">
        <v>221</v>
      </c>
      <c r="D42" s="117" t="s">
        <v>997</v>
      </c>
      <c r="E42" s="118" t="s">
        <v>999</v>
      </c>
      <c r="F42" s="117" t="s">
        <v>1001</v>
      </c>
      <c r="G42" s="117" t="s">
        <v>1002</v>
      </c>
      <c r="H42" s="118">
        <v>50</v>
      </c>
    </row>
    <row r="43" spans="1:8" ht="48" customHeight="1" x14ac:dyDescent="0.25">
      <c r="A43" s="240"/>
      <c r="B43" s="240"/>
      <c r="C43" s="119" t="s">
        <v>222</v>
      </c>
      <c r="D43" s="117" t="s">
        <v>998</v>
      </c>
      <c r="E43" s="118" t="s">
        <v>1000</v>
      </c>
      <c r="F43" s="117" t="s">
        <v>1001</v>
      </c>
      <c r="G43" s="117" t="s">
        <v>1002</v>
      </c>
      <c r="H43" s="118">
        <v>50</v>
      </c>
    </row>
    <row r="44" spans="1:8" ht="48" customHeight="1" x14ac:dyDescent="0.25">
      <c r="A44" s="237" t="s">
        <v>246</v>
      </c>
      <c r="B44" s="237">
        <v>1</v>
      </c>
      <c r="C44" s="119" t="s">
        <v>388</v>
      </c>
      <c r="D44" s="117" t="s">
        <v>997</v>
      </c>
      <c r="E44" s="118" t="s">
        <v>999</v>
      </c>
      <c r="F44" s="117" t="s">
        <v>1001</v>
      </c>
      <c r="G44" s="117" t="s">
        <v>1002</v>
      </c>
      <c r="H44" s="118">
        <v>50</v>
      </c>
    </row>
    <row r="45" spans="1:8" ht="48" customHeight="1" x14ac:dyDescent="0.25">
      <c r="A45" s="238"/>
      <c r="B45" s="238"/>
      <c r="C45" s="119" t="s">
        <v>389</v>
      </c>
      <c r="D45" s="117" t="s">
        <v>998</v>
      </c>
      <c r="E45" s="118" t="s">
        <v>1000</v>
      </c>
      <c r="F45" s="117" t="s">
        <v>1001</v>
      </c>
      <c r="G45" s="117" t="s">
        <v>1002</v>
      </c>
      <c r="H45" s="118">
        <v>50</v>
      </c>
    </row>
    <row r="46" spans="1:8" ht="48" customHeight="1" x14ac:dyDescent="0.25">
      <c r="A46" s="240" t="s">
        <v>249</v>
      </c>
      <c r="B46" s="240">
        <v>4</v>
      </c>
      <c r="C46" s="120" t="s">
        <v>223</v>
      </c>
      <c r="D46" s="117" t="s">
        <v>997</v>
      </c>
      <c r="E46" s="118" t="s">
        <v>999</v>
      </c>
      <c r="F46" s="117" t="s">
        <v>1001</v>
      </c>
      <c r="G46" s="117" t="s">
        <v>1002</v>
      </c>
      <c r="H46" s="118">
        <v>50</v>
      </c>
    </row>
    <row r="47" spans="1:8" ht="48" customHeight="1" x14ac:dyDescent="0.25">
      <c r="A47" s="240"/>
      <c r="B47" s="240"/>
      <c r="C47" s="120" t="s">
        <v>224</v>
      </c>
      <c r="D47" s="117" t="s">
        <v>998</v>
      </c>
      <c r="E47" s="118" t="s">
        <v>1000</v>
      </c>
      <c r="F47" s="117" t="s">
        <v>1001</v>
      </c>
      <c r="G47" s="117" t="s">
        <v>1002</v>
      </c>
      <c r="H47" s="118">
        <v>50</v>
      </c>
    </row>
    <row r="48" spans="1:8" ht="48" customHeight="1" x14ac:dyDescent="0.25">
      <c r="A48" s="237" t="s">
        <v>252</v>
      </c>
      <c r="B48" s="237">
        <v>4</v>
      </c>
      <c r="C48" s="119" t="s">
        <v>225</v>
      </c>
      <c r="D48" s="117" t="s">
        <v>997</v>
      </c>
      <c r="E48" s="118" t="s">
        <v>999</v>
      </c>
      <c r="F48" s="117" t="s">
        <v>1001</v>
      </c>
      <c r="G48" s="117" t="s">
        <v>1002</v>
      </c>
      <c r="H48" s="118">
        <v>50</v>
      </c>
    </row>
    <row r="49" spans="1:8" ht="48" customHeight="1" x14ac:dyDescent="0.25">
      <c r="A49" s="238"/>
      <c r="B49" s="238"/>
      <c r="C49" s="119" t="s">
        <v>414</v>
      </c>
      <c r="D49" s="117" t="s">
        <v>998</v>
      </c>
      <c r="E49" s="118" t="s">
        <v>1000</v>
      </c>
      <c r="F49" s="117" t="s">
        <v>1001</v>
      </c>
      <c r="G49" s="117" t="s">
        <v>1002</v>
      </c>
      <c r="H49" s="118">
        <v>50</v>
      </c>
    </row>
    <row r="50" spans="1:8" ht="48" customHeight="1" x14ac:dyDescent="0.25">
      <c r="A50" s="237" t="s">
        <v>255</v>
      </c>
      <c r="B50" s="237">
        <v>1</v>
      </c>
      <c r="C50" s="119" t="s">
        <v>390</v>
      </c>
      <c r="D50" s="117" t="s">
        <v>997</v>
      </c>
      <c r="E50" s="118" t="s">
        <v>999</v>
      </c>
      <c r="F50" s="117" t="s">
        <v>1001</v>
      </c>
      <c r="G50" s="117" t="s">
        <v>1002</v>
      </c>
      <c r="H50" s="118">
        <v>50</v>
      </c>
    </row>
    <row r="51" spans="1:8" ht="48" customHeight="1" x14ac:dyDescent="0.25">
      <c r="A51" s="238"/>
      <c r="B51" s="238"/>
      <c r="C51" s="119" t="s">
        <v>391</v>
      </c>
      <c r="D51" s="117" t="s">
        <v>998</v>
      </c>
      <c r="E51" s="118" t="s">
        <v>1000</v>
      </c>
      <c r="F51" s="117" t="s">
        <v>1001</v>
      </c>
      <c r="G51" s="117" t="s">
        <v>1002</v>
      </c>
      <c r="H51" s="118">
        <v>50</v>
      </c>
    </row>
    <row r="52" spans="1:8" ht="48" customHeight="1" x14ac:dyDescent="0.25">
      <c r="A52" s="237" t="s">
        <v>258</v>
      </c>
      <c r="B52" s="237">
        <v>4</v>
      </c>
      <c r="C52" s="119" t="s">
        <v>415</v>
      </c>
      <c r="D52" s="117" t="s">
        <v>997</v>
      </c>
      <c r="E52" s="118" t="s">
        <v>999</v>
      </c>
      <c r="F52" s="117" t="s">
        <v>1001</v>
      </c>
      <c r="G52" s="117" t="s">
        <v>1002</v>
      </c>
      <c r="H52" s="118">
        <v>50</v>
      </c>
    </row>
    <row r="53" spans="1:8" ht="48" customHeight="1" x14ac:dyDescent="0.25">
      <c r="A53" s="238"/>
      <c r="B53" s="238"/>
      <c r="C53" s="119" t="s">
        <v>416</v>
      </c>
      <c r="D53" s="117" t="s">
        <v>998</v>
      </c>
      <c r="E53" s="118" t="s">
        <v>1000</v>
      </c>
      <c r="F53" s="117" t="s">
        <v>1001</v>
      </c>
      <c r="G53" s="117" t="s">
        <v>1002</v>
      </c>
      <c r="H53" s="118">
        <v>50</v>
      </c>
    </row>
    <row r="54" spans="1:8" ht="48" customHeight="1" x14ac:dyDescent="0.25">
      <c r="A54" s="237" t="s">
        <v>261</v>
      </c>
      <c r="B54" s="237">
        <v>2</v>
      </c>
      <c r="C54" s="119" t="s">
        <v>398</v>
      </c>
      <c r="D54" s="117" t="s">
        <v>997</v>
      </c>
      <c r="E54" s="118" t="s">
        <v>999</v>
      </c>
      <c r="F54" s="117" t="s">
        <v>1001</v>
      </c>
      <c r="G54" s="117" t="s">
        <v>1002</v>
      </c>
      <c r="H54" s="118">
        <v>50</v>
      </c>
    </row>
    <row r="55" spans="1:8" ht="48" customHeight="1" x14ac:dyDescent="0.25">
      <c r="A55" s="238"/>
      <c r="B55" s="238"/>
      <c r="C55" s="122" t="s">
        <v>399</v>
      </c>
      <c r="D55" s="117" t="s">
        <v>998</v>
      </c>
      <c r="E55" s="118" t="s">
        <v>1000</v>
      </c>
      <c r="F55" s="117" t="s">
        <v>1001</v>
      </c>
      <c r="G55" s="117" t="s">
        <v>1002</v>
      </c>
      <c r="H55" s="118">
        <v>50</v>
      </c>
    </row>
    <row r="56" spans="1:8" ht="48" customHeight="1" x14ac:dyDescent="0.25">
      <c r="A56" s="237" t="s">
        <v>262</v>
      </c>
      <c r="B56" s="237">
        <v>1</v>
      </c>
      <c r="C56" s="119" t="s">
        <v>392</v>
      </c>
      <c r="D56" s="117" t="s">
        <v>997</v>
      </c>
      <c r="E56" s="118" t="s">
        <v>999</v>
      </c>
      <c r="F56" s="117" t="s">
        <v>1001</v>
      </c>
      <c r="G56" s="117" t="s">
        <v>1002</v>
      </c>
      <c r="H56" s="118">
        <v>50</v>
      </c>
    </row>
    <row r="57" spans="1:8" ht="48" customHeight="1" x14ac:dyDescent="0.25">
      <c r="A57" s="238"/>
      <c r="B57" s="238"/>
      <c r="C57" s="119" t="s">
        <v>393</v>
      </c>
      <c r="D57" s="117" t="s">
        <v>998</v>
      </c>
      <c r="E57" s="118" t="s">
        <v>1000</v>
      </c>
      <c r="F57" s="117" t="s">
        <v>1001</v>
      </c>
      <c r="G57" s="117" t="s">
        <v>1002</v>
      </c>
      <c r="H57" s="118">
        <v>50</v>
      </c>
    </row>
    <row r="58" spans="1:8" ht="48" customHeight="1" x14ac:dyDescent="0.25">
      <c r="A58" s="237" t="s">
        <v>265</v>
      </c>
      <c r="B58" s="237">
        <v>2</v>
      </c>
      <c r="C58" s="120" t="s">
        <v>400</v>
      </c>
      <c r="D58" s="117" t="s">
        <v>997</v>
      </c>
      <c r="E58" s="118" t="s">
        <v>999</v>
      </c>
      <c r="F58" s="117" t="s">
        <v>1001</v>
      </c>
      <c r="G58" s="117" t="s">
        <v>1002</v>
      </c>
      <c r="H58" s="118">
        <v>50</v>
      </c>
    </row>
    <row r="59" spans="1:8" ht="48" customHeight="1" x14ac:dyDescent="0.25">
      <c r="A59" s="238"/>
      <c r="B59" s="238"/>
      <c r="C59" s="119" t="s">
        <v>401</v>
      </c>
      <c r="D59" s="117" t="s">
        <v>998</v>
      </c>
      <c r="E59" s="118" t="s">
        <v>1000</v>
      </c>
      <c r="F59" s="117" t="s">
        <v>1001</v>
      </c>
      <c r="G59" s="117" t="s">
        <v>1002</v>
      </c>
      <c r="H59" s="118">
        <v>50</v>
      </c>
    </row>
    <row r="60" spans="1:8" ht="48" customHeight="1" x14ac:dyDescent="0.25">
      <c r="A60" s="237" t="s">
        <v>267</v>
      </c>
      <c r="B60" s="237">
        <v>4</v>
      </c>
      <c r="C60" s="120" t="s">
        <v>417</v>
      </c>
      <c r="D60" s="117" t="s">
        <v>997</v>
      </c>
      <c r="E60" s="118" t="s">
        <v>999</v>
      </c>
      <c r="F60" s="117" t="s">
        <v>1001</v>
      </c>
      <c r="G60" s="117" t="s">
        <v>1002</v>
      </c>
      <c r="H60" s="118">
        <v>50</v>
      </c>
    </row>
    <row r="61" spans="1:8" ht="48" customHeight="1" x14ac:dyDescent="0.25">
      <c r="A61" s="238"/>
      <c r="B61" s="238"/>
      <c r="C61" s="119" t="s">
        <v>418</v>
      </c>
      <c r="D61" s="117" t="s">
        <v>998</v>
      </c>
      <c r="E61" s="118" t="s">
        <v>1000</v>
      </c>
      <c r="F61" s="117" t="s">
        <v>1001</v>
      </c>
      <c r="G61" s="117" t="s">
        <v>1002</v>
      </c>
      <c r="H61" s="118">
        <v>50</v>
      </c>
    </row>
    <row r="62" spans="1:8" ht="48" customHeight="1" x14ac:dyDescent="0.25">
      <c r="A62" s="237" t="s">
        <v>270</v>
      </c>
      <c r="B62" s="237">
        <v>2</v>
      </c>
      <c r="C62" s="119" t="s">
        <v>402</v>
      </c>
      <c r="D62" s="117" t="s">
        <v>997</v>
      </c>
      <c r="E62" s="118" t="s">
        <v>999</v>
      </c>
      <c r="F62" s="117" t="s">
        <v>1001</v>
      </c>
      <c r="G62" s="117" t="s">
        <v>1002</v>
      </c>
      <c r="H62" s="118">
        <v>50</v>
      </c>
    </row>
    <row r="63" spans="1:8" ht="48" customHeight="1" x14ac:dyDescent="0.25">
      <c r="A63" s="238"/>
      <c r="B63" s="238"/>
      <c r="C63" s="119" t="s">
        <v>403</v>
      </c>
      <c r="D63" s="117" t="s">
        <v>998</v>
      </c>
      <c r="E63" s="118" t="s">
        <v>1000</v>
      </c>
      <c r="F63" s="117" t="s">
        <v>1001</v>
      </c>
      <c r="G63" s="117" t="s">
        <v>1002</v>
      </c>
      <c r="H63" s="118">
        <v>50</v>
      </c>
    </row>
    <row r="64" spans="1:8" ht="48" customHeight="1" x14ac:dyDescent="0.25">
      <c r="A64" s="237" t="s">
        <v>273</v>
      </c>
      <c r="B64" s="237">
        <v>5</v>
      </c>
      <c r="C64" s="119" t="s">
        <v>232</v>
      </c>
      <c r="D64" s="117" t="s">
        <v>997</v>
      </c>
      <c r="E64" s="118" t="s">
        <v>999</v>
      </c>
      <c r="F64" s="117" t="s">
        <v>1001</v>
      </c>
      <c r="G64" s="117" t="s">
        <v>1002</v>
      </c>
      <c r="H64" s="118">
        <v>50</v>
      </c>
    </row>
    <row r="65" spans="1:8" ht="48" customHeight="1" x14ac:dyDescent="0.25">
      <c r="A65" s="238"/>
      <c r="B65" s="238"/>
      <c r="C65" s="119" t="s">
        <v>233</v>
      </c>
      <c r="D65" s="117" t="s">
        <v>998</v>
      </c>
      <c r="E65" s="118" t="s">
        <v>1000</v>
      </c>
      <c r="F65" s="117" t="s">
        <v>1001</v>
      </c>
      <c r="G65" s="117" t="s">
        <v>1002</v>
      </c>
      <c r="H65" s="118">
        <v>50</v>
      </c>
    </row>
    <row r="66" spans="1:8" ht="48" customHeight="1" x14ac:dyDescent="0.25">
      <c r="A66" s="237" t="s">
        <v>275</v>
      </c>
      <c r="B66" s="237">
        <v>4</v>
      </c>
      <c r="C66" s="119" t="s">
        <v>419</v>
      </c>
      <c r="D66" s="117" t="s">
        <v>997</v>
      </c>
      <c r="E66" s="118" t="s">
        <v>999</v>
      </c>
      <c r="F66" s="117" t="s">
        <v>1001</v>
      </c>
      <c r="G66" s="117" t="s">
        <v>1002</v>
      </c>
      <c r="H66" s="118">
        <v>50</v>
      </c>
    </row>
    <row r="67" spans="1:8" ht="48" customHeight="1" x14ac:dyDescent="0.25">
      <c r="A67" s="238"/>
      <c r="B67" s="238"/>
      <c r="C67" s="119" t="s">
        <v>420</v>
      </c>
      <c r="D67" s="117" t="s">
        <v>998</v>
      </c>
      <c r="E67" s="118" t="s">
        <v>1000</v>
      </c>
      <c r="F67" s="117" t="s">
        <v>1001</v>
      </c>
      <c r="G67" s="117" t="s">
        <v>1002</v>
      </c>
      <c r="H67" s="118">
        <v>50</v>
      </c>
    </row>
    <row r="68" spans="1:8" ht="48" customHeight="1" x14ac:dyDescent="0.25">
      <c r="A68" s="237" t="s">
        <v>278</v>
      </c>
      <c r="B68" s="237">
        <v>4</v>
      </c>
      <c r="C68" s="119" t="s">
        <v>421</v>
      </c>
      <c r="D68" s="117" t="s">
        <v>997</v>
      </c>
      <c r="E68" s="118" t="s">
        <v>999</v>
      </c>
      <c r="F68" s="117" t="s">
        <v>1001</v>
      </c>
      <c r="G68" s="117" t="s">
        <v>1002</v>
      </c>
      <c r="H68" s="118">
        <v>50</v>
      </c>
    </row>
    <row r="69" spans="1:8" ht="48" customHeight="1" x14ac:dyDescent="0.25">
      <c r="A69" s="238"/>
      <c r="B69" s="238"/>
      <c r="C69" s="119" t="s">
        <v>422</v>
      </c>
      <c r="D69" s="117" t="s">
        <v>998</v>
      </c>
      <c r="E69" s="118" t="s">
        <v>1000</v>
      </c>
      <c r="F69" s="117" t="s">
        <v>1001</v>
      </c>
      <c r="G69" s="117" t="s">
        <v>1002</v>
      </c>
      <c r="H69" s="118">
        <v>50</v>
      </c>
    </row>
    <row r="70" spans="1:8" ht="48" customHeight="1" x14ac:dyDescent="0.25">
      <c r="A70" s="237" t="s">
        <v>281</v>
      </c>
      <c r="B70" s="237">
        <v>2</v>
      </c>
      <c r="C70" s="119" t="s">
        <v>404</v>
      </c>
      <c r="D70" s="117" t="s">
        <v>997</v>
      </c>
      <c r="E70" s="118" t="s">
        <v>999</v>
      </c>
      <c r="F70" s="117" t="s">
        <v>1001</v>
      </c>
      <c r="G70" s="117" t="s">
        <v>1002</v>
      </c>
      <c r="H70" s="118">
        <v>50</v>
      </c>
    </row>
    <row r="71" spans="1:8" ht="48" customHeight="1" x14ac:dyDescent="0.25">
      <c r="A71" s="238"/>
      <c r="B71" s="238"/>
      <c r="C71" s="120" t="s">
        <v>405</v>
      </c>
      <c r="D71" s="117" t="s">
        <v>998</v>
      </c>
      <c r="E71" s="118" t="s">
        <v>1000</v>
      </c>
      <c r="F71" s="117" t="s">
        <v>1001</v>
      </c>
      <c r="G71" s="117" t="s">
        <v>1002</v>
      </c>
      <c r="H71" s="118">
        <v>50</v>
      </c>
    </row>
    <row r="72" spans="1:8" ht="48" customHeight="1" x14ac:dyDescent="0.25">
      <c r="A72" s="237" t="s">
        <v>284</v>
      </c>
      <c r="B72" s="237">
        <v>5</v>
      </c>
      <c r="C72" s="119" t="s">
        <v>234</v>
      </c>
      <c r="D72" s="117" t="s">
        <v>997</v>
      </c>
      <c r="E72" s="118" t="s">
        <v>999</v>
      </c>
      <c r="F72" s="117" t="s">
        <v>1001</v>
      </c>
      <c r="G72" s="117" t="s">
        <v>1002</v>
      </c>
      <c r="H72" s="118">
        <v>50</v>
      </c>
    </row>
    <row r="73" spans="1:8" ht="48" customHeight="1" x14ac:dyDescent="0.25">
      <c r="A73" s="238"/>
      <c r="B73" s="238"/>
      <c r="C73" s="119" t="s">
        <v>437</v>
      </c>
      <c r="D73" s="117" t="s">
        <v>998</v>
      </c>
      <c r="E73" s="118" t="s">
        <v>1000</v>
      </c>
      <c r="F73" s="117" t="s">
        <v>1001</v>
      </c>
      <c r="G73" s="117" t="s">
        <v>1002</v>
      </c>
      <c r="H73" s="118">
        <v>50</v>
      </c>
    </row>
    <row r="74" spans="1:8" ht="48" customHeight="1" x14ac:dyDescent="0.25">
      <c r="A74" s="237" t="s">
        <v>287</v>
      </c>
      <c r="B74" s="237">
        <v>4</v>
      </c>
      <c r="C74" s="119" t="s">
        <v>423</v>
      </c>
      <c r="D74" s="117" t="s">
        <v>997</v>
      </c>
      <c r="E74" s="118" t="s">
        <v>999</v>
      </c>
      <c r="F74" s="117" t="s">
        <v>1001</v>
      </c>
      <c r="G74" s="117" t="s">
        <v>1002</v>
      </c>
      <c r="H74" s="118">
        <v>50</v>
      </c>
    </row>
    <row r="75" spans="1:8" ht="48" customHeight="1" x14ac:dyDescent="0.25">
      <c r="A75" s="238"/>
      <c r="B75" s="238"/>
      <c r="C75" s="119" t="s">
        <v>424</v>
      </c>
      <c r="D75" s="117" t="s">
        <v>998</v>
      </c>
      <c r="E75" s="118" t="s">
        <v>1000</v>
      </c>
      <c r="F75" s="117" t="s">
        <v>1001</v>
      </c>
      <c r="G75" s="117" t="s">
        <v>1002</v>
      </c>
      <c r="H75" s="118">
        <v>50</v>
      </c>
    </row>
    <row r="76" spans="1:8" ht="48" customHeight="1" x14ac:dyDescent="0.25">
      <c r="A76" s="237" t="s">
        <v>288</v>
      </c>
      <c r="B76" s="237">
        <v>2</v>
      </c>
      <c r="C76" s="119" t="s">
        <v>406</v>
      </c>
      <c r="D76" s="117" t="s">
        <v>997</v>
      </c>
      <c r="E76" s="118" t="s">
        <v>999</v>
      </c>
      <c r="F76" s="117" t="s">
        <v>1001</v>
      </c>
      <c r="G76" s="117" t="s">
        <v>1002</v>
      </c>
      <c r="H76" s="118">
        <v>50</v>
      </c>
    </row>
    <row r="77" spans="1:8" ht="48" customHeight="1" x14ac:dyDescent="0.25">
      <c r="A77" s="238"/>
      <c r="B77" s="238"/>
      <c r="C77" s="119" t="s">
        <v>407</v>
      </c>
      <c r="D77" s="117" t="s">
        <v>998</v>
      </c>
      <c r="E77" s="118" t="s">
        <v>1000</v>
      </c>
      <c r="F77" s="117" t="s">
        <v>1001</v>
      </c>
      <c r="G77" s="117" t="s">
        <v>1002</v>
      </c>
      <c r="H77" s="118">
        <v>50</v>
      </c>
    </row>
    <row r="78" spans="1:8" ht="48" customHeight="1" x14ac:dyDescent="0.25">
      <c r="A78" s="237" t="s">
        <v>293</v>
      </c>
      <c r="B78" s="237">
        <v>2</v>
      </c>
      <c r="C78" s="119" t="s">
        <v>408</v>
      </c>
      <c r="D78" s="117" t="s">
        <v>997</v>
      </c>
      <c r="E78" s="118" t="s">
        <v>999</v>
      </c>
      <c r="F78" s="117" t="s">
        <v>1001</v>
      </c>
      <c r="G78" s="117" t="s">
        <v>1002</v>
      </c>
      <c r="H78" s="118">
        <v>50</v>
      </c>
    </row>
    <row r="79" spans="1:8" ht="48" customHeight="1" x14ac:dyDescent="0.25">
      <c r="A79" s="238"/>
      <c r="B79" s="238"/>
      <c r="C79" s="119" t="s">
        <v>409</v>
      </c>
      <c r="D79" s="117" t="s">
        <v>998</v>
      </c>
      <c r="E79" s="118" t="s">
        <v>1000</v>
      </c>
      <c r="F79" s="117" t="s">
        <v>1001</v>
      </c>
      <c r="G79" s="117" t="s">
        <v>1002</v>
      </c>
      <c r="H79" s="118">
        <v>50</v>
      </c>
    </row>
    <row r="80" spans="1:8" ht="48" customHeight="1" x14ac:dyDescent="0.25">
      <c r="A80" s="237" t="s">
        <v>296</v>
      </c>
      <c r="B80" s="237">
        <v>5</v>
      </c>
      <c r="C80" s="120" t="s">
        <v>438</v>
      </c>
      <c r="D80" s="117" t="s">
        <v>997</v>
      </c>
      <c r="E80" s="118" t="s">
        <v>999</v>
      </c>
      <c r="F80" s="117" t="s">
        <v>1001</v>
      </c>
      <c r="G80" s="117" t="s">
        <v>1002</v>
      </c>
      <c r="H80" s="118">
        <v>50</v>
      </c>
    </row>
    <row r="81" spans="1:8" ht="48" customHeight="1" x14ac:dyDescent="0.25">
      <c r="A81" s="238"/>
      <c r="B81" s="238"/>
      <c r="C81" s="119" t="s">
        <v>439</v>
      </c>
      <c r="D81" s="117" t="s">
        <v>998</v>
      </c>
      <c r="E81" s="118" t="s">
        <v>1000</v>
      </c>
      <c r="F81" s="117" t="s">
        <v>1001</v>
      </c>
      <c r="G81" s="117" t="s">
        <v>1002</v>
      </c>
      <c r="H81" s="118">
        <v>50</v>
      </c>
    </row>
    <row r="82" spans="1:8" ht="48" customHeight="1" x14ac:dyDescent="0.25">
      <c r="A82" s="237" t="s">
        <v>297</v>
      </c>
      <c r="B82" s="237">
        <v>2</v>
      </c>
      <c r="C82" s="119" t="s">
        <v>412</v>
      </c>
      <c r="D82" s="117" t="s">
        <v>997</v>
      </c>
      <c r="E82" s="118" t="s">
        <v>999</v>
      </c>
      <c r="F82" s="117" t="s">
        <v>1001</v>
      </c>
      <c r="G82" s="117" t="s">
        <v>1002</v>
      </c>
      <c r="H82" s="118">
        <v>50</v>
      </c>
    </row>
    <row r="83" spans="1:8" ht="48" customHeight="1" x14ac:dyDescent="0.25">
      <c r="A83" s="238"/>
      <c r="B83" s="238"/>
      <c r="C83" s="119" t="s">
        <v>413</v>
      </c>
      <c r="D83" s="117" t="s">
        <v>998</v>
      </c>
      <c r="E83" s="118" t="s">
        <v>1000</v>
      </c>
      <c r="F83" s="117" t="s">
        <v>1001</v>
      </c>
      <c r="G83" s="117" t="s">
        <v>1002</v>
      </c>
      <c r="H83" s="118">
        <v>50</v>
      </c>
    </row>
    <row r="84" spans="1:8" ht="48" customHeight="1" x14ac:dyDescent="0.25">
      <c r="A84" s="237" t="s">
        <v>302</v>
      </c>
      <c r="B84" s="237">
        <v>5</v>
      </c>
      <c r="C84" s="119" t="s">
        <v>440</v>
      </c>
      <c r="D84" s="117" t="s">
        <v>997</v>
      </c>
      <c r="E84" s="118" t="s">
        <v>999</v>
      </c>
      <c r="F84" s="117" t="s">
        <v>1001</v>
      </c>
      <c r="G84" s="117" t="s">
        <v>1002</v>
      </c>
      <c r="H84" s="118">
        <v>50</v>
      </c>
    </row>
    <row r="85" spans="1:8" ht="48" customHeight="1" x14ac:dyDescent="0.25">
      <c r="A85" s="238"/>
      <c r="B85" s="238"/>
      <c r="C85" s="119" t="s">
        <v>441</v>
      </c>
      <c r="D85" s="117" t="s">
        <v>998</v>
      </c>
      <c r="E85" s="118" t="s">
        <v>1000</v>
      </c>
      <c r="F85" s="117" t="s">
        <v>1001</v>
      </c>
      <c r="G85" s="117" t="s">
        <v>1002</v>
      </c>
      <c r="H85" s="118">
        <v>50</v>
      </c>
    </row>
    <row r="86" spans="1:8" ht="48" customHeight="1" x14ac:dyDescent="0.25">
      <c r="A86" s="237" t="s">
        <v>303</v>
      </c>
      <c r="B86" s="237">
        <v>4</v>
      </c>
      <c r="C86" s="119" t="s">
        <v>425</v>
      </c>
      <c r="D86" s="117" t="s">
        <v>997</v>
      </c>
      <c r="E86" s="118" t="s">
        <v>999</v>
      </c>
      <c r="F86" s="117" t="s">
        <v>1001</v>
      </c>
      <c r="G86" s="117" t="s">
        <v>1002</v>
      </c>
      <c r="H86" s="118">
        <v>50</v>
      </c>
    </row>
    <row r="87" spans="1:8" ht="48" customHeight="1" x14ac:dyDescent="0.25">
      <c r="A87" s="238"/>
      <c r="B87" s="238"/>
      <c r="C87" s="119" t="s">
        <v>426</v>
      </c>
      <c r="D87" s="117" t="s">
        <v>998</v>
      </c>
      <c r="E87" s="118" t="s">
        <v>1000</v>
      </c>
      <c r="F87" s="117" t="s">
        <v>1001</v>
      </c>
      <c r="G87" s="117" t="s">
        <v>1002</v>
      </c>
      <c r="H87" s="118">
        <v>50</v>
      </c>
    </row>
    <row r="88" spans="1:8" ht="48" customHeight="1" x14ac:dyDescent="0.25">
      <c r="A88" s="237" t="s">
        <v>306</v>
      </c>
      <c r="B88" s="119">
        <v>5</v>
      </c>
      <c r="C88" s="119" t="s">
        <v>442</v>
      </c>
      <c r="D88" s="117" t="s">
        <v>997</v>
      </c>
      <c r="E88" s="118" t="s">
        <v>999</v>
      </c>
      <c r="F88" s="117" t="s">
        <v>1001</v>
      </c>
      <c r="G88" s="117" t="s">
        <v>1002</v>
      </c>
      <c r="H88" s="118">
        <v>50</v>
      </c>
    </row>
    <row r="89" spans="1:8" ht="48" customHeight="1" x14ac:dyDescent="0.25">
      <c r="A89" s="238"/>
      <c r="B89" s="119">
        <v>6</v>
      </c>
      <c r="C89" s="119" t="s">
        <v>235</v>
      </c>
      <c r="D89" s="117" t="s">
        <v>998</v>
      </c>
      <c r="E89" s="118" t="s">
        <v>1000</v>
      </c>
      <c r="F89" s="117" t="s">
        <v>1001</v>
      </c>
      <c r="G89" s="117" t="s">
        <v>1002</v>
      </c>
      <c r="H89" s="118">
        <v>50</v>
      </c>
    </row>
    <row r="90" spans="1:8" ht="48" customHeight="1" x14ac:dyDescent="0.25">
      <c r="A90" s="240" t="s">
        <v>308</v>
      </c>
      <c r="B90" s="237">
        <v>11</v>
      </c>
      <c r="C90" s="119" t="s">
        <v>344</v>
      </c>
      <c r="D90" s="117" t="s">
        <v>997</v>
      </c>
      <c r="E90" s="118" t="s">
        <v>999</v>
      </c>
      <c r="F90" s="117" t="s">
        <v>1001</v>
      </c>
      <c r="G90" s="117" t="s">
        <v>1002</v>
      </c>
      <c r="H90" s="118">
        <v>50</v>
      </c>
    </row>
    <row r="91" spans="1:8" ht="48" customHeight="1" x14ac:dyDescent="0.25">
      <c r="A91" s="240"/>
      <c r="B91" s="238"/>
      <c r="C91" s="119" t="s">
        <v>345</v>
      </c>
      <c r="D91" s="117" t="s">
        <v>998</v>
      </c>
      <c r="E91" s="118" t="s">
        <v>1000</v>
      </c>
      <c r="F91" s="117" t="s">
        <v>1001</v>
      </c>
      <c r="G91" s="117" t="s">
        <v>1002</v>
      </c>
      <c r="H91" s="118">
        <v>50</v>
      </c>
    </row>
    <row r="92" spans="1:8" ht="48" customHeight="1" x14ac:dyDescent="0.25">
      <c r="A92" s="237" t="s">
        <v>311</v>
      </c>
      <c r="B92" s="237">
        <v>4</v>
      </c>
      <c r="C92" s="119" t="s">
        <v>427</v>
      </c>
      <c r="D92" s="117" t="s">
        <v>997</v>
      </c>
      <c r="E92" s="118" t="s">
        <v>999</v>
      </c>
      <c r="F92" s="117" t="s">
        <v>1001</v>
      </c>
      <c r="G92" s="117" t="s">
        <v>1002</v>
      </c>
      <c r="H92" s="118">
        <v>50</v>
      </c>
    </row>
    <row r="93" spans="1:8" ht="48" customHeight="1" x14ac:dyDescent="0.25">
      <c r="A93" s="238"/>
      <c r="B93" s="238"/>
      <c r="C93" s="119" t="s">
        <v>428</v>
      </c>
      <c r="D93" s="117" t="s">
        <v>998</v>
      </c>
      <c r="E93" s="118" t="s">
        <v>1000</v>
      </c>
      <c r="F93" s="117" t="s">
        <v>1001</v>
      </c>
      <c r="G93" s="117" t="s">
        <v>1002</v>
      </c>
      <c r="H93" s="118">
        <v>50</v>
      </c>
    </row>
    <row r="94" spans="1:8" ht="48" customHeight="1" x14ac:dyDescent="0.25">
      <c r="A94" s="237" t="s">
        <v>326</v>
      </c>
      <c r="B94" s="237">
        <v>9</v>
      </c>
      <c r="C94" s="123" t="s">
        <v>242</v>
      </c>
      <c r="D94" s="117" t="s">
        <v>997</v>
      </c>
      <c r="E94" s="118" t="s">
        <v>999</v>
      </c>
      <c r="F94" s="117" t="s">
        <v>1001</v>
      </c>
      <c r="G94" s="117" t="s">
        <v>1002</v>
      </c>
      <c r="H94" s="118">
        <v>50</v>
      </c>
    </row>
    <row r="95" spans="1:8" ht="48" customHeight="1" x14ac:dyDescent="0.25">
      <c r="A95" s="238"/>
      <c r="B95" s="238"/>
      <c r="C95" s="124" t="s">
        <v>312</v>
      </c>
      <c r="D95" s="117" t="s">
        <v>998</v>
      </c>
      <c r="E95" s="118" t="s">
        <v>1000</v>
      </c>
      <c r="F95" s="117" t="s">
        <v>1001</v>
      </c>
      <c r="G95" s="117" t="s">
        <v>1002</v>
      </c>
      <c r="H95" s="118">
        <v>50</v>
      </c>
    </row>
    <row r="96" spans="1:8" ht="48" customHeight="1" x14ac:dyDescent="0.25">
      <c r="A96" s="237" t="s">
        <v>330</v>
      </c>
      <c r="B96" s="237">
        <v>4</v>
      </c>
      <c r="C96" s="119" t="s">
        <v>430</v>
      </c>
      <c r="D96" s="117" t="s">
        <v>997</v>
      </c>
      <c r="E96" s="118" t="s">
        <v>999</v>
      </c>
      <c r="F96" s="117" t="s">
        <v>1001</v>
      </c>
      <c r="G96" s="117" t="s">
        <v>1002</v>
      </c>
      <c r="H96" s="118">
        <v>50</v>
      </c>
    </row>
    <row r="97" spans="1:8" ht="48" customHeight="1" x14ac:dyDescent="0.25">
      <c r="A97" s="238"/>
      <c r="B97" s="238"/>
      <c r="C97" s="119" t="s">
        <v>431</v>
      </c>
      <c r="D97" s="117" t="s">
        <v>998</v>
      </c>
      <c r="E97" s="118" t="s">
        <v>1000</v>
      </c>
      <c r="F97" s="117" t="s">
        <v>1001</v>
      </c>
      <c r="G97" s="117" t="s">
        <v>1002</v>
      </c>
      <c r="H97" s="118">
        <v>50</v>
      </c>
    </row>
    <row r="98" spans="1:8" ht="48" customHeight="1" x14ac:dyDescent="0.25">
      <c r="A98" s="237" t="s">
        <v>333</v>
      </c>
      <c r="B98" s="237">
        <v>6</v>
      </c>
      <c r="C98" s="119" t="s">
        <v>443</v>
      </c>
      <c r="D98" s="117" t="s">
        <v>997</v>
      </c>
      <c r="E98" s="118" t="s">
        <v>999</v>
      </c>
      <c r="F98" s="117" t="s">
        <v>1001</v>
      </c>
      <c r="G98" s="117" t="s">
        <v>1002</v>
      </c>
      <c r="H98" s="118">
        <v>50</v>
      </c>
    </row>
    <row r="99" spans="1:8" ht="48" customHeight="1" x14ac:dyDescent="0.25">
      <c r="A99" s="238"/>
      <c r="B99" s="238"/>
      <c r="C99" s="119" t="s">
        <v>831</v>
      </c>
      <c r="D99" s="117" t="s">
        <v>998</v>
      </c>
      <c r="E99" s="118" t="s">
        <v>1000</v>
      </c>
      <c r="F99" s="117" t="s">
        <v>1001</v>
      </c>
      <c r="G99" s="117" t="s">
        <v>1002</v>
      </c>
      <c r="H99" s="118">
        <v>50</v>
      </c>
    </row>
    <row r="100" spans="1:8" ht="48" customHeight="1" x14ac:dyDescent="0.25">
      <c r="A100" s="237" t="s">
        <v>334</v>
      </c>
      <c r="B100" s="237">
        <v>10</v>
      </c>
      <c r="C100" s="123" t="s">
        <v>317</v>
      </c>
      <c r="D100" s="117" t="s">
        <v>997</v>
      </c>
      <c r="E100" s="118" t="s">
        <v>999</v>
      </c>
      <c r="F100" s="117" t="s">
        <v>1001</v>
      </c>
      <c r="G100" s="117" t="s">
        <v>1002</v>
      </c>
      <c r="H100" s="118">
        <v>50</v>
      </c>
    </row>
    <row r="101" spans="1:8" ht="48" customHeight="1" x14ac:dyDescent="0.25">
      <c r="A101" s="238"/>
      <c r="B101" s="238"/>
      <c r="C101" s="123" t="s">
        <v>318</v>
      </c>
      <c r="D101" s="117" t="s">
        <v>998</v>
      </c>
      <c r="E101" s="118" t="s">
        <v>1000</v>
      </c>
      <c r="F101" s="117" t="s">
        <v>1001</v>
      </c>
      <c r="G101" s="117" t="s">
        <v>1002</v>
      </c>
      <c r="H101" s="118">
        <v>50</v>
      </c>
    </row>
    <row r="102" spans="1:8" ht="48" customHeight="1" x14ac:dyDescent="0.25">
      <c r="A102" s="237" t="s">
        <v>337</v>
      </c>
      <c r="B102" s="237">
        <v>6</v>
      </c>
      <c r="C102" s="119" t="s">
        <v>236</v>
      </c>
      <c r="D102" s="117" t="s">
        <v>997</v>
      </c>
      <c r="E102" s="118" t="s">
        <v>999</v>
      </c>
      <c r="F102" s="117" t="s">
        <v>1001</v>
      </c>
      <c r="G102" s="117" t="s">
        <v>1002</v>
      </c>
      <c r="H102" s="118">
        <v>50</v>
      </c>
    </row>
    <row r="103" spans="1:8" ht="48" customHeight="1" x14ac:dyDescent="0.25">
      <c r="A103" s="238"/>
      <c r="B103" s="238"/>
      <c r="C103" s="119" t="s">
        <v>237</v>
      </c>
      <c r="D103" s="117" t="s">
        <v>998</v>
      </c>
      <c r="E103" s="118" t="s">
        <v>1000</v>
      </c>
      <c r="F103" s="117" t="s">
        <v>1001</v>
      </c>
      <c r="G103" s="117" t="s">
        <v>1002</v>
      </c>
      <c r="H103" s="118">
        <v>50</v>
      </c>
    </row>
    <row r="104" spans="1:8" ht="48" customHeight="1" x14ac:dyDescent="0.25">
      <c r="A104" s="237" t="s">
        <v>889</v>
      </c>
      <c r="B104" s="237">
        <v>4</v>
      </c>
      <c r="C104" s="119" t="s">
        <v>432</v>
      </c>
      <c r="D104" s="117" t="s">
        <v>997</v>
      </c>
      <c r="E104" s="118" t="s">
        <v>999</v>
      </c>
      <c r="F104" s="117" t="s">
        <v>1001</v>
      </c>
      <c r="G104" s="117" t="s">
        <v>1002</v>
      </c>
      <c r="H104" s="118">
        <v>50</v>
      </c>
    </row>
    <row r="105" spans="1:8" ht="48" customHeight="1" x14ac:dyDescent="0.25">
      <c r="A105" s="238"/>
      <c r="B105" s="238"/>
      <c r="C105" s="119" t="s">
        <v>433</v>
      </c>
      <c r="D105" s="117" t="s">
        <v>998</v>
      </c>
      <c r="E105" s="118" t="s">
        <v>1000</v>
      </c>
      <c r="F105" s="117" t="s">
        <v>1001</v>
      </c>
      <c r="G105" s="117" t="s">
        <v>1002</v>
      </c>
      <c r="H105" s="118">
        <v>50</v>
      </c>
    </row>
    <row r="106" spans="1:8" ht="48" customHeight="1" x14ac:dyDescent="0.25">
      <c r="A106" s="240" t="s">
        <v>411</v>
      </c>
      <c r="B106" s="240">
        <v>4</v>
      </c>
      <c r="C106" s="120" t="s">
        <v>434</v>
      </c>
      <c r="D106" s="117" t="s">
        <v>998</v>
      </c>
      <c r="E106" s="118" t="s">
        <v>991</v>
      </c>
      <c r="F106" s="117" t="s">
        <v>1001</v>
      </c>
      <c r="G106" s="117" t="s">
        <v>1002</v>
      </c>
      <c r="H106" s="118">
        <v>100</v>
      </c>
    </row>
    <row r="107" spans="1:8" ht="48" customHeight="1" x14ac:dyDescent="0.25">
      <c r="A107" s="240"/>
      <c r="B107" s="240"/>
      <c r="C107" s="120" t="s">
        <v>435</v>
      </c>
      <c r="D107" s="117" t="s">
        <v>998</v>
      </c>
      <c r="E107" s="118" t="s">
        <v>991</v>
      </c>
      <c r="F107" s="117" t="s">
        <v>1001</v>
      </c>
      <c r="G107" s="117" t="s">
        <v>1002</v>
      </c>
      <c r="H107" s="118">
        <v>100</v>
      </c>
    </row>
    <row r="108" spans="1:8" ht="48" customHeight="1" x14ac:dyDescent="0.25">
      <c r="A108" s="240"/>
      <c r="B108" s="120">
        <v>6</v>
      </c>
      <c r="C108" s="120" t="s">
        <v>238</v>
      </c>
      <c r="D108" s="117" t="s">
        <v>998</v>
      </c>
      <c r="E108" s="118" t="s">
        <v>991</v>
      </c>
      <c r="F108" s="117" t="s">
        <v>1001</v>
      </c>
      <c r="G108" s="117" t="s">
        <v>1002</v>
      </c>
      <c r="H108" s="118">
        <v>100</v>
      </c>
    </row>
    <row r="109" spans="1:8" ht="48" customHeight="1" x14ac:dyDescent="0.25">
      <c r="A109" s="240"/>
      <c r="B109" s="120">
        <v>9</v>
      </c>
      <c r="C109" s="125" t="s">
        <v>313</v>
      </c>
      <c r="D109" s="117" t="s">
        <v>998</v>
      </c>
      <c r="E109" s="118" t="s">
        <v>991</v>
      </c>
      <c r="F109" s="117" t="s">
        <v>1001</v>
      </c>
      <c r="G109" s="117" t="s">
        <v>1002</v>
      </c>
      <c r="H109" s="118">
        <v>100</v>
      </c>
    </row>
    <row r="110" spans="1:8" ht="48" customHeight="1" x14ac:dyDescent="0.25">
      <c r="A110" s="240"/>
      <c r="B110" s="119">
        <v>10</v>
      </c>
      <c r="C110" s="123" t="s">
        <v>319</v>
      </c>
      <c r="D110" s="117" t="s">
        <v>998</v>
      </c>
      <c r="E110" s="118" t="s">
        <v>991</v>
      </c>
      <c r="F110" s="117" t="s">
        <v>1001</v>
      </c>
      <c r="G110" s="117" t="s">
        <v>1002</v>
      </c>
      <c r="H110" s="118">
        <v>100</v>
      </c>
    </row>
    <row r="111" spans="1:8" ht="48" customHeight="1" x14ac:dyDescent="0.25">
      <c r="A111" s="240" t="s">
        <v>346</v>
      </c>
      <c r="B111" s="119">
        <v>4</v>
      </c>
      <c r="C111" s="119" t="s">
        <v>436</v>
      </c>
      <c r="D111" s="117" t="s">
        <v>997</v>
      </c>
      <c r="E111" s="118" t="s">
        <v>999</v>
      </c>
      <c r="F111" s="117" t="s">
        <v>1001</v>
      </c>
      <c r="G111" s="117" t="s">
        <v>1002</v>
      </c>
      <c r="H111" s="126">
        <v>25</v>
      </c>
    </row>
    <row r="112" spans="1:8" ht="48" customHeight="1" x14ac:dyDescent="0.25">
      <c r="A112" s="240"/>
      <c r="B112" s="237">
        <v>7</v>
      </c>
      <c r="C112" s="119" t="s">
        <v>239</v>
      </c>
      <c r="D112" s="117" t="s">
        <v>997</v>
      </c>
      <c r="E112" s="118" t="s">
        <v>999</v>
      </c>
      <c r="F112" s="117" t="s">
        <v>1001</v>
      </c>
      <c r="G112" s="117" t="s">
        <v>1002</v>
      </c>
      <c r="H112" s="126">
        <v>25</v>
      </c>
    </row>
    <row r="113" spans="1:8" ht="48" customHeight="1" x14ac:dyDescent="0.25">
      <c r="A113" s="240"/>
      <c r="B113" s="238"/>
      <c r="C113" s="119" t="s">
        <v>240</v>
      </c>
      <c r="D113" s="117" t="s">
        <v>998</v>
      </c>
      <c r="E113" s="118" t="s">
        <v>1000</v>
      </c>
      <c r="F113" s="117" t="s">
        <v>1001</v>
      </c>
      <c r="G113" s="117" t="s">
        <v>1002</v>
      </c>
      <c r="H113" s="126">
        <v>25</v>
      </c>
    </row>
    <row r="114" spans="1:8" ht="48" customHeight="1" x14ac:dyDescent="0.25">
      <c r="A114" s="240"/>
      <c r="B114" s="119">
        <v>8</v>
      </c>
      <c r="C114" s="119" t="s">
        <v>241</v>
      </c>
      <c r="D114" s="117" t="s">
        <v>998</v>
      </c>
      <c r="E114" s="118" t="s">
        <v>1000</v>
      </c>
      <c r="F114" s="117" t="s">
        <v>1001</v>
      </c>
      <c r="G114" s="117" t="s">
        <v>1002</v>
      </c>
      <c r="H114" s="126">
        <v>25</v>
      </c>
    </row>
    <row r="115" spans="1:8" ht="48" customHeight="1" x14ac:dyDescent="0.25">
      <c r="A115" s="237" t="s">
        <v>352</v>
      </c>
      <c r="B115" s="237">
        <v>10</v>
      </c>
      <c r="C115" s="123" t="s">
        <v>320</v>
      </c>
      <c r="D115" s="117" t="s">
        <v>997</v>
      </c>
      <c r="E115" s="118" t="s">
        <v>999</v>
      </c>
      <c r="F115" s="117" t="s">
        <v>1001</v>
      </c>
      <c r="G115" s="117" t="s">
        <v>1002</v>
      </c>
      <c r="H115" s="118">
        <v>50</v>
      </c>
    </row>
    <row r="116" spans="1:8" ht="48" customHeight="1" x14ac:dyDescent="0.25">
      <c r="A116" s="238"/>
      <c r="B116" s="238"/>
      <c r="C116" s="123" t="s">
        <v>321</v>
      </c>
      <c r="D116" s="117" t="s">
        <v>998</v>
      </c>
      <c r="E116" s="118" t="s">
        <v>1000</v>
      </c>
      <c r="F116" s="117" t="s">
        <v>1001</v>
      </c>
      <c r="G116" s="117" t="s">
        <v>1002</v>
      </c>
      <c r="H116" s="118">
        <v>50</v>
      </c>
    </row>
    <row r="117" spans="1:8" ht="48" customHeight="1" x14ac:dyDescent="0.25">
      <c r="A117" s="237" t="s">
        <v>445</v>
      </c>
      <c r="B117" s="237">
        <v>9</v>
      </c>
      <c r="C117" s="123" t="s">
        <v>314</v>
      </c>
      <c r="D117" s="117" t="s">
        <v>997</v>
      </c>
      <c r="E117" s="118" t="s">
        <v>999</v>
      </c>
      <c r="F117" s="117" t="s">
        <v>1001</v>
      </c>
      <c r="G117" s="117" t="s">
        <v>1002</v>
      </c>
      <c r="H117" s="118">
        <v>50</v>
      </c>
    </row>
    <row r="118" spans="1:8" ht="48" customHeight="1" x14ac:dyDescent="0.25">
      <c r="A118" s="238"/>
      <c r="B118" s="238"/>
      <c r="C118" s="123" t="s">
        <v>476</v>
      </c>
      <c r="D118" s="117" t="s">
        <v>998</v>
      </c>
      <c r="E118" s="118" t="s">
        <v>1000</v>
      </c>
      <c r="F118" s="117" t="s">
        <v>1001</v>
      </c>
      <c r="G118" s="117" t="s">
        <v>1002</v>
      </c>
      <c r="H118" s="118">
        <v>50</v>
      </c>
    </row>
    <row r="119" spans="1:8" ht="48" customHeight="1" x14ac:dyDescent="0.25">
      <c r="A119" s="237" t="s">
        <v>449</v>
      </c>
      <c r="B119" s="237">
        <v>9</v>
      </c>
      <c r="C119" s="123" t="s">
        <v>876</v>
      </c>
      <c r="D119" s="117" t="s">
        <v>997</v>
      </c>
      <c r="E119" s="118" t="s">
        <v>999</v>
      </c>
      <c r="F119" s="117" t="s">
        <v>1001</v>
      </c>
      <c r="G119" s="117" t="s">
        <v>1002</v>
      </c>
      <c r="H119" s="118">
        <v>50</v>
      </c>
    </row>
    <row r="120" spans="1:8" ht="48" customHeight="1" x14ac:dyDescent="0.25">
      <c r="A120" s="238"/>
      <c r="B120" s="238"/>
      <c r="C120" s="123" t="s">
        <v>315</v>
      </c>
      <c r="D120" s="117" t="s">
        <v>998</v>
      </c>
      <c r="E120" s="118" t="s">
        <v>1000</v>
      </c>
      <c r="F120" s="117" t="s">
        <v>1001</v>
      </c>
      <c r="G120" s="117" t="s">
        <v>1002</v>
      </c>
      <c r="H120" s="118">
        <v>50</v>
      </c>
    </row>
    <row r="121" spans="1:8" ht="48" customHeight="1" x14ac:dyDescent="0.25">
      <c r="A121" s="237" t="s">
        <v>452</v>
      </c>
      <c r="B121" s="237">
        <v>9</v>
      </c>
      <c r="C121" s="123" t="s">
        <v>316</v>
      </c>
      <c r="D121" s="117" t="s">
        <v>997</v>
      </c>
      <c r="E121" s="118" t="s">
        <v>999</v>
      </c>
      <c r="F121" s="117" t="s">
        <v>1001</v>
      </c>
      <c r="G121" s="117" t="s">
        <v>1002</v>
      </c>
      <c r="H121" s="118">
        <v>50</v>
      </c>
    </row>
    <row r="122" spans="1:8" ht="48" customHeight="1" x14ac:dyDescent="0.25">
      <c r="A122" s="238"/>
      <c r="B122" s="238"/>
      <c r="C122" s="123" t="s">
        <v>317</v>
      </c>
      <c r="D122" s="117" t="s">
        <v>998</v>
      </c>
      <c r="E122" s="118" t="s">
        <v>1000</v>
      </c>
      <c r="F122" s="117" t="s">
        <v>1001</v>
      </c>
      <c r="G122" s="117" t="s">
        <v>1002</v>
      </c>
      <c r="H122" s="118">
        <v>50</v>
      </c>
    </row>
    <row r="123" spans="1:8" ht="48" customHeight="1" x14ac:dyDescent="0.25">
      <c r="A123" s="237" t="s">
        <v>453</v>
      </c>
      <c r="B123" s="237">
        <v>10</v>
      </c>
      <c r="C123" s="123" t="s">
        <v>322</v>
      </c>
      <c r="D123" s="117" t="s">
        <v>997</v>
      </c>
      <c r="E123" s="118" t="s">
        <v>999</v>
      </c>
      <c r="F123" s="117" t="s">
        <v>1001</v>
      </c>
      <c r="G123" s="117" t="s">
        <v>1002</v>
      </c>
      <c r="H123" s="118">
        <v>50</v>
      </c>
    </row>
    <row r="124" spans="1:8" ht="48" customHeight="1" x14ac:dyDescent="0.25">
      <c r="A124" s="238"/>
      <c r="B124" s="238"/>
      <c r="C124" s="123" t="s">
        <v>323</v>
      </c>
      <c r="D124" s="117" t="s">
        <v>998</v>
      </c>
      <c r="E124" s="118" t="s">
        <v>1000</v>
      </c>
      <c r="F124" s="117" t="s">
        <v>1001</v>
      </c>
      <c r="G124" s="117" t="s">
        <v>1002</v>
      </c>
      <c r="H124" s="118">
        <v>50</v>
      </c>
    </row>
    <row r="125" spans="1:8" ht="48" customHeight="1" x14ac:dyDescent="0.25">
      <c r="A125" s="237" t="s">
        <v>456</v>
      </c>
      <c r="B125" s="237">
        <v>12</v>
      </c>
      <c r="C125" s="121" t="s">
        <v>383</v>
      </c>
      <c r="D125" s="117" t="s">
        <v>997</v>
      </c>
      <c r="E125" s="118" t="s">
        <v>999</v>
      </c>
      <c r="F125" s="117" t="s">
        <v>1001</v>
      </c>
      <c r="G125" s="117" t="s">
        <v>1002</v>
      </c>
      <c r="H125" s="118">
        <v>50</v>
      </c>
    </row>
    <row r="126" spans="1:8" ht="48" customHeight="1" x14ac:dyDescent="0.25">
      <c r="A126" s="238"/>
      <c r="B126" s="238"/>
      <c r="C126" s="119" t="s">
        <v>379</v>
      </c>
      <c r="D126" s="117" t="s">
        <v>998</v>
      </c>
      <c r="E126" s="118" t="s">
        <v>1000</v>
      </c>
      <c r="F126" s="117" t="s">
        <v>1001</v>
      </c>
      <c r="G126" s="117" t="s">
        <v>1002</v>
      </c>
      <c r="H126" s="118">
        <v>50</v>
      </c>
    </row>
    <row r="127" spans="1:8" ht="48" customHeight="1" x14ac:dyDescent="0.25">
      <c r="A127" s="237" t="s">
        <v>457</v>
      </c>
      <c r="B127" s="237">
        <v>12</v>
      </c>
      <c r="C127" s="119" t="s">
        <v>380</v>
      </c>
      <c r="D127" s="117" t="s">
        <v>997</v>
      </c>
      <c r="E127" s="118" t="s">
        <v>999</v>
      </c>
      <c r="F127" s="117" t="s">
        <v>1001</v>
      </c>
      <c r="G127" s="117" t="s">
        <v>1002</v>
      </c>
      <c r="H127" s="118">
        <v>50</v>
      </c>
    </row>
    <row r="128" spans="1:8" ht="48" customHeight="1" x14ac:dyDescent="0.25">
      <c r="A128" s="239"/>
      <c r="B128" s="239"/>
      <c r="C128" s="120" t="s">
        <v>381</v>
      </c>
      <c r="D128" s="117" t="s">
        <v>998</v>
      </c>
      <c r="E128" s="118" t="s">
        <v>1000</v>
      </c>
      <c r="F128" s="117" t="s">
        <v>1001</v>
      </c>
      <c r="G128" s="117" t="s">
        <v>1002</v>
      </c>
      <c r="H128" s="118">
        <v>50</v>
      </c>
    </row>
  </sheetData>
  <mergeCells count="121">
    <mergeCell ref="A8:A9"/>
    <mergeCell ref="B8:B9"/>
    <mergeCell ref="A10:A11"/>
    <mergeCell ref="B10:B11"/>
    <mergeCell ref="A12:A13"/>
    <mergeCell ref="B12:B13"/>
    <mergeCell ref="A2:A3"/>
    <mergeCell ref="B2:B3"/>
    <mergeCell ref="A4:A5"/>
    <mergeCell ref="B4:B5"/>
    <mergeCell ref="A6:A7"/>
    <mergeCell ref="B6:B7"/>
    <mergeCell ref="A20:A21"/>
    <mergeCell ref="B20:B21"/>
    <mergeCell ref="A22:A23"/>
    <mergeCell ref="B22:B23"/>
    <mergeCell ref="A24:A25"/>
    <mergeCell ref="B24:B25"/>
    <mergeCell ref="A14:A15"/>
    <mergeCell ref="B14:B15"/>
    <mergeCell ref="A16:A17"/>
    <mergeCell ref="B16:B17"/>
    <mergeCell ref="A18:A19"/>
    <mergeCell ref="B18:B19"/>
    <mergeCell ref="A32:A33"/>
    <mergeCell ref="B32:B33"/>
    <mergeCell ref="A34:A35"/>
    <mergeCell ref="B34:B35"/>
    <mergeCell ref="A36:A37"/>
    <mergeCell ref="B36:B37"/>
    <mergeCell ref="A26:A27"/>
    <mergeCell ref="B26:B27"/>
    <mergeCell ref="A28:A29"/>
    <mergeCell ref="B28:B29"/>
    <mergeCell ref="A30:A31"/>
    <mergeCell ref="B30:B31"/>
    <mergeCell ref="A44:A45"/>
    <mergeCell ref="B44:B45"/>
    <mergeCell ref="A46:A47"/>
    <mergeCell ref="B46:B47"/>
    <mergeCell ref="A48:A49"/>
    <mergeCell ref="B48:B49"/>
    <mergeCell ref="A38:A39"/>
    <mergeCell ref="B38:B39"/>
    <mergeCell ref="A40:A41"/>
    <mergeCell ref="B40:B41"/>
    <mergeCell ref="A42:A43"/>
    <mergeCell ref="B42:B43"/>
    <mergeCell ref="A56:A57"/>
    <mergeCell ref="B56:B57"/>
    <mergeCell ref="A58:A59"/>
    <mergeCell ref="B58:B59"/>
    <mergeCell ref="A60:A61"/>
    <mergeCell ref="B60:B61"/>
    <mergeCell ref="A50:A51"/>
    <mergeCell ref="B50:B51"/>
    <mergeCell ref="A52:A53"/>
    <mergeCell ref="B52:B53"/>
    <mergeCell ref="A54:A55"/>
    <mergeCell ref="B54:B55"/>
    <mergeCell ref="A68:A69"/>
    <mergeCell ref="B68:B69"/>
    <mergeCell ref="A70:A71"/>
    <mergeCell ref="B70:B71"/>
    <mergeCell ref="A72:A73"/>
    <mergeCell ref="B72:B73"/>
    <mergeCell ref="A62:A63"/>
    <mergeCell ref="B62:B63"/>
    <mergeCell ref="A64:A65"/>
    <mergeCell ref="B64:B65"/>
    <mergeCell ref="A66:A67"/>
    <mergeCell ref="B66:B67"/>
    <mergeCell ref="A80:A81"/>
    <mergeCell ref="B80:B81"/>
    <mergeCell ref="A82:A83"/>
    <mergeCell ref="B82:B83"/>
    <mergeCell ref="A84:A85"/>
    <mergeCell ref="B84:B85"/>
    <mergeCell ref="A74:A75"/>
    <mergeCell ref="B74:B75"/>
    <mergeCell ref="A76:A77"/>
    <mergeCell ref="B76:B77"/>
    <mergeCell ref="A78:A79"/>
    <mergeCell ref="B78:B79"/>
    <mergeCell ref="A94:A95"/>
    <mergeCell ref="B94:B95"/>
    <mergeCell ref="A96:A97"/>
    <mergeCell ref="B96:B97"/>
    <mergeCell ref="A98:A99"/>
    <mergeCell ref="B98:B99"/>
    <mergeCell ref="A86:A87"/>
    <mergeCell ref="B86:B87"/>
    <mergeCell ref="A88:A89"/>
    <mergeCell ref="A90:A91"/>
    <mergeCell ref="B90:B91"/>
    <mergeCell ref="A92:A93"/>
    <mergeCell ref="B92:B93"/>
    <mergeCell ref="A106:A110"/>
    <mergeCell ref="B106:B107"/>
    <mergeCell ref="A111:A114"/>
    <mergeCell ref="B112:B113"/>
    <mergeCell ref="A115:A116"/>
    <mergeCell ref="B115:B116"/>
    <mergeCell ref="A100:A101"/>
    <mergeCell ref="B100:B101"/>
    <mergeCell ref="A102:A103"/>
    <mergeCell ref="B102:B103"/>
    <mergeCell ref="A104:A105"/>
    <mergeCell ref="B104:B105"/>
    <mergeCell ref="A123:A124"/>
    <mergeCell ref="B123:B124"/>
    <mergeCell ref="A125:A126"/>
    <mergeCell ref="B125:B126"/>
    <mergeCell ref="A127:A128"/>
    <mergeCell ref="B127:B128"/>
    <mergeCell ref="A117:A118"/>
    <mergeCell ref="B117:B118"/>
    <mergeCell ref="A119:A120"/>
    <mergeCell ref="B119:B120"/>
    <mergeCell ref="A121:A122"/>
    <mergeCell ref="B121:B12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130"/>
  <sheetViews>
    <sheetView topLeftCell="A46" workbookViewId="0">
      <selection activeCell="H116" sqref="H116"/>
    </sheetView>
  </sheetViews>
  <sheetFormatPr defaultRowHeight="15" x14ac:dyDescent="0.25"/>
  <cols>
    <col min="1" max="1" width="8" style="29" customWidth="1"/>
    <col min="2" max="2" width="7" style="29" customWidth="1"/>
    <col min="3" max="3" width="11" style="31" customWidth="1"/>
    <col min="4" max="4" width="12" style="29" customWidth="1"/>
    <col min="5" max="8" width="14.85546875" style="31" customWidth="1"/>
    <col min="9" max="16384" width="9.140625" style="31"/>
  </cols>
  <sheetData>
    <row r="2" spans="1:11" s="39" customFormat="1" ht="30" customHeight="1" x14ac:dyDescent="0.2">
      <c r="A2" s="233" t="s">
        <v>463</v>
      </c>
      <c r="B2" s="233" t="s">
        <v>358</v>
      </c>
      <c r="C2" s="235" t="s">
        <v>359</v>
      </c>
      <c r="D2" s="233" t="s">
        <v>991</v>
      </c>
      <c r="E2" s="234" t="s">
        <v>985</v>
      </c>
      <c r="F2" s="234"/>
      <c r="G2" s="234"/>
      <c r="H2" s="234"/>
      <c r="I2" s="235" t="s">
        <v>983</v>
      </c>
      <c r="J2" s="235" t="s">
        <v>984</v>
      </c>
      <c r="K2" s="242" t="s">
        <v>1098</v>
      </c>
    </row>
    <row r="3" spans="1:11" s="39" customFormat="1" ht="30" customHeight="1" x14ac:dyDescent="0.2">
      <c r="A3" s="233"/>
      <c r="B3" s="233"/>
      <c r="C3" s="236"/>
      <c r="D3" s="233"/>
      <c r="E3" s="141" t="s">
        <v>987</v>
      </c>
      <c r="F3" s="141" t="s">
        <v>988</v>
      </c>
      <c r="G3" s="141" t="s">
        <v>989</v>
      </c>
      <c r="H3" s="141" t="s">
        <v>990</v>
      </c>
      <c r="I3" s="236"/>
      <c r="J3" s="236"/>
      <c r="K3" s="242"/>
    </row>
    <row r="4" spans="1:11" s="40" customFormat="1" ht="18.75" customHeight="1" x14ac:dyDescent="0.25">
      <c r="A4" s="226" t="s">
        <v>154</v>
      </c>
      <c r="B4" s="205">
        <v>1</v>
      </c>
      <c r="C4" s="133" t="s">
        <v>376</v>
      </c>
      <c r="D4" s="134">
        <v>5</v>
      </c>
      <c r="E4" s="134">
        <v>5</v>
      </c>
      <c r="F4" s="134">
        <v>5</v>
      </c>
      <c r="G4" s="114"/>
      <c r="H4" s="114"/>
      <c r="I4" s="134">
        <v>35</v>
      </c>
      <c r="J4" s="114"/>
      <c r="K4" s="134">
        <f>SUM(D4:I4)</f>
        <v>50</v>
      </c>
    </row>
    <row r="5" spans="1:11" ht="18.75" customHeight="1" x14ac:dyDescent="0.25">
      <c r="A5" s="226"/>
      <c r="B5" s="205"/>
      <c r="C5" s="132" t="s">
        <v>151</v>
      </c>
      <c r="D5" s="155">
        <v>5</v>
      </c>
      <c r="E5" s="75"/>
      <c r="F5" s="75"/>
      <c r="G5" s="134">
        <v>5</v>
      </c>
      <c r="H5" s="134">
        <v>5</v>
      </c>
      <c r="I5" s="75"/>
      <c r="J5" s="134">
        <v>35</v>
      </c>
      <c r="K5" s="134">
        <f>SUM(D5:J5)</f>
        <v>50</v>
      </c>
    </row>
    <row r="6" spans="1:11" ht="18.75" customHeight="1" x14ac:dyDescent="0.25">
      <c r="A6" s="204" t="s">
        <v>155</v>
      </c>
      <c r="B6" s="204">
        <v>1</v>
      </c>
      <c r="C6" s="132" t="s">
        <v>161</v>
      </c>
      <c r="D6" s="134">
        <v>5</v>
      </c>
      <c r="E6" s="134">
        <v>5</v>
      </c>
      <c r="F6" s="134">
        <v>5</v>
      </c>
      <c r="G6" s="114"/>
      <c r="H6" s="114"/>
      <c r="I6" s="134">
        <v>35</v>
      </c>
      <c r="J6" s="114"/>
      <c r="K6" s="134">
        <f>SUM(D6:I6)</f>
        <v>50</v>
      </c>
    </row>
    <row r="7" spans="1:11" ht="18.75" customHeight="1" x14ac:dyDescent="0.25">
      <c r="A7" s="205"/>
      <c r="B7" s="205"/>
      <c r="C7" s="132" t="s">
        <v>162</v>
      </c>
      <c r="D7" s="155">
        <v>5</v>
      </c>
      <c r="E7" s="75"/>
      <c r="F7" s="75"/>
      <c r="G7" s="134">
        <v>5</v>
      </c>
      <c r="H7" s="134">
        <v>5</v>
      </c>
      <c r="I7" s="75"/>
      <c r="J7" s="134">
        <v>35</v>
      </c>
      <c r="K7" s="134">
        <f>SUM(D7:J7)</f>
        <v>50</v>
      </c>
    </row>
    <row r="8" spans="1:11" ht="18.75" customHeight="1" x14ac:dyDescent="0.25">
      <c r="A8" s="204" t="s">
        <v>156</v>
      </c>
      <c r="B8" s="204">
        <v>2</v>
      </c>
      <c r="C8" s="132" t="s">
        <v>176</v>
      </c>
      <c r="D8" s="134">
        <v>5</v>
      </c>
      <c r="E8" s="134">
        <v>5</v>
      </c>
      <c r="F8" s="134">
        <v>5</v>
      </c>
      <c r="G8" s="114"/>
      <c r="H8" s="114"/>
      <c r="I8" s="134">
        <v>35</v>
      </c>
      <c r="J8" s="114"/>
      <c r="K8" s="134">
        <f t="shared" ref="K8" si="0">SUM(D8:I8)</f>
        <v>50</v>
      </c>
    </row>
    <row r="9" spans="1:11" ht="18.75" customHeight="1" x14ac:dyDescent="0.25">
      <c r="A9" s="205"/>
      <c r="B9" s="205"/>
      <c r="C9" s="132" t="s">
        <v>182</v>
      </c>
      <c r="D9" s="134">
        <v>5</v>
      </c>
      <c r="E9" s="75"/>
      <c r="F9" s="75"/>
      <c r="G9" s="134">
        <v>5</v>
      </c>
      <c r="H9" s="134">
        <v>5</v>
      </c>
      <c r="I9" s="75"/>
      <c r="J9" s="134">
        <v>35</v>
      </c>
      <c r="K9" s="134">
        <f>SUM(D9:J9)</f>
        <v>50</v>
      </c>
    </row>
    <row r="10" spans="1:11" ht="18.75" customHeight="1" x14ac:dyDescent="0.25">
      <c r="A10" s="212" t="s">
        <v>157</v>
      </c>
      <c r="B10" s="212">
        <v>5</v>
      </c>
      <c r="C10" s="135" t="s">
        <v>226</v>
      </c>
      <c r="D10" s="134">
        <v>5</v>
      </c>
      <c r="E10" s="134">
        <v>5</v>
      </c>
      <c r="F10" s="134">
        <v>5</v>
      </c>
      <c r="G10" s="114"/>
      <c r="H10" s="114"/>
      <c r="I10" s="134">
        <v>35</v>
      </c>
      <c r="J10" s="114"/>
      <c r="K10" s="134">
        <f t="shared" ref="K10" si="1">SUM(D10:J10)</f>
        <v>50</v>
      </c>
    </row>
    <row r="11" spans="1:11" ht="18.75" customHeight="1" x14ac:dyDescent="0.25">
      <c r="A11" s="212"/>
      <c r="B11" s="212"/>
      <c r="C11" s="134" t="s">
        <v>227</v>
      </c>
      <c r="D11" s="134">
        <v>5</v>
      </c>
      <c r="E11" s="75"/>
      <c r="F11" s="75"/>
      <c r="G11" s="134">
        <v>5</v>
      </c>
      <c r="H11" s="134">
        <v>5</v>
      </c>
      <c r="I11" s="75"/>
      <c r="J11" s="134">
        <v>35</v>
      </c>
      <c r="K11" s="134">
        <f>SUM(D11:J11)</f>
        <v>50</v>
      </c>
    </row>
    <row r="12" spans="1:11" ht="18.75" customHeight="1" x14ac:dyDescent="0.25">
      <c r="A12" s="204" t="s">
        <v>158</v>
      </c>
      <c r="B12" s="204">
        <v>2</v>
      </c>
      <c r="C12" s="132" t="s">
        <v>183</v>
      </c>
      <c r="D12" s="134">
        <v>5</v>
      </c>
      <c r="E12" s="134">
        <v>5</v>
      </c>
      <c r="F12" s="134">
        <v>5</v>
      </c>
      <c r="G12" s="114"/>
      <c r="H12" s="114"/>
      <c r="I12" s="134">
        <v>35</v>
      </c>
      <c r="J12" s="114"/>
      <c r="K12" s="134">
        <f t="shared" ref="K12:K75" si="2">SUM(D12:J12)</f>
        <v>50</v>
      </c>
    </row>
    <row r="13" spans="1:11" ht="18.75" customHeight="1" x14ac:dyDescent="0.25">
      <c r="A13" s="205"/>
      <c r="B13" s="205"/>
      <c r="C13" s="132" t="s">
        <v>184</v>
      </c>
      <c r="D13" s="134">
        <v>5</v>
      </c>
      <c r="E13" s="75"/>
      <c r="F13" s="75"/>
      <c r="G13" s="134">
        <v>5</v>
      </c>
      <c r="H13" s="134">
        <v>5</v>
      </c>
      <c r="I13" s="75"/>
      <c r="J13" s="134">
        <v>35</v>
      </c>
      <c r="K13" s="134">
        <f t="shared" si="2"/>
        <v>50</v>
      </c>
    </row>
    <row r="14" spans="1:11" ht="18.75" customHeight="1" x14ac:dyDescent="0.25">
      <c r="A14" s="204" t="s">
        <v>159</v>
      </c>
      <c r="B14" s="204">
        <v>2</v>
      </c>
      <c r="C14" s="132" t="s">
        <v>185</v>
      </c>
      <c r="D14" s="134">
        <v>5</v>
      </c>
      <c r="E14" s="134">
        <v>5</v>
      </c>
      <c r="F14" s="134">
        <v>5</v>
      </c>
      <c r="G14" s="114"/>
      <c r="H14" s="114"/>
      <c r="I14" s="134">
        <v>35</v>
      </c>
      <c r="J14" s="114"/>
      <c r="K14" s="134">
        <f t="shared" si="2"/>
        <v>50</v>
      </c>
    </row>
    <row r="15" spans="1:11" ht="18.75" customHeight="1" x14ac:dyDescent="0.25">
      <c r="A15" s="205"/>
      <c r="B15" s="205"/>
      <c r="C15" s="132" t="s">
        <v>186</v>
      </c>
      <c r="D15" s="134">
        <v>5</v>
      </c>
      <c r="E15" s="75"/>
      <c r="F15" s="75"/>
      <c r="G15" s="134">
        <v>5</v>
      </c>
      <c r="H15" s="134">
        <v>5</v>
      </c>
      <c r="I15" s="75"/>
      <c r="J15" s="134">
        <v>35</v>
      </c>
      <c r="K15" s="134">
        <f t="shared" si="2"/>
        <v>50</v>
      </c>
    </row>
    <row r="16" spans="1:11" ht="18.75" customHeight="1" x14ac:dyDescent="0.25">
      <c r="A16" s="204" t="s">
        <v>160</v>
      </c>
      <c r="B16" s="204">
        <v>1</v>
      </c>
      <c r="C16" s="132" t="s">
        <v>167</v>
      </c>
      <c r="D16" s="134">
        <v>5</v>
      </c>
      <c r="E16" s="134">
        <v>5</v>
      </c>
      <c r="F16" s="134">
        <v>5</v>
      </c>
      <c r="G16" s="114"/>
      <c r="H16" s="114"/>
      <c r="I16" s="134">
        <v>35</v>
      </c>
      <c r="J16" s="114"/>
      <c r="K16" s="134">
        <f t="shared" si="2"/>
        <v>50</v>
      </c>
    </row>
    <row r="17" spans="1:11" ht="18.75" customHeight="1" x14ac:dyDescent="0.25">
      <c r="A17" s="205"/>
      <c r="B17" s="205"/>
      <c r="C17" s="132" t="s">
        <v>377</v>
      </c>
      <c r="D17" s="134">
        <v>5</v>
      </c>
      <c r="E17" s="75"/>
      <c r="F17" s="75"/>
      <c r="G17" s="134">
        <v>5</v>
      </c>
      <c r="H17" s="134">
        <v>5</v>
      </c>
      <c r="I17" s="75"/>
      <c r="J17" s="134">
        <v>35</v>
      </c>
      <c r="K17" s="134">
        <f t="shared" si="2"/>
        <v>50</v>
      </c>
    </row>
    <row r="18" spans="1:11" ht="18.75" customHeight="1" x14ac:dyDescent="0.25">
      <c r="A18" s="212" t="s">
        <v>166</v>
      </c>
      <c r="B18" s="212">
        <v>1</v>
      </c>
      <c r="C18" s="135" t="s">
        <v>171</v>
      </c>
      <c r="D18" s="134">
        <v>5</v>
      </c>
      <c r="E18" s="134">
        <v>5</v>
      </c>
      <c r="F18" s="134">
        <v>5</v>
      </c>
      <c r="G18" s="114"/>
      <c r="H18" s="114"/>
      <c r="I18" s="134">
        <v>35</v>
      </c>
      <c r="J18" s="114"/>
      <c r="K18" s="134">
        <f t="shared" si="2"/>
        <v>50</v>
      </c>
    </row>
    <row r="19" spans="1:11" ht="18.75" customHeight="1" x14ac:dyDescent="0.25">
      <c r="A19" s="212"/>
      <c r="B19" s="212"/>
      <c r="C19" s="135" t="s">
        <v>378</v>
      </c>
      <c r="D19" s="134">
        <v>5</v>
      </c>
      <c r="E19" s="75"/>
      <c r="F19" s="75"/>
      <c r="G19" s="134">
        <v>5</v>
      </c>
      <c r="H19" s="134">
        <v>5</v>
      </c>
      <c r="I19" s="75"/>
      <c r="J19" s="134">
        <v>35</v>
      </c>
      <c r="K19" s="134">
        <f t="shared" si="2"/>
        <v>50</v>
      </c>
    </row>
    <row r="20" spans="1:11" ht="18.75" customHeight="1" x14ac:dyDescent="0.25">
      <c r="A20" s="204" t="s">
        <v>170</v>
      </c>
      <c r="B20" s="204">
        <v>1</v>
      </c>
      <c r="C20" s="135" t="s">
        <v>175</v>
      </c>
      <c r="D20" s="134">
        <v>5</v>
      </c>
      <c r="E20" s="134">
        <v>5</v>
      </c>
      <c r="F20" s="134">
        <v>5</v>
      </c>
      <c r="G20" s="114"/>
      <c r="H20" s="114"/>
      <c r="I20" s="134">
        <v>35</v>
      </c>
      <c r="J20" s="114"/>
      <c r="K20" s="134">
        <f t="shared" si="2"/>
        <v>50</v>
      </c>
    </row>
    <row r="21" spans="1:11" ht="18.75" customHeight="1" x14ac:dyDescent="0.25">
      <c r="A21" s="205"/>
      <c r="B21" s="205"/>
      <c r="C21" s="132" t="s">
        <v>383</v>
      </c>
      <c r="D21" s="134">
        <v>5</v>
      </c>
      <c r="E21" s="75"/>
      <c r="F21" s="75"/>
      <c r="G21" s="134">
        <v>5</v>
      </c>
      <c r="H21" s="134">
        <v>5</v>
      </c>
      <c r="I21" s="75"/>
      <c r="J21" s="134">
        <v>35</v>
      </c>
      <c r="K21" s="134">
        <f t="shared" si="2"/>
        <v>50</v>
      </c>
    </row>
    <row r="22" spans="1:11" ht="18.75" customHeight="1" x14ac:dyDescent="0.25">
      <c r="A22" s="204" t="s">
        <v>174</v>
      </c>
      <c r="B22" s="204">
        <v>3</v>
      </c>
      <c r="C22" s="148" t="s">
        <v>190</v>
      </c>
      <c r="D22" s="134">
        <v>5</v>
      </c>
      <c r="E22" s="134">
        <v>5</v>
      </c>
      <c r="F22" s="134">
        <v>5</v>
      </c>
      <c r="G22" s="114"/>
      <c r="H22" s="114"/>
      <c r="I22" s="134">
        <v>35</v>
      </c>
      <c r="J22" s="114"/>
      <c r="K22" s="134">
        <f t="shared" si="2"/>
        <v>50</v>
      </c>
    </row>
    <row r="23" spans="1:11" ht="18.75" customHeight="1" x14ac:dyDescent="0.25">
      <c r="A23" s="205"/>
      <c r="B23" s="205"/>
      <c r="C23" s="148" t="s">
        <v>191</v>
      </c>
      <c r="D23" s="134">
        <v>5</v>
      </c>
      <c r="E23" s="75"/>
      <c r="F23" s="75"/>
      <c r="G23" s="134">
        <v>5</v>
      </c>
      <c r="H23" s="134">
        <v>5</v>
      </c>
      <c r="I23" s="75"/>
      <c r="J23" s="134">
        <v>35</v>
      </c>
      <c r="K23" s="134">
        <f t="shared" si="2"/>
        <v>50</v>
      </c>
    </row>
    <row r="24" spans="1:11" ht="18.75" customHeight="1" x14ac:dyDescent="0.25">
      <c r="A24" s="204" t="s">
        <v>179</v>
      </c>
      <c r="B24" s="204">
        <v>2</v>
      </c>
      <c r="C24" s="132" t="s">
        <v>187</v>
      </c>
      <c r="D24" s="134">
        <v>5</v>
      </c>
      <c r="E24" s="134">
        <v>5</v>
      </c>
      <c r="F24" s="134">
        <v>5</v>
      </c>
      <c r="G24" s="114"/>
      <c r="H24" s="114"/>
      <c r="I24" s="134">
        <v>35</v>
      </c>
      <c r="J24" s="114"/>
      <c r="K24" s="134">
        <f t="shared" si="2"/>
        <v>50</v>
      </c>
    </row>
    <row r="25" spans="1:11" ht="18.75" customHeight="1" x14ac:dyDescent="0.25">
      <c r="A25" s="205"/>
      <c r="B25" s="205"/>
      <c r="C25" s="132" t="s">
        <v>188</v>
      </c>
      <c r="D25" s="134">
        <v>5</v>
      </c>
      <c r="E25" s="75"/>
      <c r="F25" s="75"/>
      <c r="G25" s="134">
        <v>5</v>
      </c>
      <c r="H25" s="134">
        <v>5</v>
      </c>
      <c r="I25" s="75"/>
      <c r="J25" s="134">
        <v>35</v>
      </c>
      <c r="K25" s="134">
        <f t="shared" si="2"/>
        <v>50</v>
      </c>
    </row>
    <row r="26" spans="1:11" ht="18.75" customHeight="1" x14ac:dyDescent="0.25">
      <c r="A26" s="204" t="s">
        <v>194</v>
      </c>
      <c r="B26" s="204">
        <v>1</v>
      </c>
      <c r="C26" s="132" t="s">
        <v>381</v>
      </c>
      <c r="D26" s="134">
        <v>5</v>
      </c>
      <c r="E26" s="134">
        <v>5</v>
      </c>
      <c r="F26" s="134">
        <v>5</v>
      </c>
      <c r="G26" s="114"/>
      <c r="H26" s="114"/>
      <c r="I26" s="134">
        <v>35</v>
      </c>
      <c r="J26" s="114"/>
      <c r="K26" s="134">
        <f t="shared" si="2"/>
        <v>50</v>
      </c>
    </row>
    <row r="27" spans="1:11" ht="18.75" customHeight="1" x14ac:dyDescent="0.25">
      <c r="A27" s="205"/>
      <c r="B27" s="205"/>
      <c r="C27" s="132" t="s">
        <v>382</v>
      </c>
      <c r="D27" s="134">
        <v>5</v>
      </c>
      <c r="E27" s="75"/>
      <c r="F27" s="75"/>
      <c r="G27" s="134">
        <v>5</v>
      </c>
      <c r="H27" s="134">
        <v>5</v>
      </c>
      <c r="I27" s="75"/>
      <c r="J27" s="134">
        <v>35</v>
      </c>
      <c r="K27" s="134">
        <f t="shared" si="2"/>
        <v>50</v>
      </c>
    </row>
    <row r="28" spans="1:11" ht="18.75" customHeight="1" x14ac:dyDescent="0.25">
      <c r="A28" s="204" t="s">
        <v>394</v>
      </c>
      <c r="B28" s="204">
        <v>2</v>
      </c>
      <c r="C28" s="132" t="s">
        <v>189</v>
      </c>
      <c r="D28" s="134">
        <v>5</v>
      </c>
      <c r="E28" s="134">
        <v>5</v>
      </c>
      <c r="F28" s="134">
        <v>5</v>
      </c>
      <c r="G28" s="114"/>
      <c r="H28" s="114"/>
      <c r="I28" s="134">
        <v>35</v>
      </c>
      <c r="J28" s="114"/>
      <c r="K28" s="134">
        <f t="shared" si="2"/>
        <v>50</v>
      </c>
    </row>
    <row r="29" spans="1:11" ht="18.75" customHeight="1" x14ac:dyDescent="0.25">
      <c r="A29" s="205"/>
      <c r="B29" s="205"/>
      <c r="C29" s="132" t="s">
        <v>395</v>
      </c>
      <c r="D29" s="134">
        <v>5</v>
      </c>
      <c r="E29" s="75"/>
      <c r="F29" s="75"/>
      <c r="G29" s="134">
        <v>5</v>
      </c>
      <c r="H29" s="134">
        <v>5</v>
      </c>
      <c r="I29" s="75"/>
      <c r="J29" s="134">
        <v>35</v>
      </c>
      <c r="K29" s="134">
        <f t="shared" si="2"/>
        <v>50</v>
      </c>
    </row>
    <row r="30" spans="1:11" ht="18.75" customHeight="1" x14ac:dyDescent="0.25">
      <c r="A30" s="204" t="s">
        <v>199</v>
      </c>
      <c r="B30" s="204">
        <v>5</v>
      </c>
      <c r="C30" s="132" t="s">
        <v>228</v>
      </c>
      <c r="D30" s="134">
        <v>5</v>
      </c>
      <c r="E30" s="134">
        <v>5</v>
      </c>
      <c r="F30" s="134">
        <v>5</v>
      </c>
      <c r="G30" s="114"/>
      <c r="H30" s="114"/>
      <c r="I30" s="134">
        <v>35</v>
      </c>
      <c r="J30" s="114"/>
      <c r="K30" s="134">
        <f t="shared" si="2"/>
        <v>50</v>
      </c>
    </row>
    <row r="31" spans="1:11" ht="18.75" customHeight="1" x14ac:dyDescent="0.25">
      <c r="A31" s="205"/>
      <c r="B31" s="205"/>
      <c r="C31" s="132" t="s">
        <v>229</v>
      </c>
      <c r="D31" s="134">
        <v>5</v>
      </c>
      <c r="E31" s="75"/>
      <c r="F31" s="75"/>
      <c r="G31" s="134">
        <v>5</v>
      </c>
      <c r="H31" s="134">
        <v>5</v>
      </c>
      <c r="I31" s="75"/>
      <c r="J31" s="134">
        <v>35</v>
      </c>
      <c r="K31" s="134">
        <f t="shared" si="2"/>
        <v>50</v>
      </c>
    </row>
    <row r="32" spans="1:11" ht="18.75" customHeight="1" x14ac:dyDescent="0.25">
      <c r="A32" s="204" t="s">
        <v>202</v>
      </c>
      <c r="B32" s="204">
        <v>4</v>
      </c>
      <c r="C32" s="132" t="s">
        <v>192</v>
      </c>
      <c r="D32" s="134">
        <v>5</v>
      </c>
      <c r="E32" s="134">
        <v>5</v>
      </c>
      <c r="F32" s="134">
        <v>5</v>
      </c>
      <c r="G32" s="114"/>
      <c r="H32" s="114"/>
      <c r="I32" s="134">
        <v>35</v>
      </c>
      <c r="J32" s="114"/>
      <c r="K32" s="134">
        <f t="shared" si="2"/>
        <v>50</v>
      </c>
    </row>
    <row r="33" spans="1:11" ht="18.75" customHeight="1" x14ac:dyDescent="0.25">
      <c r="A33" s="205"/>
      <c r="B33" s="205"/>
      <c r="C33" s="132" t="s">
        <v>193</v>
      </c>
      <c r="D33" s="134">
        <v>5</v>
      </c>
      <c r="E33" s="75"/>
      <c r="F33" s="75"/>
      <c r="G33" s="134">
        <v>5</v>
      </c>
      <c r="H33" s="134">
        <v>5</v>
      </c>
      <c r="I33" s="75"/>
      <c r="J33" s="134">
        <v>35</v>
      </c>
      <c r="K33" s="134">
        <f t="shared" si="2"/>
        <v>50</v>
      </c>
    </row>
    <row r="34" spans="1:11" ht="18.75" customHeight="1" x14ac:dyDescent="0.25">
      <c r="A34" s="204" t="s">
        <v>205</v>
      </c>
      <c r="B34" s="204">
        <v>4</v>
      </c>
      <c r="C34" s="132" t="s">
        <v>219</v>
      </c>
      <c r="D34" s="134">
        <v>5</v>
      </c>
      <c r="E34" s="134">
        <v>5</v>
      </c>
      <c r="F34" s="134">
        <v>5</v>
      </c>
      <c r="G34" s="114"/>
      <c r="H34" s="114"/>
      <c r="I34" s="134">
        <v>35</v>
      </c>
      <c r="J34" s="114"/>
      <c r="K34" s="134">
        <f t="shared" si="2"/>
        <v>50</v>
      </c>
    </row>
    <row r="35" spans="1:11" ht="18.75" customHeight="1" x14ac:dyDescent="0.25">
      <c r="A35" s="205"/>
      <c r="B35" s="205"/>
      <c r="C35" s="132" t="s">
        <v>220</v>
      </c>
      <c r="D35" s="134">
        <v>5</v>
      </c>
      <c r="E35" s="75"/>
      <c r="F35" s="75"/>
      <c r="G35" s="134">
        <v>5</v>
      </c>
      <c r="H35" s="134">
        <v>5</v>
      </c>
      <c r="I35" s="75"/>
      <c r="J35" s="134">
        <v>35</v>
      </c>
      <c r="K35" s="134">
        <f t="shared" si="2"/>
        <v>50</v>
      </c>
    </row>
    <row r="36" spans="1:11" ht="18.75" customHeight="1" x14ac:dyDescent="0.25">
      <c r="A36" s="204" t="s">
        <v>208</v>
      </c>
      <c r="B36" s="204">
        <v>5</v>
      </c>
      <c r="C36" s="132" t="s">
        <v>230</v>
      </c>
      <c r="D36" s="134">
        <v>5</v>
      </c>
      <c r="E36" s="134">
        <v>5</v>
      </c>
      <c r="F36" s="134">
        <v>5</v>
      </c>
      <c r="G36" s="114"/>
      <c r="H36" s="114"/>
      <c r="I36" s="134">
        <v>35</v>
      </c>
      <c r="J36" s="114"/>
      <c r="K36" s="134">
        <f t="shared" si="2"/>
        <v>50</v>
      </c>
    </row>
    <row r="37" spans="1:11" ht="18.75" customHeight="1" x14ac:dyDescent="0.25">
      <c r="A37" s="205"/>
      <c r="B37" s="205"/>
      <c r="C37" s="132" t="s">
        <v>231</v>
      </c>
      <c r="D37" s="134">
        <v>5</v>
      </c>
      <c r="E37" s="75"/>
      <c r="F37" s="75"/>
      <c r="G37" s="134">
        <v>5</v>
      </c>
      <c r="H37" s="134">
        <v>5</v>
      </c>
      <c r="I37" s="75"/>
      <c r="J37" s="134">
        <v>35</v>
      </c>
      <c r="K37" s="134">
        <f t="shared" si="2"/>
        <v>50</v>
      </c>
    </row>
    <row r="38" spans="1:11" ht="18.75" customHeight="1" x14ac:dyDescent="0.25">
      <c r="A38" s="204" t="s">
        <v>211</v>
      </c>
      <c r="B38" s="204">
        <v>1</v>
      </c>
      <c r="C38" s="132" t="s">
        <v>384</v>
      </c>
      <c r="D38" s="134">
        <v>5</v>
      </c>
      <c r="E38" s="134">
        <v>5</v>
      </c>
      <c r="F38" s="134">
        <v>5</v>
      </c>
      <c r="G38" s="114"/>
      <c r="H38" s="114"/>
      <c r="I38" s="134">
        <v>35</v>
      </c>
      <c r="J38" s="114"/>
      <c r="K38" s="134">
        <f t="shared" si="2"/>
        <v>50</v>
      </c>
    </row>
    <row r="39" spans="1:11" ht="18.75" customHeight="1" x14ac:dyDescent="0.25">
      <c r="A39" s="205"/>
      <c r="B39" s="205"/>
      <c r="C39" s="137" t="s">
        <v>385</v>
      </c>
      <c r="D39" s="134">
        <v>5</v>
      </c>
      <c r="E39" s="75"/>
      <c r="F39" s="75"/>
      <c r="G39" s="134">
        <v>5</v>
      </c>
      <c r="H39" s="134">
        <v>5</v>
      </c>
      <c r="I39" s="75"/>
      <c r="J39" s="134">
        <v>35</v>
      </c>
      <c r="K39" s="134">
        <f t="shared" si="2"/>
        <v>50</v>
      </c>
    </row>
    <row r="40" spans="1:11" ht="18.75" customHeight="1" x14ac:dyDescent="0.25">
      <c r="A40" s="204" t="s">
        <v>214</v>
      </c>
      <c r="B40" s="204">
        <v>2</v>
      </c>
      <c r="C40" s="132" t="s">
        <v>396</v>
      </c>
      <c r="D40" s="134">
        <v>5</v>
      </c>
      <c r="E40" s="134">
        <v>5</v>
      </c>
      <c r="F40" s="134">
        <v>5</v>
      </c>
      <c r="G40" s="114"/>
      <c r="H40" s="114"/>
      <c r="I40" s="134">
        <v>35</v>
      </c>
      <c r="J40" s="114"/>
      <c r="K40" s="134">
        <f t="shared" si="2"/>
        <v>50</v>
      </c>
    </row>
    <row r="41" spans="1:11" ht="18.75" customHeight="1" x14ac:dyDescent="0.25">
      <c r="A41" s="205"/>
      <c r="B41" s="205"/>
      <c r="C41" s="132" t="s">
        <v>397</v>
      </c>
      <c r="D41" s="134">
        <v>5</v>
      </c>
      <c r="E41" s="75"/>
      <c r="F41" s="75"/>
      <c r="G41" s="134">
        <v>5</v>
      </c>
      <c r="H41" s="134">
        <v>5</v>
      </c>
      <c r="I41" s="75"/>
      <c r="J41" s="134">
        <v>35</v>
      </c>
      <c r="K41" s="134">
        <f t="shared" si="2"/>
        <v>50</v>
      </c>
    </row>
    <row r="42" spans="1:11" ht="18.75" customHeight="1" x14ac:dyDescent="0.25">
      <c r="A42" s="204" t="s">
        <v>375</v>
      </c>
      <c r="B42" s="204">
        <v>1</v>
      </c>
      <c r="C42" s="135" t="s">
        <v>386</v>
      </c>
      <c r="D42" s="134">
        <v>5</v>
      </c>
      <c r="E42" s="134">
        <v>5</v>
      </c>
      <c r="F42" s="134">
        <v>5</v>
      </c>
      <c r="G42" s="114"/>
      <c r="H42" s="114"/>
      <c r="I42" s="134">
        <v>35</v>
      </c>
      <c r="J42" s="114"/>
      <c r="K42" s="134">
        <f t="shared" si="2"/>
        <v>50</v>
      </c>
    </row>
    <row r="43" spans="1:11" ht="18.75" customHeight="1" x14ac:dyDescent="0.25">
      <c r="A43" s="205"/>
      <c r="B43" s="205"/>
      <c r="C43" s="137" t="s">
        <v>387</v>
      </c>
      <c r="D43" s="134">
        <v>5</v>
      </c>
      <c r="E43" s="75"/>
      <c r="F43" s="75"/>
      <c r="G43" s="134">
        <v>5</v>
      </c>
      <c r="H43" s="134">
        <v>5</v>
      </c>
      <c r="I43" s="75"/>
      <c r="J43" s="134">
        <v>35</v>
      </c>
      <c r="K43" s="134">
        <f t="shared" si="2"/>
        <v>50</v>
      </c>
    </row>
    <row r="44" spans="1:11" ht="18.75" customHeight="1" x14ac:dyDescent="0.25">
      <c r="A44" s="212" t="s">
        <v>243</v>
      </c>
      <c r="B44" s="212">
        <v>4</v>
      </c>
      <c r="C44" s="132" t="s">
        <v>221</v>
      </c>
      <c r="D44" s="134">
        <v>5</v>
      </c>
      <c r="E44" s="134">
        <v>5</v>
      </c>
      <c r="F44" s="134">
        <v>5</v>
      </c>
      <c r="G44" s="114"/>
      <c r="H44" s="114"/>
      <c r="I44" s="134">
        <v>35</v>
      </c>
      <c r="J44" s="114"/>
      <c r="K44" s="134">
        <f t="shared" si="2"/>
        <v>50</v>
      </c>
    </row>
    <row r="45" spans="1:11" ht="18.75" customHeight="1" x14ac:dyDescent="0.25">
      <c r="A45" s="212"/>
      <c r="B45" s="212"/>
      <c r="C45" s="132" t="s">
        <v>222</v>
      </c>
      <c r="D45" s="134">
        <v>5</v>
      </c>
      <c r="E45" s="75"/>
      <c r="F45" s="75"/>
      <c r="G45" s="134">
        <v>5</v>
      </c>
      <c r="H45" s="134">
        <v>5</v>
      </c>
      <c r="I45" s="75"/>
      <c r="J45" s="134">
        <v>35</v>
      </c>
      <c r="K45" s="134">
        <f t="shared" si="2"/>
        <v>50</v>
      </c>
    </row>
    <row r="46" spans="1:11" ht="18.75" customHeight="1" x14ac:dyDescent="0.25">
      <c r="A46" s="204" t="s">
        <v>246</v>
      </c>
      <c r="B46" s="204">
        <v>1</v>
      </c>
      <c r="C46" s="132" t="s">
        <v>388</v>
      </c>
      <c r="D46" s="134">
        <v>5</v>
      </c>
      <c r="E46" s="134">
        <v>5</v>
      </c>
      <c r="F46" s="134">
        <v>5</v>
      </c>
      <c r="G46" s="114"/>
      <c r="H46" s="114"/>
      <c r="I46" s="134">
        <v>35</v>
      </c>
      <c r="J46" s="114"/>
      <c r="K46" s="134">
        <f t="shared" si="2"/>
        <v>50</v>
      </c>
    </row>
    <row r="47" spans="1:11" ht="18.75" customHeight="1" x14ac:dyDescent="0.25">
      <c r="A47" s="205"/>
      <c r="B47" s="205"/>
      <c r="C47" s="132" t="s">
        <v>389</v>
      </c>
      <c r="D47" s="134">
        <v>5</v>
      </c>
      <c r="E47" s="75"/>
      <c r="F47" s="75"/>
      <c r="G47" s="134">
        <v>5</v>
      </c>
      <c r="H47" s="134">
        <v>5</v>
      </c>
      <c r="I47" s="75"/>
      <c r="J47" s="134">
        <v>35</v>
      </c>
      <c r="K47" s="134">
        <f t="shared" si="2"/>
        <v>50</v>
      </c>
    </row>
    <row r="48" spans="1:11" ht="18.75" customHeight="1" x14ac:dyDescent="0.25">
      <c r="A48" s="212" t="s">
        <v>249</v>
      </c>
      <c r="B48" s="212">
        <v>4</v>
      </c>
      <c r="C48" s="135" t="s">
        <v>223</v>
      </c>
      <c r="D48" s="134">
        <v>5</v>
      </c>
      <c r="E48" s="134">
        <v>5</v>
      </c>
      <c r="F48" s="134">
        <v>5</v>
      </c>
      <c r="G48" s="114"/>
      <c r="H48" s="114"/>
      <c r="I48" s="134">
        <v>35</v>
      </c>
      <c r="J48" s="114"/>
      <c r="K48" s="134">
        <f t="shared" si="2"/>
        <v>50</v>
      </c>
    </row>
    <row r="49" spans="1:11" ht="18.75" customHeight="1" x14ac:dyDescent="0.25">
      <c r="A49" s="212"/>
      <c r="B49" s="212"/>
      <c r="C49" s="135" t="s">
        <v>224</v>
      </c>
      <c r="D49" s="134">
        <v>5</v>
      </c>
      <c r="E49" s="75"/>
      <c r="F49" s="75"/>
      <c r="G49" s="134">
        <v>5</v>
      </c>
      <c r="H49" s="134">
        <v>5</v>
      </c>
      <c r="I49" s="75"/>
      <c r="J49" s="134">
        <v>35</v>
      </c>
      <c r="K49" s="134">
        <f t="shared" si="2"/>
        <v>50</v>
      </c>
    </row>
    <row r="50" spans="1:11" ht="18.75" customHeight="1" x14ac:dyDescent="0.25">
      <c r="A50" s="204" t="s">
        <v>252</v>
      </c>
      <c r="B50" s="204">
        <v>4</v>
      </c>
      <c r="C50" s="132" t="s">
        <v>225</v>
      </c>
      <c r="D50" s="134">
        <v>5</v>
      </c>
      <c r="E50" s="134">
        <v>5</v>
      </c>
      <c r="F50" s="134">
        <v>5</v>
      </c>
      <c r="G50" s="114"/>
      <c r="H50" s="114"/>
      <c r="I50" s="134">
        <v>35</v>
      </c>
      <c r="J50" s="114"/>
      <c r="K50" s="134">
        <f t="shared" si="2"/>
        <v>50</v>
      </c>
    </row>
    <row r="51" spans="1:11" ht="18.75" customHeight="1" x14ac:dyDescent="0.25">
      <c r="A51" s="205"/>
      <c r="B51" s="205"/>
      <c r="C51" s="132" t="s">
        <v>414</v>
      </c>
      <c r="D51" s="134">
        <v>5</v>
      </c>
      <c r="E51" s="75"/>
      <c r="F51" s="75"/>
      <c r="G51" s="134">
        <v>5</v>
      </c>
      <c r="H51" s="134">
        <v>5</v>
      </c>
      <c r="I51" s="75"/>
      <c r="J51" s="134">
        <v>35</v>
      </c>
      <c r="K51" s="134">
        <f t="shared" si="2"/>
        <v>50</v>
      </c>
    </row>
    <row r="52" spans="1:11" ht="18.75" customHeight="1" x14ac:dyDescent="0.25">
      <c r="A52" s="204" t="s">
        <v>255</v>
      </c>
      <c r="B52" s="204">
        <v>1</v>
      </c>
      <c r="C52" s="132" t="s">
        <v>390</v>
      </c>
      <c r="D52" s="134">
        <v>5</v>
      </c>
      <c r="E52" s="134">
        <v>5</v>
      </c>
      <c r="F52" s="134">
        <v>5</v>
      </c>
      <c r="G52" s="114"/>
      <c r="H52" s="114"/>
      <c r="I52" s="134">
        <v>35</v>
      </c>
      <c r="J52" s="114"/>
      <c r="K52" s="134">
        <f t="shared" si="2"/>
        <v>50</v>
      </c>
    </row>
    <row r="53" spans="1:11" ht="18.75" customHeight="1" x14ac:dyDescent="0.25">
      <c r="A53" s="205"/>
      <c r="B53" s="205"/>
      <c r="C53" s="132" t="s">
        <v>391</v>
      </c>
      <c r="D53" s="134">
        <v>5</v>
      </c>
      <c r="E53" s="75"/>
      <c r="F53" s="75"/>
      <c r="G53" s="134">
        <v>5</v>
      </c>
      <c r="H53" s="134">
        <v>5</v>
      </c>
      <c r="I53" s="75"/>
      <c r="J53" s="134">
        <v>35</v>
      </c>
      <c r="K53" s="134">
        <f t="shared" si="2"/>
        <v>50</v>
      </c>
    </row>
    <row r="54" spans="1:11" ht="18.75" customHeight="1" x14ac:dyDescent="0.25">
      <c r="A54" s="204" t="s">
        <v>258</v>
      </c>
      <c r="B54" s="204">
        <v>4</v>
      </c>
      <c r="C54" s="132" t="s">
        <v>415</v>
      </c>
      <c r="D54" s="134">
        <v>5</v>
      </c>
      <c r="E54" s="134">
        <v>5</v>
      </c>
      <c r="F54" s="134">
        <v>5</v>
      </c>
      <c r="G54" s="114"/>
      <c r="H54" s="114"/>
      <c r="I54" s="134">
        <v>35</v>
      </c>
      <c r="J54" s="114"/>
      <c r="K54" s="134">
        <f t="shared" si="2"/>
        <v>50</v>
      </c>
    </row>
    <row r="55" spans="1:11" ht="18.75" customHeight="1" x14ac:dyDescent="0.25">
      <c r="A55" s="205"/>
      <c r="B55" s="205"/>
      <c r="C55" s="132" t="s">
        <v>416</v>
      </c>
      <c r="D55" s="134">
        <v>5</v>
      </c>
      <c r="E55" s="75"/>
      <c r="F55" s="75"/>
      <c r="G55" s="134">
        <v>5</v>
      </c>
      <c r="H55" s="134">
        <v>5</v>
      </c>
      <c r="I55" s="75"/>
      <c r="J55" s="134">
        <v>35</v>
      </c>
      <c r="K55" s="134">
        <f t="shared" si="2"/>
        <v>50</v>
      </c>
    </row>
    <row r="56" spans="1:11" ht="18.75" customHeight="1" x14ac:dyDescent="0.25">
      <c r="A56" s="204" t="s">
        <v>261</v>
      </c>
      <c r="B56" s="204">
        <v>2</v>
      </c>
      <c r="C56" s="132" t="s">
        <v>398</v>
      </c>
      <c r="D56" s="134">
        <v>5</v>
      </c>
      <c r="E56" s="134">
        <v>5</v>
      </c>
      <c r="F56" s="134">
        <v>5</v>
      </c>
      <c r="G56" s="114"/>
      <c r="H56" s="114"/>
      <c r="I56" s="134">
        <v>35</v>
      </c>
      <c r="J56" s="114"/>
      <c r="K56" s="134">
        <f t="shared" si="2"/>
        <v>50</v>
      </c>
    </row>
    <row r="57" spans="1:11" ht="18.75" customHeight="1" x14ac:dyDescent="0.25">
      <c r="A57" s="205"/>
      <c r="B57" s="205"/>
      <c r="C57" s="139" t="s">
        <v>399</v>
      </c>
      <c r="D57" s="134">
        <v>5</v>
      </c>
      <c r="E57" s="75"/>
      <c r="F57" s="75"/>
      <c r="G57" s="134">
        <v>5</v>
      </c>
      <c r="H57" s="134">
        <v>5</v>
      </c>
      <c r="I57" s="75"/>
      <c r="J57" s="134">
        <v>35</v>
      </c>
      <c r="K57" s="134">
        <f t="shared" si="2"/>
        <v>50</v>
      </c>
    </row>
    <row r="58" spans="1:11" ht="18.75" customHeight="1" x14ac:dyDescent="0.25">
      <c r="A58" s="204" t="s">
        <v>262</v>
      </c>
      <c r="B58" s="204">
        <v>1</v>
      </c>
      <c r="C58" s="132" t="s">
        <v>392</v>
      </c>
      <c r="D58" s="134">
        <v>5</v>
      </c>
      <c r="E58" s="134">
        <v>5</v>
      </c>
      <c r="F58" s="134">
        <v>5</v>
      </c>
      <c r="G58" s="114"/>
      <c r="H58" s="114"/>
      <c r="I58" s="134">
        <v>35</v>
      </c>
      <c r="J58" s="114"/>
      <c r="K58" s="134">
        <f t="shared" si="2"/>
        <v>50</v>
      </c>
    </row>
    <row r="59" spans="1:11" ht="18.75" customHeight="1" x14ac:dyDescent="0.25">
      <c r="A59" s="205"/>
      <c r="B59" s="205"/>
      <c r="C59" s="132" t="s">
        <v>393</v>
      </c>
      <c r="D59" s="134">
        <v>5</v>
      </c>
      <c r="E59" s="75"/>
      <c r="F59" s="75"/>
      <c r="G59" s="134">
        <v>5</v>
      </c>
      <c r="H59" s="134">
        <v>5</v>
      </c>
      <c r="I59" s="75"/>
      <c r="J59" s="134">
        <v>35</v>
      </c>
      <c r="K59" s="134">
        <f t="shared" si="2"/>
        <v>50</v>
      </c>
    </row>
    <row r="60" spans="1:11" ht="18.75" customHeight="1" x14ac:dyDescent="0.25">
      <c r="A60" s="204" t="s">
        <v>265</v>
      </c>
      <c r="B60" s="204">
        <v>2</v>
      </c>
      <c r="C60" s="135" t="s">
        <v>400</v>
      </c>
      <c r="D60" s="134">
        <v>5</v>
      </c>
      <c r="E60" s="134">
        <v>5</v>
      </c>
      <c r="F60" s="134">
        <v>5</v>
      </c>
      <c r="G60" s="114"/>
      <c r="H60" s="114"/>
      <c r="I60" s="134">
        <v>35</v>
      </c>
      <c r="J60" s="114"/>
      <c r="K60" s="134">
        <f t="shared" si="2"/>
        <v>50</v>
      </c>
    </row>
    <row r="61" spans="1:11" ht="18.75" customHeight="1" x14ac:dyDescent="0.25">
      <c r="A61" s="205"/>
      <c r="B61" s="205"/>
      <c r="C61" s="132" t="s">
        <v>401</v>
      </c>
      <c r="D61" s="134">
        <v>5</v>
      </c>
      <c r="E61" s="75"/>
      <c r="F61" s="75"/>
      <c r="G61" s="134">
        <v>5</v>
      </c>
      <c r="H61" s="134">
        <v>5</v>
      </c>
      <c r="I61" s="75"/>
      <c r="J61" s="134">
        <v>35</v>
      </c>
      <c r="K61" s="134">
        <f t="shared" si="2"/>
        <v>50</v>
      </c>
    </row>
    <row r="62" spans="1:11" ht="18.75" customHeight="1" x14ac:dyDescent="0.25">
      <c r="A62" s="204" t="s">
        <v>267</v>
      </c>
      <c r="B62" s="204">
        <v>4</v>
      </c>
      <c r="C62" s="135" t="s">
        <v>417</v>
      </c>
      <c r="D62" s="134">
        <v>5</v>
      </c>
      <c r="E62" s="134">
        <v>5</v>
      </c>
      <c r="F62" s="134">
        <v>5</v>
      </c>
      <c r="G62" s="114"/>
      <c r="H62" s="114"/>
      <c r="I62" s="134">
        <v>35</v>
      </c>
      <c r="J62" s="114"/>
      <c r="K62" s="134">
        <f t="shared" si="2"/>
        <v>50</v>
      </c>
    </row>
    <row r="63" spans="1:11" ht="18.75" customHeight="1" x14ac:dyDescent="0.25">
      <c r="A63" s="205"/>
      <c r="B63" s="205"/>
      <c r="C63" s="132" t="s">
        <v>418</v>
      </c>
      <c r="D63" s="134">
        <v>5</v>
      </c>
      <c r="E63" s="75"/>
      <c r="F63" s="75"/>
      <c r="G63" s="134">
        <v>5</v>
      </c>
      <c r="H63" s="134">
        <v>5</v>
      </c>
      <c r="I63" s="75"/>
      <c r="J63" s="134">
        <v>35</v>
      </c>
      <c r="K63" s="134">
        <f t="shared" si="2"/>
        <v>50</v>
      </c>
    </row>
    <row r="64" spans="1:11" ht="18.75" customHeight="1" x14ac:dyDescent="0.25">
      <c r="A64" s="204" t="s">
        <v>270</v>
      </c>
      <c r="B64" s="204">
        <v>2</v>
      </c>
      <c r="C64" s="132" t="s">
        <v>402</v>
      </c>
      <c r="D64" s="134">
        <v>5</v>
      </c>
      <c r="E64" s="134">
        <v>5</v>
      </c>
      <c r="F64" s="134">
        <v>5</v>
      </c>
      <c r="G64" s="114"/>
      <c r="H64" s="114"/>
      <c r="I64" s="134">
        <v>35</v>
      </c>
      <c r="J64" s="114"/>
      <c r="K64" s="134">
        <f t="shared" si="2"/>
        <v>50</v>
      </c>
    </row>
    <row r="65" spans="1:11" ht="18.75" customHeight="1" x14ac:dyDescent="0.25">
      <c r="A65" s="205"/>
      <c r="B65" s="205"/>
      <c r="C65" s="132" t="s">
        <v>403</v>
      </c>
      <c r="D65" s="134">
        <v>5</v>
      </c>
      <c r="E65" s="75"/>
      <c r="F65" s="75"/>
      <c r="G65" s="134">
        <v>5</v>
      </c>
      <c r="H65" s="134">
        <v>5</v>
      </c>
      <c r="I65" s="75"/>
      <c r="J65" s="134">
        <v>35</v>
      </c>
      <c r="K65" s="134">
        <f t="shared" si="2"/>
        <v>50</v>
      </c>
    </row>
    <row r="66" spans="1:11" ht="18.75" customHeight="1" x14ac:dyDescent="0.25">
      <c r="A66" s="204" t="s">
        <v>273</v>
      </c>
      <c r="B66" s="204">
        <v>5</v>
      </c>
      <c r="C66" s="132" t="s">
        <v>232</v>
      </c>
      <c r="D66" s="134">
        <v>5</v>
      </c>
      <c r="E66" s="134">
        <v>5</v>
      </c>
      <c r="F66" s="134">
        <v>5</v>
      </c>
      <c r="G66" s="114"/>
      <c r="H66" s="114"/>
      <c r="I66" s="134">
        <v>35</v>
      </c>
      <c r="J66" s="114"/>
      <c r="K66" s="134">
        <f t="shared" si="2"/>
        <v>50</v>
      </c>
    </row>
    <row r="67" spans="1:11" ht="18.75" customHeight="1" x14ac:dyDescent="0.25">
      <c r="A67" s="205"/>
      <c r="B67" s="205"/>
      <c r="C67" s="132" t="s">
        <v>233</v>
      </c>
      <c r="D67" s="134">
        <v>5</v>
      </c>
      <c r="E67" s="75"/>
      <c r="F67" s="75"/>
      <c r="G67" s="134">
        <v>5</v>
      </c>
      <c r="H67" s="134">
        <v>5</v>
      </c>
      <c r="I67" s="75"/>
      <c r="J67" s="134">
        <v>35</v>
      </c>
      <c r="K67" s="134">
        <f t="shared" si="2"/>
        <v>50</v>
      </c>
    </row>
    <row r="68" spans="1:11" ht="18.75" customHeight="1" x14ac:dyDescent="0.25">
      <c r="A68" s="204" t="s">
        <v>275</v>
      </c>
      <c r="B68" s="204">
        <v>4</v>
      </c>
      <c r="C68" s="132" t="s">
        <v>419</v>
      </c>
      <c r="D68" s="134">
        <v>5</v>
      </c>
      <c r="E68" s="134">
        <v>5</v>
      </c>
      <c r="F68" s="134">
        <v>5</v>
      </c>
      <c r="G68" s="114"/>
      <c r="H68" s="114"/>
      <c r="I68" s="134">
        <v>35</v>
      </c>
      <c r="J68" s="114"/>
      <c r="K68" s="134">
        <f t="shared" si="2"/>
        <v>50</v>
      </c>
    </row>
    <row r="69" spans="1:11" ht="18.75" customHeight="1" x14ac:dyDescent="0.25">
      <c r="A69" s="205"/>
      <c r="B69" s="205"/>
      <c r="C69" s="132" t="s">
        <v>420</v>
      </c>
      <c r="D69" s="134">
        <v>5</v>
      </c>
      <c r="E69" s="75"/>
      <c r="F69" s="75"/>
      <c r="G69" s="134">
        <v>5</v>
      </c>
      <c r="H69" s="134">
        <v>5</v>
      </c>
      <c r="I69" s="75"/>
      <c r="J69" s="134">
        <v>35</v>
      </c>
      <c r="K69" s="134">
        <f t="shared" si="2"/>
        <v>50</v>
      </c>
    </row>
    <row r="70" spans="1:11" ht="18.75" customHeight="1" x14ac:dyDescent="0.25">
      <c r="A70" s="204" t="s">
        <v>278</v>
      </c>
      <c r="B70" s="204">
        <v>4</v>
      </c>
      <c r="C70" s="132" t="s">
        <v>421</v>
      </c>
      <c r="D70" s="134">
        <v>5</v>
      </c>
      <c r="E70" s="134">
        <v>5</v>
      </c>
      <c r="F70" s="134">
        <v>5</v>
      </c>
      <c r="G70" s="114"/>
      <c r="H70" s="114"/>
      <c r="I70" s="134">
        <v>35</v>
      </c>
      <c r="J70" s="114"/>
      <c r="K70" s="134">
        <f t="shared" si="2"/>
        <v>50</v>
      </c>
    </row>
    <row r="71" spans="1:11" ht="18.75" customHeight="1" x14ac:dyDescent="0.25">
      <c r="A71" s="205"/>
      <c r="B71" s="205"/>
      <c r="C71" s="132" t="s">
        <v>422</v>
      </c>
      <c r="D71" s="134">
        <v>5</v>
      </c>
      <c r="E71" s="75"/>
      <c r="F71" s="75"/>
      <c r="G71" s="134">
        <v>5</v>
      </c>
      <c r="H71" s="134">
        <v>5</v>
      </c>
      <c r="I71" s="75"/>
      <c r="J71" s="134">
        <v>35</v>
      </c>
      <c r="K71" s="134">
        <f t="shared" si="2"/>
        <v>50</v>
      </c>
    </row>
    <row r="72" spans="1:11" ht="18.75" customHeight="1" x14ac:dyDescent="0.25">
      <c r="A72" s="204" t="s">
        <v>281</v>
      </c>
      <c r="B72" s="204">
        <v>2</v>
      </c>
      <c r="C72" s="132" t="s">
        <v>404</v>
      </c>
      <c r="D72" s="134">
        <v>5</v>
      </c>
      <c r="E72" s="134">
        <v>5</v>
      </c>
      <c r="F72" s="134">
        <v>5</v>
      </c>
      <c r="G72" s="114"/>
      <c r="H72" s="114"/>
      <c r="I72" s="134">
        <v>35</v>
      </c>
      <c r="J72" s="114"/>
      <c r="K72" s="134">
        <f t="shared" si="2"/>
        <v>50</v>
      </c>
    </row>
    <row r="73" spans="1:11" ht="18.75" customHeight="1" x14ac:dyDescent="0.25">
      <c r="A73" s="205"/>
      <c r="B73" s="205"/>
      <c r="C73" s="135" t="s">
        <v>405</v>
      </c>
      <c r="D73" s="134">
        <v>5</v>
      </c>
      <c r="E73" s="75"/>
      <c r="F73" s="75"/>
      <c r="G73" s="134">
        <v>5</v>
      </c>
      <c r="H73" s="134">
        <v>5</v>
      </c>
      <c r="I73" s="75"/>
      <c r="J73" s="134">
        <v>35</v>
      </c>
      <c r="K73" s="134">
        <f t="shared" si="2"/>
        <v>50</v>
      </c>
    </row>
    <row r="74" spans="1:11" ht="18.75" customHeight="1" x14ac:dyDescent="0.25">
      <c r="A74" s="204" t="s">
        <v>284</v>
      </c>
      <c r="B74" s="204">
        <v>5</v>
      </c>
      <c r="C74" s="132" t="s">
        <v>234</v>
      </c>
      <c r="D74" s="134">
        <v>5</v>
      </c>
      <c r="E74" s="134">
        <v>5</v>
      </c>
      <c r="F74" s="134">
        <v>5</v>
      </c>
      <c r="G74" s="114"/>
      <c r="H74" s="114"/>
      <c r="I74" s="134">
        <v>35</v>
      </c>
      <c r="J74" s="114"/>
      <c r="K74" s="134">
        <f t="shared" si="2"/>
        <v>50</v>
      </c>
    </row>
    <row r="75" spans="1:11" ht="18.75" customHeight="1" x14ac:dyDescent="0.25">
      <c r="A75" s="205"/>
      <c r="B75" s="205"/>
      <c r="C75" s="132" t="s">
        <v>437</v>
      </c>
      <c r="D75" s="134">
        <v>5</v>
      </c>
      <c r="E75" s="75"/>
      <c r="F75" s="75"/>
      <c r="G75" s="134">
        <v>5</v>
      </c>
      <c r="H75" s="134">
        <v>5</v>
      </c>
      <c r="I75" s="75"/>
      <c r="J75" s="134">
        <v>35</v>
      </c>
      <c r="K75" s="134">
        <f t="shared" si="2"/>
        <v>50</v>
      </c>
    </row>
    <row r="76" spans="1:11" ht="18.75" customHeight="1" x14ac:dyDescent="0.25">
      <c r="A76" s="204" t="s">
        <v>287</v>
      </c>
      <c r="B76" s="204">
        <v>4</v>
      </c>
      <c r="C76" s="132" t="s">
        <v>423</v>
      </c>
      <c r="D76" s="134">
        <v>5</v>
      </c>
      <c r="E76" s="134">
        <v>5</v>
      </c>
      <c r="F76" s="134">
        <v>5</v>
      </c>
      <c r="G76" s="114"/>
      <c r="H76" s="114"/>
      <c r="I76" s="134">
        <v>35</v>
      </c>
      <c r="J76" s="114"/>
      <c r="K76" s="134">
        <f t="shared" ref="K76:K130" si="3">SUM(D76:J76)</f>
        <v>50</v>
      </c>
    </row>
    <row r="77" spans="1:11" ht="18.75" customHeight="1" x14ac:dyDescent="0.25">
      <c r="A77" s="205"/>
      <c r="B77" s="205"/>
      <c r="C77" s="132" t="s">
        <v>424</v>
      </c>
      <c r="D77" s="134">
        <v>5</v>
      </c>
      <c r="E77" s="75"/>
      <c r="F77" s="75"/>
      <c r="G77" s="134">
        <v>5</v>
      </c>
      <c r="H77" s="134">
        <v>5</v>
      </c>
      <c r="I77" s="75"/>
      <c r="J77" s="134">
        <v>35</v>
      </c>
      <c r="K77" s="134">
        <f t="shared" si="3"/>
        <v>50</v>
      </c>
    </row>
    <row r="78" spans="1:11" ht="18.75" customHeight="1" x14ac:dyDescent="0.25">
      <c r="A78" s="204" t="s">
        <v>288</v>
      </c>
      <c r="B78" s="204">
        <v>2</v>
      </c>
      <c r="C78" s="132" t="s">
        <v>406</v>
      </c>
      <c r="D78" s="134">
        <v>5</v>
      </c>
      <c r="E78" s="134">
        <v>5</v>
      </c>
      <c r="F78" s="134">
        <v>5</v>
      </c>
      <c r="G78" s="114"/>
      <c r="H78" s="114"/>
      <c r="I78" s="134">
        <v>35</v>
      </c>
      <c r="J78" s="114"/>
      <c r="K78" s="134">
        <f t="shared" si="3"/>
        <v>50</v>
      </c>
    </row>
    <row r="79" spans="1:11" ht="18.75" customHeight="1" x14ac:dyDescent="0.25">
      <c r="A79" s="205"/>
      <c r="B79" s="205"/>
      <c r="C79" s="132" t="s">
        <v>407</v>
      </c>
      <c r="D79" s="134">
        <v>5</v>
      </c>
      <c r="E79" s="75"/>
      <c r="F79" s="75"/>
      <c r="G79" s="134">
        <v>5</v>
      </c>
      <c r="H79" s="134">
        <v>5</v>
      </c>
      <c r="I79" s="75"/>
      <c r="J79" s="134">
        <v>35</v>
      </c>
      <c r="K79" s="134">
        <f t="shared" si="3"/>
        <v>50</v>
      </c>
    </row>
    <row r="80" spans="1:11" ht="18.75" customHeight="1" x14ac:dyDescent="0.25">
      <c r="A80" s="204" t="s">
        <v>293</v>
      </c>
      <c r="B80" s="204">
        <v>2</v>
      </c>
      <c r="C80" s="132" t="s">
        <v>408</v>
      </c>
      <c r="D80" s="134">
        <v>5</v>
      </c>
      <c r="E80" s="134">
        <v>5</v>
      </c>
      <c r="F80" s="134">
        <v>5</v>
      </c>
      <c r="G80" s="114"/>
      <c r="H80" s="114"/>
      <c r="I80" s="134">
        <v>35</v>
      </c>
      <c r="J80" s="114"/>
      <c r="K80" s="134">
        <f t="shared" si="3"/>
        <v>50</v>
      </c>
    </row>
    <row r="81" spans="1:11" ht="18.75" customHeight="1" x14ac:dyDescent="0.25">
      <c r="A81" s="205"/>
      <c r="B81" s="205"/>
      <c r="C81" s="132" t="s">
        <v>409</v>
      </c>
      <c r="D81" s="134">
        <v>5</v>
      </c>
      <c r="E81" s="75"/>
      <c r="F81" s="75"/>
      <c r="G81" s="134">
        <v>5</v>
      </c>
      <c r="H81" s="134">
        <v>5</v>
      </c>
      <c r="I81" s="75"/>
      <c r="J81" s="134">
        <v>35</v>
      </c>
      <c r="K81" s="134">
        <f t="shared" si="3"/>
        <v>50</v>
      </c>
    </row>
    <row r="82" spans="1:11" ht="18.75" customHeight="1" x14ac:dyDescent="0.25">
      <c r="A82" s="204" t="s">
        <v>296</v>
      </c>
      <c r="B82" s="204">
        <v>5</v>
      </c>
      <c r="C82" s="135" t="s">
        <v>438</v>
      </c>
      <c r="D82" s="134">
        <v>5</v>
      </c>
      <c r="E82" s="134">
        <v>5</v>
      </c>
      <c r="F82" s="134">
        <v>5</v>
      </c>
      <c r="G82" s="114"/>
      <c r="H82" s="114"/>
      <c r="I82" s="134">
        <v>35</v>
      </c>
      <c r="J82" s="114"/>
      <c r="K82" s="134">
        <f t="shared" si="3"/>
        <v>50</v>
      </c>
    </row>
    <row r="83" spans="1:11" ht="18.75" customHeight="1" x14ac:dyDescent="0.25">
      <c r="A83" s="205"/>
      <c r="B83" s="205"/>
      <c r="C83" s="132" t="s">
        <v>439</v>
      </c>
      <c r="D83" s="134">
        <v>5</v>
      </c>
      <c r="E83" s="75"/>
      <c r="F83" s="75"/>
      <c r="G83" s="134">
        <v>5</v>
      </c>
      <c r="H83" s="134">
        <v>5</v>
      </c>
      <c r="I83" s="75"/>
      <c r="J83" s="134">
        <v>35</v>
      </c>
      <c r="K83" s="134">
        <f t="shared" si="3"/>
        <v>50</v>
      </c>
    </row>
    <row r="84" spans="1:11" ht="18.75" customHeight="1" x14ac:dyDescent="0.25">
      <c r="A84" s="204" t="s">
        <v>297</v>
      </c>
      <c r="B84" s="204">
        <v>2</v>
      </c>
      <c r="C84" s="132" t="s">
        <v>412</v>
      </c>
      <c r="D84" s="134">
        <v>5</v>
      </c>
      <c r="E84" s="134">
        <v>5</v>
      </c>
      <c r="F84" s="134">
        <v>5</v>
      </c>
      <c r="G84" s="114"/>
      <c r="H84" s="114"/>
      <c r="I84" s="134">
        <v>35</v>
      </c>
      <c r="J84" s="114"/>
      <c r="K84" s="134">
        <f t="shared" si="3"/>
        <v>50</v>
      </c>
    </row>
    <row r="85" spans="1:11" ht="18.75" customHeight="1" x14ac:dyDescent="0.25">
      <c r="A85" s="205"/>
      <c r="B85" s="205"/>
      <c r="C85" s="132" t="s">
        <v>413</v>
      </c>
      <c r="D85" s="134">
        <v>5</v>
      </c>
      <c r="E85" s="75"/>
      <c r="F85" s="75"/>
      <c r="G85" s="134">
        <v>5</v>
      </c>
      <c r="H85" s="134">
        <v>5</v>
      </c>
      <c r="I85" s="75"/>
      <c r="J85" s="134">
        <v>35</v>
      </c>
      <c r="K85" s="134">
        <f t="shared" si="3"/>
        <v>50</v>
      </c>
    </row>
    <row r="86" spans="1:11" ht="18.75" customHeight="1" x14ac:dyDescent="0.25">
      <c r="A86" s="204" t="s">
        <v>302</v>
      </c>
      <c r="B86" s="204">
        <v>5</v>
      </c>
      <c r="C86" s="132" t="s">
        <v>440</v>
      </c>
      <c r="D86" s="134">
        <v>5</v>
      </c>
      <c r="E86" s="134">
        <v>5</v>
      </c>
      <c r="F86" s="134">
        <v>5</v>
      </c>
      <c r="G86" s="114"/>
      <c r="H86" s="114"/>
      <c r="I86" s="134">
        <v>35</v>
      </c>
      <c r="J86" s="114"/>
      <c r="K86" s="134">
        <f t="shared" si="3"/>
        <v>50</v>
      </c>
    </row>
    <row r="87" spans="1:11" ht="18.75" customHeight="1" x14ac:dyDescent="0.25">
      <c r="A87" s="205"/>
      <c r="B87" s="205"/>
      <c r="C87" s="132" t="s">
        <v>441</v>
      </c>
      <c r="D87" s="134">
        <v>5</v>
      </c>
      <c r="E87" s="75"/>
      <c r="F87" s="75"/>
      <c r="G87" s="134">
        <v>5</v>
      </c>
      <c r="H87" s="134">
        <v>5</v>
      </c>
      <c r="I87" s="75"/>
      <c r="J87" s="134">
        <v>35</v>
      </c>
      <c r="K87" s="134">
        <f t="shared" si="3"/>
        <v>50</v>
      </c>
    </row>
    <row r="88" spans="1:11" ht="18.75" customHeight="1" x14ac:dyDescent="0.25">
      <c r="A88" s="204" t="s">
        <v>303</v>
      </c>
      <c r="B88" s="204">
        <v>4</v>
      </c>
      <c r="C88" s="132" t="s">
        <v>425</v>
      </c>
      <c r="D88" s="134">
        <v>5</v>
      </c>
      <c r="E88" s="134">
        <v>5</v>
      </c>
      <c r="F88" s="134">
        <v>5</v>
      </c>
      <c r="G88" s="114"/>
      <c r="H88" s="114"/>
      <c r="I88" s="134">
        <v>35</v>
      </c>
      <c r="J88" s="114"/>
      <c r="K88" s="134">
        <f t="shared" si="3"/>
        <v>50</v>
      </c>
    </row>
    <row r="89" spans="1:11" ht="18.75" customHeight="1" x14ac:dyDescent="0.25">
      <c r="A89" s="205"/>
      <c r="B89" s="205"/>
      <c r="C89" s="132" t="s">
        <v>426</v>
      </c>
      <c r="D89" s="134">
        <v>5</v>
      </c>
      <c r="E89" s="75"/>
      <c r="F89" s="75"/>
      <c r="G89" s="134">
        <v>5</v>
      </c>
      <c r="H89" s="134">
        <v>5</v>
      </c>
      <c r="I89" s="75"/>
      <c r="J89" s="134">
        <v>35</v>
      </c>
      <c r="K89" s="134">
        <f t="shared" si="3"/>
        <v>50</v>
      </c>
    </row>
    <row r="90" spans="1:11" ht="18.75" customHeight="1" x14ac:dyDescent="0.25">
      <c r="A90" s="204" t="s">
        <v>306</v>
      </c>
      <c r="B90" s="132">
        <v>5</v>
      </c>
      <c r="C90" s="132" t="s">
        <v>442</v>
      </c>
      <c r="D90" s="134">
        <v>5</v>
      </c>
      <c r="E90" s="134">
        <v>5</v>
      </c>
      <c r="F90" s="134">
        <v>5</v>
      </c>
      <c r="G90" s="114"/>
      <c r="H90" s="114"/>
      <c r="I90" s="134">
        <v>35</v>
      </c>
      <c r="J90" s="114"/>
      <c r="K90" s="134">
        <f t="shared" si="3"/>
        <v>50</v>
      </c>
    </row>
    <row r="91" spans="1:11" ht="18.75" customHeight="1" x14ac:dyDescent="0.25">
      <c r="A91" s="205"/>
      <c r="B91" s="132">
        <v>6</v>
      </c>
      <c r="C91" s="132" t="s">
        <v>235</v>
      </c>
      <c r="D91" s="134">
        <v>5</v>
      </c>
      <c r="E91" s="75"/>
      <c r="F91" s="75"/>
      <c r="G91" s="134">
        <v>5</v>
      </c>
      <c r="H91" s="134">
        <v>5</v>
      </c>
      <c r="I91" s="75"/>
      <c r="J91" s="134">
        <v>35</v>
      </c>
      <c r="K91" s="134">
        <f t="shared" si="3"/>
        <v>50</v>
      </c>
    </row>
    <row r="92" spans="1:11" ht="18.75" customHeight="1" x14ac:dyDescent="0.25">
      <c r="A92" s="212" t="s">
        <v>308</v>
      </c>
      <c r="B92" s="204">
        <v>11</v>
      </c>
      <c r="C92" s="132" t="s">
        <v>344</v>
      </c>
      <c r="D92" s="134">
        <v>5</v>
      </c>
      <c r="E92" s="134">
        <v>5</v>
      </c>
      <c r="F92" s="134">
        <v>5</v>
      </c>
      <c r="G92" s="114"/>
      <c r="H92" s="114"/>
      <c r="I92" s="134">
        <v>35</v>
      </c>
      <c r="J92" s="114"/>
      <c r="K92" s="134">
        <f t="shared" si="3"/>
        <v>50</v>
      </c>
    </row>
    <row r="93" spans="1:11" ht="18.75" customHeight="1" x14ac:dyDescent="0.25">
      <c r="A93" s="212"/>
      <c r="B93" s="205"/>
      <c r="C93" s="132" t="s">
        <v>345</v>
      </c>
      <c r="D93" s="134">
        <v>5</v>
      </c>
      <c r="E93" s="75"/>
      <c r="F93" s="75"/>
      <c r="G93" s="134">
        <v>5</v>
      </c>
      <c r="H93" s="134">
        <v>5</v>
      </c>
      <c r="I93" s="75"/>
      <c r="J93" s="134">
        <v>35</v>
      </c>
      <c r="K93" s="134">
        <f t="shared" si="3"/>
        <v>50</v>
      </c>
    </row>
    <row r="94" spans="1:11" ht="18.75" customHeight="1" x14ac:dyDescent="0.25">
      <c r="A94" s="204" t="s">
        <v>311</v>
      </c>
      <c r="B94" s="204">
        <v>4</v>
      </c>
      <c r="C94" s="132" t="s">
        <v>427</v>
      </c>
      <c r="D94" s="134">
        <v>5</v>
      </c>
      <c r="E94" s="134">
        <v>5</v>
      </c>
      <c r="F94" s="134">
        <v>5</v>
      </c>
      <c r="G94" s="114"/>
      <c r="H94" s="114"/>
      <c r="I94" s="134">
        <v>35</v>
      </c>
      <c r="J94" s="114"/>
      <c r="K94" s="134">
        <f t="shared" si="3"/>
        <v>50</v>
      </c>
    </row>
    <row r="95" spans="1:11" ht="18.75" customHeight="1" x14ac:dyDescent="0.25">
      <c r="A95" s="205"/>
      <c r="B95" s="205"/>
      <c r="C95" s="132" t="s">
        <v>428</v>
      </c>
      <c r="D95" s="134">
        <v>5</v>
      </c>
      <c r="E95" s="75"/>
      <c r="F95" s="75"/>
      <c r="G95" s="134">
        <v>5</v>
      </c>
      <c r="H95" s="134">
        <v>5</v>
      </c>
      <c r="I95" s="75"/>
      <c r="J95" s="134">
        <v>35</v>
      </c>
      <c r="K95" s="134">
        <f t="shared" si="3"/>
        <v>50</v>
      </c>
    </row>
    <row r="96" spans="1:11" ht="18.75" customHeight="1" x14ac:dyDescent="0.25">
      <c r="A96" s="204" t="s">
        <v>326</v>
      </c>
      <c r="B96" s="204">
        <v>9</v>
      </c>
      <c r="C96" s="136" t="s">
        <v>242</v>
      </c>
      <c r="D96" s="134">
        <v>5</v>
      </c>
      <c r="E96" s="134">
        <v>5</v>
      </c>
      <c r="F96" s="134">
        <v>5</v>
      </c>
      <c r="G96" s="114"/>
      <c r="H96" s="114"/>
      <c r="I96" s="134">
        <v>35</v>
      </c>
      <c r="J96" s="114"/>
      <c r="K96" s="134">
        <f t="shared" si="3"/>
        <v>50</v>
      </c>
    </row>
    <row r="97" spans="1:11" ht="18.75" customHeight="1" x14ac:dyDescent="0.25">
      <c r="A97" s="205"/>
      <c r="B97" s="205"/>
      <c r="C97" s="140" t="s">
        <v>312</v>
      </c>
      <c r="D97" s="134">
        <v>5</v>
      </c>
      <c r="E97" s="75"/>
      <c r="F97" s="75"/>
      <c r="G97" s="134">
        <v>5</v>
      </c>
      <c r="H97" s="134">
        <v>5</v>
      </c>
      <c r="I97" s="75"/>
      <c r="J97" s="134">
        <v>35</v>
      </c>
      <c r="K97" s="134">
        <f t="shared" si="3"/>
        <v>50</v>
      </c>
    </row>
    <row r="98" spans="1:11" ht="18.75" customHeight="1" x14ac:dyDescent="0.25">
      <c r="A98" s="204" t="s">
        <v>330</v>
      </c>
      <c r="B98" s="204">
        <v>4</v>
      </c>
      <c r="C98" s="132" t="s">
        <v>430</v>
      </c>
      <c r="D98" s="134">
        <v>5</v>
      </c>
      <c r="E98" s="134">
        <v>5</v>
      </c>
      <c r="F98" s="134">
        <v>5</v>
      </c>
      <c r="G98" s="114"/>
      <c r="H98" s="114"/>
      <c r="I98" s="134">
        <v>35</v>
      </c>
      <c r="J98" s="114"/>
      <c r="K98" s="134">
        <f t="shared" si="3"/>
        <v>50</v>
      </c>
    </row>
    <row r="99" spans="1:11" ht="18.75" customHeight="1" x14ac:dyDescent="0.25">
      <c r="A99" s="205"/>
      <c r="B99" s="205"/>
      <c r="C99" s="132" t="s">
        <v>431</v>
      </c>
      <c r="D99" s="134">
        <v>5</v>
      </c>
      <c r="E99" s="75"/>
      <c r="F99" s="75"/>
      <c r="G99" s="134">
        <v>5</v>
      </c>
      <c r="H99" s="134">
        <v>5</v>
      </c>
      <c r="I99" s="75"/>
      <c r="J99" s="134">
        <v>35</v>
      </c>
      <c r="K99" s="134">
        <f t="shared" si="3"/>
        <v>50</v>
      </c>
    </row>
    <row r="100" spans="1:11" ht="18.75" customHeight="1" x14ac:dyDescent="0.25">
      <c r="A100" s="204" t="s">
        <v>333</v>
      </c>
      <c r="B100" s="204">
        <v>6</v>
      </c>
      <c r="C100" s="132" t="s">
        <v>443</v>
      </c>
      <c r="D100" s="134">
        <v>5</v>
      </c>
      <c r="E100" s="134">
        <v>5</v>
      </c>
      <c r="F100" s="134">
        <v>5</v>
      </c>
      <c r="G100" s="114"/>
      <c r="H100" s="114"/>
      <c r="I100" s="134">
        <v>35</v>
      </c>
      <c r="J100" s="114"/>
      <c r="K100" s="134">
        <f t="shared" si="3"/>
        <v>50</v>
      </c>
    </row>
    <row r="101" spans="1:11" ht="18.75" customHeight="1" x14ac:dyDescent="0.25">
      <c r="A101" s="205"/>
      <c r="B101" s="205"/>
      <c r="C101" s="132" t="s">
        <v>831</v>
      </c>
      <c r="D101" s="134">
        <v>5</v>
      </c>
      <c r="E101" s="75"/>
      <c r="F101" s="75"/>
      <c r="G101" s="134">
        <v>5</v>
      </c>
      <c r="H101" s="134">
        <v>5</v>
      </c>
      <c r="I101" s="75"/>
      <c r="J101" s="134">
        <v>35</v>
      </c>
      <c r="K101" s="134">
        <f t="shared" si="3"/>
        <v>50</v>
      </c>
    </row>
    <row r="102" spans="1:11" ht="18.75" customHeight="1" x14ac:dyDescent="0.25">
      <c r="A102" s="204" t="s">
        <v>334</v>
      </c>
      <c r="B102" s="204">
        <v>10</v>
      </c>
      <c r="C102" s="136" t="s">
        <v>317</v>
      </c>
      <c r="D102" s="134">
        <v>5</v>
      </c>
      <c r="E102" s="134">
        <v>5</v>
      </c>
      <c r="F102" s="134">
        <v>5</v>
      </c>
      <c r="G102" s="114"/>
      <c r="H102" s="114"/>
      <c r="I102" s="134">
        <v>35</v>
      </c>
      <c r="J102" s="114"/>
      <c r="K102" s="134">
        <f t="shared" si="3"/>
        <v>50</v>
      </c>
    </row>
    <row r="103" spans="1:11" ht="18.75" customHeight="1" x14ac:dyDescent="0.25">
      <c r="A103" s="205"/>
      <c r="B103" s="205"/>
      <c r="C103" s="136" t="s">
        <v>318</v>
      </c>
      <c r="D103" s="134">
        <v>5</v>
      </c>
      <c r="E103" s="75"/>
      <c r="F103" s="75"/>
      <c r="G103" s="134">
        <v>5</v>
      </c>
      <c r="H103" s="134">
        <v>5</v>
      </c>
      <c r="I103" s="75"/>
      <c r="J103" s="134">
        <v>35</v>
      </c>
      <c r="K103" s="134">
        <f t="shared" si="3"/>
        <v>50</v>
      </c>
    </row>
    <row r="104" spans="1:11" ht="18.75" customHeight="1" x14ac:dyDescent="0.25">
      <c r="A104" s="204" t="s">
        <v>337</v>
      </c>
      <c r="B104" s="204">
        <v>6</v>
      </c>
      <c r="C104" s="132" t="s">
        <v>236</v>
      </c>
      <c r="D104" s="134">
        <v>5</v>
      </c>
      <c r="E104" s="134">
        <v>5</v>
      </c>
      <c r="F104" s="134">
        <v>5</v>
      </c>
      <c r="G104" s="114"/>
      <c r="H104" s="114"/>
      <c r="I104" s="134">
        <v>35</v>
      </c>
      <c r="J104" s="114"/>
      <c r="K104" s="134">
        <f t="shared" si="3"/>
        <v>50</v>
      </c>
    </row>
    <row r="105" spans="1:11" ht="18.75" customHeight="1" x14ac:dyDescent="0.25">
      <c r="A105" s="205"/>
      <c r="B105" s="205"/>
      <c r="C105" s="132" t="s">
        <v>237</v>
      </c>
      <c r="D105" s="134">
        <v>5</v>
      </c>
      <c r="E105" s="75"/>
      <c r="F105" s="75"/>
      <c r="G105" s="134">
        <v>5</v>
      </c>
      <c r="H105" s="134">
        <v>5</v>
      </c>
      <c r="I105" s="75"/>
      <c r="J105" s="134">
        <v>35</v>
      </c>
      <c r="K105" s="134">
        <f t="shared" si="3"/>
        <v>50</v>
      </c>
    </row>
    <row r="106" spans="1:11" ht="18.75" customHeight="1" x14ac:dyDescent="0.25">
      <c r="A106" s="204" t="s">
        <v>889</v>
      </c>
      <c r="B106" s="204">
        <v>4</v>
      </c>
      <c r="C106" s="132" t="s">
        <v>432</v>
      </c>
      <c r="D106" s="134">
        <v>5</v>
      </c>
      <c r="E106" s="134">
        <v>5</v>
      </c>
      <c r="F106" s="134">
        <v>5</v>
      </c>
      <c r="G106" s="114"/>
      <c r="H106" s="114"/>
      <c r="I106" s="134">
        <v>35</v>
      </c>
      <c r="J106" s="114"/>
      <c r="K106" s="134">
        <f t="shared" si="3"/>
        <v>50</v>
      </c>
    </row>
    <row r="107" spans="1:11" ht="18.75" customHeight="1" x14ac:dyDescent="0.25">
      <c r="A107" s="205"/>
      <c r="B107" s="205"/>
      <c r="C107" s="132" t="s">
        <v>433</v>
      </c>
      <c r="D107" s="134">
        <v>5</v>
      </c>
      <c r="E107" s="75"/>
      <c r="F107" s="75"/>
      <c r="G107" s="134">
        <v>5</v>
      </c>
      <c r="H107" s="134">
        <v>5</v>
      </c>
      <c r="I107" s="75"/>
      <c r="J107" s="134">
        <v>35</v>
      </c>
      <c r="K107" s="134">
        <f t="shared" si="3"/>
        <v>50</v>
      </c>
    </row>
    <row r="108" spans="1:11" ht="18.75" customHeight="1" x14ac:dyDescent="0.25">
      <c r="A108" s="212" t="s">
        <v>411</v>
      </c>
      <c r="B108" s="212">
        <v>4</v>
      </c>
      <c r="C108" s="135" t="s">
        <v>434</v>
      </c>
      <c r="D108" s="134">
        <v>5</v>
      </c>
      <c r="E108" s="75"/>
      <c r="F108" s="75"/>
      <c r="G108" s="75"/>
      <c r="H108" s="75"/>
      <c r="I108" s="75"/>
      <c r="J108" s="155">
        <v>15</v>
      </c>
      <c r="K108" s="134">
        <f t="shared" si="3"/>
        <v>20</v>
      </c>
    </row>
    <row r="109" spans="1:11" ht="18.75" customHeight="1" x14ac:dyDescent="0.25">
      <c r="A109" s="212"/>
      <c r="B109" s="212"/>
      <c r="C109" s="135" t="s">
        <v>435</v>
      </c>
      <c r="D109" s="155">
        <v>5</v>
      </c>
      <c r="E109" s="75"/>
      <c r="F109" s="75"/>
      <c r="G109" s="75"/>
      <c r="H109" s="75"/>
      <c r="I109" s="75"/>
      <c r="J109" s="155">
        <v>15</v>
      </c>
      <c r="K109" s="134">
        <f t="shared" si="3"/>
        <v>20</v>
      </c>
    </row>
    <row r="110" spans="1:11" ht="18.75" customHeight="1" x14ac:dyDescent="0.25">
      <c r="A110" s="212"/>
      <c r="B110" s="135">
        <v>6</v>
      </c>
      <c r="C110" s="135" t="s">
        <v>238</v>
      </c>
      <c r="D110" s="155"/>
      <c r="E110" s="75"/>
      <c r="F110" s="75"/>
      <c r="G110" s="75"/>
      <c r="H110" s="75"/>
      <c r="I110" s="75"/>
      <c r="J110" s="155">
        <v>20</v>
      </c>
      <c r="K110" s="134">
        <f t="shared" si="3"/>
        <v>20</v>
      </c>
    </row>
    <row r="111" spans="1:11" ht="18.75" customHeight="1" x14ac:dyDescent="0.25">
      <c r="A111" s="212"/>
      <c r="B111" s="135">
        <v>9</v>
      </c>
      <c r="C111" s="138" t="s">
        <v>313</v>
      </c>
      <c r="D111" s="155"/>
      <c r="E111" s="75"/>
      <c r="F111" s="75"/>
      <c r="G111" s="75"/>
      <c r="H111" s="75"/>
      <c r="I111" s="75"/>
      <c r="J111" s="155">
        <v>20</v>
      </c>
      <c r="K111" s="134">
        <f t="shared" si="3"/>
        <v>20</v>
      </c>
    </row>
    <row r="112" spans="1:11" ht="18.75" customHeight="1" x14ac:dyDescent="0.25">
      <c r="A112" s="212"/>
      <c r="B112" s="132">
        <v>10</v>
      </c>
      <c r="C112" s="136" t="s">
        <v>319</v>
      </c>
      <c r="D112" s="155"/>
      <c r="E112" s="75"/>
      <c r="F112" s="75"/>
      <c r="G112" s="75"/>
      <c r="H112" s="75"/>
      <c r="I112" s="75"/>
      <c r="J112" s="155">
        <v>20</v>
      </c>
      <c r="K112" s="134">
        <f t="shared" si="3"/>
        <v>20</v>
      </c>
    </row>
    <row r="113" spans="1:11" ht="18.75" customHeight="1" x14ac:dyDescent="0.25">
      <c r="A113" s="212" t="s">
        <v>346</v>
      </c>
      <c r="B113" s="132">
        <v>4</v>
      </c>
      <c r="C113" s="132" t="s">
        <v>436</v>
      </c>
      <c r="D113" s="134">
        <v>5</v>
      </c>
      <c r="E113" s="75"/>
      <c r="F113" s="75"/>
      <c r="G113" s="75"/>
      <c r="H113" s="75"/>
      <c r="I113" s="75"/>
      <c r="J113" s="75"/>
      <c r="K113" s="134">
        <f t="shared" si="3"/>
        <v>5</v>
      </c>
    </row>
    <row r="114" spans="1:11" ht="18.75" customHeight="1" x14ac:dyDescent="0.25">
      <c r="A114" s="212"/>
      <c r="B114" s="204">
        <v>7</v>
      </c>
      <c r="C114" s="132" t="s">
        <v>239</v>
      </c>
      <c r="D114" s="155">
        <v>5</v>
      </c>
      <c r="E114" s="134">
        <v>5</v>
      </c>
      <c r="F114" s="75"/>
      <c r="G114" s="75"/>
      <c r="H114" s="75"/>
      <c r="I114" s="134">
        <v>35</v>
      </c>
      <c r="J114" s="75"/>
      <c r="K114" s="134">
        <f t="shared" si="3"/>
        <v>45</v>
      </c>
    </row>
    <row r="115" spans="1:11" ht="18.75" customHeight="1" x14ac:dyDescent="0.25">
      <c r="A115" s="212"/>
      <c r="B115" s="205"/>
      <c r="C115" s="132" t="s">
        <v>240</v>
      </c>
      <c r="D115" s="155"/>
      <c r="E115" s="134"/>
      <c r="F115" s="134">
        <v>5</v>
      </c>
      <c r="G115" s="75"/>
      <c r="H115" s="75"/>
      <c r="I115" s="75"/>
      <c r="J115" s="75"/>
      <c r="K115" s="134">
        <f t="shared" si="3"/>
        <v>5</v>
      </c>
    </row>
    <row r="116" spans="1:11" ht="18.75" customHeight="1" x14ac:dyDescent="0.25">
      <c r="A116" s="212"/>
      <c r="B116" s="132">
        <v>8</v>
      </c>
      <c r="C116" s="132" t="s">
        <v>241</v>
      </c>
      <c r="D116" s="155"/>
      <c r="E116" s="75"/>
      <c r="F116" s="75"/>
      <c r="G116" s="134">
        <v>5</v>
      </c>
      <c r="H116" s="134">
        <v>5</v>
      </c>
      <c r="I116" s="75"/>
      <c r="J116" s="134">
        <v>35</v>
      </c>
      <c r="K116" s="134">
        <f t="shared" si="3"/>
        <v>45</v>
      </c>
    </row>
    <row r="117" spans="1:11" ht="18.75" customHeight="1" x14ac:dyDescent="0.25">
      <c r="A117" s="204" t="s">
        <v>352</v>
      </c>
      <c r="B117" s="204">
        <v>4</v>
      </c>
      <c r="C117" s="136" t="s">
        <v>1112</v>
      </c>
      <c r="D117" s="134">
        <v>5</v>
      </c>
      <c r="E117" s="134">
        <v>5</v>
      </c>
      <c r="F117" s="134">
        <v>5</v>
      </c>
      <c r="G117" s="114"/>
      <c r="H117" s="114"/>
      <c r="I117" s="134">
        <v>35</v>
      </c>
      <c r="J117" s="114"/>
      <c r="K117" s="134">
        <f t="shared" si="3"/>
        <v>50</v>
      </c>
    </row>
    <row r="118" spans="1:11" ht="18.75" customHeight="1" x14ac:dyDescent="0.25">
      <c r="A118" s="205"/>
      <c r="B118" s="205"/>
      <c r="C118" s="170" t="s">
        <v>1113</v>
      </c>
      <c r="D118" s="134">
        <v>5</v>
      </c>
      <c r="E118" s="75"/>
      <c r="F118" s="75"/>
      <c r="G118" s="134">
        <v>5</v>
      </c>
      <c r="H118" s="134">
        <v>5</v>
      </c>
      <c r="I118" s="75"/>
      <c r="J118" s="134">
        <v>35</v>
      </c>
      <c r="K118" s="134">
        <f t="shared" si="3"/>
        <v>50</v>
      </c>
    </row>
    <row r="119" spans="1:11" ht="18.75" customHeight="1" x14ac:dyDescent="0.25">
      <c r="A119" s="204" t="s">
        <v>445</v>
      </c>
      <c r="B119" s="204">
        <v>9</v>
      </c>
      <c r="C119" s="136" t="s">
        <v>314</v>
      </c>
      <c r="D119" s="134">
        <v>5</v>
      </c>
      <c r="E119" s="134">
        <v>5</v>
      </c>
      <c r="F119" s="134">
        <v>5</v>
      </c>
      <c r="G119" s="114"/>
      <c r="H119" s="114"/>
      <c r="I119" s="134">
        <v>35</v>
      </c>
      <c r="J119" s="114"/>
      <c r="K119" s="134">
        <f t="shared" si="3"/>
        <v>50</v>
      </c>
    </row>
    <row r="120" spans="1:11" ht="18.75" customHeight="1" x14ac:dyDescent="0.25">
      <c r="A120" s="205"/>
      <c r="B120" s="205"/>
      <c r="C120" s="136" t="s">
        <v>476</v>
      </c>
      <c r="D120" s="134">
        <v>5</v>
      </c>
      <c r="E120" s="75"/>
      <c r="F120" s="75"/>
      <c r="G120" s="134">
        <v>5</v>
      </c>
      <c r="H120" s="134">
        <v>5</v>
      </c>
      <c r="I120" s="75"/>
      <c r="J120" s="134">
        <v>35</v>
      </c>
      <c r="K120" s="134">
        <f t="shared" si="3"/>
        <v>50</v>
      </c>
    </row>
    <row r="121" spans="1:11" ht="18.75" customHeight="1" x14ac:dyDescent="0.25">
      <c r="A121" s="204" t="s">
        <v>449</v>
      </c>
      <c r="B121" s="204">
        <v>9</v>
      </c>
      <c r="C121" s="136" t="s">
        <v>876</v>
      </c>
      <c r="D121" s="134">
        <v>5</v>
      </c>
      <c r="E121" s="134">
        <v>5</v>
      </c>
      <c r="F121" s="134">
        <v>5</v>
      </c>
      <c r="G121" s="114"/>
      <c r="H121" s="114"/>
      <c r="I121" s="134">
        <v>35</v>
      </c>
      <c r="J121" s="114"/>
      <c r="K121" s="134">
        <f t="shared" si="3"/>
        <v>50</v>
      </c>
    </row>
    <row r="122" spans="1:11" ht="18.75" customHeight="1" x14ac:dyDescent="0.25">
      <c r="A122" s="205"/>
      <c r="B122" s="205"/>
      <c r="C122" s="136" t="s">
        <v>315</v>
      </c>
      <c r="D122" s="134">
        <v>5</v>
      </c>
      <c r="E122" s="75"/>
      <c r="F122" s="75"/>
      <c r="G122" s="134">
        <v>5</v>
      </c>
      <c r="H122" s="134">
        <v>5</v>
      </c>
      <c r="I122" s="75"/>
      <c r="J122" s="134">
        <v>35</v>
      </c>
      <c r="K122" s="134">
        <f t="shared" si="3"/>
        <v>50</v>
      </c>
    </row>
    <row r="123" spans="1:11" ht="18.75" customHeight="1" x14ac:dyDescent="0.25">
      <c r="A123" s="204" t="s">
        <v>452</v>
      </c>
      <c r="B123" s="204">
        <v>9</v>
      </c>
      <c r="C123" s="136" t="s">
        <v>316</v>
      </c>
      <c r="D123" s="134">
        <v>5</v>
      </c>
      <c r="E123" s="134">
        <v>5</v>
      </c>
      <c r="F123" s="134">
        <v>5</v>
      </c>
      <c r="G123" s="114"/>
      <c r="H123" s="114"/>
      <c r="I123" s="134">
        <v>35</v>
      </c>
      <c r="J123" s="114"/>
      <c r="K123" s="134">
        <f t="shared" si="3"/>
        <v>50</v>
      </c>
    </row>
    <row r="124" spans="1:11" ht="18.75" customHeight="1" x14ac:dyDescent="0.25">
      <c r="A124" s="205"/>
      <c r="B124" s="205"/>
      <c r="C124" s="136" t="s">
        <v>317</v>
      </c>
      <c r="D124" s="134">
        <v>5</v>
      </c>
      <c r="E124" s="75"/>
      <c r="F124" s="75"/>
      <c r="G124" s="134">
        <v>5</v>
      </c>
      <c r="H124" s="134">
        <v>5</v>
      </c>
      <c r="I124" s="75"/>
      <c r="J124" s="134">
        <v>35</v>
      </c>
      <c r="K124" s="134">
        <f t="shared" si="3"/>
        <v>50</v>
      </c>
    </row>
    <row r="125" spans="1:11" ht="18.75" customHeight="1" x14ac:dyDescent="0.25">
      <c r="A125" s="204" t="s">
        <v>453</v>
      </c>
      <c r="B125" s="204">
        <v>10</v>
      </c>
      <c r="C125" s="136" t="s">
        <v>322</v>
      </c>
      <c r="D125" s="134">
        <v>5</v>
      </c>
      <c r="E125" s="134">
        <v>5</v>
      </c>
      <c r="F125" s="134">
        <v>5</v>
      </c>
      <c r="G125" s="114"/>
      <c r="H125" s="114"/>
      <c r="I125" s="134">
        <v>35</v>
      </c>
      <c r="J125" s="114"/>
      <c r="K125" s="134">
        <f t="shared" si="3"/>
        <v>50</v>
      </c>
    </row>
    <row r="126" spans="1:11" ht="18.75" customHeight="1" x14ac:dyDescent="0.25">
      <c r="A126" s="205"/>
      <c r="B126" s="205"/>
      <c r="C126" s="136" t="s">
        <v>323</v>
      </c>
      <c r="D126" s="134">
        <v>5</v>
      </c>
      <c r="E126" s="75"/>
      <c r="F126" s="75"/>
      <c r="G126" s="134">
        <v>5</v>
      </c>
      <c r="H126" s="134">
        <v>5</v>
      </c>
      <c r="I126" s="75"/>
      <c r="J126" s="134">
        <v>35</v>
      </c>
      <c r="K126" s="134">
        <f t="shared" si="3"/>
        <v>50</v>
      </c>
    </row>
    <row r="127" spans="1:11" ht="18.75" customHeight="1" x14ac:dyDescent="0.25">
      <c r="A127" s="204" t="s">
        <v>456</v>
      </c>
      <c r="B127" s="204">
        <v>12</v>
      </c>
      <c r="C127" s="137" t="s">
        <v>383</v>
      </c>
      <c r="D127" s="134">
        <v>5</v>
      </c>
      <c r="E127" s="134">
        <v>5</v>
      </c>
      <c r="F127" s="134">
        <v>5</v>
      </c>
      <c r="G127" s="114"/>
      <c r="H127" s="114"/>
      <c r="I127" s="134">
        <v>35</v>
      </c>
      <c r="J127" s="114"/>
      <c r="K127" s="134">
        <f t="shared" si="3"/>
        <v>50</v>
      </c>
    </row>
    <row r="128" spans="1:11" ht="18.75" customHeight="1" x14ac:dyDescent="0.25">
      <c r="A128" s="205"/>
      <c r="B128" s="205"/>
      <c r="C128" s="132" t="s">
        <v>379</v>
      </c>
      <c r="D128" s="134">
        <v>5</v>
      </c>
      <c r="E128" s="75"/>
      <c r="F128" s="75"/>
      <c r="G128" s="134">
        <v>5</v>
      </c>
      <c r="H128" s="134">
        <v>5</v>
      </c>
      <c r="I128" s="75"/>
      <c r="J128" s="134">
        <v>35</v>
      </c>
      <c r="K128" s="134">
        <f t="shared" si="3"/>
        <v>50</v>
      </c>
    </row>
    <row r="129" spans="1:11" ht="18.75" customHeight="1" x14ac:dyDescent="0.25">
      <c r="A129" s="204" t="s">
        <v>457</v>
      </c>
      <c r="B129" s="204">
        <v>12</v>
      </c>
      <c r="C129" s="132" t="s">
        <v>380</v>
      </c>
      <c r="D129" s="134">
        <v>5</v>
      </c>
      <c r="E129" s="134">
        <v>5</v>
      </c>
      <c r="F129" s="134">
        <v>5</v>
      </c>
      <c r="G129" s="114"/>
      <c r="H129" s="114"/>
      <c r="I129" s="134">
        <v>35</v>
      </c>
      <c r="J129" s="114"/>
      <c r="K129" s="134">
        <f t="shared" si="3"/>
        <v>50</v>
      </c>
    </row>
    <row r="130" spans="1:11" ht="18.75" customHeight="1" x14ac:dyDescent="0.25">
      <c r="A130" s="206"/>
      <c r="B130" s="206"/>
      <c r="C130" s="135" t="s">
        <v>381</v>
      </c>
      <c r="D130" s="134">
        <v>5</v>
      </c>
      <c r="E130" s="75"/>
      <c r="F130" s="75"/>
      <c r="G130" s="134">
        <v>5</v>
      </c>
      <c r="H130" s="134">
        <v>5</v>
      </c>
      <c r="I130" s="75"/>
      <c r="J130" s="134">
        <v>35</v>
      </c>
      <c r="K130" s="134">
        <f t="shared" si="3"/>
        <v>50</v>
      </c>
    </row>
  </sheetData>
  <mergeCells count="129">
    <mergeCell ref="A129:A130"/>
    <mergeCell ref="B129:B130"/>
    <mergeCell ref="K2:K3"/>
    <mergeCell ref="C2:C3"/>
    <mergeCell ref="D2:D3"/>
    <mergeCell ref="E2:H2"/>
    <mergeCell ref="I2:I3"/>
    <mergeCell ref="J2:J3"/>
    <mergeCell ref="B88:B89"/>
    <mergeCell ref="A123:A124"/>
    <mergeCell ref="B123:B124"/>
    <mergeCell ref="A125:A126"/>
    <mergeCell ref="B125:B126"/>
    <mergeCell ref="A127:A128"/>
    <mergeCell ref="B127:B128"/>
    <mergeCell ref="A117:A118"/>
    <mergeCell ref="B117:B118"/>
    <mergeCell ref="A119:A120"/>
    <mergeCell ref="B119:B120"/>
    <mergeCell ref="A121:A122"/>
    <mergeCell ref="B121:B122"/>
    <mergeCell ref="B106:B107"/>
    <mergeCell ref="A106:A107"/>
    <mergeCell ref="A108:A112"/>
    <mergeCell ref="B108:B109"/>
    <mergeCell ref="A113:A116"/>
    <mergeCell ref="A100:A101"/>
    <mergeCell ref="B100:B101"/>
    <mergeCell ref="A102:A103"/>
    <mergeCell ref="B102:B103"/>
    <mergeCell ref="A104:A105"/>
    <mergeCell ref="B104:B105"/>
    <mergeCell ref="B114:B115"/>
    <mergeCell ref="A94:A95"/>
    <mergeCell ref="B94:B95"/>
    <mergeCell ref="A96:A97"/>
    <mergeCell ref="B96:B97"/>
    <mergeCell ref="A98:A99"/>
    <mergeCell ref="B98:B99"/>
    <mergeCell ref="A86:A87"/>
    <mergeCell ref="B86:B87"/>
    <mergeCell ref="A88:A89"/>
    <mergeCell ref="A90:A91"/>
    <mergeCell ref="A92:A93"/>
    <mergeCell ref="B92:B93"/>
    <mergeCell ref="A80:A81"/>
    <mergeCell ref="B80:B81"/>
    <mergeCell ref="A82:A83"/>
    <mergeCell ref="B82:B83"/>
    <mergeCell ref="A84:A85"/>
    <mergeCell ref="B84:B85"/>
    <mergeCell ref="A74:A75"/>
    <mergeCell ref="B74:B75"/>
    <mergeCell ref="A76:A77"/>
    <mergeCell ref="B76:B77"/>
    <mergeCell ref="A78:A79"/>
    <mergeCell ref="B78:B79"/>
    <mergeCell ref="A68:A69"/>
    <mergeCell ref="B68:B69"/>
    <mergeCell ref="A70:A71"/>
    <mergeCell ref="B70:B71"/>
    <mergeCell ref="A72:A73"/>
    <mergeCell ref="B72:B73"/>
    <mergeCell ref="A62:A63"/>
    <mergeCell ref="B62:B63"/>
    <mergeCell ref="A64:A65"/>
    <mergeCell ref="B64:B65"/>
    <mergeCell ref="A66:A67"/>
    <mergeCell ref="B66:B67"/>
    <mergeCell ref="A56:A57"/>
    <mergeCell ref="B56:B57"/>
    <mergeCell ref="A58:A59"/>
    <mergeCell ref="B58:B59"/>
    <mergeCell ref="A60:A61"/>
    <mergeCell ref="B60:B61"/>
    <mergeCell ref="A50:A51"/>
    <mergeCell ref="B50:B51"/>
    <mergeCell ref="A52:A53"/>
    <mergeCell ref="B52:B53"/>
    <mergeCell ref="A54:A55"/>
    <mergeCell ref="B54:B55"/>
    <mergeCell ref="A44:A45"/>
    <mergeCell ref="B44:B45"/>
    <mergeCell ref="A46:A47"/>
    <mergeCell ref="B46:B47"/>
    <mergeCell ref="A48:A49"/>
    <mergeCell ref="B48:B49"/>
    <mergeCell ref="A38:A39"/>
    <mergeCell ref="B38:B39"/>
    <mergeCell ref="A40:A41"/>
    <mergeCell ref="B40:B41"/>
    <mergeCell ref="A42:A43"/>
    <mergeCell ref="B42:B43"/>
    <mergeCell ref="A32:A33"/>
    <mergeCell ref="B32:B33"/>
    <mergeCell ref="A34:A35"/>
    <mergeCell ref="B34:B35"/>
    <mergeCell ref="A36:A37"/>
    <mergeCell ref="B36:B37"/>
    <mergeCell ref="A26:A27"/>
    <mergeCell ref="B26:B27"/>
    <mergeCell ref="A28:A29"/>
    <mergeCell ref="B28:B29"/>
    <mergeCell ref="A30:A31"/>
    <mergeCell ref="B30:B31"/>
    <mergeCell ref="A20:A21"/>
    <mergeCell ref="B20:B21"/>
    <mergeCell ref="A22:A23"/>
    <mergeCell ref="B22:B23"/>
    <mergeCell ref="A24:A25"/>
    <mergeCell ref="B24:B25"/>
    <mergeCell ref="A14:A15"/>
    <mergeCell ref="B14:B15"/>
    <mergeCell ref="A16:A17"/>
    <mergeCell ref="B16:B17"/>
    <mergeCell ref="A18:A19"/>
    <mergeCell ref="B18:B19"/>
    <mergeCell ref="A8:A9"/>
    <mergeCell ref="B8:B9"/>
    <mergeCell ref="A10:A11"/>
    <mergeCell ref="B10:B11"/>
    <mergeCell ref="A12:A13"/>
    <mergeCell ref="B12:B13"/>
    <mergeCell ref="A2:A3"/>
    <mergeCell ref="B2:B3"/>
    <mergeCell ref="A4:A5"/>
    <mergeCell ref="B4:B5"/>
    <mergeCell ref="A6:A7"/>
    <mergeCell ref="B6:B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130"/>
  <sheetViews>
    <sheetView topLeftCell="A78" workbookViewId="0">
      <selection activeCell="D85" sqref="D85:K86"/>
    </sheetView>
  </sheetViews>
  <sheetFormatPr defaultRowHeight="15" x14ac:dyDescent="0.25"/>
  <cols>
    <col min="1" max="1" width="7" style="29" customWidth="1"/>
    <col min="2" max="2" width="8" style="29" customWidth="1"/>
    <col min="3" max="3" width="11" style="31" customWidth="1"/>
    <col min="4" max="4" width="12" style="29" customWidth="1"/>
    <col min="5" max="8" width="14.85546875" style="31" customWidth="1"/>
    <col min="9" max="16384" width="9.140625" style="31"/>
  </cols>
  <sheetData>
    <row r="2" spans="1:11" s="39" customFormat="1" ht="30" customHeight="1" x14ac:dyDescent="0.2">
      <c r="A2" s="233" t="s">
        <v>358</v>
      </c>
      <c r="B2" s="233" t="s">
        <v>463</v>
      </c>
      <c r="C2" s="235" t="s">
        <v>359</v>
      </c>
      <c r="D2" s="233" t="s">
        <v>991</v>
      </c>
      <c r="E2" s="234" t="s">
        <v>985</v>
      </c>
      <c r="F2" s="234"/>
      <c r="G2" s="234"/>
      <c r="H2" s="234"/>
      <c r="I2" s="235" t="s">
        <v>983</v>
      </c>
      <c r="J2" s="235" t="s">
        <v>984</v>
      </c>
      <c r="K2" s="242" t="s">
        <v>1098</v>
      </c>
    </row>
    <row r="3" spans="1:11" s="39" customFormat="1" ht="30" customHeight="1" x14ac:dyDescent="0.2">
      <c r="A3" s="233"/>
      <c r="B3" s="233"/>
      <c r="C3" s="236"/>
      <c r="D3" s="233"/>
      <c r="E3" s="154" t="s">
        <v>987</v>
      </c>
      <c r="F3" s="154" t="s">
        <v>988</v>
      </c>
      <c r="G3" s="154" t="s">
        <v>989</v>
      </c>
      <c r="H3" s="154" t="s">
        <v>990</v>
      </c>
      <c r="I3" s="236"/>
      <c r="J3" s="236"/>
      <c r="K3" s="242"/>
    </row>
    <row r="4" spans="1:11" s="40" customFormat="1" ht="18.75" customHeight="1" x14ac:dyDescent="0.25">
      <c r="A4" s="205">
        <v>1</v>
      </c>
      <c r="B4" s="226" t="s">
        <v>154</v>
      </c>
      <c r="C4" s="146" t="s">
        <v>376</v>
      </c>
      <c r="D4" s="147">
        <v>5</v>
      </c>
      <c r="E4" s="147">
        <v>5</v>
      </c>
      <c r="F4" s="147">
        <v>5</v>
      </c>
      <c r="G4" s="114"/>
      <c r="H4" s="114"/>
      <c r="I4" s="147">
        <v>35</v>
      </c>
      <c r="J4" s="114"/>
      <c r="K4" s="147">
        <f>SUM(D4:I4)</f>
        <v>50</v>
      </c>
    </row>
    <row r="5" spans="1:11" ht="18.75" customHeight="1" x14ac:dyDescent="0.25">
      <c r="A5" s="205"/>
      <c r="B5" s="226"/>
      <c r="C5" s="145" t="s">
        <v>151</v>
      </c>
      <c r="D5" s="155">
        <v>5</v>
      </c>
      <c r="E5" s="75"/>
      <c r="F5" s="75"/>
      <c r="G5" s="147">
        <v>5</v>
      </c>
      <c r="H5" s="147">
        <v>5</v>
      </c>
      <c r="I5" s="75"/>
      <c r="J5" s="147">
        <v>35</v>
      </c>
      <c r="K5" s="147">
        <f>SUM(D5:J5)</f>
        <v>50</v>
      </c>
    </row>
    <row r="6" spans="1:11" ht="18.75" customHeight="1" x14ac:dyDescent="0.25">
      <c r="A6" s="204">
        <v>1</v>
      </c>
      <c r="B6" s="204" t="s">
        <v>155</v>
      </c>
      <c r="C6" s="145" t="s">
        <v>161</v>
      </c>
      <c r="D6" s="147">
        <v>5</v>
      </c>
      <c r="E6" s="147">
        <v>5</v>
      </c>
      <c r="F6" s="147">
        <v>5</v>
      </c>
      <c r="G6" s="114"/>
      <c r="H6" s="114"/>
      <c r="I6" s="147">
        <v>35</v>
      </c>
      <c r="J6" s="114"/>
      <c r="K6" s="147">
        <f>SUM(D6:I6)</f>
        <v>50</v>
      </c>
    </row>
    <row r="7" spans="1:11" ht="18.75" customHeight="1" x14ac:dyDescent="0.25">
      <c r="A7" s="205"/>
      <c r="B7" s="205"/>
      <c r="C7" s="145" t="s">
        <v>162</v>
      </c>
      <c r="D7" s="155">
        <v>5</v>
      </c>
      <c r="E7" s="75"/>
      <c r="F7" s="75"/>
      <c r="G7" s="147">
        <v>5</v>
      </c>
      <c r="H7" s="147">
        <v>5</v>
      </c>
      <c r="I7" s="75"/>
      <c r="J7" s="147">
        <v>35</v>
      </c>
      <c r="K7" s="147">
        <f t="shared" ref="K7:K25" si="0">SUM(D7:J7)</f>
        <v>50</v>
      </c>
    </row>
    <row r="8" spans="1:11" ht="18.75" customHeight="1" x14ac:dyDescent="0.25">
      <c r="A8" s="204">
        <v>1</v>
      </c>
      <c r="B8" s="204" t="s">
        <v>160</v>
      </c>
      <c r="C8" s="145" t="s">
        <v>167</v>
      </c>
      <c r="D8" s="147">
        <v>5</v>
      </c>
      <c r="E8" s="147">
        <v>5</v>
      </c>
      <c r="F8" s="147">
        <v>5</v>
      </c>
      <c r="G8" s="114"/>
      <c r="H8" s="114"/>
      <c r="I8" s="147">
        <v>35</v>
      </c>
      <c r="J8" s="114"/>
      <c r="K8" s="147">
        <f t="shared" si="0"/>
        <v>50</v>
      </c>
    </row>
    <row r="9" spans="1:11" ht="18.75" customHeight="1" x14ac:dyDescent="0.25">
      <c r="A9" s="205"/>
      <c r="B9" s="205"/>
      <c r="C9" s="145" t="s">
        <v>377</v>
      </c>
      <c r="D9" s="147">
        <v>5</v>
      </c>
      <c r="E9" s="75"/>
      <c r="F9" s="75"/>
      <c r="G9" s="147">
        <v>5</v>
      </c>
      <c r="H9" s="147">
        <v>5</v>
      </c>
      <c r="I9" s="75"/>
      <c r="J9" s="147">
        <v>35</v>
      </c>
      <c r="K9" s="147">
        <f t="shared" si="0"/>
        <v>50</v>
      </c>
    </row>
    <row r="10" spans="1:11" ht="18.75" customHeight="1" x14ac:dyDescent="0.25">
      <c r="A10" s="212">
        <v>1</v>
      </c>
      <c r="B10" s="212" t="s">
        <v>166</v>
      </c>
      <c r="C10" s="148" t="s">
        <v>171</v>
      </c>
      <c r="D10" s="147">
        <v>5</v>
      </c>
      <c r="E10" s="147">
        <v>5</v>
      </c>
      <c r="F10" s="147">
        <v>5</v>
      </c>
      <c r="G10" s="114"/>
      <c r="H10" s="114"/>
      <c r="I10" s="147">
        <v>35</v>
      </c>
      <c r="J10" s="114"/>
      <c r="K10" s="147">
        <f t="shared" si="0"/>
        <v>50</v>
      </c>
    </row>
    <row r="11" spans="1:11" ht="18.75" customHeight="1" x14ac:dyDescent="0.25">
      <c r="A11" s="212"/>
      <c r="B11" s="212"/>
      <c r="C11" s="148" t="s">
        <v>378</v>
      </c>
      <c r="D11" s="147">
        <v>5</v>
      </c>
      <c r="E11" s="75"/>
      <c r="F11" s="75"/>
      <c r="G11" s="147">
        <v>5</v>
      </c>
      <c r="H11" s="147">
        <v>5</v>
      </c>
      <c r="I11" s="75"/>
      <c r="J11" s="147">
        <v>35</v>
      </c>
      <c r="K11" s="147">
        <f t="shared" si="0"/>
        <v>50</v>
      </c>
    </row>
    <row r="12" spans="1:11" ht="18.75" customHeight="1" x14ac:dyDescent="0.25">
      <c r="A12" s="204">
        <v>1</v>
      </c>
      <c r="B12" s="204" t="s">
        <v>170</v>
      </c>
      <c r="C12" s="148" t="s">
        <v>175</v>
      </c>
      <c r="D12" s="147">
        <v>5</v>
      </c>
      <c r="E12" s="147">
        <v>5</v>
      </c>
      <c r="F12" s="147">
        <v>5</v>
      </c>
      <c r="G12" s="114"/>
      <c r="H12" s="114"/>
      <c r="I12" s="147">
        <v>35</v>
      </c>
      <c r="J12" s="114"/>
      <c r="K12" s="147">
        <f t="shared" si="0"/>
        <v>50</v>
      </c>
    </row>
    <row r="13" spans="1:11" ht="18.75" customHeight="1" x14ac:dyDescent="0.25">
      <c r="A13" s="205"/>
      <c r="B13" s="205"/>
      <c r="C13" s="145" t="s">
        <v>383</v>
      </c>
      <c r="D13" s="147">
        <v>5</v>
      </c>
      <c r="E13" s="75"/>
      <c r="F13" s="75"/>
      <c r="G13" s="147">
        <v>5</v>
      </c>
      <c r="H13" s="147">
        <v>5</v>
      </c>
      <c r="I13" s="75"/>
      <c r="J13" s="147">
        <v>35</v>
      </c>
      <c r="K13" s="147">
        <f t="shared" si="0"/>
        <v>50</v>
      </c>
    </row>
    <row r="14" spans="1:11" ht="18.75" customHeight="1" x14ac:dyDescent="0.25">
      <c r="A14" s="204">
        <v>1</v>
      </c>
      <c r="B14" s="204" t="s">
        <v>194</v>
      </c>
      <c r="C14" s="145" t="s">
        <v>381</v>
      </c>
      <c r="D14" s="147">
        <v>5</v>
      </c>
      <c r="E14" s="147">
        <v>5</v>
      </c>
      <c r="F14" s="147">
        <v>5</v>
      </c>
      <c r="G14" s="114"/>
      <c r="H14" s="114"/>
      <c r="I14" s="147">
        <v>35</v>
      </c>
      <c r="J14" s="114"/>
      <c r="K14" s="147">
        <f t="shared" si="0"/>
        <v>50</v>
      </c>
    </row>
    <row r="15" spans="1:11" ht="18.75" customHeight="1" x14ac:dyDescent="0.25">
      <c r="A15" s="205"/>
      <c r="B15" s="205"/>
      <c r="C15" s="145" t="s">
        <v>382</v>
      </c>
      <c r="D15" s="147">
        <v>5</v>
      </c>
      <c r="E15" s="75"/>
      <c r="F15" s="75"/>
      <c r="G15" s="147">
        <v>5</v>
      </c>
      <c r="H15" s="147">
        <v>5</v>
      </c>
      <c r="I15" s="75"/>
      <c r="J15" s="147">
        <v>35</v>
      </c>
      <c r="K15" s="147">
        <f t="shared" si="0"/>
        <v>50</v>
      </c>
    </row>
    <row r="16" spans="1:11" ht="18.75" customHeight="1" x14ac:dyDescent="0.25">
      <c r="A16" s="204">
        <v>1</v>
      </c>
      <c r="B16" s="204" t="s">
        <v>211</v>
      </c>
      <c r="C16" s="145" t="s">
        <v>384</v>
      </c>
      <c r="D16" s="147">
        <v>5</v>
      </c>
      <c r="E16" s="147">
        <v>5</v>
      </c>
      <c r="F16" s="147">
        <v>5</v>
      </c>
      <c r="G16" s="114"/>
      <c r="H16" s="114"/>
      <c r="I16" s="147">
        <v>35</v>
      </c>
      <c r="J16" s="114"/>
      <c r="K16" s="147">
        <f t="shared" si="0"/>
        <v>50</v>
      </c>
    </row>
    <row r="17" spans="1:11" ht="18.75" customHeight="1" x14ac:dyDescent="0.25">
      <c r="A17" s="205"/>
      <c r="B17" s="205"/>
      <c r="C17" s="152" t="s">
        <v>385</v>
      </c>
      <c r="D17" s="147">
        <v>5</v>
      </c>
      <c r="E17" s="75"/>
      <c r="F17" s="75"/>
      <c r="G17" s="147">
        <v>5</v>
      </c>
      <c r="H17" s="147">
        <v>5</v>
      </c>
      <c r="I17" s="75"/>
      <c r="J17" s="147">
        <v>35</v>
      </c>
      <c r="K17" s="147">
        <f t="shared" si="0"/>
        <v>50</v>
      </c>
    </row>
    <row r="18" spans="1:11" ht="18.75" customHeight="1" x14ac:dyDescent="0.25">
      <c r="A18" s="204">
        <v>1</v>
      </c>
      <c r="B18" s="204" t="s">
        <v>375</v>
      </c>
      <c r="C18" s="148" t="s">
        <v>386</v>
      </c>
      <c r="D18" s="147">
        <v>5</v>
      </c>
      <c r="E18" s="147">
        <v>5</v>
      </c>
      <c r="F18" s="147">
        <v>5</v>
      </c>
      <c r="G18" s="114"/>
      <c r="H18" s="114"/>
      <c r="I18" s="147">
        <v>35</v>
      </c>
      <c r="J18" s="114"/>
      <c r="K18" s="147">
        <f t="shared" si="0"/>
        <v>50</v>
      </c>
    </row>
    <row r="19" spans="1:11" ht="18.75" customHeight="1" x14ac:dyDescent="0.25">
      <c r="A19" s="205"/>
      <c r="B19" s="205"/>
      <c r="C19" s="152" t="s">
        <v>387</v>
      </c>
      <c r="D19" s="147">
        <v>5</v>
      </c>
      <c r="E19" s="75"/>
      <c r="F19" s="75"/>
      <c r="G19" s="147">
        <v>5</v>
      </c>
      <c r="H19" s="147">
        <v>5</v>
      </c>
      <c r="I19" s="75"/>
      <c r="J19" s="147">
        <v>35</v>
      </c>
      <c r="K19" s="147">
        <f t="shared" si="0"/>
        <v>50</v>
      </c>
    </row>
    <row r="20" spans="1:11" ht="18.75" customHeight="1" x14ac:dyDescent="0.25">
      <c r="A20" s="204">
        <v>1</v>
      </c>
      <c r="B20" s="204" t="s">
        <v>246</v>
      </c>
      <c r="C20" s="145" t="s">
        <v>388</v>
      </c>
      <c r="D20" s="147">
        <v>5</v>
      </c>
      <c r="E20" s="147">
        <v>5</v>
      </c>
      <c r="F20" s="147">
        <v>5</v>
      </c>
      <c r="G20" s="114"/>
      <c r="H20" s="114"/>
      <c r="I20" s="147">
        <v>35</v>
      </c>
      <c r="J20" s="114"/>
      <c r="K20" s="147">
        <f t="shared" si="0"/>
        <v>50</v>
      </c>
    </row>
    <row r="21" spans="1:11" ht="18.75" customHeight="1" x14ac:dyDescent="0.25">
      <c r="A21" s="205"/>
      <c r="B21" s="205"/>
      <c r="C21" s="145" t="s">
        <v>389</v>
      </c>
      <c r="D21" s="147">
        <v>5</v>
      </c>
      <c r="E21" s="75"/>
      <c r="F21" s="75"/>
      <c r="G21" s="147">
        <v>5</v>
      </c>
      <c r="H21" s="147">
        <v>5</v>
      </c>
      <c r="I21" s="75"/>
      <c r="J21" s="147">
        <v>35</v>
      </c>
      <c r="K21" s="147">
        <f t="shared" si="0"/>
        <v>50</v>
      </c>
    </row>
    <row r="22" spans="1:11" ht="18.75" customHeight="1" x14ac:dyDescent="0.25">
      <c r="A22" s="204">
        <v>1</v>
      </c>
      <c r="B22" s="204" t="s">
        <v>255</v>
      </c>
      <c r="C22" s="145" t="s">
        <v>390</v>
      </c>
      <c r="D22" s="147">
        <v>5</v>
      </c>
      <c r="E22" s="147">
        <v>5</v>
      </c>
      <c r="F22" s="147">
        <v>5</v>
      </c>
      <c r="G22" s="114"/>
      <c r="H22" s="114"/>
      <c r="I22" s="147">
        <v>35</v>
      </c>
      <c r="J22" s="114"/>
      <c r="K22" s="147">
        <f t="shared" si="0"/>
        <v>50</v>
      </c>
    </row>
    <row r="23" spans="1:11" ht="18.75" customHeight="1" x14ac:dyDescent="0.25">
      <c r="A23" s="205"/>
      <c r="B23" s="205"/>
      <c r="C23" s="145" t="s">
        <v>391</v>
      </c>
      <c r="D23" s="147">
        <v>5</v>
      </c>
      <c r="E23" s="75"/>
      <c r="F23" s="75"/>
      <c r="G23" s="147">
        <v>5</v>
      </c>
      <c r="H23" s="147">
        <v>5</v>
      </c>
      <c r="I23" s="75"/>
      <c r="J23" s="147">
        <v>35</v>
      </c>
      <c r="K23" s="147">
        <f t="shared" si="0"/>
        <v>50</v>
      </c>
    </row>
    <row r="24" spans="1:11" ht="18.75" customHeight="1" x14ac:dyDescent="0.25">
      <c r="A24" s="204">
        <v>1</v>
      </c>
      <c r="B24" s="204" t="s">
        <v>262</v>
      </c>
      <c r="C24" s="145" t="s">
        <v>392</v>
      </c>
      <c r="D24" s="147">
        <v>5</v>
      </c>
      <c r="E24" s="147">
        <v>5</v>
      </c>
      <c r="F24" s="147">
        <v>5</v>
      </c>
      <c r="G24" s="114"/>
      <c r="H24" s="114"/>
      <c r="I24" s="147">
        <v>35</v>
      </c>
      <c r="J24" s="114"/>
      <c r="K24" s="147">
        <f t="shared" si="0"/>
        <v>50</v>
      </c>
    </row>
    <row r="25" spans="1:11" ht="18.75" customHeight="1" x14ac:dyDescent="0.25">
      <c r="A25" s="205"/>
      <c r="B25" s="205"/>
      <c r="C25" s="145" t="s">
        <v>393</v>
      </c>
      <c r="D25" s="147">
        <v>5</v>
      </c>
      <c r="E25" s="75"/>
      <c r="F25" s="75"/>
      <c r="G25" s="147">
        <v>5</v>
      </c>
      <c r="H25" s="147">
        <v>5</v>
      </c>
      <c r="I25" s="75"/>
      <c r="J25" s="147">
        <v>35</v>
      </c>
      <c r="K25" s="147">
        <f t="shared" si="0"/>
        <v>50</v>
      </c>
    </row>
    <row r="26" spans="1:11" ht="18.75" customHeight="1" x14ac:dyDescent="0.25">
      <c r="A26" s="204">
        <v>2</v>
      </c>
      <c r="B26" s="204" t="s">
        <v>156</v>
      </c>
      <c r="C26" s="145" t="s">
        <v>176</v>
      </c>
      <c r="D26" s="147">
        <v>5</v>
      </c>
      <c r="E26" s="147">
        <v>5</v>
      </c>
      <c r="F26" s="147">
        <v>5</v>
      </c>
      <c r="G26" s="114"/>
      <c r="H26" s="114"/>
      <c r="I26" s="147">
        <v>35</v>
      </c>
      <c r="J26" s="114"/>
      <c r="K26" s="147">
        <f t="shared" ref="K26" si="1">SUM(D26:I26)</f>
        <v>50</v>
      </c>
    </row>
    <row r="27" spans="1:11" ht="18.75" customHeight="1" x14ac:dyDescent="0.25">
      <c r="A27" s="205"/>
      <c r="B27" s="205"/>
      <c r="C27" s="145" t="s">
        <v>182</v>
      </c>
      <c r="D27" s="147">
        <v>5</v>
      </c>
      <c r="E27" s="75"/>
      <c r="F27" s="75"/>
      <c r="G27" s="147">
        <v>5</v>
      </c>
      <c r="H27" s="147">
        <v>5</v>
      </c>
      <c r="I27" s="75"/>
      <c r="J27" s="147">
        <v>35</v>
      </c>
      <c r="K27" s="147">
        <f>SUM(D27:J27)</f>
        <v>50</v>
      </c>
    </row>
    <row r="28" spans="1:11" ht="18.75" customHeight="1" x14ac:dyDescent="0.25">
      <c r="A28" s="204">
        <v>2</v>
      </c>
      <c r="B28" s="204" t="s">
        <v>158</v>
      </c>
      <c r="C28" s="145" t="s">
        <v>183</v>
      </c>
      <c r="D28" s="147">
        <v>5</v>
      </c>
      <c r="E28" s="147">
        <v>5</v>
      </c>
      <c r="F28" s="147">
        <v>5</v>
      </c>
      <c r="G28" s="114"/>
      <c r="H28" s="114"/>
      <c r="I28" s="147">
        <v>35</v>
      </c>
      <c r="J28" s="114"/>
      <c r="K28" s="147">
        <f>SUM(D28:J28)</f>
        <v>50</v>
      </c>
    </row>
    <row r="29" spans="1:11" ht="18.75" customHeight="1" x14ac:dyDescent="0.25">
      <c r="A29" s="205"/>
      <c r="B29" s="205"/>
      <c r="C29" s="145" t="s">
        <v>184</v>
      </c>
      <c r="D29" s="147">
        <v>5</v>
      </c>
      <c r="E29" s="75"/>
      <c r="F29" s="75"/>
      <c r="G29" s="147">
        <v>5</v>
      </c>
      <c r="H29" s="147">
        <v>5</v>
      </c>
      <c r="I29" s="75"/>
      <c r="J29" s="147">
        <v>35</v>
      </c>
      <c r="K29" s="147">
        <f>SUM(D29:J29)</f>
        <v>50</v>
      </c>
    </row>
    <row r="30" spans="1:11" ht="18.75" customHeight="1" x14ac:dyDescent="0.25">
      <c r="A30" s="204">
        <v>2</v>
      </c>
      <c r="B30" s="204" t="s">
        <v>159</v>
      </c>
      <c r="C30" s="145" t="s">
        <v>185</v>
      </c>
      <c r="D30" s="147">
        <v>5</v>
      </c>
      <c r="E30" s="147">
        <v>5</v>
      </c>
      <c r="F30" s="147">
        <v>5</v>
      </c>
      <c r="G30" s="114"/>
      <c r="H30" s="114"/>
      <c r="I30" s="147">
        <v>35</v>
      </c>
      <c r="J30" s="114"/>
      <c r="K30" s="147">
        <f>SUM(D30:J30)</f>
        <v>50</v>
      </c>
    </row>
    <row r="31" spans="1:11" ht="18.75" customHeight="1" x14ac:dyDescent="0.25">
      <c r="A31" s="205"/>
      <c r="B31" s="205"/>
      <c r="C31" s="145" t="s">
        <v>186</v>
      </c>
      <c r="D31" s="147">
        <v>5</v>
      </c>
      <c r="E31" s="75"/>
      <c r="F31" s="75"/>
      <c r="G31" s="147">
        <v>5</v>
      </c>
      <c r="H31" s="147">
        <v>5</v>
      </c>
      <c r="I31" s="75"/>
      <c r="J31" s="147">
        <v>35</v>
      </c>
      <c r="K31" s="147">
        <f>SUM(D31:J31)</f>
        <v>50</v>
      </c>
    </row>
    <row r="32" spans="1:11" ht="18.75" customHeight="1" x14ac:dyDescent="0.25">
      <c r="A32" s="204">
        <v>2</v>
      </c>
      <c r="B32" s="204" t="s">
        <v>179</v>
      </c>
      <c r="C32" s="145" t="s">
        <v>187</v>
      </c>
      <c r="D32" s="147">
        <v>5</v>
      </c>
      <c r="E32" s="147">
        <v>5</v>
      </c>
      <c r="F32" s="147">
        <v>5</v>
      </c>
      <c r="G32" s="114"/>
      <c r="H32" s="114"/>
      <c r="I32" s="147">
        <v>35</v>
      </c>
      <c r="J32" s="114"/>
      <c r="K32" s="147">
        <f t="shared" ref="K32:K96" si="2">SUM(D32:J32)</f>
        <v>50</v>
      </c>
    </row>
    <row r="33" spans="1:11" ht="18.75" customHeight="1" x14ac:dyDescent="0.25">
      <c r="A33" s="205"/>
      <c r="B33" s="205"/>
      <c r="C33" s="145" t="s">
        <v>188</v>
      </c>
      <c r="D33" s="147">
        <v>5</v>
      </c>
      <c r="E33" s="75"/>
      <c r="F33" s="75"/>
      <c r="G33" s="147">
        <v>5</v>
      </c>
      <c r="H33" s="147">
        <v>5</v>
      </c>
      <c r="I33" s="75"/>
      <c r="J33" s="147">
        <v>35</v>
      </c>
      <c r="K33" s="147">
        <f t="shared" si="2"/>
        <v>50</v>
      </c>
    </row>
    <row r="34" spans="1:11" ht="18.75" customHeight="1" x14ac:dyDescent="0.25">
      <c r="A34" s="204">
        <v>2</v>
      </c>
      <c r="B34" s="204" t="s">
        <v>394</v>
      </c>
      <c r="C34" s="145" t="s">
        <v>189</v>
      </c>
      <c r="D34" s="147">
        <v>5</v>
      </c>
      <c r="E34" s="147">
        <v>5</v>
      </c>
      <c r="F34" s="147">
        <v>5</v>
      </c>
      <c r="G34" s="114"/>
      <c r="H34" s="114"/>
      <c r="I34" s="147">
        <v>35</v>
      </c>
      <c r="J34" s="114"/>
      <c r="K34" s="147">
        <f t="shared" si="2"/>
        <v>50</v>
      </c>
    </row>
    <row r="35" spans="1:11" ht="18.75" customHeight="1" x14ac:dyDescent="0.25">
      <c r="A35" s="205"/>
      <c r="B35" s="205"/>
      <c r="C35" s="145" t="s">
        <v>395</v>
      </c>
      <c r="D35" s="147">
        <v>5</v>
      </c>
      <c r="E35" s="75"/>
      <c r="F35" s="75"/>
      <c r="G35" s="147">
        <v>5</v>
      </c>
      <c r="H35" s="147">
        <v>5</v>
      </c>
      <c r="I35" s="75"/>
      <c r="J35" s="147">
        <v>35</v>
      </c>
      <c r="K35" s="147">
        <f t="shared" si="2"/>
        <v>50</v>
      </c>
    </row>
    <row r="36" spans="1:11" ht="18.75" customHeight="1" x14ac:dyDescent="0.25">
      <c r="A36" s="204">
        <v>2</v>
      </c>
      <c r="B36" s="204" t="s">
        <v>214</v>
      </c>
      <c r="C36" s="145" t="s">
        <v>396</v>
      </c>
      <c r="D36" s="147">
        <v>5</v>
      </c>
      <c r="E36" s="147">
        <v>5</v>
      </c>
      <c r="F36" s="147">
        <v>5</v>
      </c>
      <c r="G36" s="114"/>
      <c r="H36" s="114"/>
      <c r="I36" s="147">
        <v>35</v>
      </c>
      <c r="J36" s="114"/>
      <c r="K36" s="147">
        <f t="shared" ref="K36:K81" si="3">SUM(D36:J36)</f>
        <v>50</v>
      </c>
    </row>
    <row r="37" spans="1:11" ht="18.75" customHeight="1" x14ac:dyDescent="0.25">
      <c r="A37" s="205"/>
      <c r="B37" s="205"/>
      <c r="C37" s="145" t="s">
        <v>397</v>
      </c>
      <c r="D37" s="147">
        <v>5</v>
      </c>
      <c r="E37" s="75"/>
      <c r="F37" s="75"/>
      <c r="G37" s="147">
        <v>5</v>
      </c>
      <c r="H37" s="147">
        <v>5</v>
      </c>
      <c r="I37" s="75"/>
      <c r="J37" s="147">
        <v>35</v>
      </c>
      <c r="K37" s="147">
        <f t="shared" si="3"/>
        <v>50</v>
      </c>
    </row>
    <row r="38" spans="1:11" ht="18.75" customHeight="1" x14ac:dyDescent="0.25">
      <c r="A38" s="204">
        <v>2</v>
      </c>
      <c r="B38" s="204" t="s">
        <v>261</v>
      </c>
      <c r="C38" s="145" t="s">
        <v>398</v>
      </c>
      <c r="D38" s="147">
        <v>5</v>
      </c>
      <c r="E38" s="147">
        <v>5</v>
      </c>
      <c r="F38" s="147">
        <v>5</v>
      </c>
      <c r="G38" s="114"/>
      <c r="H38" s="114"/>
      <c r="I38" s="147">
        <v>35</v>
      </c>
      <c r="J38" s="114"/>
      <c r="K38" s="147">
        <f t="shared" si="3"/>
        <v>50</v>
      </c>
    </row>
    <row r="39" spans="1:11" ht="18.75" customHeight="1" x14ac:dyDescent="0.25">
      <c r="A39" s="205"/>
      <c r="B39" s="205"/>
      <c r="C39" s="151" t="s">
        <v>399</v>
      </c>
      <c r="D39" s="147">
        <v>5</v>
      </c>
      <c r="E39" s="75"/>
      <c r="F39" s="75"/>
      <c r="G39" s="147">
        <v>5</v>
      </c>
      <c r="H39" s="147">
        <v>5</v>
      </c>
      <c r="I39" s="75"/>
      <c r="J39" s="147">
        <v>35</v>
      </c>
      <c r="K39" s="147">
        <f t="shared" si="3"/>
        <v>50</v>
      </c>
    </row>
    <row r="40" spans="1:11" ht="18.75" customHeight="1" x14ac:dyDescent="0.25">
      <c r="A40" s="204">
        <v>2</v>
      </c>
      <c r="B40" s="204" t="s">
        <v>265</v>
      </c>
      <c r="C40" s="148" t="s">
        <v>400</v>
      </c>
      <c r="D40" s="147">
        <v>5</v>
      </c>
      <c r="E40" s="147">
        <v>5</v>
      </c>
      <c r="F40" s="147">
        <v>5</v>
      </c>
      <c r="G40" s="114"/>
      <c r="H40" s="114"/>
      <c r="I40" s="147">
        <v>35</v>
      </c>
      <c r="J40" s="114"/>
      <c r="K40" s="147">
        <f t="shared" si="3"/>
        <v>50</v>
      </c>
    </row>
    <row r="41" spans="1:11" ht="18.75" customHeight="1" x14ac:dyDescent="0.25">
      <c r="A41" s="205"/>
      <c r="B41" s="205"/>
      <c r="C41" s="145" t="s">
        <v>401</v>
      </c>
      <c r="D41" s="147">
        <v>5</v>
      </c>
      <c r="E41" s="75"/>
      <c r="F41" s="75"/>
      <c r="G41" s="147">
        <v>5</v>
      </c>
      <c r="H41" s="147">
        <v>5</v>
      </c>
      <c r="I41" s="75"/>
      <c r="J41" s="147">
        <v>35</v>
      </c>
      <c r="K41" s="147">
        <f t="shared" si="3"/>
        <v>50</v>
      </c>
    </row>
    <row r="42" spans="1:11" ht="18.75" customHeight="1" x14ac:dyDescent="0.25">
      <c r="A42" s="204">
        <v>2</v>
      </c>
      <c r="B42" s="204" t="s">
        <v>270</v>
      </c>
      <c r="C42" s="145" t="s">
        <v>402</v>
      </c>
      <c r="D42" s="147">
        <v>5</v>
      </c>
      <c r="E42" s="147">
        <v>5</v>
      </c>
      <c r="F42" s="147">
        <v>5</v>
      </c>
      <c r="G42" s="114"/>
      <c r="H42" s="114"/>
      <c r="I42" s="147">
        <v>35</v>
      </c>
      <c r="J42" s="114"/>
      <c r="K42" s="147">
        <f t="shared" si="3"/>
        <v>50</v>
      </c>
    </row>
    <row r="43" spans="1:11" ht="18.75" customHeight="1" x14ac:dyDescent="0.25">
      <c r="A43" s="205"/>
      <c r="B43" s="205"/>
      <c r="C43" s="145" t="s">
        <v>403</v>
      </c>
      <c r="D43" s="147">
        <v>5</v>
      </c>
      <c r="E43" s="75"/>
      <c r="F43" s="75"/>
      <c r="G43" s="147">
        <v>5</v>
      </c>
      <c r="H43" s="147">
        <v>5</v>
      </c>
      <c r="I43" s="75"/>
      <c r="J43" s="147">
        <v>35</v>
      </c>
      <c r="K43" s="147">
        <f t="shared" si="3"/>
        <v>50</v>
      </c>
    </row>
    <row r="44" spans="1:11" ht="18.75" customHeight="1" x14ac:dyDescent="0.25">
      <c r="A44" s="204">
        <v>2</v>
      </c>
      <c r="B44" s="204" t="s">
        <v>281</v>
      </c>
      <c r="C44" s="145" t="s">
        <v>404</v>
      </c>
      <c r="D44" s="147">
        <v>5</v>
      </c>
      <c r="E44" s="147">
        <v>5</v>
      </c>
      <c r="F44" s="147">
        <v>5</v>
      </c>
      <c r="G44" s="114"/>
      <c r="H44" s="114"/>
      <c r="I44" s="147">
        <v>35</v>
      </c>
      <c r="J44" s="114"/>
      <c r="K44" s="147">
        <f t="shared" si="3"/>
        <v>50</v>
      </c>
    </row>
    <row r="45" spans="1:11" ht="18.75" customHeight="1" x14ac:dyDescent="0.25">
      <c r="A45" s="205"/>
      <c r="B45" s="205"/>
      <c r="C45" s="148" t="s">
        <v>405</v>
      </c>
      <c r="D45" s="147">
        <v>5</v>
      </c>
      <c r="E45" s="75"/>
      <c r="F45" s="75"/>
      <c r="G45" s="147">
        <v>5</v>
      </c>
      <c r="H45" s="147">
        <v>5</v>
      </c>
      <c r="I45" s="75"/>
      <c r="J45" s="147">
        <v>35</v>
      </c>
      <c r="K45" s="147">
        <f t="shared" si="3"/>
        <v>50</v>
      </c>
    </row>
    <row r="46" spans="1:11" ht="18.75" customHeight="1" x14ac:dyDescent="0.25">
      <c r="A46" s="204">
        <v>2</v>
      </c>
      <c r="B46" s="204" t="s">
        <v>288</v>
      </c>
      <c r="C46" s="145" t="s">
        <v>406</v>
      </c>
      <c r="D46" s="147">
        <v>5</v>
      </c>
      <c r="E46" s="147">
        <v>5</v>
      </c>
      <c r="F46" s="147">
        <v>5</v>
      </c>
      <c r="G46" s="114"/>
      <c r="H46" s="114"/>
      <c r="I46" s="147">
        <v>35</v>
      </c>
      <c r="J46" s="114"/>
      <c r="K46" s="147">
        <f t="shared" si="3"/>
        <v>50</v>
      </c>
    </row>
    <row r="47" spans="1:11" ht="18.75" customHeight="1" x14ac:dyDescent="0.25">
      <c r="A47" s="205"/>
      <c r="B47" s="205"/>
      <c r="C47" s="145" t="s">
        <v>407</v>
      </c>
      <c r="D47" s="147">
        <v>5</v>
      </c>
      <c r="E47" s="75"/>
      <c r="F47" s="75"/>
      <c r="G47" s="147">
        <v>5</v>
      </c>
      <c r="H47" s="147">
        <v>5</v>
      </c>
      <c r="I47" s="75"/>
      <c r="J47" s="147">
        <v>35</v>
      </c>
      <c r="K47" s="147">
        <f t="shared" si="3"/>
        <v>50</v>
      </c>
    </row>
    <row r="48" spans="1:11" ht="18.75" customHeight="1" x14ac:dyDescent="0.25">
      <c r="A48" s="204">
        <v>2</v>
      </c>
      <c r="B48" s="204" t="s">
        <v>293</v>
      </c>
      <c r="C48" s="145" t="s">
        <v>408</v>
      </c>
      <c r="D48" s="147">
        <v>5</v>
      </c>
      <c r="E48" s="147">
        <v>5</v>
      </c>
      <c r="F48" s="147">
        <v>5</v>
      </c>
      <c r="G48" s="114"/>
      <c r="H48" s="114"/>
      <c r="I48" s="147">
        <v>35</v>
      </c>
      <c r="J48" s="114"/>
      <c r="K48" s="147">
        <f t="shared" si="3"/>
        <v>50</v>
      </c>
    </row>
    <row r="49" spans="1:11" ht="18.75" customHeight="1" x14ac:dyDescent="0.25">
      <c r="A49" s="205"/>
      <c r="B49" s="205"/>
      <c r="C49" s="145" t="s">
        <v>409</v>
      </c>
      <c r="D49" s="147">
        <v>5</v>
      </c>
      <c r="E49" s="75"/>
      <c r="F49" s="75"/>
      <c r="G49" s="147">
        <v>5</v>
      </c>
      <c r="H49" s="147">
        <v>5</v>
      </c>
      <c r="I49" s="75"/>
      <c r="J49" s="147">
        <v>35</v>
      </c>
      <c r="K49" s="147">
        <f t="shared" si="3"/>
        <v>50</v>
      </c>
    </row>
    <row r="50" spans="1:11" ht="18.75" customHeight="1" x14ac:dyDescent="0.25">
      <c r="A50" s="204">
        <v>2</v>
      </c>
      <c r="B50" s="204" t="s">
        <v>297</v>
      </c>
      <c r="C50" s="145" t="s">
        <v>412</v>
      </c>
      <c r="D50" s="147">
        <v>5</v>
      </c>
      <c r="E50" s="147">
        <v>5</v>
      </c>
      <c r="F50" s="147">
        <v>5</v>
      </c>
      <c r="G50" s="114"/>
      <c r="H50" s="114"/>
      <c r="I50" s="147">
        <v>35</v>
      </c>
      <c r="J50" s="114"/>
      <c r="K50" s="147">
        <f t="shared" si="3"/>
        <v>50</v>
      </c>
    </row>
    <row r="51" spans="1:11" ht="18.75" customHeight="1" x14ac:dyDescent="0.25">
      <c r="A51" s="205"/>
      <c r="B51" s="205"/>
      <c r="C51" s="145" t="s">
        <v>413</v>
      </c>
      <c r="D51" s="147">
        <v>5</v>
      </c>
      <c r="E51" s="75"/>
      <c r="F51" s="75"/>
      <c r="G51" s="147">
        <v>5</v>
      </c>
      <c r="H51" s="147">
        <v>5</v>
      </c>
      <c r="I51" s="75"/>
      <c r="J51" s="147">
        <v>35</v>
      </c>
      <c r="K51" s="147">
        <f t="shared" si="3"/>
        <v>50</v>
      </c>
    </row>
    <row r="52" spans="1:11" ht="18.75" customHeight="1" x14ac:dyDescent="0.25">
      <c r="A52" s="204">
        <v>3</v>
      </c>
      <c r="B52" s="204" t="s">
        <v>174</v>
      </c>
      <c r="C52" s="148" t="s">
        <v>190</v>
      </c>
      <c r="D52" s="147">
        <v>5</v>
      </c>
      <c r="E52" s="147">
        <v>5</v>
      </c>
      <c r="F52" s="147">
        <v>5</v>
      </c>
      <c r="G52" s="114"/>
      <c r="H52" s="114"/>
      <c r="I52" s="147">
        <v>35</v>
      </c>
      <c r="J52" s="114"/>
      <c r="K52" s="147">
        <f t="shared" si="3"/>
        <v>50</v>
      </c>
    </row>
    <row r="53" spans="1:11" ht="18.75" customHeight="1" x14ac:dyDescent="0.25">
      <c r="A53" s="205"/>
      <c r="B53" s="205"/>
      <c r="C53" s="148" t="s">
        <v>191</v>
      </c>
      <c r="D53" s="147">
        <v>5</v>
      </c>
      <c r="E53" s="75"/>
      <c r="F53" s="75"/>
      <c r="G53" s="147">
        <v>5</v>
      </c>
      <c r="H53" s="147">
        <v>5</v>
      </c>
      <c r="I53" s="75"/>
      <c r="J53" s="147">
        <v>35</v>
      </c>
      <c r="K53" s="147">
        <f t="shared" si="3"/>
        <v>50</v>
      </c>
    </row>
    <row r="54" spans="1:11" ht="18.75" customHeight="1" x14ac:dyDescent="0.25">
      <c r="A54" s="204">
        <v>4</v>
      </c>
      <c r="B54" s="204" t="s">
        <v>202</v>
      </c>
      <c r="C54" s="145" t="s">
        <v>192</v>
      </c>
      <c r="D54" s="147">
        <v>5</v>
      </c>
      <c r="E54" s="147">
        <v>5</v>
      </c>
      <c r="F54" s="147">
        <v>5</v>
      </c>
      <c r="G54" s="114"/>
      <c r="H54" s="114"/>
      <c r="I54" s="147">
        <v>35</v>
      </c>
      <c r="J54" s="114"/>
      <c r="K54" s="147">
        <f t="shared" si="3"/>
        <v>50</v>
      </c>
    </row>
    <row r="55" spans="1:11" ht="18.75" customHeight="1" x14ac:dyDescent="0.25">
      <c r="A55" s="205"/>
      <c r="B55" s="205"/>
      <c r="C55" s="145" t="s">
        <v>193</v>
      </c>
      <c r="D55" s="147">
        <v>5</v>
      </c>
      <c r="E55" s="75"/>
      <c r="F55" s="75"/>
      <c r="G55" s="147">
        <v>5</v>
      </c>
      <c r="H55" s="147">
        <v>5</v>
      </c>
      <c r="I55" s="75"/>
      <c r="J55" s="147">
        <v>35</v>
      </c>
      <c r="K55" s="147">
        <f t="shared" si="3"/>
        <v>50</v>
      </c>
    </row>
    <row r="56" spans="1:11" ht="18.75" customHeight="1" x14ac:dyDescent="0.25">
      <c r="A56" s="204">
        <v>4</v>
      </c>
      <c r="B56" s="204" t="s">
        <v>205</v>
      </c>
      <c r="C56" s="145" t="s">
        <v>219</v>
      </c>
      <c r="D56" s="147">
        <v>5</v>
      </c>
      <c r="E56" s="147">
        <v>5</v>
      </c>
      <c r="F56" s="147">
        <v>5</v>
      </c>
      <c r="G56" s="114"/>
      <c r="H56" s="114"/>
      <c r="I56" s="147">
        <v>35</v>
      </c>
      <c r="J56" s="114"/>
      <c r="K56" s="147">
        <f t="shared" si="3"/>
        <v>50</v>
      </c>
    </row>
    <row r="57" spans="1:11" ht="18.75" customHeight="1" x14ac:dyDescent="0.25">
      <c r="A57" s="205"/>
      <c r="B57" s="205"/>
      <c r="C57" s="145" t="s">
        <v>220</v>
      </c>
      <c r="D57" s="147">
        <v>5</v>
      </c>
      <c r="E57" s="75"/>
      <c r="F57" s="75"/>
      <c r="G57" s="147">
        <v>5</v>
      </c>
      <c r="H57" s="147">
        <v>5</v>
      </c>
      <c r="I57" s="75"/>
      <c r="J57" s="147">
        <v>35</v>
      </c>
      <c r="K57" s="147">
        <f t="shared" si="3"/>
        <v>50</v>
      </c>
    </row>
    <row r="58" spans="1:11" ht="18.75" customHeight="1" x14ac:dyDescent="0.25">
      <c r="A58" s="212">
        <v>4</v>
      </c>
      <c r="B58" s="212" t="s">
        <v>243</v>
      </c>
      <c r="C58" s="145" t="s">
        <v>221</v>
      </c>
      <c r="D58" s="147">
        <v>5</v>
      </c>
      <c r="E58" s="147">
        <v>5</v>
      </c>
      <c r="F58" s="147">
        <v>5</v>
      </c>
      <c r="G58" s="114"/>
      <c r="H58" s="114"/>
      <c r="I58" s="147">
        <v>35</v>
      </c>
      <c r="J58" s="114"/>
      <c r="K58" s="147">
        <f t="shared" si="3"/>
        <v>50</v>
      </c>
    </row>
    <row r="59" spans="1:11" ht="18.75" customHeight="1" x14ac:dyDescent="0.25">
      <c r="A59" s="212"/>
      <c r="B59" s="212"/>
      <c r="C59" s="145" t="s">
        <v>222</v>
      </c>
      <c r="D59" s="147">
        <v>5</v>
      </c>
      <c r="E59" s="75"/>
      <c r="F59" s="75"/>
      <c r="G59" s="147">
        <v>5</v>
      </c>
      <c r="H59" s="147">
        <v>5</v>
      </c>
      <c r="I59" s="75"/>
      <c r="J59" s="147">
        <v>35</v>
      </c>
      <c r="K59" s="147">
        <f t="shared" si="3"/>
        <v>50</v>
      </c>
    </row>
    <row r="60" spans="1:11" ht="18.75" customHeight="1" x14ac:dyDescent="0.25">
      <c r="A60" s="212">
        <v>4</v>
      </c>
      <c r="B60" s="212" t="s">
        <v>249</v>
      </c>
      <c r="C60" s="148" t="s">
        <v>223</v>
      </c>
      <c r="D60" s="147">
        <v>5</v>
      </c>
      <c r="E60" s="147">
        <v>5</v>
      </c>
      <c r="F60" s="147">
        <v>5</v>
      </c>
      <c r="G60" s="114"/>
      <c r="H60" s="114"/>
      <c r="I60" s="147">
        <v>35</v>
      </c>
      <c r="J60" s="114"/>
      <c r="K60" s="147">
        <f t="shared" si="3"/>
        <v>50</v>
      </c>
    </row>
    <row r="61" spans="1:11" ht="18.75" customHeight="1" x14ac:dyDescent="0.25">
      <c r="A61" s="212"/>
      <c r="B61" s="212"/>
      <c r="C61" s="148" t="s">
        <v>224</v>
      </c>
      <c r="D61" s="147">
        <v>5</v>
      </c>
      <c r="E61" s="75"/>
      <c r="F61" s="75"/>
      <c r="G61" s="147">
        <v>5</v>
      </c>
      <c r="H61" s="147">
        <v>5</v>
      </c>
      <c r="I61" s="75"/>
      <c r="J61" s="147">
        <v>35</v>
      </c>
      <c r="K61" s="147">
        <f t="shared" si="3"/>
        <v>50</v>
      </c>
    </row>
    <row r="62" spans="1:11" ht="18.75" customHeight="1" x14ac:dyDescent="0.25">
      <c r="A62" s="204">
        <v>4</v>
      </c>
      <c r="B62" s="204" t="s">
        <v>252</v>
      </c>
      <c r="C62" s="145" t="s">
        <v>225</v>
      </c>
      <c r="D62" s="147">
        <v>5</v>
      </c>
      <c r="E62" s="147">
        <v>5</v>
      </c>
      <c r="F62" s="147">
        <v>5</v>
      </c>
      <c r="G62" s="114"/>
      <c r="H62" s="114"/>
      <c r="I62" s="147">
        <v>35</v>
      </c>
      <c r="J62" s="114"/>
      <c r="K62" s="147">
        <f t="shared" si="3"/>
        <v>50</v>
      </c>
    </row>
    <row r="63" spans="1:11" ht="18.75" customHeight="1" x14ac:dyDescent="0.25">
      <c r="A63" s="205"/>
      <c r="B63" s="205"/>
      <c r="C63" s="145" t="s">
        <v>414</v>
      </c>
      <c r="D63" s="147">
        <v>5</v>
      </c>
      <c r="E63" s="75"/>
      <c r="F63" s="75"/>
      <c r="G63" s="147">
        <v>5</v>
      </c>
      <c r="H63" s="147">
        <v>5</v>
      </c>
      <c r="I63" s="75"/>
      <c r="J63" s="147">
        <v>35</v>
      </c>
      <c r="K63" s="147">
        <f t="shared" si="3"/>
        <v>50</v>
      </c>
    </row>
    <row r="64" spans="1:11" ht="18.75" customHeight="1" x14ac:dyDescent="0.25">
      <c r="A64" s="204">
        <v>4</v>
      </c>
      <c r="B64" s="204" t="s">
        <v>258</v>
      </c>
      <c r="C64" s="145" t="s">
        <v>415</v>
      </c>
      <c r="D64" s="147">
        <v>5</v>
      </c>
      <c r="E64" s="147">
        <v>5</v>
      </c>
      <c r="F64" s="147">
        <v>5</v>
      </c>
      <c r="G64" s="114"/>
      <c r="H64" s="114"/>
      <c r="I64" s="147">
        <v>35</v>
      </c>
      <c r="J64" s="114"/>
      <c r="K64" s="147">
        <f t="shared" si="3"/>
        <v>50</v>
      </c>
    </row>
    <row r="65" spans="1:11" ht="18.75" customHeight="1" x14ac:dyDescent="0.25">
      <c r="A65" s="205"/>
      <c r="B65" s="205"/>
      <c r="C65" s="145" t="s">
        <v>416</v>
      </c>
      <c r="D65" s="147">
        <v>5</v>
      </c>
      <c r="E65" s="75"/>
      <c r="F65" s="75"/>
      <c r="G65" s="147">
        <v>5</v>
      </c>
      <c r="H65" s="147">
        <v>5</v>
      </c>
      <c r="I65" s="75"/>
      <c r="J65" s="147">
        <v>35</v>
      </c>
      <c r="K65" s="147">
        <f t="shared" si="3"/>
        <v>50</v>
      </c>
    </row>
    <row r="66" spans="1:11" ht="18.75" customHeight="1" x14ac:dyDescent="0.25">
      <c r="A66" s="204">
        <v>4</v>
      </c>
      <c r="B66" s="204" t="s">
        <v>267</v>
      </c>
      <c r="C66" s="148" t="s">
        <v>417</v>
      </c>
      <c r="D66" s="147">
        <v>5</v>
      </c>
      <c r="E66" s="147">
        <v>5</v>
      </c>
      <c r="F66" s="147">
        <v>5</v>
      </c>
      <c r="G66" s="114"/>
      <c r="H66" s="114"/>
      <c r="I66" s="147">
        <v>35</v>
      </c>
      <c r="J66" s="114"/>
      <c r="K66" s="147">
        <f t="shared" si="3"/>
        <v>50</v>
      </c>
    </row>
    <row r="67" spans="1:11" ht="18.75" customHeight="1" x14ac:dyDescent="0.25">
      <c r="A67" s="205"/>
      <c r="B67" s="205"/>
      <c r="C67" s="145" t="s">
        <v>418</v>
      </c>
      <c r="D67" s="147">
        <v>5</v>
      </c>
      <c r="E67" s="75"/>
      <c r="F67" s="75"/>
      <c r="G67" s="147">
        <v>5</v>
      </c>
      <c r="H67" s="147">
        <v>5</v>
      </c>
      <c r="I67" s="75"/>
      <c r="J67" s="147">
        <v>35</v>
      </c>
      <c r="K67" s="147">
        <f t="shared" si="3"/>
        <v>50</v>
      </c>
    </row>
    <row r="68" spans="1:11" ht="18.75" customHeight="1" x14ac:dyDescent="0.25">
      <c r="A68" s="204">
        <v>4</v>
      </c>
      <c r="B68" s="204" t="s">
        <v>275</v>
      </c>
      <c r="C68" s="145" t="s">
        <v>419</v>
      </c>
      <c r="D68" s="147">
        <v>5</v>
      </c>
      <c r="E68" s="147">
        <v>5</v>
      </c>
      <c r="F68" s="147">
        <v>5</v>
      </c>
      <c r="G68" s="114"/>
      <c r="H68" s="114"/>
      <c r="I68" s="147">
        <v>35</v>
      </c>
      <c r="J68" s="114"/>
      <c r="K68" s="147">
        <f t="shared" si="3"/>
        <v>50</v>
      </c>
    </row>
    <row r="69" spans="1:11" ht="18.75" customHeight="1" x14ac:dyDescent="0.25">
      <c r="A69" s="205"/>
      <c r="B69" s="205"/>
      <c r="C69" s="145" t="s">
        <v>420</v>
      </c>
      <c r="D69" s="147">
        <v>5</v>
      </c>
      <c r="E69" s="75"/>
      <c r="F69" s="75"/>
      <c r="G69" s="147">
        <v>5</v>
      </c>
      <c r="H69" s="147">
        <v>5</v>
      </c>
      <c r="I69" s="75"/>
      <c r="J69" s="147">
        <v>35</v>
      </c>
      <c r="K69" s="147">
        <f t="shared" si="3"/>
        <v>50</v>
      </c>
    </row>
    <row r="70" spans="1:11" ht="18.75" customHeight="1" x14ac:dyDescent="0.25">
      <c r="A70" s="204">
        <v>4</v>
      </c>
      <c r="B70" s="204" t="s">
        <v>278</v>
      </c>
      <c r="C70" s="145" t="s">
        <v>421</v>
      </c>
      <c r="D70" s="147">
        <v>5</v>
      </c>
      <c r="E70" s="147">
        <v>5</v>
      </c>
      <c r="F70" s="147">
        <v>5</v>
      </c>
      <c r="G70" s="114"/>
      <c r="H70" s="114"/>
      <c r="I70" s="147">
        <v>35</v>
      </c>
      <c r="J70" s="114"/>
      <c r="K70" s="147">
        <f t="shared" si="3"/>
        <v>50</v>
      </c>
    </row>
    <row r="71" spans="1:11" ht="18.75" customHeight="1" x14ac:dyDescent="0.25">
      <c r="A71" s="205"/>
      <c r="B71" s="205"/>
      <c r="C71" s="145" t="s">
        <v>422</v>
      </c>
      <c r="D71" s="147">
        <v>5</v>
      </c>
      <c r="E71" s="75"/>
      <c r="F71" s="75"/>
      <c r="G71" s="147">
        <v>5</v>
      </c>
      <c r="H71" s="147">
        <v>5</v>
      </c>
      <c r="I71" s="75"/>
      <c r="J71" s="147">
        <v>35</v>
      </c>
      <c r="K71" s="147">
        <f t="shared" si="3"/>
        <v>50</v>
      </c>
    </row>
    <row r="72" spans="1:11" ht="18.75" customHeight="1" x14ac:dyDescent="0.25">
      <c r="A72" s="204">
        <v>4</v>
      </c>
      <c r="B72" s="204" t="s">
        <v>287</v>
      </c>
      <c r="C72" s="145" t="s">
        <v>423</v>
      </c>
      <c r="D72" s="147">
        <v>5</v>
      </c>
      <c r="E72" s="147">
        <v>5</v>
      </c>
      <c r="F72" s="147">
        <v>5</v>
      </c>
      <c r="G72" s="114"/>
      <c r="H72" s="114"/>
      <c r="I72" s="147">
        <v>35</v>
      </c>
      <c r="J72" s="114"/>
      <c r="K72" s="147">
        <f t="shared" si="3"/>
        <v>50</v>
      </c>
    </row>
    <row r="73" spans="1:11" ht="18.75" customHeight="1" x14ac:dyDescent="0.25">
      <c r="A73" s="205"/>
      <c r="B73" s="205"/>
      <c r="C73" s="145" t="s">
        <v>424</v>
      </c>
      <c r="D73" s="147">
        <v>5</v>
      </c>
      <c r="E73" s="75"/>
      <c r="F73" s="75"/>
      <c r="G73" s="147">
        <v>5</v>
      </c>
      <c r="H73" s="147">
        <v>5</v>
      </c>
      <c r="I73" s="75"/>
      <c r="J73" s="147">
        <v>35</v>
      </c>
      <c r="K73" s="147">
        <f t="shared" si="3"/>
        <v>50</v>
      </c>
    </row>
    <row r="74" spans="1:11" ht="18.75" customHeight="1" x14ac:dyDescent="0.25">
      <c r="A74" s="204">
        <v>4</v>
      </c>
      <c r="B74" s="204" t="s">
        <v>303</v>
      </c>
      <c r="C74" s="145" t="s">
        <v>425</v>
      </c>
      <c r="D74" s="147">
        <v>5</v>
      </c>
      <c r="E74" s="147">
        <v>5</v>
      </c>
      <c r="F74" s="147">
        <v>5</v>
      </c>
      <c r="G74" s="114"/>
      <c r="H74" s="114"/>
      <c r="I74" s="147">
        <v>35</v>
      </c>
      <c r="J74" s="114"/>
      <c r="K74" s="147">
        <f t="shared" si="3"/>
        <v>50</v>
      </c>
    </row>
    <row r="75" spans="1:11" ht="18.75" customHeight="1" x14ac:dyDescent="0.25">
      <c r="A75" s="205"/>
      <c r="B75" s="205"/>
      <c r="C75" s="145" t="s">
        <v>426</v>
      </c>
      <c r="D75" s="147">
        <v>5</v>
      </c>
      <c r="E75" s="75"/>
      <c r="F75" s="75"/>
      <c r="G75" s="147">
        <v>5</v>
      </c>
      <c r="H75" s="147">
        <v>5</v>
      </c>
      <c r="I75" s="75"/>
      <c r="J75" s="147">
        <v>35</v>
      </c>
      <c r="K75" s="147">
        <f t="shared" si="3"/>
        <v>50</v>
      </c>
    </row>
    <row r="76" spans="1:11" ht="18.75" customHeight="1" x14ac:dyDescent="0.25">
      <c r="A76" s="204">
        <v>4</v>
      </c>
      <c r="B76" s="204" t="s">
        <v>311</v>
      </c>
      <c r="C76" s="145" t="s">
        <v>427</v>
      </c>
      <c r="D76" s="147">
        <v>5</v>
      </c>
      <c r="E76" s="147">
        <v>5</v>
      </c>
      <c r="F76" s="147">
        <v>5</v>
      </c>
      <c r="G76" s="114"/>
      <c r="H76" s="114"/>
      <c r="I76" s="147">
        <v>35</v>
      </c>
      <c r="J76" s="114"/>
      <c r="K76" s="147">
        <f t="shared" si="3"/>
        <v>50</v>
      </c>
    </row>
    <row r="77" spans="1:11" ht="18.75" customHeight="1" x14ac:dyDescent="0.25">
      <c r="A77" s="205"/>
      <c r="B77" s="205"/>
      <c r="C77" s="145" t="s">
        <v>428</v>
      </c>
      <c r="D77" s="147">
        <v>5</v>
      </c>
      <c r="E77" s="75"/>
      <c r="F77" s="75"/>
      <c r="G77" s="147">
        <v>5</v>
      </c>
      <c r="H77" s="147">
        <v>5</v>
      </c>
      <c r="I77" s="75"/>
      <c r="J77" s="147">
        <v>35</v>
      </c>
      <c r="K77" s="147">
        <f t="shared" si="3"/>
        <v>50</v>
      </c>
    </row>
    <row r="78" spans="1:11" ht="18.75" customHeight="1" x14ac:dyDescent="0.25">
      <c r="A78" s="204">
        <v>4</v>
      </c>
      <c r="B78" s="204" t="s">
        <v>330</v>
      </c>
      <c r="C78" s="145" t="s">
        <v>430</v>
      </c>
      <c r="D78" s="147">
        <v>5</v>
      </c>
      <c r="E78" s="147">
        <v>5</v>
      </c>
      <c r="F78" s="147">
        <v>5</v>
      </c>
      <c r="G78" s="114"/>
      <c r="H78" s="114"/>
      <c r="I78" s="147">
        <v>35</v>
      </c>
      <c r="J78" s="114"/>
      <c r="K78" s="147">
        <f t="shared" si="3"/>
        <v>50</v>
      </c>
    </row>
    <row r="79" spans="1:11" ht="18.75" customHeight="1" x14ac:dyDescent="0.25">
      <c r="A79" s="205"/>
      <c r="B79" s="205"/>
      <c r="C79" s="145" t="s">
        <v>431</v>
      </c>
      <c r="D79" s="147">
        <v>5</v>
      </c>
      <c r="E79" s="75"/>
      <c r="F79" s="75"/>
      <c r="G79" s="147">
        <v>5</v>
      </c>
      <c r="H79" s="147">
        <v>5</v>
      </c>
      <c r="I79" s="75"/>
      <c r="J79" s="147">
        <v>35</v>
      </c>
      <c r="K79" s="147">
        <f t="shared" si="3"/>
        <v>50</v>
      </c>
    </row>
    <row r="80" spans="1:11" ht="18.75" customHeight="1" x14ac:dyDescent="0.25">
      <c r="A80" s="204">
        <v>4</v>
      </c>
      <c r="B80" s="204" t="s">
        <v>889</v>
      </c>
      <c r="C80" s="145" t="s">
        <v>432</v>
      </c>
      <c r="D80" s="147">
        <v>5</v>
      </c>
      <c r="E80" s="147">
        <v>5</v>
      </c>
      <c r="F80" s="147">
        <v>5</v>
      </c>
      <c r="G80" s="114"/>
      <c r="H80" s="114"/>
      <c r="I80" s="147">
        <v>35</v>
      </c>
      <c r="J80" s="114"/>
      <c r="K80" s="147">
        <f t="shared" si="3"/>
        <v>50</v>
      </c>
    </row>
    <row r="81" spans="1:11" ht="18.75" customHeight="1" x14ac:dyDescent="0.25">
      <c r="A81" s="205"/>
      <c r="B81" s="205"/>
      <c r="C81" s="145" t="s">
        <v>433</v>
      </c>
      <c r="D81" s="147">
        <v>5</v>
      </c>
      <c r="E81" s="75"/>
      <c r="F81" s="75"/>
      <c r="G81" s="147">
        <v>5</v>
      </c>
      <c r="H81" s="147">
        <v>5</v>
      </c>
      <c r="I81" s="75"/>
      <c r="J81" s="147">
        <v>35</v>
      </c>
      <c r="K81" s="147">
        <f t="shared" si="3"/>
        <v>50</v>
      </c>
    </row>
    <row r="82" spans="1:11" ht="18.75" customHeight="1" x14ac:dyDescent="0.25">
      <c r="A82" s="212">
        <v>4</v>
      </c>
      <c r="B82" s="146" t="s">
        <v>411</v>
      </c>
      <c r="C82" s="148" t="s">
        <v>434</v>
      </c>
      <c r="D82" s="147">
        <v>5</v>
      </c>
      <c r="E82" s="75"/>
      <c r="F82" s="75"/>
      <c r="G82" s="75"/>
      <c r="H82" s="75"/>
      <c r="I82" s="75"/>
      <c r="J82" s="155">
        <v>15</v>
      </c>
      <c r="K82" s="147">
        <f t="shared" ref="K82:K83" si="4">SUM(D82:J82)</f>
        <v>20</v>
      </c>
    </row>
    <row r="83" spans="1:11" ht="18.75" customHeight="1" x14ac:dyDescent="0.25">
      <c r="A83" s="212"/>
      <c r="B83" s="146"/>
      <c r="C83" s="148" t="s">
        <v>435</v>
      </c>
      <c r="D83" s="155">
        <v>5</v>
      </c>
      <c r="E83" s="75"/>
      <c r="F83" s="75"/>
      <c r="G83" s="75"/>
      <c r="H83" s="75"/>
      <c r="I83" s="75"/>
      <c r="J83" s="155">
        <v>15</v>
      </c>
      <c r="K83" s="147">
        <f t="shared" si="4"/>
        <v>20</v>
      </c>
    </row>
    <row r="84" spans="1:11" ht="18.75" customHeight="1" x14ac:dyDescent="0.25">
      <c r="A84" s="145">
        <v>4</v>
      </c>
      <c r="B84" s="148" t="s">
        <v>346</v>
      </c>
      <c r="C84" s="145" t="s">
        <v>436</v>
      </c>
      <c r="D84" s="147">
        <v>5</v>
      </c>
      <c r="E84" s="75"/>
      <c r="F84" s="75"/>
      <c r="G84" s="75"/>
      <c r="H84" s="75"/>
      <c r="I84" s="75"/>
      <c r="J84" s="75"/>
      <c r="K84" s="147">
        <f>SUM(D84:J84)</f>
        <v>5</v>
      </c>
    </row>
    <row r="85" spans="1:11" ht="18.75" customHeight="1" x14ac:dyDescent="0.25">
      <c r="A85" s="204">
        <v>4</v>
      </c>
      <c r="B85" s="188" t="s">
        <v>1122</v>
      </c>
      <c r="C85" s="167" t="s">
        <v>1112</v>
      </c>
      <c r="D85" s="168">
        <v>5</v>
      </c>
      <c r="E85" s="168">
        <v>5</v>
      </c>
      <c r="F85" s="168">
        <v>5</v>
      </c>
      <c r="G85" s="114"/>
      <c r="H85" s="114"/>
      <c r="I85" s="168">
        <v>35</v>
      </c>
      <c r="J85" s="114"/>
      <c r="K85" s="168">
        <f t="shared" ref="K85" si="5">SUM(D85:J85)</f>
        <v>50</v>
      </c>
    </row>
    <row r="86" spans="1:11" ht="18.75" customHeight="1" x14ac:dyDescent="0.25">
      <c r="A86" s="206"/>
      <c r="B86" s="190"/>
      <c r="C86" s="167" t="s">
        <v>1113</v>
      </c>
      <c r="D86" s="168">
        <v>5</v>
      </c>
      <c r="E86" s="75"/>
      <c r="F86" s="75"/>
      <c r="G86" s="168">
        <v>5</v>
      </c>
      <c r="H86" s="168">
        <v>5</v>
      </c>
      <c r="I86" s="75"/>
      <c r="J86" s="168">
        <v>35</v>
      </c>
      <c r="K86" s="168">
        <f>SUM(D86:J86)</f>
        <v>50</v>
      </c>
    </row>
    <row r="87" spans="1:11" ht="18.75" customHeight="1" x14ac:dyDescent="0.25">
      <c r="A87" s="212">
        <v>5</v>
      </c>
      <c r="B87" s="212" t="s">
        <v>157</v>
      </c>
      <c r="C87" s="148" t="s">
        <v>226</v>
      </c>
      <c r="D87" s="147">
        <v>5</v>
      </c>
      <c r="E87" s="147">
        <v>5</v>
      </c>
      <c r="F87" s="147">
        <v>5</v>
      </c>
      <c r="G87" s="114"/>
      <c r="H87" s="114"/>
      <c r="I87" s="147">
        <v>35</v>
      </c>
      <c r="J87" s="114"/>
      <c r="K87" s="147">
        <f t="shared" ref="K87" si="6">SUM(D87:J87)</f>
        <v>50</v>
      </c>
    </row>
    <row r="88" spans="1:11" ht="18.75" customHeight="1" x14ac:dyDescent="0.25">
      <c r="A88" s="212"/>
      <c r="B88" s="212"/>
      <c r="C88" s="147" t="s">
        <v>227</v>
      </c>
      <c r="D88" s="147">
        <v>5</v>
      </c>
      <c r="E88" s="75"/>
      <c r="F88" s="75"/>
      <c r="G88" s="147">
        <v>5</v>
      </c>
      <c r="H88" s="147">
        <v>5</v>
      </c>
      <c r="I88" s="75"/>
      <c r="J88" s="147">
        <v>35</v>
      </c>
      <c r="K88" s="147">
        <f>SUM(D88:J88)</f>
        <v>50</v>
      </c>
    </row>
    <row r="89" spans="1:11" ht="18.75" customHeight="1" x14ac:dyDescent="0.25">
      <c r="A89" s="204">
        <v>5</v>
      </c>
      <c r="B89" s="204" t="s">
        <v>199</v>
      </c>
      <c r="C89" s="145" t="s">
        <v>228</v>
      </c>
      <c r="D89" s="147">
        <v>5</v>
      </c>
      <c r="E89" s="147">
        <v>5</v>
      </c>
      <c r="F89" s="147">
        <v>5</v>
      </c>
      <c r="G89" s="114"/>
      <c r="H89" s="114"/>
      <c r="I89" s="147">
        <v>35</v>
      </c>
      <c r="J89" s="114"/>
      <c r="K89" s="147">
        <f t="shared" si="2"/>
        <v>50</v>
      </c>
    </row>
    <row r="90" spans="1:11" ht="18.75" customHeight="1" x14ac:dyDescent="0.25">
      <c r="A90" s="205"/>
      <c r="B90" s="205"/>
      <c r="C90" s="145" t="s">
        <v>229</v>
      </c>
      <c r="D90" s="147">
        <v>5</v>
      </c>
      <c r="E90" s="75"/>
      <c r="F90" s="75"/>
      <c r="G90" s="147">
        <v>5</v>
      </c>
      <c r="H90" s="147">
        <v>5</v>
      </c>
      <c r="I90" s="75"/>
      <c r="J90" s="147">
        <v>35</v>
      </c>
      <c r="K90" s="147">
        <f t="shared" si="2"/>
        <v>50</v>
      </c>
    </row>
    <row r="91" spans="1:11" ht="18.75" customHeight="1" x14ac:dyDescent="0.25">
      <c r="A91" s="204">
        <v>5</v>
      </c>
      <c r="B91" s="204" t="s">
        <v>208</v>
      </c>
      <c r="C91" s="145" t="s">
        <v>230</v>
      </c>
      <c r="D91" s="147">
        <v>5</v>
      </c>
      <c r="E91" s="147">
        <v>5</v>
      </c>
      <c r="F91" s="147">
        <v>5</v>
      </c>
      <c r="G91" s="114"/>
      <c r="H91" s="114"/>
      <c r="I91" s="147">
        <v>35</v>
      </c>
      <c r="J91" s="114"/>
      <c r="K91" s="147">
        <f t="shared" si="2"/>
        <v>50</v>
      </c>
    </row>
    <row r="92" spans="1:11" ht="18.75" customHeight="1" x14ac:dyDescent="0.25">
      <c r="A92" s="205"/>
      <c r="B92" s="205"/>
      <c r="C92" s="145" t="s">
        <v>231</v>
      </c>
      <c r="D92" s="147">
        <v>5</v>
      </c>
      <c r="E92" s="75"/>
      <c r="F92" s="75"/>
      <c r="G92" s="147">
        <v>5</v>
      </c>
      <c r="H92" s="147">
        <v>5</v>
      </c>
      <c r="I92" s="75"/>
      <c r="J92" s="147">
        <v>35</v>
      </c>
      <c r="K92" s="147">
        <f t="shared" si="2"/>
        <v>50</v>
      </c>
    </row>
    <row r="93" spans="1:11" ht="18.75" customHeight="1" x14ac:dyDescent="0.25">
      <c r="A93" s="204">
        <v>5</v>
      </c>
      <c r="B93" s="204" t="s">
        <v>273</v>
      </c>
      <c r="C93" s="145" t="s">
        <v>232</v>
      </c>
      <c r="D93" s="147">
        <v>5</v>
      </c>
      <c r="E93" s="147">
        <v>5</v>
      </c>
      <c r="F93" s="147">
        <v>5</v>
      </c>
      <c r="G93" s="114"/>
      <c r="H93" s="114"/>
      <c r="I93" s="147">
        <v>35</v>
      </c>
      <c r="J93" s="114"/>
      <c r="K93" s="147">
        <f t="shared" si="2"/>
        <v>50</v>
      </c>
    </row>
    <row r="94" spans="1:11" ht="18.75" customHeight="1" x14ac:dyDescent="0.25">
      <c r="A94" s="205"/>
      <c r="B94" s="205"/>
      <c r="C94" s="145" t="s">
        <v>233</v>
      </c>
      <c r="D94" s="147">
        <v>5</v>
      </c>
      <c r="E94" s="75"/>
      <c r="F94" s="75"/>
      <c r="G94" s="147">
        <v>5</v>
      </c>
      <c r="H94" s="147">
        <v>5</v>
      </c>
      <c r="I94" s="75"/>
      <c r="J94" s="147">
        <v>35</v>
      </c>
      <c r="K94" s="147">
        <f t="shared" si="2"/>
        <v>50</v>
      </c>
    </row>
    <row r="95" spans="1:11" ht="18.75" customHeight="1" x14ac:dyDescent="0.25">
      <c r="A95" s="204">
        <v>5</v>
      </c>
      <c r="B95" s="204" t="s">
        <v>284</v>
      </c>
      <c r="C95" s="145" t="s">
        <v>234</v>
      </c>
      <c r="D95" s="147">
        <v>5</v>
      </c>
      <c r="E95" s="147">
        <v>5</v>
      </c>
      <c r="F95" s="147">
        <v>5</v>
      </c>
      <c r="G95" s="114"/>
      <c r="H95" s="114"/>
      <c r="I95" s="147">
        <v>35</v>
      </c>
      <c r="J95" s="114"/>
      <c r="K95" s="147">
        <f t="shared" si="2"/>
        <v>50</v>
      </c>
    </row>
    <row r="96" spans="1:11" ht="18.75" customHeight="1" x14ac:dyDescent="0.25">
      <c r="A96" s="205"/>
      <c r="B96" s="205"/>
      <c r="C96" s="145" t="s">
        <v>437</v>
      </c>
      <c r="D96" s="147">
        <v>5</v>
      </c>
      <c r="E96" s="75"/>
      <c r="F96" s="75"/>
      <c r="G96" s="147">
        <v>5</v>
      </c>
      <c r="H96" s="147">
        <v>5</v>
      </c>
      <c r="I96" s="75"/>
      <c r="J96" s="147">
        <v>35</v>
      </c>
      <c r="K96" s="147">
        <f t="shared" si="2"/>
        <v>50</v>
      </c>
    </row>
    <row r="97" spans="1:11" ht="18.75" customHeight="1" x14ac:dyDescent="0.25">
      <c r="A97" s="204">
        <v>5</v>
      </c>
      <c r="B97" s="204" t="s">
        <v>296</v>
      </c>
      <c r="C97" s="148" t="s">
        <v>438</v>
      </c>
      <c r="D97" s="147">
        <v>5</v>
      </c>
      <c r="E97" s="147">
        <v>5</v>
      </c>
      <c r="F97" s="147">
        <v>5</v>
      </c>
      <c r="G97" s="114"/>
      <c r="H97" s="114"/>
      <c r="I97" s="147">
        <v>35</v>
      </c>
      <c r="J97" s="114"/>
      <c r="K97" s="147">
        <f t="shared" ref="K97:K130" si="7">SUM(D97:J97)</f>
        <v>50</v>
      </c>
    </row>
    <row r="98" spans="1:11" ht="18.75" customHeight="1" x14ac:dyDescent="0.25">
      <c r="A98" s="205"/>
      <c r="B98" s="205"/>
      <c r="C98" s="145" t="s">
        <v>439</v>
      </c>
      <c r="D98" s="147">
        <v>5</v>
      </c>
      <c r="E98" s="75"/>
      <c r="F98" s="75"/>
      <c r="G98" s="147">
        <v>5</v>
      </c>
      <c r="H98" s="147">
        <v>5</v>
      </c>
      <c r="I98" s="75"/>
      <c r="J98" s="147">
        <v>35</v>
      </c>
      <c r="K98" s="147">
        <f t="shared" si="7"/>
        <v>50</v>
      </c>
    </row>
    <row r="99" spans="1:11" ht="18.75" customHeight="1" x14ac:dyDescent="0.25">
      <c r="A99" s="204">
        <v>5</v>
      </c>
      <c r="B99" s="204" t="s">
        <v>302</v>
      </c>
      <c r="C99" s="145" t="s">
        <v>440</v>
      </c>
      <c r="D99" s="147">
        <v>5</v>
      </c>
      <c r="E99" s="147">
        <v>5</v>
      </c>
      <c r="F99" s="147">
        <v>5</v>
      </c>
      <c r="G99" s="114"/>
      <c r="H99" s="114"/>
      <c r="I99" s="147">
        <v>35</v>
      </c>
      <c r="J99" s="114"/>
      <c r="K99" s="147">
        <f t="shared" si="7"/>
        <v>50</v>
      </c>
    </row>
    <row r="100" spans="1:11" ht="18.75" customHeight="1" x14ac:dyDescent="0.25">
      <c r="A100" s="205"/>
      <c r="B100" s="205"/>
      <c r="C100" s="145" t="s">
        <v>441</v>
      </c>
      <c r="D100" s="147">
        <v>5</v>
      </c>
      <c r="E100" s="75"/>
      <c r="F100" s="75"/>
      <c r="G100" s="147">
        <v>5</v>
      </c>
      <c r="H100" s="147">
        <v>5</v>
      </c>
      <c r="I100" s="75"/>
      <c r="J100" s="147">
        <v>35</v>
      </c>
      <c r="K100" s="147">
        <f t="shared" si="7"/>
        <v>50</v>
      </c>
    </row>
    <row r="101" spans="1:11" ht="18.75" customHeight="1" x14ac:dyDescent="0.25">
      <c r="A101" s="145">
        <v>5</v>
      </c>
      <c r="B101" s="145" t="s">
        <v>306</v>
      </c>
      <c r="C101" s="145" t="s">
        <v>442</v>
      </c>
      <c r="D101" s="147">
        <v>5</v>
      </c>
      <c r="E101" s="147">
        <v>5</v>
      </c>
      <c r="F101" s="147">
        <v>5</v>
      </c>
      <c r="G101" s="114"/>
      <c r="H101" s="114"/>
      <c r="I101" s="147">
        <v>35</v>
      </c>
      <c r="J101" s="114"/>
      <c r="K101" s="147">
        <f t="shared" si="7"/>
        <v>50</v>
      </c>
    </row>
    <row r="102" spans="1:11" ht="18.75" customHeight="1" x14ac:dyDescent="0.25">
      <c r="A102" s="145">
        <v>6</v>
      </c>
      <c r="B102" s="145" t="s">
        <v>306</v>
      </c>
      <c r="C102" s="145" t="s">
        <v>235</v>
      </c>
      <c r="D102" s="147">
        <v>5</v>
      </c>
      <c r="E102" s="75"/>
      <c r="F102" s="75"/>
      <c r="G102" s="147">
        <v>5</v>
      </c>
      <c r="H102" s="147">
        <v>5</v>
      </c>
      <c r="I102" s="75"/>
      <c r="J102" s="147">
        <v>35</v>
      </c>
      <c r="K102" s="147">
        <f t="shared" si="7"/>
        <v>50</v>
      </c>
    </row>
    <row r="103" spans="1:11" ht="18.75" customHeight="1" x14ac:dyDescent="0.25">
      <c r="A103" s="204">
        <v>6</v>
      </c>
      <c r="B103" s="204" t="s">
        <v>333</v>
      </c>
      <c r="C103" s="145" t="s">
        <v>443</v>
      </c>
      <c r="D103" s="147">
        <v>5</v>
      </c>
      <c r="E103" s="147">
        <v>5</v>
      </c>
      <c r="F103" s="147">
        <v>5</v>
      </c>
      <c r="G103" s="114"/>
      <c r="H103" s="114"/>
      <c r="I103" s="147">
        <v>35</v>
      </c>
      <c r="J103" s="114"/>
      <c r="K103" s="147">
        <f t="shared" ref="K103:K124" si="8">SUM(D103:J103)</f>
        <v>50</v>
      </c>
    </row>
    <row r="104" spans="1:11" ht="18.75" customHeight="1" x14ac:dyDescent="0.25">
      <c r="A104" s="205"/>
      <c r="B104" s="205"/>
      <c r="C104" s="145" t="s">
        <v>831</v>
      </c>
      <c r="D104" s="147">
        <v>5</v>
      </c>
      <c r="E104" s="75"/>
      <c r="F104" s="75"/>
      <c r="G104" s="147">
        <v>5</v>
      </c>
      <c r="H104" s="147">
        <v>5</v>
      </c>
      <c r="I104" s="75"/>
      <c r="J104" s="147">
        <v>35</v>
      </c>
      <c r="K104" s="147">
        <f t="shared" si="8"/>
        <v>50</v>
      </c>
    </row>
    <row r="105" spans="1:11" ht="18.75" customHeight="1" x14ac:dyDescent="0.25">
      <c r="A105" s="204">
        <v>6</v>
      </c>
      <c r="B105" s="204" t="s">
        <v>337</v>
      </c>
      <c r="C105" s="145" t="s">
        <v>236</v>
      </c>
      <c r="D105" s="147">
        <v>5</v>
      </c>
      <c r="E105" s="147">
        <v>5</v>
      </c>
      <c r="F105" s="147">
        <v>5</v>
      </c>
      <c r="G105" s="114"/>
      <c r="H105" s="114"/>
      <c r="I105" s="147">
        <v>35</v>
      </c>
      <c r="J105" s="114"/>
      <c r="K105" s="147">
        <f t="shared" si="8"/>
        <v>50</v>
      </c>
    </row>
    <row r="106" spans="1:11" ht="18.75" customHeight="1" x14ac:dyDescent="0.25">
      <c r="A106" s="205"/>
      <c r="B106" s="205"/>
      <c r="C106" s="145" t="s">
        <v>237</v>
      </c>
      <c r="D106" s="147">
        <v>5</v>
      </c>
      <c r="E106" s="75"/>
      <c r="F106" s="75"/>
      <c r="G106" s="147">
        <v>5</v>
      </c>
      <c r="H106" s="147">
        <v>5</v>
      </c>
      <c r="I106" s="75"/>
      <c r="J106" s="147">
        <v>35</v>
      </c>
      <c r="K106" s="147">
        <f t="shared" si="8"/>
        <v>50</v>
      </c>
    </row>
    <row r="107" spans="1:11" ht="18.75" customHeight="1" x14ac:dyDescent="0.25">
      <c r="A107" s="148">
        <v>6</v>
      </c>
      <c r="B107" s="148" t="s">
        <v>411</v>
      </c>
      <c r="C107" s="148" t="s">
        <v>238</v>
      </c>
      <c r="D107" s="155"/>
      <c r="E107" s="75"/>
      <c r="F107" s="75"/>
      <c r="G107" s="75"/>
      <c r="H107" s="75"/>
      <c r="I107" s="75"/>
      <c r="J107" s="155">
        <v>20</v>
      </c>
      <c r="K107" s="147">
        <f t="shared" si="8"/>
        <v>20</v>
      </c>
    </row>
    <row r="108" spans="1:11" ht="18.75" customHeight="1" x14ac:dyDescent="0.25">
      <c r="A108" s="204">
        <v>7</v>
      </c>
      <c r="B108" s="148" t="s">
        <v>346</v>
      </c>
      <c r="C108" s="145" t="s">
        <v>239</v>
      </c>
      <c r="D108" s="155">
        <v>5</v>
      </c>
      <c r="E108" s="147">
        <v>5</v>
      </c>
      <c r="F108" s="75"/>
      <c r="G108" s="75"/>
      <c r="H108" s="75"/>
      <c r="I108" s="147">
        <v>35</v>
      </c>
      <c r="J108" s="75"/>
      <c r="K108" s="147">
        <f t="shared" si="8"/>
        <v>45</v>
      </c>
    </row>
    <row r="109" spans="1:11" ht="18.75" customHeight="1" x14ac:dyDescent="0.25">
      <c r="A109" s="205"/>
      <c r="B109" s="148"/>
      <c r="C109" s="145" t="s">
        <v>240</v>
      </c>
      <c r="D109" s="155"/>
      <c r="E109" s="147"/>
      <c r="F109" s="147">
        <v>5</v>
      </c>
      <c r="G109" s="75"/>
      <c r="H109" s="75"/>
      <c r="I109" s="75"/>
      <c r="J109" s="75"/>
      <c r="K109" s="147">
        <f t="shared" si="8"/>
        <v>5</v>
      </c>
    </row>
    <row r="110" spans="1:11" ht="18.75" customHeight="1" x14ac:dyDescent="0.25">
      <c r="A110" s="145">
        <v>8</v>
      </c>
      <c r="B110" s="148" t="s">
        <v>346</v>
      </c>
      <c r="C110" s="145" t="s">
        <v>241</v>
      </c>
      <c r="D110" s="155"/>
      <c r="E110" s="75"/>
      <c r="F110" s="75"/>
      <c r="G110" s="147">
        <v>5</v>
      </c>
      <c r="H110" s="147">
        <v>5</v>
      </c>
      <c r="I110" s="75"/>
      <c r="J110" s="147">
        <v>35</v>
      </c>
      <c r="K110" s="147">
        <f t="shared" si="8"/>
        <v>45</v>
      </c>
    </row>
    <row r="111" spans="1:11" ht="18.75" customHeight="1" x14ac:dyDescent="0.25">
      <c r="A111" s="204">
        <v>9</v>
      </c>
      <c r="B111" s="204" t="s">
        <v>326</v>
      </c>
      <c r="C111" s="149" t="s">
        <v>242</v>
      </c>
      <c r="D111" s="147">
        <v>5</v>
      </c>
      <c r="E111" s="147">
        <v>5</v>
      </c>
      <c r="F111" s="147">
        <v>5</v>
      </c>
      <c r="G111" s="114"/>
      <c r="H111" s="114"/>
      <c r="I111" s="147">
        <v>35</v>
      </c>
      <c r="J111" s="114"/>
      <c r="K111" s="147">
        <f t="shared" si="8"/>
        <v>50</v>
      </c>
    </row>
    <row r="112" spans="1:11" ht="18.75" customHeight="1" x14ac:dyDescent="0.25">
      <c r="A112" s="205"/>
      <c r="B112" s="205"/>
      <c r="C112" s="150" t="s">
        <v>312</v>
      </c>
      <c r="D112" s="147">
        <v>5</v>
      </c>
      <c r="E112" s="75"/>
      <c r="F112" s="75"/>
      <c r="G112" s="147">
        <v>5</v>
      </c>
      <c r="H112" s="147">
        <v>5</v>
      </c>
      <c r="I112" s="75"/>
      <c r="J112" s="147">
        <v>35</v>
      </c>
      <c r="K112" s="147">
        <f t="shared" si="8"/>
        <v>50</v>
      </c>
    </row>
    <row r="113" spans="1:11" ht="18.75" customHeight="1" x14ac:dyDescent="0.25">
      <c r="A113" s="148">
        <v>9</v>
      </c>
      <c r="B113" s="148" t="s">
        <v>411</v>
      </c>
      <c r="C113" s="153" t="s">
        <v>313</v>
      </c>
      <c r="D113" s="155"/>
      <c r="E113" s="75"/>
      <c r="F113" s="75"/>
      <c r="G113" s="75"/>
      <c r="H113" s="75"/>
      <c r="I113" s="75"/>
      <c r="J113" s="155">
        <v>20</v>
      </c>
      <c r="K113" s="147">
        <f t="shared" si="8"/>
        <v>20</v>
      </c>
    </row>
    <row r="114" spans="1:11" ht="18.75" customHeight="1" x14ac:dyDescent="0.25">
      <c r="A114" s="204">
        <v>9</v>
      </c>
      <c r="B114" s="204" t="s">
        <v>445</v>
      </c>
      <c r="C114" s="149" t="s">
        <v>314</v>
      </c>
      <c r="D114" s="147">
        <v>5</v>
      </c>
      <c r="E114" s="147">
        <v>5</v>
      </c>
      <c r="F114" s="147">
        <v>5</v>
      </c>
      <c r="G114" s="114"/>
      <c r="H114" s="114"/>
      <c r="I114" s="147">
        <v>35</v>
      </c>
      <c r="J114" s="114"/>
      <c r="K114" s="147">
        <f t="shared" si="8"/>
        <v>50</v>
      </c>
    </row>
    <row r="115" spans="1:11" ht="18.75" customHeight="1" x14ac:dyDescent="0.25">
      <c r="A115" s="205"/>
      <c r="B115" s="205"/>
      <c r="C115" s="149" t="s">
        <v>476</v>
      </c>
      <c r="D115" s="147">
        <v>5</v>
      </c>
      <c r="E115" s="75"/>
      <c r="F115" s="75"/>
      <c r="G115" s="147">
        <v>5</v>
      </c>
      <c r="H115" s="147">
        <v>5</v>
      </c>
      <c r="I115" s="75"/>
      <c r="J115" s="147">
        <v>35</v>
      </c>
      <c r="K115" s="147">
        <f t="shared" si="8"/>
        <v>50</v>
      </c>
    </row>
    <row r="116" spans="1:11" ht="18.75" customHeight="1" x14ac:dyDescent="0.25">
      <c r="A116" s="204">
        <v>9</v>
      </c>
      <c r="B116" s="204" t="s">
        <v>449</v>
      </c>
      <c r="C116" s="149" t="s">
        <v>876</v>
      </c>
      <c r="D116" s="147">
        <v>5</v>
      </c>
      <c r="E116" s="147">
        <v>5</v>
      </c>
      <c r="F116" s="147">
        <v>5</v>
      </c>
      <c r="G116" s="114"/>
      <c r="H116" s="114"/>
      <c r="I116" s="147">
        <v>35</v>
      </c>
      <c r="J116" s="114"/>
      <c r="K116" s="147">
        <f t="shared" si="8"/>
        <v>50</v>
      </c>
    </row>
    <row r="117" spans="1:11" ht="18.75" customHeight="1" x14ac:dyDescent="0.25">
      <c r="A117" s="205"/>
      <c r="B117" s="205"/>
      <c r="C117" s="149" t="s">
        <v>315</v>
      </c>
      <c r="D117" s="147">
        <v>5</v>
      </c>
      <c r="E117" s="75"/>
      <c r="F117" s="75"/>
      <c r="G117" s="147">
        <v>5</v>
      </c>
      <c r="H117" s="147">
        <v>5</v>
      </c>
      <c r="I117" s="75"/>
      <c r="J117" s="147">
        <v>35</v>
      </c>
      <c r="K117" s="147">
        <f t="shared" si="8"/>
        <v>50</v>
      </c>
    </row>
    <row r="118" spans="1:11" ht="18.75" customHeight="1" x14ac:dyDescent="0.25">
      <c r="A118" s="204">
        <v>9</v>
      </c>
      <c r="B118" s="204" t="s">
        <v>452</v>
      </c>
      <c r="C118" s="149" t="s">
        <v>316</v>
      </c>
      <c r="D118" s="147">
        <v>5</v>
      </c>
      <c r="E118" s="147">
        <v>5</v>
      </c>
      <c r="F118" s="147">
        <v>5</v>
      </c>
      <c r="G118" s="114"/>
      <c r="H118" s="114"/>
      <c r="I118" s="147">
        <v>35</v>
      </c>
      <c r="J118" s="114"/>
      <c r="K118" s="147">
        <f t="shared" si="8"/>
        <v>50</v>
      </c>
    </row>
    <row r="119" spans="1:11" ht="18.75" customHeight="1" x14ac:dyDescent="0.25">
      <c r="A119" s="205"/>
      <c r="B119" s="205"/>
      <c r="C119" s="149" t="s">
        <v>317</v>
      </c>
      <c r="D119" s="147">
        <v>5</v>
      </c>
      <c r="E119" s="75"/>
      <c r="F119" s="75"/>
      <c r="G119" s="147">
        <v>5</v>
      </c>
      <c r="H119" s="147">
        <v>5</v>
      </c>
      <c r="I119" s="75"/>
      <c r="J119" s="147">
        <v>35</v>
      </c>
      <c r="K119" s="147">
        <f t="shared" si="8"/>
        <v>50</v>
      </c>
    </row>
    <row r="120" spans="1:11" ht="18.75" customHeight="1" x14ac:dyDescent="0.25">
      <c r="A120" s="204">
        <v>10</v>
      </c>
      <c r="B120" s="204" t="s">
        <v>334</v>
      </c>
      <c r="C120" s="149" t="s">
        <v>317</v>
      </c>
      <c r="D120" s="147">
        <v>5</v>
      </c>
      <c r="E120" s="147">
        <v>5</v>
      </c>
      <c r="F120" s="147">
        <v>5</v>
      </c>
      <c r="G120" s="114"/>
      <c r="H120" s="114"/>
      <c r="I120" s="147">
        <v>35</v>
      </c>
      <c r="J120" s="114"/>
      <c r="K120" s="147">
        <f t="shared" si="8"/>
        <v>50</v>
      </c>
    </row>
    <row r="121" spans="1:11" ht="18.75" customHeight="1" x14ac:dyDescent="0.25">
      <c r="A121" s="205"/>
      <c r="B121" s="205"/>
      <c r="C121" s="149" t="s">
        <v>318</v>
      </c>
      <c r="D121" s="147">
        <v>5</v>
      </c>
      <c r="E121" s="75"/>
      <c r="F121" s="75"/>
      <c r="G121" s="147">
        <v>5</v>
      </c>
      <c r="H121" s="147">
        <v>5</v>
      </c>
      <c r="I121" s="75"/>
      <c r="J121" s="147">
        <v>35</v>
      </c>
      <c r="K121" s="147">
        <f t="shared" si="8"/>
        <v>50</v>
      </c>
    </row>
    <row r="122" spans="1:11" ht="18.75" customHeight="1" x14ac:dyDescent="0.25">
      <c r="A122" s="145">
        <v>10</v>
      </c>
      <c r="B122" s="169" t="s">
        <v>411</v>
      </c>
      <c r="C122" s="149" t="s">
        <v>319</v>
      </c>
      <c r="D122" s="155"/>
      <c r="E122" s="75"/>
      <c r="F122" s="75"/>
      <c r="G122" s="75"/>
      <c r="H122" s="75"/>
      <c r="I122" s="75"/>
      <c r="J122" s="155">
        <v>20</v>
      </c>
      <c r="K122" s="147">
        <f t="shared" si="8"/>
        <v>20</v>
      </c>
    </row>
    <row r="123" spans="1:11" ht="18.75" customHeight="1" x14ac:dyDescent="0.25">
      <c r="A123" s="204">
        <v>10</v>
      </c>
      <c r="B123" s="204" t="s">
        <v>453</v>
      </c>
      <c r="C123" s="149" t="s">
        <v>322</v>
      </c>
      <c r="D123" s="147">
        <v>5</v>
      </c>
      <c r="E123" s="147">
        <v>5</v>
      </c>
      <c r="F123" s="147">
        <v>5</v>
      </c>
      <c r="G123" s="114"/>
      <c r="H123" s="114"/>
      <c r="I123" s="147">
        <v>35</v>
      </c>
      <c r="J123" s="114"/>
      <c r="K123" s="147">
        <f t="shared" si="8"/>
        <v>50</v>
      </c>
    </row>
    <row r="124" spans="1:11" ht="18.75" customHeight="1" x14ac:dyDescent="0.25">
      <c r="A124" s="205"/>
      <c r="B124" s="205"/>
      <c r="C124" s="149" t="s">
        <v>323</v>
      </c>
      <c r="D124" s="147">
        <v>5</v>
      </c>
      <c r="E124" s="75"/>
      <c r="F124" s="75"/>
      <c r="G124" s="147">
        <v>5</v>
      </c>
      <c r="H124" s="147">
        <v>5</v>
      </c>
      <c r="I124" s="75"/>
      <c r="J124" s="147">
        <v>35</v>
      </c>
      <c r="K124" s="147">
        <f t="shared" si="8"/>
        <v>50</v>
      </c>
    </row>
    <row r="125" spans="1:11" ht="18.75" customHeight="1" x14ac:dyDescent="0.25">
      <c r="A125" s="204">
        <v>11</v>
      </c>
      <c r="B125" s="212" t="s">
        <v>308</v>
      </c>
      <c r="C125" s="145" t="s">
        <v>344</v>
      </c>
      <c r="D125" s="147">
        <v>5</v>
      </c>
      <c r="E125" s="147">
        <v>5</v>
      </c>
      <c r="F125" s="147">
        <v>5</v>
      </c>
      <c r="G125" s="114"/>
      <c r="H125" s="114"/>
      <c r="I125" s="147">
        <v>35</v>
      </c>
      <c r="J125" s="114"/>
      <c r="K125" s="147">
        <f t="shared" si="7"/>
        <v>50</v>
      </c>
    </row>
    <row r="126" spans="1:11" ht="18.75" customHeight="1" x14ac:dyDescent="0.25">
      <c r="A126" s="205"/>
      <c r="B126" s="212"/>
      <c r="C126" s="145" t="s">
        <v>345</v>
      </c>
      <c r="D126" s="147">
        <v>5</v>
      </c>
      <c r="E126" s="75"/>
      <c r="F126" s="75"/>
      <c r="G126" s="147">
        <v>5</v>
      </c>
      <c r="H126" s="147">
        <v>5</v>
      </c>
      <c r="I126" s="75"/>
      <c r="J126" s="147">
        <v>35</v>
      </c>
      <c r="K126" s="147">
        <f t="shared" si="7"/>
        <v>50</v>
      </c>
    </row>
    <row r="127" spans="1:11" ht="18.75" customHeight="1" x14ac:dyDescent="0.25">
      <c r="A127" s="204">
        <v>12</v>
      </c>
      <c r="B127" s="204" t="s">
        <v>456</v>
      </c>
      <c r="C127" s="152" t="s">
        <v>383</v>
      </c>
      <c r="D127" s="147">
        <v>5</v>
      </c>
      <c r="E127" s="147">
        <v>5</v>
      </c>
      <c r="F127" s="147">
        <v>5</v>
      </c>
      <c r="G127" s="114"/>
      <c r="H127" s="114"/>
      <c r="I127" s="147">
        <v>35</v>
      </c>
      <c r="J127" s="114"/>
      <c r="K127" s="147">
        <f t="shared" si="7"/>
        <v>50</v>
      </c>
    </row>
    <row r="128" spans="1:11" ht="18.75" customHeight="1" x14ac:dyDescent="0.25">
      <c r="A128" s="205"/>
      <c r="B128" s="205"/>
      <c r="C128" s="145" t="s">
        <v>379</v>
      </c>
      <c r="D128" s="147">
        <v>5</v>
      </c>
      <c r="E128" s="75"/>
      <c r="F128" s="75"/>
      <c r="G128" s="147">
        <v>5</v>
      </c>
      <c r="H128" s="147">
        <v>5</v>
      </c>
      <c r="I128" s="75"/>
      <c r="J128" s="147">
        <v>35</v>
      </c>
      <c r="K128" s="147">
        <f t="shared" si="7"/>
        <v>50</v>
      </c>
    </row>
    <row r="129" spans="1:11" ht="18.75" customHeight="1" x14ac:dyDescent="0.25">
      <c r="A129" s="204">
        <v>12</v>
      </c>
      <c r="B129" s="204" t="s">
        <v>457</v>
      </c>
      <c r="C129" s="145" t="s">
        <v>380</v>
      </c>
      <c r="D129" s="147">
        <v>5</v>
      </c>
      <c r="E129" s="147">
        <v>5</v>
      </c>
      <c r="F129" s="147">
        <v>5</v>
      </c>
      <c r="G129" s="114"/>
      <c r="H129" s="114"/>
      <c r="I129" s="147">
        <v>35</v>
      </c>
      <c r="J129" s="114"/>
      <c r="K129" s="147">
        <f t="shared" si="7"/>
        <v>50</v>
      </c>
    </row>
    <row r="130" spans="1:11" ht="18.75" customHeight="1" x14ac:dyDescent="0.25">
      <c r="A130" s="206"/>
      <c r="B130" s="206"/>
      <c r="C130" s="148" t="s">
        <v>381</v>
      </c>
      <c r="D130" s="147">
        <v>5</v>
      </c>
      <c r="E130" s="75"/>
      <c r="F130" s="75"/>
      <c r="G130" s="147">
        <v>5</v>
      </c>
      <c r="H130" s="147">
        <v>5</v>
      </c>
      <c r="I130" s="75"/>
      <c r="J130" s="147">
        <v>35</v>
      </c>
      <c r="K130" s="147">
        <f t="shared" si="7"/>
        <v>50</v>
      </c>
    </row>
  </sheetData>
  <mergeCells count="126">
    <mergeCell ref="J2:J3"/>
    <mergeCell ref="K2:K3"/>
    <mergeCell ref="B4:B5"/>
    <mergeCell ref="A4:A5"/>
    <mergeCell ref="B6:B7"/>
    <mergeCell ref="A6:A7"/>
    <mergeCell ref="B2:B3"/>
    <mergeCell ref="A2:A3"/>
    <mergeCell ref="C2:C3"/>
    <mergeCell ref="D2:D3"/>
    <mergeCell ref="E2:H2"/>
    <mergeCell ref="I2:I3"/>
    <mergeCell ref="B8:B9"/>
    <mergeCell ref="A8:A9"/>
    <mergeCell ref="B10:B11"/>
    <mergeCell ref="A10:A11"/>
    <mergeCell ref="B26:B27"/>
    <mergeCell ref="A26:A27"/>
    <mergeCell ref="B87:B88"/>
    <mergeCell ref="A87:A88"/>
    <mergeCell ref="B28:B29"/>
    <mergeCell ref="A28:A29"/>
    <mergeCell ref="B14:B15"/>
    <mergeCell ref="A14:A15"/>
    <mergeCell ref="B34:B35"/>
    <mergeCell ref="A34:A35"/>
    <mergeCell ref="B58:B59"/>
    <mergeCell ref="A58:A59"/>
    <mergeCell ref="B20:B21"/>
    <mergeCell ref="A20:A21"/>
    <mergeCell ref="B60:B61"/>
    <mergeCell ref="A60:A61"/>
    <mergeCell ref="B42:B43"/>
    <mergeCell ref="A42:A43"/>
    <mergeCell ref="A85:A86"/>
    <mergeCell ref="B85:B86"/>
    <mergeCell ref="B12:B13"/>
    <mergeCell ref="A12:A13"/>
    <mergeCell ref="B52:B53"/>
    <mergeCell ref="A52:A53"/>
    <mergeCell ref="B32:B33"/>
    <mergeCell ref="A32:A33"/>
    <mergeCell ref="B30:B31"/>
    <mergeCell ref="A30:A31"/>
    <mergeCell ref="B16:B17"/>
    <mergeCell ref="A16:A17"/>
    <mergeCell ref="B36:B37"/>
    <mergeCell ref="A36:A37"/>
    <mergeCell ref="B18:B19"/>
    <mergeCell ref="A18:A19"/>
    <mergeCell ref="B22:B23"/>
    <mergeCell ref="A22:A23"/>
    <mergeCell ref="B38:B39"/>
    <mergeCell ref="A38:A39"/>
    <mergeCell ref="B24:B25"/>
    <mergeCell ref="A24:A25"/>
    <mergeCell ref="B40:B41"/>
    <mergeCell ref="A40:A41"/>
    <mergeCell ref="B44:B45"/>
    <mergeCell ref="A44:A45"/>
    <mergeCell ref="B46:B47"/>
    <mergeCell ref="A46:A47"/>
    <mergeCell ref="B68:B69"/>
    <mergeCell ref="A68:A69"/>
    <mergeCell ref="B70:B71"/>
    <mergeCell ref="A70:A71"/>
    <mergeCell ref="B66:B67"/>
    <mergeCell ref="A66:A67"/>
    <mergeCell ref="B48:B49"/>
    <mergeCell ref="A48:A49"/>
    <mergeCell ref="B50:B51"/>
    <mergeCell ref="A50:A51"/>
    <mergeCell ref="B54:B55"/>
    <mergeCell ref="A54:A55"/>
    <mergeCell ref="B56:B57"/>
    <mergeCell ref="A56:A57"/>
    <mergeCell ref="B64:B65"/>
    <mergeCell ref="A64:A65"/>
    <mergeCell ref="B78:B79"/>
    <mergeCell ref="A78:A79"/>
    <mergeCell ref="B62:B63"/>
    <mergeCell ref="A62:A63"/>
    <mergeCell ref="B74:B75"/>
    <mergeCell ref="A74:A75"/>
    <mergeCell ref="B95:B96"/>
    <mergeCell ref="A95:A96"/>
    <mergeCell ref="B120:B121"/>
    <mergeCell ref="A120:A121"/>
    <mergeCell ref="B105:B106"/>
    <mergeCell ref="A105:A106"/>
    <mergeCell ref="B72:B73"/>
    <mergeCell ref="A72:A73"/>
    <mergeCell ref="B76:B77"/>
    <mergeCell ref="A76:A77"/>
    <mergeCell ref="B93:B94"/>
    <mergeCell ref="A93:A94"/>
    <mergeCell ref="B91:B92"/>
    <mergeCell ref="A91:A92"/>
    <mergeCell ref="B89:B90"/>
    <mergeCell ref="A89:A90"/>
    <mergeCell ref="B80:B81"/>
    <mergeCell ref="A80:A81"/>
    <mergeCell ref="B129:B130"/>
    <mergeCell ref="A129:A130"/>
    <mergeCell ref="A82:A83"/>
    <mergeCell ref="B118:B119"/>
    <mergeCell ref="A118:A119"/>
    <mergeCell ref="B123:B124"/>
    <mergeCell ref="A123:A124"/>
    <mergeCell ref="B127:B128"/>
    <mergeCell ref="A127:A128"/>
    <mergeCell ref="B114:B115"/>
    <mergeCell ref="A114:A115"/>
    <mergeCell ref="B116:B117"/>
    <mergeCell ref="A116:A117"/>
    <mergeCell ref="B125:B126"/>
    <mergeCell ref="A125:A126"/>
    <mergeCell ref="B111:B112"/>
    <mergeCell ref="A111:A112"/>
    <mergeCell ref="B99:B100"/>
    <mergeCell ref="A99:A100"/>
    <mergeCell ref="A108:A109"/>
    <mergeCell ref="B103:B104"/>
    <mergeCell ref="A103:A104"/>
    <mergeCell ref="B97:B98"/>
    <mergeCell ref="A97:A9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130"/>
  <sheetViews>
    <sheetView topLeftCell="A107" workbookViewId="0">
      <selection activeCell="C117" sqref="C117:C118"/>
    </sheetView>
  </sheetViews>
  <sheetFormatPr defaultRowHeight="15" x14ac:dyDescent="0.25"/>
  <cols>
    <col min="1" max="1" width="8" style="29" customWidth="1"/>
    <col min="2" max="2" width="7" style="29" customWidth="1"/>
    <col min="3" max="3" width="11" style="31" customWidth="1"/>
    <col min="4" max="4" width="12" style="29" hidden="1" customWidth="1"/>
    <col min="5" max="8" width="14.85546875" style="31" hidden="1" customWidth="1"/>
    <col min="9" max="10" width="0" style="31" hidden="1" customWidth="1"/>
    <col min="11" max="16384" width="9.140625" style="31"/>
  </cols>
  <sheetData>
    <row r="2" spans="1:12" s="39" customFormat="1" ht="30" customHeight="1" x14ac:dyDescent="0.2">
      <c r="A2" s="233" t="s">
        <v>463</v>
      </c>
      <c r="B2" s="233" t="s">
        <v>358</v>
      </c>
      <c r="C2" s="235" t="s">
        <v>359</v>
      </c>
      <c r="D2" s="233" t="s">
        <v>991</v>
      </c>
      <c r="E2" s="234" t="s">
        <v>985</v>
      </c>
      <c r="F2" s="234"/>
      <c r="G2" s="234"/>
      <c r="H2" s="234"/>
      <c r="I2" s="235" t="s">
        <v>983</v>
      </c>
      <c r="J2" s="235" t="s">
        <v>984</v>
      </c>
      <c r="K2" s="242" t="s">
        <v>996</v>
      </c>
      <c r="L2" s="242" t="s">
        <v>1105</v>
      </c>
    </row>
    <row r="3" spans="1:12" s="39" customFormat="1" ht="30" customHeight="1" x14ac:dyDescent="0.2">
      <c r="A3" s="233"/>
      <c r="B3" s="233"/>
      <c r="C3" s="236"/>
      <c r="D3" s="233"/>
      <c r="E3" s="165" t="s">
        <v>987</v>
      </c>
      <c r="F3" s="165" t="s">
        <v>988</v>
      </c>
      <c r="G3" s="165" t="s">
        <v>989</v>
      </c>
      <c r="H3" s="165" t="s">
        <v>990</v>
      </c>
      <c r="I3" s="236"/>
      <c r="J3" s="236"/>
      <c r="K3" s="242"/>
      <c r="L3" s="242"/>
    </row>
    <row r="4" spans="1:12" s="40" customFormat="1" ht="18.75" customHeight="1" x14ac:dyDescent="0.25">
      <c r="A4" s="226" t="s">
        <v>154</v>
      </c>
      <c r="B4" s="205">
        <v>1</v>
      </c>
      <c r="C4" s="157" t="s">
        <v>376</v>
      </c>
      <c r="D4" s="158">
        <v>5</v>
      </c>
      <c r="E4" s="158">
        <v>5</v>
      </c>
      <c r="F4" s="158">
        <v>5</v>
      </c>
      <c r="G4" s="114"/>
      <c r="H4" s="114"/>
      <c r="I4" s="158">
        <v>35</v>
      </c>
      <c r="J4" s="114"/>
      <c r="K4" s="158">
        <f>SUM(D4:I4)</f>
        <v>50</v>
      </c>
      <c r="L4" s="210">
        <f>K4+K5</f>
        <v>100</v>
      </c>
    </row>
    <row r="5" spans="1:12" ht="18.75" customHeight="1" x14ac:dyDescent="0.25">
      <c r="A5" s="226"/>
      <c r="B5" s="205"/>
      <c r="C5" s="156" t="s">
        <v>151</v>
      </c>
      <c r="D5" s="155">
        <v>5</v>
      </c>
      <c r="E5" s="75"/>
      <c r="F5" s="75"/>
      <c r="G5" s="158">
        <v>5</v>
      </c>
      <c r="H5" s="158">
        <v>5</v>
      </c>
      <c r="I5" s="75"/>
      <c r="J5" s="158">
        <v>35</v>
      </c>
      <c r="K5" s="158">
        <f>SUM(D5:J5)</f>
        <v>50</v>
      </c>
      <c r="L5" s="210"/>
    </row>
    <row r="6" spans="1:12" ht="18.75" customHeight="1" x14ac:dyDescent="0.25">
      <c r="A6" s="204" t="s">
        <v>155</v>
      </c>
      <c r="B6" s="204">
        <v>1</v>
      </c>
      <c r="C6" s="156" t="s">
        <v>161</v>
      </c>
      <c r="D6" s="158">
        <v>5</v>
      </c>
      <c r="E6" s="158">
        <v>5</v>
      </c>
      <c r="F6" s="158">
        <v>5</v>
      </c>
      <c r="G6" s="114"/>
      <c r="H6" s="114"/>
      <c r="I6" s="158">
        <v>35</v>
      </c>
      <c r="J6" s="114"/>
      <c r="K6" s="158">
        <f>SUM(D6:I6)</f>
        <v>50</v>
      </c>
      <c r="L6" s="210">
        <f t="shared" ref="L6" si="0">K6+K7</f>
        <v>100</v>
      </c>
    </row>
    <row r="7" spans="1:12" ht="18.75" customHeight="1" x14ac:dyDescent="0.25">
      <c r="A7" s="205"/>
      <c r="B7" s="205"/>
      <c r="C7" s="156" t="s">
        <v>162</v>
      </c>
      <c r="D7" s="155">
        <v>5</v>
      </c>
      <c r="E7" s="75"/>
      <c r="F7" s="75"/>
      <c r="G7" s="158">
        <v>5</v>
      </c>
      <c r="H7" s="158">
        <v>5</v>
      </c>
      <c r="I7" s="75"/>
      <c r="J7" s="158">
        <v>35</v>
      </c>
      <c r="K7" s="158">
        <f>SUM(D7:J7)</f>
        <v>50</v>
      </c>
      <c r="L7" s="210"/>
    </row>
    <row r="8" spans="1:12" ht="18.75" customHeight="1" x14ac:dyDescent="0.25">
      <c r="A8" s="204" t="s">
        <v>156</v>
      </c>
      <c r="B8" s="204">
        <v>2</v>
      </c>
      <c r="C8" s="156" t="s">
        <v>176</v>
      </c>
      <c r="D8" s="158">
        <v>5</v>
      </c>
      <c r="E8" s="158">
        <v>5</v>
      </c>
      <c r="F8" s="158">
        <v>5</v>
      </c>
      <c r="G8" s="114"/>
      <c r="H8" s="114"/>
      <c r="I8" s="158">
        <v>35</v>
      </c>
      <c r="J8" s="114"/>
      <c r="K8" s="158">
        <f t="shared" ref="K8" si="1">SUM(D8:I8)</f>
        <v>50</v>
      </c>
      <c r="L8" s="210">
        <f t="shared" ref="L8" si="2">K8+K9</f>
        <v>100</v>
      </c>
    </row>
    <row r="9" spans="1:12" ht="18.75" customHeight="1" x14ac:dyDescent="0.25">
      <c r="A9" s="205"/>
      <c r="B9" s="205"/>
      <c r="C9" s="156" t="s">
        <v>182</v>
      </c>
      <c r="D9" s="158">
        <v>5</v>
      </c>
      <c r="E9" s="75"/>
      <c r="F9" s="75"/>
      <c r="G9" s="158">
        <v>5</v>
      </c>
      <c r="H9" s="158">
        <v>5</v>
      </c>
      <c r="I9" s="75"/>
      <c r="J9" s="158">
        <v>35</v>
      </c>
      <c r="K9" s="158">
        <f>SUM(D9:J9)</f>
        <v>50</v>
      </c>
      <c r="L9" s="210"/>
    </row>
    <row r="10" spans="1:12" ht="18.75" customHeight="1" x14ac:dyDescent="0.25">
      <c r="A10" s="212" t="s">
        <v>157</v>
      </c>
      <c r="B10" s="212">
        <v>5</v>
      </c>
      <c r="C10" s="159" t="s">
        <v>226</v>
      </c>
      <c r="D10" s="158">
        <v>5</v>
      </c>
      <c r="E10" s="158">
        <v>5</v>
      </c>
      <c r="F10" s="158">
        <v>5</v>
      </c>
      <c r="G10" s="114"/>
      <c r="H10" s="114"/>
      <c r="I10" s="158">
        <v>35</v>
      </c>
      <c r="J10" s="114"/>
      <c r="K10" s="158">
        <f t="shared" ref="K10" si="3">SUM(D10:J10)</f>
        <v>50</v>
      </c>
      <c r="L10" s="210">
        <f>K11+K12</f>
        <v>100</v>
      </c>
    </row>
    <row r="11" spans="1:12" ht="18.75" customHeight="1" x14ac:dyDescent="0.25">
      <c r="A11" s="212"/>
      <c r="B11" s="212"/>
      <c r="C11" s="158" t="s">
        <v>227</v>
      </c>
      <c r="D11" s="158">
        <v>5</v>
      </c>
      <c r="E11" s="75"/>
      <c r="F11" s="75"/>
      <c r="G11" s="158">
        <v>5</v>
      </c>
      <c r="H11" s="158">
        <v>5</v>
      </c>
      <c r="I11" s="75"/>
      <c r="J11" s="158">
        <v>35</v>
      </c>
      <c r="K11" s="158">
        <f>SUM(D11:J11)</f>
        <v>50</v>
      </c>
      <c r="L11" s="210"/>
    </row>
    <row r="12" spans="1:12" ht="18.75" customHeight="1" x14ac:dyDescent="0.25">
      <c r="A12" s="204" t="s">
        <v>158</v>
      </c>
      <c r="B12" s="204">
        <v>2</v>
      </c>
      <c r="C12" s="156" t="s">
        <v>183</v>
      </c>
      <c r="D12" s="158">
        <v>5</v>
      </c>
      <c r="E12" s="158">
        <v>5</v>
      </c>
      <c r="F12" s="158">
        <v>5</v>
      </c>
      <c r="G12" s="114"/>
      <c r="H12" s="114"/>
      <c r="I12" s="158">
        <v>35</v>
      </c>
      <c r="J12" s="114"/>
      <c r="K12" s="158">
        <f t="shared" ref="K12:K75" si="4">SUM(D12:J12)</f>
        <v>50</v>
      </c>
      <c r="L12" s="210">
        <f>K13+K14</f>
        <v>100</v>
      </c>
    </row>
    <row r="13" spans="1:12" ht="18.75" customHeight="1" x14ac:dyDescent="0.25">
      <c r="A13" s="205"/>
      <c r="B13" s="205"/>
      <c r="C13" s="156" t="s">
        <v>184</v>
      </c>
      <c r="D13" s="158">
        <v>5</v>
      </c>
      <c r="E13" s="75"/>
      <c r="F13" s="75"/>
      <c r="G13" s="158">
        <v>5</v>
      </c>
      <c r="H13" s="158">
        <v>5</v>
      </c>
      <c r="I13" s="75"/>
      <c r="J13" s="158">
        <v>35</v>
      </c>
      <c r="K13" s="158">
        <f t="shared" si="4"/>
        <v>50</v>
      </c>
      <c r="L13" s="210"/>
    </row>
    <row r="14" spans="1:12" ht="18.75" customHeight="1" x14ac:dyDescent="0.25">
      <c r="A14" s="204" t="s">
        <v>159</v>
      </c>
      <c r="B14" s="204">
        <v>2</v>
      </c>
      <c r="C14" s="156" t="s">
        <v>185</v>
      </c>
      <c r="D14" s="158">
        <v>5</v>
      </c>
      <c r="E14" s="158">
        <v>5</v>
      </c>
      <c r="F14" s="158">
        <v>5</v>
      </c>
      <c r="G14" s="114"/>
      <c r="H14" s="114"/>
      <c r="I14" s="158">
        <v>35</v>
      </c>
      <c r="J14" s="114"/>
      <c r="K14" s="158">
        <f t="shared" si="4"/>
        <v>50</v>
      </c>
      <c r="L14" s="210">
        <f t="shared" ref="L14:L74" si="5">K14+K15</f>
        <v>100</v>
      </c>
    </row>
    <row r="15" spans="1:12" ht="18.75" customHeight="1" x14ac:dyDescent="0.25">
      <c r="A15" s="205"/>
      <c r="B15" s="205"/>
      <c r="C15" s="156" t="s">
        <v>186</v>
      </c>
      <c r="D15" s="158">
        <v>5</v>
      </c>
      <c r="E15" s="75"/>
      <c r="F15" s="75"/>
      <c r="G15" s="158">
        <v>5</v>
      </c>
      <c r="H15" s="158">
        <v>5</v>
      </c>
      <c r="I15" s="75"/>
      <c r="J15" s="158">
        <v>35</v>
      </c>
      <c r="K15" s="158">
        <f t="shared" si="4"/>
        <v>50</v>
      </c>
      <c r="L15" s="210"/>
    </row>
    <row r="16" spans="1:12" ht="18.75" customHeight="1" x14ac:dyDescent="0.25">
      <c r="A16" s="204" t="s">
        <v>160</v>
      </c>
      <c r="B16" s="204">
        <v>1</v>
      </c>
      <c r="C16" s="156" t="s">
        <v>167</v>
      </c>
      <c r="D16" s="158">
        <v>5</v>
      </c>
      <c r="E16" s="158">
        <v>5</v>
      </c>
      <c r="F16" s="158">
        <v>5</v>
      </c>
      <c r="G16" s="114"/>
      <c r="H16" s="114"/>
      <c r="I16" s="158">
        <v>35</v>
      </c>
      <c r="J16" s="114"/>
      <c r="K16" s="158">
        <f t="shared" si="4"/>
        <v>50</v>
      </c>
      <c r="L16" s="210">
        <f t="shared" ref="L16:L66" si="6">K16+K17</f>
        <v>100</v>
      </c>
    </row>
    <row r="17" spans="1:12" ht="18.75" customHeight="1" x14ac:dyDescent="0.25">
      <c r="A17" s="205"/>
      <c r="B17" s="205"/>
      <c r="C17" s="156" t="s">
        <v>377</v>
      </c>
      <c r="D17" s="158">
        <v>5</v>
      </c>
      <c r="E17" s="75"/>
      <c r="F17" s="75"/>
      <c r="G17" s="158">
        <v>5</v>
      </c>
      <c r="H17" s="158">
        <v>5</v>
      </c>
      <c r="I17" s="75"/>
      <c r="J17" s="158">
        <v>35</v>
      </c>
      <c r="K17" s="158">
        <f t="shared" si="4"/>
        <v>50</v>
      </c>
      <c r="L17" s="210"/>
    </row>
    <row r="18" spans="1:12" ht="18.75" customHeight="1" x14ac:dyDescent="0.25">
      <c r="A18" s="212" t="s">
        <v>166</v>
      </c>
      <c r="B18" s="212">
        <v>1</v>
      </c>
      <c r="C18" s="159" t="s">
        <v>171</v>
      </c>
      <c r="D18" s="158">
        <v>5</v>
      </c>
      <c r="E18" s="158">
        <v>5</v>
      </c>
      <c r="F18" s="158">
        <v>5</v>
      </c>
      <c r="G18" s="114"/>
      <c r="H18" s="114"/>
      <c r="I18" s="158">
        <v>35</v>
      </c>
      <c r="J18" s="114"/>
      <c r="K18" s="158">
        <f t="shared" si="4"/>
        <v>50</v>
      </c>
      <c r="L18" s="158">
        <f t="shared" si="5"/>
        <v>100</v>
      </c>
    </row>
    <row r="19" spans="1:12" ht="18.75" customHeight="1" x14ac:dyDescent="0.25">
      <c r="A19" s="212"/>
      <c r="B19" s="212"/>
      <c r="C19" s="159" t="s">
        <v>378</v>
      </c>
      <c r="D19" s="158">
        <v>5</v>
      </c>
      <c r="E19" s="75"/>
      <c r="F19" s="75"/>
      <c r="G19" s="158">
        <v>5</v>
      </c>
      <c r="H19" s="158">
        <v>5</v>
      </c>
      <c r="I19" s="75"/>
      <c r="J19" s="158">
        <v>35</v>
      </c>
      <c r="K19" s="158">
        <f t="shared" si="4"/>
        <v>50</v>
      </c>
      <c r="L19" s="158"/>
    </row>
    <row r="20" spans="1:12" ht="18.75" customHeight="1" x14ac:dyDescent="0.25">
      <c r="A20" s="204" t="s">
        <v>170</v>
      </c>
      <c r="B20" s="204">
        <v>1</v>
      </c>
      <c r="C20" s="159" t="s">
        <v>175</v>
      </c>
      <c r="D20" s="158">
        <v>5</v>
      </c>
      <c r="E20" s="158">
        <v>5</v>
      </c>
      <c r="F20" s="158">
        <v>5</v>
      </c>
      <c r="G20" s="114"/>
      <c r="H20" s="114"/>
      <c r="I20" s="158">
        <v>35</v>
      </c>
      <c r="J20" s="114"/>
      <c r="K20" s="158">
        <f t="shared" si="4"/>
        <v>50</v>
      </c>
      <c r="L20" s="210">
        <f>K21+K22</f>
        <v>100</v>
      </c>
    </row>
    <row r="21" spans="1:12" ht="18.75" customHeight="1" x14ac:dyDescent="0.25">
      <c r="A21" s="205"/>
      <c r="B21" s="205"/>
      <c r="C21" s="156" t="s">
        <v>383</v>
      </c>
      <c r="D21" s="158">
        <v>5</v>
      </c>
      <c r="E21" s="75"/>
      <c r="F21" s="75"/>
      <c r="G21" s="158">
        <v>5</v>
      </c>
      <c r="H21" s="158">
        <v>5</v>
      </c>
      <c r="I21" s="75"/>
      <c r="J21" s="158">
        <v>35</v>
      </c>
      <c r="K21" s="158">
        <f t="shared" si="4"/>
        <v>50</v>
      </c>
      <c r="L21" s="210"/>
    </row>
    <row r="22" spans="1:12" ht="18.75" customHeight="1" x14ac:dyDescent="0.25">
      <c r="A22" s="204" t="s">
        <v>174</v>
      </c>
      <c r="B22" s="204">
        <v>3</v>
      </c>
      <c r="C22" s="159" t="s">
        <v>190</v>
      </c>
      <c r="D22" s="158">
        <v>5</v>
      </c>
      <c r="E22" s="158">
        <v>5</v>
      </c>
      <c r="F22" s="158">
        <v>5</v>
      </c>
      <c r="G22" s="114"/>
      <c r="H22" s="114"/>
      <c r="I22" s="158">
        <v>35</v>
      </c>
      <c r="J22" s="114"/>
      <c r="K22" s="158">
        <f t="shared" si="4"/>
        <v>50</v>
      </c>
      <c r="L22" s="210">
        <f>K23+K24</f>
        <v>100</v>
      </c>
    </row>
    <row r="23" spans="1:12" ht="18.75" customHeight="1" x14ac:dyDescent="0.25">
      <c r="A23" s="205"/>
      <c r="B23" s="205"/>
      <c r="C23" s="159" t="s">
        <v>191</v>
      </c>
      <c r="D23" s="158">
        <v>5</v>
      </c>
      <c r="E23" s="75"/>
      <c r="F23" s="75"/>
      <c r="G23" s="158">
        <v>5</v>
      </c>
      <c r="H23" s="158">
        <v>5</v>
      </c>
      <c r="I23" s="75"/>
      <c r="J23" s="158">
        <v>35</v>
      </c>
      <c r="K23" s="158">
        <f t="shared" si="4"/>
        <v>50</v>
      </c>
      <c r="L23" s="210"/>
    </row>
    <row r="24" spans="1:12" ht="18.75" customHeight="1" x14ac:dyDescent="0.25">
      <c r="A24" s="204" t="s">
        <v>179</v>
      </c>
      <c r="B24" s="204">
        <v>2</v>
      </c>
      <c r="C24" s="156" t="s">
        <v>187</v>
      </c>
      <c r="D24" s="158">
        <v>5</v>
      </c>
      <c r="E24" s="158">
        <v>5</v>
      </c>
      <c r="F24" s="158">
        <v>5</v>
      </c>
      <c r="G24" s="114"/>
      <c r="H24" s="114"/>
      <c r="I24" s="158">
        <v>35</v>
      </c>
      <c r="J24" s="114"/>
      <c r="K24" s="158">
        <f t="shared" si="4"/>
        <v>50</v>
      </c>
      <c r="L24" s="210">
        <f t="shared" si="5"/>
        <v>100</v>
      </c>
    </row>
    <row r="25" spans="1:12" ht="18.75" customHeight="1" x14ac:dyDescent="0.25">
      <c r="A25" s="205"/>
      <c r="B25" s="205"/>
      <c r="C25" s="156" t="s">
        <v>188</v>
      </c>
      <c r="D25" s="158">
        <v>5</v>
      </c>
      <c r="E25" s="75"/>
      <c r="F25" s="75"/>
      <c r="G25" s="158">
        <v>5</v>
      </c>
      <c r="H25" s="158">
        <v>5</v>
      </c>
      <c r="I25" s="75"/>
      <c r="J25" s="158">
        <v>35</v>
      </c>
      <c r="K25" s="158">
        <f t="shared" si="4"/>
        <v>50</v>
      </c>
      <c r="L25" s="210"/>
    </row>
    <row r="26" spans="1:12" ht="18.75" customHeight="1" x14ac:dyDescent="0.25">
      <c r="A26" s="204" t="s">
        <v>194</v>
      </c>
      <c r="B26" s="204">
        <v>1</v>
      </c>
      <c r="C26" s="156" t="s">
        <v>381</v>
      </c>
      <c r="D26" s="158">
        <v>5</v>
      </c>
      <c r="E26" s="158">
        <v>5</v>
      </c>
      <c r="F26" s="158">
        <v>5</v>
      </c>
      <c r="G26" s="114"/>
      <c r="H26" s="114"/>
      <c r="I26" s="158">
        <v>35</v>
      </c>
      <c r="J26" s="114"/>
      <c r="K26" s="158">
        <f t="shared" si="4"/>
        <v>50</v>
      </c>
      <c r="L26" s="210">
        <f t="shared" si="6"/>
        <v>100</v>
      </c>
    </row>
    <row r="27" spans="1:12" ht="18.75" customHeight="1" x14ac:dyDescent="0.25">
      <c r="A27" s="205"/>
      <c r="B27" s="205"/>
      <c r="C27" s="156" t="s">
        <v>382</v>
      </c>
      <c r="D27" s="158">
        <v>5</v>
      </c>
      <c r="E27" s="75"/>
      <c r="F27" s="75"/>
      <c r="G27" s="158">
        <v>5</v>
      </c>
      <c r="H27" s="158">
        <v>5</v>
      </c>
      <c r="I27" s="75"/>
      <c r="J27" s="158">
        <v>35</v>
      </c>
      <c r="K27" s="158">
        <f t="shared" si="4"/>
        <v>50</v>
      </c>
      <c r="L27" s="210"/>
    </row>
    <row r="28" spans="1:12" ht="18.75" customHeight="1" x14ac:dyDescent="0.25">
      <c r="A28" s="204" t="s">
        <v>394</v>
      </c>
      <c r="B28" s="204">
        <v>2</v>
      </c>
      <c r="C28" s="156" t="s">
        <v>189</v>
      </c>
      <c r="D28" s="158">
        <v>5</v>
      </c>
      <c r="E28" s="158">
        <v>5</v>
      </c>
      <c r="F28" s="158">
        <v>5</v>
      </c>
      <c r="G28" s="114"/>
      <c r="H28" s="114"/>
      <c r="I28" s="158">
        <v>35</v>
      </c>
      <c r="J28" s="114"/>
      <c r="K28" s="158">
        <f t="shared" si="4"/>
        <v>50</v>
      </c>
      <c r="L28" s="210">
        <f t="shared" si="5"/>
        <v>100</v>
      </c>
    </row>
    <row r="29" spans="1:12" ht="18.75" customHeight="1" x14ac:dyDescent="0.25">
      <c r="A29" s="205"/>
      <c r="B29" s="205"/>
      <c r="C29" s="156" t="s">
        <v>395</v>
      </c>
      <c r="D29" s="158">
        <v>5</v>
      </c>
      <c r="E29" s="75"/>
      <c r="F29" s="75"/>
      <c r="G29" s="158">
        <v>5</v>
      </c>
      <c r="H29" s="158">
        <v>5</v>
      </c>
      <c r="I29" s="75"/>
      <c r="J29" s="158">
        <v>35</v>
      </c>
      <c r="K29" s="158">
        <f t="shared" si="4"/>
        <v>50</v>
      </c>
      <c r="L29" s="210"/>
    </row>
    <row r="30" spans="1:12" ht="18.75" customHeight="1" x14ac:dyDescent="0.25">
      <c r="A30" s="204" t="s">
        <v>199</v>
      </c>
      <c r="B30" s="204">
        <v>5</v>
      </c>
      <c r="C30" s="156" t="s">
        <v>228</v>
      </c>
      <c r="D30" s="158">
        <v>5</v>
      </c>
      <c r="E30" s="158">
        <v>5</v>
      </c>
      <c r="F30" s="158">
        <v>5</v>
      </c>
      <c r="G30" s="114"/>
      <c r="H30" s="114"/>
      <c r="I30" s="158">
        <v>35</v>
      </c>
      <c r="J30" s="114"/>
      <c r="K30" s="158">
        <f t="shared" si="4"/>
        <v>50</v>
      </c>
      <c r="L30" s="210">
        <f>K31+K32</f>
        <v>100</v>
      </c>
    </row>
    <row r="31" spans="1:12" ht="18.75" customHeight="1" x14ac:dyDescent="0.25">
      <c r="A31" s="205"/>
      <c r="B31" s="205"/>
      <c r="C31" s="156" t="s">
        <v>229</v>
      </c>
      <c r="D31" s="158">
        <v>5</v>
      </c>
      <c r="E31" s="75"/>
      <c r="F31" s="75"/>
      <c r="G31" s="158">
        <v>5</v>
      </c>
      <c r="H31" s="158">
        <v>5</v>
      </c>
      <c r="I31" s="75"/>
      <c r="J31" s="158">
        <v>35</v>
      </c>
      <c r="K31" s="158">
        <f t="shared" si="4"/>
        <v>50</v>
      </c>
      <c r="L31" s="210"/>
    </row>
    <row r="32" spans="1:12" ht="18.75" customHeight="1" x14ac:dyDescent="0.25">
      <c r="A32" s="204" t="s">
        <v>202</v>
      </c>
      <c r="B32" s="204">
        <v>4</v>
      </c>
      <c r="C32" s="156" t="s">
        <v>192</v>
      </c>
      <c r="D32" s="158">
        <v>5</v>
      </c>
      <c r="E32" s="158">
        <v>5</v>
      </c>
      <c r="F32" s="158">
        <v>5</v>
      </c>
      <c r="G32" s="114"/>
      <c r="H32" s="114"/>
      <c r="I32" s="158">
        <v>35</v>
      </c>
      <c r="J32" s="114"/>
      <c r="K32" s="158">
        <f t="shared" si="4"/>
        <v>50</v>
      </c>
      <c r="L32" s="210">
        <f>K33+K34</f>
        <v>100</v>
      </c>
    </row>
    <row r="33" spans="1:12" ht="18.75" customHeight="1" x14ac:dyDescent="0.25">
      <c r="A33" s="205"/>
      <c r="B33" s="205"/>
      <c r="C33" s="156" t="s">
        <v>193</v>
      </c>
      <c r="D33" s="158">
        <v>5</v>
      </c>
      <c r="E33" s="75"/>
      <c r="F33" s="75"/>
      <c r="G33" s="158">
        <v>5</v>
      </c>
      <c r="H33" s="158">
        <v>5</v>
      </c>
      <c r="I33" s="75"/>
      <c r="J33" s="158">
        <v>35</v>
      </c>
      <c r="K33" s="158">
        <f t="shared" si="4"/>
        <v>50</v>
      </c>
      <c r="L33" s="210"/>
    </row>
    <row r="34" spans="1:12" ht="18.75" customHeight="1" x14ac:dyDescent="0.25">
      <c r="A34" s="204" t="s">
        <v>205</v>
      </c>
      <c r="B34" s="204">
        <v>4</v>
      </c>
      <c r="C34" s="156" t="s">
        <v>219</v>
      </c>
      <c r="D34" s="158">
        <v>5</v>
      </c>
      <c r="E34" s="158">
        <v>5</v>
      </c>
      <c r="F34" s="158">
        <v>5</v>
      </c>
      <c r="G34" s="114"/>
      <c r="H34" s="114"/>
      <c r="I34" s="158">
        <v>35</v>
      </c>
      <c r="J34" s="114"/>
      <c r="K34" s="158">
        <f t="shared" si="4"/>
        <v>50</v>
      </c>
      <c r="L34" s="210">
        <f t="shared" si="5"/>
        <v>100</v>
      </c>
    </row>
    <row r="35" spans="1:12" ht="18.75" customHeight="1" x14ac:dyDescent="0.25">
      <c r="A35" s="205"/>
      <c r="B35" s="205"/>
      <c r="C35" s="156" t="s">
        <v>220</v>
      </c>
      <c r="D35" s="158">
        <v>5</v>
      </c>
      <c r="E35" s="75"/>
      <c r="F35" s="75"/>
      <c r="G35" s="158">
        <v>5</v>
      </c>
      <c r="H35" s="158">
        <v>5</v>
      </c>
      <c r="I35" s="75"/>
      <c r="J35" s="158">
        <v>35</v>
      </c>
      <c r="K35" s="158">
        <f t="shared" si="4"/>
        <v>50</v>
      </c>
      <c r="L35" s="210"/>
    </row>
    <row r="36" spans="1:12" ht="18.75" customHeight="1" x14ac:dyDescent="0.25">
      <c r="A36" s="204" t="s">
        <v>208</v>
      </c>
      <c r="B36" s="204">
        <v>5</v>
      </c>
      <c r="C36" s="156" t="s">
        <v>230</v>
      </c>
      <c r="D36" s="158">
        <v>5</v>
      </c>
      <c r="E36" s="158">
        <v>5</v>
      </c>
      <c r="F36" s="158">
        <v>5</v>
      </c>
      <c r="G36" s="114"/>
      <c r="H36" s="114"/>
      <c r="I36" s="158">
        <v>35</v>
      </c>
      <c r="J36" s="114"/>
      <c r="K36" s="158">
        <f t="shared" si="4"/>
        <v>50</v>
      </c>
      <c r="L36" s="210">
        <f t="shared" si="6"/>
        <v>100</v>
      </c>
    </row>
    <row r="37" spans="1:12" ht="18.75" customHeight="1" x14ac:dyDescent="0.25">
      <c r="A37" s="205"/>
      <c r="B37" s="205"/>
      <c r="C37" s="156" t="s">
        <v>231</v>
      </c>
      <c r="D37" s="158">
        <v>5</v>
      </c>
      <c r="E37" s="75"/>
      <c r="F37" s="75"/>
      <c r="G37" s="158">
        <v>5</v>
      </c>
      <c r="H37" s="158">
        <v>5</v>
      </c>
      <c r="I37" s="75"/>
      <c r="J37" s="158">
        <v>35</v>
      </c>
      <c r="K37" s="158">
        <f t="shared" si="4"/>
        <v>50</v>
      </c>
      <c r="L37" s="210"/>
    </row>
    <row r="38" spans="1:12" ht="18.75" customHeight="1" x14ac:dyDescent="0.25">
      <c r="A38" s="204" t="s">
        <v>211</v>
      </c>
      <c r="B38" s="204">
        <v>1</v>
      </c>
      <c r="C38" s="156" t="s">
        <v>384</v>
      </c>
      <c r="D38" s="158">
        <v>5</v>
      </c>
      <c r="E38" s="158">
        <v>5</v>
      </c>
      <c r="F38" s="158">
        <v>5</v>
      </c>
      <c r="G38" s="114"/>
      <c r="H38" s="114"/>
      <c r="I38" s="158">
        <v>35</v>
      </c>
      <c r="J38" s="114"/>
      <c r="K38" s="158">
        <f t="shared" si="4"/>
        <v>50</v>
      </c>
      <c r="L38" s="210">
        <f t="shared" si="5"/>
        <v>100</v>
      </c>
    </row>
    <row r="39" spans="1:12" ht="18.75" customHeight="1" x14ac:dyDescent="0.25">
      <c r="A39" s="205"/>
      <c r="B39" s="205"/>
      <c r="C39" s="161" t="s">
        <v>385</v>
      </c>
      <c r="D39" s="158">
        <v>5</v>
      </c>
      <c r="E39" s="75"/>
      <c r="F39" s="75"/>
      <c r="G39" s="158">
        <v>5</v>
      </c>
      <c r="H39" s="158">
        <v>5</v>
      </c>
      <c r="I39" s="75"/>
      <c r="J39" s="158">
        <v>35</v>
      </c>
      <c r="K39" s="158">
        <f t="shared" si="4"/>
        <v>50</v>
      </c>
      <c r="L39" s="210"/>
    </row>
    <row r="40" spans="1:12" ht="18.75" customHeight="1" x14ac:dyDescent="0.25">
      <c r="A40" s="204" t="s">
        <v>214</v>
      </c>
      <c r="B40" s="204">
        <v>2</v>
      </c>
      <c r="C40" s="156" t="s">
        <v>396</v>
      </c>
      <c r="D40" s="158">
        <v>5</v>
      </c>
      <c r="E40" s="158">
        <v>5</v>
      </c>
      <c r="F40" s="158">
        <v>5</v>
      </c>
      <c r="G40" s="114"/>
      <c r="H40" s="114"/>
      <c r="I40" s="158">
        <v>35</v>
      </c>
      <c r="J40" s="114"/>
      <c r="K40" s="158">
        <f t="shared" si="4"/>
        <v>50</v>
      </c>
      <c r="L40" s="210">
        <f>K41+K42</f>
        <v>100</v>
      </c>
    </row>
    <row r="41" spans="1:12" ht="18.75" customHeight="1" x14ac:dyDescent="0.25">
      <c r="A41" s="205"/>
      <c r="B41" s="205"/>
      <c r="C41" s="156" t="s">
        <v>397</v>
      </c>
      <c r="D41" s="158">
        <v>5</v>
      </c>
      <c r="E41" s="75"/>
      <c r="F41" s="75"/>
      <c r="G41" s="158">
        <v>5</v>
      </c>
      <c r="H41" s="158">
        <v>5</v>
      </c>
      <c r="I41" s="75"/>
      <c r="J41" s="158">
        <v>35</v>
      </c>
      <c r="K41" s="158">
        <f t="shared" si="4"/>
        <v>50</v>
      </c>
      <c r="L41" s="210"/>
    </row>
    <row r="42" spans="1:12" ht="18.75" customHeight="1" x14ac:dyDescent="0.25">
      <c r="A42" s="204" t="s">
        <v>375</v>
      </c>
      <c r="B42" s="204">
        <v>1</v>
      </c>
      <c r="C42" s="159" t="s">
        <v>386</v>
      </c>
      <c r="D42" s="158">
        <v>5</v>
      </c>
      <c r="E42" s="158">
        <v>5</v>
      </c>
      <c r="F42" s="158">
        <v>5</v>
      </c>
      <c r="G42" s="114"/>
      <c r="H42" s="114"/>
      <c r="I42" s="158">
        <v>35</v>
      </c>
      <c r="J42" s="114"/>
      <c r="K42" s="158">
        <f t="shared" si="4"/>
        <v>50</v>
      </c>
      <c r="L42" s="210">
        <f>K43+K44</f>
        <v>100</v>
      </c>
    </row>
    <row r="43" spans="1:12" ht="18.75" customHeight="1" x14ac:dyDescent="0.25">
      <c r="A43" s="205"/>
      <c r="B43" s="205"/>
      <c r="C43" s="161" t="s">
        <v>387</v>
      </c>
      <c r="D43" s="158">
        <v>5</v>
      </c>
      <c r="E43" s="75"/>
      <c r="F43" s="75"/>
      <c r="G43" s="158">
        <v>5</v>
      </c>
      <c r="H43" s="158">
        <v>5</v>
      </c>
      <c r="I43" s="75"/>
      <c r="J43" s="158">
        <v>35</v>
      </c>
      <c r="K43" s="158">
        <f t="shared" si="4"/>
        <v>50</v>
      </c>
      <c r="L43" s="210"/>
    </row>
    <row r="44" spans="1:12" ht="18.75" customHeight="1" x14ac:dyDescent="0.25">
      <c r="A44" s="212" t="s">
        <v>243</v>
      </c>
      <c r="B44" s="212">
        <v>4</v>
      </c>
      <c r="C44" s="156" t="s">
        <v>221</v>
      </c>
      <c r="D44" s="158">
        <v>5</v>
      </c>
      <c r="E44" s="158">
        <v>5</v>
      </c>
      <c r="F44" s="158">
        <v>5</v>
      </c>
      <c r="G44" s="114"/>
      <c r="H44" s="114"/>
      <c r="I44" s="158">
        <v>35</v>
      </c>
      <c r="J44" s="114"/>
      <c r="K44" s="158">
        <f t="shared" si="4"/>
        <v>50</v>
      </c>
      <c r="L44" s="210">
        <f t="shared" si="5"/>
        <v>100</v>
      </c>
    </row>
    <row r="45" spans="1:12" ht="18.75" customHeight="1" x14ac:dyDescent="0.25">
      <c r="A45" s="212"/>
      <c r="B45" s="212"/>
      <c r="C45" s="156" t="s">
        <v>222</v>
      </c>
      <c r="D45" s="158">
        <v>5</v>
      </c>
      <c r="E45" s="75"/>
      <c r="F45" s="75"/>
      <c r="G45" s="158">
        <v>5</v>
      </c>
      <c r="H45" s="158">
        <v>5</v>
      </c>
      <c r="I45" s="75"/>
      <c r="J45" s="158">
        <v>35</v>
      </c>
      <c r="K45" s="158">
        <f t="shared" si="4"/>
        <v>50</v>
      </c>
      <c r="L45" s="210"/>
    </row>
    <row r="46" spans="1:12" ht="18.75" customHeight="1" x14ac:dyDescent="0.25">
      <c r="A46" s="204" t="s">
        <v>246</v>
      </c>
      <c r="B46" s="204">
        <v>1</v>
      </c>
      <c r="C46" s="156" t="s">
        <v>388</v>
      </c>
      <c r="D46" s="158">
        <v>5</v>
      </c>
      <c r="E46" s="158">
        <v>5</v>
      </c>
      <c r="F46" s="158">
        <v>5</v>
      </c>
      <c r="G46" s="114"/>
      <c r="H46" s="114"/>
      <c r="I46" s="158">
        <v>35</v>
      </c>
      <c r="J46" s="114"/>
      <c r="K46" s="158">
        <f t="shared" si="4"/>
        <v>50</v>
      </c>
      <c r="L46" s="210">
        <f t="shared" si="6"/>
        <v>100</v>
      </c>
    </row>
    <row r="47" spans="1:12" ht="18.75" customHeight="1" x14ac:dyDescent="0.25">
      <c r="A47" s="205"/>
      <c r="B47" s="205"/>
      <c r="C47" s="156" t="s">
        <v>389</v>
      </c>
      <c r="D47" s="158">
        <v>5</v>
      </c>
      <c r="E47" s="75"/>
      <c r="F47" s="75"/>
      <c r="G47" s="158">
        <v>5</v>
      </c>
      <c r="H47" s="158">
        <v>5</v>
      </c>
      <c r="I47" s="75"/>
      <c r="J47" s="158">
        <v>35</v>
      </c>
      <c r="K47" s="158">
        <f t="shared" si="4"/>
        <v>50</v>
      </c>
      <c r="L47" s="210"/>
    </row>
    <row r="48" spans="1:12" ht="18.75" customHeight="1" x14ac:dyDescent="0.25">
      <c r="A48" s="212" t="s">
        <v>249</v>
      </c>
      <c r="B48" s="212">
        <v>4</v>
      </c>
      <c r="C48" s="159" t="s">
        <v>223</v>
      </c>
      <c r="D48" s="158">
        <v>5</v>
      </c>
      <c r="E48" s="158">
        <v>5</v>
      </c>
      <c r="F48" s="158">
        <v>5</v>
      </c>
      <c r="G48" s="114"/>
      <c r="H48" s="114"/>
      <c r="I48" s="158">
        <v>35</v>
      </c>
      <c r="J48" s="114"/>
      <c r="K48" s="158">
        <f t="shared" si="4"/>
        <v>50</v>
      </c>
      <c r="L48" s="210">
        <f t="shared" si="5"/>
        <v>100</v>
      </c>
    </row>
    <row r="49" spans="1:12" ht="18.75" customHeight="1" x14ac:dyDescent="0.25">
      <c r="A49" s="212"/>
      <c r="B49" s="212"/>
      <c r="C49" s="159" t="s">
        <v>224</v>
      </c>
      <c r="D49" s="158">
        <v>5</v>
      </c>
      <c r="E49" s="75"/>
      <c r="F49" s="75"/>
      <c r="G49" s="158">
        <v>5</v>
      </c>
      <c r="H49" s="158">
        <v>5</v>
      </c>
      <c r="I49" s="75"/>
      <c r="J49" s="158">
        <v>35</v>
      </c>
      <c r="K49" s="158">
        <f t="shared" si="4"/>
        <v>50</v>
      </c>
      <c r="L49" s="210"/>
    </row>
    <row r="50" spans="1:12" ht="18.75" customHeight="1" x14ac:dyDescent="0.25">
      <c r="A50" s="204" t="s">
        <v>252</v>
      </c>
      <c r="B50" s="204">
        <v>4</v>
      </c>
      <c r="C50" s="156" t="s">
        <v>225</v>
      </c>
      <c r="D50" s="158">
        <v>5</v>
      </c>
      <c r="E50" s="158">
        <v>5</v>
      </c>
      <c r="F50" s="158">
        <v>5</v>
      </c>
      <c r="G50" s="114"/>
      <c r="H50" s="114"/>
      <c r="I50" s="158">
        <v>35</v>
      </c>
      <c r="J50" s="114"/>
      <c r="K50" s="158">
        <f t="shared" si="4"/>
        <v>50</v>
      </c>
      <c r="L50" s="210">
        <f>K51+K52</f>
        <v>100</v>
      </c>
    </row>
    <row r="51" spans="1:12" ht="18.75" customHeight="1" x14ac:dyDescent="0.25">
      <c r="A51" s="205"/>
      <c r="B51" s="205"/>
      <c r="C51" s="156" t="s">
        <v>414</v>
      </c>
      <c r="D51" s="158">
        <v>5</v>
      </c>
      <c r="E51" s="75"/>
      <c r="F51" s="75"/>
      <c r="G51" s="158">
        <v>5</v>
      </c>
      <c r="H51" s="158">
        <v>5</v>
      </c>
      <c r="I51" s="75"/>
      <c r="J51" s="158">
        <v>35</v>
      </c>
      <c r="K51" s="158">
        <f t="shared" si="4"/>
        <v>50</v>
      </c>
      <c r="L51" s="210"/>
    </row>
    <row r="52" spans="1:12" ht="18.75" customHeight="1" x14ac:dyDescent="0.25">
      <c r="A52" s="204" t="s">
        <v>255</v>
      </c>
      <c r="B52" s="204">
        <v>1</v>
      </c>
      <c r="C52" s="156" t="s">
        <v>390</v>
      </c>
      <c r="D52" s="158">
        <v>5</v>
      </c>
      <c r="E52" s="158">
        <v>5</v>
      </c>
      <c r="F52" s="158">
        <v>5</v>
      </c>
      <c r="G52" s="114"/>
      <c r="H52" s="114"/>
      <c r="I52" s="158">
        <v>35</v>
      </c>
      <c r="J52" s="114"/>
      <c r="K52" s="158">
        <f t="shared" si="4"/>
        <v>50</v>
      </c>
      <c r="L52" s="210">
        <f>K53+K54</f>
        <v>100</v>
      </c>
    </row>
    <row r="53" spans="1:12" ht="18.75" customHeight="1" x14ac:dyDescent="0.25">
      <c r="A53" s="205"/>
      <c r="B53" s="205"/>
      <c r="C53" s="156" t="s">
        <v>391</v>
      </c>
      <c r="D53" s="158">
        <v>5</v>
      </c>
      <c r="E53" s="75"/>
      <c r="F53" s="75"/>
      <c r="G53" s="158">
        <v>5</v>
      </c>
      <c r="H53" s="158">
        <v>5</v>
      </c>
      <c r="I53" s="75"/>
      <c r="J53" s="158">
        <v>35</v>
      </c>
      <c r="K53" s="158">
        <f t="shared" si="4"/>
        <v>50</v>
      </c>
      <c r="L53" s="210"/>
    </row>
    <row r="54" spans="1:12" ht="18.75" customHeight="1" x14ac:dyDescent="0.25">
      <c r="A54" s="204" t="s">
        <v>258</v>
      </c>
      <c r="B54" s="204">
        <v>4</v>
      </c>
      <c r="C54" s="156" t="s">
        <v>415</v>
      </c>
      <c r="D54" s="158">
        <v>5</v>
      </c>
      <c r="E54" s="158">
        <v>5</v>
      </c>
      <c r="F54" s="158">
        <v>5</v>
      </c>
      <c r="G54" s="114"/>
      <c r="H54" s="114"/>
      <c r="I54" s="158">
        <v>35</v>
      </c>
      <c r="J54" s="114"/>
      <c r="K54" s="158">
        <f t="shared" si="4"/>
        <v>50</v>
      </c>
      <c r="L54" s="210">
        <f t="shared" si="5"/>
        <v>100</v>
      </c>
    </row>
    <row r="55" spans="1:12" ht="18.75" customHeight="1" x14ac:dyDescent="0.25">
      <c r="A55" s="205"/>
      <c r="B55" s="205"/>
      <c r="C55" s="156" t="s">
        <v>416</v>
      </c>
      <c r="D55" s="158">
        <v>5</v>
      </c>
      <c r="E55" s="75"/>
      <c r="F55" s="75"/>
      <c r="G55" s="158">
        <v>5</v>
      </c>
      <c r="H55" s="158">
        <v>5</v>
      </c>
      <c r="I55" s="75"/>
      <c r="J55" s="158">
        <v>35</v>
      </c>
      <c r="K55" s="158">
        <f t="shared" si="4"/>
        <v>50</v>
      </c>
      <c r="L55" s="210"/>
    </row>
    <row r="56" spans="1:12" ht="18.75" customHeight="1" x14ac:dyDescent="0.25">
      <c r="A56" s="204" t="s">
        <v>261</v>
      </c>
      <c r="B56" s="204">
        <v>2</v>
      </c>
      <c r="C56" s="156" t="s">
        <v>398</v>
      </c>
      <c r="D56" s="158">
        <v>5</v>
      </c>
      <c r="E56" s="158">
        <v>5</v>
      </c>
      <c r="F56" s="158">
        <v>5</v>
      </c>
      <c r="G56" s="114"/>
      <c r="H56" s="114"/>
      <c r="I56" s="158">
        <v>35</v>
      </c>
      <c r="J56" s="114"/>
      <c r="K56" s="158">
        <f t="shared" si="4"/>
        <v>50</v>
      </c>
      <c r="L56" s="210">
        <f t="shared" si="6"/>
        <v>100</v>
      </c>
    </row>
    <row r="57" spans="1:12" ht="18.75" customHeight="1" x14ac:dyDescent="0.25">
      <c r="A57" s="205"/>
      <c r="B57" s="205"/>
      <c r="C57" s="163" t="s">
        <v>399</v>
      </c>
      <c r="D57" s="158">
        <v>5</v>
      </c>
      <c r="E57" s="75"/>
      <c r="F57" s="75"/>
      <c r="G57" s="158">
        <v>5</v>
      </c>
      <c r="H57" s="158">
        <v>5</v>
      </c>
      <c r="I57" s="75"/>
      <c r="J57" s="158">
        <v>35</v>
      </c>
      <c r="K57" s="158">
        <f t="shared" si="4"/>
        <v>50</v>
      </c>
      <c r="L57" s="210"/>
    </row>
    <row r="58" spans="1:12" ht="18.75" customHeight="1" x14ac:dyDescent="0.25">
      <c r="A58" s="204" t="s">
        <v>262</v>
      </c>
      <c r="B58" s="204">
        <v>1</v>
      </c>
      <c r="C58" s="156" t="s">
        <v>392</v>
      </c>
      <c r="D58" s="158">
        <v>5</v>
      </c>
      <c r="E58" s="158">
        <v>5</v>
      </c>
      <c r="F58" s="158">
        <v>5</v>
      </c>
      <c r="G58" s="114"/>
      <c r="H58" s="114"/>
      <c r="I58" s="158">
        <v>35</v>
      </c>
      <c r="J58" s="114"/>
      <c r="K58" s="158">
        <f t="shared" si="4"/>
        <v>50</v>
      </c>
      <c r="L58" s="210">
        <f t="shared" si="5"/>
        <v>100</v>
      </c>
    </row>
    <row r="59" spans="1:12" ht="18.75" customHeight="1" x14ac:dyDescent="0.25">
      <c r="A59" s="205"/>
      <c r="B59" s="205"/>
      <c r="C59" s="156" t="s">
        <v>393</v>
      </c>
      <c r="D59" s="158">
        <v>5</v>
      </c>
      <c r="E59" s="75"/>
      <c r="F59" s="75"/>
      <c r="G59" s="158">
        <v>5</v>
      </c>
      <c r="H59" s="158">
        <v>5</v>
      </c>
      <c r="I59" s="75"/>
      <c r="J59" s="158">
        <v>35</v>
      </c>
      <c r="K59" s="158">
        <f t="shared" si="4"/>
        <v>50</v>
      </c>
      <c r="L59" s="210"/>
    </row>
    <row r="60" spans="1:12" ht="18.75" customHeight="1" x14ac:dyDescent="0.25">
      <c r="A60" s="204" t="s">
        <v>265</v>
      </c>
      <c r="B60" s="204">
        <v>2</v>
      </c>
      <c r="C60" s="159" t="s">
        <v>400</v>
      </c>
      <c r="D60" s="158">
        <v>5</v>
      </c>
      <c r="E60" s="158">
        <v>5</v>
      </c>
      <c r="F60" s="158">
        <v>5</v>
      </c>
      <c r="G60" s="114"/>
      <c r="H60" s="114"/>
      <c r="I60" s="158">
        <v>35</v>
      </c>
      <c r="J60" s="114"/>
      <c r="K60" s="158">
        <f t="shared" si="4"/>
        <v>50</v>
      </c>
      <c r="L60" s="210">
        <f>K61+K62</f>
        <v>100</v>
      </c>
    </row>
    <row r="61" spans="1:12" ht="18.75" customHeight="1" x14ac:dyDescent="0.25">
      <c r="A61" s="205"/>
      <c r="B61" s="205"/>
      <c r="C61" s="156" t="s">
        <v>401</v>
      </c>
      <c r="D61" s="158">
        <v>5</v>
      </c>
      <c r="E61" s="75"/>
      <c r="F61" s="75"/>
      <c r="G61" s="158">
        <v>5</v>
      </c>
      <c r="H61" s="158">
        <v>5</v>
      </c>
      <c r="I61" s="75"/>
      <c r="J61" s="158">
        <v>35</v>
      </c>
      <c r="K61" s="158">
        <f t="shared" si="4"/>
        <v>50</v>
      </c>
      <c r="L61" s="210"/>
    </row>
    <row r="62" spans="1:12" ht="18.75" customHeight="1" x14ac:dyDescent="0.25">
      <c r="A62" s="204" t="s">
        <v>267</v>
      </c>
      <c r="B62" s="204">
        <v>4</v>
      </c>
      <c r="C62" s="159" t="s">
        <v>417</v>
      </c>
      <c r="D62" s="158">
        <v>5</v>
      </c>
      <c r="E62" s="158">
        <v>5</v>
      </c>
      <c r="F62" s="158">
        <v>5</v>
      </c>
      <c r="G62" s="114"/>
      <c r="H62" s="114"/>
      <c r="I62" s="158">
        <v>35</v>
      </c>
      <c r="J62" s="114"/>
      <c r="K62" s="158">
        <f t="shared" si="4"/>
        <v>50</v>
      </c>
      <c r="L62" s="210">
        <f>K63+K64</f>
        <v>100</v>
      </c>
    </row>
    <row r="63" spans="1:12" ht="18.75" customHeight="1" x14ac:dyDescent="0.25">
      <c r="A63" s="205"/>
      <c r="B63" s="205"/>
      <c r="C63" s="156" t="s">
        <v>418</v>
      </c>
      <c r="D63" s="158">
        <v>5</v>
      </c>
      <c r="E63" s="75"/>
      <c r="F63" s="75"/>
      <c r="G63" s="158">
        <v>5</v>
      </c>
      <c r="H63" s="158">
        <v>5</v>
      </c>
      <c r="I63" s="75"/>
      <c r="J63" s="158">
        <v>35</v>
      </c>
      <c r="K63" s="158">
        <f t="shared" si="4"/>
        <v>50</v>
      </c>
      <c r="L63" s="210"/>
    </row>
    <row r="64" spans="1:12" ht="18.75" customHeight="1" x14ac:dyDescent="0.25">
      <c r="A64" s="204" t="s">
        <v>270</v>
      </c>
      <c r="B64" s="204">
        <v>2</v>
      </c>
      <c r="C64" s="156" t="s">
        <v>402</v>
      </c>
      <c r="D64" s="158">
        <v>5</v>
      </c>
      <c r="E64" s="158">
        <v>5</v>
      </c>
      <c r="F64" s="158">
        <v>5</v>
      </c>
      <c r="G64" s="114"/>
      <c r="H64" s="114"/>
      <c r="I64" s="158">
        <v>35</v>
      </c>
      <c r="J64" s="114"/>
      <c r="K64" s="158">
        <f t="shared" si="4"/>
        <v>50</v>
      </c>
      <c r="L64" s="210">
        <f t="shared" si="5"/>
        <v>100</v>
      </c>
    </row>
    <row r="65" spans="1:12" ht="18.75" customHeight="1" x14ac:dyDescent="0.25">
      <c r="A65" s="205"/>
      <c r="B65" s="205"/>
      <c r="C65" s="156" t="s">
        <v>403</v>
      </c>
      <c r="D65" s="158">
        <v>5</v>
      </c>
      <c r="E65" s="75"/>
      <c r="F65" s="75"/>
      <c r="G65" s="158">
        <v>5</v>
      </c>
      <c r="H65" s="158">
        <v>5</v>
      </c>
      <c r="I65" s="75"/>
      <c r="J65" s="158">
        <v>35</v>
      </c>
      <c r="K65" s="158">
        <f t="shared" si="4"/>
        <v>50</v>
      </c>
      <c r="L65" s="210"/>
    </row>
    <row r="66" spans="1:12" ht="18.75" customHeight="1" x14ac:dyDescent="0.25">
      <c r="A66" s="204" t="s">
        <v>273</v>
      </c>
      <c r="B66" s="204">
        <v>5</v>
      </c>
      <c r="C66" s="156" t="s">
        <v>232</v>
      </c>
      <c r="D66" s="158">
        <v>5</v>
      </c>
      <c r="E66" s="158">
        <v>5</v>
      </c>
      <c r="F66" s="158">
        <v>5</v>
      </c>
      <c r="G66" s="114"/>
      <c r="H66" s="114"/>
      <c r="I66" s="158">
        <v>35</v>
      </c>
      <c r="J66" s="114"/>
      <c r="K66" s="158">
        <f t="shared" si="4"/>
        <v>50</v>
      </c>
      <c r="L66" s="210">
        <f t="shared" si="6"/>
        <v>100</v>
      </c>
    </row>
    <row r="67" spans="1:12" ht="18.75" customHeight="1" x14ac:dyDescent="0.25">
      <c r="A67" s="205"/>
      <c r="B67" s="205"/>
      <c r="C67" s="156" t="s">
        <v>233</v>
      </c>
      <c r="D67" s="158">
        <v>5</v>
      </c>
      <c r="E67" s="75"/>
      <c r="F67" s="75"/>
      <c r="G67" s="158">
        <v>5</v>
      </c>
      <c r="H67" s="158">
        <v>5</v>
      </c>
      <c r="I67" s="75"/>
      <c r="J67" s="158">
        <v>35</v>
      </c>
      <c r="K67" s="158">
        <f t="shared" si="4"/>
        <v>50</v>
      </c>
      <c r="L67" s="210"/>
    </row>
    <row r="68" spans="1:12" ht="18.75" customHeight="1" x14ac:dyDescent="0.25">
      <c r="A68" s="204" t="s">
        <v>275</v>
      </c>
      <c r="B68" s="204">
        <v>4</v>
      </c>
      <c r="C68" s="156" t="s">
        <v>419</v>
      </c>
      <c r="D68" s="158">
        <v>5</v>
      </c>
      <c r="E68" s="158">
        <v>5</v>
      </c>
      <c r="F68" s="158">
        <v>5</v>
      </c>
      <c r="G68" s="114"/>
      <c r="H68" s="114"/>
      <c r="I68" s="158">
        <v>35</v>
      </c>
      <c r="J68" s="114"/>
      <c r="K68" s="158">
        <f t="shared" si="4"/>
        <v>50</v>
      </c>
      <c r="L68" s="210">
        <f t="shared" si="5"/>
        <v>100</v>
      </c>
    </row>
    <row r="69" spans="1:12" ht="18.75" customHeight="1" x14ac:dyDescent="0.25">
      <c r="A69" s="205"/>
      <c r="B69" s="205"/>
      <c r="C69" s="156" t="s">
        <v>420</v>
      </c>
      <c r="D69" s="158">
        <v>5</v>
      </c>
      <c r="E69" s="75"/>
      <c r="F69" s="75"/>
      <c r="G69" s="158">
        <v>5</v>
      </c>
      <c r="H69" s="158">
        <v>5</v>
      </c>
      <c r="I69" s="75"/>
      <c r="J69" s="158">
        <v>35</v>
      </c>
      <c r="K69" s="158">
        <f t="shared" si="4"/>
        <v>50</v>
      </c>
      <c r="L69" s="210"/>
    </row>
    <row r="70" spans="1:12" ht="18.75" customHeight="1" x14ac:dyDescent="0.25">
      <c r="A70" s="204" t="s">
        <v>278</v>
      </c>
      <c r="B70" s="204">
        <v>4</v>
      </c>
      <c r="C70" s="156" t="s">
        <v>421</v>
      </c>
      <c r="D70" s="158">
        <v>5</v>
      </c>
      <c r="E70" s="158">
        <v>5</v>
      </c>
      <c r="F70" s="158">
        <v>5</v>
      </c>
      <c r="G70" s="114"/>
      <c r="H70" s="114"/>
      <c r="I70" s="158">
        <v>35</v>
      </c>
      <c r="J70" s="114"/>
      <c r="K70" s="158">
        <f t="shared" si="4"/>
        <v>50</v>
      </c>
      <c r="L70" s="210">
        <f>K71+K72</f>
        <v>100</v>
      </c>
    </row>
    <row r="71" spans="1:12" ht="18.75" customHeight="1" x14ac:dyDescent="0.25">
      <c r="A71" s="205"/>
      <c r="B71" s="205"/>
      <c r="C71" s="156" t="s">
        <v>422</v>
      </c>
      <c r="D71" s="158">
        <v>5</v>
      </c>
      <c r="E71" s="75"/>
      <c r="F71" s="75"/>
      <c r="G71" s="158">
        <v>5</v>
      </c>
      <c r="H71" s="158">
        <v>5</v>
      </c>
      <c r="I71" s="75"/>
      <c r="J71" s="158">
        <v>35</v>
      </c>
      <c r="K71" s="158">
        <f t="shared" si="4"/>
        <v>50</v>
      </c>
      <c r="L71" s="210"/>
    </row>
    <row r="72" spans="1:12" ht="18.75" customHeight="1" x14ac:dyDescent="0.25">
      <c r="A72" s="204" t="s">
        <v>281</v>
      </c>
      <c r="B72" s="204">
        <v>2</v>
      </c>
      <c r="C72" s="156" t="s">
        <v>404</v>
      </c>
      <c r="D72" s="158">
        <v>5</v>
      </c>
      <c r="E72" s="158">
        <v>5</v>
      </c>
      <c r="F72" s="158">
        <v>5</v>
      </c>
      <c r="G72" s="114"/>
      <c r="H72" s="114"/>
      <c r="I72" s="158">
        <v>35</v>
      </c>
      <c r="J72" s="114"/>
      <c r="K72" s="158">
        <f t="shared" si="4"/>
        <v>50</v>
      </c>
      <c r="L72" s="210">
        <f>K73+K74</f>
        <v>100</v>
      </c>
    </row>
    <row r="73" spans="1:12" ht="18.75" customHeight="1" x14ac:dyDescent="0.25">
      <c r="A73" s="205"/>
      <c r="B73" s="205"/>
      <c r="C73" s="159" t="s">
        <v>405</v>
      </c>
      <c r="D73" s="158">
        <v>5</v>
      </c>
      <c r="E73" s="75"/>
      <c r="F73" s="75"/>
      <c r="G73" s="158">
        <v>5</v>
      </c>
      <c r="H73" s="158">
        <v>5</v>
      </c>
      <c r="I73" s="75"/>
      <c r="J73" s="158">
        <v>35</v>
      </c>
      <c r="K73" s="158">
        <f t="shared" si="4"/>
        <v>50</v>
      </c>
      <c r="L73" s="210"/>
    </row>
    <row r="74" spans="1:12" ht="18.75" customHeight="1" x14ac:dyDescent="0.25">
      <c r="A74" s="204" t="s">
        <v>284</v>
      </c>
      <c r="B74" s="204">
        <v>5</v>
      </c>
      <c r="C74" s="156" t="s">
        <v>234</v>
      </c>
      <c r="D74" s="158">
        <v>5</v>
      </c>
      <c r="E74" s="158">
        <v>5</v>
      </c>
      <c r="F74" s="158">
        <v>5</v>
      </c>
      <c r="G74" s="114"/>
      <c r="H74" s="114"/>
      <c r="I74" s="158">
        <v>35</v>
      </c>
      <c r="J74" s="114"/>
      <c r="K74" s="158">
        <f t="shared" si="4"/>
        <v>50</v>
      </c>
      <c r="L74" s="210">
        <f t="shared" si="5"/>
        <v>100</v>
      </c>
    </row>
    <row r="75" spans="1:12" ht="18.75" customHeight="1" x14ac:dyDescent="0.25">
      <c r="A75" s="205"/>
      <c r="B75" s="205"/>
      <c r="C75" s="156" t="s">
        <v>437</v>
      </c>
      <c r="D75" s="158">
        <v>5</v>
      </c>
      <c r="E75" s="75"/>
      <c r="F75" s="75"/>
      <c r="G75" s="158">
        <v>5</v>
      </c>
      <c r="H75" s="158">
        <v>5</v>
      </c>
      <c r="I75" s="75"/>
      <c r="J75" s="158">
        <v>35</v>
      </c>
      <c r="K75" s="158">
        <f t="shared" si="4"/>
        <v>50</v>
      </c>
      <c r="L75" s="210"/>
    </row>
    <row r="76" spans="1:12" ht="18.75" customHeight="1" x14ac:dyDescent="0.25">
      <c r="A76" s="204" t="s">
        <v>287</v>
      </c>
      <c r="B76" s="204">
        <v>4</v>
      </c>
      <c r="C76" s="156" t="s">
        <v>423</v>
      </c>
      <c r="D76" s="158">
        <v>5</v>
      </c>
      <c r="E76" s="158">
        <v>5</v>
      </c>
      <c r="F76" s="158">
        <v>5</v>
      </c>
      <c r="G76" s="114"/>
      <c r="H76" s="114"/>
      <c r="I76" s="158">
        <v>35</v>
      </c>
      <c r="J76" s="114"/>
      <c r="K76" s="158">
        <f t="shared" ref="K76:K130" si="7">SUM(D76:J76)</f>
        <v>50</v>
      </c>
      <c r="L76" s="210">
        <f t="shared" ref="L76:L121" si="8">K76+K77</f>
        <v>100</v>
      </c>
    </row>
    <row r="77" spans="1:12" ht="18.75" customHeight="1" x14ac:dyDescent="0.25">
      <c r="A77" s="205"/>
      <c r="B77" s="205"/>
      <c r="C77" s="156" t="s">
        <v>424</v>
      </c>
      <c r="D77" s="158">
        <v>5</v>
      </c>
      <c r="E77" s="75"/>
      <c r="F77" s="75"/>
      <c r="G77" s="158">
        <v>5</v>
      </c>
      <c r="H77" s="158">
        <v>5</v>
      </c>
      <c r="I77" s="75"/>
      <c r="J77" s="158">
        <v>35</v>
      </c>
      <c r="K77" s="158">
        <f t="shared" si="7"/>
        <v>50</v>
      </c>
      <c r="L77" s="210"/>
    </row>
    <row r="78" spans="1:12" ht="18.75" customHeight="1" x14ac:dyDescent="0.25">
      <c r="A78" s="204" t="s">
        <v>288</v>
      </c>
      <c r="B78" s="204">
        <v>2</v>
      </c>
      <c r="C78" s="156" t="s">
        <v>406</v>
      </c>
      <c r="D78" s="158">
        <v>5</v>
      </c>
      <c r="E78" s="158">
        <v>5</v>
      </c>
      <c r="F78" s="158">
        <v>5</v>
      </c>
      <c r="G78" s="114"/>
      <c r="H78" s="114"/>
      <c r="I78" s="158">
        <v>35</v>
      </c>
      <c r="J78" s="114"/>
      <c r="K78" s="158">
        <f t="shared" si="7"/>
        <v>50</v>
      </c>
      <c r="L78" s="210">
        <f t="shared" ref="L78:L129" si="9">K78+K79</f>
        <v>100</v>
      </c>
    </row>
    <row r="79" spans="1:12" ht="18.75" customHeight="1" x14ac:dyDescent="0.25">
      <c r="A79" s="205"/>
      <c r="B79" s="205"/>
      <c r="C79" s="156" t="s">
        <v>407</v>
      </c>
      <c r="D79" s="158">
        <v>5</v>
      </c>
      <c r="E79" s="75"/>
      <c r="F79" s="75"/>
      <c r="G79" s="158">
        <v>5</v>
      </c>
      <c r="H79" s="158">
        <v>5</v>
      </c>
      <c r="I79" s="75"/>
      <c r="J79" s="158">
        <v>35</v>
      </c>
      <c r="K79" s="158">
        <f t="shared" si="7"/>
        <v>50</v>
      </c>
      <c r="L79" s="210"/>
    </row>
    <row r="80" spans="1:12" ht="18.75" customHeight="1" x14ac:dyDescent="0.25">
      <c r="A80" s="204" t="s">
        <v>293</v>
      </c>
      <c r="B80" s="204">
        <v>2</v>
      </c>
      <c r="C80" s="156" t="s">
        <v>408</v>
      </c>
      <c r="D80" s="158">
        <v>5</v>
      </c>
      <c r="E80" s="158">
        <v>5</v>
      </c>
      <c r="F80" s="158">
        <v>5</v>
      </c>
      <c r="G80" s="114"/>
      <c r="H80" s="114"/>
      <c r="I80" s="158">
        <v>35</v>
      </c>
      <c r="J80" s="114"/>
      <c r="K80" s="158">
        <f t="shared" si="7"/>
        <v>50</v>
      </c>
      <c r="L80" s="210">
        <f>K81+K82</f>
        <v>100</v>
      </c>
    </row>
    <row r="81" spans="1:12" ht="18.75" customHeight="1" x14ac:dyDescent="0.25">
      <c r="A81" s="205"/>
      <c r="B81" s="205"/>
      <c r="C81" s="156" t="s">
        <v>409</v>
      </c>
      <c r="D81" s="158">
        <v>5</v>
      </c>
      <c r="E81" s="75"/>
      <c r="F81" s="75"/>
      <c r="G81" s="158">
        <v>5</v>
      </c>
      <c r="H81" s="158">
        <v>5</v>
      </c>
      <c r="I81" s="75"/>
      <c r="J81" s="158">
        <v>35</v>
      </c>
      <c r="K81" s="158">
        <f t="shared" si="7"/>
        <v>50</v>
      </c>
      <c r="L81" s="210"/>
    </row>
    <row r="82" spans="1:12" ht="18.75" customHeight="1" x14ac:dyDescent="0.25">
      <c r="A82" s="204" t="s">
        <v>296</v>
      </c>
      <c r="B82" s="204">
        <v>5</v>
      </c>
      <c r="C82" s="159" t="s">
        <v>438</v>
      </c>
      <c r="D82" s="158">
        <v>5</v>
      </c>
      <c r="E82" s="158">
        <v>5</v>
      </c>
      <c r="F82" s="158">
        <v>5</v>
      </c>
      <c r="G82" s="114"/>
      <c r="H82" s="114"/>
      <c r="I82" s="158">
        <v>35</v>
      </c>
      <c r="J82" s="114"/>
      <c r="K82" s="158">
        <f t="shared" si="7"/>
        <v>50</v>
      </c>
      <c r="L82" s="210">
        <f>K83+K84</f>
        <v>100</v>
      </c>
    </row>
    <row r="83" spans="1:12" ht="18.75" customHeight="1" x14ac:dyDescent="0.25">
      <c r="A83" s="205"/>
      <c r="B83" s="205"/>
      <c r="C83" s="156" t="s">
        <v>439</v>
      </c>
      <c r="D83" s="158">
        <v>5</v>
      </c>
      <c r="E83" s="75"/>
      <c r="F83" s="75"/>
      <c r="G83" s="158">
        <v>5</v>
      </c>
      <c r="H83" s="158">
        <v>5</v>
      </c>
      <c r="I83" s="75"/>
      <c r="J83" s="158">
        <v>35</v>
      </c>
      <c r="K83" s="158">
        <f t="shared" si="7"/>
        <v>50</v>
      </c>
      <c r="L83" s="210"/>
    </row>
    <row r="84" spans="1:12" ht="18.75" customHeight="1" x14ac:dyDescent="0.25">
      <c r="A84" s="204" t="s">
        <v>297</v>
      </c>
      <c r="B84" s="204">
        <v>2</v>
      </c>
      <c r="C84" s="156" t="s">
        <v>412</v>
      </c>
      <c r="D84" s="158">
        <v>5</v>
      </c>
      <c r="E84" s="158">
        <v>5</v>
      </c>
      <c r="F84" s="158">
        <v>5</v>
      </c>
      <c r="G84" s="114"/>
      <c r="H84" s="114"/>
      <c r="I84" s="158">
        <v>35</v>
      </c>
      <c r="J84" s="114"/>
      <c r="K84" s="158">
        <f t="shared" si="7"/>
        <v>50</v>
      </c>
      <c r="L84" s="210">
        <f t="shared" si="9"/>
        <v>100</v>
      </c>
    </row>
    <row r="85" spans="1:12" ht="18.75" customHeight="1" x14ac:dyDescent="0.25">
      <c r="A85" s="205"/>
      <c r="B85" s="205"/>
      <c r="C85" s="156" t="s">
        <v>413</v>
      </c>
      <c r="D85" s="158">
        <v>5</v>
      </c>
      <c r="E85" s="75"/>
      <c r="F85" s="75"/>
      <c r="G85" s="158">
        <v>5</v>
      </c>
      <c r="H85" s="158">
        <v>5</v>
      </c>
      <c r="I85" s="75"/>
      <c r="J85" s="158">
        <v>35</v>
      </c>
      <c r="K85" s="158">
        <f t="shared" si="7"/>
        <v>50</v>
      </c>
      <c r="L85" s="210"/>
    </row>
    <row r="86" spans="1:12" ht="18.75" customHeight="1" x14ac:dyDescent="0.25">
      <c r="A86" s="204" t="s">
        <v>302</v>
      </c>
      <c r="B86" s="204">
        <v>5</v>
      </c>
      <c r="C86" s="156" t="s">
        <v>440</v>
      </c>
      <c r="D86" s="158">
        <v>5</v>
      </c>
      <c r="E86" s="158">
        <v>5</v>
      </c>
      <c r="F86" s="158">
        <v>5</v>
      </c>
      <c r="G86" s="114"/>
      <c r="H86" s="114"/>
      <c r="I86" s="158">
        <v>35</v>
      </c>
      <c r="J86" s="114"/>
      <c r="K86" s="158">
        <f t="shared" si="7"/>
        <v>50</v>
      </c>
      <c r="L86" s="210">
        <f t="shared" si="8"/>
        <v>100</v>
      </c>
    </row>
    <row r="87" spans="1:12" ht="18.75" customHeight="1" x14ac:dyDescent="0.25">
      <c r="A87" s="205"/>
      <c r="B87" s="205"/>
      <c r="C87" s="156" t="s">
        <v>441</v>
      </c>
      <c r="D87" s="158">
        <v>5</v>
      </c>
      <c r="E87" s="75"/>
      <c r="F87" s="75"/>
      <c r="G87" s="158">
        <v>5</v>
      </c>
      <c r="H87" s="158">
        <v>5</v>
      </c>
      <c r="I87" s="75"/>
      <c r="J87" s="158">
        <v>35</v>
      </c>
      <c r="K87" s="158">
        <f t="shared" si="7"/>
        <v>50</v>
      </c>
      <c r="L87" s="210"/>
    </row>
    <row r="88" spans="1:12" ht="18.75" customHeight="1" x14ac:dyDescent="0.25">
      <c r="A88" s="204" t="s">
        <v>303</v>
      </c>
      <c r="B88" s="204">
        <v>4</v>
      </c>
      <c r="C88" s="156" t="s">
        <v>425</v>
      </c>
      <c r="D88" s="158">
        <v>5</v>
      </c>
      <c r="E88" s="158">
        <v>5</v>
      </c>
      <c r="F88" s="158">
        <v>5</v>
      </c>
      <c r="G88" s="114"/>
      <c r="H88" s="114"/>
      <c r="I88" s="158">
        <v>35</v>
      </c>
      <c r="J88" s="114"/>
      <c r="K88" s="158">
        <f t="shared" si="7"/>
        <v>50</v>
      </c>
      <c r="L88" s="210">
        <f t="shared" si="9"/>
        <v>100</v>
      </c>
    </row>
    <row r="89" spans="1:12" ht="18.75" customHeight="1" x14ac:dyDescent="0.25">
      <c r="A89" s="205"/>
      <c r="B89" s="205"/>
      <c r="C89" s="156" t="s">
        <v>426</v>
      </c>
      <c r="D89" s="158">
        <v>5</v>
      </c>
      <c r="E89" s="75"/>
      <c r="F89" s="75"/>
      <c r="G89" s="158">
        <v>5</v>
      </c>
      <c r="H89" s="158">
        <v>5</v>
      </c>
      <c r="I89" s="75"/>
      <c r="J89" s="158">
        <v>35</v>
      </c>
      <c r="K89" s="158">
        <f t="shared" si="7"/>
        <v>50</v>
      </c>
      <c r="L89" s="210"/>
    </row>
    <row r="90" spans="1:12" ht="18.75" customHeight="1" x14ac:dyDescent="0.25">
      <c r="A90" s="204" t="s">
        <v>306</v>
      </c>
      <c r="B90" s="156">
        <v>5</v>
      </c>
      <c r="C90" s="156" t="s">
        <v>442</v>
      </c>
      <c r="D90" s="158">
        <v>5</v>
      </c>
      <c r="E90" s="158">
        <v>5</v>
      </c>
      <c r="F90" s="158">
        <v>5</v>
      </c>
      <c r="G90" s="114"/>
      <c r="H90" s="114"/>
      <c r="I90" s="158">
        <v>35</v>
      </c>
      <c r="J90" s="114"/>
      <c r="K90" s="158">
        <f t="shared" si="7"/>
        <v>50</v>
      </c>
      <c r="L90" s="210">
        <f>K91+K92</f>
        <v>100</v>
      </c>
    </row>
    <row r="91" spans="1:12" ht="18.75" customHeight="1" x14ac:dyDescent="0.25">
      <c r="A91" s="205"/>
      <c r="B91" s="156">
        <v>6</v>
      </c>
      <c r="C91" s="156" t="s">
        <v>235</v>
      </c>
      <c r="D91" s="158">
        <v>5</v>
      </c>
      <c r="E91" s="75"/>
      <c r="F91" s="75"/>
      <c r="G91" s="158">
        <v>5</v>
      </c>
      <c r="H91" s="158">
        <v>5</v>
      </c>
      <c r="I91" s="75"/>
      <c r="J91" s="158">
        <v>35</v>
      </c>
      <c r="K91" s="158">
        <f t="shared" si="7"/>
        <v>50</v>
      </c>
      <c r="L91" s="210"/>
    </row>
    <row r="92" spans="1:12" ht="18.75" customHeight="1" x14ac:dyDescent="0.25">
      <c r="A92" s="212" t="s">
        <v>308</v>
      </c>
      <c r="B92" s="204">
        <v>11</v>
      </c>
      <c r="C92" s="156" t="s">
        <v>344</v>
      </c>
      <c r="D92" s="158">
        <v>5</v>
      </c>
      <c r="E92" s="158">
        <v>5</v>
      </c>
      <c r="F92" s="158">
        <v>5</v>
      </c>
      <c r="G92" s="114"/>
      <c r="H92" s="114"/>
      <c r="I92" s="158">
        <v>35</v>
      </c>
      <c r="J92" s="114"/>
      <c r="K92" s="158">
        <f t="shared" si="7"/>
        <v>50</v>
      </c>
      <c r="L92" s="210">
        <f>K93+K94</f>
        <v>100</v>
      </c>
    </row>
    <row r="93" spans="1:12" ht="18.75" customHeight="1" x14ac:dyDescent="0.25">
      <c r="A93" s="212"/>
      <c r="B93" s="205"/>
      <c r="C93" s="156" t="s">
        <v>345</v>
      </c>
      <c r="D93" s="158">
        <v>5</v>
      </c>
      <c r="E93" s="75"/>
      <c r="F93" s="75"/>
      <c r="G93" s="158">
        <v>5</v>
      </c>
      <c r="H93" s="158">
        <v>5</v>
      </c>
      <c r="I93" s="75"/>
      <c r="J93" s="158">
        <v>35</v>
      </c>
      <c r="K93" s="158">
        <f t="shared" si="7"/>
        <v>50</v>
      </c>
      <c r="L93" s="210"/>
    </row>
    <row r="94" spans="1:12" ht="18.75" customHeight="1" x14ac:dyDescent="0.25">
      <c r="A94" s="204" t="s">
        <v>311</v>
      </c>
      <c r="B94" s="204">
        <v>4</v>
      </c>
      <c r="C94" s="156" t="s">
        <v>427</v>
      </c>
      <c r="D94" s="158">
        <v>5</v>
      </c>
      <c r="E94" s="158">
        <v>5</v>
      </c>
      <c r="F94" s="158">
        <v>5</v>
      </c>
      <c r="G94" s="114"/>
      <c r="H94" s="114"/>
      <c r="I94" s="158">
        <v>35</v>
      </c>
      <c r="J94" s="114"/>
      <c r="K94" s="158">
        <f t="shared" si="7"/>
        <v>50</v>
      </c>
      <c r="L94" s="210">
        <f t="shared" si="9"/>
        <v>100</v>
      </c>
    </row>
    <row r="95" spans="1:12" ht="18.75" customHeight="1" x14ac:dyDescent="0.25">
      <c r="A95" s="205"/>
      <c r="B95" s="205"/>
      <c r="C95" s="156" t="s">
        <v>428</v>
      </c>
      <c r="D95" s="158">
        <v>5</v>
      </c>
      <c r="E95" s="75"/>
      <c r="F95" s="75"/>
      <c r="G95" s="158">
        <v>5</v>
      </c>
      <c r="H95" s="158">
        <v>5</v>
      </c>
      <c r="I95" s="75"/>
      <c r="J95" s="158">
        <v>35</v>
      </c>
      <c r="K95" s="158">
        <f t="shared" si="7"/>
        <v>50</v>
      </c>
      <c r="L95" s="210"/>
    </row>
    <row r="96" spans="1:12" ht="18.75" customHeight="1" x14ac:dyDescent="0.25">
      <c r="A96" s="204" t="s">
        <v>326</v>
      </c>
      <c r="B96" s="204">
        <v>9</v>
      </c>
      <c r="C96" s="160" t="s">
        <v>242</v>
      </c>
      <c r="D96" s="158">
        <v>5</v>
      </c>
      <c r="E96" s="158">
        <v>5</v>
      </c>
      <c r="F96" s="158">
        <v>5</v>
      </c>
      <c r="G96" s="114"/>
      <c r="H96" s="114"/>
      <c r="I96" s="158">
        <v>35</v>
      </c>
      <c r="J96" s="114"/>
      <c r="K96" s="158">
        <f t="shared" si="7"/>
        <v>50</v>
      </c>
      <c r="L96" s="210">
        <f t="shared" si="8"/>
        <v>100</v>
      </c>
    </row>
    <row r="97" spans="1:12" ht="18.75" customHeight="1" x14ac:dyDescent="0.25">
      <c r="A97" s="205"/>
      <c r="B97" s="205"/>
      <c r="C97" s="164" t="s">
        <v>312</v>
      </c>
      <c r="D97" s="158">
        <v>5</v>
      </c>
      <c r="E97" s="75"/>
      <c r="F97" s="75"/>
      <c r="G97" s="158">
        <v>5</v>
      </c>
      <c r="H97" s="158">
        <v>5</v>
      </c>
      <c r="I97" s="75"/>
      <c r="J97" s="158">
        <v>35</v>
      </c>
      <c r="K97" s="158">
        <f t="shared" si="7"/>
        <v>50</v>
      </c>
      <c r="L97" s="210"/>
    </row>
    <row r="98" spans="1:12" ht="18.75" customHeight="1" x14ac:dyDescent="0.25">
      <c r="A98" s="204" t="s">
        <v>330</v>
      </c>
      <c r="B98" s="204">
        <v>4</v>
      </c>
      <c r="C98" s="156" t="s">
        <v>430</v>
      </c>
      <c r="D98" s="158">
        <v>5</v>
      </c>
      <c r="E98" s="158">
        <v>5</v>
      </c>
      <c r="F98" s="158">
        <v>5</v>
      </c>
      <c r="G98" s="114"/>
      <c r="H98" s="114"/>
      <c r="I98" s="158">
        <v>35</v>
      </c>
      <c r="J98" s="114"/>
      <c r="K98" s="158">
        <f t="shared" si="7"/>
        <v>50</v>
      </c>
      <c r="L98" s="210">
        <f t="shared" si="9"/>
        <v>100</v>
      </c>
    </row>
    <row r="99" spans="1:12" ht="18.75" customHeight="1" x14ac:dyDescent="0.25">
      <c r="A99" s="205"/>
      <c r="B99" s="205"/>
      <c r="C99" s="156" t="s">
        <v>431</v>
      </c>
      <c r="D99" s="158">
        <v>5</v>
      </c>
      <c r="E99" s="75"/>
      <c r="F99" s="75"/>
      <c r="G99" s="158">
        <v>5</v>
      </c>
      <c r="H99" s="158">
        <v>5</v>
      </c>
      <c r="I99" s="75"/>
      <c r="J99" s="158">
        <v>35</v>
      </c>
      <c r="K99" s="158">
        <f t="shared" si="7"/>
        <v>50</v>
      </c>
      <c r="L99" s="210"/>
    </row>
    <row r="100" spans="1:12" ht="18.75" customHeight="1" x14ac:dyDescent="0.25">
      <c r="A100" s="204" t="s">
        <v>333</v>
      </c>
      <c r="B100" s="204">
        <v>6</v>
      </c>
      <c r="C100" s="156" t="s">
        <v>443</v>
      </c>
      <c r="D100" s="158">
        <v>5</v>
      </c>
      <c r="E100" s="158">
        <v>5</v>
      </c>
      <c r="F100" s="158">
        <v>5</v>
      </c>
      <c r="G100" s="114"/>
      <c r="H100" s="114"/>
      <c r="I100" s="158">
        <v>35</v>
      </c>
      <c r="J100" s="114"/>
      <c r="K100" s="158">
        <f t="shared" si="7"/>
        <v>50</v>
      </c>
      <c r="L100" s="210">
        <f>K101+K102</f>
        <v>100</v>
      </c>
    </row>
    <row r="101" spans="1:12" ht="18.75" customHeight="1" x14ac:dyDescent="0.25">
      <c r="A101" s="205"/>
      <c r="B101" s="205"/>
      <c r="C101" s="156" t="s">
        <v>831</v>
      </c>
      <c r="D101" s="158">
        <v>5</v>
      </c>
      <c r="E101" s="75"/>
      <c r="F101" s="75"/>
      <c r="G101" s="158">
        <v>5</v>
      </c>
      <c r="H101" s="158">
        <v>5</v>
      </c>
      <c r="I101" s="75"/>
      <c r="J101" s="158">
        <v>35</v>
      </c>
      <c r="K101" s="158">
        <f t="shared" si="7"/>
        <v>50</v>
      </c>
      <c r="L101" s="210"/>
    </row>
    <row r="102" spans="1:12" ht="18.75" customHeight="1" x14ac:dyDescent="0.25">
      <c r="A102" s="204" t="s">
        <v>334</v>
      </c>
      <c r="B102" s="204">
        <v>10</v>
      </c>
      <c r="C102" s="160" t="s">
        <v>317</v>
      </c>
      <c r="D102" s="158">
        <v>5</v>
      </c>
      <c r="E102" s="158">
        <v>5</v>
      </c>
      <c r="F102" s="158">
        <v>5</v>
      </c>
      <c r="G102" s="114"/>
      <c r="H102" s="114"/>
      <c r="I102" s="158">
        <v>35</v>
      </c>
      <c r="J102" s="114"/>
      <c r="K102" s="158">
        <f t="shared" si="7"/>
        <v>50</v>
      </c>
      <c r="L102" s="210">
        <f>K103+K104</f>
        <v>100</v>
      </c>
    </row>
    <row r="103" spans="1:12" ht="18.75" customHeight="1" x14ac:dyDescent="0.25">
      <c r="A103" s="205"/>
      <c r="B103" s="205"/>
      <c r="C103" s="160" t="s">
        <v>318</v>
      </c>
      <c r="D103" s="158">
        <v>5</v>
      </c>
      <c r="E103" s="75"/>
      <c r="F103" s="75"/>
      <c r="G103" s="158">
        <v>5</v>
      </c>
      <c r="H103" s="158">
        <v>5</v>
      </c>
      <c r="I103" s="75"/>
      <c r="J103" s="158">
        <v>35</v>
      </c>
      <c r="K103" s="158">
        <f t="shared" si="7"/>
        <v>50</v>
      </c>
      <c r="L103" s="210"/>
    </row>
    <row r="104" spans="1:12" ht="18.75" customHeight="1" x14ac:dyDescent="0.25">
      <c r="A104" s="204" t="s">
        <v>337</v>
      </c>
      <c r="B104" s="204">
        <v>6</v>
      </c>
      <c r="C104" s="156" t="s">
        <v>236</v>
      </c>
      <c r="D104" s="158">
        <v>5</v>
      </c>
      <c r="E104" s="158">
        <v>5</v>
      </c>
      <c r="F104" s="158">
        <v>5</v>
      </c>
      <c r="G104" s="114"/>
      <c r="H104" s="114"/>
      <c r="I104" s="158">
        <v>35</v>
      </c>
      <c r="J104" s="114"/>
      <c r="K104" s="158">
        <f t="shared" si="7"/>
        <v>50</v>
      </c>
      <c r="L104" s="210">
        <f t="shared" si="9"/>
        <v>100</v>
      </c>
    </row>
    <row r="105" spans="1:12" ht="18.75" customHeight="1" x14ac:dyDescent="0.25">
      <c r="A105" s="205"/>
      <c r="B105" s="205"/>
      <c r="C105" s="156" t="s">
        <v>237</v>
      </c>
      <c r="D105" s="158">
        <v>5</v>
      </c>
      <c r="E105" s="75"/>
      <c r="F105" s="75"/>
      <c r="G105" s="158">
        <v>5</v>
      </c>
      <c r="H105" s="158">
        <v>5</v>
      </c>
      <c r="I105" s="75"/>
      <c r="J105" s="158">
        <v>35</v>
      </c>
      <c r="K105" s="158">
        <f t="shared" si="7"/>
        <v>50</v>
      </c>
      <c r="L105" s="210"/>
    </row>
    <row r="106" spans="1:12" ht="18.75" customHeight="1" x14ac:dyDescent="0.25">
      <c r="A106" s="204" t="s">
        <v>889</v>
      </c>
      <c r="B106" s="204">
        <v>4</v>
      </c>
      <c r="C106" s="156" t="s">
        <v>432</v>
      </c>
      <c r="D106" s="158">
        <v>5</v>
      </c>
      <c r="E106" s="158">
        <v>5</v>
      </c>
      <c r="F106" s="158">
        <v>5</v>
      </c>
      <c r="G106" s="114"/>
      <c r="H106" s="114"/>
      <c r="I106" s="158">
        <v>35</v>
      </c>
      <c r="J106" s="114"/>
      <c r="K106" s="158">
        <f t="shared" si="7"/>
        <v>50</v>
      </c>
      <c r="L106" s="210">
        <f t="shared" si="8"/>
        <v>100</v>
      </c>
    </row>
    <row r="107" spans="1:12" ht="18.75" customHeight="1" x14ac:dyDescent="0.25">
      <c r="A107" s="205"/>
      <c r="B107" s="205"/>
      <c r="C107" s="156" t="s">
        <v>433</v>
      </c>
      <c r="D107" s="158">
        <v>5</v>
      </c>
      <c r="E107" s="75"/>
      <c r="F107" s="75"/>
      <c r="G107" s="158">
        <v>5</v>
      </c>
      <c r="H107" s="158">
        <v>5</v>
      </c>
      <c r="I107" s="75"/>
      <c r="J107" s="158">
        <v>35</v>
      </c>
      <c r="K107" s="158">
        <f t="shared" si="7"/>
        <v>50</v>
      </c>
      <c r="L107" s="210"/>
    </row>
    <row r="108" spans="1:12" ht="18.75" customHeight="1" x14ac:dyDescent="0.25">
      <c r="A108" s="212" t="s">
        <v>411</v>
      </c>
      <c r="B108" s="212">
        <v>4</v>
      </c>
      <c r="C108" s="159" t="s">
        <v>434</v>
      </c>
      <c r="D108" s="158">
        <v>5</v>
      </c>
      <c r="E108" s="75"/>
      <c r="F108" s="75"/>
      <c r="G108" s="75"/>
      <c r="H108" s="75"/>
      <c r="I108" s="75"/>
      <c r="J108" s="155">
        <v>15</v>
      </c>
      <c r="K108" s="158">
        <f t="shared" si="7"/>
        <v>20</v>
      </c>
      <c r="L108" s="210">
        <v>100</v>
      </c>
    </row>
    <row r="109" spans="1:12" ht="18.75" customHeight="1" x14ac:dyDescent="0.25">
      <c r="A109" s="212"/>
      <c r="B109" s="212"/>
      <c r="C109" s="159" t="s">
        <v>435</v>
      </c>
      <c r="D109" s="155">
        <v>5</v>
      </c>
      <c r="E109" s="75"/>
      <c r="F109" s="75"/>
      <c r="G109" s="75"/>
      <c r="H109" s="75"/>
      <c r="I109" s="75"/>
      <c r="J109" s="155">
        <v>15</v>
      </c>
      <c r="K109" s="158">
        <f t="shared" si="7"/>
        <v>20</v>
      </c>
      <c r="L109" s="210"/>
    </row>
    <row r="110" spans="1:12" ht="18.75" customHeight="1" x14ac:dyDescent="0.25">
      <c r="A110" s="212"/>
      <c r="B110" s="159">
        <v>6</v>
      </c>
      <c r="C110" s="159" t="s">
        <v>238</v>
      </c>
      <c r="D110" s="155"/>
      <c r="E110" s="75"/>
      <c r="F110" s="75"/>
      <c r="G110" s="75"/>
      <c r="H110" s="75"/>
      <c r="I110" s="75"/>
      <c r="J110" s="155">
        <v>20</v>
      </c>
      <c r="K110" s="158">
        <f t="shared" si="7"/>
        <v>20</v>
      </c>
      <c r="L110" s="210"/>
    </row>
    <row r="111" spans="1:12" ht="18.75" customHeight="1" x14ac:dyDescent="0.25">
      <c r="A111" s="212"/>
      <c r="B111" s="159">
        <v>9</v>
      </c>
      <c r="C111" s="162" t="s">
        <v>313</v>
      </c>
      <c r="D111" s="155"/>
      <c r="E111" s="75"/>
      <c r="F111" s="75"/>
      <c r="G111" s="75"/>
      <c r="H111" s="75"/>
      <c r="I111" s="75"/>
      <c r="J111" s="155">
        <v>20</v>
      </c>
      <c r="K111" s="158">
        <f t="shared" si="7"/>
        <v>20</v>
      </c>
      <c r="L111" s="210"/>
    </row>
    <row r="112" spans="1:12" ht="18.75" customHeight="1" x14ac:dyDescent="0.25">
      <c r="A112" s="212"/>
      <c r="B112" s="156">
        <v>10</v>
      </c>
      <c r="C112" s="160" t="s">
        <v>319</v>
      </c>
      <c r="D112" s="155"/>
      <c r="E112" s="75"/>
      <c r="F112" s="75"/>
      <c r="G112" s="75"/>
      <c r="H112" s="75"/>
      <c r="I112" s="75"/>
      <c r="J112" s="155">
        <v>20</v>
      </c>
      <c r="K112" s="158">
        <f t="shared" si="7"/>
        <v>20</v>
      </c>
      <c r="L112" s="210"/>
    </row>
    <row r="113" spans="1:12" ht="18.75" customHeight="1" x14ac:dyDescent="0.25">
      <c r="A113" s="212" t="s">
        <v>346</v>
      </c>
      <c r="B113" s="156">
        <v>4</v>
      </c>
      <c r="C113" s="156" t="s">
        <v>436</v>
      </c>
      <c r="D113" s="158">
        <v>5</v>
      </c>
      <c r="E113" s="75"/>
      <c r="F113" s="75"/>
      <c r="G113" s="75"/>
      <c r="H113" s="75"/>
      <c r="I113" s="75"/>
      <c r="J113" s="75"/>
      <c r="K113" s="158">
        <f t="shared" si="7"/>
        <v>5</v>
      </c>
      <c r="L113" s="210">
        <v>100</v>
      </c>
    </row>
    <row r="114" spans="1:12" ht="18.75" customHeight="1" x14ac:dyDescent="0.25">
      <c r="A114" s="212"/>
      <c r="B114" s="204">
        <v>7</v>
      </c>
      <c r="C114" s="156" t="s">
        <v>239</v>
      </c>
      <c r="D114" s="155">
        <v>5</v>
      </c>
      <c r="E114" s="158">
        <v>5</v>
      </c>
      <c r="F114" s="75"/>
      <c r="G114" s="75"/>
      <c r="H114" s="75"/>
      <c r="I114" s="158">
        <v>35</v>
      </c>
      <c r="J114" s="75"/>
      <c r="K114" s="158">
        <f t="shared" si="7"/>
        <v>45</v>
      </c>
      <c r="L114" s="210"/>
    </row>
    <row r="115" spans="1:12" ht="18.75" customHeight="1" x14ac:dyDescent="0.25">
      <c r="A115" s="212"/>
      <c r="B115" s="205"/>
      <c r="C115" s="156" t="s">
        <v>240</v>
      </c>
      <c r="D115" s="155"/>
      <c r="E115" s="158"/>
      <c r="F115" s="158">
        <v>5</v>
      </c>
      <c r="G115" s="75"/>
      <c r="H115" s="75"/>
      <c r="I115" s="75"/>
      <c r="J115" s="75"/>
      <c r="K115" s="158">
        <f t="shared" si="7"/>
        <v>5</v>
      </c>
      <c r="L115" s="210"/>
    </row>
    <row r="116" spans="1:12" ht="18.75" customHeight="1" x14ac:dyDescent="0.25">
      <c r="A116" s="212"/>
      <c r="B116" s="156">
        <v>8</v>
      </c>
      <c r="C116" s="156" t="s">
        <v>241</v>
      </c>
      <c r="D116" s="155"/>
      <c r="E116" s="75"/>
      <c r="F116" s="75"/>
      <c r="G116" s="158">
        <v>5</v>
      </c>
      <c r="H116" s="158">
        <v>5</v>
      </c>
      <c r="I116" s="75"/>
      <c r="J116" s="158">
        <v>35</v>
      </c>
      <c r="K116" s="158">
        <f t="shared" si="7"/>
        <v>45</v>
      </c>
      <c r="L116" s="210"/>
    </row>
    <row r="117" spans="1:12" ht="18.75" customHeight="1" x14ac:dyDescent="0.25">
      <c r="A117" s="204" t="s">
        <v>352</v>
      </c>
      <c r="B117" s="204">
        <v>4</v>
      </c>
      <c r="C117" s="160" t="s">
        <v>1112</v>
      </c>
      <c r="D117" s="158">
        <v>5</v>
      </c>
      <c r="E117" s="158">
        <v>5</v>
      </c>
      <c r="F117" s="158">
        <v>5</v>
      </c>
      <c r="G117" s="114"/>
      <c r="H117" s="114"/>
      <c r="I117" s="158">
        <v>35</v>
      </c>
      <c r="J117" s="114"/>
      <c r="K117" s="158">
        <f t="shared" si="7"/>
        <v>50</v>
      </c>
      <c r="L117" s="210">
        <f>K118+K119</f>
        <v>100</v>
      </c>
    </row>
    <row r="118" spans="1:12" ht="18.75" customHeight="1" x14ac:dyDescent="0.25">
      <c r="A118" s="205"/>
      <c r="B118" s="205"/>
      <c r="C118" s="170" t="s">
        <v>1113</v>
      </c>
      <c r="D118" s="158">
        <v>5</v>
      </c>
      <c r="E118" s="75"/>
      <c r="F118" s="75"/>
      <c r="G118" s="158">
        <v>5</v>
      </c>
      <c r="H118" s="158">
        <v>5</v>
      </c>
      <c r="I118" s="75"/>
      <c r="J118" s="158">
        <v>35</v>
      </c>
      <c r="K118" s="158">
        <f t="shared" si="7"/>
        <v>50</v>
      </c>
      <c r="L118" s="210"/>
    </row>
    <row r="119" spans="1:12" ht="18.75" customHeight="1" x14ac:dyDescent="0.25">
      <c r="A119" s="204" t="s">
        <v>445</v>
      </c>
      <c r="B119" s="204">
        <v>9</v>
      </c>
      <c r="C119" s="160" t="s">
        <v>314</v>
      </c>
      <c r="D119" s="158">
        <v>5</v>
      </c>
      <c r="E119" s="158">
        <v>5</v>
      </c>
      <c r="F119" s="158">
        <v>5</v>
      </c>
      <c r="G119" s="114"/>
      <c r="H119" s="114"/>
      <c r="I119" s="158">
        <v>35</v>
      </c>
      <c r="J119" s="114"/>
      <c r="K119" s="158">
        <f t="shared" si="7"/>
        <v>50</v>
      </c>
      <c r="L119" s="210">
        <f t="shared" si="9"/>
        <v>100</v>
      </c>
    </row>
    <row r="120" spans="1:12" ht="18.75" customHeight="1" x14ac:dyDescent="0.25">
      <c r="A120" s="205"/>
      <c r="B120" s="205"/>
      <c r="C120" s="160" t="s">
        <v>476</v>
      </c>
      <c r="D120" s="158">
        <v>5</v>
      </c>
      <c r="E120" s="75"/>
      <c r="F120" s="75"/>
      <c r="G120" s="158">
        <v>5</v>
      </c>
      <c r="H120" s="158">
        <v>5</v>
      </c>
      <c r="I120" s="75"/>
      <c r="J120" s="158">
        <v>35</v>
      </c>
      <c r="K120" s="158">
        <f t="shared" si="7"/>
        <v>50</v>
      </c>
      <c r="L120" s="210"/>
    </row>
    <row r="121" spans="1:12" ht="18.75" customHeight="1" x14ac:dyDescent="0.25">
      <c r="A121" s="204" t="s">
        <v>449</v>
      </c>
      <c r="B121" s="204">
        <v>9</v>
      </c>
      <c r="C121" s="160" t="s">
        <v>876</v>
      </c>
      <c r="D121" s="158">
        <v>5</v>
      </c>
      <c r="E121" s="158">
        <v>5</v>
      </c>
      <c r="F121" s="158">
        <v>5</v>
      </c>
      <c r="G121" s="114"/>
      <c r="H121" s="114"/>
      <c r="I121" s="158">
        <v>35</v>
      </c>
      <c r="J121" s="114"/>
      <c r="K121" s="158">
        <f t="shared" si="7"/>
        <v>50</v>
      </c>
      <c r="L121" s="210">
        <f t="shared" si="8"/>
        <v>100</v>
      </c>
    </row>
    <row r="122" spans="1:12" ht="18.75" customHeight="1" x14ac:dyDescent="0.25">
      <c r="A122" s="205"/>
      <c r="B122" s="205"/>
      <c r="C122" s="160" t="s">
        <v>315</v>
      </c>
      <c r="D122" s="158">
        <v>5</v>
      </c>
      <c r="E122" s="75"/>
      <c r="F122" s="75"/>
      <c r="G122" s="158">
        <v>5</v>
      </c>
      <c r="H122" s="158">
        <v>5</v>
      </c>
      <c r="I122" s="75"/>
      <c r="J122" s="158">
        <v>35</v>
      </c>
      <c r="K122" s="158">
        <f t="shared" si="7"/>
        <v>50</v>
      </c>
      <c r="L122" s="210"/>
    </row>
    <row r="123" spans="1:12" ht="18.75" customHeight="1" x14ac:dyDescent="0.25">
      <c r="A123" s="204" t="s">
        <v>452</v>
      </c>
      <c r="B123" s="204">
        <v>9</v>
      </c>
      <c r="C123" s="160" t="s">
        <v>316</v>
      </c>
      <c r="D123" s="158">
        <v>5</v>
      </c>
      <c r="E123" s="158">
        <v>5</v>
      </c>
      <c r="F123" s="158">
        <v>5</v>
      </c>
      <c r="G123" s="114"/>
      <c r="H123" s="114"/>
      <c r="I123" s="158">
        <v>35</v>
      </c>
      <c r="J123" s="114"/>
      <c r="K123" s="158">
        <f t="shared" si="7"/>
        <v>50</v>
      </c>
      <c r="L123" s="210">
        <f t="shared" si="9"/>
        <v>100</v>
      </c>
    </row>
    <row r="124" spans="1:12" ht="18.75" customHeight="1" x14ac:dyDescent="0.25">
      <c r="A124" s="205"/>
      <c r="B124" s="205"/>
      <c r="C124" s="160" t="s">
        <v>317</v>
      </c>
      <c r="D124" s="158">
        <v>5</v>
      </c>
      <c r="E124" s="75"/>
      <c r="F124" s="75"/>
      <c r="G124" s="158">
        <v>5</v>
      </c>
      <c r="H124" s="158">
        <v>5</v>
      </c>
      <c r="I124" s="75"/>
      <c r="J124" s="158">
        <v>35</v>
      </c>
      <c r="K124" s="158">
        <f t="shared" si="7"/>
        <v>50</v>
      </c>
      <c r="L124" s="210"/>
    </row>
    <row r="125" spans="1:12" ht="18.75" customHeight="1" x14ac:dyDescent="0.25">
      <c r="A125" s="204" t="s">
        <v>453</v>
      </c>
      <c r="B125" s="204">
        <v>10</v>
      </c>
      <c r="C125" s="160" t="s">
        <v>322</v>
      </c>
      <c r="D125" s="158">
        <v>5</v>
      </c>
      <c r="E125" s="158">
        <v>5</v>
      </c>
      <c r="F125" s="158">
        <v>5</v>
      </c>
      <c r="G125" s="114"/>
      <c r="H125" s="114"/>
      <c r="I125" s="158">
        <v>35</v>
      </c>
      <c r="J125" s="114"/>
      <c r="K125" s="158">
        <f t="shared" si="7"/>
        <v>50</v>
      </c>
      <c r="L125" s="210">
        <f>K126+K127</f>
        <v>100</v>
      </c>
    </row>
    <row r="126" spans="1:12" ht="18.75" customHeight="1" x14ac:dyDescent="0.25">
      <c r="A126" s="205"/>
      <c r="B126" s="205"/>
      <c r="C126" s="160" t="s">
        <v>323</v>
      </c>
      <c r="D126" s="158">
        <v>5</v>
      </c>
      <c r="E126" s="75"/>
      <c r="F126" s="75"/>
      <c r="G126" s="158">
        <v>5</v>
      </c>
      <c r="H126" s="158">
        <v>5</v>
      </c>
      <c r="I126" s="75"/>
      <c r="J126" s="158">
        <v>35</v>
      </c>
      <c r="K126" s="158">
        <f t="shared" si="7"/>
        <v>50</v>
      </c>
      <c r="L126" s="210"/>
    </row>
    <row r="127" spans="1:12" ht="18.75" customHeight="1" x14ac:dyDescent="0.25">
      <c r="A127" s="204" t="s">
        <v>456</v>
      </c>
      <c r="B127" s="204">
        <v>12</v>
      </c>
      <c r="C127" s="161" t="s">
        <v>383</v>
      </c>
      <c r="D127" s="158">
        <v>5</v>
      </c>
      <c r="E127" s="158">
        <v>5</v>
      </c>
      <c r="F127" s="158">
        <v>5</v>
      </c>
      <c r="G127" s="114"/>
      <c r="H127" s="114"/>
      <c r="I127" s="158">
        <v>35</v>
      </c>
      <c r="J127" s="114"/>
      <c r="K127" s="158">
        <f t="shared" si="7"/>
        <v>50</v>
      </c>
      <c r="L127" s="210">
        <f>K128+K129</f>
        <v>100</v>
      </c>
    </row>
    <row r="128" spans="1:12" ht="18.75" customHeight="1" x14ac:dyDescent="0.25">
      <c r="A128" s="205"/>
      <c r="B128" s="205"/>
      <c r="C128" s="156" t="s">
        <v>379</v>
      </c>
      <c r="D128" s="158">
        <v>5</v>
      </c>
      <c r="E128" s="75"/>
      <c r="F128" s="75"/>
      <c r="G128" s="158">
        <v>5</v>
      </c>
      <c r="H128" s="158">
        <v>5</v>
      </c>
      <c r="I128" s="75"/>
      <c r="J128" s="158">
        <v>35</v>
      </c>
      <c r="K128" s="158">
        <f t="shared" si="7"/>
        <v>50</v>
      </c>
      <c r="L128" s="210"/>
    </row>
    <row r="129" spans="1:12" ht="18.75" customHeight="1" x14ac:dyDescent="0.25">
      <c r="A129" s="204" t="s">
        <v>457</v>
      </c>
      <c r="B129" s="204">
        <v>12</v>
      </c>
      <c r="C129" s="156" t="s">
        <v>380</v>
      </c>
      <c r="D129" s="158">
        <v>5</v>
      </c>
      <c r="E129" s="158">
        <v>5</v>
      </c>
      <c r="F129" s="158">
        <v>5</v>
      </c>
      <c r="G129" s="114"/>
      <c r="H129" s="114"/>
      <c r="I129" s="158">
        <v>35</v>
      </c>
      <c r="J129" s="114"/>
      <c r="K129" s="158">
        <f t="shared" si="7"/>
        <v>50</v>
      </c>
      <c r="L129" s="210">
        <f t="shared" si="9"/>
        <v>100</v>
      </c>
    </row>
    <row r="130" spans="1:12" ht="18.75" customHeight="1" x14ac:dyDescent="0.25">
      <c r="A130" s="206"/>
      <c r="B130" s="206"/>
      <c r="C130" s="159" t="s">
        <v>381</v>
      </c>
      <c r="D130" s="158">
        <v>5</v>
      </c>
      <c r="E130" s="75"/>
      <c r="F130" s="75"/>
      <c r="G130" s="158">
        <v>5</v>
      </c>
      <c r="H130" s="158">
        <v>5</v>
      </c>
      <c r="I130" s="75"/>
      <c r="J130" s="158">
        <v>35</v>
      </c>
      <c r="K130" s="158">
        <f t="shared" si="7"/>
        <v>50</v>
      </c>
      <c r="L130" s="210"/>
    </row>
  </sheetData>
  <mergeCells count="190">
    <mergeCell ref="L129:L130"/>
    <mergeCell ref="L117:L118"/>
    <mergeCell ref="L119:L120"/>
    <mergeCell ref="L121:L122"/>
    <mergeCell ref="L123:L124"/>
    <mergeCell ref="L125:L126"/>
    <mergeCell ref="L127:L128"/>
    <mergeCell ref="L104:L105"/>
    <mergeCell ref="L106:L107"/>
    <mergeCell ref="L113:L116"/>
    <mergeCell ref="L108:L112"/>
    <mergeCell ref="L92:L93"/>
    <mergeCell ref="L94:L95"/>
    <mergeCell ref="L96:L97"/>
    <mergeCell ref="L98:L99"/>
    <mergeCell ref="L100:L101"/>
    <mergeCell ref="L102:L103"/>
    <mergeCell ref="L80:L81"/>
    <mergeCell ref="L82:L83"/>
    <mergeCell ref="L84:L85"/>
    <mergeCell ref="L86:L87"/>
    <mergeCell ref="L88:L89"/>
    <mergeCell ref="L90:L91"/>
    <mergeCell ref="L68:L69"/>
    <mergeCell ref="L70:L71"/>
    <mergeCell ref="L72:L73"/>
    <mergeCell ref="L74:L75"/>
    <mergeCell ref="L76:L77"/>
    <mergeCell ref="L78:L79"/>
    <mergeCell ref="L56:L57"/>
    <mergeCell ref="L58:L59"/>
    <mergeCell ref="L60:L61"/>
    <mergeCell ref="L62:L63"/>
    <mergeCell ref="L64:L65"/>
    <mergeCell ref="L66:L67"/>
    <mergeCell ref="L44:L45"/>
    <mergeCell ref="L46:L47"/>
    <mergeCell ref="L48:L49"/>
    <mergeCell ref="L50:L51"/>
    <mergeCell ref="L52:L53"/>
    <mergeCell ref="L54:L55"/>
    <mergeCell ref="L32:L33"/>
    <mergeCell ref="L34:L35"/>
    <mergeCell ref="L36:L37"/>
    <mergeCell ref="L38:L39"/>
    <mergeCell ref="L40:L41"/>
    <mergeCell ref="L42:L43"/>
    <mergeCell ref="L20:L21"/>
    <mergeCell ref="L22:L23"/>
    <mergeCell ref="L24:L25"/>
    <mergeCell ref="L26:L27"/>
    <mergeCell ref="L28:L29"/>
    <mergeCell ref="L30:L31"/>
    <mergeCell ref="A129:A130"/>
    <mergeCell ref="B129:B130"/>
    <mergeCell ref="L2:L3"/>
    <mergeCell ref="L4:L5"/>
    <mergeCell ref="L6:L7"/>
    <mergeCell ref="L10:L11"/>
    <mergeCell ref="L8:L9"/>
    <mergeCell ref="L12:L13"/>
    <mergeCell ref="L14:L15"/>
    <mergeCell ref="L16:L17"/>
    <mergeCell ref="A123:A124"/>
    <mergeCell ref="B123:B124"/>
    <mergeCell ref="A125:A126"/>
    <mergeCell ref="B125:B126"/>
    <mergeCell ref="A127:A128"/>
    <mergeCell ref="B127:B128"/>
    <mergeCell ref="A117:A118"/>
    <mergeCell ref="B117:B118"/>
    <mergeCell ref="A119:A120"/>
    <mergeCell ref="B119:B120"/>
    <mergeCell ref="A121:A122"/>
    <mergeCell ref="B121:B122"/>
    <mergeCell ref="A106:A107"/>
    <mergeCell ref="B106:B107"/>
    <mergeCell ref="A108:A112"/>
    <mergeCell ref="B108:B109"/>
    <mergeCell ref="A113:A116"/>
    <mergeCell ref="B114:B115"/>
    <mergeCell ref="A100:A101"/>
    <mergeCell ref="B100:B101"/>
    <mergeCell ref="A102:A103"/>
    <mergeCell ref="B102:B103"/>
    <mergeCell ref="A104:A105"/>
    <mergeCell ref="B104:B105"/>
    <mergeCell ref="A94:A95"/>
    <mergeCell ref="B94:B95"/>
    <mergeCell ref="A96:A97"/>
    <mergeCell ref="B96:B97"/>
    <mergeCell ref="A98:A99"/>
    <mergeCell ref="B98:B99"/>
    <mergeCell ref="A86:A87"/>
    <mergeCell ref="B86:B87"/>
    <mergeCell ref="A88:A89"/>
    <mergeCell ref="B88:B89"/>
    <mergeCell ref="A90:A91"/>
    <mergeCell ref="A92:A93"/>
    <mergeCell ref="B92:B93"/>
    <mergeCell ref="A80:A81"/>
    <mergeCell ref="B80:B81"/>
    <mergeCell ref="A82:A83"/>
    <mergeCell ref="B82:B83"/>
    <mergeCell ref="A84:A85"/>
    <mergeCell ref="B84:B85"/>
    <mergeCell ref="A74:A75"/>
    <mergeCell ref="B74:B75"/>
    <mergeCell ref="A76:A77"/>
    <mergeCell ref="B76:B77"/>
    <mergeCell ref="A78:A79"/>
    <mergeCell ref="B78:B79"/>
    <mergeCell ref="A68:A69"/>
    <mergeCell ref="B68:B69"/>
    <mergeCell ref="A70:A71"/>
    <mergeCell ref="B70:B71"/>
    <mergeCell ref="A72:A73"/>
    <mergeCell ref="B72:B73"/>
    <mergeCell ref="A62:A63"/>
    <mergeCell ref="B62:B63"/>
    <mergeCell ref="A64:A65"/>
    <mergeCell ref="B64:B65"/>
    <mergeCell ref="A66:A67"/>
    <mergeCell ref="B66:B67"/>
    <mergeCell ref="A56:A57"/>
    <mergeCell ref="B56:B57"/>
    <mergeCell ref="A58:A59"/>
    <mergeCell ref="B58:B59"/>
    <mergeCell ref="A60:A61"/>
    <mergeCell ref="B60:B61"/>
    <mergeCell ref="A50:A51"/>
    <mergeCell ref="B50:B51"/>
    <mergeCell ref="A52:A53"/>
    <mergeCell ref="B52:B53"/>
    <mergeCell ref="A54:A55"/>
    <mergeCell ref="B54:B55"/>
    <mergeCell ref="A44:A45"/>
    <mergeCell ref="B44:B45"/>
    <mergeCell ref="A46:A47"/>
    <mergeCell ref="B46:B47"/>
    <mergeCell ref="A48:A49"/>
    <mergeCell ref="B48:B49"/>
    <mergeCell ref="A38:A39"/>
    <mergeCell ref="B38:B39"/>
    <mergeCell ref="A40:A41"/>
    <mergeCell ref="B40:B41"/>
    <mergeCell ref="A42:A43"/>
    <mergeCell ref="B42:B43"/>
    <mergeCell ref="A32:A33"/>
    <mergeCell ref="B32:B33"/>
    <mergeCell ref="A34:A35"/>
    <mergeCell ref="B34:B35"/>
    <mergeCell ref="A36:A37"/>
    <mergeCell ref="B36:B37"/>
    <mergeCell ref="A26:A27"/>
    <mergeCell ref="B26:B27"/>
    <mergeCell ref="A28:A29"/>
    <mergeCell ref="B28:B29"/>
    <mergeCell ref="A30:A31"/>
    <mergeCell ref="B30:B31"/>
    <mergeCell ref="A20:A21"/>
    <mergeCell ref="B20:B21"/>
    <mergeCell ref="A22:A23"/>
    <mergeCell ref="B22:B23"/>
    <mergeCell ref="A24:A25"/>
    <mergeCell ref="B24:B25"/>
    <mergeCell ref="A14:A15"/>
    <mergeCell ref="B14:B15"/>
    <mergeCell ref="A16:A17"/>
    <mergeCell ref="B16:B17"/>
    <mergeCell ref="A18:A19"/>
    <mergeCell ref="B18:B19"/>
    <mergeCell ref="A8:A9"/>
    <mergeCell ref="B8:B9"/>
    <mergeCell ref="A10:A11"/>
    <mergeCell ref="B10:B11"/>
    <mergeCell ref="A12:A13"/>
    <mergeCell ref="B12:B13"/>
    <mergeCell ref="J2:J3"/>
    <mergeCell ref="K2:K3"/>
    <mergeCell ref="A4:A5"/>
    <mergeCell ref="B4:B5"/>
    <mergeCell ref="A6:A7"/>
    <mergeCell ref="B6:B7"/>
    <mergeCell ref="A2:A3"/>
    <mergeCell ref="B2:B3"/>
    <mergeCell ref="C2:C3"/>
    <mergeCell ref="D2:D3"/>
    <mergeCell ref="E2:H2"/>
    <mergeCell ref="I2:I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130"/>
  <sheetViews>
    <sheetView topLeftCell="A20" workbookViewId="0">
      <selection activeCell="P122" sqref="P122"/>
    </sheetView>
  </sheetViews>
  <sheetFormatPr defaultRowHeight="15" x14ac:dyDescent="0.25"/>
  <cols>
    <col min="1" max="1" width="7" style="29" customWidth="1"/>
    <col min="2" max="2" width="8" style="29" customWidth="1"/>
    <col min="3" max="3" width="11" style="31" customWidth="1"/>
    <col min="4" max="4" width="12" style="29" hidden="1" customWidth="1"/>
    <col min="5" max="8" width="14.85546875" style="31" hidden="1" customWidth="1"/>
    <col min="9" max="10" width="0" style="31" hidden="1" customWidth="1"/>
    <col min="11" max="16384" width="9.140625" style="31"/>
  </cols>
  <sheetData>
    <row r="2" spans="1:12" s="39" customFormat="1" ht="30" customHeight="1" x14ac:dyDescent="0.2">
      <c r="A2" s="233" t="s">
        <v>358</v>
      </c>
      <c r="B2" s="233" t="s">
        <v>463</v>
      </c>
      <c r="C2" s="235" t="s">
        <v>359</v>
      </c>
      <c r="D2" s="233" t="s">
        <v>991</v>
      </c>
      <c r="E2" s="234" t="s">
        <v>985</v>
      </c>
      <c r="F2" s="234"/>
      <c r="G2" s="234"/>
      <c r="H2" s="234"/>
      <c r="I2" s="235" t="s">
        <v>983</v>
      </c>
      <c r="J2" s="235" t="s">
        <v>984</v>
      </c>
      <c r="K2" s="242" t="s">
        <v>996</v>
      </c>
      <c r="L2" s="242" t="s">
        <v>1106</v>
      </c>
    </row>
    <row r="3" spans="1:12" s="39" customFormat="1" ht="30" customHeight="1" x14ac:dyDescent="0.2">
      <c r="A3" s="233"/>
      <c r="B3" s="233"/>
      <c r="C3" s="236"/>
      <c r="D3" s="233"/>
      <c r="E3" s="165" t="s">
        <v>987</v>
      </c>
      <c r="F3" s="165" t="s">
        <v>988</v>
      </c>
      <c r="G3" s="165" t="s">
        <v>989</v>
      </c>
      <c r="H3" s="165" t="s">
        <v>990</v>
      </c>
      <c r="I3" s="236"/>
      <c r="J3" s="236"/>
      <c r="K3" s="242"/>
      <c r="L3" s="242"/>
    </row>
    <row r="4" spans="1:12" s="40" customFormat="1" ht="18.75" customHeight="1" x14ac:dyDescent="0.25">
      <c r="A4" s="205">
        <v>1</v>
      </c>
      <c r="B4" s="226" t="s">
        <v>154</v>
      </c>
      <c r="C4" s="157" t="s">
        <v>376</v>
      </c>
      <c r="D4" s="158">
        <v>5</v>
      </c>
      <c r="E4" s="158">
        <v>5</v>
      </c>
      <c r="F4" s="158">
        <v>5</v>
      </c>
      <c r="G4" s="114"/>
      <c r="H4" s="114"/>
      <c r="I4" s="158">
        <v>35</v>
      </c>
      <c r="J4" s="114"/>
      <c r="K4" s="158">
        <f>SUM(D4:I4)</f>
        <v>50</v>
      </c>
      <c r="L4" s="210">
        <f>SUM(K4:K25)</f>
        <v>1100</v>
      </c>
    </row>
    <row r="5" spans="1:12" ht="18.75" customHeight="1" x14ac:dyDescent="0.25">
      <c r="A5" s="205"/>
      <c r="B5" s="226"/>
      <c r="C5" s="156" t="s">
        <v>151</v>
      </c>
      <c r="D5" s="155">
        <v>5</v>
      </c>
      <c r="E5" s="75"/>
      <c r="F5" s="75"/>
      <c r="G5" s="158">
        <v>5</v>
      </c>
      <c r="H5" s="158">
        <v>5</v>
      </c>
      <c r="I5" s="75"/>
      <c r="J5" s="158">
        <v>35</v>
      </c>
      <c r="K5" s="158">
        <f>SUM(D5:J5)</f>
        <v>50</v>
      </c>
      <c r="L5" s="210"/>
    </row>
    <row r="6" spans="1:12" ht="18.75" customHeight="1" x14ac:dyDescent="0.25">
      <c r="A6" s="204">
        <v>1</v>
      </c>
      <c r="B6" s="204" t="s">
        <v>155</v>
      </c>
      <c r="C6" s="156" t="s">
        <v>161</v>
      </c>
      <c r="D6" s="158">
        <v>5</v>
      </c>
      <c r="E6" s="158">
        <v>5</v>
      </c>
      <c r="F6" s="158">
        <v>5</v>
      </c>
      <c r="G6" s="114"/>
      <c r="H6" s="114"/>
      <c r="I6" s="158">
        <v>35</v>
      </c>
      <c r="J6" s="114"/>
      <c r="K6" s="158">
        <f>SUM(D6:I6)</f>
        <v>50</v>
      </c>
      <c r="L6" s="210"/>
    </row>
    <row r="7" spans="1:12" ht="18.75" customHeight="1" x14ac:dyDescent="0.25">
      <c r="A7" s="205"/>
      <c r="B7" s="205"/>
      <c r="C7" s="156" t="s">
        <v>162</v>
      </c>
      <c r="D7" s="155">
        <v>5</v>
      </c>
      <c r="E7" s="75"/>
      <c r="F7" s="75"/>
      <c r="G7" s="158">
        <v>5</v>
      </c>
      <c r="H7" s="158">
        <v>5</v>
      </c>
      <c r="I7" s="75"/>
      <c r="J7" s="158">
        <v>35</v>
      </c>
      <c r="K7" s="158">
        <f t="shared" ref="K7:K25" si="0">SUM(D7:J7)</f>
        <v>50</v>
      </c>
      <c r="L7" s="210"/>
    </row>
    <row r="8" spans="1:12" ht="18.75" customHeight="1" x14ac:dyDescent="0.25">
      <c r="A8" s="204">
        <v>1</v>
      </c>
      <c r="B8" s="204" t="s">
        <v>160</v>
      </c>
      <c r="C8" s="156" t="s">
        <v>167</v>
      </c>
      <c r="D8" s="158">
        <v>5</v>
      </c>
      <c r="E8" s="158">
        <v>5</v>
      </c>
      <c r="F8" s="158">
        <v>5</v>
      </c>
      <c r="G8" s="114"/>
      <c r="H8" s="114"/>
      <c r="I8" s="158">
        <v>35</v>
      </c>
      <c r="J8" s="114"/>
      <c r="K8" s="158">
        <f t="shared" si="0"/>
        <v>50</v>
      </c>
      <c r="L8" s="210"/>
    </row>
    <row r="9" spans="1:12" ht="18.75" customHeight="1" x14ac:dyDescent="0.25">
      <c r="A9" s="205"/>
      <c r="B9" s="205"/>
      <c r="C9" s="156" t="s">
        <v>377</v>
      </c>
      <c r="D9" s="158">
        <v>5</v>
      </c>
      <c r="E9" s="75"/>
      <c r="F9" s="75"/>
      <c r="G9" s="158">
        <v>5</v>
      </c>
      <c r="H9" s="158">
        <v>5</v>
      </c>
      <c r="I9" s="75"/>
      <c r="J9" s="158">
        <v>35</v>
      </c>
      <c r="K9" s="158">
        <f t="shared" si="0"/>
        <v>50</v>
      </c>
      <c r="L9" s="210"/>
    </row>
    <row r="10" spans="1:12" ht="18.75" customHeight="1" x14ac:dyDescent="0.25">
      <c r="A10" s="212">
        <v>1</v>
      </c>
      <c r="B10" s="212" t="s">
        <v>166</v>
      </c>
      <c r="C10" s="159" t="s">
        <v>171</v>
      </c>
      <c r="D10" s="158">
        <v>5</v>
      </c>
      <c r="E10" s="158">
        <v>5</v>
      </c>
      <c r="F10" s="158">
        <v>5</v>
      </c>
      <c r="G10" s="114"/>
      <c r="H10" s="114"/>
      <c r="I10" s="158">
        <v>35</v>
      </c>
      <c r="J10" s="114"/>
      <c r="K10" s="158">
        <f t="shared" si="0"/>
        <v>50</v>
      </c>
      <c r="L10" s="210"/>
    </row>
    <row r="11" spans="1:12" ht="18.75" customHeight="1" x14ac:dyDescent="0.25">
      <c r="A11" s="212"/>
      <c r="B11" s="212"/>
      <c r="C11" s="159" t="s">
        <v>378</v>
      </c>
      <c r="D11" s="158">
        <v>5</v>
      </c>
      <c r="E11" s="75"/>
      <c r="F11" s="75"/>
      <c r="G11" s="158">
        <v>5</v>
      </c>
      <c r="H11" s="158">
        <v>5</v>
      </c>
      <c r="I11" s="75"/>
      <c r="J11" s="158">
        <v>35</v>
      </c>
      <c r="K11" s="158">
        <f t="shared" si="0"/>
        <v>50</v>
      </c>
      <c r="L11" s="210"/>
    </row>
    <row r="12" spans="1:12" ht="18.75" customHeight="1" x14ac:dyDescent="0.25">
      <c r="A12" s="204">
        <v>1</v>
      </c>
      <c r="B12" s="204" t="s">
        <v>170</v>
      </c>
      <c r="C12" s="159" t="s">
        <v>175</v>
      </c>
      <c r="D12" s="158">
        <v>5</v>
      </c>
      <c r="E12" s="158">
        <v>5</v>
      </c>
      <c r="F12" s="158">
        <v>5</v>
      </c>
      <c r="G12" s="114"/>
      <c r="H12" s="114"/>
      <c r="I12" s="158">
        <v>35</v>
      </c>
      <c r="J12" s="114"/>
      <c r="K12" s="158">
        <f t="shared" si="0"/>
        <v>50</v>
      </c>
      <c r="L12" s="210"/>
    </row>
    <row r="13" spans="1:12" ht="18.75" customHeight="1" x14ac:dyDescent="0.25">
      <c r="A13" s="205"/>
      <c r="B13" s="205"/>
      <c r="C13" s="156" t="s">
        <v>383</v>
      </c>
      <c r="D13" s="158">
        <v>5</v>
      </c>
      <c r="E13" s="75"/>
      <c r="F13" s="75"/>
      <c r="G13" s="158">
        <v>5</v>
      </c>
      <c r="H13" s="158">
        <v>5</v>
      </c>
      <c r="I13" s="75"/>
      <c r="J13" s="158">
        <v>35</v>
      </c>
      <c r="K13" s="158">
        <f t="shared" si="0"/>
        <v>50</v>
      </c>
      <c r="L13" s="210"/>
    </row>
    <row r="14" spans="1:12" ht="18.75" customHeight="1" x14ac:dyDescent="0.25">
      <c r="A14" s="204">
        <v>1</v>
      </c>
      <c r="B14" s="204" t="s">
        <v>194</v>
      </c>
      <c r="C14" s="156" t="s">
        <v>381</v>
      </c>
      <c r="D14" s="158">
        <v>5</v>
      </c>
      <c r="E14" s="158">
        <v>5</v>
      </c>
      <c r="F14" s="158">
        <v>5</v>
      </c>
      <c r="G14" s="114"/>
      <c r="H14" s="114"/>
      <c r="I14" s="158">
        <v>35</v>
      </c>
      <c r="J14" s="114"/>
      <c r="K14" s="158">
        <f t="shared" si="0"/>
        <v>50</v>
      </c>
      <c r="L14" s="210"/>
    </row>
    <row r="15" spans="1:12" ht="18.75" customHeight="1" x14ac:dyDescent="0.25">
      <c r="A15" s="205"/>
      <c r="B15" s="205"/>
      <c r="C15" s="156" t="s">
        <v>382</v>
      </c>
      <c r="D15" s="158">
        <v>5</v>
      </c>
      <c r="E15" s="75"/>
      <c r="F15" s="75"/>
      <c r="G15" s="158">
        <v>5</v>
      </c>
      <c r="H15" s="158">
        <v>5</v>
      </c>
      <c r="I15" s="75"/>
      <c r="J15" s="158">
        <v>35</v>
      </c>
      <c r="K15" s="158">
        <f t="shared" si="0"/>
        <v>50</v>
      </c>
      <c r="L15" s="210"/>
    </row>
    <row r="16" spans="1:12" ht="18.75" customHeight="1" x14ac:dyDescent="0.25">
      <c r="A16" s="204">
        <v>1</v>
      </c>
      <c r="B16" s="204" t="s">
        <v>211</v>
      </c>
      <c r="C16" s="156" t="s">
        <v>384</v>
      </c>
      <c r="D16" s="158">
        <v>5</v>
      </c>
      <c r="E16" s="158">
        <v>5</v>
      </c>
      <c r="F16" s="158">
        <v>5</v>
      </c>
      <c r="G16" s="114"/>
      <c r="H16" s="114"/>
      <c r="I16" s="158">
        <v>35</v>
      </c>
      <c r="J16" s="114"/>
      <c r="K16" s="158">
        <f t="shared" si="0"/>
        <v>50</v>
      </c>
      <c r="L16" s="210"/>
    </row>
    <row r="17" spans="1:12" ht="18.75" customHeight="1" x14ac:dyDescent="0.25">
      <c r="A17" s="205"/>
      <c r="B17" s="205"/>
      <c r="C17" s="161" t="s">
        <v>385</v>
      </c>
      <c r="D17" s="158">
        <v>5</v>
      </c>
      <c r="E17" s="75"/>
      <c r="F17" s="75"/>
      <c r="G17" s="158">
        <v>5</v>
      </c>
      <c r="H17" s="158">
        <v>5</v>
      </c>
      <c r="I17" s="75"/>
      <c r="J17" s="158">
        <v>35</v>
      </c>
      <c r="K17" s="158">
        <f t="shared" si="0"/>
        <v>50</v>
      </c>
      <c r="L17" s="210"/>
    </row>
    <row r="18" spans="1:12" ht="18.75" customHeight="1" x14ac:dyDescent="0.25">
      <c r="A18" s="204">
        <v>1</v>
      </c>
      <c r="B18" s="204" t="s">
        <v>375</v>
      </c>
      <c r="C18" s="159" t="s">
        <v>386</v>
      </c>
      <c r="D18" s="158">
        <v>5</v>
      </c>
      <c r="E18" s="158">
        <v>5</v>
      </c>
      <c r="F18" s="158">
        <v>5</v>
      </c>
      <c r="G18" s="114"/>
      <c r="H18" s="114"/>
      <c r="I18" s="158">
        <v>35</v>
      </c>
      <c r="J18" s="114"/>
      <c r="K18" s="158">
        <f t="shared" si="0"/>
        <v>50</v>
      </c>
      <c r="L18" s="210"/>
    </row>
    <row r="19" spans="1:12" ht="18.75" customHeight="1" x14ac:dyDescent="0.25">
      <c r="A19" s="205"/>
      <c r="B19" s="205"/>
      <c r="C19" s="161" t="s">
        <v>387</v>
      </c>
      <c r="D19" s="158">
        <v>5</v>
      </c>
      <c r="E19" s="75"/>
      <c r="F19" s="75"/>
      <c r="G19" s="158">
        <v>5</v>
      </c>
      <c r="H19" s="158">
        <v>5</v>
      </c>
      <c r="I19" s="75"/>
      <c r="J19" s="158">
        <v>35</v>
      </c>
      <c r="K19" s="158">
        <f t="shared" si="0"/>
        <v>50</v>
      </c>
      <c r="L19" s="210"/>
    </row>
    <row r="20" spans="1:12" ht="18.75" customHeight="1" x14ac:dyDescent="0.25">
      <c r="A20" s="204">
        <v>1</v>
      </c>
      <c r="B20" s="204" t="s">
        <v>246</v>
      </c>
      <c r="C20" s="156" t="s">
        <v>388</v>
      </c>
      <c r="D20" s="158">
        <v>5</v>
      </c>
      <c r="E20" s="158">
        <v>5</v>
      </c>
      <c r="F20" s="158">
        <v>5</v>
      </c>
      <c r="G20" s="114"/>
      <c r="H20" s="114"/>
      <c r="I20" s="158">
        <v>35</v>
      </c>
      <c r="J20" s="114"/>
      <c r="K20" s="158">
        <f t="shared" si="0"/>
        <v>50</v>
      </c>
      <c r="L20" s="210"/>
    </row>
    <row r="21" spans="1:12" ht="18.75" customHeight="1" x14ac:dyDescent="0.25">
      <c r="A21" s="205"/>
      <c r="B21" s="205"/>
      <c r="C21" s="156" t="s">
        <v>389</v>
      </c>
      <c r="D21" s="158">
        <v>5</v>
      </c>
      <c r="E21" s="75"/>
      <c r="F21" s="75"/>
      <c r="G21" s="158">
        <v>5</v>
      </c>
      <c r="H21" s="158">
        <v>5</v>
      </c>
      <c r="I21" s="75"/>
      <c r="J21" s="158">
        <v>35</v>
      </c>
      <c r="K21" s="158">
        <f t="shared" si="0"/>
        <v>50</v>
      </c>
      <c r="L21" s="210"/>
    </row>
    <row r="22" spans="1:12" ht="18.75" customHeight="1" x14ac:dyDescent="0.25">
      <c r="A22" s="204">
        <v>1</v>
      </c>
      <c r="B22" s="204" t="s">
        <v>255</v>
      </c>
      <c r="C22" s="156" t="s">
        <v>390</v>
      </c>
      <c r="D22" s="158">
        <v>5</v>
      </c>
      <c r="E22" s="158">
        <v>5</v>
      </c>
      <c r="F22" s="158">
        <v>5</v>
      </c>
      <c r="G22" s="114"/>
      <c r="H22" s="114"/>
      <c r="I22" s="158">
        <v>35</v>
      </c>
      <c r="J22" s="114"/>
      <c r="K22" s="158">
        <f t="shared" si="0"/>
        <v>50</v>
      </c>
      <c r="L22" s="210"/>
    </row>
    <row r="23" spans="1:12" ht="18.75" customHeight="1" x14ac:dyDescent="0.25">
      <c r="A23" s="205"/>
      <c r="B23" s="205"/>
      <c r="C23" s="156" t="s">
        <v>391</v>
      </c>
      <c r="D23" s="158">
        <v>5</v>
      </c>
      <c r="E23" s="75"/>
      <c r="F23" s="75"/>
      <c r="G23" s="158">
        <v>5</v>
      </c>
      <c r="H23" s="158">
        <v>5</v>
      </c>
      <c r="I23" s="75"/>
      <c r="J23" s="158">
        <v>35</v>
      </c>
      <c r="K23" s="158">
        <f t="shared" si="0"/>
        <v>50</v>
      </c>
      <c r="L23" s="210"/>
    </row>
    <row r="24" spans="1:12" ht="18.75" customHeight="1" x14ac:dyDescent="0.25">
      <c r="A24" s="204">
        <v>1</v>
      </c>
      <c r="B24" s="204" t="s">
        <v>262</v>
      </c>
      <c r="C24" s="156" t="s">
        <v>392</v>
      </c>
      <c r="D24" s="158">
        <v>5</v>
      </c>
      <c r="E24" s="158">
        <v>5</v>
      </c>
      <c r="F24" s="158">
        <v>5</v>
      </c>
      <c r="G24" s="114"/>
      <c r="H24" s="114"/>
      <c r="I24" s="158">
        <v>35</v>
      </c>
      <c r="J24" s="114"/>
      <c r="K24" s="158">
        <f t="shared" si="0"/>
        <v>50</v>
      </c>
      <c r="L24" s="210"/>
    </row>
    <row r="25" spans="1:12" ht="18.75" customHeight="1" x14ac:dyDescent="0.25">
      <c r="A25" s="205"/>
      <c r="B25" s="205"/>
      <c r="C25" s="156" t="s">
        <v>393</v>
      </c>
      <c r="D25" s="158">
        <v>5</v>
      </c>
      <c r="E25" s="75"/>
      <c r="F25" s="75"/>
      <c r="G25" s="158">
        <v>5</v>
      </c>
      <c r="H25" s="158">
        <v>5</v>
      </c>
      <c r="I25" s="75"/>
      <c r="J25" s="158">
        <v>35</v>
      </c>
      <c r="K25" s="158">
        <f t="shared" si="0"/>
        <v>50</v>
      </c>
      <c r="L25" s="210"/>
    </row>
    <row r="26" spans="1:12" ht="18.75" customHeight="1" x14ac:dyDescent="0.25">
      <c r="A26" s="204">
        <v>2</v>
      </c>
      <c r="B26" s="204" t="s">
        <v>156</v>
      </c>
      <c r="C26" s="156" t="s">
        <v>176</v>
      </c>
      <c r="D26" s="158">
        <v>5</v>
      </c>
      <c r="E26" s="158">
        <v>5</v>
      </c>
      <c r="F26" s="158">
        <v>5</v>
      </c>
      <c r="G26" s="114"/>
      <c r="H26" s="114"/>
      <c r="I26" s="158">
        <v>35</v>
      </c>
      <c r="J26" s="114"/>
      <c r="K26" s="158">
        <f t="shared" ref="K26" si="1">SUM(D26:I26)</f>
        <v>50</v>
      </c>
      <c r="L26" s="210">
        <f>SUM(K26:K51)</f>
        <v>1300</v>
      </c>
    </row>
    <row r="27" spans="1:12" ht="18.75" customHeight="1" x14ac:dyDescent="0.25">
      <c r="A27" s="205"/>
      <c r="B27" s="205"/>
      <c r="C27" s="156" t="s">
        <v>182</v>
      </c>
      <c r="D27" s="158">
        <v>5</v>
      </c>
      <c r="E27" s="75"/>
      <c r="F27" s="75"/>
      <c r="G27" s="158">
        <v>5</v>
      </c>
      <c r="H27" s="158">
        <v>5</v>
      </c>
      <c r="I27" s="75"/>
      <c r="J27" s="158">
        <v>35</v>
      </c>
      <c r="K27" s="158">
        <f>SUM(D27:J27)</f>
        <v>50</v>
      </c>
      <c r="L27" s="210"/>
    </row>
    <row r="28" spans="1:12" ht="18.75" customHeight="1" x14ac:dyDescent="0.25">
      <c r="A28" s="204">
        <v>2</v>
      </c>
      <c r="B28" s="204" t="s">
        <v>158</v>
      </c>
      <c r="C28" s="156" t="s">
        <v>183</v>
      </c>
      <c r="D28" s="158">
        <v>5</v>
      </c>
      <c r="E28" s="158">
        <v>5</v>
      </c>
      <c r="F28" s="158">
        <v>5</v>
      </c>
      <c r="G28" s="114"/>
      <c r="H28" s="114"/>
      <c r="I28" s="158">
        <v>35</v>
      </c>
      <c r="J28" s="114"/>
      <c r="K28" s="158">
        <f>SUM(D28:J28)</f>
        <v>50</v>
      </c>
      <c r="L28" s="210"/>
    </row>
    <row r="29" spans="1:12" ht="18.75" customHeight="1" x14ac:dyDescent="0.25">
      <c r="A29" s="205"/>
      <c r="B29" s="205"/>
      <c r="C29" s="156" t="s">
        <v>184</v>
      </c>
      <c r="D29" s="158">
        <v>5</v>
      </c>
      <c r="E29" s="75"/>
      <c r="F29" s="75"/>
      <c r="G29" s="158">
        <v>5</v>
      </c>
      <c r="H29" s="158">
        <v>5</v>
      </c>
      <c r="I29" s="75"/>
      <c r="J29" s="158">
        <v>35</v>
      </c>
      <c r="K29" s="158">
        <f>SUM(D29:J29)</f>
        <v>50</v>
      </c>
      <c r="L29" s="210"/>
    </row>
    <row r="30" spans="1:12" ht="18.75" customHeight="1" x14ac:dyDescent="0.25">
      <c r="A30" s="204">
        <v>2</v>
      </c>
      <c r="B30" s="204" t="s">
        <v>159</v>
      </c>
      <c r="C30" s="156" t="s">
        <v>185</v>
      </c>
      <c r="D30" s="158">
        <v>5</v>
      </c>
      <c r="E30" s="158">
        <v>5</v>
      </c>
      <c r="F30" s="158">
        <v>5</v>
      </c>
      <c r="G30" s="114"/>
      <c r="H30" s="114"/>
      <c r="I30" s="158">
        <v>35</v>
      </c>
      <c r="J30" s="114"/>
      <c r="K30" s="158">
        <f>SUM(D30:J30)</f>
        <v>50</v>
      </c>
      <c r="L30" s="210"/>
    </row>
    <row r="31" spans="1:12" ht="18.75" customHeight="1" x14ac:dyDescent="0.25">
      <c r="A31" s="205"/>
      <c r="B31" s="205"/>
      <c r="C31" s="156" t="s">
        <v>186</v>
      </c>
      <c r="D31" s="158">
        <v>5</v>
      </c>
      <c r="E31" s="75"/>
      <c r="F31" s="75"/>
      <c r="G31" s="158">
        <v>5</v>
      </c>
      <c r="H31" s="158">
        <v>5</v>
      </c>
      <c r="I31" s="75"/>
      <c r="J31" s="158">
        <v>35</v>
      </c>
      <c r="K31" s="158">
        <f>SUM(D31:J31)</f>
        <v>50</v>
      </c>
      <c r="L31" s="210"/>
    </row>
    <row r="32" spans="1:12" ht="18.75" customHeight="1" x14ac:dyDescent="0.25">
      <c r="A32" s="204">
        <v>2</v>
      </c>
      <c r="B32" s="204" t="s">
        <v>179</v>
      </c>
      <c r="C32" s="156" t="s">
        <v>187</v>
      </c>
      <c r="D32" s="158">
        <v>5</v>
      </c>
      <c r="E32" s="158">
        <v>5</v>
      </c>
      <c r="F32" s="158">
        <v>5</v>
      </c>
      <c r="G32" s="114"/>
      <c r="H32" s="114"/>
      <c r="I32" s="158">
        <v>35</v>
      </c>
      <c r="J32" s="114"/>
      <c r="K32" s="158">
        <f t="shared" ref="K32:K96" si="2">SUM(D32:J32)</f>
        <v>50</v>
      </c>
      <c r="L32" s="210"/>
    </row>
    <row r="33" spans="1:12" ht="18.75" customHeight="1" x14ac:dyDescent="0.25">
      <c r="A33" s="205"/>
      <c r="B33" s="205"/>
      <c r="C33" s="156" t="s">
        <v>188</v>
      </c>
      <c r="D33" s="158">
        <v>5</v>
      </c>
      <c r="E33" s="75"/>
      <c r="F33" s="75"/>
      <c r="G33" s="158">
        <v>5</v>
      </c>
      <c r="H33" s="158">
        <v>5</v>
      </c>
      <c r="I33" s="75"/>
      <c r="J33" s="158">
        <v>35</v>
      </c>
      <c r="K33" s="158">
        <f t="shared" si="2"/>
        <v>50</v>
      </c>
      <c r="L33" s="210"/>
    </row>
    <row r="34" spans="1:12" ht="18.75" customHeight="1" x14ac:dyDescent="0.25">
      <c r="A34" s="204">
        <v>2</v>
      </c>
      <c r="B34" s="204" t="s">
        <v>394</v>
      </c>
      <c r="C34" s="156" t="s">
        <v>189</v>
      </c>
      <c r="D34" s="158">
        <v>5</v>
      </c>
      <c r="E34" s="158">
        <v>5</v>
      </c>
      <c r="F34" s="158">
        <v>5</v>
      </c>
      <c r="G34" s="114"/>
      <c r="H34" s="114"/>
      <c r="I34" s="158">
        <v>35</v>
      </c>
      <c r="J34" s="114"/>
      <c r="K34" s="158">
        <f t="shared" si="2"/>
        <v>50</v>
      </c>
      <c r="L34" s="210"/>
    </row>
    <row r="35" spans="1:12" ht="18.75" customHeight="1" x14ac:dyDescent="0.25">
      <c r="A35" s="205"/>
      <c r="B35" s="205"/>
      <c r="C35" s="156" t="s">
        <v>395</v>
      </c>
      <c r="D35" s="158">
        <v>5</v>
      </c>
      <c r="E35" s="75"/>
      <c r="F35" s="75"/>
      <c r="G35" s="158">
        <v>5</v>
      </c>
      <c r="H35" s="158">
        <v>5</v>
      </c>
      <c r="I35" s="75"/>
      <c r="J35" s="158">
        <v>35</v>
      </c>
      <c r="K35" s="158">
        <f t="shared" si="2"/>
        <v>50</v>
      </c>
      <c r="L35" s="210"/>
    </row>
    <row r="36" spans="1:12" ht="18.75" customHeight="1" x14ac:dyDescent="0.25">
      <c r="A36" s="204">
        <v>2</v>
      </c>
      <c r="B36" s="204" t="s">
        <v>214</v>
      </c>
      <c r="C36" s="156" t="s">
        <v>396</v>
      </c>
      <c r="D36" s="158">
        <v>5</v>
      </c>
      <c r="E36" s="158">
        <v>5</v>
      </c>
      <c r="F36" s="158">
        <v>5</v>
      </c>
      <c r="G36" s="114"/>
      <c r="H36" s="114"/>
      <c r="I36" s="158">
        <v>35</v>
      </c>
      <c r="J36" s="114"/>
      <c r="K36" s="158">
        <f t="shared" si="2"/>
        <v>50</v>
      </c>
      <c r="L36" s="210"/>
    </row>
    <row r="37" spans="1:12" ht="18.75" customHeight="1" x14ac:dyDescent="0.25">
      <c r="A37" s="205"/>
      <c r="B37" s="205"/>
      <c r="C37" s="156" t="s">
        <v>397</v>
      </c>
      <c r="D37" s="158">
        <v>5</v>
      </c>
      <c r="E37" s="75"/>
      <c r="F37" s="75"/>
      <c r="G37" s="158">
        <v>5</v>
      </c>
      <c r="H37" s="158">
        <v>5</v>
      </c>
      <c r="I37" s="75"/>
      <c r="J37" s="158">
        <v>35</v>
      </c>
      <c r="K37" s="158">
        <f t="shared" si="2"/>
        <v>50</v>
      </c>
      <c r="L37" s="210"/>
    </row>
    <row r="38" spans="1:12" ht="18.75" customHeight="1" x14ac:dyDescent="0.25">
      <c r="A38" s="204">
        <v>2</v>
      </c>
      <c r="B38" s="204" t="s">
        <v>261</v>
      </c>
      <c r="C38" s="156" t="s">
        <v>398</v>
      </c>
      <c r="D38" s="158">
        <v>5</v>
      </c>
      <c r="E38" s="158">
        <v>5</v>
      </c>
      <c r="F38" s="158">
        <v>5</v>
      </c>
      <c r="G38" s="114"/>
      <c r="H38" s="114"/>
      <c r="I38" s="158">
        <v>35</v>
      </c>
      <c r="J38" s="114"/>
      <c r="K38" s="158">
        <f t="shared" si="2"/>
        <v>50</v>
      </c>
      <c r="L38" s="210"/>
    </row>
    <row r="39" spans="1:12" ht="18.75" customHeight="1" x14ac:dyDescent="0.25">
      <c r="A39" s="205"/>
      <c r="B39" s="205"/>
      <c r="C39" s="163" t="s">
        <v>399</v>
      </c>
      <c r="D39" s="158">
        <v>5</v>
      </c>
      <c r="E39" s="75"/>
      <c r="F39" s="75"/>
      <c r="G39" s="158">
        <v>5</v>
      </c>
      <c r="H39" s="158">
        <v>5</v>
      </c>
      <c r="I39" s="75"/>
      <c r="J39" s="158">
        <v>35</v>
      </c>
      <c r="K39" s="158">
        <f t="shared" si="2"/>
        <v>50</v>
      </c>
      <c r="L39" s="210"/>
    </row>
    <row r="40" spans="1:12" ht="18.75" customHeight="1" x14ac:dyDescent="0.25">
      <c r="A40" s="204">
        <v>2</v>
      </c>
      <c r="B40" s="204" t="s">
        <v>265</v>
      </c>
      <c r="C40" s="159" t="s">
        <v>400</v>
      </c>
      <c r="D40" s="158">
        <v>5</v>
      </c>
      <c r="E40" s="158">
        <v>5</v>
      </c>
      <c r="F40" s="158">
        <v>5</v>
      </c>
      <c r="G40" s="114"/>
      <c r="H40" s="114"/>
      <c r="I40" s="158">
        <v>35</v>
      </c>
      <c r="J40" s="114"/>
      <c r="K40" s="158">
        <f t="shared" si="2"/>
        <v>50</v>
      </c>
      <c r="L40" s="210"/>
    </row>
    <row r="41" spans="1:12" ht="18.75" customHeight="1" x14ac:dyDescent="0.25">
      <c r="A41" s="205"/>
      <c r="B41" s="205"/>
      <c r="C41" s="156" t="s">
        <v>401</v>
      </c>
      <c r="D41" s="158">
        <v>5</v>
      </c>
      <c r="E41" s="75"/>
      <c r="F41" s="75"/>
      <c r="G41" s="158">
        <v>5</v>
      </c>
      <c r="H41" s="158">
        <v>5</v>
      </c>
      <c r="I41" s="75"/>
      <c r="J41" s="158">
        <v>35</v>
      </c>
      <c r="K41" s="158">
        <f t="shared" si="2"/>
        <v>50</v>
      </c>
      <c r="L41" s="210"/>
    </row>
    <row r="42" spans="1:12" ht="18.75" customHeight="1" x14ac:dyDescent="0.25">
      <c r="A42" s="204">
        <v>2</v>
      </c>
      <c r="B42" s="204" t="s">
        <v>270</v>
      </c>
      <c r="C42" s="156" t="s">
        <v>402</v>
      </c>
      <c r="D42" s="158">
        <v>5</v>
      </c>
      <c r="E42" s="158">
        <v>5</v>
      </c>
      <c r="F42" s="158">
        <v>5</v>
      </c>
      <c r="G42" s="114"/>
      <c r="H42" s="114"/>
      <c r="I42" s="158">
        <v>35</v>
      </c>
      <c r="J42" s="114"/>
      <c r="K42" s="158">
        <f t="shared" si="2"/>
        <v>50</v>
      </c>
      <c r="L42" s="210"/>
    </row>
    <row r="43" spans="1:12" ht="18.75" customHeight="1" x14ac:dyDescent="0.25">
      <c r="A43" s="205"/>
      <c r="B43" s="205"/>
      <c r="C43" s="156" t="s">
        <v>403</v>
      </c>
      <c r="D43" s="158">
        <v>5</v>
      </c>
      <c r="E43" s="75"/>
      <c r="F43" s="75"/>
      <c r="G43" s="158">
        <v>5</v>
      </c>
      <c r="H43" s="158">
        <v>5</v>
      </c>
      <c r="I43" s="75"/>
      <c r="J43" s="158">
        <v>35</v>
      </c>
      <c r="K43" s="158">
        <f t="shared" si="2"/>
        <v>50</v>
      </c>
      <c r="L43" s="210"/>
    </row>
    <row r="44" spans="1:12" ht="18.75" customHeight="1" x14ac:dyDescent="0.25">
      <c r="A44" s="204">
        <v>2</v>
      </c>
      <c r="B44" s="204" t="s">
        <v>281</v>
      </c>
      <c r="C44" s="156" t="s">
        <v>404</v>
      </c>
      <c r="D44" s="158">
        <v>5</v>
      </c>
      <c r="E44" s="158">
        <v>5</v>
      </c>
      <c r="F44" s="158">
        <v>5</v>
      </c>
      <c r="G44" s="114"/>
      <c r="H44" s="114"/>
      <c r="I44" s="158">
        <v>35</v>
      </c>
      <c r="J44" s="114"/>
      <c r="K44" s="158">
        <f t="shared" si="2"/>
        <v>50</v>
      </c>
      <c r="L44" s="210"/>
    </row>
    <row r="45" spans="1:12" ht="18.75" customHeight="1" x14ac:dyDescent="0.25">
      <c r="A45" s="205"/>
      <c r="B45" s="205"/>
      <c r="C45" s="159" t="s">
        <v>405</v>
      </c>
      <c r="D45" s="158">
        <v>5</v>
      </c>
      <c r="E45" s="75"/>
      <c r="F45" s="75"/>
      <c r="G45" s="158">
        <v>5</v>
      </c>
      <c r="H45" s="158">
        <v>5</v>
      </c>
      <c r="I45" s="75"/>
      <c r="J45" s="158">
        <v>35</v>
      </c>
      <c r="K45" s="158">
        <f t="shared" si="2"/>
        <v>50</v>
      </c>
      <c r="L45" s="210"/>
    </row>
    <row r="46" spans="1:12" ht="18.75" customHeight="1" x14ac:dyDescent="0.25">
      <c r="A46" s="204">
        <v>2</v>
      </c>
      <c r="B46" s="204" t="s">
        <v>288</v>
      </c>
      <c r="C46" s="156" t="s">
        <v>406</v>
      </c>
      <c r="D46" s="158">
        <v>5</v>
      </c>
      <c r="E46" s="158">
        <v>5</v>
      </c>
      <c r="F46" s="158">
        <v>5</v>
      </c>
      <c r="G46" s="114"/>
      <c r="H46" s="114"/>
      <c r="I46" s="158">
        <v>35</v>
      </c>
      <c r="J46" s="114"/>
      <c r="K46" s="158">
        <f t="shared" si="2"/>
        <v>50</v>
      </c>
      <c r="L46" s="210"/>
    </row>
    <row r="47" spans="1:12" ht="18.75" customHeight="1" x14ac:dyDescent="0.25">
      <c r="A47" s="205"/>
      <c r="B47" s="205"/>
      <c r="C47" s="156" t="s">
        <v>407</v>
      </c>
      <c r="D47" s="158">
        <v>5</v>
      </c>
      <c r="E47" s="75"/>
      <c r="F47" s="75"/>
      <c r="G47" s="158">
        <v>5</v>
      </c>
      <c r="H47" s="158">
        <v>5</v>
      </c>
      <c r="I47" s="75"/>
      <c r="J47" s="158">
        <v>35</v>
      </c>
      <c r="K47" s="158">
        <f t="shared" si="2"/>
        <v>50</v>
      </c>
      <c r="L47" s="210"/>
    </row>
    <row r="48" spans="1:12" ht="18.75" customHeight="1" x14ac:dyDescent="0.25">
      <c r="A48" s="204">
        <v>2</v>
      </c>
      <c r="B48" s="204" t="s">
        <v>293</v>
      </c>
      <c r="C48" s="156" t="s">
        <v>408</v>
      </c>
      <c r="D48" s="158">
        <v>5</v>
      </c>
      <c r="E48" s="158">
        <v>5</v>
      </c>
      <c r="F48" s="158">
        <v>5</v>
      </c>
      <c r="G48" s="114"/>
      <c r="H48" s="114"/>
      <c r="I48" s="158">
        <v>35</v>
      </c>
      <c r="J48" s="114"/>
      <c r="K48" s="158">
        <f t="shared" si="2"/>
        <v>50</v>
      </c>
      <c r="L48" s="210"/>
    </row>
    <row r="49" spans="1:12" ht="18.75" customHeight="1" x14ac:dyDescent="0.25">
      <c r="A49" s="205"/>
      <c r="B49" s="205"/>
      <c r="C49" s="156" t="s">
        <v>409</v>
      </c>
      <c r="D49" s="158">
        <v>5</v>
      </c>
      <c r="E49" s="75"/>
      <c r="F49" s="75"/>
      <c r="G49" s="158">
        <v>5</v>
      </c>
      <c r="H49" s="158">
        <v>5</v>
      </c>
      <c r="I49" s="75"/>
      <c r="J49" s="158">
        <v>35</v>
      </c>
      <c r="K49" s="158">
        <f t="shared" si="2"/>
        <v>50</v>
      </c>
      <c r="L49" s="210"/>
    </row>
    <row r="50" spans="1:12" ht="18.75" customHeight="1" x14ac:dyDescent="0.25">
      <c r="A50" s="204">
        <v>2</v>
      </c>
      <c r="B50" s="204" t="s">
        <v>297</v>
      </c>
      <c r="C50" s="156" t="s">
        <v>412</v>
      </c>
      <c r="D50" s="158">
        <v>5</v>
      </c>
      <c r="E50" s="158">
        <v>5</v>
      </c>
      <c r="F50" s="158">
        <v>5</v>
      </c>
      <c r="G50" s="114"/>
      <c r="H50" s="114"/>
      <c r="I50" s="158">
        <v>35</v>
      </c>
      <c r="J50" s="114"/>
      <c r="K50" s="158">
        <f t="shared" si="2"/>
        <v>50</v>
      </c>
      <c r="L50" s="210"/>
    </row>
    <row r="51" spans="1:12" ht="18.75" customHeight="1" x14ac:dyDescent="0.25">
      <c r="A51" s="205"/>
      <c r="B51" s="205"/>
      <c r="C51" s="156" t="s">
        <v>413</v>
      </c>
      <c r="D51" s="158">
        <v>5</v>
      </c>
      <c r="E51" s="75"/>
      <c r="F51" s="75"/>
      <c r="G51" s="158">
        <v>5</v>
      </c>
      <c r="H51" s="158">
        <v>5</v>
      </c>
      <c r="I51" s="75"/>
      <c r="J51" s="158">
        <v>35</v>
      </c>
      <c r="K51" s="158">
        <f t="shared" si="2"/>
        <v>50</v>
      </c>
      <c r="L51" s="210"/>
    </row>
    <row r="52" spans="1:12" ht="18.75" customHeight="1" x14ac:dyDescent="0.25">
      <c r="A52" s="204">
        <v>3</v>
      </c>
      <c r="B52" s="204" t="s">
        <v>174</v>
      </c>
      <c r="C52" s="159" t="s">
        <v>190</v>
      </c>
      <c r="D52" s="158">
        <v>5</v>
      </c>
      <c r="E52" s="158">
        <v>5</v>
      </c>
      <c r="F52" s="158">
        <v>5</v>
      </c>
      <c r="G52" s="114"/>
      <c r="H52" s="114"/>
      <c r="I52" s="158">
        <v>35</v>
      </c>
      <c r="J52" s="114"/>
      <c r="K52" s="158">
        <f t="shared" si="2"/>
        <v>50</v>
      </c>
      <c r="L52" s="210">
        <f>SUM(K52:K53)</f>
        <v>100</v>
      </c>
    </row>
    <row r="53" spans="1:12" ht="18.75" customHeight="1" x14ac:dyDescent="0.25">
      <c r="A53" s="205"/>
      <c r="B53" s="205"/>
      <c r="C53" s="159" t="s">
        <v>191</v>
      </c>
      <c r="D53" s="158">
        <v>5</v>
      </c>
      <c r="E53" s="75"/>
      <c r="F53" s="75"/>
      <c r="G53" s="158">
        <v>5</v>
      </c>
      <c r="H53" s="158">
        <v>5</v>
      </c>
      <c r="I53" s="75"/>
      <c r="J53" s="158">
        <v>35</v>
      </c>
      <c r="K53" s="158">
        <f t="shared" si="2"/>
        <v>50</v>
      </c>
      <c r="L53" s="210"/>
    </row>
    <row r="54" spans="1:12" ht="18.75" customHeight="1" x14ac:dyDescent="0.25">
      <c r="A54" s="204">
        <v>4</v>
      </c>
      <c r="B54" s="204" t="s">
        <v>202</v>
      </c>
      <c r="C54" s="156" t="s">
        <v>192</v>
      </c>
      <c r="D54" s="158">
        <v>5</v>
      </c>
      <c r="E54" s="158">
        <v>5</v>
      </c>
      <c r="F54" s="158">
        <v>5</v>
      </c>
      <c r="G54" s="114"/>
      <c r="H54" s="114"/>
      <c r="I54" s="158">
        <v>35</v>
      </c>
      <c r="J54" s="114"/>
      <c r="K54" s="158">
        <f t="shared" si="2"/>
        <v>50</v>
      </c>
      <c r="L54" s="188">
        <f>SUM(K54:K86)</f>
        <v>1545</v>
      </c>
    </row>
    <row r="55" spans="1:12" ht="18.75" customHeight="1" x14ac:dyDescent="0.25">
      <c r="A55" s="205"/>
      <c r="B55" s="205"/>
      <c r="C55" s="156" t="s">
        <v>193</v>
      </c>
      <c r="D55" s="158">
        <v>5</v>
      </c>
      <c r="E55" s="75"/>
      <c r="F55" s="75"/>
      <c r="G55" s="158">
        <v>5</v>
      </c>
      <c r="H55" s="158">
        <v>5</v>
      </c>
      <c r="I55" s="75"/>
      <c r="J55" s="158">
        <v>35</v>
      </c>
      <c r="K55" s="158">
        <f t="shared" si="2"/>
        <v>50</v>
      </c>
      <c r="L55" s="189"/>
    </row>
    <row r="56" spans="1:12" ht="18.75" customHeight="1" x14ac:dyDescent="0.25">
      <c r="A56" s="204">
        <v>4</v>
      </c>
      <c r="B56" s="204" t="s">
        <v>205</v>
      </c>
      <c r="C56" s="156" t="s">
        <v>219</v>
      </c>
      <c r="D56" s="158">
        <v>5</v>
      </c>
      <c r="E56" s="158">
        <v>5</v>
      </c>
      <c r="F56" s="158">
        <v>5</v>
      </c>
      <c r="G56" s="114"/>
      <c r="H56" s="114"/>
      <c r="I56" s="158">
        <v>35</v>
      </c>
      <c r="J56" s="114"/>
      <c r="K56" s="158">
        <f t="shared" si="2"/>
        <v>50</v>
      </c>
      <c r="L56" s="189"/>
    </row>
    <row r="57" spans="1:12" ht="18.75" customHeight="1" x14ac:dyDescent="0.25">
      <c r="A57" s="205"/>
      <c r="B57" s="205"/>
      <c r="C57" s="156" t="s">
        <v>220</v>
      </c>
      <c r="D57" s="158">
        <v>5</v>
      </c>
      <c r="E57" s="75"/>
      <c r="F57" s="75"/>
      <c r="G57" s="158">
        <v>5</v>
      </c>
      <c r="H57" s="158">
        <v>5</v>
      </c>
      <c r="I57" s="75"/>
      <c r="J57" s="158">
        <v>35</v>
      </c>
      <c r="K57" s="158">
        <f t="shared" si="2"/>
        <v>50</v>
      </c>
      <c r="L57" s="189"/>
    </row>
    <row r="58" spans="1:12" ht="18.75" customHeight="1" x14ac:dyDescent="0.25">
      <c r="A58" s="212">
        <v>4</v>
      </c>
      <c r="B58" s="212" t="s">
        <v>243</v>
      </c>
      <c r="C58" s="156" t="s">
        <v>221</v>
      </c>
      <c r="D58" s="158">
        <v>5</v>
      </c>
      <c r="E58" s="158">
        <v>5</v>
      </c>
      <c r="F58" s="158">
        <v>5</v>
      </c>
      <c r="G58" s="114"/>
      <c r="H58" s="114"/>
      <c r="I58" s="158">
        <v>35</v>
      </c>
      <c r="J58" s="114"/>
      <c r="K58" s="158">
        <f t="shared" si="2"/>
        <v>50</v>
      </c>
      <c r="L58" s="189"/>
    </row>
    <row r="59" spans="1:12" ht="18.75" customHeight="1" x14ac:dyDescent="0.25">
      <c r="A59" s="212"/>
      <c r="B59" s="212"/>
      <c r="C59" s="156" t="s">
        <v>222</v>
      </c>
      <c r="D59" s="158">
        <v>5</v>
      </c>
      <c r="E59" s="75"/>
      <c r="F59" s="75"/>
      <c r="G59" s="158">
        <v>5</v>
      </c>
      <c r="H59" s="158">
        <v>5</v>
      </c>
      <c r="I59" s="75"/>
      <c r="J59" s="158">
        <v>35</v>
      </c>
      <c r="K59" s="158">
        <f t="shared" si="2"/>
        <v>50</v>
      </c>
      <c r="L59" s="189"/>
    </row>
    <row r="60" spans="1:12" ht="18.75" customHeight="1" x14ac:dyDescent="0.25">
      <c r="A60" s="212">
        <v>4</v>
      </c>
      <c r="B60" s="212" t="s">
        <v>249</v>
      </c>
      <c r="C60" s="159" t="s">
        <v>223</v>
      </c>
      <c r="D60" s="158">
        <v>5</v>
      </c>
      <c r="E60" s="158">
        <v>5</v>
      </c>
      <c r="F60" s="158">
        <v>5</v>
      </c>
      <c r="G60" s="114"/>
      <c r="H60" s="114"/>
      <c r="I60" s="158">
        <v>35</v>
      </c>
      <c r="J60" s="114"/>
      <c r="K60" s="158">
        <f>SUM(D60:J60)</f>
        <v>50</v>
      </c>
      <c r="L60" s="189"/>
    </row>
    <row r="61" spans="1:12" ht="18.75" customHeight="1" x14ac:dyDescent="0.25">
      <c r="A61" s="212"/>
      <c r="B61" s="212"/>
      <c r="C61" s="159" t="s">
        <v>224</v>
      </c>
      <c r="D61" s="158">
        <v>5</v>
      </c>
      <c r="E61" s="75"/>
      <c r="F61" s="75"/>
      <c r="G61" s="158">
        <v>5</v>
      </c>
      <c r="H61" s="158">
        <v>5</v>
      </c>
      <c r="I61" s="75"/>
      <c r="J61" s="158">
        <v>35</v>
      </c>
      <c r="K61" s="158">
        <f>SUM(D61:J61)</f>
        <v>50</v>
      </c>
      <c r="L61" s="189"/>
    </row>
    <row r="62" spans="1:12" ht="18.75" customHeight="1" x14ac:dyDescent="0.25">
      <c r="A62" s="204">
        <v>4</v>
      </c>
      <c r="B62" s="204" t="s">
        <v>252</v>
      </c>
      <c r="C62" s="156" t="s">
        <v>225</v>
      </c>
      <c r="D62" s="158">
        <v>5</v>
      </c>
      <c r="E62" s="158">
        <v>5</v>
      </c>
      <c r="F62" s="158">
        <v>5</v>
      </c>
      <c r="G62" s="114"/>
      <c r="H62" s="114"/>
      <c r="I62" s="158">
        <v>35</v>
      </c>
      <c r="J62" s="114"/>
      <c r="K62" s="158">
        <f t="shared" si="2"/>
        <v>50</v>
      </c>
      <c r="L62" s="189"/>
    </row>
    <row r="63" spans="1:12" ht="18.75" customHeight="1" x14ac:dyDescent="0.25">
      <c r="A63" s="205"/>
      <c r="B63" s="205"/>
      <c r="C63" s="156" t="s">
        <v>414</v>
      </c>
      <c r="D63" s="158">
        <v>5</v>
      </c>
      <c r="E63" s="75"/>
      <c r="F63" s="75"/>
      <c r="G63" s="158">
        <v>5</v>
      </c>
      <c r="H63" s="158">
        <v>5</v>
      </c>
      <c r="I63" s="75"/>
      <c r="J63" s="158">
        <v>35</v>
      </c>
      <c r="K63" s="158">
        <f t="shared" si="2"/>
        <v>50</v>
      </c>
      <c r="L63" s="189"/>
    </row>
    <row r="64" spans="1:12" ht="18.75" customHeight="1" x14ac:dyDescent="0.25">
      <c r="A64" s="204">
        <v>4</v>
      </c>
      <c r="B64" s="204" t="s">
        <v>258</v>
      </c>
      <c r="C64" s="156" t="s">
        <v>415</v>
      </c>
      <c r="D64" s="158">
        <v>5</v>
      </c>
      <c r="E64" s="158">
        <v>5</v>
      </c>
      <c r="F64" s="158">
        <v>5</v>
      </c>
      <c r="G64" s="114"/>
      <c r="H64" s="114"/>
      <c r="I64" s="158">
        <v>35</v>
      </c>
      <c r="J64" s="114"/>
      <c r="K64" s="158">
        <f t="shared" si="2"/>
        <v>50</v>
      </c>
      <c r="L64" s="189"/>
    </row>
    <row r="65" spans="1:12" ht="18.75" customHeight="1" x14ac:dyDescent="0.25">
      <c r="A65" s="205"/>
      <c r="B65" s="205"/>
      <c r="C65" s="156" t="s">
        <v>416</v>
      </c>
      <c r="D65" s="158">
        <v>5</v>
      </c>
      <c r="E65" s="75"/>
      <c r="F65" s="75"/>
      <c r="G65" s="158">
        <v>5</v>
      </c>
      <c r="H65" s="158">
        <v>5</v>
      </c>
      <c r="I65" s="75"/>
      <c r="J65" s="158">
        <v>35</v>
      </c>
      <c r="K65" s="158">
        <f t="shared" si="2"/>
        <v>50</v>
      </c>
      <c r="L65" s="189"/>
    </row>
    <row r="66" spans="1:12" ht="18.75" customHeight="1" x14ac:dyDescent="0.25">
      <c r="A66" s="204">
        <v>4</v>
      </c>
      <c r="B66" s="204" t="s">
        <v>267</v>
      </c>
      <c r="C66" s="159" t="s">
        <v>417</v>
      </c>
      <c r="D66" s="158">
        <v>5</v>
      </c>
      <c r="E66" s="158">
        <v>5</v>
      </c>
      <c r="F66" s="158">
        <v>5</v>
      </c>
      <c r="G66" s="114"/>
      <c r="H66" s="114"/>
      <c r="I66" s="158">
        <v>35</v>
      </c>
      <c r="J66" s="114"/>
      <c r="K66" s="158">
        <f t="shared" si="2"/>
        <v>50</v>
      </c>
      <c r="L66" s="189"/>
    </row>
    <row r="67" spans="1:12" ht="18.75" customHeight="1" x14ac:dyDescent="0.25">
      <c r="A67" s="205"/>
      <c r="B67" s="205"/>
      <c r="C67" s="156" t="s">
        <v>418</v>
      </c>
      <c r="D67" s="158">
        <v>5</v>
      </c>
      <c r="E67" s="75"/>
      <c r="F67" s="75"/>
      <c r="G67" s="158">
        <v>5</v>
      </c>
      <c r="H67" s="158">
        <v>5</v>
      </c>
      <c r="I67" s="75"/>
      <c r="J67" s="158">
        <v>35</v>
      </c>
      <c r="K67" s="158">
        <f t="shared" si="2"/>
        <v>50</v>
      </c>
      <c r="L67" s="189"/>
    </row>
    <row r="68" spans="1:12" ht="18.75" customHeight="1" x14ac:dyDescent="0.25">
      <c r="A68" s="204">
        <v>4</v>
      </c>
      <c r="B68" s="204" t="s">
        <v>275</v>
      </c>
      <c r="C68" s="156" t="s">
        <v>419</v>
      </c>
      <c r="D68" s="158">
        <v>5</v>
      </c>
      <c r="E68" s="158">
        <v>5</v>
      </c>
      <c r="F68" s="158">
        <v>5</v>
      </c>
      <c r="G68" s="114"/>
      <c r="H68" s="114"/>
      <c r="I68" s="158">
        <v>35</v>
      </c>
      <c r="J68" s="114"/>
      <c r="K68" s="158">
        <f t="shared" si="2"/>
        <v>50</v>
      </c>
      <c r="L68" s="189"/>
    </row>
    <row r="69" spans="1:12" ht="18.75" customHeight="1" x14ac:dyDescent="0.25">
      <c r="A69" s="205"/>
      <c r="B69" s="205"/>
      <c r="C69" s="156" t="s">
        <v>420</v>
      </c>
      <c r="D69" s="158">
        <v>5</v>
      </c>
      <c r="E69" s="75"/>
      <c r="F69" s="75"/>
      <c r="G69" s="158">
        <v>5</v>
      </c>
      <c r="H69" s="158">
        <v>5</v>
      </c>
      <c r="I69" s="75"/>
      <c r="J69" s="158">
        <v>35</v>
      </c>
      <c r="K69" s="158">
        <f t="shared" si="2"/>
        <v>50</v>
      </c>
      <c r="L69" s="189"/>
    </row>
    <row r="70" spans="1:12" ht="18.75" customHeight="1" x14ac:dyDescent="0.25">
      <c r="A70" s="204">
        <v>4</v>
      </c>
      <c r="B70" s="204" t="s">
        <v>278</v>
      </c>
      <c r="C70" s="156" t="s">
        <v>421</v>
      </c>
      <c r="D70" s="158">
        <v>5</v>
      </c>
      <c r="E70" s="158">
        <v>5</v>
      </c>
      <c r="F70" s="158">
        <v>5</v>
      </c>
      <c r="G70" s="114"/>
      <c r="H70" s="114"/>
      <c r="I70" s="158">
        <v>35</v>
      </c>
      <c r="J70" s="114"/>
      <c r="K70" s="158">
        <f t="shared" si="2"/>
        <v>50</v>
      </c>
      <c r="L70" s="189"/>
    </row>
    <row r="71" spans="1:12" ht="18.75" customHeight="1" x14ac:dyDescent="0.25">
      <c r="A71" s="205"/>
      <c r="B71" s="205"/>
      <c r="C71" s="156" t="s">
        <v>422</v>
      </c>
      <c r="D71" s="158">
        <v>5</v>
      </c>
      <c r="E71" s="75"/>
      <c r="F71" s="75"/>
      <c r="G71" s="158">
        <v>5</v>
      </c>
      <c r="H71" s="158">
        <v>5</v>
      </c>
      <c r="I71" s="75"/>
      <c r="J71" s="158">
        <v>35</v>
      </c>
      <c r="K71" s="158">
        <f t="shared" si="2"/>
        <v>50</v>
      </c>
      <c r="L71" s="189"/>
    </row>
    <row r="72" spans="1:12" ht="18.75" customHeight="1" x14ac:dyDescent="0.25">
      <c r="A72" s="204">
        <v>4</v>
      </c>
      <c r="B72" s="204" t="s">
        <v>287</v>
      </c>
      <c r="C72" s="156" t="s">
        <v>423</v>
      </c>
      <c r="D72" s="158">
        <v>5</v>
      </c>
      <c r="E72" s="158">
        <v>5</v>
      </c>
      <c r="F72" s="158">
        <v>5</v>
      </c>
      <c r="G72" s="114"/>
      <c r="H72" s="114"/>
      <c r="I72" s="158">
        <v>35</v>
      </c>
      <c r="J72" s="114"/>
      <c r="K72" s="158">
        <f t="shared" si="2"/>
        <v>50</v>
      </c>
      <c r="L72" s="189"/>
    </row>
    <row r="73" spans="1:12" ht="18.75" customHeight="1" x14ac:dyDescent="0.25">
      <c r="A73" s="205"/>
      <c r="B73" s="205"/>
      <c r="C73" s="156" t="s">
        <v>424</v>
      </c>
      <c r="D73" s="158">
        <v>5</v>
      </c>
      <c r="E73" s="75"/>
      <c r="F73" s="75"/>
      <c r="G73" s="158">
        <v>5</v>
      </c>
      <c r="H73" s="158">
        <v>5</v>
      </c>
      <c r="I73" s="75"/>
      <c r="J73" s="158">
        <v>35</v>
      </c>
      <c r="K73" s="158">
        <f t="shared" si="2"/>
        <v>50</v>
      </c>
      <c r="L73" s="189"/>
    </row>
    <row r="74" spans="1:12" ht="18.75" customHeight="1" x14ac:dyDescent="0.25">
      <c r="A74" s="204">
        <v>4</v>
      </c>
      <c r="B74" s="204" t="s">
        <v>303</v>
      </c>
      <c r="C74" s="156" t="s">
        <v>425</v>
      </c>
      <c r="D74" s="158">
        <v>5</v>
      </c>
      <c r="E74" s="158">
        <v>5</v>
      </c>
      <c r="F74" s="158">
        <v>5</v>
      </c>
      <c r="G74" s="114"/>
      <c r="H74" s="114"/>
      <c r="I74" s="158">
        <v>35</v>
      </c>
      <c r="J74" s="114"/>
      <c r="K74" s="158">
        <f t="shared" si="2"/>
        <v>50</v>
      </c>
      <c r="L74" s="189"/>
    </row>
    <row r="75" spans="1:12" ht="18.75" customHeight="1" x14ac:dyDescent="0.25">
      <c r="A75" s="205"/>
      <c r="B75" s="205"/>
      <c r="C75" s="156" t="s">
        <v>426</v>
      </c>
      <c r="D75" s="158">
        <v>5</v>
      </c>
      <c r="E75" s="75"/>
      <c r="F75" s="75"/>
      <c r="G75" s="158">
        <v>5</v>
      </c>
      <c r="H75" s="158">
        <v>5</v>
      </c>
      <c r="I75" s="75"/>
      <c r="J75" s="158">
        <v>35</v>
      </c>
      <c r="K75" s="158">
        <f t="shared" si="2"/>
        <v>50</v>
      </c>
      <c r="L75" s="189"/>
    </row>
    <row r="76" spans="1:12" ht="18.75" customHeight="1" x14ac:dyDescent="0.25">
      <c r="A76" s="204">
        <v>4</v>
      </c>
      <c r="B76" s="204" t="s">
        <v>311</v>
      </c>
      <c r="C76" s="156" t="s">
        <v>427</v>
      </c>
      <c r="D76" s="158">
        <v>5</v>
      </c>
      <c r="E76" s="158">
        <v>5</v>
      </c>
      <c r="F76" s="158">
        <v>5</v>
      </c>
      <c r="G76" s="114"/>
      <c r="H76" s="114"/>
      <c r="I76" s="158">
        <v>35</v>
      </c>
      <c r="J76" s="114"/>
      <c r="K76" s="158">
        <f t="shared" si="2"/>
        <v>50</v>
      </c>
      <c r="L76" s="189"/>
    </row>
    <row r="77" spans="1:12" ht="18.75" customHeight="1" x14ac:dyDescent="0.25">
      <c r="A77" s="205"/>
      <c r="B77" s="205"/>
      <c r="C77" s="156" t="s">
        <v>428</v>
      </c>
      <c r="D77" s="158">
        <v>5</v>
      </c>
      <c r="E77" s="75"/>
      <c r="F77" s="75"/>
      <c r="G77" s="158">
        <v>5</v>
      </c>
      <c r="H77" s="158">
        <v>5</v>
      </c>
      <c r="I77" s="75"/>
      <c r="J77" s="158">
        <v>35</v>
      </c>
      <c r="K77" s="158">
        <f t="shared" si="2"/>
        <v>50</v>
      </c>
      <c r="L77" s="189"/>
    </row>
    <row r="78" spans="1:12" ht="18.75" customHeight="1" x14ac:dyDescent="0.25">
      <c r="A78" s="204">
        <v>4</v>
      </c>
      <c r="B78" s="204" t="s">
        <v>330</v>
      </c>
      <c r="C78" s="156" t="s">
        <v>430</v>
      </c>
      <c r="D78" s="158">
        <v>5</v>
      </c>
      <c r="E78" s="158">
        <v>5</v>
      </c>
      <c r="F78" s="158">
        <v>5</v>
      </c>
      <c r="G78" s="114"/>
      <c r="H78" s="114"/>
      <c r="I78" s="158">
        <v>35</v>
      </c>
      <c r="J78" s="114"/>
      <c r="K78" s="158">
        <f t="shared" si="2"/>
        <v>50</v>
      </c>
      <c r="L78" s="189"/>
    </row>
    <row r="79" spans="1:12" ht="18.75" customHeight="1" x14ac:dyDescent="0.25">
      <c r="A79" s="205"/>
      <c r="B79" s="205"/>
      <c r="C79" s="156" t="s">
        <v>431</v>
      </c>
      <c r="D79" s="158">
        <v>5</v>
      </c>
      <c r="E79" s="75"/>
      <c r="F79" s="75"/>
      <c r="G79" s="158">
        <v>5</v>
      </c>
      <c r="H79" s="158">
        <v>5</v>
      </c>
      <c r="I79" s="75"/>
      <c r="J79" s="158">
        <v>35</v>
      </c>
      <c r="K79" s="158">
        <f t="shared" si="2"/>
        <v>50</v>
      </c>
      <c r="L79" s="189"/>
    </row>
    <row r="80" spans="1:12" ht="18.75" customHeight="1" x14ac:dyDescent="0.25">
      <c r="A80" s="204">
        <v>4</v>
      </c>
      <c r="B80" s="204" t="s">
        <v>889</v>
      </c>
      <c r="C80" s="156" t="s">
        <v>432</v>
      </c>
      <c r="D80" s="158">
        <v>5</v>
      </c>
      <c r="E80" s="158">
        <v>5</v>
      </c>
      <c r="F80" s="158">
        <v>5</v>
      </c>
      <c r="G80" s="114"/>
      <c r="H80" s="114"/>
      <c r="I80" s="158">
        <v>35</v>
      </c>
      <c r="J80" s="114"/>
      <c r="K80" s="158">
        <f t="shared" si="2"/>
        <v>50</v>
      </c>
      <c r="L80" s="189"/>
    </row>
    <row r="81" spans="1:12" ht="18.75" customHeight="1" x14ac:dyDescent="0.25">
      <c r="A81" s="205"/>
      <c r="B81" s="205"/>
      <c r="C81" s="156" t="s">
        <v>433</v>
      </c>
      <c r="D81" s="158">
        <v>5</v>
      </c>
      <c r="E81" s="75"/>
      <c r="F81" s="75"/>
      <c r="G81" s="158">
        <v>5</v>
      </c>
      <c r="H81" s="158">
        <v>5</v>
      </c>
      <c r="I81" s="75"/>
      <c r="J81" s="158">
        <v>35</v>
      </c>
      <c r="K81" s="158">
        <f t="shared" si="2"/>
        <v>50</v>
      </c>
      <c r="L81" s="189"/>
    </row>
    <row r="82" spans="1:12" ht="18.75" customHeight="1" x14ac:dyDescent="0.25">
      <c r="A82" s="212">
        <v>4</v>
      </c>
      <c r="B82" s="157" t="s">
        <v>411</v>
      </c>
      <c r="C82" s="159" t="s">
        <v>434</v>
      </c>
      <c r="D82" s="158">
        <v>5</v>
      </c>
      <c r="E82" s="75"/>
      <c r="F82" s="75"/>
      <c r="G82" s="75"/>
      <c r="H82" s="75"/>
      <c r="I82" s="75"/>
      <c r="J82" s="155">
        <v>15</v>
      </c>
      <c r="K82" s="158">
        <f t="shared" si="2"/>
        <v>20</v>
      </c>
      <c r="L82" s="189"/>
    </row>
    <row r="83" spans="1:12" ht="18.75" customHeight="1" x14ac:dyDescent="0.25">
      <c r="A83" s="212"/>
      <c r="B83" s="157"/>
      <c r="C83" s="159" t="s">
        <v>435</v>
      </c>
      <c r="D83" s="155">
        <v>5</v>
      </c>
      <c r="E83" s="75"/>
      <c r="F83" s="75"/>
      <c r="G83" s="75"/>
      <c r="H83" s="75"/>
      <c r="I83" s="75"/>
      <c r="J83" s="155">
        <v>15</v>
      </c>
      <c r="K83" s="158">
        <f t="shared" si="2"/>
        <v>20</v>
      </c>
      <c r="L83" s="189"/>
    </row>
    <row r="84" spans="1:12" ht="18.75" customHeight="1" x14ac:dyDescent="0.25">
      <c r="A84" s="156">
        <v>4</v>
      </c>
      <c r="B84" s="159" t="s">
        <v>346</v>
      </c>
      <c r="C84" s="156" t="s">
        <v>436</v>
      </c>
      <c r="D84" s="158">
        <v>5</v>
      </c>
      <c r="E84" s="75"/>
      <c r="F84" s="75"/>
      <c r="G84" s="75"/>
      <c r="H84" s="75"/>
      <c r="I84" s="75"/>
      <c r="J84" s="75"/>
      <c r="K84" s="158">
        <f>SUM(D84:J84)</f>
        <v>5</v>
      </c>
      <c r="L84" s="189"/>
    </row>
    <row r="85" spans="1:12" ht="18.75" customHeight="1" x14ac:dyDescent="0.25">
      <c r="A85" s="204">
        <v>4</v>
      </c>
      <c r="B85" s="188" t="s">
        <v>352</v>
      </c>
      <c r="C85" s="167" t="s">
        <v>1112</v>
      </c>
      <c r="D85" s="168"/>
      <c r="E85" s="75"/>
      <c r="F85" s="75"/>
      <c r="G85" s="75"/>
      <c r="H85" s="75"/>
      <c r="I85" s="75"/>
      <c r="J85" s="75"/>
      <c r="K85" s="168">
        <v>50</v>
      </c>
      <c r="L85" s="189"/>
    </row>
    <row r="86" spans="1:12" ht="18.75" customHeight="1" x14ac:dyDescent="0.25">
      <c r="A86" s="206"/>
      <c r="B86" s="190"/>
      <c r="C86" s="167" t="s">
        <v>1113</v>
      </c>
      <c r="D86" s="168"/>
      <c r="E86" s="75"/>
      <c r="F86" s="75"/>
      <c r="G86" s="75"/>
      <c r="H86" s="75"/>
      <c r="I86" s="75"/>
      <c r="J86" s="75"/>
      <c r="K86" s="168">
        <v>50</v>
      </c>
      <c r="L86" s="190"/>
    </row>
    <row r="87" spans="1:12" ht="18.75" customHeight="1" x14ac:dyDescent="0.25">
      <c r="A87" s="212">
        <v>5</v>
      </c>
      <c r="B87" s="212" t="s">
        <v>157</v>
      </c>
      <c r="C87" s="159" t="s">
        <v>226</v>
      </c>
      <c r="D87" s="158">
        <v>5</v>
      </c>
      <c r="E87" s="158">
        <v>5</v>
      </c>
      <c r="F87" s="158">
        <v>5</v>
      </c>
      <c r="G87" s="114"/>
      <c r="H87" s="114"/>
      <c r="I87" s="158">
        <v>35</v>
      </c>
      <c r="J87" s="114"/>
      <c r="K87" s="158">
        <f t="shared" ref="K87" si="3">SUM(D87:J87)</f>
        <v>50</v>
      </c>
      <c r="L87" s="210">
        <f>SUM(K87:K101)</f>
        <v>750</v>
      </c>
    </row>
    <row r="88" spans="1:12" ht="18.75" customHeight="1" x14ac:dyDescent="0.25">
      <c r="A88" s="212"/>
      <c r="B88" s="212"/>
      <c r="C88" s="158" t="s">
        <v>227</v>
      </c>
      <c r="D88" s="158">
        <v>5</v>
      </c>
      <c r="E88" s="75"/>
      <c r="F88" s="75"/>
      <c r="G88" s="158">
        <v>5</v>
      </c>
      <c r="H88" s="158">
        <v>5</v>
      </c>
      <c r="I88" s="75"/>
      <c r="J88" s="158">
        <v>35</v>
      </c>
      <c r="K88" s="158">
        <f>SUM(D88:J88)</f>
        <v>50</v>
      </c>
      <c r="L88" s="210"/>
    </row>
    <row r="89" spans="1:12" ht="18.75" customHeight="1" x14ac:dyDescent="0.25">
      <c r="A89" s="204">
        <v>5</v>
      </c>
      <c r="B89" s="204" t="s">
        <v>199</v>
      </c>
      <c r="C89" s="156" t="s">
        <v>228</v>
      </c>
      <c r="D89" s="158">
        <v>5</v>
      </c>
      <c r="E89" s="158">
        <v>5</v>
      </c>
      <c r="F89" s="158">
        <v>5</v>
      </c>
      <c r="G89" s="114"/>
      <c r="H89" s="114"/>
      <c r="I89" s="158">
        <v>35</v>
      </c>
      <c r="J89" s="114"/>
      <c r="K89" s="158">
        <f t="shared" si="2"/>
        <v>50</v>
      </c>
      <c r="L89" s="210"/>
    </row>
    <row r="90" spans="1:12" ht="18.75" customHeight="1" x14ac:dyDescent="0.25">
      <c r="A90" s="205"/>
      <c r="B90" s="205"/>
      <c r="C90" s="156" t="s">
        <v>229</v>
      </c>
      <c r="D90" s="158">
        <v>5</v>
      </c>
      <c r="E90" s="75"/>
      <c r="F90" s="75"/>
      <c r="G90" s="158">
        <v>5</v>
      </c>
      <c r="H90" s="158">
        <v>5</v>
      </c>
      <c r="I90" s="75"/>
      <c r="J90" s="158">
        <v>35</v>
      </c>
      <c r="K90" s="158">
        <f t="shared" si="2"/>
        <v>50</v>
      </c>
      <c r="L90" s="210"/>
    </row>
    <row r="91" spans="1:12" ht="18.75" customHeight="1" x14ac:dyDescent="0.25">
      <c r="A91" s="204">
        <v>5</v>
      </c>
      <c r="B91" s="204" t="s">
        <v>208</v>
      </c>
      <c r="C91" s="156" t="s">
        <v>230</v>
      </c>
      <c r="D91" s="158">
        <v>5</v>
      </c>
      <c r="E91" s="158">
        <v>5</v>
      </c>
      <c r="F91" s="158">
        <v>5</v>
      </c>
      <c r="G91" s="114"/>
      <c r="H91" s="114"/>
      <c r="I91" s="158">
        <v>35</v>
      </c>
      <c r="J91" s="114"/>
      <c r="K91" s="158">
        <f t="shared" si="2"/>
        <v>50</v>
      </c>
      <c r="L91" s="210"/>
    </row>
    <row r="92" spans="1:12" ht="18.75" customHeight="1" x14ac:dyDescent="0.25">
      <c r="A92" s="205"/>
      <c r="B92" s="205"/>
      <c r="C92" s="156" t="s">
        <v>231</v>
      </c>
      <c r="D92" s="158">
        <v>5</v>
      </c>
      <c r="E92" s="75"/>
      <c r="F92" s="75"/>
      <c r="G92" s="158">
        <v>5</v>
      </c>
      <c r="H92" s="158">
        <v>5</v>
      </c>
      <c r="I92" s="75"/>
      <c r="J92" s="158">
        <v>35</v>
      </c>
      <c r="K92" s="158">
        <f t="shared" si="2"/>
        <v>50</v>
      </c>
      <c r="L92" s="210"/>
    </row>
    <row r="93" spans="1:12" ht="18.75" customHeight="1" x14ac:dyDescent="0.25">
      <c r="A93" s="204">
        <v>5</v>
      </c>
      <c r="B93" s="204" t="s">
        <v>273</v>
      </c>
      <c r="C93" s="156" t="s">
        <v>232</v>
      </c>
      <c r="D93" s="158">
        <v>5</v>
      </c>
      <c r="E93" s="158">
        <v>5</v>
      </c>
      <c r="F93" s="158">
        <v>5</v>
      </c>
      <c r="G93" s="114"/>
      <c r="H93" s="114"/>
      <c r="I93" s="158">
        <v>35</v>
      </c>
      <c r="J93" s="114"/>
      <c r="K93" s="158">
        <f t="shared" si="2"/>
        <v>50</v>
      </c>
      <c r="L93" s="210"/>
    </row>
    <row r="94" spans="1:12" ht="18.75" customHeight="1" x14ac:dyDescent="0.25">
      <c r="A94" s="205"/>
      <c r="B94" s="205"/>
      <c r="C94" s="156" t="s">
        <v>233</v>
      </c>
      <c r="D94" s="158">
        <v>5</v>
      </c>
      <c r="E94" s="75"/>
      <c r="F94" s="75"/>
      <c r="G94" s="158">
        <v>5</v>
      </c>
      <c r="H94" s="158">
        <v>5</v>
      </c>
      <c r="I94" s="75"/>
      <c r="J94" s="158">
        <v>35</v>
      </c>
      <c r="K94" s="158">
        <f t="shared" si="2"/>
        <v>50</v>
      </c>
      <c r="L94" s="210"/>
    </row>
    <row r="95" spans="1:12" ht="18.75" customHeight="1" x14ac:dyDescent="0.25">
      <c r="A95" s="204">
        <v>5</v>
      </c>
      <c r="B95" s="204" t="s">
        <v>284</v>
      </c>
      <c r="C95" s="156" t="s">
        <v>234</v>
      </c>
      <c r="D95" s="158">
        <v>5</v>
      </c>
      <c r="E95" s="158">
        <v>5</v>
      </c>
      <c r="F95" s="158">
        <v>5</v>
      </c>
      <c r="G95" s="114"/>
      <c r="H95" s="114"/>
      <c r="I95" s="158">
        <v>35</v>
      </c>
      <c r="J95" s="114"/>
      <c r="K95" s="158">
        <f t="shared" si="2"/>
        <v>50</v>
      </c>
      <c r="L95" s="210"/>
    </row>
    <row r="96" spans="1:12" ht="18.75" customHeight="1" x14ac:dyDescent="0.25">
      <c r="A96" s="205"/>
      <c r="B96" s="205"/>
      <c r="C96" s="156" t="s">
        <v>437</v>
      </c>
      <c r="D96" s="158">
        <v>5</v>
      </c>
      <c r="E96" s="75"/>
      <c r="F96" s="75"/>
      <c r="G96" s="158">
        <v>5</v>
      </c>
      <c r="H96" s="158">
        <v>5</v>
      </c>
      <c r="I96" s="75"/>
      <c r="J96" s="158">
        <v>35</v>
      </c>
      <c r="K96" s="158">
        <f t="shared" si="2"/>
        <v>50</v>
      </c>
      <c r="L96" s="210"/>
    </row>
    <row r="97" spans="1:12" ht="18.75" customHeight="1" x14ac:dyDescent="0.25">
      <c r="A97" s="204">
        <v>5</v>
      </c>
      <c r="B97" s="204" t="s">
        <v>296</v>
      </c>
      <c r="C97" s="159" t="s">
        <v>438</v>
      </c>
      <c r="D97" s="158">
        <v>5</v>
      </c>
      <c r="E97" s="158">
        <v>5</v>
      </c>
      <c r="F97" s="158">
        <v>5</v>
      </c>
      <c r="G97" s="114"/>
      <c r="H97" s="114"/>
      <c r="I97" s="158">
        <v>35</v>
      </c>
      <c r="J97" s="114"/>
      <c r="K97" s="158">
        <f t="shared" ref="K97:K130" si="4">SUM(D97:J97)</f>
        <v>50</v>
      </c>
      <c r="L97" s="210"/>
    </row>
    <row r="98" spans="1:12" ht="18.75" customHeight="1" x14ac:dyDescent="0.25">
      <c r="A98" s="205"/>
      <c r="B98" s="205"/>
      <c r="C98" s="156" t="s">
        <v>439</v>
      </c>
      <c r="D98" s="158">
        <v>5</v>
      </c>
      <c r="E98" s="75"/>
      <c r="F98" s="75"/>
      <c r="G98" s="158">
        <v>5</v>
      </c>
      <c r="H98" s="158">
        <v>5</v>
      </c>
      <c r="I98" s="75"/>
      <c r="J98" s="158">
        <v>35</v>
      </c>
      <c r="K98" s="158">
        <f t="shared" si="4"/>
        <v>50</v>
      </c>
      <c r="L98" s="210"/>
    </row>
    <row r="99" spans="1:12" ht="18.75" customHeight="1" x14ac:dyDescent="0.25">
      <c r="A99" s="204">
        <v>5</v>
      </c>
      <c r="B99" s="204" t="s">
        <v>302</v>
      </c>
      <c r="C99" s="156" t="s">
        <v>440</v>
      </c>
      <c r="D99" s="158">
        <v>5</v>
      </c>
      <c r="E99" s="158">
        <v>5</v>
      </c>
      <c r="F99" s="158">
        <v>5</v>
      </c>
      <c r="G99" s="114"/>
      <c r="H99" s="114"/>
      <c r="I99" s="158">
        <v>35</v>
      </c>
      <c r="J99" s="114"/>
      <c r="K99" s="158">
        <f t="shared" si="4"/>
        <v>50</v>
      </c>
      <c r="L99" s="210"/>
    </row>
    <row r="100" spans="1:12" ht="18.75" customHeight="1" x14ac:dyDescent="0.25">
      <c r="A100" s="205"/>
      <c r="B100" s="205"/>
      <c r="C100" s="156" t="s">
        <v>441</v>
      </c>
      <c r="D100" s="158">
        <v>5</v>
      </c>
      <c r="E100" s="75"/>
      <c r="F100" s="75"/>
      <c r="G100" s="158">
        <v>5</v>
      </c>
      <c r="H100" s="158">
        <v>5</v>
      </c>
      <c r="I100" s="75"/>
      <c r="J100" s="158">
        <v>35</v>
      </c>
      <c r="K100" s="158">
        <f t="shared" si="4"/>
        <v>50</v>
      </c>
      <c r="L100" s="210"/>
    </row>
    <row r="101" spans="1:12" ht="18.75" customHeight="1" x14ac:dyDescent="0.25">
      <c r="A101" s="156">
        <v>5</v>
      </c>
      <c r="B101" s="156" t="s">
        <v>306</v>
      </c>
      <c r="C101" s="156" t="s">
        <v>442</v>
      </c>
      <c r="D101" s="158">
        <v>5</v>
      </c>
      <c r="E101" s="158">
        <v>5</v>
      </c>
      <c r="F101" s="158">
        <v>5</v>
      </c>
      <c r="G101" s="114"/>
      <c r="H101" s="114"/>
      <c r="I101" s="158">
        <v>35</v>
      </c>
      <c r="J101" s="114"/>
      <c r="K101" s="158">
        <f t="shared" si="4"/>
        <v>50</v>
      </c>
      <c r="L101" s="210"/>
    </row>
    <row r="102" spans="1:12" ht="18.75" customHeight="1" x14ac:dyDescent="0.25">
      <c r="A102" s="156">
        <v>6</v>
      </c>
      <c r="B102" s="156" t="s">
        <v>306</v>
      </c>
      <c r="C102" s="156" t="s">
        <v>235</v>
      </c>
      <c r="D102" s="158">
        <v>5</v>
      </c>
      <c r="E102" s="75"/>
      <c r="F102" s="75"/>
      <c r="G102" s="158">
        <v>5</v>
      </c>
      <c r="H102" s="158">
        <v>5</v>
      </c>
      <c r="I102" s="75"/>
      <c r="J102" s="158">
        <v>35</v>
      </c>
      <c r="K102" s="158">
        <f t="shared" si="4"/>
        <v>50</v>
      </c>
      <c r="L102" s="210">
        <f>SUM(K102:K107)</f>
        <v>270</v>
      </c>
    </row>
    <row r="103" spans="1:12" ht="18.75" customHeight="1" x14ac:dyDescent="0.25">
      <c r="A103" s="204">
        <v>6</v>
      </c>
      <c r="B103" s="204" t="s">
        <v>333</v>
      </c>
      <c r="C103" s="156" t="s">
        <v>443</v>
      </c>
      <c r="D103" s="158">
        <v>5</v>
      </c>
      <c r="E103" s="158">
        <v>5</v>
      </c>
      <c r="F103" s="158">
        <v>5</v>
      </c>
      <c r="G103" s="114"/>
      <c r="H103" s="114"/>
      <c r="I103" s="158">
        <v>35</v>
      </c>
      <c r="J103" s="114"/>
      <c r="K103" s="158">
        <f t="shared" ref="K103:K124" si="5">SUM(D103:J103)</f>
        <v>50</v>
      </c>
      <c r="L103" s="210"/>
    </row>
    <row r="104" spans="1:12" ht="18.75" customHeight="1" x14ac:dyDescent="0.25">
      <c r="A104" s="205"/>
      <c r="B104" s="205"/>
      <c r="C104" s="156" t="s">
        <v>831</v>
      </c>
      <c r="D104" s="158">
        <v>5</v>
      </c>
      <c r="E104" s="75"/>
      <c r="F104" s="75"/>
      <c r="G104" s="158">
        <v>5</v>
      </c>
      <c r="H104" s="158">
        <v>5</v>
      </c>
      <c r="I104" s="75"/>
      <c r="J104" s="158">
        <v>35</v>
      </c>
      <c r="K104" s="158">
        <f t="shared" si="5"/>
        <v>50</v>
      </c>
      <c r="L104" s="210"/>
    </row>
    <row r="105" spans="1:12" ht="18.75" customHeight="1" x14ac:dyDescent="0.25">
      <c r="A105" s="204">
        <v>6</v>
      </c>
      <c r="B105" s="204" t="s">
        <v>337</v>
      </c>
      <c r="C105" s="156" t="s">
        <v>236</v>
      </c>
      <c r="D105" s="158">
        <v>5</v>
      </c>
      <c r="E105" s="158">
        <v>5</v>
      </c>
      <c r="F105" s="158">
        <v>5</v>
      </c>
      <c r="G105" s="114"/>
      <c r="H105" s="114"/>
      <c r="I105" s="158">
        <v>35</v>
      </c>
      <c r="J105" s="114"/>
      <c r="K105" s="158">
        <f t="shared" si="5"/>
        <v>50</v>
      </c>
      <c r="L105" s="210"/>
    </row>
    <row r="106" spans="1:12" ht="18.75" customHeight="1" x14ac:dyDescent="0.25">
      <c r="A106" s="205"/>
      <c r="B106" s="205"/>
      <c r="C106" s="156" t="s">
        <v>237</v>
      </c>
      <c r="D106" s="158">
        <v>5</v>
      </c>
      <c r="E106" s="75"/>
      <c r="F106" s="75"/>
      <c r="G106" s="158">
        <v>5</v>
      </c>
      <c r="H106" s="158">
        <v>5</v>
      </c>
      <c r="I106" s="75"/>
      <c r="J106" s="158">
        <v>35</v>
      </c>
      <c r="K106" s="158">
        <f t="shared" si="5"/>
        <v>50</v>
      </c>
      <c r="L106" s="210"/>
    </row>
    <row r="107" spans="1:12" ht="18.75" customHeight="1" x14ac:dyDescent="0.25">
      <c r="A107" s="159">
        <v>6</v>
      </c>
      <c r="B107" s="159" t="s">
        <v>411</v>
      </c>
      <c r="C107" s="159" t="s">
        <v>238</v>
      </c>
      <c r="D107" s="155"/>
      <c r="E107" s="75"/>
      <c r="F107" s="75"/>
      <c r="G107" s="75"/>
      <c r="H107" s="75"/>
      <c r="I107" s="75"/>
      <c r="J107" s="155">
        <v>20</v>
      </c>
      <c r="K107" s="158">
        <f t="shared" si="5"/>
        <v>20</v>
      </c>
      <c r="L107" s="210"/>
    </row>
    <row r="108" spans="1:12" ht="18.75" customHeight="1" x14ac:dyDescent="0.25">
      <c r="A108" s="204">
        <v>7</v>
      </c>
      <c r="B108" s="159" t="s">
        <v>346</v>
      </c>
      <c r="C108" s="156" t="s">
        <v>239</v>
      </c>
      <c r="D108" s="155">
        <v>5</v>
      </c>
      <c r="E108" s="158">
        <v>5</v>
      </c>
      <c r="F108" s="75"/>
      <c r="G108" s="75"/>
      <c r="H108" s="75"/>
      <c r="I108" s="158">
        <v>35</v>
      </c>
      <c r="J108" s="75"/>
      <c r="K108" s="158">
        <f t="shared" si="5"/>
        <v>45</v>
      </c>
      <c r="L108" s="210">
        <f>SUM(K108:K109)</f>
        <v>50</v>
      </c>
    </row>
    <row r="109" spans="1:12" ht="18.75" customHeight="1" x14ac:dyDescent="0.25">
      <c r="A109" s="205"/>
      <c r="B109" s="159"/>
      <c r="C109" s="156" t="s">
        <v>240</v>
      </c>
      <c r="D109" s="155"/>
      <c r="E109" s="158"/>
      <c r="F109" s="158">
        <v>5</v>
      </c>
      <c r="G109" s="75"/>
      <c r="H109" s="75"/>
      <c r="I109" s="75"/>
      <c r="J109" s="75"/>
      <c r="K109" s="158">
        <f t="shared" si="5"/>
        <v>5</v>
      </c>
      <c r="L109" s="210"/>
    </row>
    <row r="110" spans="1:12" ht="18.75" customHeight="1" x14ac:dyDescent="0.25">
      <c r="A110" s="156">
        <v>8</v>
      </c>
      <c r="B110" s="159" t="s">
        <v>346</v>
      </c>
      <c r="C110" s="156" t="s">
        <v>241</v>
      </c>
      <c r="D110" s="155"/>
      <c r="E110" s="75"/>
      <c r="F110" s="75"/>
      <c r="G110" s="158">
        <v>5</v>
      </c>
      <c r="H110" s="158">
        <v>5</v>
      </c>
      <c r="I110" s="75"/>
      <c r="J110" s="158">
        <v>35</v>
      </c>
      <c r="K110" s="158">
        <f t="shared" si="5"/>
        <v>45</v>
      </c>
      <c r="L110" s="210">
        <f>SUM(K111:K119)</f>
        <v>420</v>
      </c>
    </row>
    <row r="111" spans="1:12" ht="18.75" customHeight="1" x14ac:dyDescent="0.25">
      <c r="A111" s="204">
        <v>9</v>
      </c>
      <c r="B111" s="204" t="s">
        <v>326</v>
      </c>
      <c r="C111" s="160" t="s">
        <v>242</v>
      </c>
      <c r="D111" s="158">
        <v>5</v>
      </c>
      <c r="E111" s="158">
        <v>5</v>
      </c>
      <c r="F111" s="158">
        <v>5</v>
      </c>
      <c r="G111" s="114"/>
      <c r="H111" s="114"/>
      <c r="I111" s="158">
        <v>35</v>
      </c>
      <c r="J111" s="114"/>
      <c r="K111" s="158">
        <f t="shared" si="5"/>
        <v>50</v>
      </c>
      <c r="L111" s="210"/>
    </row>
    <row r="112" spans="1:12" ht="18.75" customHeight="1" x14ac:dyDescent="0.25">
      <c r="A112" s="205"/>
      <c r="B112" s="205"/>
      <c r="C112" s="164" t="s">
        <v>312</v>
      </c>
      <c r="D112" s="158">
        <v>5</v>
      </c>
      <c r="E112" s="75"/>
      <c r="F112" s="75"/>
      <c r="G112" s="158">
        <v>5</v>
      </c>
      <c r="H112" s="158">
        <v>5</v>
      </c>
      <c r="I112" s="75"/>
      <c r="J112" s="158">
        <v>35</v>
      </c>
      <c r="K112" s="158">
        <f t="shared" si="5"/>
        <v>50</v>
      </c>
      <c r="L112" s="210"/>
    </row>
    <row r="113" spans="1:12" ht="18.75" customHeight="1" x14ac:dyDescent="0.25">
      <c r="A113" s="159">
        <v>9</v>
      </c>
      <c r="B113" s="159" t="s">
        <v>411</v>
      </c>
      <c r="C113" s="162" t="s">
        <v>313</v>
      </c>
      <c r="D113" s="155"/>
      <c r="E113" s="75"/>
      <c r="F113" s="75"/>
      <c r="G113" s="75"/>
      <c r="H113" s="75"/>
      <c r="I113" s="75"/>
      <c r="J113" s="155">
        <v>20</v>
      </c>
      <c r="K113" s="158">
        <f t="shared" si="5"/>
        <v>20</v>
      </c>
      <c r="L113" s="210"/>
    </row>
    <row r="114" spans="1:12" ht="18.75" customHeight="1" x14ac:dyDescent="0.25">
      <c r="A114" s="204">
        <v>9</v>
      </c>
      <c r="B114" s="204" t="s">
        <v>445</v>
      </c>
      <c r="C114" s="160" t="s">
        <v>314</v>
      </c>
      <c r="D114" s="158">
        <v>5</v>
      </c>
      <c r="E114" s="158">
        <v>5</v>
      </c>
      <c r="F114" s="158">
        <v>5</v>
      </c>
      <c r="G114" s="114"/>
      <c r="H114" s="114"/>
      <c r="I114" s="158">
        <v>35</v>
      </c>
      <c r="J114" s="114"/>
      <c r="K114" s="158">
        <f t="shared" si="5"/>
        <v>50</v>
      </c>
      <c r="L114" s="210"/>
    </row>
    <row r="115" spans="1:12" ht="18.75" customHeight="1" x14ac:dyDescent="0.25">
      <c r="A115" s="205"/>
      <c r="B115" s="205"/>
      <c r="C115" s="160" t="s">
        <v>476</v>
      </c>
      <c r="D115" s="158">
        <v>5</v>
      </c>
      <c r="E115" s="75"/>
      <c r="F115" s="75"/>
      <c r="G115" s="158">
        <v>5</v>
      </c>
      <c r="H115" s="158">
        <v>5</v>
      </c>
      <c r="I115" s="75"/>
      <c r="J115" s="158">
        <v>35</v>
      </c>
      <c r="K115" s="158">
        <f t="shared" si="5"/>
        <v>50</v>
      </c>
      <c r="L115" s="210"/>
    </row>
    <row r="116" spans="1:12" ht="18.75" customHeight="1" x14ac:dyDescent="0.25">
      <c r="A116" s="204">
        <v>9</v>
      </c>
      <c r="B116" s="204" t="s">
        <v>449</v>
      </c>
      <c r="C116" s="160" t="s">
        <v>876</v>
      </c>
      <c r="D116" s="158">
        <v>5</v>
      </c>
      <c r="E116" s="158">
        <v>5</v>
      </c>
      <c r="F116" s="158">
        <v>5</v>
      </c>
      <c r="G116" s="114"/>
      <c r="H116" s="114"/>
      <c r="I116" s="158">
        <v>35</v>
      </c>
      <c r="J116" s="114"/>
      <c r="K116" s="158">
        <f t="shared" si="5"/>
        <v>50</v>
      </c>
      <c r="L116" s="210"/>
    </row>
    <row r="117" spans="1:12" ht="18.75" customHeight="1" x14ac:dyDescent="0.25">
      <c r="A117" s="205"/>
      <c r="B117" s="205"/>
      <c r="C117" s="160" t="s">
        <v>315</v>
      </c>
      <c r="D117" s="158">
        <v>5</v>
      </c>
      <c r="E117" s="75"/>
      <c r="F117" s="75"/>
      <c r="G117" s="158">
        <v>5</v>
      </c>
      <c r="H117" s="158">
        <v>5</v>
      </c>
      <c r="I117" s="75"/>
      <c r="J117" s="158">
        <v>35</v>
      </c>
      <c r="K117" s="158">
        <f t="shared" si="5"/>
        <v>50</v>
      </c>
      <c r="L117" s="210"/>
    </row>
    <row r="118" spans="1:12" ht="18.75" customHeight="1" x14ac:dyDescent="0.25">
      <c r="A118" s="204">
        <v>9</v>
      </c>
      <c r="B118" s="204" t="s">
        <v>452</v>
      </c>
      <c r="C118" s="160" t="s">
        <v>316</v>
      </c>
      <c r="D118" s="158">
        <v>5</v>
      </c>
      <c r="E118" s="158">
        <v>5</v>
      </c>
      <c r="F118" s="158">
        <v>5</v>
      </c>
      <c r="G118" s="114"/>
      <c r="H118" s="114"/>
      <c r="I118" s="158">
        <v>35</v>
      </c>
      <c r="J118" s="114"/>
      <c r="K118" s="158">
        <f t="shared" si="5"/>
        <v>50</v>
      </c>
      <c r="L118" s="210"/>
    </row>
    <row r="119" spans="1:12" ht="18.75" customHeight="1" x14ac:dyDescent="0.25">
      <c r="A119" s="205"/>
      <c r="B119" s="205"/>
      <c r="C119" s="160" t="s">
        <v>317</v>
      </c>
      <c r="D119" s="158">
        <v>5</v>
      </c>
      <c r="E119" s="75"/>
      <c r="F119" s="75"/>
      <c r="G119" s="158">
        <v>5</v>
      </c>
      <c r="H119" s="158">
        <v>5</v>
      </c>
      <c r="I119" s="75"/>
      <c r="J119" s="158">
        <v>35</v>
      </c>
      <c r="K119" s="158">
        <f t="shared" si="5"/>
        <v>50</v>
      </c>
      <c r="L119" s="210"/>
    </row>
    <row r="120" spans="1:12" ht="18.75" customHeight="1" x14ac:dyDescent="0.25">
      <c r="A120" s="204">
        <v>10</v>
      </c>
      <c r="B120" s="204" t="s">
        <v>334</v>
      </c>
      <c r="C120" s="160" t="s">
        <v>317</v>
      </c>
      <c r="D120" s="158">
        <v>5</v>
      </c>
      <c r="E120" s="158">
        <v>5</v>
      </c>
      <c r="F120" s="158">
        <v>5</v>
      </c>
      <c r="G120" s="114"/>
      <c r="H120" s="114"/>
      <c r="I120" s="158">
        <v>35</v>
      </c>
      <c r="J120" s="114"/>
      <c r="K120" s="158">
        <f t="shared" si="5"/>
        <v>50</v>
      </c>
      <c r="L120" s="210">
        <f>SUM(K120:K124)</f>
        <v>220</v>
      </c>
    </row>
    <row r="121" spans="1:12" ht="18.75" customHeight="1" x14ac:dyDescent="0.25">
      <c r="A121" s="205"/>
      <c r="B121" s="205"/>
      <c r="C121" s="160" t="s">
        <v>318</v>
      </c>
      <c r="D121" s="158">
        <v>5</v>
      </c>
      <c r="E121" s="75"/>
      <c r="F121" s="75"/>
      <c r="G121" s="158">
        <v>5</v>
      </c>
      <c r="H121" s="158">
        <v>5</v>
      </c>
      <c r="I121" s="75"/>
      <c r="J121" s="158">
        <v>35</v>
      </c>
      <c r="K121" s="158">
        <f t="shared" si="5"/>
        <v>50</v>
      </c>
      <c r="L121" s="210"/>
    </row>
    <row r="122" spans="1:12" ht="18.75" customHeight="1" x14ac:dyDescent="0.25">
      <c r="A122" s="156">
        <v>10</v>
      </c>
      <c r="B122" s="169" t="s">
        <v>411</v>
      </c>
      <c r="C122" s="160" t="s">
        <v>319</v>
      </c>
      <c r="D122" s="155"/>
      <c r="E122" s="75"/>
      <c r="F122" s="75"/>
      <c r="G122" s="75"/>
      <c r="H122" s="75"/>
      <c r="I122" s="75"/>
      <c r="J122" s="155">
        <v>20</v>
      </c>
      <c r="K122" s="158">
        <f t="shared" si="5"/>
        <v>20</v>
      </c>
      <c r="L122" s="210"/>
    </row>
    <row r="123" spans="1:12" ht="18.75" customHeight="1" x14ac:dyDescent="0.25">
      <c r="A123" s="204">
        <v>10</v>
      </c>
      <c r="B123" s="204" t="s">
        <v>453</v>
      </c>
      <c r="C123" s="160" t="s">
        <v>322</v>
      </c>
      <c r="D123" s="158">
        <v>5</v>
      </c>
      <c r="E123" s="158">
        <v>5</v>
      </c>
      <c r="F123" s="158">
        <v>5</v>
      </c>
      <c r="G123" s="114"/>
      <c r="H123" s="114"/>
      <c r="I123" s="158">
        <v>35</v>
      </c>
      <c r="J123" s="114"/>
      <c r="K123" s="158">
        <f t="shared" si="5"/>
        <v>50</v>
      </c>
      <c r="L123" s="210"/>
    </row>
    <row r="124" spans="1:12" ht="18.75" customHeight="1" x14ac:dyDescent="0.25">
      <c r="A124" s="205"/>
      <c r="B124" s="205"/>
      <c r="C124" s="160" t="s">
        <v>323</v>
      </c>
      <c r="D124" s="158">
        <v>5</v>
      </c>
      <c r="E124" s="75"/>
      <c r="F124" s="75"/>
      <c r="G124" s="158">
        <v>5</v>
      </c>
      <c r="H124" s="158">
        <v>5</v>
      </c>
      <c r="I124" s="75"/>
      <c r="J124" s="158">
        <v>35</v>
      </c>
      <c r="K124" s="158">
        <f t="shared" si="5"/>
        <v>50</v>
      </c>
      <c r="L124" s="210"/>
    </row>
    <row r="125" spans="1:12" ht="18.75" customHeight="1" x14ac:dyDescent="0.25">
      <c r="A125" s="204">
        <v>11</v>
      </c>
      <c r="B125" s="212" t="s">
        <v>308</v>
      </c>
      <c r="C125" s="156" t="s">
        <v>344</v>
      </c>
      <c r="D125" s="158">
        <v>5</v>
      </c>
      <c r="E125" s="158">
        <v>5</v>
      </c>
      <c r="F125" s="158">
        <v>5</v>
      </c>
      <c r="G125" s="114"/>
      <c r="H125" s="114"/>
      <c r="I125" s="158">
        <v>35</v>
      </c>
      <c r="J125" s="114"/>
      <c r="K125" s="158">
        <f t="shared" si="4"/>
        <v>50</v>
      </c>
      <c r="L125" s="210">
        <f>SUM(K125:K126)</f>
        <v>100</v>
      </c>
    </row>
    <row r="126" spans="1:12" ht="18.75" customHeight="1" x14ac:dyDescent="0.25">
      <c r="A126" s="205"/>
      <c r="B126" s="212"/>
      <c r="C126" s="156" t="s">
        <v>345</v>
      </c>
      <c r="D126" s="158">
        <v>5</v>
      </c>
      <c r="E126" s="75"/>
      <c r="F126" s="75"/>
      <c r="G126" s="158">
        <v>5</v>
      </c>
      <c r="H126" s="158">
        <v>5</v>
      </c>
      <c r="I126" s="75"/>
      <c r="J126" s="158">
        <v>35</v>
      </c>
      <c r="K126" s="158">
        <f t="shared" si="4"/>
        <v>50</v>
      </c>
      <c r="L126" s="210"/>
    </row>
    <row r="127" spans="1:12" ht="18.75" customHeight="1" x14ac:dyDescent="0.25">
      <c r="A127" s="204">
        <v>12</v>
      </c>
      <c r="B127" s="204" t="s">
        <v>456</v>
      </c>
      <c r="C127" s="161" t="s">
        <v>383</v>
      </c>
      <c r="D127" s="158">
        <v>5</v>
      </c>
      <c r="E127" s="158">
        <v>5</v>
      </c>
      <c r="F127" s="158">
        <v>5</v>
      </c>
      <c r="G127" s="114"/>
      <c r="H127" s="114"/>
      <c r="I127" s="158">
        <v>35</v>
      </c>
      <c r="J127" s="114"/>
      <c r="K127" s="158">
        <f t="shared" si="4"/>
        <v>50</v>
      </c>
      <c r="L127" s="210">
        <f>SUM(K127:K130)</f>
        <v>200</v>
      </c>
    </row>
    <row r="128" spans="1:12" ht="18.75" customHeight="1" x14ac:dyDescent="0.25">
      <c r="A128" s="205"/>
      <c r="B128" s="205"/>
      <c r="C128" s="156" t="s">
        <v>379</v>
      </c>
      <c r="D128" s="158">
        <v>5</v>
      </c>
      <c r="E128" s="75"/>
      <c r="F128" s="75"/>
      <c r="G128" s="158">
        <v>5</v>
      </c>
      <c r="H128" s="158">
        <v>5</v>
      </c>
      <c r="I128" s="75"/>
      <c r="J128" s="158">
        <v>35</v>
      </c>
      <c r="K128" s="158">
        <f t="shared" si="4"/>
        <v>50</v>
      </c>
      <c r="L128" s="210"/>
    </row>
    <row r="129" spans="1:12" ht="18.75" customHeight="1" x14ac:dyDescent="0.25">
      <c r="A129" s="204">
        <v>12</v>
      </c>
      <c r="B129" s="204" t="s">
        <v>457</v>
      </c>
      <c r="C129" s="156" t="s">
        <v>380</v>
      </c>
      <c r="D129" s="158">
        <v>5</v>
      </c>
      <c r="E129" s="158">
        <v>5</v>
      </c>
      <c r="F129" s="158">
        <v>5</v>
      </c>
      <c r="G129" s="114"/>
      <c r="H129" s="114"/>
      <c r="I129" s="158">
        <v>35</v>
      </c>
      <c r="J129" s="114"/>
      <c r="K129" s="158">
        <f t="shared" si="4"/>
        <v>50</v>
      </c>
      <c r="L129" s="210"/>
    </row>
    <row r="130" spans="1:12" ht="18.75" customHeight="1" x14ac:dyDescent="0.25">
      <c r="A130" s="206"/>
      <c r="B130" s="206"/>
      <c r="C130" s="159" t="s">
        <v>381</v>
      </c>
      <c r="D130" s="158">
        <v>5</v>
      </c>
      <c r="E130" s="75"/>
      <c r="F130" s="75"/>
      <c r="G130" s="158">
        <v>5</v>
      </c>
      <c r="H130" s="158">
        <v>5</v>
      </c>
      <c r="I130" s="75"/>
      <c r="J130" s="158">
        <v>35</v>
      </c>
      <c r="K130" s="158">
        <f t="shared" si="4"/>
        <v>50</v>
      </c>
      <c r="L130" s="210"/>
    </row>
  </sheetData>
  <mergeCells count="138">
    <mergeCell ref="L54:L86"/>
    <mergeCell ref="L102:L107"/>
    <mergeCell ref="L108:L109"/>
    <mergeCell ref="L110:L119"/>
    <mergeCell ref="L120:L124"/>
    <mergeCell ref="L125:L126"/>
    <mergeCell ref="L127:L130"/>
    <mergeCell ref="A127:A128"/>
    <mergeCell ref="B127:B128"/>
    <mergeCell ref="A129:A130"/>
    <mergeCell ref="B129:B130"/>
    <mergeCell ref="A125:A126"/>
    <mergeCell ref="B125:B126"/>
    <mergeCell ref="A103:A104"/>
    <mergeCell ref="B103:B104"/>
    <mergeCell ref="A91:A92"/>
    <mergeCell ref="B91:B92"/>
    <mergeCell ref="A93:A94"/>
    <mergeCell ref="B93:B94"/>
    <mergeCell ref="A95:A96"/>
    <mergeCell ref="B95:B96"/>
    <mergeCell ref="A80:A81"/>
    <mergeCell ref="B80:B81"/>
    <mergeCell ref="A82:A83"/>
    <mergeCell ref="L2:L3"/>
    <mergeCell ref="L4:L25"/>
    <mergeCell ref="L26:L51"/>
    <mergeCell ref="L52:L53"/>
    <mergeCell ref="L87:L101"/>
    <mergeCell ref="A123:A124"/>
    <mergeCell ref="B123:B124"/>
    <mergeCell ref="A116:A117"/>
    <mergeCell ref="B116:B117"/>
    <mergeCell ref="A118:A119"/>
    <mergeCell ref="B118:B119"/>
    <mergeCell ref="A120:A121"/>
    <mergeCell ref="B120:B121"/>
    <mergeCell ref="A105:A106"/>
    <mergeCell ref="B105:B106"/>
    <mergeCell ref="A108:A109"/>
    <mergeCell ref="A111:A112"/>
    <mergeCell ref="B111:B112"/>
    <mergeCell ref="A114:A115"/>
    <mergeCell ref="B114:B115"/>
    <mergeCell ref="A97:A98"/>
    <mergeCell ref="B97:B98"/>
    <mergeCell ref="A99:A100"/>
    <mergeCell ref="B99:B100"/>
    <mergeCell ref="A87:A88"/>
    <mergeCell ref="B87:B88"/>
    <mergeCell ref="A89:A90"/>
    <mergeCell ref="B89:B90"/>
    <mergeCell ref="A74:A75"/>
    <mergeCell ref="B74:B75"/>
    <mergeCell ref="A76:A77"/>
    <mergeCell ref="B76:B77"/>
    <mergeCell ref="A78:A79"/>
    <mergeCell ref="B78:B79"/>
    <mergeCell ref="A85:A86"/>
    <mergeCell ref="B85:B86"/>
    <mergeCell ref="A68:A69"/>
    <mergeCell ref="B68:B69"/>
    <mergeCell ref="A70:A71"/>
    <mergeCell ref="B70:B71"/>
    <mergeCell ref="A72:A73"/>
    <mergeCell ref="B72:B73"/>
    <mergeCell ref="A62:A63"/>
    <mergeCell ref="B62:B63"/>
    <mergeCell ref="A64:A65"/>
    <mergeCell ref="B64:B65"/>
    <mergeCell ref="A66:A67"/>
    <mergeCell ref="B66:B67"/>
    <mergeCell ref="A56:A57"/>
    <mergeCell ref="B56:B57"/>
    <mergeCell ref="A58:A59"/>
    <mergeCell ref="B58:B59"/>
    <mergeCell ref="A60:A61"/>
    <mergeCell ref="B60:B61"/>
    <mergeCell ref="A50:A51"/>
    <mergeCell ref="B50:B51"/>
    <mergeCell ref="A52:A53"/>
    <mergeCell ref="B52:B53"/>
    <mergeCell ref="A54:A55"/>
    <mergeCell ref="B54:B55"/>
    <mergeCell ref="A44:A45"/>
    <mergeCell ref="B44:B45"/>
    <mergeCell ref="A46:A47"/>
    <mergeCell ref="B46:B47"/>
    <mergeCell ref="A48:A49"/>
    <mergeCell ref="B48:B49"/>
    <mergeCell ref="A38:A39"/>
    <mergeCell ref="B38:B39"/>
    <mergeCell ref="A40:A41"/>
    <mergeCell ref="B40:B41"/>
    <mergeCell ref="A42:A43"/>
    <mergeCell ref="B42:B43"/>
    <mergeCell ref="A32:A33"/>
    <mergeCell ref="B32:B33"/>
    <mergeCell ref="A34:A35"/>
    <mergeCell ref="B34:B35"/>
    <mergeCell ref="A36:A37"/>
    <mergeCell ref="B36:B37"/>
    <mergeCell ref="A26:A27"/>
    <mergeCell ref="B26:B27"/>
    <mergeCell ref="A28:A29"/>
    <mergeCell ref="B28:B29"/>
    <mergeCell ref="A30:A31"/>
    <mergeCell ref="B30:B31"/>
    <mergeCell ref="A20:A21"/>
    <mergeCell ref="B20:B21"/>
    <mergeCell ref="A22:A23"/>
    <mergeCell ref="B22:B23"/>
    <mergeCell ref="A24:A25"/>
    <mergeCell ref="B24:B25"/>
    <mergeCell ref="A14:A15"/>
    <mergeCell ref="B14:B15"/>
    <mergeCell ref="A16:A17"/>
    <mergeCell ref="B16:B17"/>
    <mergeCell ref="A18:A19"/>
    <mergeCell ref="B18:B19"/>
    <mergeCell ref="A8:A9"/>
    <mergeCell ref="B8:B9"/>
    <mergeCell ref="A10:A11"/>
    <mergeCell ref="B10:B11"/>
    <mergeCell ref="A12:A13"/>
    <mergeCell ref="B12:B13"/>
    <mergeCell ref="J2:J3"/>
    <mergeCell ref="K2:K3"/>
    <mergeCell ref="A4:A5"/>
    <mergeCell ref="B4:B5"/>
    <mergeCell ref="A6:A7"/>
    <mergeCell ref="B6:B7"/>
    <mergeCell ref="A2:A3"/>
    <mergeCell ref="B2:B3"/>
    <mergeCell ref="C2:C3"/>
    <mergeCell ref="D2:D3"/>
    <mergeCell ref="E2:H2"/>
    <mergeCell ref="I2:I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17"/>
  <sheetViews>
    <sheetView workbookViewId="0">
      <selection activeCell="D10" sqref="D10:I17"/>
    </sheetView>
  </sheetViews>
  <sheetFormatPr defaultRowHeight="36.75" customHeight="1" x14ac:dyDescent="0.25"/>
  <cols>
    <col min="1" max="1" width="56.140625" style="127" customWidth="1"/>
    <col min="2" max="2" width="14.7109375" style="127" customWidth="1"/>
    <col min="3" max="3" width="12.5703125" style="127" customWidth="1"/>
    <col min="4" max="5" width="9.140625" style="127"/>
    <col min="6" max="6" width="18.5703125" style="127" customWidth="1"/>
    <col min="7" max="7" width="19.42578125" style="127" customWidth="1"/>
    <col min="8" max="8" width="16.42578125" style="127" customWidth="1"/>
    <col min="9" max="9" width="12.5703125" style="127" customWidth="1"/>
    <col min="10" max="16384" width="9.140625" style="127"/>
  </cols>
  <sheetData>
    <row r="2" spans="1:11" ht="36.75" customHeight="1" x14ac:dyDescent="0.25">
      <c r="A2" s="128" t="s">
        <v>1004</v>
      </c>
      <c r="B2" s="128" t="s">
        <v>1003</v>
      </c>
      <c r="C2" s="130" t="s">
        <v>1010</v>
      </c>
      <c r="F2" s="142" t="s">
        <v>995</v>
      </c>
      <c r="G2" s="142" t="s">
        <v>1021</v>
      </c>
      <c r="H2" s="142" t="s">
        <v>1022</v>
      </c>
      <c r="I2" s="142" t="s">
        <v>1023</v>
      </c>
      <c r="J2" s="142" t="s">
        <v>1024</v>
      </c>
      <c r="K2" s="142" t="s">
        <v>1025</v>
      </c>
    </row>
    <row r="3" spans="1:11" ht="36.75" customHeight="1" x14ac:dyDescent="0.25">
      <c r="A3" s="129" t="s">
        <v>1005</v>
      </c>
      <c r="B3" s="131" t="s">
        <v>1015</v>
      </c>
      <c r="C3" s="131" t="s">
        <v>1016</v>
      </c>
      <c r="F3" s="143" t="s">
        <v>1026</v>
      </c>
      <c r="G3" s="144" t="s">
        <v>1027</v>
      </c>
      <c r="H3" s="144" t="s">
        <v>1028</v>
      </c>
      <c r="I3" s="144" t="s">
        <v>1029</v>
      </c>
      <c r="J3" s="144" t="s">
        <v>1030</v>
      </c>
      <c r="K3" s="144" t="s">
        <v>1031</v>
      </c>
    </row>
    <row r="4" spans="1:11" ht="36.75" customHeight="1" x14ac:dyDescent="0.25">
      <c r="A4" s="129" t="s">
        <v>1006</v>
      </c>
      <c r="B4" s="131" t="s">
        <v>1014</v>
      </c>
      <c r="C4" s="131" t="s">
        <v>1017</v>
      </c>
      <c r="F4" s="143" t="s">
        <v>1032</v>
      </c>
      <c r="G4" s="144" t="s">
        <v>1033</v>
      </c>
      <c r="H4" s="144" t="s">
        <v>1034</v>
      </c>
      <c r="I4" s="144" t="s">
        <v>1035</v>
      </c>
      <c r="J4" s="144" t="s">
        <v>1036</v>
      </c>
      <c r="K4" s="144" t="s">
        <v>1037</v>
      </c>
    </row>
    <row r="5" spans="1:11" ht="36.75" customHeight="1" x14ac:dyDescent="0.25">
      <c r="A5" s="129" t="s">
        <v>1007</v>
      </c>
      <c r="B5" s="131" t="s">
        <v>1013</v>
      </c>
      <c r="C5" s="131" t="s">
        <v>1020</v>
      </c>
      <c r="F5" s="143" t="s">
        <v>1038</v>
      </c>
      <c r="G5" s="144" t="s">
        <v>1039</v>
      </c>
      <c r="H5" s="144" t="s">
        <v>1040</v>
      </c>
      <c r="I5" s="144" t="s">
        <v>1041</v>
      </c>
      <c r="J5" s="144" t="s">
        <v>1042</v>
      </c>
      <c r="K5" s="144" t="s">
        <v>1043</v>
      </c>
    </row>
    <row r="6" spans="1:11" ht="36.75" customHeight="1" x14ac:dyDescent="0.25">
      <c r="A6" s="129" t="s">
        <v>1008</v>
      </c>
      <c r="B6" s="131" t="s">
        <v>1012</v>
      </c>
      <c r="C6" s="131" t="s">
        <v>1018</v>
      </c>
      <c r="F6" s="143" t="s">
        <v>1044</v>
      </c>
      <c r="G6" s="144" t="s">
        <v>1045</v>
      </c>
      <c r="H6" s="144" t="s">
        <v>1046</v>
      </c>
      <c r="I6" s="144" t="s">
        <v>1047</v>
      </c>
      <c r="J6" s="144" t="s">
        <v>1048</v>
      </c>
      <c r="K6" s="144" t="s">
        <v>1049</v>
      </c>
    </row>
    <row r="7" spans="1:11" ht="36.75" customHeight="1" x14ac:dyDescent="0.25">
      <c r="A7" s="129" t="s">
        <v>1009</v>
      </c>
      <c r="B7" s="131" t="s">
        <v>1011</v>
      </c>
      <c r="C7" s="131" t="s">
        <v>1019</v>
      </c>
    </row>
    <row r="10" spans="1:11" ht="36.75" customHeight="1" x14ac:dyDescent="0.25">
      <c r="D10" s="142" t="s">
        <v>1050</v>
      </c>
      <c r="E10" s="142" t="s">
        <v>1085</v>
      </c>
      <c r="F10" s="142" t="s">
        <v>1086</v>
      </c>
      <c r="G10" s="142" t="s">
        <v>1087</v>
      </c>
      <c r="H10" s="142" t="s">
        <v>1062</v>
      </c>
      <c r="I10" s="142" t="s">
        <v>1063</v>
      </c>
    </row>
    <row r="11" spans="1:11" ht="36.75" customHeight="1" x14ac:dyDescent="0.25">
      <c r="D11" s="143" t="s">
        <v>1051</v>
      </c>
      <c r="E11" s="144" t="s">
        <v>1064</v>
      </c>
      <c r="F11" s="144" t="s">
        <v>1088</v>
      </c>
      <c r="G11" s="144" t="s">
        <v>1065</v>
      </c>
      <c r="H11" s="144" t="s">
        <v>1052</v>
      </c>
      <c r="I11" s="144" t="s">
        <v>1066</v>
      </c>
    </row>
    <row r="12" spans="1:11" ht="36.75" customHeight="1" x14ac:dyDescent="0.25">
      <c r="D12" s="143" t="s">
        <v>1053</v>
      </c>
      <c r="E12" s="144" t="s">
        <v>1067</v>
      </c>
      <c r="F12" s="144" t="s">
        <v>1089</v>
      </c>
      <c r="G12" s="144" t="s">
        <v>1090</v>
      </c>
      <c r="H12" s="144" t="s">
        <v>1068</v>
      </c>
      <c r="I12" s="144" t="s">
        <v>1069</v>
      </c>
    </row>
    <row r="13" spans="1:11" ht="36.75" customHeight="1" x14ac:dyDescent="0.25">
      <c r="D13" s="143" t="s">
        <v>1054</v>
      </c>
      <c r="E13" s="144" t="s">
        <v>1070</v>
      </c>
      <c r="F13" s="144" t="s">
        <v>1091</v>
      </c>
      <c r="G13" s="144" t="s">
        <v>1071</v>
      </c>
      <c r="H13" s="144" t="s">
        <v>1055</v>
      </c>
      <c r="I13" s="144" t="s">
        <v>1072</v>
      </c>
    </row>
    <row r="14" spans="1:11" ht="36.75" customHeight="1" x14ac:dyDescent="0.25">
      <c r="D14" s="143" t="s">
        <v>1056</v>
      </c>
      <c r="E14" s="144" t="s">
        <v>1073</v>
      </c>
      <c r="F14" s="144" t="s">
        <v>1092</v>
      </c>
      <c r="G14" s="144" t="s">
        <v>1093</v>
      </c>
      <c r="H14" s="144" t="s">
        <v>1074</v>
      </c>
      <c r="I14" s="144" t="s">
        <v>1075</v>
      </c>
    </row>
    <row r="15" spans="1:11" ht="36.75" customHeight="1" x14ac:dyDescent="0.25">
      <c r="D15" s="143" t="s">
        <v>1057</v>
      </c>
      <c r="E15" s="144" t="s">
        <v>1076</v>
      </c>
      <c r="F15" s="144" t="s">
        <v>1094</v>
      </c>
      <c r="G15" s="144" t="s">
        <v>1077</v>
      </c>
      <c r="H15" s="144" t="s">
        <v>1078</v>
      </c>
      <c r="I15" s="144" t="s">
        <v>1079</v>
      </c>
    </row>
    <row r="16" spans="1:11" ht="36.75" customHeight="1" x14ac:dyDescent="0.25">
      <c r="D16" s="143" t="s">
        <v>1058</v>
      </c>
      <c r="E16" s="144" t="s">
        <v>1059</v>
      </c>
      <c r="F16" s="144" t="s">
        <v>1095</v>
      </c>
      <c r="G16" s="144" t="s">
        <v>1080</v>
      </c>
      <c r="H16" s="144" t="s">
        <v>1081</v>
      </c>
      <c r="I16" s="144" t="s">
        <v>1060</v>
      </c>
    </row>
    <row r="17" spans="4:9" ht="36.75" customHeight="1" x14ac:dyDescent="0.25">
      <c r="D17" s="143" t="s">
        <v>1061</v>
      </c>
      <c r="E17" s="144" t="s">
        <v>1082</v>
      </c>
      <c r="F17" s="144" t="s">
        <v>1096</v>
      </c>
      <c r="G17" s="144" t="s">
        <v>1097</v>
      </c>
      <c r="H17" s="144" t="s">
        <v>1083</v>
      </c>
      <c r="I17" s="144" t="s">
        <v>1084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Mata Kuliah Rev</vt:lpstr>
      <vt:lpstr>MK-CPMK</vt:lpstr>
      <vt:lpstr>CPL-CPMK-MK</vt:lpstr>
      <vt:lpstr>MK-CPL-CPMK-Sub</vt:lpstr>
      <vt:lpstr>Teknik Pen</vt:lpstr>
      <vt:lpstr>Teknik</vt:lpstr>
      <vt:lpstr>Tahap &amp; Mekaniseme</vt:lpstr>
      <vt:lpstr>Bobot MK</vt:lpstr>
      <vt:lpstr>Bobot CPL</vt:lpstr>
      <vt:lpstr>NIlai AKhir MK</vt:lpstr>
      <vt:lpstr>Nilai Akhir CPL</vt:lpstr>
      <vt:lpstr>Rubrik</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lab teknik</dc:creator>
  <cp:lastModifiedBy>firman</cp:lastModifiedBy>
  <cp:lastPrinted>2022-02-23T06:36:04Z</cp:lastPrinted>
  <dcterms:created xsi:type="dcterms:W3CDTF">2022-02-21T03:43:53Z</dcterms:created>
  <dcterms:modified xsi:type="dcterms:W3CDTF">2026-05-25T14:46:32Z</dcterms:modified>
</cp:coreProperties>
</file>