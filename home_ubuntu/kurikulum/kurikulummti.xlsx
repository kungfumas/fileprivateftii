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unduh\"/>
    </mc:Choice>
  </mc:AlternateContent>
  <xr:revisionPtr revIDLastSave="0" documentId="8_{1DF5426E-845F-4567-8703-A61AA4E68614}" xr6:coauthVersionLast="47" xr6:coauthVersionMax="47" xr10:uidLastSave="{00000000-0000-0000-0000-000000000000}"/>
  <bookViews>
    <workbookView xWindow="-120" yWindow="-120" windowWidth="20640" windowHeight="11040" tabRatio="766" firstSheet="9" activeTab="11" xr2:uid="{86C7D61A-2B18-42F6-84DD-3AAB3E5C5942}"/>
  </bookViews>
  <sheets>
    <sheet name="PL-CPL" sheetId="1" r:id="rId1"/>
    <sheet name="CPL-BK" sheetId="2" r:id="rId2"/>
    <sheet name="BK-MK" sheetId="3" r:id="rId3"/>
    <sheet name="CPL-MK" sheetId="4" r:id="rId4"/>
    <sheet name="CPL-MK-BK" sheetId="5" r:id="rId5"/>
    <sheet name="MK-SKS-SMTR" sheetId="6" r:id="rId6"/>
    <sheet name="PEMENUHAN MATA KULIAH" sheetId="10" r:id="rId7"/>
    <sheet name="CPL-CPMK-MK" sheetId="7" r:id="rId8"/>
    <sheet name="MK-CPL-CPMK" sheetId="8" r:id="rId9"/>
    <sheet name="MK - CPMK - SUB CPMK" sheetId="9" r:id="rId10"/>
    <sheet name="MEKANISME PENILAIAN" sheetId="11" r:id="rId11"/>
    <sheet name="SKALA CPL" sheetId="12" r:id="rId12"/>
    <sheet name="IMPLEMENTASI RUBIK" sheetId="13" r:id="rId13"/>
    <sheet name="RUMUSAN NILAI CPL"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6" i="14" l="1"/>
  <c r="H108" i="14"/>
  <c r="H96" i="14"/>
  <c r="H75" i="14"/>
  <c r="H66" i="14"/>
  <c r="H60" i="14"/>
  <c r="H48" i="14"/>
  <c r="H30" i="14"/>
  <c r="H27" i="14"/>
  <c r="H12" i="14"/>
  <c r="H7" i="14"/>
  <c r="N3" i="13"/>
  <c r="M3" i="13"/>
  <c r="L3" i="13"/>
  <c r="K3" i="13"/>
  <c r="K5" i="13"/>
  <c r="L5" i="13"/>
  <c r="M5" i="13"/>
  <c r="N5" i="13"/>
  <c r="K6" i="13"/>
  <c r="L6" i="13"/>
  <c r="M6" i="13"/>
  <c r="N6" i="13"/>
  <c r="K7" i="13"/>
  <c r="L7" i="13"/>
  <c r="M7" i="13"/>
  <c r="N7" i="13"/>
  <c r="K8" i="13"/>
  <c r="L8" i="13"/>
  <c r="M8" i="13"/>
  <c r="N8" i="13"/>
  <c r="K9" i="13"/>
  <c r="L9" i="13"/>
  <c r="M9" i="13"/>
  <c r="N9" i="13"/>
  <c r="K10" i="13"/>
  <c r="L10" i="13"/>
  <c r="M10" i="13"/>
  <c r="N10" i="13"/>
  <c r="K11" i="13"/>
  <c r="L11" i="13"/>
  <c r="M11" i="13"/>
  <c r="N11" i="13"/>
  <c r="K12" i="13"/>
  <c r="L12" i="13"/>
  <c r="M12" i="13"/>
  <c r="N12" i="13"/>
  <c r="K13" i="13"/>
  <c r="L13" i="13"/>
  <c r="M13" i="13"/>
  <c r="N13" i="13"/>
  <c r="K14" i="13"/>
  <c r="L14" i="13"/>
  <c r="M14" i="13"/>
  <c r="N14" i="13"/>
  <c r="K15" i="13"/>
  <c r="L15" i="13"/>
  <c r="M15" i="13"/>
  <c r="N15" i="13"/>
  <c r="K16" i="13"/>
  <c r="L16" i="13"/>
  <c r="M16" i="13"/>
  <c r="N16" i="13"/>
  <c r="K17" i="13"/>
  <c r="L17" i="13"/>
  <c r="M17" i="13"/>
  <c r="N17" i="13"/>
  <c r="K18" i="13"/>
  <c r="L18" i="13"/>
  <c r="M18" i="13"/>
  <c r="N18" i="13"/>
  <c r="K19" i="13"/>
  <c r="L19" i="13"/>
  <c r="M19" i="13"/>
  <c r="N19" i="13"/>
  <c r="K20" i="13"/>
  <c r="L20" i="13"/>
  <c r="M20" i="13"/>
  <c r="N20" i="13"/>
  <c r="K21" i="13"/>
  <c r="L21" i="13"/>
  <c r="M21" i="13"/>
  <c r="N21" i="13"/>
  <c r="K22" i="13"/>
  <c r="L22" i="13"/>
  <c r="M22" i="13"/>
  <c r="N22" i="13"/>
  <c r="K23" i="13"/>
  <c r="L23" i="13"/>
  <c r="M23" i="13"/>
  <c r="N23" i="13"/>
  <c r="K24" i="13"/>
  <c r="L24" i="13"/>
  <c r="M24" i="13"/>
  <c r="N24" i="13"/>
  <c r="K25" i="13"/>
  <c r="L25" i="13"/>
  <c r="M25" i="13"/>
  <c r="N25" i="13"/>
  <c r="K26" i="13"/>
  <c r="L26" i="13"/>
  <c r="M26" i="13"/>
  <c r="N26" i="13"/>
  <c r="K27" i="13"/>
  <c r="L27" i="13"/>
  <c r="M27" i="13"/>
  <c r="N27" i="13"/>
  <c r="K28" i="13"/>
  <c r="L28" i="13"/>
  <c r="M28" i="13"/>
  <c r="N28" i="13"/>
  <c r="K29" i="13"/>
  <c r="L29" i="13"/>
  <c r="M29" i="13"/>
  <c r="N29" i="13"/>
  <c r="K30" i="13"/>
  <c r="L30" i="13"/>
  <c r="M30" i="13"/>
  <c r="N30" i="13"/>
  <c r="K31" i="13"/>
  <c r="L31" i="13"/>
  <c r="M31" i="13"/>
  <c r="N31" i="13"/>
  <c r="K32" i="13"/>
  <c r="L32" i="13"/>
  <c r="M32" i="13"/>
  <c r="N32" i="13"/>
  <c r="K33" i="13"/>
  <c r="L33" i="13"/>
  <c r="M33" i="13"/>
  <c r="N33" i="13"/>
  <c r="K34" i="13"/>
  <c r="L34" i="13"/>
  <c r="M34" i="13"/>
  <c r="N34" i="13"/>
  <c r="K35" i="13"/>
  <c r="L35" i="13"/>
  <c r="M35" i="13"/>
  <c r="N35" i="13"/>
  <c r="K36" i="13"/>
  <c r="L36" i="13"/>
  <c r="M36" i="13"/>
  <c r="N36" i="13"/>
  <c r="K37" i="13"/>
  <c r="L37" i="13"/>
  <c r="M37" i="13"/>
  <c r="N37" i="13"/>
  <c r="K38" i="13"/>
  <c r="L38" i="13"/>
  <c r="M38" i="13"/>
  <c r="N38" i="13"/>
  <c r="K39" i="13"/>
  <c r="L39" i="13"/>
  <c r="M39" i="13"/>
  <c r="N39" i="13"/>
  <c r="K40" i="13"/>
  <c r="L40" i="13"/>
  <c r="M40" i="13"/>
  <c r="N40" i="13"/>
  <c r="K41" i="13"/>
  <c r="L41" i="13"/>
  <c r="M41" i="13"/>
  <c r="N41" i="13"/>
  <c r="K42" i="13"/>
  <c r="L42" i="13"/>
  <c r="M42" i="13"/>
  <c r="N42" i="13"/>
  <c r="K43" i="13"/>
  <c r="L43" i="13"/>
  <c r="M43" i="13"/>
  <c r="N43" i="13"/>
  <c r="K44" i="13"/>
  <c r="L44" i="13"/>
  <c r="M44" i="13"/>
  <c r="N44" i="13"/>
  <c r="K45" i="13"/>
  <c r="L45" i="13"/>
  <c r="M45" i="13"/>
  <c r="N45" i="13"/>
  <c r="K46" i="13"/>
  <c r="L46" i="13"/>
  <c r="M46" i="13"/>
  <c r="N46" i="13"/>
  <c r="K47" i="13"/>
  <c r="L47" i="13"/>
  <c r="M47" i="13"/>
  <c r="N47" i="13"/>
  <c r="K48" i="13"/>
  <c r="L48" i="13"/>
  <c r="M48" i="13"/>
  <c r="N48" i="13"/>
  <c r="K49" i="13"/>
  <c r="L49" i="13"/>
  <c r="M49" i="13"/>
  <c r="N49" i="13"/>
  <c r="K50" i="13"/>
  <c r="L50" i="13"/>
  <c r="M50" i="13"/>
  <c r="N50" i="13"/>
  <c r="K51" i="13"/>
  <c r="L51" i="13"/>
  <c r="M51" i="13"/>
  <c r="N51" i="13"/>
  <c r="K52" i="13"/>
  <c r="L52" i="13"/>
  <c r="M52" i="13"/>
  <c r="N52" i="13"/>
  <c r="K53" i="13"/>
  <c r="L53" i="13"/>
  <c r="M53" i="13"/>
  <c r="N53" i="13"/>
  <c r="K54" i="13"/>
  <c r="L54" i="13"/>
  <c r="M54" i="13"/>
  <c r="N54" i="13"/>
  <c r="K55" i="13"/>
  <c r="L55" i="13"/>
  <c r="M55" i="13"/>
  <c r="N55" i="13"/>
  <c r="K56" i="13"/>
  <c r="L56" i="13"/>
  <c r="M56" i="13"/>
  <c r="N56" i="13"/>
  <c r="K57" i="13"/>
  <c r="L57" i="13"/>
  <c r="M57" i="13"/>
  <c r="N57" i="13"/>
  <c r="K58" i="13"/>
  <c r="L58" i="13"/>
  <c r="M58" i="13"/>
  <c r="N58" i="13"/>
  <c r="K59" i="13"/>
  <c r="L59" i="13"/>
  <c r="M59" i="13"/>
  <c r="N59" i="13"/>
  <c r="K60" i="13"/>
  <c r="L60" i="13"/>
  <c r="M60" i="13"/>
  <c r="N60" i="13"/>
  <c r="K61" i="13"/>
  <c r="L61" i="13"/>
  <c r="M61" i="13"/>
  <c r="N61" i="13"/>
  <c r="K62" i="13"/>
  <c r="L62" i="13"/>
  <c r="M62" i="13"/>
  <c r="N62" i="13"/>
  <c r="K63" i="13"/>
  <c r="L63" i="13"/>
  <c r="M63" i="13"/>
  <c r="N63" i="13"/>
  <c r="K64" i="13"/>
  <c r="L64" i="13"/>
  <c r="M64" i="13"/>
  <c r="N64" i="13"/>
  <c r="K65" i="13"/>
  <c r="L65" i="13"/>
  <c r="M65" i="13"/>
  <c r="N65" i="13"/>
  <c r="K66" i="13"/>
  <c r="L66" i="13"/>
  <c r="M66" i="13"/>
  <c r="N66" i="13"/>
  <c r="K67" i="13"/>
  <c r="L67" i="13"/>
  <c r="M67" i="13"/>
  <c r="N67" i="13"/>
  <c r="K68" i="13"/>
  <c r="L68" i="13"/>
  <c r="M68" i="13"/>
  <c r="N68" i="13"/>
  <c r="K69" i="13"/>
  <c r="L69" i="13"/>
  <c r="M69" i="13"/>
  <c r="N69" i="13"/>
  <c r="K70" i="13"/>
  <c r="L70" i="13"/>
  <c r="M70" i="13"/>
  <c r="N70" i="13"/>
  <c r="K71" i="13"/>
  <c r="L71" i="13"/>
  <c r="M71" i="13"/>
  <c r="N71" i="13"/>
  <c r="K72" i="13"/>
  <c r="L72" i="13"/>
  <c r="M72" i="13"/>
  <c r="N72" i="13"/>
  <c r="K73" i="13"/>
  <c r="L73" i="13"/>
  <c r="M73" i="13"/>
  <c r="N73" i="13"/>
  <c r="K74" i="13"/>
  <c r="L74" i="13"/>
  <c r="M74" i="13"/>
  <c r="N74" i="13"/>
  <c r="K75" i="13"/>
  <c r="L75" i="13"/>
  <c r="M75" i="13"/>
  <c r="N75" i="13"/>
  <c r="K76" i="13"/>
  <c r="L76" i="13"/>
  <c r="M76" i="13"/>
  <c r="N76" i="13"/>
  <c r="K77" i="13"/>
  <c r="L77" i="13"/>
  <c r="M77" i="13"/>
  <c r="N77" i="13"/>
  <c r="K78" i="13"/>
  <c r="L78" i="13"/>
  <c r="M78" i="13"/>
  <c r="N78" i="13"/>
  <c r="K79" i="13"/>
  <c r="L79" i="13"/>
  <c r="M79" i="13"/>
  <c r="N79" i="13"/>
  <c r="K80" i="13"/>
  <c r="L80" i="13"/>
  <c r="M80" i="13"/>
  <c r="N80" i="13"/>
  <c r="K81" i="13"/>
  <c r="L81" i="13"/>
  <c r="M81" i="13"/>
  <c r="N81" i="13"/>
  <c r="K82" i="13"/>
  <c r="L82" i="13"/>
  <c r="M82" i="13"/>
  <c r="N82" i="13"/>
  <c r="K83" i="13"/>
  <c r="L83" i="13"/>
  <c r="M83" i="13"/>
  <c r="N83" i="13"/>
  <c r="K84" i="13"/>
  <c r="L84" i="13"/>
  <c r="M84" i="13"/>
  <c r="N84" i="13"/>
  <c r="K85" i="13"/>
  <c r="L85" i="13"/>
  <c r="M85" i="13"/>
  <c r="N85" i="13"/>
  <c r="K86" i="13"/>
  <c r="L86" i="13"/>
  <c r="M86" i="13"/>
  <c r="N86" i="13"/>
  <c r="K87" i="13"/>
  <c r="L87" i="13"/>
  <c r="M87" i="13"/>
  <c r="N87" i="13"/>
  <c r="K88" i="13"/>
  <c r="L88" i="13"/>
  <c r="M88" i="13"/>
  <c r="N88" i="13"/>
  <c r="K89" i="13"/>
  <c r="L89" i="13"/>
  <c r="M89" i="13"/>
  <c r="N89" i="13"/>
  <c r="K90" i="13"/>
  <c r="L90" i="13"/>
  <c r="M90" i="13"/>
  <c r="N90" i="13"/>
  <c r="K91" i="13"/>
  <c r="L91" i="13"/>
  <c r="M91" i="13"/>
  <c r="N91" i="13"/>
  <c r="K92" i="13"/>
  <c r="L92" i="13"/>
  <c r="M92" i="13"/>
  <c r="N92" i="13"/>
  <c r="K93" i="13"/>
  <c r="L93" i="13"/>
  <c r="M93" i="13"/>
  <c r="N93" i="13"/>
  <c r="K94" i="13"/>
  <c r="L94" i="13"/>
  <c r="M94" i="13"/>
  <c r="N94" i="13"/>
  <c r="K95" i="13"/>
  <c r="L95" i="13"/>
  <c r="M95" i="13"/>
  <c r="N95" i="13"/>
  <c r="K96" i="13"/>
  <c r="L96" i="13"/>
  <c r="M96" i="13"/>
  <c r="N96" i="13"/>
  <c r="K97" i="13"/>
  <c r="L97" i="13"/>
  <c r="M97" i="13"/>
  <c r="N97" i="13"/>
  <c r="K98" i="13"/>
  <c r="L98" i="13"/>
  <c r="M98" i="13"/>
  <c r="N98" i="13"/>
  <c r="K99" i="13"/>
  <c r="L99" i="13"/>
  <c r="M99" i="13"/>
  <c r="N99" i="13"/>
  <c r="K100" i="13"/>
  <c r="L100" i="13"/>
  <c r="M100" i="13"/>
  <c r="N100" i="13"/>
  <c r="K101" i="13"/>
  <c r="L101" i="13"/>
  <c r="M101" i="13"/>
  <c r="N101" i="13"/>
  <c r="K102" i="13"/>
  <c r="L102" i="13"/>
  <c r="M102" i="13"/>
  <c r="N102" i="13"/>
  <c r="K103" i="13"/>
  <c r="L103" i="13"/>
  <c r="M103" i="13"/>
  <c r="N103" i="13"/>
  <c r="K104" i="13"/>
  <c r="L104" i="13"/>
  <c r="M104" i="13"/>
  <c r="N104" i="13"/>
  <c r="K105" i="13"/>
  <c r="L105" i="13"/>
  <c r="M105" i="13"/>
  <c r="N105" i="13"/>
  <c r="K106" i="13"/>
  <c r="L106" i="13"/>
  <c r="M106" i="13"/>
  <c r="N106" i="13"/>
  <c r="K107" i="13"/>
  <c r="L107" i="13"/>
  <c r="M107" i="13"/>
  <c r="N107" i="13"/>
  <c r="K108" i="13"/>
  <c r="L108" i="13"/>
  <c r="M108" i="13"/>
  <c r="N108" i="13"/>
  <c r="K109" i="13"/>
  <c r="L109" i="13"/>
  <c r="M109" i="13"/>
  <c r="N109" i="13"/>
  <c r="K110" i="13"/>
  <c r="L110" i="13"/>
  <c r="M110" i="13"/>
  <c r="N110" i="13"/>
  <c r="K111" i="13"/>
  <c r="L111" i="13"/>
  <c r="M111" i="13"/>
  <c r="N111" i="13"/>
  <c r="K112" i="13"/>
  <c r="L112" i="13"/>
  <c r="M112" i="13"/>
  <c r="N112" i="13"/>
  <c r="K113" i="13"/>
  <c r="L113" i="13"/>
  <c r="M113" i="13"/>
  <c r="N113" i="13"/>
  <c r="K114" i="13"/>
  <c r="L114" i="13"/>
  <c r="M114" i="13"/>
  <c r="N114" i="13"/>
  <c r="K115" i="13"/>
  <c r="L115" i="13"/>
  <c r="M115" i="13"/>
  <c r="N115" i="13"/>
  <c r="K116" i="13"/>
  <c r="L116" i="13"/>
  <c r="M116" i="13"/>
  <c r="N116" i="13"/>
  <c r="K117" i="13"/>
  <c r="L117" i="13"/>
  <c r="M117" i="13"/>
  <c r="N117" i="13"/>
  <c r="K118" i="13"/>
  <c r="L118" i="13"/>
  <c r="M118" i="13"/>
  <c r="N118" i="13"/>
  <c r="K119" i="13"/>
  <c r="L119" i="13"/>
  <c r="M119" i="13"/>
  <c r="N119" i="13"/>
  <c r="K120" i="13"/>
  <c r="L120" i="13"/>
  <c r="M120" i="13"/>
  <c r="N120" i="13"/>
  <c r="K121" i="13"/>
  <c r="L121" i="13"/>
  <c r="M121" i="13"/>
  <c r="N121" i="13"/>
  <c r="K122" i="13"/>
  <c r="L122" i="13"/>
  <c r="M122" i="13"/>
  <c r="N122" i="13"/>
  <c r="K123" i="13"/>
  <c r="L123" i="13"/>
  <c r="M123" i="13"/>
  <c r="N123" i="13"/>
  <c r="K124" i="13"/>
  <c r="L124" i="13"/>
  <c r="M124" i="13"/>
  <c r="N124" i="13"/>
  <c r="K125" i="13"/>
  <c r="L125" i="13"/>
  <c r="M125" i="13"/>
  <c r="N125" i="13"/>
  <c r="K126" i="13"/>
  <c r="L126" i="13"/>
  <c r="M126" i="13"/>
  <c r="N126" i="13"/>
  <c r="K127" i="13"/>
  <c r="L127" i="13"/>
  <c r="M127" i="13"/>
  <c r="N127" i="13"/>
  <c r="K128" i="13"/>
  <c r="L128" i="13"/>
  <c r="M128" i="13"/>
  <c r="N128" i="13"/>
  <c r="N4" i="13"/>
  <c r="M4" i="13"/>
  <c r="K4" i="13"/>
  <c r="L4" i="13"/>
  <c r="N2" i="13"/>
  <c r="M2" i="13"/>
  <c r="L2" i="13"/>
  <c r="K2" i="13"/>
  <c r="S128" i="9"/>
  <c r="T128" i="9"/>
  <c r="U128" i="9"/>
  <c r="V128" i="9"/>
  <c r="W128" i="9"/>
  <c r="X128" i="9"/>
  <c r="Y128" i="9"/>
  <c r="R128"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3" i="9"/>
  <c r="J4" i="9"/>
  <c r="K4" i="9"/>
  <c r="L4" i="9"/>
  <c r="M4" i="9"/>
  <c r="N4" i="9"/>
  <c r="O4" i="9"/>
  <c r="P4" i="9"/>
  <c r="J5" i="9"/>
  <c r="K5" i="9"/>
  <c r="L5" i="9"/>
  <c r="M5" i="9"/>
  <c r="N5" i="9"/>
  <c r="O5" i="9"/>
  <c r="P5" i="9"/>
  <c r="J6" i="9"/>
  <c r="K6" i="9"/>
  <c r="L6" i="9"/>
  <c r="M6" i="9"/>
  <c r="N6" i="9"/>
  <c r="O6" i="9"/>
  <c r="P6" i="9"/>
  <c r="J7" i="9"/>
  <c r="K7" i="9"/>
  <c r="L7" i="9"/>
  <c r="M7" i="9"/>
  <c r="N7" i="9"/>
  <c r="O7" i="9"/>
  <c r="P7" i="9"/>
  <c r="J8" i="9"/>
  <c r="K8" i="9"/>
  <c r="L8" i="9"/>
  <c r="M8" i="9"/>
  <c r="N8" i="9"/>
  <c r="O8" i="9"/>
  <c r="P8" i="9"/>
  <c r="J9" i="9"/>
  <c r="K9" i="9"/>
  <c r="L9" i="9"/>
  <c r="M9" i="9"/>
  <c r="N9" i="9"/>
  <c r="O9" i="9"/>
  <c r="P9" i="9"/>
  <c r="J10" i="9"/>
  <c r="K10" i="9"/>
  <c r="L10" i="9"/>
  <c r="M10" i="9"/>
  <c r="N10" i="9"/>
  <c r="O10" i="9"/>
  <c r="P10" i="9"/>
  <c r="J11" i="9"/>
  <c r="K11" i="9"/>
  <c r="L11" i="9"/>
  <c r="M11" i="9"/>
  <c r="N11" i="9"/>
  <c r="O11" i="9"/>
  <c r="P11" i="9"/>
  <c r="J12" i="9"/>
  <c r="K12" i="9"/>
  <c r="L12" i="9"/>
  <c r="M12" i="9"/>
  <c r="N12" i="9"/>
  <c r="O12" i="9"/>
  <c r="P12" i="9"/>
  <c r="J13" i="9"/>
  <c r="K13" i="9"/>
  <c r="L13" i="9"/>
  <c r="M13" i="9"/>
  <c r="N13" i="9"/>
  <c r="O13" i="9"/>
  <c r="P13" i="9"/>
  <c r="J14" i="9"/>
  <c r="K14" i="9"/>
  <c r="L14" i="9"/>
  <c r="M14" i="9"/>
  <c r="N14" i="9"/>
  <c r="O14" i="9"/>
  <c r="P14" i="9"/>
  <c r="J15" i="9"/>
  <c r="K15" i="9"/>
  <c r="L15" i="9"/>
  <c r="M15" i="9"/>
  <c r="N15" i="9"/>
  <c r="O15" i="9"/>
  <c r="P15" i="9"/>
  <c r="J16" i="9"/>
  <c r="K16" i="9"/>
  <c r="L16" i="9"/>
  <c r="M16" i="9"/>
  <c r="N16" i="9"/>
  <c r="O16" i="9"/>
  <c r="P16" i="9"/>
  <c r="J17" i="9"/>
  <c r="K17" i="9"/>
  <c r="L17" i="9"/>
  <c r="M17" i="9"/>
  <c r="N17" i="9"/>
  <c r="O17" i="9"/>
  <c r="P17" i="9"/>
  <c r="J18" i="9"/>
  <c r="K18" i="9"/>
  <c r="L18" i="9"/>
  <c r="M18" i="9"/>
  <c r="N18" i="9"/>
  <c r="O18" i="9"/>
  <c r="P18" i="9"/>
  <c r="J19" i="9"/>
  <c r="K19" i="9"/>
  <c r="L19" i="9"/>
  <c r="M19" i="9"/>
  <c r="N19" i="9"/>
  <c r="O19" i="9"/>
  <c r="P19" i="9"/>
  <c r="J20" i="9"/>
  <c r="K20" i="9"/>
  <c r="L20" i="9"/>
  <c r="M20" i="9"/>
  <c r="N20" i="9"/>
  <c r="O20" i="9"/>
  <c r="P20" i="9"/>
  <c r="J21" i="9"/>
  <c r="K21" i="9"/>
  <c r="L21" i="9"/>
  <c r="M21" i="9"/>
  <c r="N21" i="9"/>
  <c r="O21" i="9"/>
  <c r="P21" i="9"/>
  <c r="J22" i="9"/>
  <c r="K22" i="9"/>
  <c r="L22" i="9"/>
  <c r="M22" i="9"/>
  <c r="N22" i="9"/>
  <c r="O22" i="9"/>
  <c r="P22" i="9"/>
  <c r="J23" i="9"/>
  <c r="K23" i="9"/>
  <c r="L23" i="9"/>
  <c r="M23" i="9"/>
  <c r="N23" i="9"/>
  <c r="O23" i="9"/>
  <c r="P23" i="9"/>
  <c r="J24" i="9"/>
  <c r="K24" i="9"/>
  <c r="L24" i="9"/>
  <c r="M24" i="9"/>
  <c r="N24" i="9"/>
  <c r="O24" i="9"/>
  <c r="P24" i="9"/>
  <c r="J25" i="9"/>
  <c r="K25" i="9"/>
  <c r="L25" i="9"/>
  <c r="M25" i="9"/>
  <c r="N25" i="9"/>
  <c r="O25" i="9"/>
  <c r="P25" i="9"/>
  <c r="J26" i="9"/>
  <c r="K26" i="9"/>
  <c r="L26" i="9"/>
  <c r="M26" i="9"/>
  <c r="N26" i="9"/>
  <c r="O26" i="9"/>
  <c r="P26" i="9"/>
  <c r="J27" i="9"/>
  <c r="K27" i="9"/>
  <c r="L27" i="9"/>
  <c r="M27" i="9"/>
  <c r="N27" i="9"/>
  <c r="O27" i="9"/>
  <c r="P27" i="9"/>
  <c r="J28" i="9"/>
  <c r="K28" i="9"/>
  <c r="L28" i="9"/>
  <c r="M28" i="9"/>
  <c r="N28" i="9"/>
  <c r="O28" i="9"/>
  <c r="P28" i="9"/>
  <c r="J29" i="9"/>
  <c r="K29" i="9"/>
  <c r="L29" i="9"/>
  <c r="M29" i="9"/>
  <c r="N29" i="9"/>
  <c r="O29" i="9"/>
  <c r="P29" i="9"/>
  <c r="J30" i="9"/>
  <c r="K30" i="9"/>
  <c r="L30" i="9"/>
  <c r="M30" i="9"/>
  <c r="N30" i="9"/>
  <c r="O30" i="9"/>
  <c r="P30" i="9"/>
  <c r="J31" i="9"/>
  <c r="K31" i="9"/>
  <c r="L31" i="9"/>
  <c r="M31" i="9"/>
  <c r="N31" i="9"/>
  <c r="O31" i="9"/>
  <c r="P31" i="9"/>
  <c r="J32" i="9"/>
  <c r="K32" i="9"/>
  <c r="L32" i="9"/>
  <c r="M32" i="9"/>
  <c r="N32" i="9"/>
  <c r="O32" i="9"/>
  <c r="P32" i="9"/>
  <c r="J33" i="9"/>
  <c r="K33" i="9"/>
  <c r="L33" i="9"/>
  <c r="M33" i="9"/>
  <c r="N33" i="9"/>
  <c r="O33" i="9"/>
  <c r="P33" i="9"/>
  <c r="J34" i="9"/>
  <c r="K34" i="9"/>
  <c r="L34" i="9"/>
  <c r="M34" i="9"/>
  <c r="N34" i="9"/>
  <c r="O34" i="9"/>
  <c r="P34" i="9"/>
  <c r="J35" i="9"/>
  <c r="K35" i="9"/>
  <c r="L35" i="9"/>
  <c r="M35" i="9"/>
  <c r="N35" i="9"/>
  <c r="O35" i="9"/>
  <c r="P35" i="9"/>
  <c r="J36" i="9"/>
  <c r="K36" i="9"/>
  <c r="L36" i="9"/>
  <c r="M36" i="9"/>
  <c r="N36" i="9"/>
  <c r="O36" i="9"/>
  <c r="P36" i="9"/>
  <c r="J37" i="9"/>
  <c r="K37" i="9"/>
  <c r="L37" i="9"/>
  <c r="M37" i="9"/>
  <c r="N37" i="9"/>
  <c r="O37" i="9"/>
  <c r="P37" i="9"/>
  <c r="J38" i="9"/>
  <c r="K38" i="9"/>
  <c r="L38" i="9"/>
  <c r="M38" i="9"/>
  <c r="N38" i="9"/>
  <c r="O38" i="9"/>
  <c r="P38" i="9"/>
  <c r="J39" i="9"/>
  <c r="K39" i="9"/>
  <c r="L39" i="9"/>
  <c r="M39" i="9"/>
  <c r="N39" i="9"/>
  <c r="O39" i="9"/>
  <c r="P39" i="9"/>
  <c r="J40" i="9"/>
  <c r="K40" i="9"/>
  <c r="L40" i="9"/>
  <c r="M40" i="9"/>
  <c r="N40" i="9"/>
  <c r="O40" i="9"/>
  <c r="P40" i="9"/>
  <c r="J41" i="9"/>
  <c r="K41" i="9"/>
  <c r="L41" i="9"/>
  <c r="M41" i="9"/>
  <c r="N41" i="9"/>
  <c r="O41" i="9"/>
  <c r="P41" i="9"/>
  <c r="J42" i="9"/>
  <c r="K42" i="9"/>
  <c r="L42" i="9"/>
  <c r="M42" i="9"/>
  <c r="N42" i="9"/>
  <c r="O42" i="9"/>
  <c r="P42" i="9"/>
  <c r="J43" i="9"/>
  <c r="K43" i="9"/>
  <c r="L43" i="9"/>
  <c r="M43" i="9"/>
  <c r="N43" i="9"/>
  <c r="O43" i="9"/>
  <c r="P43" i="9"/>
  <c r="J44" i="9"/>
  <c r="K44" i="9"/>
  <c r="L44" i="9"/>
  <c r="M44" i="9"/>
  <c r="N44" i="9"/>
  <c r="O44" i="9"/>
  <c r="P44" i="9"/>
  <c r="J45" i="9"/>
  <c r="K45" i="9"/>
  <c r="L45" i="9"/>
  <c r="M45" i="9"/>
  <c r="N45" i="9"/>
  <c r="O45" i="9"/>
  <c r="P45" i="9"/>
  <c r="J46" i="9"/>
  <c r="K46" i="9"/>
  <c r="L46" i="9"/>
  <c r="M46" i="9"/>
  <c r="N46" i="9"/>
  <c r="O46" i="9"/>
  <c r="P46" i="9"/>
  <c r="J47" i="9"/>
  <c r="K47" i="9"/>
  <c r="L47" i="9"/>
  <c r="M47" i="9"/>
  <c r="N47" i="9"/>
  <c r="O47" i="9"/>
  <c r="P47" i="9"/>
  <c r="J48" i="9"/>
  <c r="K48" i="9"/>
  <c r="L48" i="9"/>
  <c r="M48" i="9"/>
  <c r="N48" i="9"/>
  <c r="O48" i="9"/>
  <c r="P48" i="9"/>
  <c r="J49" i="9"/>
  <c r="K49" i="9"/>
  <c r="L49" i="9"/>
  <c r="M49" i="9"/>
  <c r="N49" i="9"/>
  <c r="O49" i="9"/>
  <c r="P49" i="9"/>
  <c r="J50" i="9"/>
  <c r="K50" i="9"/>
  <c r="L50" i="9"/>
  <c r="M50" i="9"/>
  <c r="N50" i="9"/>
  <c r="O50" i="9"/>
  <c r="P50" i="9"/>
  <c r="J51" i="9"/>
  <c r="K51" i="9"/>
  <c r="L51" i="9"/>
  <c r="M51" i="9"/>
  <c r="N51" i="9"/>
  <c r="O51" i="9"/>
  <c r="P51" i="9"/>
  <c r="J52" i="9"/>
  <c r="K52" i="9"/>
  <c r="L52" i="9"/>
  <c r="M52" i="9"/>
  <c r="N52" i="9"/>
  <c r="O52" i="9"/>
  <c r="P52" i="9"/>
  <c r="J53" i="9"/>
  <c r="K53" i="9"/>
  <c r="L53" i="9"/>
  <c r="M53" i="9"/>
  <c r="N53" i="9"/>
  <c r="O53" i="9"/>
  <c r="P53" i="9"/>
  <c r="J54" i="9"/>
  <c r="K54" i="9"/>
  <c r="L54" i="9"/>
  <c r="M54" i="9"/>
  <c r="N54" i="9"/>
  <c r="O54" i="9"/>
  <c r="P54" i="9"/>
  <c r="J55" i="9"/>
  <c r="K55" i="9"/>
  <c r="L55" i="9"/>
  <c r="M55" i="9"/>
  <c r="N55" i="9"/>
  <c r="O55" i="9"/>
  <c r="P55" i="9"/>
  <c r="J56" i="9"/>
  <c r="K56" i="9"/>
  <c r="L56" i="9"/>
  <c r="M56" i="9"/>
  <c r="N56" i="9"/>
  <c r="O56" i="9"/>
  <c r="P56" i="9"/>
  <c r="J57" i="9"/>
  <c r="K57" i="9"/>
  <c r="L57" i="9"/>
  <c r="M57" i="9"/>
  <c r="N57" i="9"/>
  <c r="O57" i="9"/>
  <c r="P57" i="9"/>
  <c r="J58" i="9"/>
  <c r="K58" i="9"/>
  <c r="L58" i="9"/>
  <c r="M58" i="9"/>
  <c r="N58" i="9"/>
  <c r="O58" i="9"/>
  <c r="P58" i="9"/>
  <c r="J59" i="9"/>
  <c r="K59" i="9"/>
  <c r="L59" i="9"/>
  <c r="M59" i="9"/>
  <c r="N59" i="9"/>
  <c r="O59" i="9"/>
  <c r="P59" i="9"/>
  <c r="J60" i="9"/>
  <c r="K60" i="9"/>
  <c r="L60" i="9"/>
  <c r="M60" i="9"/>
  <c r="N60" i="9"/>
  <c r="O60" i="9"/>
  <c r="P60" i="9"/>
  <c r="J61" i="9"/>
  <c r="K61" i="9"/>
  <c r="L61" i="9"/>
  <c r="M61" i="9"/>
  <c r="N61" i="9"/>
  <c r="O61" i="9"/>
  <c r="P61" i="9"/>
  <c r="J62" i="9"/>
  <c r="K62" i="9"/>
  <c r="L62" i="9"/>
  <c r="M62" i="9"/>
  <c r="N62" i="9"/>
  <c r="O62" i="9"/>
  <c r="P62" i="9"/>
  <c r="J63" i="9"/>
  <c r="K63" i="9"/>
  <c r="L63" i="9"/>
  <c r="M63" i="9"/>
  <c r="N63" i="9"/>
  <c r="O63" i="9"/>
  <c r="P63" i="9"/>
  <c r="J64" i="9"/>
  <c r="K64" i="9"/>
  <c r="L64" i="9"/>
  <c r="M64" i="9"/>
  <c r="N64" i="9"/>
  <c r="O64" i="9"/>
  <c r="P64" i="9"/>
  <c r="J65" i="9"/>
  <c r="K65" i="9"/>
  <c r="L65" i="9"/>
  <c r="M65" i="9"/>
  <c r="N65" i="9"/>
  <c r="O65" i="9"/>
  <c r="P65" i="9"/>
  <c r="J66" i="9"/>
  <c r="K66" i="9"/>
  <c r="L66" i="9"/>
  <c r="M66" i="9"/>
  <c r="N66" i="9"/>
  <c r="O66" i="9"/>
  <c r="P66" i="9"/>
  <c r="J67" i="9"/>
  <c r="K67" i="9"/>
  <c r="L67" i="9"/>
  <c r="M67" i="9"/>
  <c r="N67" i="9"/>
  <c r="O67" i="9"/>
  <c r="P67" i="9"/>
  <c r="J68" i="9"/>
  <c r="K68" i="9"/>
  <c r="L68" i="9"/>
  <c r="M68" i="9"/>
  <c r="N68" i="9"/>
  <c r="O68" i="9"/>
  <c r="P68" i="9"/>
  <c r="J69" i="9"/>
  <c r="K69" i="9"/>
  <c r="L69" i="9"/>
  <c r="M69" i="9"/>
  <c r="N69" i="9"/>
  <c r="O69" i="9"/>
  <c r="P69" i="9"/>
  <c r="J70" i="9"/>
  <c r="K70" i="9"/>
  <c r="L70" i="9"/>
  <c r="M70" i="9"/>
  <c r="N70" i="9"/>
  <c r="O70" i="9"/>
  <c r="P70" i="9"/>
  <c r="J71" i="9"/>
  <c r="K71" i="9"/>
  <c r="L71" i="9"/>
  <c r="M71" i="9"/>
  <c r="N71" i="9"/>
  <c r="O71" i="9"/>
  <c r="P71" i="9"/>
  <c r="J72" i="9"/>
  <c r="K72" i="9"/>
  <c r="L72" i="9"/>
  <c r="M72" i="9"/>
  <c r="N72" i="9"/>
  <c r="O72" i="9"/>
  <c r="P72" i="9"/>
  <c r="J73" i="9"/>
  <c r="K73" i="9"/>
  <c r="L73" i="9"/>
  <c r="M73" i="9"/>
  <c r="N73" i="9"/>
  <c r="O73" i="9"/>
  <c r="P73" i="9"/>
  <c r="J74" i="9"/>
  <c r="K74" i="9"/>
  <c r="L74" i="9"/>
  <c r="M74" i="9"/>
  <c r="N74" i="9"/>
  <c r="O74" i="9"/>
  <c r="P74" i="9"/>
  <c r="J75" i="9"/>
  <c r="K75" i="9"/>
  <c r="L75" i="9"/>
  <c r="M75" i="9"/>
  <c r="N75" i="9"/>
  <c r="O75" i="9"/>
  <c r="P75" i="9"/>
  <c r="J76" i="9"/>
  <c r="K76" i="9"/>
  <c r="L76" i="9"/>
  <c r="M76" i="9"/>
  <c r="N76" i="9"/>
  <c r="O76" i="9"/>
  <c r="P76" i="9"/>
  <c r="J77" i="9"/>
  <c r="K77" i="9"/>
  <c r="L77" i="9"/>
  <c r="M77" i="9"/>
  <c r="N77" i="9"/>
  <c r="O77" i="9"/>
  <c r="P77" i="9"/>
  <c r="J78" i="9"/>
  <c r="K78" i="9"/>
  <c r="L78" i="9"/>
  <c r="M78" i="9"/>
  <c r="N78" i="9"/>
  <c r="O78" i="9"/>
  <c r="P78" i="9"/>
  <c r="J79" i="9"/>
  <c r="K79" i="9"/>
  <c r="L79" i="9"/>
  <c r="M79" i="9"/>
  <c r="N79" i="9"/>
  <c r="O79" i="9"/>
  <c r="P79" i="9"/>
  <c r="J80" i="9"/>
  <c r="K80" i="9"/>
  <c r="L80" i="9"/>
  <c r="M80" i="9"/>
  <c r="N80" i="9"/>
  <c r="O80" i="9"/>
  <c r="P80" i="9"/>
  <c r="J81" i="9"/>
  <c r="K81" i="9"/>
  <c r="L81" i="9"/>
  <c r="M81" i="9"/>
  <c r="N81" i="9"/>
  <c r="O81" i="9"/>
  <c r="P81" i="9"/>
  <c r="J82" i="9"/>
  <c r="K82" i="9"/>
  <c r="L82" i="9"/>
  <c r="M82" i="9"/>
  <c r="N82" i="9"/>
  <c r="O82" i="9"/>
  <c r="P82" i="9"/>
  <c r="J83" i="9"/>
  <c r="K83" i="9"/>
  <c r="L83" i="9"/>
  <c r="M83" i="9"/>
  <c r="N83" i="9"/>
  <c r="O83" i="9"/>
  <c r="P83" i="9"/>
  <c r="J84" i="9"/>
  <c r="K84" i="9"/>
  <c r="L84" i="9"/>
  <c r="M84" i="9"/>
  <c r="N84" i="9"/>
  <c r="O84" i="9"/>
  <c r="P84" i="9"/>
  <c r="J85" i="9"/>
  <c r="K85" i="9"/>
  <c r="L85" i="9"/>
  <c r="M85" i="9"/>
  <c r="N85" i="9"/>
  <c r="O85" i="9"/>
  <c r="P85" i="9"/>
  <c r="J86" i="9"/>
  <c r="K86" i="9"/>
  <c r="L86" i="9"/>
  <c r="M86" i="9"/>
  <c r="N86" i="9"/>
  <c r="O86" i="9"/>
  <c r="P86" i="9"/>
  <c r="J87" i="9"/>
  <c r="K87" i="9"/>
  <c r="L87" i="9"/>
  <c r="M87" i="9"/>
  <c r="N87" i="9"/>
  <c r="O87" i="9"/>
  <c r="P87" i="9"/>
  <c r="J88" i="9"/>
  <c r="K88" i="9"/>
  <c r="L88" i="9"/>
  <c r="M88" i="9"/>
  <c r="N88" i="9"/>
  <c r="O88" i="9"/>
  <c r="P88" i="9"/>
  <c r="J89" i="9"/>
  <c r="K89" i="9"/>
  <c r="L89" i="9"/>
  <c r="M89" i="9"/>
  <c r="N89" i="9"/>
  <c r="O89" i="9"/>
  <c r="P89" i="9"/>
  <c r="J90" i="9"/>
  <c r="K90" i="9"/>
  <c r="L90" i="9"/>
  <c r="M90" i="9"/>
  <c r="N90" i="9"/>
  <c r="O90" i="9"/>
  <c r="P90" i="9"/>
  <c r="J91" i="9"/>
  <c r="K91" i="9"/>
  <c r="L91" i="9"/>
  <c r="M91" i="9"/>
  <c r="N91" i="9"/>
  <c r="O91" i="9"/>
  <c r="P91" i="9"/>
  <c r="J92" i="9"/>
  <c r="K92" i="9"/>
  <c r="L92" i="9"/>
  <c r="M92" i="9"/>
  <c r="N92" i="9"/>
  <c r="O92" i="9"/>
  <c r="P92" i="9"/>
  <c r="J93" i="9"/>
  <c r="K93" i="9"/>
  <c r="L93" i="9"/>
  <c r="M93" i="9"/>
  <c r="N93" i="9"/>
  <c r="O93" i="9"/>
  <c r="P93" i="9"/>
  <c r="J94" i="9"/>
  <c r="K94" i="9"/>
  <c r="L94" i="9"/>
  <c r="M94" i="9"/>
  <c r="N94" i="9"/>
  <c r="O94" i="9"/>
  <c r="P94" i="9"/>
  <c r="J95" i="9"/>
  <c r="K95" i="9"/>
  <c r="L95" i="9"/>
  <c r="M95" i="9"/>
  <c r="N95" i="9"/>
  <c r="O95" i="9"/>
  <c r="P95" i="9"/>
  <c r="J96" i="9"/>
  <c r="K96" i="9"/>
  <c r="L96" i="9"/>
  <c r="M96" i="9"/>
  <c r="N96" i="9"/>
  <c r="O96" i="9"/>
  <c r="P96" i="9"/>
  <c r="J97" i="9"/>
  <c r="K97" i="9"/>
  <c r="L97" i="9"/>
  <c r="M97" i="9"/>
  <c r="N97" i="9"/>
  <c r="O97" i="9"/>
  <c r="P97" i="9"/>
  <c r="J98" i="9"/>
  <c r="K98" i="9"/>
  <c r="L98" i="9"/>
  <c r="M98" i="9"/>
  <c r="N98" i="9"/>
  <c r="O98" i="9"/>
  <c r="P98" i="9"/>
  <c r="J99" i="9"/>
  <c r="K99" i="9"/>
  <c r="L99" i="9"/>
  <c r="M99" i="9"/>
  <c r="N99" i="9"/>
  <c r="O99" i="9"/>
  <c r="P99" i="9"/>
  <c r="J100" i="9"/>
  <c r="K100" i="9"/>
  <c r="L100" i="9"/>
  <c r="M100" i="9"/>
  <c r="N100" i="9"/>
  <c r="O100" i="9"/>
  <c r="P100" i="9"/>
  <c r="J101" i="9"/>
  <c r="K101" i="9"/>
  <c r="L101" i="9"/>
  <c r="M101" i="9"/>
  <c r="N101" i="9"/>
  <c r="O101" i="9"/>
  <c r="P101" i="9"/>
  <c r="J102" i="9"/>
  <c r="K102" i="9"/>
  <c r="L102" i="9"/>
  <c r="M102" i="9"/>
  <c r="N102" i="9"/>
  <c r="O102" i="9"/>
  <c r="P102" i="9"/>
  <c r="J103" i="9"/>
  <c r="K103" i="9"/>
  <c r="L103" i="9"/>
  <c r="M103" i="9"/>
  <c r="N103" i="9"/>
  <c r="O103" i="9"/>
  <c r="P103" i="9"/>
  <c r="J104" i="9"/>
  <c r="K104" i="9"/>
  <c r="L104" i="9"/>
  <c r="M104" i="9"/>
  <c r="N104" i="9"/>
  <c r="O104" i="9"/>
  <c r="P104" i="9"/>
  <c r="J105" i="9"/>
  <c r="K105" i="9"/>
  <c r="L105" i="9"/>
  <c r="M105" i="9"/>
  <c r="N105" i="9"/>
  <c r="O105" i="9"/>
  <c r="P105" i="9"/>
  <c r="J106" i="9"/>
  <c r="K106" i="9"/>
  <c r="L106" i="9"/>
  <c r="M106" i="9"/>
  <c r="N106" i="9"/>
  <c r="O106" i="9"/>
  <c r="P106" i="9"/>
  <c r="J107" i="9"/>
  <c r="K107" i="9"/>
  <c r="L107" i="9"/>
  <c r="M107" i="9"/>
  <c r="N107" i="9"/>
  <c r="O107" i="9"/>
  <c r="P107" i="9"/>
  <c r="J108" i="9"/>
  <c r="K108" i="9"/>
  <c r="L108" i="9"/>
  <c r="M108" i="9"/>
  <c r="N108" i="9"/>
  <c r="O108" i="9"/>
  <c r="P108" i="9"/>
  <c r="J109" i="9"/>
  <c r="K109" i="9"/>
  <c r="L109" i="9"/>
  <c r="M109" i="9"/>
  <c r="N109" i="9"/>
  <c r="O109" i="9"/>
  <c r="P109" i="9"/>
  <c r="J110" i="9"/>
  <c r="K110" i="9"/>
  <c r="L110" i="9"/>
  <c r="M110" i="9"/>
  <c r="N110" i="9"/>
  <c r="O110" i="9"/>
  <c r="P110" i="9"/>
  <c r="J111" i="9"/>
  <c r="K111" i="9"/>
  <c r="L111" i="9"/>
  <c r="M111" i="9"/>
  <c r="N111" i="9"/>
  <c r="O111" i="9"/>
  <c r="P111" i="9"/>
  <c r="J112" i="9"/>
  <c r="K112" i="9"/>
  <c r="L112" i="9"/>
  <c r="M112" i="9"/>
  <c r="N112" i="9"/>
  <c r="O112" i="9"/>
  <c r="P112" i="9"/>
  <c r="J113" i="9"/>
  <c r="K113" i="9"/>
  <c r="L113" i="9"/>
  <c r="M113" i="9"/>
  <c r="N113" i="9"/>
  <c r="O113" i="9"/>
  <c r="P113" i="9"/>
  <c r="J114" i="9"/>
  <c r="K114" i="9"/>
  <c r="L114" i="9"/>
  <c r="M114" i="9"/>
  <c r="N114" i="9"/>
  <c r="O114" i="9"/>
  <c r="P114" i="9"/>
  <c r="J115" i="9"/>
  <c r="K115" i="9"/>
  <c r="L115" i="9"/>
  <c r="M115" i="9"/>
  <c r="N115" i="9"/>
  <c r="O115" i="9"/>
  <c r="P115" i="9"/>
  <c r="J116" i="9"/>
  <c r="K116" i="9"/>
  <c r="L116" i="9"/>
  <c r="M116" i="9"/>
  <c r="N116" i="9"/>
  <c r="O116" i="9"/>
  <c r="P116" i="9"/>
  <c r="J117" i="9"/>
  <c r="K117" i="9"/>
  <c r="L117" i="9"/>
  <c r="M117" i="9"/>
  <c r="N117" i="9"/>
  <c r="O117" i="9"/>
  <c r="P117" i="9"/>
  <c r="J118" i="9"/>
  <c r="K118" i="9"/>
  <c r="L118" i="9"/>
  <c r="M118" i="9"/>
  <c r="N118" i="9"/>
  <c r="O118" i="9"/>
  <c r="P118" i="9"/>
  <c r="J119" i="9"/>
  <c r="K119" i="9"/>
  <c r="L119" i="9"/>
  <c r="M119" i="9"/>
  <c r="N119" i="9"/>
  <c r="O119" i="9"/>
  <c r="P119" i="9"/>
  <c r="J120" i="9"/>
  <c r="K120" i="9"/>
  <c r="L120" i="9"/>
  <c r="M120" i="9"/>
  <c r="N120" i="9"/>
  <c r="O120" i="9"/>
  <c r="P120" i="9"/>
  <c r="J121" i="9"/>
  <c r="K121" i="9"/>
  <c r="L121" i="9"/>
  <c r="M121" i="9"/>
  <c r="N121" i="9"/>
  <c r="O121" i="9"/>
  <c r="P121" i="9"/>
  <c r="J122" i="9"/>
  <c r="K122" i="9"/>
  <c r="L122" i="9"/>
  <c r="M122" i="9"/>
  <c r="N122" i="9"/>
  <c r="O122" i="9"/>
  <c r="P122" i="9"/>
  <c r="J123" i="9"/>
  <c r="K123" i="9"/>
  <c r="L123" i="9"/>
  <c r="M123" i="9"/>
  <c r="N123" i="9"/>
  <c r="O123" i="9"/>
  <c r="P123" i="9"/>
  <c r="J124" i="9"/>
  <c r="K124" i="9"/>
  <c r="L124" i="9"/>
  <c r="M124" i="9"/>
  <c r="N124" i="9"/>
  <c r="O124" i="9"/>
  <c r="P124" i="9"/>
  <c r="J125" i="9"/>
  <c r="K125" i="9"/>
  <c r="L125" i="9"/>
  <c r="M125" i="9"/>
  <c r="N125" i="9"/>
  <c r="O125" i="9"/>
  <c r="P125" i="9"/>
  <c r="J126" i="9"/>
  <c r="K126" i="9"/>
  <c r="L126" i="9"/>
  <c r="M126" i="9"/>
  <c r="N126" i="9"/>
  <c r="O126" i="9"/>
  <c r="P126" i="9"/>
  <c r="J127" i="9"/>
  <c r="K127" i="9"/>
  <c r="L127" i="9"/>
  <c r="M127" i="9"/>
  <c r="N127" i="9"/>
  <c r="O127" i="9"/>
  <c r="P127" i="9"/>
  <c r="P3" i="9"/>
  <c r="O3" i="9"/>
  <c r="N3" i="9"/>
  <c r="M3" i="9"/>
  <c r="L3" i="9"/>
  <c r="K3" i="9"/>
  <c r="J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3" i="9"/>
  <c r="G48" i="9"/>
  <c r="F48" i="9"/>
  <c r="H48" i="9" s="1"/>
  <c r="F47" i="9"/>
  <c r="H47" i="9" s="1"/>
  <c r="G47"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3" i="9"/>
  <c r="H125" i="9"/>
  <c r="H118" i="9"/>
  <c r="H64" i="9"/>
  <c r="F123" i="9"/>
  <c r="H123" i="9" s="1"/>
  <c r="F124" i="9"/>
  <c r="H124" i="9" s="1"/>
  <c r="F121" i="9"/>
  <c r="H121" i="9" s="1"/>
  <c r="F119" i="9"/>
  <c r="H119" i="9" s="1"/>
  <c r="F116" i="9"/>
  <c r="H116" i="9" s="1"/>
  <c r="F117" i="9"/>
  <c r="H117" i="9" s="1"/>
  <c r="F113" i="9"/>
  <c r="H113" i="9" s="1"/>
  <c r="F114" i="9"/>
  <c r="H114" i="9" s="1"/>
  <c r="F110" i="9"/>
  <c r="H110" i="9" s="1"/>
  <c r="F111" i="9"/>
  <c r="H111" i="9" s="1"/>
  <c r="F107" i="9"/>
  <c r="H107" i="9" s="1"/>
  <c r="F108" i="9"/>
  <c r="H108" i="9" s="1"/>
  <c r="F104" i="9"/>
  <c r="H104" i="9" s="1"/>
  <c r="F105" i="9"/>
  <c r="H105" i="9" s="1"/>
  <c r="F102" i="9"/>
  <c r="H102" i="9" s="1"/>
  <c r="F100" i="9"/>
  <c r="H100" i="9" s="1"/>
  <c r="F97" i="9"/>
  <c r="H97" i="9" s="1"/>
  <c r="F98" i="9"/>
  <c r="H98" i="9" s="1"/>
  <c r="F94" i="9"/>
  <c r="H94" i="9" s="1"/>
  <c r="F95" i="9"/>
  <c r="H95" i="9" s="1"/>
  <c r="F91" i="9"/>
  <c r="H91" i="9" s="1"/>
  <c r="F92" i="9"/>
  <c r="H92" i="9" s="1"/>
  <c r="F88" i="9"/>
  <c r="H88" i="9" s="1"/>
  <c r="F89" i="9"/>
  <c r="H89" i="9" s="1"/>
  <c r="F85" i="9"/>
  <c r="H85" i="9" s="1"/>
  <c r="F86" i="9"/>
  <c r="H86" i="9" s="1"/>
  <c r="F83" i="9"/>
  <c r="H83" i="9" s="1"/>
  <c r="F80" i="9"/>
  <c r="H80" i="9" s="1"/>
  <c r="F81" i="9"/>
  <c r="H81" i="9" s="1"/>
  <c r="F77" i="9"/>
  <c r="H77" i="9" s="1"/>
  <c r="F78" i="9"/>
  <c r="H78" i="9" s="1"/>
  <c r="F74" i="9"/>
  <c r="H74" i="9" s="1"/>
  <c r="F75" i="9"/>
  <c r="H75" i="9" s="1"/>
  <c r="F72" i="9"/>
  <c r="H72" i="9" s="1"/>
  <c r="F69" i="9"/>
  <c r="H69" i="9" s="1"/>
  <c r="F70" i="9"/>
  <c r="H70" i="9" s="1"/>
  <c r="F67" i="9"/>
  <c r="H67" i="9" s="1"/>
  <c r="F65" i="9"/>
  <c r="H65" i="9" s="1"/>
  <c r="F63" i="9"/>
  <c r="H63" i="9" s="1"/>
  <c r="F60" i="9"/>
  <c r="H60" i="9" s="1"/>
  <c r="F61" i="9"/>
  <c r="H61" i="9" s="1"/>
  <c r="F58" i="9"/>
  <c r="H58" i="9" s="1"/>
  <c r="F55" i="9"/>
  <c r="H55" i="9" s="1"/>
  <c r="F56" i="9"/>
  <c r="H56" i="9" s="1"/>
  <c r="F53" i="9"/>
  <c r="H53" i="9" s="1"/>
  <c r="F50" i="9"/>
  <c r="H50" i="9" s="1"/>
  <c r="F51" i="9"/>
  <c r="H51" i="9" s="1"/>
  <c r="F45" i="9"/>
  <c r="H45" i="9" s="1"/>
  <c r="F46" i="9"/>
  <c r="H46" i="9" s="1"/>
  <c r="F43" i="9"/>
  <c r="H43" i="9" s="1"/>
  <c r="F40" i="9"/>
  <c r="H40" i="9" s="1"/>
  <c r="F41" i="9"/>
  <c r="H41" i="9" s="1"/>
  <c r="F37" i="9"/>
  <c r="H37" i="9" s="1"/>
  <c r="F38" i="9"/>
  <c r="H38" i="9" s="1"/>
  <c r="F35" i="9"/>
  <c r="H35" i="9" s="1"/>
  <c r="F32" i="9"/>
  <c r="H32" i="9" s="1"/>
  <c r="F33" i="9"/>
  <c r="H33" i="9" s="1"/>
  <c r="F30" i="9"/>
  <c r="H30" i="9" s="1"/>
  <c r="F27" i="9"/>
  <c r="H27" i="9" s="1"/>
  <c r="F28" i="9"/>
  <c r="H28" i="9" s="1"/>
  <c r="F25" i="9"/>
  <c r="H25" i="9" s="1"/>
  <c r="F22" i="9"/>
  <c r="H22" i="9" s="1"/>
  <c r="F23" i="9"/>
  <c r="H23" i="9" s="1"/>
  <c r="F19" i="9"/>
  <c r="H19" i="9" s="1"/>
  <c r="F20" i="9"/>
  <c r="H20" i="9" s="1"/>
  <c r="F17" i="9"/>
  <c r="H17" i="9" s="1"/>
  <c r="F14" i="9"/>
  <c r="H14" i="9" s="1"/>
  <c r="F15" i="9"/>
  <c r="H15" i="9" s="1"/>
  <c r="F12" i="9"/>
  <c r="H12" i="9" s="1"/>
  <c r="F9" i="9"/>
  <c r="H9" i="9" s="1"/>
  <c r="F10" i="9"/>
  <c r="H10" i="9" s="1"/>
  <c r="F7" i="9"/>
  <c r="H7" i="9" s="1"/>
  <c r="F5" i="9"/>
  <c r="H5" i="9" s="1"/>
  <c r="F4" i="9"/>
  <c r="H4" i="9" s="1"/>
  <c r="F6" i="9"/>
  <c r="H6" i="9" s="1"/>
  <c r="F8" i="9"/>
  <c r="H8" i="9" s="1"/>
  <c r="F11" i="9"/>
  <c r="H11" i="9" s="1"/>
  <c r="F13" i="9"/>
  <c r="H13" i="9" s="1"/>
  <c r="F16" i="9"/>
  <c r="H16" i="9" s="1"/>
  <c r="F18" i="9"/>
  <c r="H18" i="9" s="1"/>
  <c r="F21" i="9"/>
  <c r="H21" i="9" s="1"/>
  <c r="F24" i="9"/>
  <c r="H24" i="9" s="1"/>
  <c r="F26" i="9"/>
  <c r="H26" i="9" s="1"/>
  <c r="F29" i="9"/>
  <c r="H29" i="9" s="1"/>
  <c r="F31" i="9"/>
  <c r="H31" i="9" s="1"/>
  <c r="F34" i="9"/>
  <c r="H34" i="9" s="1"/>
  <c r="F36" i="9"/>
  <c r="H36" i="9" s="1"/>
  <c r="F39" i="9"/>
  <c r="H39" i="9" s="1"/>
  <c r="F42" i="9"/>
  <c r="H42" i="9" s="1"/>
  <c r="F44" i="9"/>
  <c r="H44" i="9" s="1"/>
  <c r="F49" i="9"/>
  <c r="H49" i="9" s="1"/>
  <c r="F52" i="9"/>
  <c r="H52" i="9" s="1"/>
  <c r="F54" i="9"/>
  <c r="H54" i="9" s="1"/>
  <c r="F57" i="9"/>
  <c r="H57" i="9" s="1"/>
  <c r="F59" i="9"/>
  <c r="H59" i="9" s="1"/>
  <c r="F62" i="9"/>
  <c r="H62" i="9" s="1"/>
  <c r="F66" i="9"/>
  <c r="H66" i="9" s="1"/>
  <c r="F68" i="9"/>
  <c r="H68" i="9" s="1"/>
  <c r="F71" i="9"/>
  <c r="H71" i="9" s="1"/>
  <c r="F73" i="9"/>
  <c r="H73" i="9" s="1"/>
  <c r="F76" i="9"/>
  <c r="H76" i="9" s="1"/>
  <c r="F79" i="9"/>
  <c r="H79" i="9" s="1"/>
  <c r="F82" i="9"/>
  <c r="H82" i="9" s="1"/>
  <c r="F84" i="9"/>
  <c r="H84" i="9" s="1"/>
  <c r="F87" i="9"/>
  <c r="H87" i="9" s="1"/>
  <c r="F90" i="9"/>
  <c r="H90" i="9" s="1"/>
  <c r="F93" i="9"/>
  <c r="H93" i="9" s="1"/>
  <c r="F96" i="9"/>
  <c r="H96" i="9" s="1"/>
  <c r="F99" i="9"/>
  <c r="H99" i="9" s="1"/>
  <c r="F101" i="9"/>
  <c r="H101" i="9" s="1"/>
  <c r="F103" i="9"/>
  <c r="H103" i="9" s="1"/>
  <c r="F106" i="9"/>
  <c r="H106" i="9" s="1"/>
  <c r="F109" i="9"/>
  <c r="H109" i="9" s="1"/>
  <c r="F112" i="9"/>
  <c r="H112" i="9" s="1"/>
  <c r="F115" i="9"/>
  <c r="H115" i="9" s="1"/>
  <c r="F120" i="9"/>
  <c r="H120" i="9" s="1"/>
  <c r="F122" i="9"/>
  <c r="H122" i="9" s="1"/>
  <c r="F126" i="9"/>
  <c r="H126" i="9" s="1"/>
  <c r="F127" i="9"/>
  <c r="H127" i="9" s="1"/>
  <c r="F3" i="9"/>
  <c r="H3" i="9" s="1"/>
  <c r="O4" i="8"/>
  <c r="O5" i="8"/>
  <c r="O6" i="8"/>
  <c r="O7" i="8"/>
  <c r="O8" i="8"/>
  <c r="O9" i="8"/>
  <c r="O10" i="8"/>
  <c r="O11" i="8"/>
  <c r="O12" i="8"/>
  <c r="O13" i="8"/>
  <c r="O14" i="8"/>
  <c r="O16" i="8"/>
  <c r="O17" i="8"/>
  <c r="O18" i="8"/>
  <c r="O20" i="8"/>
  <c r="O21" i="8"/>
  <c r="O22" i="8"/>
  <c r="O23" i="8"/>
  <c r="O24" i="8"/>
  <c r="O3" i="8"/>
  <c r="M3" i="7"/>
  <c r="AB4" i="6"/>
  <c r="AC4" i="6"/>
  <c r="AD4" i="6"/>
  <c r="AE4" i="6"/>
  <c r="AB5" i="6"/>
  <c r="AC5" i="6"/>
  <c r="AD5" i="6"/>
  <c r="AE5" i="6"/>
  <c r="AB6" i="6"/>
  <c r="AE6" i="6"/>
  <c r="AB7" i="6"/>
  <c r="AE7" i="6"/>
  <c r="AE8" i="6"/>
  <c r="Z9" i="6"/>
  <c r="AB9" i="6"/>
  <c r="AD9" i="6"/>
  <c r="AE9" i="6"/>
  <c r="AA10" i="6"/>
  <c r="AE10" i="6"/>
  <c r="Z11" i="6"/>
  <c r="AC11" i="6"/>
  <c r="AD11" i="6"/>
  <c r="AC12" i="6"/>
  <c r="AD12" i="6"/>
  <c r="AA13" i="6"/>
  <c r="AE13" i="6"/>
  <c r="AC14" i="6"/>
  <c r="AE14" i="6"/>
  <c r="AC16" i="6"/>
  <c r="AE17" i="6"/>
  <c r="Z18" i="6"/>
  <c r="AC18" i="6"/>
  <c r="AD18" i="6"/>
  <c r="AE18" i="6"/>
  <c r="Z20" i="6"/>
  <c r="AB20" i="6"/>
  <c r="AC20" i="6"/>
  <c r="AD20" i="6"/>
  <c r="AE20" i="6"/>
  <c r="Z21" i="6"/>
  <c r="AB21" i="6"/>
  <c r="AC21" i="6"/>
  <c r="AD21" i="6"/>
  <c r="AE21" i="6"/>
  <c r="AC22" i="6"/>
  <c r="AD22" i="6"/>
  <c r="AE22" i="6"/>
  <c r="AC23" i="6"/>
  <c r="AE23" i="6"/>
  <c r="AC24" i="6"/>
  <c r="Y4" i="6"/>
  <c r="Y5" i="6"/>
  <c r="Y12" i="6"/>
  <c r="Y16" i="6"/>
  <c r="Y21" i="6"/>
  <c r="Y22" i="6"/>
  <c r="X6" i="6"/>
  <c r="X10" i="6"/>
  <c r="X17" i="6"/>
  <c r="X18" i="6"/>
  <c r="X22" i="6"/>
  <c r="W6" i="6"/>
  <c r="W8" i="6"/>
  <c r="W10" i="6"/>
  <c r="W17" i="6"/>
  <c r="W18" i="6"/>
  <c r="W22" i="6"/>
  <c r="V7" i="6"/>
  <c r="V14" i="6"/>
  <c r="V23" i="6"/>
  <c r="V24" i="6"/>
  <c r="U14" i="6"/>
  <c r="U23" i="6"/>
  <c r="U24" i="6"/>
  <c r="Y3" i="6"/>
  <c r="AC3" i="6"/>
  <c r="AD3" i="6"/>
  <c r="G30" i="7"/>
  <c r="H30" i="7"/>
  <c r="I30" i="7"/>
  <c r="J30" i="7"/>
  <c r="K30" i="7"/>
  <c r="L30" i="7"/>
  <c r="N30" i="7"/>
  <c r="O30" i="7"/>
  <c r="P30" i="7"/>
  <c r="Q30" i="7"/>
  <c r="R30" i="7"/>
  <c r="S30" i="7"/>
  <c r="T30" i="7"/>
  <c r="U30" i="7"/>
  <c r="F30" i="7"/>
  <c r="G28" i="7"/>
  <c r="H28" i="7"/>
  <c r="J28" i="7"/>
  <c r="K28" i="7"/>
  <c r="M28" i="7"/>
  <c r="N28" i="7"/>
  <c r="O28" i="7"/>
  <c r="P28" i="7"/>
  <c r="F28" i="7"/>
  <c r="G25" i="7"/>
  <c r="H25" i="7"/>
  <c r="J25" i="7"/>
  <c r="K25" i="7"/>
  <c r="M25" i="7"/>
  <c r="N25" i="7"/>
  <c r="O25" i="7"/>
  <c r="P25" i="7"/>
  <c r="Q25" i="7"/>
  <c r="R25" i="7"/>
  <c r="U25" i="7"/>
  <c r="V25" i="7"/>
  <c r="F25" i="7"/>
  <c r="G22" i="7"/>
  <c r="H22" i="7"/>
  <c r="I22" i="7"/>
  <c r="J22" i="7"/>
  <c r="M22" i="7"/>
  <c r="N22" i="7"/>
  <c r="F22" i="7"/>
  <c r="M19" i="7"/>
  <c r="J19" i="7"/>
  <c r="K16" i="7"/>
  <c r="M16" i="7"/>
  <c r="N16" i="7"/>
  <c r="O16" i="7"/>
  <c r="J16" i="7"/>
  <c r="G13" i="7"/>
  <c r="H13" i="7"/>
  <c r="J13" i="7"/>
  <c r="M13" i="7"/>
  <c r="N13" i="7"/>
  <c r="O13" i="7"/>
  <c r="F13" i="7"/>
  <c r="J10" i="7"/>
  <c r="M10" i="7"/>
  <c r="N10" i="7"/>
  <c r="O10" i="7"/>
  <c r="F10" i="7"/>
  <c r="J7" i="7"/>
  <c r="K7" i="7"/>
  <c r="M7" i="7"/>
  <c r="N7" i="7"/>
  <c r="O7" i="7"/>
  <c r="M5" i="7"/>
  <c r="U5" i="7"/>
  <c r="V5" i="7"/>
  <c r="F5" i="7"/>
  <c r="F7" i="7"/>
  <c r="U3" i="7"/>
  <c r="V3" i="7"/>
  <c r="C25" i="6"/>
  <c r="AE3" i="5"/>
  <c r="AH3" i="5"/>
  <c r="AI3" i="5"/>
  <c r="AJ3" i="5"/>
  <c r="AK3" i="5"/>
  <c r="AE4" i="5"/>
  <c r="AH4" i="5"/>
  <c r="AI4" i="5"/>
  <c r="AJ4" i="5"/>
  <c r="AK4" i="5"/>
  <c r="AE5" i="5"/>
  <c r="AI5" i="5"/>
  <c r="AJ5" i="5"/>
  <c r="AE6" i="5"/>
  <c r="AF6" i="5"/>
  <c r="AH6" i="5"/>
  <c r="AI6" i="5"/>
  <c r="AJ6" i="5"/>
  <c r="AK6" i="5"/>
  <c r="AC7" i="5"/>
  <c r="AD7" i="5"/>
  <c r="AE7" i="5"/>
  <c r="AI7" i="5"/>
  <c r="AJ7" i="5"/>
  <c r="AK7" i="5"/>
  <c r="AF8" i="5"/>
  <c r="AI8" i="5"/>
  <c r="AJ8" i="5"/>
  <c r="AC9" i="5"/>
  <c r="AD9" i="5"/>
  <c r="AF9" i="5"/>
  <c r="AI9" i="5"/>
  <c r="AJ9" i="5"/>
  <c r="AK9" i="5"/>
  <c r="AF10" i="5"/>
  <c r="AH10" i="5"/>
  <c r="AI10" i="5"/>
  <c r="AJ10" i="5"/>
  <c r="AK10" i="5"/>
  <c r="AC11" i="5"/>
  <c r="AD11" i="5"/>
  <c r="AH11" i="5"/>
  <c r="AK11" i="5"/>
  <c r="AC12" i="5"/>
  <c r="AD12" i="5"/>
  <c r="AG12" i="5"/>
  <c r="AK12" i="5"/>
  <c r="AC13" i="5"/>
  <c r="AD13" i="5"/>
  <c r="AK13" i="5"/>
  <c r="AC14" i="5"/>
  <c r="AD14" i="5"/>
  <c r="AF14" i="5"/>
  <c r="AI14" i="5"/>
  <c r="AJ14" i="5"/>
  <c r="AK14" i="5"/>
  <c r="AC15" i="5"/>
  <c r="AD15" i="5"/>
  <c r="AE15" i="5"/>
  <c r="AI15" i="5"/>
  <c r="AJ15" i="5"/>
  <c r="AK15" i="5"/>
  <c r="AC16" i="5"/>
  <c r="AD16" i="5"/>
  <c r="AG16" i="5"/>
  <c r="AK16" i="5"/>
  <c r="AG17" i="5"/>
  <c r="AK17" i="5"/>
  <c r="AE18" i="5"/>
  <c r="AH18" i="5"/>
  <c r="AI18" i="5"/>
  <c r="AJ18" i="5"/>
  <c r="AK18" i="5"/>
  <c r="AE19" i="5"/>
  <c r="AH19" i="5"/>
  <c r="AI19" i="5"/>
  <c r="AJ19" i="5"/>
  <c r="AK19" i="5"/>
  <c r="AC20" i="5"/>
  <c r="AD20" i="5"/>
  <c r="AH20" i="5"/>
  <c r="AK20" i="5"/>
  <c r="AB21" i="5"/>
  <c r="AH21" i="5"/>
  <c r="AK21" i="5"/>
  <c r="AF22" i="5"/>
  <c r="AH22" i="5"/>
  <c r="AJ22" i="5"/>
  <c r="AK22" i="5"/>
  <c r="AF23" i="5"/>
  <c r="AH23" i="5"/>
  <c r="AJ23" i="5"/>
  <c r="AK23" i="5"/>
  <c r="AF24" i="5"/>
  <c r="AH24" i="5"/>
  <c r="AI24" i="5"/>
  <c r="AJ24" i="5"/>
  <c r="AK24" i="5"/>
  <c r="AE25" i="5"/>
  <c r="AF25" i="5"/>
  <c r="AH25" i="5"/>
  <c r="AI25" i="5"/>
  <c r="AJ25" i="5"/>
  <c r="AK25" i="5"/>
  <c r="AE26" i="5"/>
  <c r="AI26" i="5"/>
  <c r="AA27" i="5"/>
  <c r="AB27" i="5"/>
  <c r="AI27" i="5"/>
  <c r="AK27" i="5"/>
  <c r="AA28" i="5"/>
  <c r="AB28" i="5"/>
  <c r="AI28" i="5"/>
  <c r="AK28" i="5"/>
  <c r="AA29" i="5"/>
  <c r="AB29" i="5"/>
  <c r="AI29" i="5"/>
  <c r="AB30" i="5"/>
  <c r="AH30" i="5"/>
  <c r="AK30" i="5"/>
  <c r="AC31" i="5"/>
  <c r="AK31" i="5"/>
  <c r="AA32" i="5"/>
  <c r="AB32" i="5"/>
  <c r="AI32" i="5"/>
  <c r="AK32" i="5"/>
  <c r="AA33" i="5"/>
  <c r="AB33" i="5"/>
  <c r="AI33" i="5"/>
  <c r="AK33" i="5"/>
  <c r="AE2" i="5"/>
  <c r="AI2" i="5"/>
  <c r="AJ2" i="5"/>
  <c r="V3" i="4"/>
  <c r="V4" i="4"/>
  <c r="V5" i="4"/>
  <c r="V6" i="4"/>
  <c r="V7" i="4"/>
  <c r="V8" i="4"/>
  <c r="V9" i="4"/>
  <c r="V10" i="4"/>
  <c r="V11" i="4"/>
  <c r="V12" i="4"/>
  <c r="V13" i="4"/>
  <c r="V14" i="4"/>
  <c r="V15" i="4"/>
  <c r="V16" i="4"/>
  <c r="V17" i="4"/>
  <c r="V18" i="4"/>
  <c r="V19" i="4"/>
  <c r="V20" i="4"/>
  <c r="V21" i="4"/>
  <c r="V22" i="4"/>
  <c r="V23" i="4"/>
  <c r="V2" i="4"/>
  <c r="L24" i="4"/>
  <c r="M24" i="4"/>
  <c r="N24" i="4"/>
  <c r="O24" i="4"/>
  <c r="P24" i="4"/>
  <c r="Q24" i="4"/>
  <c r="R24" i="4"/>
  <c r="S24" i="4"/>
  <c r="T24" i="4"/>
  <c r="U24" i="4"/>
  <c r="K24" i="4"/>
  <c r="Y3" i="2"/>
  <c r="Y4" i="2"/>
  <c r="Y5" i="2"/>
  <c r="Y6" i="2"/>
  <c r="Y7" i="2"/>
  <c r="Y8" i="2"/>
  <c r="Y9" i="2"/>
  <c r="Y10" i="2"/>
  <c r="Y2" i="2"/>
  <c r="O11" i="2"/>
  <c r="P11" i="2"/>
  <c r="Q11" i="2"/>
  <c r="R11" i="2"/>
  <c r="S11" i="2"/>
  <c r="T11" i="2"/>
  <c r="U11" i="2"/>
  <c r="V11" i="2"/>
  <c r="W11" i="2"/>
  <c r="X11" i="2"/>
  <c r="N11" i="2"/>
  <c r="Z83" i="9" l="1"/>
  <c r="Z111" i="9"/>
  <c r="Z127" i="9"/>
  <c r="Z102" i="9"/>
  <c r="Z17" i="9"/>
  <c r="Z124" i="9"/>
  <c r="Z7" i="9"/>
  <c r="Z117" i="9"/>
  <c r="Z92" i="9"/>
  <c r="Z72" i="9"/>
  <c r="Z48" i="9"/>
  <c r="Z43" i="9"/>
  <c r="Z35" i="9"/>
  <c r="Z78" i="9"/>
  <c r="Z63" i="9"/>
  <c r="Z53" i="9"/>
  <c r="Z12" i="9"/>
  <c r="V25" i="4"/>
  <c r="W3" i="4" s="1"/>
  <c r="U25" i="4"/>
  <c r="W10" i="4" l="1"/>
  <c r="W6" i="4"/>
  <c r="W15" i="4"/>
  <c r="W2" i="4"/>
  <c r="W5" i="4"/>
  <c r="W12" i="4"/>
  <c r="W22" i="4"/>
  <c r="W21" i="4"/>
  <c r="W8" i="4"/>
  <c r="W18" i="4"/>
  <c r="W9" i="4"/>
  <c r="W19" i="4"/>
  <c r="W14" i="4"/>
  <c r="W17" i="4"/>
  <c r="W20" i="4"/>
  <c r="W4" i="4"/>
  <c r="W11" i="4"/>
  <c r="W13" i="4"/>
  <c r="W16" i="4"/>
  <c r="W23" i="4"/>
  <c r="W7" i="4"/>
  <c r="Q26" i="4"/>
  <c r="U26" i="4"/>
  <c r="O26" i="4"/>
  <c r="S26" i="4"/>
  <c r="N26" i="4"/>
  <c r="R26" i="4"/>
  <c r="K26" i="4"/>
  <c r="L26" i="4"/>
  <c r="P26" i="4"/>
  <c r="T26" i="4"/>
  <c r="M26" i="4"/>
  <c r="U27" i="4" l="1"/>
</calcChain>
</file>

<file path=xl/sharedStrings.xml><?xml version="1.0" encoding="utf-8"?>
<sst xmlns="http://schemas.openxmlformats.org/spreadsheetml/2006/main" count="3760" uniqueCount="571">
  <si>
    <t>No</t>
  </si>
  <si>
    <t>Kode PL</t>
  </si>
  <si>
    <t>Profil Lulusan (PL)</t>
  </si>
  <si>
    <t>PL01</t>
  </si>
  <si>
    <r>
      <t xml:space="preserve">Lulusan memiliki kemampuan </t>
    </r>
    <r>
      <rPr>
        <b/>
        <sz val="10"/>
        <color theme="1"/>
        <rFont val="Arial"/>
        <family val="2"/>
      </rPr>
      <t>pengembangan, implementasi, evaluasi, mengintegrasikan</t>
    </r>
    <r>
      <rPr>
        <sz val="10"/>
        <color theme="1"/>
        <rFont val="Arial"/>
        <family val="2"/>
      </rPr>
      <t xml:space="preserve"> </t>
    </r>
    <r>
      <rPr>
        <b/>
        <sz val="10"/>
        <color theme="1"/>
        <rFont val="Arial"/>
        <family val="2"/>
      </rPr>
      <t>solusi berbasis komputasi</t>
    </r>
    <r>
      <rPr>
        <sz val="10"/>
        <color theme="1"/>
        <rFont val="Arial"/>
        <family val="2"/>
      </rPr>
      <t xml:space="preserve"> yang sesuai dengan perkembangan </t>
    </r>
    <r>
      <rPr>
        <b/>
        <sz val="10"/>
        <color theme="1"/>
        <rFont val="Arial"/>
        <family val="2"/>
      </rPr>
      <t>teknologi informasi cerdas</t>
    </r>
    <r>
      <rPr>
        <sz val="10"/>
        <color theme="1"/>
        <rFont val="Arial"/>
        <family val="2"/>
      </rPr>
      <t xml:space="preserve"> untuk </t>
    </r>
    <r>
      <rPr>
        <b/>
        <sz val="10"/>
        <color theme="1"/>
        <rFont val="Arial"/>
        <family val="2"/>
      </rPr>
      <t>mendukung layanan publik dan ekonomi digital</t>
    </r>
  </si>
  <si>
    <t>PL02</t>
  </si>
  <si>
    <r>
      <t xml:space="preserve">Lulusan memiliki kemampuan </t>
    </r>
    <r>
      <rPr>
        <b/>
        <sz val="10"/>
        <color theme="1"/>
        <rFont val="Arial"/>
        <family val="2"/>
      </rPr>
      <t>membangun dan diseminasi pengetahuan, merencanakan, bekerjasama, memimpin, berpikir kritis, kreatif, komunikasi dan interpersonal yang baik</t>
    </r>
    <r>
      <rPr>
        <sz val="10"/>
        <color theme="1"/>
        <rFont val="Arial"/>
        <family val="2"/>
      </rPr>
      <t xml:space="preserve"> serta </t>
    </r>
    <r>
      <rPr>
        <b/>
        <sz val="10"/>
        <color theme="1"/>
        <rFont val="Arial"/>
        <family val="2"/>
      </rPr>
      <t>berkontribusi dalam peningkatan mutu kehidupan bermasyarakat, berbangsa dan bernegara</t>
    </r>
    <r>
      <rPr>
        <sz val="10"/>
        <color theme="1"/>
        <rFont val="Arial"/>
        <family val="2"/>
      </rPr>
      <t xml:space="preserve"> berdasarkan Pancasila untuk </t>
    </r>
    <r>
      <rPr>
        <b/>
        <sz val="10"/>
        <color theme="1"/>
        <rFont val="Arial"/>
        <family val="2"/>
      </rPr>
      <t>mendukung layanan publik dan ekonomi digital</t>
    </r>
  </si>
  <si>
    <t>PL03</t>
  </si>
  <si>
    <r>
      <t xml:space="preserve">Lulusan memiliki kemampuan </t>
    </r>
    <r>
      <rPr>
        <b/>
        <sz val="10"/>
        <color theme="1"/>
        <rFont val="Arial"/>
        <family val="2"/>
      </rPr>
      <t>menganalisis dan mengevaluasi penerapan teknologi informasi termasuk sistem basis data, keamanan informasi, manajemen proyek</t>
    </r>
    <r>
      <rPr>
        <sz val="10"/>
        <color theme="1"/>
        <rFont val="Arial"/>
        <family val="2"/>
      </rPr>
      <t xml:space="preserve"> </t>
    </r>
    <r>
      <rPr>
        <b/>
        <sz val="10"/>
        <color theme="1"/>
        <rFont val="Arial"/>
        <family val="2"/>
      </rPr>
      <t>pada layanan publik dan ekonomi digital</t>
    </r>
  </si>
  <si>
    <t>PL04</t>
  </si>
  <si>
    <r>
      <t xml:space="preserve">Lulusan memiliki kemampuan </t>
    </r>
    <r>
      <rPr>
        <b/>
        <sz val="10"/>
        <color theme="1"/>
        <rFont val="Arial"/>
        <family val="2"/>
      </rPr>
      <t>mengembangkan teknologi informasi cerdas, mengkaji isu-isu teknologi dan pengembangan dan pelaksanaan rencana strategis</t>
    </r>
  </si>
  <si>
    <r>
      <t xml:space="preserve">Lulusan mampu </t>
    </r>
    <r>
      <rPr>
        <b/>
        <sz val="10"/>
        <color theme="1"/>
        <rFont val="Arial"/>
        <family val="2"/>
      </rPr>
      <t>mengidentifikasi, menganalisis, meneliti literatur, mengevaluasi, dan memformulasi solusi-solusi algoritmik</t>
    </r>
    <r>
      <rPr>
        <sz val="10"/>
        <color theme="1"/>
        <rFont val="Arial"/>
        <family val="2"/>
      </rPr>
      <t xml:space="preserve"> untuk </t>
    </r>
    <r>
      <rPr>
        <b/>
        <sz val="10"/>
        <color theme="1"/>
        <rFont val="Arial"/>
        <family val="2"/>
      </rPr>
      <t>masalah komputasi yang kompleks</t>
    </r>
    <r>
      <rPr>
        <sz val="10"/>
        <color theme="1"/>
        <rFont val="Arial"/>
        <family val="2"/>
      </rPr>
      <t xml:space="preserve">, dengan </t>
    </r>
    <r>
      <rPr>
        <b/>
        <sz val="10"/>
        <color theme="1"/>
        <rFont val="Arial"/>
        <family val="2"/>
      </rPr>
      <t>menggunakan prinsip matematika, komputasi, dan disiplin ilmu yang relevan</t>
    </r>
    <r>
      <rPr>
        <sz val="10"/>
        <color theme="1"/>
        <rFont val="Arial"/>
        <family val="2"/>
      </rPr>
      <t>.</t>
    </r>
  </si>
  <si>
    <t>Kompetensi Utama bidang Informatika</t>
  </si>
  <si>
    <r>
      <t xml:space="preserve">Lulusan mampu </t>
    </r>
    <r>
      <rPr>
        <b/>
        <sz val="10"/>
        <color theme="1"/>
        <rFont val="Arial"/>
        <family val="2"/>
      </rPr>
      <t>memodelkan sistem yang kompleks</t>
    </r>
    <r>
      <rPr>
        <sz val="10"/>
        <color theme="1"/>
        <rFont val="Arial"/>
        <family val="2"/>
      </rPr>
      <t xml:space="preserve"> dan </t>
    </r>
    <r>
      <rPr>
        <b/>
        <sz val="10"/>
        <color theme="1"/>
        <rFont val="Arial"/>
        <family val="2"/>
      </rPr>
      <t>membangun solusi berbasis komputasi yang efektif dan efisien.</t>
    </r>
  </si>
  <si>
    <t>Kode CPL</t>
  </si>
  <si>
    <t>Deskripsi CPL</t>
  </si>
  <si>
    <t>Kategori</t>
  </si>
  <si>
    <t>CPL01</t>
  </si>
  <si>
    <r>
      <t xml:space="preserve">Mampu </t>
    </r>
    <r>
      <rPr>
        <b/>
        <sz val="10"/>
        <color rgb="FF1F1F1F"/>
        <rFont val="Arial"/>
        <family val="2"/>
      </rPr>
      <t>bekerja secara mandiri ataupun dalam tim</t>
    </r>
    <r>
      <rPr>
        <sz val="10"/>
        <color rgb="FF1F1F1F"/>
        <rFont val="Arial"/>
        <family val="2"/>
      </rPr>
      <t xml:space="preserve">, serta menunjukkan sikap </t>
    </r>
    <r>
      <rPr>
        <b/>
        <sz val="10"/>
        <color rgb="FF1F1F1F"/>
        <rFont val="Arial"/>
        <family val="2"/>
      </rPr>
      <t>profesional dan etis</t>
    </r>
    <r>
      <rPr>
        <sz val="10"/>
        <color rgb="FF1F1F1F"/>
        <rFont val="Arial"/>
        <family val="2"/>
      </rPr>
      <t xml:space="preserve"> dalam menjalankan tugas dan tanggung jawab untuk menyelesaikan proyek-proyek terkait teknologi informasi cerdas dalam pengembangan layanan publik dan ekonomi digital</t>
    </r>
  </si>
  <si>
    <t>Sikap (S)</t>
  </si>
  <si>
    <t>CPL02</t>
  </si>
  <si>
    <r>
      <t xml:space="preserve">Mampu </t>
    </r>
    <r>
      <rPr>
        <b/>
        <sz val="10"/>
        <color rgb="FF1F1F1F"/>
        <rFont val="Arial"/>
        <family val="2"/>
      </rPr>
      <t>mengembangkan</t>
    </r>
    <r>
      <rPr>
        <sz val="10"/>
        <color rgb="FF1F1F1F"/>
        <rFont val="Arial"/>
        <family val="2"/>
      </rPr>
      <t xml:space="preserve"> </t>
    </r>
    <r>
      <rPr>
        <b/>
        <sz val="10"/>
        <color rgb="FF1F1F1F"/>
        <rFont val="Arial"/>
        <family val="2"/>
      </rPr>
      <t xml:space="preserve">kemampuan berkomunikasi lisan </t>
    </r>
    <r>
      <rPr>
        <sz val="10"/>
        <color rgb="FF1F1F1F"/>
        <rFont val="Arial"/>
        <family val="2"/>
      </rPr>
      <t xml:space="preserve">secara efektif, berpikir kritis, kreatif, dan profesional serta dapat </t>
    </r>
    <r>
      <rPr>
        <b/>
        <sz val="10"/>
        <color rgb="FF1F1F1F"/>
        <rFont val="Arial"/>
        <family val="2"/>
      </rPr>
      <t>menghasilkan karya ilmiah</t>
    </r>
    <r>
      <rPr>
        <sz val="10"/>
        <color rgb="FF1F1F1F"/>
        <rFont val="Arial"/>
        <family val="2"/>
      </rPr>
      <t xml:space="preserve"> yang orisinal dalam menyelesaikan permasalahan terkait teknologi informasi cerdas melalui pemanfaatan penelitian teknologi informasi dengan berbagai pihak terkait.</t>
    </r>
  </si>
  <si>
    <t>CPL03</t>
  </si>
  <si>
    <r>
      <t xml:space="preserve">Memiliki kemampuan </t>
    </r>
    <r>
      <rPr>
        <b/>
        <sz val="10"/>
        <color rgb="FF1F1F1F"/>
        <rFont val="Arial"/>
        <family val="2"/>
      </rPr>
      <t>menganalisis</t>
    </r>
    <r>
      <rPr>
        <sz val="10"/>
        <color rgb="FF1F1F1F"/>
        <rFont val="Arial"/>
        <family val="2"/>
      </rPr>
      <t xml:space="preserve">, </t>
    </r>
    <r>
      <rPr>
        <b/>
        <sz val="10"/>
        <color rgb="FF1F1F1F"/>
        <rFont val="Arial"/>
        <family val="2"/>
      </rPr>
      <t>mengevaluasi</t>
    </r>
    <r>
      <rPr>
        <sz val="10"/>
        <color rgb="FF1F1F1F"/>
        <rFont val="Arial"/>
        <family val="2"/>
      </rPr>
      <t xml:space="preserve">, dan </t>
    </r>
    <r>
      <rPr>
        <b/>
        <sz val="10"/>
        <color rgb="FF1F1F1F"/>
        <rFont val="Arial"/>
        <family val="2"/>
      </rPr>
      <t>membuat keputusan</t>
    </r>
    <r>
      <rPr>
        <sz val="10"/>
        <color rgb="FF1F1F1F"/>
        <rFont val="Arial"/>
        <family val="2"/>
      </rPr>
      <t xml:space="preserve"> berdasarkan pengetahuan di bidang teknologi informasi cerdas dalam konteks dukungan terhadap pengembangan layanan publik dan ekonomi digital</t>
    </r>
  </si>
  <si>
    <t>Keterampilan Umum (KU)</t>
  </si>
  <si>
    <t>CPL04</t>
  </si>
  <si>
    <r>
      <t xml:space="preserve">Mampu </t>
    </r>
    <r>
      <rPr>
        <b/>
        <sz val="10"/>
        <color rgb="FF1F1F1F"/>
        <rFont val="Arial"/>
        <family val="2"/>
      </rPr>
      <t>mengevaluasi</t>
    </r>
    <r>
      <rPr>
        <sz val="10"/>
        <color rgb="FF1F1F1F"/>
        <rFont val="Arial"/>
        <family val="2"/>
      </rPr>
      <t xml:space="preserve">, </t>
    </r>
    <r>
      <rPr>
        <b/>
        <sz val="10"/>
        <color rgb="FF1F1F1F"/>
        <rFont val="Arial"/>
        <family val="2"/>
      </rPr>
      <t>membuat kesimpulan</t>
    </r>
    <r>
      <rPr>
        <sz val="10"/>
        <color rgb="FF1F1F1F"/>
        <rFont val="Arial"/>
        <family val="2"/>
      </rPr>
      <t xml:space="preserve">, dan </t>
    </r>
    <r>
      <rPr>
        <b/>
        <sz val="10"/>
        <color rgb="FF1F1F1F"/>
        <rFont val="Arial"/>
        <family val="2"/>
      </rPr>
      <t>membuat keputusan</t>
    </r>
    <r>
      <rPr>
        <sz val="10"/>
        <color rgb="FF1F1F1F"/>
        <rFont val="Arial"/>
        <family val="2"/>
      </rPr>
      <t xml:space="preserve"> berdasarkan pengetahuan teknologi informasi khususnya teknologi informasi cerdas terbaru berkaitan dengan manajemen pengembangan layanan publik dan ekonomi digital</t>
    </r>
  </si>
  <si>
    <t>CPL05</t>
  </si>
  <si>
    <r>
      <t xml:space="preserve">Memiliki kemampuan </t>
    </r>
    <r>
      <rPr>
        <b/>
        <sz val="10"/>
        <color rgb="FF1F1F1F"/>
        <rFont val="Arial"/>
        <family val="2"/>
      </rPr>
      <t>menganalisa</t>
    </r>
    <r>
      <rPr>
        <sz val="10"/>
        <color rgb="FF1F1F1F"/>
        <rFont val="Arial"/>
        <family val="2"/>
      </rPr>
      <t xml:space="preserve">, </t>
    </r>
    <r>
      <rPr>
        <b/>
        <sz val="10"/>
        <color rgb="FF1F1F1F"/>
        <rFont val="Arial"/>
        <family val="2"/>
      </rPr>
      <t>mengevaluasi</t>
    </r>
    <r>
      <rPr>
        <sz val="10"/>
        <color rgb="FF1F1F1F"/>
        <rFont val="Arial"/>
        <family val="2"/>
      </rPr>
      <t xml:space="preserve">, dan </t>
    </r>
    <r>
      <rPr>
        <b/>
        <sz val="10"/>
        <color rgb="FF1F1F1F"/>
        <rFont val="Arial"/>
        <family val="2"/>
      </rPr>
      <t>membuat keputusan</t>
    </r>
    <r>
      <rPr>
        <sz val="10"/>
        <color rgb="FF1F1F1F"/>
        <rFont val="Arial"/>
        <family val="2"/>
      </rPr>
      <t xml:space="preserve"> berbasis kinerja solusi komputasi cerdas untuk mendukung layanan publik dan ekonomi digital</t>
    </r>
  </si>
  <si>
    <t>Keterampilan Khusus (KK)</t>
  </si>
  <si>
    <t>CPL06</t>
  </si>
  <si>
    <r>
      <t xml:space="preserve">Memiliki </t>
    </r>
    <r>
      <rPr>
        <b/>
        <sz val="10"/>
        <color rgb="FF1F1F1F"/>
        <rFont val="Arial"/>
        <family val="2"/>
      </rPr>
      <t>pemahaman yang mendalam</t>
    </r>
    <r>
      <rPr>
        <sz val="10"/>
        <color rgb="FF1F1F1F"/>
        <rFont val="Arial"/>
        <family val="2"/>
      </rPr>
      <t xml:space="preserve">, </t>
    </r>
    <r>
      <rPr>
        <b/>
        <sz val="10"/>
        <color rgb="FF1F1F1F"/>
        <rFont val="Arial"/>
        <family val="2"/>
      </rPr>
      <t>menganalisis</t>
    </r>
    <r>
      <rPr>
        <sz val="10"/>
        <color rgb="FF1F1F1F"/>
        <rFont val="Arial"/>
        <family val="2"/>
      </rPr>
      <t xml:space="preserve">, dan </t>
    </r>
    <r>
      <rPr>
        <b/>
        <sz val="10"/>
        <color rgb="FF1F1F1F"/>
        <rFont val="Arial"/>
        <family val="2"/>
      </rPr>
      <t>mengevaluasi</t>
    </r>
    <r>
      <rPr>
        <sz val="10"/>
        <color rgb="FF1F1F1F"/>
        <rFont val="Arial"/>
        <family val="2"/>
      </rPr>
      <t xml:space="preserve"> tentang solusi komputasi cerdas dengan sistem dan infrastruktur yang ada termasuk pertimbangan keamanan sistem informasi untuk mendukung layanan publik dan ekonomi digital</t>
    </r>
  </si>
  <si>
    <t>CPL07</t>
  </si>
  <si>
    <r>
      <t xml:space="preserve">Mampu </t>
    </r>
    <r>
      <rPr>
        <b/>
        <sz val="10"/>
        <color rgb="FF1F1F1F"/>
        <rFont val="Arial"/>
        <family val="2"/>
      </rPr>
      <t>menganalisis</t>
    </r>
    <r>
      <rPr>
        <sz val="10"/>
        <color rgb="FF1F1F1F"/>
        <rFont val="Arial"/>
        <family val="2"/>
      </rPr>
      <t xml:space="preserve">, </t>
    </r>
    <r>
      <rPr>
        <b/>
        <sz val="10"/>
        <color rgb="FF1F1F1F"/>
        <rFont val="Arial"/>
        <family val="2"/>
      </rPr>
      <t>mengembangkan</t>
    </r>
    <r>
      <rPr>
        <sz val="10"/>
        <color rgb="FF1F1F1F"/>
        <rFont val="Arial"/>
        <family val="2"/>
      </rPr>
      <t xml:space="preserve">, dan </t>
    </r>
    <r>
      <rPr>
        <b/>
        <sz val="10"/>
        <color rgb="FF1F1F1F"/>
        <rFont val="Arial"/>
        <family val="2"/>
      </rPr>
      <t>mengevaluasi</t>
    </r>
    <r>
      <rPr>
        <sz val="10"/>
        <color rgb="FF1F1F1F"/>
        <rFont val="Arial"/>
        <family val="2"/>
      </rPr>
      <t xml:space="preserve"> kebutuhan sistem antarmuka pengguna yang efektif dan memahami kebutuhan serta preferensi pengguna dalam pengembangan teknologi informasi berbasis komputasi cerdas untuk mendukung layanan publik dan ekonomi digital.</t>
    </r>
  </si>
  <si>
    <t>Pengetahuan (P)</t>
  </si>
  <si>
    <t>CPL08</t>
  </si>
  <si>
    <r>
      <t xml:space="preserve">Mampu </t>
    </r>
    <r>
      <rPr>
        <b/>
        <sz val="10"/>
        <color rgb="FF1F1F1F"/>
        <rFont val="Arial"/>
        <family val="2"/>
      </rPr>
      <t>mengevaluasi, mengembangkan</t>
    </r>
    <r>
      <rPr>
        <sz val="10"/>
        <color rgb="FF1F1F1F"/>
        <rFont val="Arial"/>
        <family val="2"/>
      </rPr>
      <t xml:space="preserve"> dan </t>
    </r>
    <r>
      <rPr>
        <b/>
        <sz val="10"/>
        <color rgb="FF1F1F1F"/>
        <rFont val="Arial"/>
        <family val="2"/>
      </rPr>
      <t>mengimplementasikan</t>
    </r>
    <r>
      <rPr>
        <sz val="10"/>
        <color rgb="FF1F1F1F"/>
        <rFont val="Arial"/>
        <family val="2"/>
      </rPr>
      <t xml:space="preserve"> solusi komputasi cerdas dengan menggunakan teknologi terkini dalam mendukung pengembangan kota cerdas dan sistem pemerintahan berbasis elektronik</t>
    </r>
  </si>
  <si>
    <t>Mampu mengidentifikasi, menganalisis, meneliti literatur, mengevaluasi, dan memformulasi solusi-solusi algoritmik untuk masalah computing yang kompleks</t>
  </si>
  <si>
    <t>Kompetensi Utama (KT)</t>
  </si>
  <si>
    <t>Mampu menerapkan prinsip-prinsip matematika, computing, dan disiplin ilmu yang relevan untuk merumuskan solusi bagi persoalan computing yang kompleks</t>
  </si>
  <si>
    <t>Mampu memodelkan sistem yang kompleks dan membangun solusi berbasis computing yang efektif dan efisien</t>
  </si>
  <si>
    <t>PL05</t>
  </si>
  <si>
    <t>PL06</t>
  </si>
  <si>
    <t>CPL09</t>
  </si>
  <si>
    <t>CPL10</t>
  </si>
  <si>
    <t>CPL11</t>
  </si>
  <si>
    <t>V</t>
  </si>
  <si>
    <t>CPL/PL</t>
  </si>
  <si>
    <t>Kode BK</t>
  </si>
  <si>
    <t>Bahan Kajian</t>
  </si>
  <si>
    <t>Deskripsi</t>
  </si>
  <si>
    <t>Referensi</t>
  </si>
  <si>
    <t>BK01</t>
  </si>
  <si>
    <t>Skalabilitas dan Analitik Data</t>
  </si>
  <si>
    <t>Bahan kajian ini membahas tentang analitik data, yang mencakup beberapa topik seperti teknologi utama yang digunakan dalam mengumpulkan, membersihkan, memanipulasi, menyimpan, menganalisis, memvisualisasikan, dan mengekstraksi informasi berguna dari kumpulan data yang besar dan beragam, algoritma penambangan data dan pembelajaran mesin untuk menganalisis sekumpulan besar data terstruktur dan tidak terstruktur, serta tantangan analitik data skalabilitas data</t>
  </si>
  <si>
    <t>Penciri Pendukung</t>
  </si>
  <si>
    <t>IT-2017</t>
  </si>
  <si>
    <t>BK02</t>
  </si>
  <si>
    <t>Prinsip-prinsip Keamanan Siber</t>
  </si>
  <si>
    <t>Bahan kajian ini membahas tentang disiplin berbasis computing yang melibatkan teknologi, manusia, informasi, dan proses untuk memungkinkan operasi yang terjamin. Terdapat fokus pada implementasi, operasi, analisis, dan pengujian keamanan teknologi computing. Selain itu, juga terdapat pembahasan mengenai pengakuan sifat interdisipliner dari penerapan cybersecurity termasuk aspek hukum, kebijakan, faktor manusia, etika, dan manajemen risiko dalam konteks musuh. Praktik untuk memastikan informasi dan mengelola risiko yang terkait dengan penggunaan, pemrosesan, penyimpanan, dan pengiriman informasi atau data serta sistem dan proses yang digunakan untuk tujuan tersebut juga turut dibahas. Tindakan yang melindungi dan mempertahankan informasi dan sistem informasi dengan memastikan ketersediaannya juga menjadi topik yang dibahas.</t>
  </si>
  <si>
    <t>BK03</t>
  </si>
  <si>
    <t>Manajemen Data dan Informasi</t>
  </si>
  <si>
    <t>Bahan kajian ini membahas tentang alat dan teknik untuk pemodelan, pengumpulan, pengorganisasian, pengambilan, dan pengelolaan data yang efisien, mengekstrak informasi dari data untuk membuat data bermakna bagi organisasi. Selain itu melakukan mengembangkan, menyebarkan, mengelola, dan mengintegrasikan sistem data dan informasi untuk mendukung organisasi serta memberikan solusi dari masalah keselamatan dan keamanan yang terkait dengan data dan informasi. Pembahasan mengenai alat dan teknik untuk menghasilkan pengetahuan yang bermanfaat dari informasi.</t>
  </si>
  <si>
    <t>Penciri Utama</t>
  </si>
  <si>
    <t>BK04</t>
  </si>
  <si>
    <t>Desain User Experience</t>
  </si>
  <si>
    <t>Bahan kajian ini membahas tentang pengembangan aplikasi dan sistem TI dengan fokus pada pengguna, yang mencakup pemahaman desain bagi pengguna, pengembangan pola pikir yang mengakui pentingnya pengguna, metodologi berpusat pada pengguna, penerapan kriteria evaluasi dan standar, serta analisis pengguna dan tugas, faktor manusia, ergonomi, aksesibilitas standar, desain pengalaman, dan psikologi kognitif.</t>
  </si>
  <si>
    <t>BK05</t>
  </si>
  <si>
    <t>Pengembangan dan Manajemen Perangkat Lunak</t>
  </si>
  <si>
    <t>Bahan kajian ini mencakup model proses implementasi perangkat lunak dan manajemen proyek perangkat lunak yang meliputi analisis, desain dan konstruksi, pengujian, penyebaran, operasi, dan pemeliharaan, PMBOK dan siklus hidup proyek, elemen utama manajemen untuk tim proyek kecil, aspek-aspek manajerial dalam tim proyek kecil, pengembangan dan implementasi rencana pengukuran proses perangkat lunak, serta kerja efektif dengan anggota tim lainnya dalam kegiatan manajemen proyek.</t>
  </si>
  <si>
    <t>IT-2017, CC-2020</t>
  </si>
  <si>
    <t>BK06</t>
  </si>
  <si>
    <t>Pengembangan E-Goverment berbasis Teknologi Informasi</t>
  </si>
  <si>
    <t>Bahan kajian ini mencakup Konsep dan Teori e-Government,Manajemen Proyek dan Implementasi e-Government, Arsitektur dan Infrastruktur e-Government, Kebijakan dan Regulasi e-Government, Keamanan Informasi dan Privasi Data, Analisis Data dan Business Intelligence, Partisipasi Publik dan Layanan e-Government</t>
  </si>
  <si>
    <t>CC-2020, IT-2017</t>
  </si>
  <si>
    <t>BK07</t>
  </si>
  <si>
    <t>Ekonomi Digital</t>
  </si>
  <si>
    <t>Pengantar FinTech, Big Data Analytics in Finance, Cybersecurity in Finance, Cybersecurity in Finance</t>
  </si>
  <si>
    <t>BK08</t>
  </si>
  <si>
    <t>Praktek Profesional Global</t>
  </si>
  <si>
    <t>Bahan kajian ini membahas pentingnya mengidentifikasi dan memahami keterampilan penting yang diperlukan untuk karier yang sukses dalam industri, termasuk keterampilan komunikasi lisan dan tertulis profesional. mengidentifikasikan cara kerja tim terintegrasi di seluruh TI dan cara TI mendukung organisasi serta konteks sosial dan profesional teknologi informasi dan computing, dan kepatuhan terhadap kode etik perilaku.</t>
  </si>
  <si>
    <t>BK09</t>
  </si>
  <si>
    <t>Penelitian dan Pengembangan</t>
  </si>
  <si>
    <t>Bahan kajian ini memberikan peluang kepada mahasiswa untuk berlatih melakukan penelitian dan pengembangan melalui penugasan proyek. Metode Penelitian dan pengembangan teknologi informasi bertujuan mengoptimalkan penggunaan komputer dan alat digital lain untuk mengumpulkan, menganalisis, memproses data, dan membuat laporan dalam bentuk tesis. Implementasi penelitian dan pengembangan meliputi problem solving, survei, eksperimen, dan observasi.</t>
  </si>
  <si>
    <t>Permen Ristek DIKTI no. 44/2015</t>
  </si>
  <si>
    <t>Total</t>
  </si>
  <si>
    <t>v</t>
  </si>
  <si>
    <t>CPL/BK</t>
  </si>
  <si>
    <t>Kode MK</t>
  </si>
  <si>
    <t>Nama MK</t>
  </si>
  <si>
    <t>P.24.01.85.1.01</t>
  </si>
  <si>
    <t>MATRIKULASI</t>
  </si>
  <si>
    <t>P.24.01.85.1.02</t>
  </si>
  <si>
    <t>PERMODELAN STATISTIK UNTUK BISNIS</t>
  </si>
  <si>
    <t>P.24.01.85.1.03</t>
  </si>
  <si>
    <t>MESIN PEMBELAJARAN UNTUK BISNIS</t>
  </si>
  <si>
    <t>P.24.01.85.1.04</t>
  </si>
  <si>
    <t>ANALISIS DATA BESAR</t>
  </si>
  <si>
    <t>P.24.01.85.1.05</t>
  </si>
  <si>
    <t>MANAJEMEN STRATEGIS SISTEM INFORMASI</t>
  </si>
  <si>
    <t>P.24.01.85.1.06</t>
  </si>
  <si>
    <t>REKAYASA PERANGKAT LUNAK LANJUT</t>
  </si>
  <si>
    <t>P.24.01.85.2.07</t>
  </si>
  <si>
    <t>METODOLOGI PENELITIAN DAN PENULISAN ILMIAH</t>
  </si>
  <si>
    <t>P.24.01.85.2.08</t>
  </si>
  <si>
    <t>REKAYASA KEBUTUHAN SISTEM</t>
  </si>
  <si>
    <t>P.24.01.85.2.09</t>
  </si>
  <si>
    <t>INTERAKSI MANUSIA DAN KOMPUTER</t>
  </si>
  <si>
    <t>P.24.01.85.2.10</t>
  </si>
  <si>
    <t>KEAMANAN SIBER</t>
  </si>
  <si>
    <t>P.24.01.85.2.11</t>
  </si>
  <si>
    <t>SISTEM PENDUKUNG KEPUTUSAN CERDAS</t>
  </si>
  <si>
    <t>P.24.01.85.3.12</t>
  </si>
  <si>
    <t>ARSITEKTUR ENTERPRISE UNTUK TEKNOLOGI INFORMASI</t>
  </si>
  <si>
    <t>P.24.01.85.3.13</t>
  </si>
  <si>
    <t>TESIS</t>
  </si>
  <si>
    <t>Pilihan 1 - Teknologi Keuangan ( FinTech )</t>
  </si>
  <si>
    <t>P.24.01.85.3.14</t>
  </si>
  <si>
    <t>TEKNOLOGI KEUANGAN ( FINTECH ) DAN RESIKO</t>
  </si>
  <si>
    <t>P.24.01.85.3.15</t>
  </si>
  <si>
    <t>KECERDASAN BISNIS</t>
  </si>
  <si>
    <t>P.24.01.85.3.16</t>
  </si>
  <si>
    <t>TATA KELOLA DAN AUDIT BISNIS DIGITAL</t>
  </si>
  <si>
    <t>Pilihan 2 - Layanan Publik</t>
  </si>
  <si>
    <t>P.24.01.85.3.17</t>
  </si>
  <si>
    <t>SISTEM PEMERINTAHAN BERBASIS ELEKTRONIK</t>
  </si>
  <si>
    <t>P.24.01.85.3.18</t>
  </si>
  <si>
    <t>MANAJEMEN PROYEK TEKNOLOGI INFORMASI</t>
  </si>
  <si>
    <t>P.24.01.85.3.19</t>
  </si>
  <si>
    <t>KOTA CERDAS</t>
  </si>
  <si>
    <t>P.24.01.85.4.20</t>
  </si>
  <si>
    <t>PUBLIKASI</t>
  </si>
  <si>
    <t>P.24.01.85.4.21</t>
  </si>
  <si>
    <t>STRATEGI TEKNOPRENEURSHIP DAN INOVASI DIGITAL</t>
  </si>
  <si>
    <t>KODE MK</t>
  </si>
  <si>
    <t>NAMA MK</t>
  </si>
  <si>
    <t>A</t>
  </si>
  <si>
    <t xml:space="preserve">P.24.01.85.1.02; </t>
  </si>
  <si>
    <t>SKS</t>
  </si>
  <si>
    <t>SMTR</t>
  </si>
  <si>
    <t>JML SKS</t>
  </si>
  <si>
    <t>SMTR 1</t>
  </si>
  <si>
    <t>SMTR 2</t>
  </si>
  <si>
    <t>SMTR 3</t>
  </si>
  <si>
    <t>SMTR 4</t>
  </si>
  <si>
    <t>CPMK011</t>
  </si>
  <si>
    <t>Mampu bekerja secara mandiri ataupun dalam tim dalam menjalankan tugas dan tanggung jawab untuk menyelesaikan proyek-proyek terkait teknologi informasi cerdas dalam pengembangan layanan publik dan ekonomi digital</t>
  </si>
  <si>
    <t>CPMK012</t>
  </si>
  <si>
    <t>Profesional dan Etis dalam menjalankan tugas dan tanggung jawab dalam menjalankan tugas dan tanggung jawab untuk menyelesaikan proyek-proyek terkait teknologi informasi cerdas dalam pengembangan layanan publik dan ekonomi digital</t>
  </si>
  <si>
    <t>CPMK021</t>
  </si>
  <si>
    <t>Mampu mengembangkan kemampuan berkomunikasi lisan secara efektif, berpikir kritis, kreatif dan profesional dalam menyelesaikan permasalahan terkait teknologi informasi cerdas melalui pemanfaatan penelitian teknologi informasi dengan berbagai pihak terkait</t>
  </si>
  <si>
    <t>CPMK022</t>
  </si>
  <si>
    <t>Mampu menghasilkan karya ilmiah yang orisinal dalam menyelesaikan permasalahan terkait teknologi informasi cerdas melalui pemanfaatan penelitian teknologi informasi dengan berbagai pihak terkait</t>
  </si>
  <si>
    <t>CPMK031</t>
  </si>
  <si>
    <t>Memiliki kemampuan menganalisis berdasarkan pengetahuan di bidang teknologi informasi cerdas dalam konteks dukungan terhadap pengembangan layanan publik dan ekonomi digital</t>
  </si>
  <si>
    <t>CPMK032</t>
  </si>
  <si>
    <t>Memiliki kemampuan mengevaluasi berdasarkan pengetahuan di bidang teknologi informasi cerdas dalam konteks dukungan terhadap pengembangan layanan publik dan ekonomi digital</t>
  </si>
  <si>
    <t>CPMK033</t>
  </si>
  <si>
    <t>Memiliki kemampuan membuat keputusan berdasarkan pengetahuan di bidang teknologi informasi cerdas dalam konteks dukungan terhadap pengembangan layanan publik dan ekonomi digital</t>
  </si>
  <si>
    <t>CPMK041</t>
  </si>
  <si>
    <t>Mampu mengevaluasi berdasarkan pengetahuan teknologi informasi khususnya teknologi informasi cerdas terbaru berkaitan dengan manajemen pengembangan layanan publik dan ekonomi digital</t>
  </si>
  <si>
    <t>CPMK042</t>
  </si>
  <si>
    <t>Mampu membuat kesimpulan berdasarkan pengetahuan teknologi informasi khususnya teknologi informasi cerdas terbaru berkaitan dengan manajemen pengembangan layanan publik dan ekonomi digital</t>
  </si>
  <si>
    <t>CPMK043</t>
  </si>
  <si>
    <t>Mampu membuat keputusan berdasarkan pengetahuan teknologi informasi khususnya teknologi informasi cerdas terbaru berkaitan dengan manajemen pengembangan layanan publik dan ekonomi digital</t>
  </si>
  <si>
    <t>CPMK051</t>
  </si>
  <si>
    <t>Memiliki kemampuan menganalisa berbasis kinerja solusi komputasi cerdas untuk mendukung layanan publik dan ekonomi digital</t>
  </si>
  <si>
    <t>CPMK052</t>
  </si>
  <si>
    <t>Memiliki kemampuan mengevaluasi berbasis kinerja solusi komputasi cerdas untuk mendukung layanan publik dan ekonomi digital</t>
  </si>
  <si>
    <t>CPMK053</t>
  </si>
  <si>
    <t>Memiliki kemampuan membuat keputusan berbasis kinerja solusi komputasi cerdas untuk mendukung layanan publik dan ekonomi digital</t>
  </si>
  <si>
    <t>CPMK061</t>
  </si>
  <si>
    <t>Memiliki pemahaman yang mendalam tentang solusi komputasi cerdas dengan sistem dan infrastruktur yang ada termasuk pertimbangan keamanan sistem informasi untuk mendukung layanan publik dan ekonomi digital</t>
  </si>
  <si>
    <t>CPMK062</t>
  </si>
  <si>
    <t>Memiliki kemampuan menganalisis yang mendalam tentang solusi komputasi cerdas dengan sistem dan infrastruktur yang ada termasuk pertimbangan keamanan sistem informasi untuk mendukung layanan publik dan ekonomi digital</t>
  </si>
  <si>
    <t>CPMK063</t>
  </si>
  <si>
    <t>Memiliki kemampuan mengevaluasi yang mendalam tentang solusi komputasi cerdas dengan sistem dan infrastruktur yang ada termasuk pertimbangan keamanan sistem informasi untuk mendukung layanan publik dan ekonomi digital</t>
  </si>
  <si>
    <t>CPMK071</t>
  </si>
  <si>
    <t>Mampu menganalisis kebutuhan pengguna dalam konteks sistem interaksi manusia dan komputer. dengan memanfaatkan berbagai metode secara tepat</t>
  </si>
  <si>
    <t>CPMK072</t>
  </si>
  <si>
    <t>Mampu mengembangkan berbagai pendekatan dalam rangka pengumpulan data penelitian</t>
  </si>
  <si>
    <t>CPMK073</t>
  </si>
  <si>
    <t>Mampu mengevaluasi antarmuka pengguna dengan tepat dan benar</t>
  </si>
  <si>
    <t>CPMK081</t>
  </si>
  <si>
    <t>Mampu mengevaluasi solusi komputasi cerdas dengan menggunakan teknologi terkini dalam mendukung pengembangan kota cerdas dan sistem pemerintahan berbasis elektronik</t>
  </si>
  <si>
    <t>CPMK082</t>
  </si>
  <si>
    <t>Mampu mengembangkan solusi komputasi cerdas dengan menggunakan teknologi terkini dalam mendukung pengembangan kota cerdas dan sistem pemerintahan berbasis elektronik</t>
  </si>
  <si>
    <t>CPMK083</t>
  </si>
  <si>
    <t>Mampu mengimplementasikan solusi komputasi cerdas dengan menggunakan teknologi terkini dalam mendukung pengembangan kota cerdas dan sistem pemerintahan berbasis elektronik</t>
  </si>
  <si>
    <t>Mampu mengidentifikasi solusi_x0002_solusi algoritmik untuk masalah computing yang kompleks.</t>
  </si>
  <si>
    <t>Mampu meneliti literatur dalam menganalisis solusi-solusi algoritmik untuk masalah yang 
kompleks.</t>
  </si>
  <si>
    <t>Mampu mengevaluasi dan memformulasi solusi-solusi algoritmik untuk masalah yang kompleks.</t>
  </si>
  <si>
    <t>Mampu menerapkan prinsip_x0002_prinsip matematika, computing, dan disiplin ilmu yang relevan untuk mendukung analisis data.</t>
  </si>
  <si>
    <t>Mampu merumuskan solusi bagi bidang computing yang kompleks</t>
  </si>
  <si>
    <t>Mampu merancang sistem yang kompleks dalam bidang computing.</t>
  </si>
  <si>
    <t>Mampu membangun solusi berbasis computing yang efektif dan efisien</t>
  </si>
  <si>
    <t>CPMK091</t>
  </si>
  <si>
    <t>CPMK092</t>
  </si>
  <si>
    <t>CPMK093</t>
  </si>
  <si>
    <t>CPMK101</t>
  </si>
  <si>
    <t>CPMK102</t>
  </si>
  <si>
    <t>CPMK111</t>
  </si>
  <si>
    <t>CPMK112</t>
  </si>
  <si>
    <t>Kode CPMK</t>
  </si>
  <si>
    <t>Deskripsi CPMK</t>
  </si>
  <si>
    <t>MATA KULIAH</t>
  </si>
  <si>
    <t>CPL</t>
  </si>
  <si>
    <t>CPMK</t>
  </si>
  <si>
    <t>SUB CPMK</t>
  </si>
  <si>
    <t>DESKRIPSI SUB CPMK</t>
  </si>
  <si>
    <t>DESKRIPSI CPMK</t>
  </si>
  <si>
    <t>CPMK051, CPMK052, CPMK053</t>
  </si>
  <si>
    <t>CPMK011, CPMK012</t>
  </si>
  <si>
    <t>CPMK031, CPMK032, CPMK033</t>
  </si>
  <si>
    <t>CPMK021, CPMK022</t>
  </si>
  <si>
    <t>CPMK041, CPMK042, CPMK043</t>
  </si>
  <si>
    <t>CPMK061, CPMK062, CPMK063</t>
  </si>
  <si>
    <t>CPMK071, CPMK072, CPMK073</t>
  </si>
  <si>
    <t>CPMK081, CPMK082, CPMK083</t>
  </si>
  <si>
    <t>CPMK091, CPMK092, CPMK093</t>
  </si>
  <si>
    <t>CPMK101, CPMK102</t>
  </si>
  <si>
    <t>CPMK111, CPMK112</t>
  </si>
  <si>
    <t>Unjuk Kerja (Presensi)</t>
  </si>
  <si>
    <t>Kuis / Tugas 1</t>
  </si>
  <si>
    <t>Kuis / Tugas 2</t>
  </si>
  <si>
    <t>Kuis / Tugas 3</t>
  </si>
  <si>
    <t>Kuis / Tugas 4</t>
  </si>
  <si>
    <t>UTS</t>
  </si>
  <si>
    <t>UAS</t>
  </si>
  <si>
    <t xml:space="preserve"> </t>
  </si>
  <si>
    <t>DESKRIPSI CPL</t>
  </si>
  <si>
    <t>Bobot</t>
  </si>
  <si>
    <t>TAHAP PENILAIAN</t>
  </si>
  <si>
    <t>TENIK PENILAIAN</t>
  </si>
  <si>
    <t>SUBCPMK-CPMK0511</t>
  </si>
  <si>
    <t>Unjuk Kerja (Presensi), Kuis / Tugas 1, , , , UTS, UAS</t>
  </si>
  <si>
    <t>SUBCPMK-CPMK0521</t>
  </si>
  <si>
    <t>Unjuk Kerja (Presensi), Kuis / Tugas 1, Kuis / Tugas 2, , , UTS, UAS</t>
  </si>
  <si>
    <t>SUBCPMK-CPMK0531</t>
  </si>
  <si>
    <t>Unjuk Kerja (Presensi), , Kuis / Tugas 2, Kuis / Tugas 3, , UTS, UAS</t>
  </si>
  <si>
    <t>SUBCPMK-CPMK1011</t>
  </si>
  <si>
    <t>Unjuk Kerja (Presensi), , , Kuis / Tugas 3, Kuis / Tugas 4, UTS, UAS</t>
  </si>
  <si>
    <t>SUBCPMK-CPMK1021</t>
  </si>
  <si>
    <t>Unjuk Kerja (Presensi), , , , Kuis / Tugas 4, UTS, UAS</t>
  </si>
  <si>
    <t>Unjuk Kerja (Presensi), Kuis / Tugas 1, Kuis / Tugas 2, , , , UAS</t>
  </si>
  <si>
    <t>Unjuk Kerja (Presensi), , , Kuis / Tugas 3, , UTS, UAS</t>
  </si>
  <si>
    <t>Unjuk Kerja (Presensi), , , Kuis / Tugas 3, , , UAS</t>
  </si>
  <si>
    <t>Unjuk Kerja (Presensi), Kuis / Tugas 1, , Kuis / Tugas 3, , , UAS</t>
  </si>
  <si>
    <t>Unjuk Kerja (Presensi), , Kuis / Tugas 2, , Kuis / Tugas 4, , UAS</t>
  </si>
  <si>
    <t>SUBCPMK-CPMK0311</t>
  </si>
  <si>
    <t xml:space="preserve">, , , , , , </t>
  </si>
  <si>
    <t>SUBCPMK-CPMK0321</t>
  </si>
  <si>
    <t>SUBCPMK-CPMK0331</t>
  </si>
  <si>
    <t>SUBCPMK-CPMK0411</t>
  </si>
  <si>
    <t>SUBCPMK-CPMK0421</t>
  </si>
  <si>
    <t>SUBCPMK-CPMK0431</t>
  </si>
  <si>
    <t>SUBCPMK-CPMK1111</t>
  </si>
  <si>
    <t>SUBCPMK-CPMK1121</t>
  </si>
  <si>
    <t>SUBCPMK-CPMK0811</t>
  </si>
  <si>
    <t>SUBCPMK-CPMK0821</t>
  </si>
  <si>
    <t>SUBCPMK-CPMK0831</t>
  </si>
  <si>
    <t>Unjuk Kerja (Presensi), , Kuis / Tugas 2, , , UTS, UAS</t>
  </si>
  <si>
    <t>Unjuk Kerja (Presensi), , , Kuis / Tugas 3, Kuis / Tugas 4, , UAS</t>
  </si>
  <si>
    <t>Unjuk Kerja (Presensi), Kuis / Tugas 1, , Kuis / Tugas 3, , UTS, UAS</t>
  </si>
  <si>
    <t>Unjuk Kerja (Presensi), , Kuis / Tugas 2, , Kuis / Tugas 4, UTS, UAS</t>
  </si>
  <si>
    <t>SUBCPMK-CPMK0611</t>
  </si>
  <si>
    <t xml:space="preserve">Unjuk Kerja (Presensi), Kuis / Tugas 1, , , , , </t>
  </si>
  <si>
    <t>SUBCPMK-CPMK0621</t>
  </si>
  <si>
    <t xml:space="preserve">, , Kuis / Tugas 2, Kuis / Tugas 3, , UTS, </t>
  </si>
  <si>
    <t>SUBCPMK-CPMK0631</t>
  </si>
  <si>
    <t>, , , Kuis / Tugas 3, Kuis / Tugas 4, , UAS</t>
  </si>
  <si>
    <t>, , , Kuis / Tugas 3, , , UAS</t>
  </si>
  <si>
    <t>, , , , Kuis / Tugas 4, , UAS</t>
  </si>
  <si>
    <t>SUBCPMK-CPMK0711</t>
  </si>
  <si>
    <t>SUBCPMK-CPMK0721</t>
  </si>
  <si>
    <t xml:space="preserve">Unjuk Kerja (Presensi), , Kuis / Tugas 2, Kuis / Tugas 3, , UTS, </t>
  </si>
  <si>
    <t>SUBCPMK-CPMK0731</t>
  </si>
  <si>
    <t xml:space="preserve">Unjuk Kerja (Presensi), , , , Kuis / Tugas 4, UTS, </t>
  </si>
  <si>
    <t>Unjuk Kerja (Presensi), , , , Kuis / Tugas 4, , UAS</t>
  </si>
  <si>
    <t xml:space="preserve">Unjuk Kerja (Presensi), , Kuis / Tugas 2, , , UTS, </t>
  </si>
  <si>
    <t xml:space="preserve">Unjuk Kerja (Presensi), Kuis / Tugas 1, Kuis / Tugas 2, , , UTS, </t>
  </si>
  <si>
    <t xml:space="preserve">Unjuk Kerja (Presensi), , Kuis / Tugas 2, , , , </t>
  </si>
  <si>
    <t xml:space="preserve">Unjuk Kerja (Presensi), , , Kuis / Tugas 3, , , </t>
  </si>
  <si>
    <t>Unjuk Kerja (Presensi), Kuis / Tugas 1, Kuis / Tugas 2, Kuis / Tugas 3, , UTS, UAS</t>
  </si>
  <si>
    <t>SUBCPMK-CPMK0111</t>
  </si>
  <si>
    <t>SUBCPMK-CPMK0121</t>
  </si>
  <si>
    <t>, Kuis / Tugas 1, Kuis / Tugas 2, Kuis / Tugas 3, Kuis / Tugas 4, , UAS</t>
  </si>
  <si>
    <t>SUBCPMK-CPMK0211</t>
  </si>
  <si>
    <t>SUBCPMK-CPMK0221</t>
  </si>
  <si>
    <t>SUBCPMK-CPMK0911</t>
  </si>
  <si>
    <t xml:space="preserve">, Kuis / Tugas 1, , Kuis / Tugas 3, , , </t>
  </si>
  <si>
    <t>SUBCPMK-CPMK0921</t>
  </si>
  <si>
    <t xml:space="preserve">, Kuis / Tugas 1, Kuis / Tugas 2, , , , </t>
  </si>
  <si>
    <t>SUBCPMK-CPMK0931</t>
  </si>
  <si>
    <t>, , Kuis / Tugas 2, Kuis / Tugas 3, , , UAS</t>
  </si>
  <si>
    <t>, , Kuis / Tugas 2, Kuis / Tugas 3, , UTS, UAS</t>
  </si>
  <si>
    <t>Unjuk Kerja (Presensi), , Kuis / Tugas 2, Kuis / Tugas 3, Kuis / Tugas 4, , UAS</t>
  </si>
  <si>
    <t xml:space="preserve">Unjuk Kerja (Presensi), , Kuis / Tugas 2, Kuis / Tugas 3, , , </t>
  </si>
  <si>
    <t xml:space="preserve">Unjuk Kerja (Presensi), , , Kuis / Tugas 3, Kuis / Tugas 4, , </t>
  </si>
  <si>
    <t xml:space="preserve">Unjuk Kerja (Presensi), Kuis / Tugas 1, Kuis / Tugas 2, , , , </t>
  </si>
  <si>
    <t>Unjuk Kerja (Presensi), , Kuis / Tugas 2, Kuis / Tugas 3, , , UAS</t>
  </si>
  <si>
    <t xml:space="preserve">Unjuk Kerja (Presensi), , , Kuis / Tugas 3, , UTS, </t>
  </si>
  <si>
    <t>, , , , , , UAS</t>
  </si>
  <si>
    <t xml:space="preserve">Unjuk Kerja (Presensi), Kuis / Tugas 1, , , , UTS, </t>
  </si>
  <si>
    <t>Unjuk Kerja (Presensi), , Kuis / Tugas 2, , , , UAS</t>
  </si>
  <si>
    <t>Unjuk Kerja (Presensi), Kuis / Tugas 1, , , , , UAS</t>
  </si>
  <si>
    <t>Unjuk Kerja (Presensi), Kuis / Tugas 1, Kuis / Tugas 2, Kuis / Tugas 3, Kuis / Tugas 4, , UAS</t>
  </si>
  <si>
    <t>Unjuk Kerja (Presensi), Kuis / Tugas 1, , Kuis / Tugas 3, Kuis / Tugas 4, , UAS</t>
  </si>
  <si>
    <t>, Kuis / Tugas 1, , Kuis / Tugas 3, , , UAS</t>
  </si>
  <si>
    <t>, Kuis / Tugas 1, Kuis / Tugas 2, , , , UAS</t>
  </si>
  <si>
    <t>, , Kuis / Tugas 2, Kuis / Tugas 3, Kuis / Tugas 4, , UAS</t>
  </si>
  <si>
    <t>Unjuk Kerja (Presensi), Kuis / Tugas 1, Kuis / Tugas 2, Kuis / Tugas 3, Kuis / Tugas 4, UTS, UAS</t>
  </si>
  <si>
    <t>Unjuk Kerja (Presensi), , Kuis / Tugas 2, Kuis / Tugas 3, Kuis / Tugas 4, UTS, UAS</t>
  </si>
  <si>
    <t>Perkuliahan/ Pertemuan, UTS, UAS</t>
  </si>
  <si>
    <t>Kode</t>
  </si>
  <si>
    <t>Kategori / Sumber</t>
  </si>
  <si>
    <t>SIKAP</t>
  </si>
  <si>
    <t>S1</t>
  </si>
  <si>
    <t>SNDIKTI</t>
  </si>
  <si>
    <t>S2</t>
  </si>
  <si>
    <t>S3</t>
  </si>
  <si>
    <t>S4</t>
  </si>
  <si>
    <t>S5</t>
  </si>
  <si>
    <t>Menghargai keanekaragaman budaya, pandangan, agama, dan kepercayaan, serta pendapat atau temuan orisinal orang lain.</t>
  </si>
  <si>
    <t>S6</t>
  </si>
  <si>
    <t>Bekerja sama dan memiliki kepekaan sosial serta kepedulian terhadap masyarakat dan lingkungan.</t>
  </si>
  <si>
    <t>S7</t>
  </si>
  <si>
    <t>Taat hukum dan disiplin dalam kehidupan bermasyarakat dan bernegara.</t>
  </si>
  <si>
    <t>S8</t>
  </si>
  <si>
    <t>Menginternalisasi nilai, norma, dan etika akademik.</t>
  </si>
  <si>
    <t>S9</t>
  </si>
  <si>
    <t>Menunjukan sikap bertanggungjawab atas pekerjaan di bidang keahliannya secara mandiri.</t>
  </si>
  <si>
    <t>S10</t>
  </si>
  <si>
    <t>Menginternalisasi semangat kemandirian, kejuangan dan kewirausahaan.</t>
  </si>
  <si>
    <t>Ketrampilan Umum</t>
  </si>
  <si>
    <t>KU1</t>
  </si>
  <si>
    <t>KU2</t>
  </si>
  <si>
    <t>Mampu menunjukan kinerja mandiri, bermutu, dan terukur.</t>
  </si>
  <si>
    <t>KU3</t>
  </si>
  <si>
    <t>KU4</t>
  </si>
  <si>
    <t>KU5</t>
  </si>
  <si>
    <t>Mampu mengambil keputusan secara tepat dalam konteks penyelesaian masalah di bidang keahliannya, berdasarkan hasil analisis informasi dan data.</t>
  </si>
  <si>
    <t>KU6</t>
  </si>
  <si>
    <t>KU7</t>
  </si>
  <si>
    <t>KU8</t>
  </si>
  <si>
    <t>mampu melakukan proses evaluasi diri terhadap kelompok kerja yang berada dibawah tanggung jawabnya, dan mampumengelola pembelajaran secara mandiri.</t>
  </si>
  <si>
    <t>KU9</t>
  </si>
  <si>
    <t>Mampu mendokumentasikan, menyimpan, mengamankan, dan menemukan kembali data untuk menjamin kesahihan dan mencegah plagiasi.</t>
  </si>
  <si>
    <t>Pengetahuan</t>
  </si>
  <si>
    <t>P1</t>
  </si>
  <si>
    <t>IT2017,</t>
  </si>
  <si>
    <t>Seoul Accord</t>
  </si>
  <si>
    <t>Mempunyai pengetahuan matematika, komputasi, dan ilmu pengetahuan lain yang relevan untuk menyelesaikan permasalahan komputasi yang kompleks dengan pendekatan teknologi informasi.</t>
  </si>
  <si>
    <t>P2</t>
  </si>
  <si>
    <t>Mampu menganalisis, mengidentifikasi, dan mendefinisikan permasalahan komputasi yang kompleks, dan memberikan pendekatan teknologi informasi sebagai solusi penyelesaian permasalah tersebut.</t>
  </si>
  <si>
    <t>P3</t>
  </si>
  <si>
    <t>Mampu mengembangkan solusi permasalahan komputasi yang kompleks dan memberikan pendekatan teknologi informasi sebagai solusi penyelesaian permasalahan tersebut.</t>
  </si>
  <si>
    <t>P4</t>
  </si>
  <si>
    <t>P5</t>
  </si>
  <si>
    <t>Mempunyai pengetahuan tentang bidang khusus dalam teknologi informasi yang meliputi kecerdasan buatan, Pembelajaran Mesin, Ilmu Data.</t>
  </si>
  <si>
    <t>P6</t>
  </si>
  <si>
    <t>Memiliki pengetahuan untuk membuat, memilih, atau mengadaptasi dan kemudian menerapkan teknik, sumber daya, dan alat komputasi modern yang sesuai untuk aktivitas komputasi yang kompleks, dengan pemahaman akan keterbatasannya</t>
  </si>
  <si>
    <t>P7</t>
  </si>
  <si>
    <t>Mampu melakukan identifikasi, merumuskan, meneliti literatur, dan memecahkan masalah komputasi yang didefinisikan secara luas hingga mencapai kesimpulan yang dibuktikan dengan menggunakan alat analisis yang sesuai dengan disiplin atau bidang spesialisasi</t>
  </si>
  <si>
    <t>Ketrampilan Khusus</t>
  </si>
  <si>
    <t>KK1</t>
  </si>
  <si>
    <t>Mampu merancang, mengimplementasi, dan mengevaluasi solusi berbasis komputasi yang sesuai dengan kebutuhan dan solusi teknologi informasi yang diusulkan menggunakan sumberdaya, sarana, dan cara-cara komputasi modern untuk layanan publik dan teknologi keuangan</t>
  </si>
  <si>
    <t>KK2</t>
  </si>
  <si>
    <t>KK3</t>
  </si>
  <si>
    <t>CC2020</t>
  </si>
  <si>
    <t>KK4</t>
  </si>
  <si>
    <t>Mampu melakukan analisis masalah dan kebutuhan pengguna sesuai dengan spesifikasi persyaratan komputasi untuk layanan publik dan teknologi keuangan</t>
  </si>
  <si>
    <t>KK5</t>
  </si>
  <si>
    <t>Mampu merancang solusi berbasis komputasi yang berbasis komponen teknologi spesifik dan konkrit dalam konteks organisasi untuk layanan publik dan teknologi keuangan</t>
  </si>
  <si>
    <t>KK6</t>
  </si>
  <si>
    <t>Mampu berinovasi, merancang, mengimplementasikan, dan memelihara komputer, sistem komputasi, dan aplikasi komputasi untuk layanan publik dan teknologi keuangan</t>
  </si>
  <si>
    <t>KK7</t>
  </si>
  <si>
    <t>Mampu berkomunikasi,dan memiliki kemampuan untuk membuat penilaian berdasarkan etika, dan kemampuan untuk berfungsi secara efektif sebagai anggota tim dalam pengembangan layanan publik dan teknologi keuangan</t>
  </si>
  <si>
    <t>Bertakwa kepada Tuhan Yang Maha Esa dan mampu menunjukkan sikap religius.</t>
  </si>
  <si>
    <t>Menjunjung tinggi nilai kemanusiaan dalam menjalankan tugas berdasarkan agama,moral, dan etika.</t>
  </si>
  <si>
    <t>Berkontribusi dalam peningkatan mutu kehidupan bermasyarakat, berbangsa, ernegara, dan kemajuan peradaban berdasarkan Pancasila.</t>
  </si>
  <si>
    <t>Berperan sebagai warga negara yang bangga dan cinta tanah air, memiliki asionalisme serta rasa tanggungjawab pada negara dan bangsa.</t>
  </si>
  <si>
    <t>Mampu menerapkan pemikiran logis, kritis, sistematis, dan inovatif dalam konteks pengembangan atau implementasi ilmu pengetahuan dan teknologi yang emperhatikan dan menerapkan nilai humaniora yang sesuai dengan bidang keahliannya.</t>
  </si>
  <si>
    <t>Mampu mengkaji implikasi pengembangan atau implementasi ilmu pengetahuan teknologi yang memperhatikan dan menerapkan nilai humaniora sesuai dengan keahliannya berdasarkan kaidah, tata cara dan etika ilmiah dalam rangka menghasilkan solusi, gagasan, desain atau kritik seni.</t>
  </si>
  <si>
    <t>Menyusun deskripsi saintifik hasil kajian tersebut di atas dalam bentuk skripsi atau laporan tugas akhir, dan mengunggahnya dalam laman perguruan tinggi.</t>
  </si>
  <si>
    <t>Mampu memelihara dan mengembangkan jaringan kerja dengan pembimbing, kolega, sejawat baik di dalam maupun di luar lembaganya.</t>
  </si>
  <si>
    <t>Mampu bertanggungjawab atas pencapaian hasil kerja kelompok dan melakukan supervisi dan evaluasi terhadap penyelesaian pekerjaan yang ditugaskan kepada pekerja yang berada di bawah tanggungjawabnya.</t>
  </si>
  <si>
    <t>Mampu menerapkan pengetahuan tentang spesialisasi komputasi, dan matematika, sains, dan domain pengetahuan yang sesuai untuk spesialisasi komputasi abstraksi dan konseptualisasi model komputasi dari yang ditentukan masalah dan persyaratan.</t>
  </si>
  <si>
    <t>Mampu memilih, mengintegrasikan, dan mengadministrasikan infrastruktur teknologi informasisebagai solusi penyelesaian permasalahan komputasi yang kompleks untuk layanan publik dan teknologi keuangan</t>
  </si>
  <si>
    <t>Mampu mengimplementasikan, mengelola, dan mengamankan sistem dan informasi yang didistribusikan melalui jaringan komputer untuk menjamin kerahasiaan, integritas, dan ketersediaan informasi untuk layanan publik dan teknologi keuangan</t>
  </si>
  <si>
    <t>Kode CPL Prodi</t>
  </si>
  <si>
    <t>Deskripsi CPL Prodi</t>
  </si>
  <si>
    <t>Kode Utama</t>
  </si>
  <si>
    <t>Kode Turunan</t>
  </si>
  <si>
    <t>Sumber</t>
  </si>
  <si>
    <t>Mampu bekerja secara mandiri ataupun dalam tim, serta menunjukkan sikap profesional dan etis dalam menjalankan tugas dan tanggung jawab untuk menyelesaikan proyek-proyek terkait teknologi informasi cerdas dalam pengembangan layanan publik dan ekonomi digital</t>
  </si>
  <si>
    <t>S6, S9, S10</t>
  </si>
  <si>
    <t>S1, S2, S3, S4, S5, S7, S8</t>
  </si>
  <si>
    <t>Mampu mengembangkan kemampuan berkomunikasi lisan secara efektif, berpikir kritis, kreatif, dan profesional serta dapat menghasilkan karya ilmiah yang orisinal dalam menyelesaikan permasalahan terkait teknologi informasi cerdas melalui pemanfaatan penelitian teknologi informasi dengan berbagai pihak terkait.</t>
  </si>
  <si>
    <t>KU1, KU3, KU4, KU6</t>
  </si>
  <si>
    <t>KU2, KU8, KU9</t>
  </si>
  <si>
    <t>Memiliki kemampuan menganalisis, mengevaluasi, dan membuat keputusan berdasarkan pengetahuan di bidang teknologi informasi cerdas dalam konteks dukungan terhadap pengembangan layanan publik dan ekonomi digital</t>
  </si>
  <si>
    <t>KU1, KU5</t>
  </si>
  <si>
    <t>KU2, KU6, KU7, KU8</t>
  </si>
  <si>
    <t>Mampu mengevaluasi, membuat kesimpulan, dan membuat keputusan berdasarkan pengetahuan teknologi informasi khususnya teknologi informasi cerdas terbaru berkaitan dengan manajemen pengembangan layanan publik dan ekonomi digital</t>
  </si>
  <si>
    <t>KK1, KK6</t>
  </si>
  <si>
    <t>IT2017, Seoul Accord, SNDIKTI</t>
  </si>
  <si>
    <t>Memiliki kemampuan menganalisis, mengevaluasi, dan membuat keputusan berbasis kinerja solusi komputasi cerdas untuk mendukung layanan publik dan ekonomi digital</t>
  </si>
  <si>
    <t>KK1, KK5</t>
  </si>
  <si>
    <t>KK7, KU5</t>
  </si>
  <si>
    <t>IT2017, CC2020, SNDIKTI</t>
  </si>
  <si>
    <t>Memiliki pemahaman yang mendalam, menganalisis, dan mengevaluasi tentang solusi komputasi cerdas dengan sistem dan infrastruktur yang ada termasuk pertimbangan keamanan sistem informasi untuk mendukung layanan publik dan ekonomi digital</t>
  </si>
  <si>
    <t>P3, P5, P6</t>
  </si>
  <si>
    <t>KK2, KK3, KU9</t>
  </si>
  <si>
    <t>IT2017, Seoul Accord, CC2020, SNDIKTI</t>
  </si>
  <si>
    <t>Mampu menganalisis, mengembangkan, dan mengevaluasi kebutuhan sistem antarmuka pengguna yang efektif dan memahami kebutuhan serta preferensi pengguna dalam pengembangan teknologi informasi berbasis komputasi cerdas untuk mendukung layanan publik dan ekonomi digital</t>
  </si>
  <si>
    <t>P2, P7</t>
  </si>
  <si>
    <t>KK4, KU3, KU6</t>
  </si>
  <si>
    <t>Mampu mengevaluasi, mengembangkan dan mengimplementasikan solusi komputasi cerdas dengan menggunakan teknologi terkini dalam mendukung pengembangan kota cerdas dan sistem pemerintahan berbasis elektronik</t>
  </si>
  <si>
    <t>KK2, KK6, P4</t>
  </si>
  <si>
    <t>P5, KU5, KU8</t>
  </si>
  <si>
    <t>KU1, KU3, KU9</t>
  </si>
  <si>
    <t>P1, P4</t>
  </si>
  <si>
    <t>KK5, KK6</t>
  </si>
  <si>
    <t>P3, P6</t>
  </si>
  <si>
    <t>CC2020, Seoul Accord, IT2017</t>
  </si>
  <si>
    <t>Skala Kompetensi</t>
  </si>
  <si>
    <t>Rentang Nilai</t>
  </si>
  <si>
    <t>Sangat Kompeten (Exemplary)</t>
  </si>
  <si>
    <t>85,50 – 100</t>
  </si>
  <si>
    <t>Kompeten (Competent)</t>
  </si>
  <si>
    <t>65,50 – 85,49</t>
  </si>
  <si>
    <t>Berkembang (Develop)</t>
  </si>
  <si>
    <t>49,50 – 65,49</t>
  </si>
  <si>
    <t>Tidak Memuaskan (Unstatisfactory)</t>
  </si>
  <si>
    <t>0 – 49,49</t>
  </si>
  <si>
    <t>Memiliki kemampuan menganalisa, mengevaluasi, dan membuat keputusan berbasis kinerja solusi komputasi cerdas untuk mendukung layanan publik dan ekonomi digital</t>
  </si>
  <si>
    <t>Memiliki kemampuan menganalisa berbasis kinerja solusi komputasi cerdas untuk mendukung layanan publik dan ekonomi digital dalam permodelan statistik untuk bisnis</t>
  </si>
  <si>
    <t>Memiliki kemampuan mengevaluasi berbasis kinerja solusi komputasi cerdas untuk mendukung layanan publik dan ekonomi digital dalam permodelan statistik untuk bisnis</t>
  </si>
  <si>
    <t>Memiliki kemampuan membuat keputusan berbasis kinerja solusi komputasi cerdas untuk mendukung layanan publik dan ekonomi digital dalam permodelan statistik untuk bisnis</t>
  </si>
  <si>
    <t>Mampu menerapkan prinsip_x0002_prinsip matematika, computing, dan disiplin ilmu yang relevan untuk mendukung analisis data. dalam permodelan statistik untuk bisnis</t>
  </si>
  <si>
    <t>Mampu merumuskan solusi bagi bidang computing yang kompleks dalam permodelan statistik untuk bisnis</t>
  </si>
  <si>
    <t>Memiliki kemampuan menganalisa berbasis kinerja solusi komputasi cerdas untuk mendukung layanan publik dan ekonomi digital dalam mesin pembelajaran untuk bisnis</t>
  </si>
  <si>
    <t>Memiliki kemampuan mengevaluasi berbasis kinerja solusi komputasi cerdas untuk mendukung layanan publik dan ekonomi digital dalam mesin pembelajaran untuk bisnis</t>
  </si>
  <si>
    <t>Memiliki kemampuan membuat keputusan berbasis kinerja solusi komputasi cerdas untuk mendukung layanan publik dan ekonomi digital dalam mesin pembelajaran untuk bisnis</t>
  </si>
  <si>
    <t>Mampu menerapkan prinsip_x0002_prinsip matematika, computing, dan disiplin ilmu yang relevan untuk mendukung analisis data. dalam mesin pembelajaran untuk bisnis</t>
  </si>
  <si>
    <t>Mampu merumuskan solusi bagi bidang computing yang kompleks dalam mesin pembelajaran untuk bisnis</t>
  </si>
  <si>
    <t>Memiliki kemampuan menganalisa berbasis kinerja solusi komputasi cerdas untuk mendukung layanan publik dan ekonomi digital dalam analisis data besar</t>
  </si>
  <si>
    <t>Memiliki kemampuan mengevaluasi berbasis kinerja solusi komputasi cerdas untuk mendukung layanan publik dan ekonomi digital dalam analisis data besar</t>
  </si>
  <si>
    <t>Memiliki kemampuan membuat keputusan berbasis kinerja solusi komputasi cerdas untuk mendukung layanan publik dan ekonomi digital dalam analisis data besar</t>
  </si>
  <si>
    <t>Mampu menerapkan prinsip_x0002_prinsip matematika, computing, dan disiplin ilmu yang relevan untuk mendukung analisis data. dalam analisis data besar</t>
  </si>
  <si>
    <t>Mampu merumuskan solusi bagi bidang computing yang kompleks dalam analisis data besar</t>
  </si>
  <si>
    <t>Memiliki kemampuan menganalisis berdasarkan pengetahuan di bidang teknologi informasi cerdas dalam konteks dukungan terhadap pengembangan layanan publik dan ekonomi digital dalam manajemen strategis sistem informasi</t>
  </si>
  <si>
    <t>Memiliki kemampuan mengevaluasi berdasarkan pengetahuan di bidang teknologi informasi cerdas dalam konteks dukungan terhadap pengembangan layanan publik dan ekonomi digital dalam manajemen strategis sistem informasi</t>
  </si>
  <si>
    <t>Memiliki kemampuan membuat keputusan berdasarkan pengetahuan di bidang teknologi informasi cerdas dalam konteks dukungan terhadap pengembangan layanan publik dan ekonomi digital dalam manajemen strategis sistem informasi</t>
  </si>
  <si>
    <t>Mampu mengevaluasi berdasarkan pengetahuan teknologi informasi khususnya teknologi informasi cerdas terbaru berkaitan dengan manajemen pengembangan layanan publik dan ekonomi digital dalam manajemen strategis sistem informasi</t>
  </si>
  <si>
    <t>Mampu membuat kesimpulan berdasarkan pengetahuan teknologi informasi khususnya teknologi informasi cerdas terbaru berkaitan dengan manajemen pengembangan layanan publik dan ekonomi digital dalam manajemen strategis sistem informasi</t>
  </si>
  <si>
    <t>Mampu membuat keputusan berdasarkan pengetahuan teknologi informasi khususnya teknologi informasi cerdas terbaru berkaitan dengan manajemen pengembangan layanan publik dan ekonomi digital dalam manajemen strategis sistem informasi</t>
  </si>
  <si>
    <t>Mampu merancang sistem yang kompleks dalam bidang computing. dalam manajemen strategis sistem informasi</t>
  </si>
  <si>
    <t>Mampu membangun solusi berbasis computing yang efektif dan efisien dalam manajemen strategis sistem informasi</t>
  </si>
  <si>
    <t>Mampu mengevaluasi solusi komputasi cerdas dengan menggunakan teknologi terkini dalam mendukung pengembangan kota cerdas dan sistem pemerintahan berbasis elektronik dalam rekayasa perangkat lunak lanjut</t>
  </si>
  <si>
    <t>Mampu mengembangkan solusi komputasi cerdas dengan menggunakan teknologi terkini dalam mendukung pengembangan kota cerdas dan sistem pemerintahan berbasis elektronik dalam rekayasa perangkat lunak lanjut</t>
  </si>
  <si>
    <t>Mampu mengimplementasikan solusi komputasi cerdas dengan menggunakan teknologi terkini dalam mendukung pengembangan kota cerdas dan sistem pemerintahan berbasis elektronik dalam rekayasa perangkat lunak lanjut</t>
  </si>
  <si>
    <t>Mampu merancang sistem yang kompleks dalam bidang computing. dalam rekayasa perangkat lunak lanjut</t>
  </si>
  <si>
    <t>Mampu membangun solusi berbasis computing yang efektif dan efisien dalam rekayasa perangkat lunak lanjut</t>
  </si>
  <si>
    <t>Memiliki kemampuan menganalisis berdasarkan pengetahuan di bidang teknologi informasi cerdas dalam konteks dukungan terhadap pengembangan layanan publik dan ekonomi digital dalam metodologi penelitian dan penulisan ilmiah</t>
  </si>
  <si>
    <t>Memiliki kemampuan mengevaluasi berdasarkan pengetahuan di bidang teknologi informasi cerdas dalam konteks dukungan terhadap pengembangan layanan publik dan ekonomi digital dalam metodologi penelitian dan penulisan ilmiah</t>
  </si>
  <si>
    <t>Memiliki kemampuan membuat keputusan berdasarkan pengetahuan di bidang teknologi informasi cerdas dalam konteks dukungan terhadap pengembangan layanan publik dan ekonomi digital dalam metodologi penelitian dan penulisan ilmiah</t>
  </si>
  <si>
    <t>Mampu merancang sistem yang kompleks dalam bidang computing. dalam metodologi penelitian dan penulisan ilmiah</t>
  </si>
  <si>
    <t>Mampu membangun solusi berbasis computing yang efektif dan efisien dalam metodologi penelitian dan penulisan ilmiah</t>
  </si>
  <si>
    <t>Memiliki pemahaman yang mendalam tentang solusi komputasi cerdas dengan sistem dan infrastruktur yang ada termasuk pertimbangan keamanan sistem informasi untuk mendukung layanan publik dan ekonomi digital dalam rekayasa kebutuhan sistem</t>
  </si>
  <si>
    <t>Memiliki kemampuan menganalisis yang mendalam tentang solusi komputasi cerdas dengan sistem dan infrastruktur yang ada termasuk pertimbangan keamanan sistem informasi untuk mendukung layanan publik dan ekonomi digital dalam rekayasa kebutuhan sistem</t>
  </si>
  <si>
    <t>Memiliki kemampuan mengevaluasi yang mendalam tentang solusi komputasi cerdas dengan sistem dan infrastruktur yang ada termasuk pertimbangan keamanan sistem informasi untuk mendukung layanan publik dan ekonomi digital dalam rekayasa kebutuhan sistem</t>
  </si>
  <si>
    <t>Mampu mengevaluasi solusi komputasi cerdas dengan menggunakan teknologi terkini dalam mendukung pengembangan kota cerdas dan sistem pemerintahan berbasis elektronik dalam rekayasa kebutuhan sistem</t>
  </si>
  <si>
    <t>Mampu mengembangkan solusi komputasi cerdas dengan menggunakan teknologi terkini dalam mendukung pengembangan kota cerdas dan sistem pemerintahan berbasis elektronik dalam rekayasa kebutuhan sistem</t>
  </si>
  <si>
    <t>Mampu mengimplementasikan solusi komputasi cerdas dengan menggunakan teknologi terkini dalam mendukung pengembangan kota cerdas dan sistem pemerintahan berbasis elektronik dalam rekayasa kebutuhan sistem</t>
  </si>
  <si>
    <t>Mampu merancang sistem yang kompleks dalam bidang computing. dalam rekayasa kebutuhan sistem</t>
  </si>
  <si>
    <t>Mampu membangun solusi berbasis computing yang efektif dan efisien dalam rekayasa kebutuhan sistem</t>
  </si>
  <si>
    <t>Mampu menganalisis, mengembangkan, dan mengevaluasi kebutuhan sistem antarmuka pengguna yang efektif dan memahami kebutuhan serta preferensi pengguna dalam pengembangan teknologi informasi berbasis komputasi cerdas untuk mendukung layanan publik dan ekonomi digital.</t>
  </si>
  <si>
    <t>Mampu menganalisis kebutuhan pengguna dalam konteks sistem interaksi manusia dan komputer. dengan memanfaatkan berbagai metode secara tepat dalam interaksi manusia dan komputer</t>
  </si>
  <si>
    <t>Mampu mengembangkan berbagai pendekatan dalam rangka pengumpulan data penelitian dalam interaksi manusia dan komputer</t>
  </si>
  <si>
    <t>Mampu mengevaluasi antarmuka pengguna dengan tepat dan benar dalam interaksi manusia dan komputer</t>
  </si>
  <si>
    <t>Mampu merancang sistem yang kompleks dalam bidang computing. dalam interaksi manusia dan komputer</t>
  </si>
  <si>
    <t>Mampu membangun solusi berbasis computing yang efektif dan efisien dalam interaksi manusia dan komputer</t>
  </si>
  <si>
    <t>Memiliki pemahaman yang mendalam tentang solusi komputasi cerdas dengan sistem dan infrastruktur yang ada termasuk pertimbangan keamanan sistem informasi untuk mendukung layanan publik dan ekonomi digital dalam keamanan siber</t>
  </si>
  <si>
    <t>Memiliki kemampuan menganalisis yang mendalam tentang solusi komputasi cerdas dengan sistem dan infrastruktur yang ada termasuk pertimbangan keamanan sistem informasi untuk mendukung layanan publik dan ekonomi digital dalam keamanan siber</t>
  </si>
  <si>
    <t>Memiliki kemampuan mengevaluasi yang mendalam tentang solusi komputasi cerdas dengan sistem dan infrastruktur yang ada termasuk pertimbangan keamanan sistem informasi untuk mendukung layanan publik dan ekonomi digital dalam keamanan siber</t>
  </si>
  <si>
    <t>Mampu menerapkan prinsip_x0002_prinsip matematika, computing, dan disiplin ilmu yang relevan untuk mendukung analisis data. dalam keamanan siber</t>
  </si>
  <si>
    <t>Mampu merumuskan solusi bagi bidang computing yang kompleks dalam keamanan siber</t>
  </si>
  <si>
    <t>Memiliki kemampuan menganalisa berbasis kinerja solusi komputasi cerdas untuk mendukung layanan publik dan ekonomi digital dalam sistem pendukung keputusan cerdas</t>
  </si>
  <si>
    <t>Memiliki kemampuan mengevaluasi berbasis kinerja solusi komputasi cerdas untuk mendukung layanan publik dan ekonomi digital dalam sistem pendukung keputusan cerdas</t>
  </si>
  <si>
    <t>Memiliki kemampuan membuat keputusan berbasis kinerja solusi komputasi cerdas untuk mendukung layanan publik dan ekonomi digital dalam sistem pendukung keputusan cerdas</t>
  </si>
  <si>
    <t>Mampu menerapkan prinsip_x0002_prinsip matematika, computing, dan disiplin ilmu yang relevan untuk mendukung analisis data. dalam sistem pendukung keputusan cerdas</t>
  </si>
  <si>
    <t>Mampu merumuskan solusi bagi bidang computing yang kompleks dalam sistem pendukung keputusan cerdas</t>
  </si>
  <si>
    <t>Mampu menganalisis kebutuhan pengguna dalam konteks sistem interaksi manusia dan komputer. dengan memanfaatkan berbagai metode secara tepat dalam arsitektur enterprise untuk teknologi informasi</t>
  </si>
  <si>
    <t>Mampu mengembangkan berbagai pendekatan dalam rangka pengumpulan data penelitian dalam arsitektur enterprise untuk teknologi informasi</t>
  </si>
  <si>
    <t>Mampu mengevaluasi antarmuka pengguna dengan tepat dan benar dalam arsitektur enterprise untuk teknologi informasi</t>
  </si>
  <si>
    <t>Mampu merancang sistem yang kompleks dalam bidang computing. dalam arsitektur enterprise untuk teknologi informasi</t>
  </si>
  <si>
    <t>Mampu membangun solusi berbasis computing yang efektif dan efisien dalam arsitektur enterprise untuk teknologi informasi</t>
  </si>
  <si>
    <t>Mampu bekerja secara mandiri ataupun dalam tim dalam menjalankan tugas dan tanggung jawab untuk menyelesaikan proyek-proyek terkait teknologi informasi cerdas dalam pengembangan layanan publik dan ekonomi digital dalam tesis</t>
  </si>
  <si>
    <t>Profesional dan Etis dalam menjalankan tugas dan tanggung jawab dalam menjalankan tugas dan tanggung jawab untuk menyelesaikan proyek-proyek terkait teknologi informasi cerdas dalam pengembangan layanan publik dan ekonomi digital dalam tesis</t>
  </si>
  <si>
    <t>Mampu mengembangkan kemampuan berkomunikasi lisan secara efektif, berpikir kritis, kreatif dan profesional dalam menyelesaikan permasalahan terkait teknologi informasi cerdas melalui pemanfaatan penelitian teknologi informasi dengan berbagai pihak terkait dalam tesis</t>
  </si>
  <si>
    <t>Mampu menghasilkan karya ilmiah yang orisinal dalam menyelesaikan permasalahan terkait teknologi informasi cerdas melalui pemanfaatan penelitian teknologi informasi dengan berbagai pihak terkait dalam tesis</t>
  </si>
  <si>
    <t>Mampu mengidentifikasi solusi_x0002_solusi algoritmik untuk masalah computing yang kompleks. dalam tesis</t>
  </si>
  <si>
    <t>Mampu meneliti literatur dalam menganalisis solusi-solusi algoritmik untuk masalah yang 
kompleks. dalam tesis</t>
  </si>
  <si>
    <t>Mampu mengevaluasi dan memformulasi solusi-solusi algoritmik untuk masalah yang kompleks. dalam tesis</t>
  </si>
  <si>
    <t>Mampu merancang sistem yang kompleks dalam bidang computing. dalam tesis</t>
  </si>
  <si>
    <t>Mampu membangun solusi berbasis computing yang efektif dan efisien dalam tesis</t>
  </si>
  <si>
    <t>Memiliki kemampuan menganalisa berbasis kinerja solusi komputasi cerdas untuk mendukung layanan publik dan ekonomi digital dalam teknologi keuangan ( fintech ) dan resiko</t>
  </si>
  <si>
    <t>Memiliki kemampuan mengevaluasi berbasis kinerja solusi komputasi cerdas untuk mendukung layanan publik dan ekonomi digital dalam teknologi keuangan ( fintech ) dan resiko</t>
  </si>
  <si>
    <t>Memiliki kemampuan membuat keputusan berbasis kinerja solusi komputasi cerdas untuk mendukung layanan publik dan ekonomi digital dalam teknologi keuangan ( fintech ) dan resiko</t>
  </si>
  <si>
    <t>Mampu mengidentifikasi solusi_x0002_solusi algoritmik untuk masalah computing yang kompleks. dalam teknologi keuangan ( fintech ) dan resiko</t>
  </si>
  <si>
    <t>Mampu meneliti literatur dalam menganalisis solusi-solusi algoritmik untuk masalah yang 
kompleks. dalam teknologi keuangan ( fintech ) dan resiko</t>
  </si>
  <si>
    <t>Mampu mengevaluasi dan memformulasi solusi-solusi algoritmik untuk masalah yang kompleks. dalam teknologi keuangan ( fintech ) dan resiko</t>
  </si>
  <si>
    <t>Memiliki kemampuan menganalisis berdasarkan pengetahuan di bidang teknologi informasi cerdas dalam konteks dukungan terhadap pengembangan layanan publik dan ekonomi digital dalam kecerdasan bisnis</t>
  </si>
  <si>
    <t>Memiliki kemampuan mengevaluasi berdasarkan pengetahuan di bidang teknologi informasi cerdas dalam konteks dukungan terhadap pengembangan layanan publik dan ekonomi digital dalam kecerdasan bisnis</t>
  </si>
  <si>
    <t>Memiliki kemampuan membuat keputusan berdasarkan pengetahuan di bidang teknologi informasi cerdas dalam konteks dukungan terhadap pengembangan layanan publik dan ekonomi digital dalam kecerdasan bisnis</t>
  </si>
  <si>
    <t>Mampu merancang sistem yang kompleks dalam bidang computing. dalam kecerdasan bisnis</t>
  </si>
  <si>
    <t>Mampu membangun solusi berbasis computing yang efektif dan efisien dalam kecerdasan bisnis</t>
  </si>
  <si>
    <t>Memiliki kemampuan menganalisis berdasarkan pengetahuan di bidang teknologi informasi cerdas dalam konteks dukungan terhadap pengembangan layanan publik dan ekonomi digital dalam tata kelola dan audit bisnis digital</t>
  </si>
  <si>
    <t>Memiliki kemampuan mengevaluasi berdasarkan pengetahuan di bidang teknologi informasi cerdas dalam konteks dukungan terhadap pengembangan layanan publik dan ekonomi digital dalam tata kelola dan audit bisnis digital</t>
  </si>
  <si>
    <t>Memiliki kemampuan membuat keputusan berdasarkan pengetahuan di bidang teknologi informasi cerdas dalam konteks dukungan terhadap pengembangan layanan publik dan ekonomi digital dalam tata kelola dan audit bisnis digital</t>
  </si>
  <si>
    <t>Memiliki pemahaman yang mendalam tentang solusi komputasi cerdas dengan sistem dan infrastruktur yang ada termasuk pertimbangan keamanan sistem informasi untuk mendukung layanan publik dan ekonomi digital dalam tata kelola dan audit bisnis digital</t>
  </si>
  <si>
    <t>Memiliki kemampuan menganalisis yang mendalam tentang solusi komputasi cerdas dengan sistem dan infrastruktur yang ada termasuk pertimbangan keamanan sistem informasi untuk mendukung layanan publik dan ekonomi digital dalam tata kelola dan audit bisnis digital</t>
  </si>
  <si>
    <t>Memiliki kemampuan mengevaluasi yang mendalam tentang solusi komputasi cerdas dengan sistem dan infrastruktur yang ada termasuk pertimbangan keamanan sistem informasi untuk mendukung layanan publik dan ekonomi digital dalam tata kelola dan audit bisnis digital</t>
  </si>
  <si>
    <t>Mampu mengidentifikasi solusi_x0002_solusi algoritmik untuk masalah computing yang kompleks. dalam tata kelola dan audit bisnis digital</t>
  </si>
  <si>
    <t>Mampu meneliti literatur dalam menganalisis solusi-solusi algoritmik untuk masalah yang 
kompleks. dalam tata kelola dan audit bisnis digital</t>
  </si>
  <si>
    <t>Mampu mengevaluasi dan memformulasi solusi-solusi algoritmik untuk masalah yang kompleks. dalam tata kelola dan audit bisnis digital</t>
  </si>
  <si>
    <t>Mampu mengevaluasi solusi komputasi cerdas dengan menggunakan teknologi terkini dalam mendukung pengembangan kota cerdas dan sistem pemerintahan berbasis elektronik dalam sistem pemerintahan berbasis elektronik</t>
  </si>
  <si>
    <t>Mampu mengembangkan solusi komputasi cerdas dengan menggunakan teknologi terkini dalam mendukung pengembangan kota cerdas dan sistem pemerintahan berbasis elektronik dalam sistem pemerintahan berbasis elektronik</t>
  </si>
  <si>
    <t>Mampu mengimplementasikan solusi komputasi cerdas dengan menggunakan teknologi terkini dalam mendukung pengembangan kota cerdas dan sistem pemerintahan berbasis elektronik dalam sistem pemerintahan berbasis elektronik</t>
  </si>
  <si>
    <t>Mampu mengidentifikasi solusi_x0002_solusi algoritmik untuk masalah computing yang kompleks. dalam sistem pemerintahan berbasis elektronik</t>
  </si>
  <si>
    <t>Mampu meneliti literatur dalam menganalisis solusi-solusi algoritmik untuk masalah yang 
kompleks. dalam sistem pemerintahan berbasis elektronik</t>
  </si>
  <si>
    <t>Mampu mengevaluasi dan memformulasi solusi-solusi algoritmik untuk masalah yang kompleks. dalam sistem pemerintahan berbasis elektronik</t>
  </si>
  <si>
    <t>Mampu menerapkan prinsip_x0002_prinsip matematika, computing, dan disiplin ilmu yang relevan untuk mendukung analisis data. dalam sistem pemerintahan berbasis elektronik</t>
  </si>
  <si>
    <t>Mampu merumuskan solusi bagi bidang computing yang kompleks dalam sistem pemerintahan berbasis elektronik</t>
  </si>
  <si>
    <t>Mampu merancang sistem yang kompleks dalam bidang computing. dalam sistem pemerintahan berbasis elektronik</t>
  </si>
  <si>
    <t>Mampu membangun solusi berbasis computing yang efektif dan efisien dalam sistem pemerintahan berbasis elektronik</t>
  </si>
  <si>
    <t>Memiliki kemampuan menganalisa berbasis kinerja solusi komputasi cerdas untuk mendukung layanan publik dan ekonomi digital dalam manajemen proyek teknologi informasi</t>
  </si>
  <si>
    <t>Memiliki kemampuan mengevaluasi berbasis kinerja solusi komputasi cerdas untuk mendukung layanan publik dan ekonomi digital dalam manajemen proyek teknologi informasi</t>
  </si>
  <si>
    <t>Memiliki kemampuan membuat keputusan berbasis kinerja solusi komputasi cerdas untuk mendukung layanan publik dan ekonomi digital dalam manajemen proyek teknologi informasi</t>
  </si>
  <si>
    <t>Memiliki pemahaman yang mendalam tentang solusi komputasi cerdas dengan sistem dan infrastruktur yang ada termasuk pertimbangan keamanan sistem informasi untuk mendukung layanan publik dan ekonomi digital dalam manajemen proyek teknologi informasi</t>
  </si>
  <si>
    <t>Memiliki kemampuan menganalisis yang mendalam tentang solusi komputasi cerdas dengan sistem dan infrastruktur yang ada termasuk pertimbangan keamanan sistem informasi untuk mendukung layanan publik dan ekonomi digital dalam manajemen proyek teknologi informasi</t>
  </si>
  <si>
    <t>Memiliki kemampuan mengevaluasi yang mendalam tentang solusi komputasi cerdas dengan sistem dan infrastruktur yang ada termasuk pertimbangan keamanan sistem informasi untuk mendukung layanan publik dan ekonomi digital dalam manajemen proyek teknologi informasi</t>
  </si>
  <si>
    <t>Mampu mengidentifikasi solusi_x0002_solusi algoritmik untuk masalah computing yang kompleks. dalam manajemen proyek teknologi informasi</t>
  </si>
  <si>
    <t>Mampu meneliti literatur dalam menganalisis solusi-solusi algoritmik untuk masalah yang 
kompleks. dalam manajemen proyek teknologi informasi</t>
  </si>
  <si>
    <t>Mampu mengevaluasi dan memformulasi solusi-solusi algoritmik untuk masalah yang kompleks. dalam manajemen proyek teknologi informasi</t>
  </si>
  <si>
    <t>Memiliki kemampuan menganalisis berdasarkan pengetahuan di bidang teknologi informasi cerdas dalam konteks dukungan terhadap pengembangan layanan publik dan ekonomi digital dalam kota cerdas</t>
  </si>
  <si>
    <t>Memiliki kemampuan mengevaluasi berdasarkan pengetahuan di bidang teknologi informasi cerdas dalam konteks dukungan terhadap pengembangan layanan publik dan ekonomi digital dalam kota cerdas</t>
  </si>
  <si>
    <t>Memiliki kemampuan membuat keputusan berdasarkan pengetahuan di bidang teknologi informasi cerdas dalam konteks dukungan terhadap pengembangan layanan publik dan ekonomi digital dalam kota cerdas</t>
  </si>
  <si>
    <t>Mampu mengidentifikasi solusi_x0002_solusi algoritmik untuk masalah computing yang kompleks. dalam kota cerdas</t>
  </si>
  <si>
    <t>Mampu meneliti literatur dalam menganalisis solusi-solusi algoritmik untuk masalah yang 
kompleks. dalam kota cerdas</t>
  </si>
  <si>
    <t>Mampu mengevaluasi dan memformulasi solusi-solusi algoritmik untuk masalah yang kompleks. dalam kota cerdas</t>
  </si>
  <si>
    <t>Mampu bekerja secara mandiri ataupun dalam tim dalam menjalankan tugas dan tanggung jawab untuk menyelesaikan proyek-proyek terkait teknologi informasi cerdas dalam pengembangan layanan publik dan ekonomi digital dalam publikasi</t>
  </si>
  <si>
    <t>Profesional dan Etis dalam menjalankan tugas dan tanggung jawab dalam menjalankan tugas dan tanggung jawab untuk menyelesaikan proyek-proyek terkait teknologi informasi cerdas dalam pengembangan layanan publik dan ekonomi digital dalam publikasi</t>
  </si>
  <si>
    <t>Mampu mengembangkan kemampuan berkomunikasi lisan secara efektif, berpikir kritis, kreatif dan profesional dalam menyelesaikan permasalahan terkait teknologi informasi cerdas melalui pemanfaatan penelitian teknologi informasi dengan berbagai pihak terkait dalam publikasi</t>
  </si>
  <si>
    <t>Mampu menghasilkan karya ilmiah yang orisinal dalam menyelesaikan permasalahan terkait teknologi informasi cerdas melalui pemanfaatan penelitian teknologi informasi dengan berbagai pihak terkait dalam publikasi</t>
  </si>
  <si>
    <t>Mampu mengidentifikasi solusi_x0002_solusi algoritmik untuk masalah computing yang kompleks. dalam publikasi</t>
  </si>
  <si>
    <t>Mampu meneliti literatur dalam menganalisis solusi-solusi algoritmik untuk masalah yang 
kompleks. dalam publikasi</t>
  </si>
  <si>
    <t>Mampu mengevaluasi dan memformulasi solusi-solusi algoritmik untuk masalah yang kompleks. dalam publikasi</t>
  </si>
  <si>
    <t>Mampu bekerja secara mandiri ataupun dalam tim dalam menjalankan tugas dan tanggung jawab untuk menyelesaikan proyek-proyek terkait teknologi informasi cerdas dalam pengembangan layanan publik dan ekonomi digital dalam strategi teknopreneurship dan inovasi digital</t>
  </si>
  <si>
    <t>Profesional dan Etis dalam menjalankan tugas dan tanggung jawab dalam menjalankan tugas dan tanggung jawab untuk menyelesaikan proyek-proyek terkait teknologi informasi cerdas dalam pengembangan layanan publik dan ekonomi digital dalam strategi teknopreneurship dan inovasi digital</t>
  </si>
  <si>
    <t>Mampu mengembangkan kemampuan berkomunikasi lisan secara efektif, berpikir kritis, kreatif dan profesional dalam menyelesaikan permasalahan terkait teknologi informasi cerdas melalui pemanfaatan penelitian teknologi informasi dengan berbagai pihak terkait dalam strategi teknopreneurship dan inovasi digital</t>
  </si>
  <si>
    <r>
      <t>Mahasiswa menunjukkan pemahaman</t>
    </r>
    <r>
      <rPr>
        <b/>
        <sz val="10"/>
        <color theme="1"/>
        <rFont val="Aptos Display"/>
        <family val="2"/>
      </rPr>
      <t xml:space="preserve"> yang sangat baik</t>
    </r>
    <r>
      <rPr>
        <sz val="10"/>
        <color theme="1"/>
        <rFont val="Aptos Display"/>
        <family val="2"/>
      </rPr>
      <t xml:space="preserve"> dan mampu menerapkan serta menganalisis konsep dengan Tingkat kedalaman yang tinggi. Dapat menyelesaikan tugas dan masalah secara mandiri serta inovatif.</t>
    </r>
  </si>
  <si>
    <r>
      <t>Mahasiswa memiliki pemahaman</t>
    </r>
    <r>
      <rPr>
        <b/>
        <sz val="10"/>
        <color theme="1"/>
        <rFont val="Aptos Display"/>
        <family val="2"/>
      </rPr>
      <t xml:space="preserve"> yang baik</t>
    </r>
    <r>
      <rPr>
        <sz val="10"/>
        <color theme="1"/>
        <rFont val="Aptos Display"/>
        <family val="2"/>
      </rPr>
      <t xml:space="preserve"> dan dapat menerapkan konsep secara efektif dalam berbagai situasi. Mampu menyelesaikan tugas dengan bimbingan minimal.</t>
    </r>
  </si>
  <si>
    <r>
      <t>Mahasiswa memiliki pemahaman dasar</t>
    </r>
    <r>
      <rPr>
        <b/>
        <sz val="10"/>
        <color theme="1"/>
        <rFont val="Aptos Display"/>
        <family val="2"/>
      </rPr>
      <t xml:space="preserve"> yang cukup</t>
    </r>
    <r>
      <rPr>
        <sz val="10"/>
        <color theme="1"/>
        <rFont val="Aptos Display"/>
        <family val="2"/>
      </rPr>
      <t>, tetapi masih memerlukan bimbingan dalam penerapan konsep. Penyelesaian tugas masih terbatas pada situasi yang sederhana.</t>
    </r>
  </si>
  <si>
    <r>
      <t xml:space="preserve">Mahaisiswa </t>
    </r>
    <r>
      <rPr>
        <b/>
        <sz val="10"/>
        <color theme="1"/>
        <rFont val="Aptos Display"/>
        <family val="2"/>
      </rPr>
      <t>belum</t>
    </r>
    <r>
      <rPr>
        <sz val="10"/>
        <color theme="1"/>
        <rFont val="Aptos Display"/>
        <family val="2"/>
      </rPr>
      <t xml:space="preserve"> memiliki pemahaman dan ketrampilan. Masih memutuhkan banyak bimbingan dalam memahami dan menerapkan konsep dasar.</t>
    </r>
  </si>
  <si>
    <t>Sangat Mampu</t>
  </si>
  <si>
    <t>Mampu</t>
  </si>
  <si>
    <t>Kurang Mampu</t>
  </si>
  <si>
    <t>Cukup Mampu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</si>
</sst>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0"/>
      <color rgb="FF000000"/>
      <name val="Arial"/>
      <family val="2"/>
    </font>
    <font>
      <b/>
      <sz val="10"/>
      <color theme="1"/>
      <name val="Arial"/>
      <family val="2"/>
    </font>
    <font>
      <sz val="10"/>
      <color theme="1"/>
      <name val="Arial"/>
      <family val="2"/>
    </font>
    <font>
      <sz val="10"/>
      <color rgb="FF1F1F1F"/>
      <name val="Arial"/>
      <family val="2"/>
    </font>
    <font>
      <b/>
      <sz val="10"/>
      <color rgb="FF1F1F1F"/>
      <name val="Arial"/>
      <family val="2"/>
    </font>
    <font>
      <sz val="10"/>
      <color theme="1"/>
      <name val="Aptos Narrow"/>
      <family val="2"/>
      <scheme val="minor"/>
    </font>
    <font>
      <b/>
      <sz val="10"/>
      <color theme="1"/>
      <name val="Aptos Narrow"/>
      <family val="2"/>
      <scheme val="minor"/>
    </font>
    <font>
      <sz val="10"/>
      <color theme="1"/>
      <name val="Aptos"/>
      <family val="2"/>
    </font>
    <font>
      <sz val="12"/>
      <color rgb="FF000000"/>
      <name val="Calibri"/>
      <family val="2"/>
    </font>
    <font>
      <sz val="12"/>
      <color theme="1"/>
      <name val="Calibri"/>
      <family val="2"/>
    </font>
    <font>
      <sz val="10"/>
      <color rgb="FF444444"/>
      <name val="Arial"/>
      <family val="2"/>
    </font>
    <font>
      <b/>
      <sz val="10"/>
      <color rgb="FF444444"/>
      <name val="Arial"/>
      <family val="2"/>
    </font>
    <font>
      <sz val="11"/>
      <color theme="1"/>
      <name val="Aptos Narrow"/>
      <family val="2"/>
      <scheme val="minor"/>
    </font>
    <font>
      <sz val="10"/>
      <color rgb="FF212529"/>
      <name val="Arial"/>
      <family val="2"/>
    </font>
    <font>
      <sz val="10"/>
      <name val="Arial"/>
      <family val="2"/>
    </font>
    <font>
      <sz val="8"/>
      <name val="Aptos Narrow"/>
      <family val="2"/>
      <scheme val="minor"/>
    </font>
    <font>
      <sz val="8"/>
      <color theme="1"/>
      <name val="Arial"/>
      <family val="2"/>
    </font>
    <font>
      <sz val="8"/>
      <color theme="1"/>
      <name val="Aptos Narrow"/>
      <family val="2"/>
      <scheme val="minor"/>
    </font>
    <font>
      <sz val="10"/>
      <color theme="1"/>
      <name val="Calibri"/>
      <family val="2"/>
    </font>
    <font>
      <sz val="10"/>
      <color rgb="FF000000"/>
      <name val="Calibri"/>
      <family val="2"/>
    </font>
    <font>
      <b/>
      <sz val="11"/>
      <color theme="1"/>
      <name val="Aptos Narrow"/>
      <family val="2"/>
      <scheme val="minor"/>
    </font>
    <font>
      <b/>
      <sz val="10"/>
      <color rgb="FF000000"/>
      <name val="Aptos Display"/>
      <family val="2"/>
    </font>
    <font>
      <sz val="10"/>
      <color theme="1"/>
      <name val="Aptos Display"/>
      <family val="2"/>
    </font>
    <font>
      <b/>
      <sz val="10"/>
      <color theme="1"/>
      <name val="Aptos Display"/>
      <family val="2"/>
    </font>
  </fonts>
  <fills count="13">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
      <patternFill patternType="solid">
        <fgColor rgb="FF34A853"/>
        <bgColor indexed="64"/>
      </patternFill>
    </fill>
    <fill>
      <patternFill patternType="solid">
        <fgColor rgb="FFFFD966"/>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E8E8E8"/>
        <bgColor indexed="64"/>
      </patternFill>
    </fill>
  </fills>
  <borders count="7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CCCCCC"/>
      </bottom>
      <diagonal/>
    </border>
    <border>
      <left/>
      <right style="medium">
        <color rgb="FF000000"/>
      </right>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right/>
      <top style="medium">
        <color rgb="FF000000"/>
      </top>
      <bottom style="medium">
        <color rgb="FF000000"/>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style="thin">
        <color indexed="64"/>
      </top>
      <bottom style="thin">
        <color indexed="64"/>
      </bottom>
      <diagonal/>
    </border>
    <border>
      <left/>
      <right style="medium">
        <color rgb="FF000000"/>
      </right>
      <top/>
      <bottom/>
      <diagonal/>
    </border>
    <border>
      <left style="medium">
        <color rgb="FF000000"/>
      </left>
      <right/>
      <top style="medium">
        <color rgb="FF000000"/>
      </top>
      <bottom style="medium">
        <color rgb="FF000000"/>
      </bottom>
      <diagonal/>
    </border>
  </borders>
  <cellStyleXfs count="2">
    <xf numFmtId="0" fontId="0" fillId="0" borderId="0"/>
    <xf numFmtId="9" fontId="13" fillId="0" borderId="0" applyFont="0" applyFill="0" applyBorder="0" applyAlignment="0" applyProtection="0"/>
  </cellStyleXfs>
  <cellXfs count="336">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left" vertical="center" wrapText="1"/>
    </xf>
    <xf numFmtId="0" fontId="4" fillId="3" borderId="8" xfId="0" applyFont="1" applyFill="1" applyBorder="1" applyAlignment="1">
      <alignment horizontal="left" vertical="center" wrapText="1"/>
    </xf>
    <xf numFmtId="0" fontId="3" fillId="0" borderId="9" xfId="0" applyFont="1" applyBorder="1" applyAlignment="1">
      <alignment horizontal="center" vertical="center" wrapText="1"/>
    </xf>
    <xf numFmtId="0" fontId="3" fillId="0" borderId="10" xfId="0" applyFont="1" applyBorder="1" applyAlignment="1">
      <alignment horizontal="left" vertical="center" wrapText="1"/>
    </xf>
    <xf numFmtId="0" fontId="4" fillId="3" borderId="10"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9"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4" fillId="4" borderId="10" xfId="0" applyFont="1" applyFill="1" applyBorder="1" applyAlignment="1">
      <alignment horizontal="left"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left" vertical="center" wrapText="1"/>
    </xf>
    <xf numFmtId="0" fontId="4" fillId="4" borderId="8" xfId="0" applyFont="1" applyFill="1" applyBorder="1" applyAlignment="1">
      <alignment horizontal="left" vertical="center" wrapText="1"/>
    </xf>
    <xf numFmtId="0" fontId="0" fillId="0" borderId="0" xfId="0" applyAlignment="1">
      <alignment horizontal="center" vertical="center"/>
    </xf>
    <xf numFmtId="0" fontId="3" fillId="0" borderId="8" xfId="0" applyFont="1" applyBorder="1" applyAlignment="1">
      <alignment horizontal="center" vertical="center" wrapText="1"/>
    </xf>
    <xf numFmtId="0" fontId="0" fillId="5" borderId="0" xfId="0" applyFill="1" applyAlignment="1">
      <alignment horizontal="center" vertical="center"/>
    </xf>
    <xf numFmtId="0" fontId="0" fillId="6" borderId="0" xfId="0" applyFill="1" applyAlignment="1">
      <alignment horizontal="center" vertical="center"/>
    </xf>
    <xf numFmtId="0" fontId="3" fillId="0" borderId="13" xfId="0" applyFont="1" applyBorder="1" applyAlignment="1">
      <alignment horizontal="center" vertical="center" wrapText="1"/>
    </xf>
    <xf numFmtId="0" fontId="3" fillId="4" borderId="1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0" fillId="0" borderId="13" xfId="0" applyBorder="1" applyAlignment="1">
      <alignment horizontal="center" vertical="center"/>
    </xf>
    <xf numFmtId="0" fontId="6" fillId="0" borderId="0" xfId="0" applyFont="1"/>
    <xf numFmtId="0" fontId="7" fillId="0" borderId="13" xfId="0" applyFont="1" applyBorder="1" applyAlignment="1">
      <alignment horizontal="center" vertical="center"/>
    </xf>
    <xf numFmtId="0" fontId="6" fillId="0" borderId="13" xfId="0" applyFont="1" applyBorder="1" applyAlignment="1">
      <alignment horizontal="center" vertical="center"/>
    </xf>
    <xf numFmtId="0" fontId="6" fillId="5" borderId="13" xfId="0" applyFont="1" applyFill="1" applyBorder="1" applyAlignment="1">
      <alignment horizontal="center" vertical="center"/>
    </xf>
    <xf numFmtId="0" fontId="8" fillId="0" borderId="4" xfId="0" applyFont="1" applyBorder="1" applyAlignment="1">
      <alignment vertical="center" wrapText="1"/>
    </xf>
    <xf numFmtId="0" fontId="6" fillId="6" borderId="13" xfId="0" applyFont="1" applyFill="1" applyBorder="1" applyAlignment="1">
      <alignment horizontal="center" vertical="center"/>
    </xf>
    <xf numFmtId="0" fontId="8" fillId="4" borderId="4" xfId="0" applyFont="1" applyFill="1" applyBorder="1" applyAlignment="1">
      <alignment vertical="center" wrapText="1"/>
    </xf>
    <xf numFmtId="0" fontId="1" fillId="7" borderId="5"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3" fillId="0" borderId="7" xfId="0" applyFont="1" applyBorder="1" applyAlignment="1">
      <alignment horizontal="right" vertical="center" wrapText="1"/>
    </xf>
    <xf numFmtId="0" fontId="10" fillId="0" borderId="7" xfId="0" applyFont="1" applyBorder="1" applyAlignment="1">
      <alignment horizontal="center" vertical="center" wrapText="1"/>
    </xf>
    <xf numFmtId="0" fontId="9" fillId="8" borderId="6" xfId="0" applyFont="1" applyFill="1" applyBorder="1" applyAlignment="1">
      <alignment horizontal="center" vertical="center" wrapText="1"/>
    </xf>
    <xf numFmtId="0" fontId="3" fillId="5" borderId="8" xfId="0" applyFont="1" applyFill="1" applyBorder="1" applyAlignment="1">
      <alignment horizontal="left" vertical="center" wrapText="1"/>
    </xf>
    <xf numFmtId="0" fontId="9" fillId="8" borderId="14"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8" borderId="15" xfId="0" applyFont="1" applyFill="1" applyBorder="1" applyAlignment="1">
      <alignment horizontal="center" vertical="center" wrapText="1"/>
    </xf>
    <xf numFmtId="0" fontId="0" fillId="0" borderId="13" xfId="0" applyBorder="1"/>
    <xf numFmtId="0" fontId="10" fillId="0" borderId="12" xfId="0" applyFont="1" applyBorder="1" applyAlignment="1">
      <alignment horizontal="center" vertical="center" wrapText="1"/>
    </xf>
    <xf numFmtId="0" fontId="11" fillId="3"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2" fillId="0" borderId="0" xfId="0" applyFont="1" applyAlignment="1">
      <alignment horizontal="center" vertical="center"/>
    </xf>
    <xf numFmtId="0" fontId="11" fillId="3" borderId="13" xfId="0" applyFont="1" applyFill="1" applyBorder="1" applyAlignment="1">
      <alignment horizontal="center" vertical="center" wrapText="1"/>
    </xf>
    <xf numFmtId="0" fontId="11" fillId="9" borderId="16"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3" borderId="13" xfId="0" applyFont="1" applyFill="1" applyBorder="1" applyAlignment="1">
      <alignment horizontal="left" vertical="center" wrapText="1"/>
    </xf>
    <xf numFmtId="0" fontId="0" fillId="10" borderId="19" xfId="0" applyFill="1" applyBorder="1"/>
    <xf numFmtId="0" fontId="0" fillId="5" borderId="20" xfId="0" applyFill="1" applyBorder="1" applyAlignment="1">
      <alignment horizontal="center" vertical="center"/>
    </xf>
    <xf numFmtId="0" fontId="0" fillId="0" borderId="21" xfId="0" applyBorder="1" applyAlignment="1">
      <alignment horizontal="center" vertical="center"/>
    </xf>
    <xf numFmtId="0" fontId="0" fillId="5" borderId="23" xfId="0" applyFill="1"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1" fillId="7" borderId="0" xfId="0" applyFont="1" applyFill="1" applyAlignment="1">
      <alignment horizontal="center" vertical="center" wrapText="1"/>
    </xf>
    <xf numFmtId="0" fontId="11" fillId="3" borderId="15" xfId="0" applyFont="1" applyFill="1" applyBorder="1" applyAlignment="1">
      <alignment horizontal="left"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0" fillId="5" borderId="24" xfId="0" applyFill="1" applyBorder="1" applyAlignment="1">
      <alignment horizontal="center" vertical="center"/>
    </xf>
    <xf numFmtId="0" fontId="0" fillId="0" borderId="27" xfId="0" applyBorder="1" applyAlignment="1">
      <alignment horizontal="center" vertical="center"/>
    </xf>
    <xf numFmtId="0" fontId="11" fillId="4" borderId="28"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2" fillId="3" borderId="15" xfId="0" applyFont="1" applyFill="1" applyBorder="1" applyAlignment="1">
      <alignment horizontal="left" vertical="center" wrapText="1"/>
    </xf>
    <xf numFmtId="0" fontId="11" fillId="3" borderId="28" xfId="0" applyFont="1" applyFill="1" applyBorder="1" applyAlignment="1">
      <alignment horizontal="left" vertical="center" wrapText="1"/>
    </xf>
    <xf numFmtId="0" fontId="11" fillId="4" borderId="15" xfId="0" applyFont="1" applyFill="1" applyBorder="1" applyAlignment="1">
      <alignment horizontal="left" vertical="center" wrapText="1"/>
    </xf>
    <xf numFmtId="0" fontId="0" fillId="2" borderId="0" xfId="0" applyFill="1" applyAlignment="1">
      <alignment horizontal="center" vertical="center"/>
    </xf>
    <xf numFmtId="0" fontId="0" fillId="2" borderId="24" xfId="0" applyFill="1" applyBorder="1" applyAlignment="1">
      <alignment horizontal="center" vertical="center"/>
    </xf>
    <xf numFmtId="0" fontId="0" fillId="2" borderId="26" xfId="0" applyFill="1" applyBorder="1" applyAlignment="1">
      <alignment horizontal="center" vertical="center"/>
    </xf>
    <xf numFmtId="0" fontId="0" fillId="2" borderId="23" xfId="0" applyFill="1" applyBorder="1" applyAlignment="1">
      <alignment horizontal="center" vertical="center"/>
    </xf>
    <xf numFmtId="0" fontId="11" fillId="4" borderId="18" xfId="0" applyFont="1" applyFill="1" applyBorder="1" applyAlignment="1">
      <alignment horizontal="left" vertical="center" wrapText="1"/>
    </xf>
    <xf numFmtId="0" fontId="11" fillId="9" borderId="13" xfId="0" applyFont="1" applyFill="1" applyBorder="1" applyAlignment="1">
      <alignment horizontal="left" vertical="center" wrapText="1"/>
    </xf>
    <xf numFmtId="0" fontId="12" fillId="3" borderId="13"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4" borderId="13" xfId="0" applyFont="1" applyFill="1" applyBorder="1" applyAlignment="1">
      <alignment horizontal="left" vertical="center" wrapText="1"/>
    </xf>
    <xf numFmtId="0" fontId="1" fillId="7" borderId="13" xfId="0" applyFont="1" applyFill="1" applyBorder="1" applyAlignment="1">
      <alignment horizontal="center" vertical="center" wrapText="1"/>
    </xf>
    <xf numFmtId="0" fontId="0" fillId="2" borderId="13" xfId="0" applyFill="1" applyBorder="1" applyAlignment="1">
      <alignment horizontal="center" vertical="center"/>
    </xf>
    <xf numFmtId="9" fontId="0" fillId="0" borderId="0" xfId="1" applyFont="1"/>
    <xf numFmtId="9" fontId="0" fillId="0" borderId="0" xfId="0" applyNumberFormat="1"/>
    <xf numFmtId="9" fontId="0" fillId="0" borderId="0" xfId="1" applyFont="1" applyAlignment="1">
      <alignment horizontal="center" vertical="center"/>
    </xf>
    <xf numFmtId="0" fontId="0" fillId="2" borderId="31" xfId="0" applyFill="1" applyBorder="1" applyAlignment="1">
      <alignment horizontal="center" vertical="center"/>
    </xf>
    <xf numFmtId="0" fontId="0" fillId="2" borderId="32" xfId="0" applyFill="1" applyBorder="1" applyAlignment="1">
      <alignment horizontal="center" vertical="center"/>
    </xf>
    <xf numFmtId="0" fontId="0" fillId="2" borderId="33" xfId="0" applyFill="1" applyBorder="1" applyAlignment="1">
      <alignment horizontal="center" vertical="center"/>
    </xf>
    <xf numFmtId="0" fontId="0" fillId="0" borderId="34" xfId="0" applyBorder="1"/>
    <xf numFmtId="0" fontId="11" fillId="9" borderId="34" xfId="0" applyFont="1" applyFill="1" applyBorder="1" applyAlignment="1">
      <alignment horizontal="center" vertical="center" wrapText="1"/>
    </xf>
    <xf numFmtId="0" fontId="11" fillId="4" borderId="34"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0" borderId="38" xfId="0" applyBorder="1"/>
    <xf numFmtId="0" fontId="0" fillId="0" borderId="39" xfId="0" applyBorder="1"/>
    <xf numFmtId="0" fontId="11" fillId="3" borderId="39" xfId="0" applyFont="1" applyFill="1" applyBorder="1" applyAlignment="1">
      <alignment horizontal="center" vertical="center" wrapText="1"/>
    </xf>
    <xf numFmtId="0" fontId="0" fillId="0" borderId="40" xfId="0" applyBorder="1"/>
    <xf numFmtId="0" fontId="11" fillId="3" borderId="41" xfId="0" applyFont="1" applyFill="1" applyBorder="1" applyAlignment="1">
      <alignment horizontal="center" vertical="center" wrapText="1"/>
    </xf>
    <xf numFmtId="0" fontId="0" fillId="0" borderId="41" xfId="0" applyBorder="1"/>
    <xf numFmtId="0" fontId="0" fillId="0" borderId="42" xfId="0" applyBorder="1"/>
    <xf numFmtId="0" fontId="0" fillId="0" borderId="18" xfId="0" applyBorder="1"/>
    <xf numFmtId="0" fontId="11" fillId="3" borderId="18" xfId="0" applyFont="1" applyFill="1" applyBorder="1" applyAlignment="1">
      <alignment horizontal="center" vertical="center" wrapText="1"/>
    </xf>
    <xf numFmtId="0" fontId="11" fillId="3" borderId="43" xfId="0" applyFont="1" applyFill="1" applyBorder="1" applyAlignment="1">
      <alignment horizontal="center" vertical="center" wrapText="1"/>
    </xf>
    <xf numFmtId="0" fontId="11" fillId="3" borderId="40" xfId="0" applyFont="1" applyFill="1" applyBorder="1" applyAlignment="1">
      <alignment horizontal="center" vertical="center" wrapText="1"/>
    </xf>
    <xf numFmtId="0" fontId="11" fillId="4" borderId="41" xfId="0" applyFont="1" applyFill="1" applyBorder="1" applyAlignment="1">
      <alignment horizontal="center" vertical="center" wrapText="1"/>
    </xf>
    <xf numFmtId="0" fontId="0" fillId="0" borderId="1" xfId="0" applyBorder="1" applyAlignment="1">
      <alignment horizontal="center" vertical="center"/>
    </xf>
    <xf numFmtId="0" fontId="0" fillId="0" borderId="33" xfId="0" applyBorder="1"/>
    <xf numFmtId="0" fontId="0" fillId="0" borderId="31" xfId="0" applyBorder="1"/>
    <xf numFmtId="0" fontId="11" fillId="3" borderId="31" xfId="0" applyFont="1" applyFill="1" applyBorder="1" applyAlignment="1">
      <alignment horizontal="center" vertical="center" wrapText="1"/>
    </xf>
    <xf numFmtId="0" fontId="0" fillId="0" borderId="32" xfId="0" applyBorder="1"/>
    <xf numFmtId="0" fontId="11" fillId="9" borderId="38" xfId="0" applyFont="1" applyFill="1" applyBorder="1" applyAlignment="1">
      <alignment horizontal="center" vertical="center" wrapText="1"/>
    </xf>
    <xf numFmtId="0" fontId="11" fillId="9" borderId="39" xfId="0" applyFont="1" applyFill="1" applyBorder="1" applyAlignment="1">
      <alignment horizontal="center" vertical="center" wrapText="1"/>
    </xf>
    <xf numFmtId="0" fontId="11" fillId="9" borderId="40" xfId="0" applyFont="1" applyFill="1" applyBorder="1" applyAlignment="1">
      <alignment horizontal="center" vertical="center" wrapText="1"/>
    </xf>
    <xf numFmtId="0" fontId="11" fillId="4" borderId="42"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0" fillId="0" borderId="43" xfId="0" applyBorder="1"/>
    <xf numFmtId="0" fontId="11" fillId="4" borderId="39" xfId="0" applyFont="1" applyFill="1" applyBorder="1" applyAlignment="1">
      <alignment horizontal="center" vertical="center" wrapText="1"/>
    </xf>
    <xf numFmtId="0" fontId="11" fillId="4" borderId="40" xfId="0" applyFont="1" applyFill="1" applyBorder="1" applyAlignment="1">
      <alignment horizontal="center" vertical="center" wrapText="1"/>
    </xf>
    <xf numFmtId="0" fontId="11" fillId="9" borderId="41" xfId="0" applyFont="1" applyFill="1" applyBorder="1" applyAlignment="1">
      <alignment horizontal="center" vertical="center" wrapText="1"/>
    </xf>
    <xf numFmtId="0" fontId="11" fillId="4" borderId="43" xfId="0" applyFont="1" applyFill="1" applyBorder="1" applyAlignment="1">
      <alignment horizontal="center" vertical="center" wrapText="1"/>
    </xf>
    <xf numFmtId="0" fontId="0" fillId="0" borderId="38" xfId="0" applyBorder="1" applyAlignment="1">
      <alignment horizontal="center" vertical="center" wrapText="1"/>
    </xf>
    <xf numFmtId="0" fontId="2" fillId="0" borderId="19" xfId="0" applyFont="1" applyBorder="1" applyAlignment="1">
      <alignment horizontal="center" vertical="center"/>
    </xf>
    <xf numFmtId="0" fontId="0" fillId="0" borderId="19" xfId="0" applyBorder="1"/>
    <xf numFmtId="0" fontId="11" fillId="3" borderId="44" xfId="0" applyFont="1" applyFill="1" applyBorder="1" applyAlignment="1">
      <alignment horizontal="center" vertical="center" wrapText="1"/>
    </xf>
    <xf numFmtId="0" fontId="11" fillId="3" borderId="39" xfId="0" applyFont="1" applyFill="1" applyBorder="1" applyAlignment="1">
      <alignment horizontal="left" vertical="center" wrapText="1"/>
    </xf>
    <xf numFmtId="0" fontId="11" fillId="9" borderId="44" xfId="0" applyFont="1" applyFill="1" applyBorder="1" applyAlignment="1">
      <alignment horizontal="center" vertical="center" wrapText="1"/>
    </xf>
    <xf numFmtId="0" fontId="11" fillId="9" borderId="39" xfId="0" applyFont="1" applyFill="1" applyBorder="1" applyAlignment="1">
      <alignment horizontal="left" vertical="center" wrapText="1"/>
    </xf>
    <xf numFmtId="0" fontId="11" fillId="4" borderId="44" xfId="0" applyFont="1" applyFill="1" applyBorder="1" applyAlignment="1">
      <alignment horizontal="center" vertical="center" wrapText="1"/>
    </xf>
    <xf numFmtId="0" fontId="11" fillId="4" borderId="39" xfId="0" applyFont="1" applyFill="1" applyBorder="1" applyAlignment="1">
      <alignment horizontal="left" vertical="center" wrapText="1"/>
    </xf>
    <xf numFmtId="0" fontId="0" fillId="0" borderId="20" xfId="0" applyBorder="1"/>
    <xf numFmtId="0" fontId="0" fillId="0" borderId="49" xfId="0" applyBorder="1"/>
    <xf numFmtId="0" fontId="3" fillId="0" borderId="49" xfId="0" applyFont="1" applyBorder="1" applyAlignment="1">
      <alignment horizontal="left" vertical="center" wrapText="1"/>
    </xf>
    <xf numFmtId="0" fontId="0" fillId="0" borderId="3" xfId="0" applyBorder="1"/>
    <xf numFmtId="0" fontId="1" fillId="2" borderId="1" xfId="0" applyFont="1" applyFill="1" applyBorder="1" applyAlignment="1">
      <alignment horizontal="center" vertical="center" wrapText="1"/>
    </xf>
    <xf numFmtId="0" fontId="0" fillId="2" borderId="30" xfId="0" applyFill="1" applyBorder="1" applyAlignment="1">
      <alignment horizontal="center" vertical="center"/>
    </xf>
    <xf numFmtId="0" fontId="3" fillId="0" borderId="48" xfId="0" applyFont="1" applyBorder="1" applyAlignment="1">
      <alignment horizontal="left" vertical="center" wrapText="1"/>
    </xf>
    <xf numFmtId="0" fontId="0" fillId="0" borderId="50" xfId="0" applyBorder="1"/>
    <xf numFmtId="0" fontId="0" fillId="0" borderId="51" xfId="0" applyBorder="1"/>
    <xf numFmtId="0" fontId="0" fillId="0" borderId="52" xfId="0" applyBorder="1"/>
    <xf numFmtId="0" fontId="0" fillId="0" borderId="4" xfId="0" applyBorder="1"/>
    <xf numFmtId="0" fontId="0" fillId="0" borderId="48" xfId="0" applyBorder="1"/>
    <xf numFmtId="0" fontId="11" fillId="4" borderId="38" xfId="0" applyFont="1" applyFill="1" applyBorder="1" applyAlignment="1">
      <alignment horizontal="center" vertical="center" wrapText="1"/>
    </xf>
    <xf numFmtId="0" fontId="0" fillId="0" borderId="53" xfId="0" applyBorder="1"/>
    <xf numFmtId="0" fontId="0" fillId="0" borderId="54" xfId="0" applyBorder="1"/>
    <xf numFmtId="0" fontId="0" fillId="0" borderId="2" xfId="0" applyBorder="1"/>
    <xf numFmtId="0" fontId="3" fillId="0" borderId="0" xfId="0" applyFont="1"/>
    <xf numFmtId="0" fontId="14" fillId="0" borderId="13" xfId="0" applyFont="1" applyBorder="1" applyAlignment="1">
      <alignment vertical="top" wrapText="1"/>
    </xf>
    <xf numFmtId="0" fontId="3" fillId="0" borderId="13" xfId="0" applyFont="1" applyBorder="1" applyAlignment="1">
      <alignment vertical="top" wrapText="1"/>
    </xf>
    <xf numFmtId="0" fontId="11" fillId="9" borderId="29" xfId="0" applyFont="1" applyFill="1" applyBorder="1" applyAlignment="1">
      <alignment horizontal="left" vertical="top" wrapText="1"/>
    </xf>
    <xf numFmtId="0" fontId="14" fillId="0" borderId="15" xfId="0" applyFont="1" applyBorder="1" applyAlignment="1">
      <alignment vertical="top" wrapText="1"/>
    </xf>
    <xf numFmtId="0" fontId="3" fillId="0" borderId="15" xfId="0" applyFont="1" applyBorder="1" applyAlignment="1">
      <alignment vertical="top" wrapText="1"/>
    </xf>
    <xf numFmtId="0" fontId="3" fillId="0" borderId="55" xfId="0" applyFont="1" applyBorder="1"/>
    <xf numFmtId="0" fontId="3" fillId="0" borderId="52" xfId="0" applyFont="1" applyBorder="1"/>
    <xf numFmtId="0" fontId="3" fillId="0" borderId="55" xfId="0" applyFont="1" applyBorder="1" applyAlignment="1">
      <alignment horizontal="left" vertical="top" wrapText="1"/>
    </xf>
    <xf numFmtId="0" fontId="3" fillId="0" borderId="0" xfId="0" applyFont="1" applyAlignment="1">
      <alignment horizontal="left" vertical="top" wrapText="1"/>
    </xf>
    <xf numFmtId="0" fontId="3" fillId="0" borderId="52" xfId="0" applyFont="1" applyBorder="1" applyAlignment="1">
      <alignment horizontal="left" vertical="top" wrapText="1"/>
    </xf>
    <xf numFmtId="0" fontId="3" fillId="0" borderId="56" xfId="0" applyFont="1" applyBorder="1" applyAlignment="1">
      <alignment horizontal="left" vertical="top" wrapText="1"/>
    </xf>
    <xf numFmtId="0" fontId="3" fillId="0" borderId="51" xfId="0" applyFont="1" applyBorder="1" applyAlignment="1">
      <alignment horizontal="left" vertical="top" wrapText="1"/>
    </xf>
    <xf numFmtId="0" fontId="3" fillId="0" borderId="4" xfId="0" applyFont="1" applyBorder="1" applyAlignment="1">
      <alignment horizontal="left" vertical="top" wrapText="1"/>
    </xf>
    <xf numFmtId="0" fontId="11" fillId="4" borderId="57" xfId="0" applyFont="1" applyFill="1" applyBorder="1" applyAlignment="1">
      <alignment horizontal="left" vertical="top" wrapText="1"/>
    </xf>
    <xf numFmtId="0" fontId="3" fillId="0" borderId="4" xfId="0" applyFont="1" applyBorder="1"/>
    <xf numFmtId="0" fontId="1" fillId="2" borderId="19"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2" fillId="10" borderId="20" xfId="0" applyFont="1" applyFill="1" applyBorder="1" applyAlignment="1">
      <alignment horizontal="center" vertical="center" wrapText="1"/>
    </xf>
    <xf numFmtId="0" fontId="15" fillId="0" borderId="39" xfId="0" applyFont="1" applyBorder="1" applyAlignment="1">
      <alignment vertical="top" wrapText="1"/>
    </xf>
    <xf numFmtId="0" fontId="15" fillId="0" borderId="61" xfId="0" applyFont="1" applyBorder="1" applyAlignment="1">
      <alignment vertical="top" wrapText="1"/>
    </xf>
    <xf numFmtId="0" fontId="3" fillId="0" borderId="62" xfId="0" applyFont="1" applyBorder="1"/>
    <xf numFmtId="0" fontId="3" fillId="0" borderId="50" xfId="0" applyFont="1" applyBorder="1"/>
    <xf numFmtId="0" fontId="3" fillId="0" borderId="63" xfId="0" applyFont="1" applyBorder="1"/>
    <xf numFmtId="0" fontId="11" fillId="9" borderId="44" xfId="0" applyFont="1" applyFill="1" applyBorder="1" applyAlignment="1">
      <alignment horizontal="left" vertical="top" wrapText="1"/>
    </xf>
    <xf numFmtId="0" fontId="3" fillId="0" borderId="50" xfId="0" applyFont="1" applyBorder="1" applyAlignment="1">
      <alignment horizontal="left" vertical="top" wrapText="1"/>
    </xf>
    <xf numFmtId="0" fontId="3" fillId="0" borderId="63" xfId="0" applyFont="1" applyBorder="1" applyAlignment="1">
      <alignment horizontal="left" vertical="top" wrapText="1"/>
    </xf>
    <xf numFmtId="0" fontId="11" fillId="4" borderId="44" xfId="0" applyFont="1" applyFill="1" applyBorder="1" applyAlignment="1">
      <alignment horizontal="left" vertical="top" wrapText="1"/>
    </xf>
    <xf numFmtId="0" fontId="11" fillId="4" borderId="40" xfId="0" applyFont="1" applyFill="1" applyBorder="1" applyAlignment="1">
      <alignment horizontal="left" vertical="top" wrapText="1"/>
    </xf>
    <xf numFmtId="0" fontId="14" fillId="0" borderId="18" xfId="0" applyFont="1" applyBorder="1" applyAlignment="1">
      <alignment vertical="top" wrapText="1"/>
    </xf>
    <xf numFmtId="0" fontId="14" fillId="0" borderId="28" xfId="0" applyFont="1" applyBorder="1" applyAlignment="1">
      <alignment vertical="top" wrapText="1"/>
    </xf>
    <xf numFmtId="0" fontId="3" fillId="0" borderId="56" xfId="0" applyFont="1" applyBorder="1"/>
    <xf numFmtId="0" fontId="3" fillId="0" borderId="51" xfId="0" applyFont="1" applyBorder="1"/>
    <xf numFmtId="0" fontId="17" fillId="0" borderId="56" xfId="0" applyFont="1" applyBorder="1" applyAlignment="1">
      <alignment horizontal="left" vertical="top" wrapText="1"/>
    </xf>
    <xf numFmtId="0" fontId="17" fillId="0" borderId="4" xfId="0" applyFont="1" applyBorder="1" applyAlignment="1">
      <alignment horizontal="left" vertical="top" wrapText="1"/>
    </xf>
    <xf numFmtId="0" fontId="11" fillId="3" borderId="57" xfId="0" applyFont="1" applyFill="1" applyBorder="1" applyAlignment="1">
      <alignment horizontal="left" vertical="top" wrapText="1"/>
    </xf>
    <xf numFmtId="0" fontId="11" fillId="3" borderId="58" xfId="0" applyFont="1" applyFill="1" applyBorder="1" applyAlignment="1">
      <alignment horizontal="left" vertical="top" wrapText="1"/>
    </xf>
    <xf numFmtId="0" fontId="11" fillId="3" borderId="29" xfId="0" applyFont="1" applyFill="1" applyBorder="1" applyAlignment="1">
      <alignment horizontal="left" vertical="top" wrapText="1"/>
    </xf>
    <xf numFmtId="0" fontId="14" fillId="0" borderId="39" xfId="0" applyFont="1" applyBorder="1" applyAlignment="1">
      <alignment vertical="top" wrapText="1"/>
    </xf>
    <xf numFmtId="0" fontId="14" fillId="0" borderId="61" xfId="0" applyFont="1" applyBorder="1" applyAlignment="1">
      <alignment vertical="top" wrapText="1"/>
    </xf>
    <xf numFmtId="0" fontId="11" fillId="3" borderId="44" xfId="0" applyFont="1" applyFill="1" applyBorder="1" applyAlignment="1">
      <alignment horizontal="left" vertical="top" wrapText="1"/>
    </xf>
    <xf numFmtId="0" fontId="11" fillId="3" borderId="40" xfId="0" applyFont="1" applyFill="1" applyBorder="1" applyAlignment="1">
      <alignment horizontal="left" vertical="top" wrapText="1"/>
    </xf>
    <xf numFmtId="0" fontId="11" fillId="3" borderId="39" xfId="0" applyFont="1" applyFill="1" applyBorder="1" applyAlignment="1">
      <alignment horizontal="left" vertical="top" wrapText="1"/>
    </xf>
    <xf numFmtId="0" fontId="11" fillId="3" borderId="44" xfId="0" applyFont="1" applyFill="1" applyBorder="1" applyAlignment="1">
      <alignment horizontal="left" vertical="center" wrapText="1"/>
    </xf>
    <xf numFmtId="0" fontId="3" fillId="0" borderId="29" xfId="0" applyFont="1" applyBorder="1" applyAlignment="1">
      <alignment vertical="top" wrapText="1"/>
    </xf>
    <xf numFmtId="0" fontId="3" fillId="0" borderId="25" xfId="0" applyFont="1" applyBorder="1" applyAlignment="1">
      <alignment vertical="top" wrapText="1"/>
    </xf>
    <xf numFmtId="0" fontId="3" fillId="0" borderId="39" xfId="0" applyFont="1" applyBorder="1" applyAlignment="1">
      <alignment vertical="top" wrapText="1"/>
    </xf>
    <xf numFmtId="0" fontId="3" fillId="0" borderId="61" xfId="0" applyFont="1" applyBorder="1" applyAlignment="1">
      <alignment vertical="top" wrapText="1"/>
    </xf>
    <xf numFmtId="0" fontId="3" fillId="0" borderId="18" xfId="0" applyFont="1" applyBorder="1" applyAlignment="1">
      <alignment vertical="top" wrapText="1"/>
    </xf>
    <xf numFmtId="0" fontId="3" fillId="0" borderId="28" xfId="0" applyFont="1" applyBorder="1" applyAlignment="1">
      <alignment vertical="top" wrapText="1"/>
    </xf>
    <xf numFmtId="0" fontId="0" fillId="0" borderId="55" xfId="0" applyBorder="1"/>
    <xf numFmtId="0" fontId="0" fillId="0" borderId="56" xfId="0" applyBorder="1"/>
    <xf numFmtId="0" fontId="11" fillId="3" borderId="29" xfId="0" applyFont="1" applyFill="1" applyBorder="1" applyAlignment="1">
      <alignment horizontal="center" vertical="center" wrapText="1"/>
    </xf>
    <xf numFmtId="0" fontId="3" fillId="0" borderId="62" xfId="0" applyFont="1" applyBorder="1" applyAlignment="1">
      <alignment horizontal="left" vertical="center" wrapText="1"/>
    </xf>
    <xf numFmtId="0" fontId="3" fillId="0" borderId="55" xfId="0" applyFont="1" applyBorder="1" applyAlignment="1">
      <alignment horizontal="left" vertical="center" wrapText="1"/>
    </xf>
    <xf numFmtId="0" fontId="3" fillId="0" borderId="56" xfId="0" applyFont="1" applyBorder="1" applyAlignment="1">
      <alignment horizontal="left" vertical="center" wrapText="1"/>
    </xf>
    <xf numFmtId="0" fontId="0" fillId="0" borderId="62" xfId="0" applyBorder="1"/>
    <xf numFmtId="0" fontId="0" fillId="0" borderId="63" xfId="0" applyBorder="1"/>
    <xf numFmtId="0" fontId="18" fillId="0" borderId="62" xfId="0" applyFont="1" applyBorder="1" applyAlignment="1">
      <alignment horizontal="left" vertical="top" wrapText="1"/>
    </xf>
    <xf numFmtId="0" fontId="18" fillId="0" borderId="50" xfId="0" applyFont="1" applyBorder="1" applyAlignment="1">
      <alignment horizontal="left" vertical="top" wrapText="1"/>
    </xf>
    <xf numFmtId="0" fontId="18" fillId="0" borderId="63" xfId="0" applyFont="1" applyBorder="1" applyAlignment="1">
      <alignment horizontal="left" vertical="top" wrapText="1"/>
    </xf>
    <xf numFmtId="0" fontId="18" fillId="0" borderId="55" xfId="0" applyFont="1" applyBorder="1" applyAlignment="1">
      <alignment horizontal="left" vertical="top" wrapText="1"/>
    </xf>
    <xf numFmtId="0" fontId="18" fillId="0" borderId="0" xfId="0" applyFont="1" applyAlignment="1">
      <alignment horizontal="left" vertical="top" wrapText="1"/>
    </xf>
    <xf numFmtId="0" fontId="18" fillId="0" borderId="52" xfId="0" applyFont="1" applyBorder="1" applyAlignment="1">
      <alignment horizontal="left" vertical="top" wrapText="1"/>
    </xf>
    <xf numFmtId="0" fontId="18" fillId="0" borderId="56" xfId="0" applyFont="1" applyBorder="1" applyAlignment="1">
      <alignment horizontal="left" vertical="top" wrapText="1"/>
    </xf>
    <xf numFmtId="0" fontId="18" fillId="0" borderId="51" xfId="0" applyFont="1" applyBorder="1" applyAlignment="1">
      <alignment horizontal="left" vertical="top" wrapText="1"/>
    </xf>
    <xf numFmtId="0" fontId="18" fillId="0" borderId="4" xfId="0" applyFont="1" applyBorder="1" applyAlignment="1">
      <alignment horizontal="left" vertical="top" wrapText="1"/>
    </xf>
    <xf numFmtId="0" fontId="0" fillId="0" borderId="0" xfId="0" applyAlignment="1">
      <alignment wrapText="1"/>
    </xf>
    <xf numFmtId="0" fontId="3" fillId="0" borderId="64" xfId="0" applyFont="1" applyBorder="1"/>
    <xf numFmtId="0" fontId="3" fillId="0" borderId="65" xfId="0" applyFont="1" applyBorder="1"/>
    <xf numFmtId="0" fontId="3" fillId="0" borderId="24" xfId="0" applyFont="1" applyBorder="1" applyAlignment="1">
      <alignment horizontal="left" vertical="top" wrapText="1"/>
    </xf>
    <xf numFmtId="0" fontId="3" fillId="0" borderId="65" xfId="0" applyFont="1" applyBorder="1" applyAlignment="1">
      <alignment horizontal="left" vertical="top" wrapText="1"/>
    </xf>
    <xf numFmtId="0" fontId="3" fillId="0" borderId="24" xfId="0" applyFont="1" applyBorder="1"/>
    <xf numFmtId="0" fontId="11" fillId="4" borderId="39" xfId="0" applyFont="1" applyFill="1" applyBorder="1" applyAlignment="1">
      <alignment horizontal="left" vertical="top" wrapText="1"/>
    </xf>
    <xf numFmtId="0" fontId="3" fillId="0" borderId="60" xfId="0" applyFont="1" applyBorder="1"/>
    <xf numFmtId="0" fontId="3" fillId="0" borderId="66" xfId="0" applyFont="1" applyBorder="1"/>
    <xf numFmtId="0" fontId="3" fillId="0" borderId="67" xfId="0" applyFont="1" applyBorder="1" applyAlignment="1">
      <alignment horizontal="left" vertical="top" wrapText="1"/>
    </xf>
    <xf numFmtId="0" fontId="3" fillId="0" borderId="66" xfId="0" applyFont="1" applyBorder="1" applyAlignment="1">
      <alignment horizontal="left" vertical="top" wrapText="1"/>
    </xf>
    <xf numFmtId="0" fontId="3" fillId="0" borderId="67" xfId="0" applyFont="1" applyBorder="1"/>
    <xf numFmtId="0" fontId="11" fillId="4" borderId="25" xfId="0" applyFont="1" applyFill="1" applyBorder="1" applyAlignment="1">
      <alignment horizontal="left" vertical="top" wrapText="1"/>
    </xf>
    <xf numFmtId="0" fontId="11" fillId="9" borderId="62" xfId="0" applyFont="1" applyFill="1" applyBorder="1" applyAlignment="1">
      <alignment horizontal="left" vertical="top" wrapText="1"/>
    </xf>
    <xf numFmtId="0" fontId="11" fillId="3" borderId="50" xfId="0" applyFont="1" applyFill="1" applyBorder="1" applyAlignment="1">
      <alignment horizontal="left" vertical="top" wrapText="1"/>
    </xf>
    <xf numFmtId="0" fontId="11" fillId="3" borderId="63" xfId="0" applyFont="1" applyFill="1" applyBorder="1" applyAlignment="1">
      <alignment horizontal="left" vertical="top" wrapText="1"/>
    </xf>
    <xf numFmtId="0" fontId="0" fillId="0" borderId="13" xfId="0" applyBorder="1" applyAlignment="1">
      <alignment horizontal="center" wrapText="1"/>
    </xf>
    <xf numFmtId="0" fontId="6" fillId="0" borderId="0" xfId="0" applyFont="1" applyAlignment="1">
      <alignment wrapText="1"/>
    </xf>
    <xf numFmtId="0" fontId="7" fillId="0" borderId="0" xfId="0" applyFont="1" applyAlignment="1">
      <alignment horizontal="center"/>
    </xf>
    <xf numFmtId="0" fontId="6" fillId="0" borderId="0" xfId="0" applyFont="1" applyAlignment="1">
      <alignment horizontal="left"/>
    </xf>
    <xf numFmtId="0" fontId="1" fillId="0" borderId="13" xfId="0" applyFont="1" applyBorder="1" applyAlignment="1">
      <alignment horizontal="center" vertical="top" wrapText="1"/>
    </xf>
    <xf numFmtId="0" fontId="7" fillId="0" borderId="13" xfId="0" applyFont="1" applyBorder="1" applyAlignment="1">
      <alignment horizontal="center" vertical="top"/>
    </xf>
    <xf numFmtId="0" fontId="7" fillId="0" borderId="13" xfId="0" applyFont="1" applyBorder="1" applyAlignment="1">
      <alignment horizontal="center" vertical="top" wrapText="1"/>
    </xf>
    <xf numFmtId="0" fontId="11" fillId="0" borderId="13" xfId="0" applyFont="1" applyBorder="1" applyAlignment="1">
      <alignment horizontal="center" vertical="top" wrapText="1"/>
    </xf>
    <xf numFmtId="0" fontId="11" fillId="0" borderId="13" xfId="0" applyFont="1" applyBorder="1" applyAlignment="1">
      <alignment horizontal="left" vertical="top" wrapText="1"/>
    </xf>
    <xf numFmtId="0" fontId="6" fillId="0" borderId="13" xfId="0" applyFont="1" applyBorder="1" applyAlignment="1">
      <alignment horizontal="center" vertical="top" wrapText="1"/>
    </xf>
    <xf numFmtId="0" fontId="6" fillId="0" borderId="13" xfId="0" applyFont="1" applyBorder="1" applyAlignment="1">
      <alignment horizontal="left" vertical="top" wrapText="1"/>
    </xf>
    <xf numFmtId="0" fontId="6" fillId="0" borderId="13" xfId="0" applyFont="1" applyBorder="1" applyAlignment="1">
      <alignment vertical="top" wrapText="1"/>
    </xf>
    <xf numFmtId="0" fontId="6" fillId="0" borderId="13" xfId="0" applyFont="1" applyBorder="1" applyAlignment="1">
      <alignment vertical="top"/>
    </xf>
    <xf numFmtId="0" fontId="0" fillId="0" borderId="0" xfId="0" applyAlignment="1">
      <alignment horizontal="center" vertical="center" wrapText="1"/>
    </xf>
    <xf numFmtId="0" fontId="0" fillId="0" borderId="13" xfId="0" applyBorder="1" applyAlignment="1">
      <alignment horizontal="center" vertical="center" wrapText="1"/>
    </xf>
    <xf numFmtId="0" fontId="18" fillId="0" borderId="13" xfId="0" applyFont="1" applyBorder="1" applyAlignment="1">
      <alignment horizontal="center" vertical="center" wrapText="1"/>
    </xf>
    <xf numFmtId="0" fontId="19" fillId="0" borderId="13" xfId="0" applyFont="1" applyBorder="1" applyAlignment="1">
      <alignment horizontal="center" vertical="center" wrapText="1"/>
    </xf>
    <xf numFmtId="0" fontId="6" fillId="0" borderId="13" xfId="0" applyFont="1" applyBorder="1"/>
    <xf numFmtId="0" fontId="20" fillId="0" borderId="13" xfId="0" applyFont="1" applyBorder="1" applyAlignment="1">
      <alignment horizontal="center" vertical="center" wrapText="1"/>
    </xf>
    <xf numFmtId="0" fontId="0" fillId="0" borderId="20" xfId="0" applyBorder="1" applyAlignment="1">
      <alignment horizontal="center" vertical="center"/>
    </xf>
    <xf numFmtId="0" fontId="7" fillId="0" borderId="34" xfId="0" applyFont="1" applyBorder="1" applyAlignment="1">
      <alignment horizontal="center" vertical="top"/>
    </xf>
    <xf numFmtId="0" fontId="22" fillId="2" borderId="5"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3" fillId="0" borderId="69" xfId="0" applyFont="1" applyBorder="1" applyAlignment="1">
      <alignment horizontal="center" vertical="center" wrapText="1"/>
    </xf>
    <xf numFmtId="0" fontId="23" fillId="0" borderId="8" xfId="0" applyFont="1" applyBorder="1" applyAlignment="1">
      <alignment horizontal="left" vertical="center" wrapText="1"/>
    </xf>
    <xf numFmtId="0" fontId="23" fillId="0" borderId="7" xfId="0" applyFont="1" applyBorder="1" applyAlignment="1">
      <alignment horizontal="left" vertical="center" wrapText="1"/>
    </xf>
    <xf numFmtId="0" fontId="23" fillId="0" borderId="8" xfId="0" applyFont="1" applyBorder="1" applyAlignment="1">
      <alignment horizontal="center" vertical="center" wrapText="1"/>
    </xf>
    <xf numFmtId="0" fontId="21" fillId="0" borderId="0" xfId="0" applyFont="1" applyAlignment="1">
      <alignment horizontal="center" vertical="center" wrapText="1"/>
    </xf>
    <xf numFmtId="0" fontId="0" fillId="0" borderId="0" xfId="0" applyAlignment="1">
      <alignment vertical="center" wrapText="1"/>
    </xf>
    <xf numFmtId="0" fontId="0" fillId="0" borderId="13" xfId="0" applyBorder="1" applyAlignment="1">
      <alignment horizontal="left" vertical="top"/>
    </xf>
    <xf numFmtId="0" fontId="6" fillId="0" borderId="13" xfId="0" applyFont="1" applyBorder="1" applyAlignment="1">
      <alignment horizontal="left" vertical="top"/>
    </xf>
    <xf numFmtId="0" fontId="23" fillId="0" borderId="13" xfId="0" applyFont="1" applyBorder="1" applyAlignment="1">
      <alignment horizontal="center" vertical="center" wrapText="1"/>
    </xf>
    <xf numFmtId="0" fontId="23" fillId="0" borderId="13" xfId="0" applyFont="1" applyBorder="1" applyAlignment="1">
      <alignment vertical="center" wrapText="1"/>
    </xf>
    <xf numFmtId="0" fontId="0" fillId="0" borderId="0" xfId="0" applyAlignment="1">
      <alignment vertical="top" wrapText="1"/>
    </xf>
    <xf numFmtId="0" fontId="7" fillId="0" borderId="13" xfId="0" applyFont="1" applyBorder="1" applyAlignment="1">
      <alignment horizontal="center" vertical="center" wrapText="1"/>
    </xf>
    <xf numFmtId="0" fontId="21" fillId="0" borderId="13" xfId="0" applyFont="1" applyBorder="1" applyAlignment="1">
      <alignment horizontal="center" vertical="center"/>
    </xf>
    <xf numFmtId="0" fontId="24" fillId="0" borderId="13" xfId="0" applyFont="1" applyBorder="1" applyAlignment="1">
      <alignment vertical="center" wrapText="1"/>
    </xf>
    <xf numFmtId="0" fontId="21" fillId="0" borderId="13" xfId="0" applyFont="1" applyBorder="1" applyAlignment="1">
      <alignment horizontal="center" vertical="center" wrapText="1"/>
    </xf>
    <xf numFmtId="0" fontId="0" fillId="0" borderId="13" xfId="0" applyBorder="1" applyAlignment="1">
      <alignment horizontal="center" vertical="top" wrapText="1"/>
    </xf>
    <xf numFmtId="0" fontId="0" fillId="0" borderId="13" xfId="0" applyBorder="1" applyAlignment="1">
      <alignment vertical="top" wrapText="1"/>
    </xf>
    <xf numFmtId="0" fontId="3"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1" xfId="0" applyFont="1" applyBorder="1" applyAlignment="1">
      <alignment horizontal="left" vertical="center" wrapText="1"/>
    </xf>
    <xf numFmtId="0" fontId="3" fillId="0" borderId="7" xfId="0" applyFont="1" applyBorder="1" applyAlignment="1">
      <alignment horizontal="left" vertical="center" wrapText="1"/>
    </xf>
    <xf numFmtId="0" fontId="8" fillId="4" borderId="11" xfId="0" applyFont="1" applyFill="1" applyBorder="1" applyAlignment="1">
      <alignment vertical="center" wrapText="1"/>
    </xf>
    <xf numFmtId="0" fontId="8" fillId="4" borderId="12" xfId="0" applyFont="1" applyFill="1" applyBorder="1" applyAlignment="1">
      <alignment vertical="center" wrapText="1"/>
    </xf>
    <xf numFmtId="0" fontId="8" fillId="4" borderId="7" xfId="0" applyFont="1" applyFill="1" applyBorder="1" applyAlignment="1">
      <alignment vertical="center" wrapText="1"/>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7" xfId="0" applyFont="1" applyBorder="1" applyAlignment="1">
      <alignment horizontal="center" vertical="center" wrapText="1"/>
    </xf>
    <xf numFmtId="0" fontId="22" fillId="12" borderId="70" xfId="0" applyFont="1" applyFill="1" applyBorder="1" applyAlignment="1">
      <alignment horizontal="center" vertical="center" wrapText="1"/>
    </xf>
    <xf numFmtId="0" fontId="22" fillId="12" borderId="14" xfId="0" applyFont="1" applyFill="1" applyBorder="1" applyAlignment="1">
      <alignment horizontal="center" vertical="center" wrapText="1"/>
    </xf>
    <xf numFmtId="0" fontId="22" fillId="12" borderId="6" xfId="0" applyFont="1" applyFill="1" applyBorder="1" applyAlignment="1">
      <alignment horizontal="center" vertical="center" wrapText="1"/>
    </xf>
    <xf numFmtId="0" fontId="23" fillId="0" borderId="11" xfId="0" applyFont="1" applyBorder="1" applyAlignment="1">
      <alignment horizontal="left" vertical="center" wrapText="1"/>
    </xf>
    <xf numFmtId="0" fontId="23" fillId="0" borderId="7" xfId="0" applyFont="1" applyBorder="1" applyAlignment="1">
      <alignment horizontal="left" vertical="center" wrapText="1"/>
    </xf>
    <xf numFmtId="0" fontId="3" fillId="0" borderId="37"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0" fontId="0" fillId="0" borderId="37"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8" fillId="4" borderId="11"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0" fillId="0" borderId="19" xfId="0" applyBorder="1" applyAlignment="1">
      <alignment horizontal="center" vertical="center"/>
    </xf>
    <xf numFmtId="0" fontId="0" fillId="0" borderId="45" xfId="0" applyBorder="1" applyAlignment="1">
      <alignment horizontal="center" vertical="center"/>
    </xf>
    <xf numFmtId="0" fontId="0" fillId="0" borderId="29"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15" xfId="0" applyBorder="1" applyAlignment="1">
      <alignment horizontal="center" vertical="center" wrapText="1"/>
    </xf>
    <xf numFmtId="0" fontId="0" fillId="0" borderId="68" xfId="0" applyBorder="1" applyAlignment="1">
      <alignment horizontal="center" vertical="center" wrapText="1"/>
    </xf>
    <xf numFmtId="0" fontId="0" fillId="0" borderId="34" xfId="0" applyBorder="1" applyAlignment="1">
      <alignment horizontal="center" vertical="center" wrapText="1"/>
    </xf>
    <xf numFmtId="0" fontId="2" fillId="11" borderId="59" xfId="0" applyFont="1" applyFill="1" applyBorder="1" applyAlignment="1">
      <alignment horizontal="center" vertical="center"/>
    </xf>
    <xf numFmtId="0" fontId="2" fillId="11" borderId="60" xfId="0" applyFont="1" applyFill="1" applyBorder="1" applyAlignment="1">
      <alignment horizontal="center" vertical="center"/>
    </xf>
    <xf numFmtId="0" fontId="4" fillId="4" borderId="29"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2" fillId="11" borderId="59" xfId="0" applyFont="1" applyFill="1" applyBorder="1" applyAlignment="1">
      <alignment horizontal="center" vertical="center" wrapText="1"/>
    </xf>
    <xf numFmtId="0" fontId="2" fillId="11" borderId="46" xfId="0" applyFont="1" applyFill="1" applyBorder="1" applyAlignment="1">
      <alignment horizontal="center" vertical="center" wrapText="1"/>
    </xf>
    <xf numFmtId="0" fontId="2" fillId="11" borderId="60"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3" fillId="4" borderId="39"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44"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3" fillId="0" borderId="39"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2" fillId="11" borderId="53" xfId="0" applyFont="1" applyFill="1" applyBorder="1" applyAlignment="1">
      <alignment horizontal="center" vertical="center" wrapText="1"/>
    </xf>
    <xf numFmtId="0" fontId="2" fillId="11" borderId="54"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7" fillId="0" borderId="15" xfId="0" applyFont="1" applyBorder="1" applyAlignment="1">
      <alignment horizontal="center" vertical="top"/>
    </xf>
    <xf numFmtId="0" fontId="7" fillId="0" borderId="68" xfId="0" applyFont="1" applyBorder="1" applyAlignment="1">
      <alignment horizontal="center" vertical="top"/>
    </xf>
    <xf numFmtId="0" fontId="7" fillId="0" borderId="34" xfId="0" applyFont="1" applyBorder="1" applyAlignment="1">
      <alignment horizontal="center"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D083-DA3D-4378-95BD-1E9ACDC39AD2}">
  <dimension ref="A1:Q60"/>
  <sheetViews>
    <sheetView zoomScale="55" zoomScaleNormal="55" workbookViewId="0">
      <selection activeCell="F16" sqref="F16:L27"/>
    </sheetView>
  </sheetViews>
  <sheetFormatPr defaultColWidth="53.28515625" defaultRowHeight="15" x14ac:dyDescent="0.25"/>
  <cols>
    <col min="1" max="1" width="5.140625" bestFit="1" customWidth="1"/>
    <col min="2" max="2" width="12.140625" bestFit="1" customWidth="1"/>
    <col min="3" max="3" width="67.7109375" customWidth="1"/>
    <col min="4" max="4" width="14.42578125" customWidth="1"/>
    <col min="5" max="5" width="3" customWidth="1"/>
    <col min="6" max="6" width="5.140625" bestFit="1" customWidth="1"/>
    <col min="7" max="7" width="10" bestFit="1" customWidth="1"/>
    <col min="8" max="8" width="56.85546875" customWidth="1"/>
    <col min="9" max="9" width="14.7109375" customWidth="1"/>
    <col min="10" max="10" width="21.140625" bestFit="1" customWidth="1"/>
    <col min="11" max="11" width="16.28515625" bestFit="1" customWidth="1"/>
    <col min="12" max="12" width="17.28515625" customWidth="1"/>
    <col min="13" max="17" width="7.85546875" customWidth="1"/>
    <col min="18" max="18" width="11.7109375" customWidth="1"/>
    <col min="19" max="19" width="10.28515625" customWidth="1"/>
  </cols>
  <sheetData>
    <row r="1" spans="1:17" ht="26.25" thickBot="1" x14ac:dyDescent="0.3">
      <c r="A1" s="1" t="s">
        <v>0</v>
      </c>
      <c r="B1" s="2" t="s">
        <v>1</v>
      </c>
      <c r="C1" s="2" t="s">
        <v>2</v>
      </c>
      <c r="D1" s="3"/>
      <c r="E1" s="31"/>
      <c r="F1" s="6" t="s">
        <v>0</v>
      </c>
      <c r="G1" s="7" t="s">
        <v>14</v>
      </c>
      <c r="H1" s="7" t="s">
        <v>15</v>
      </c>
      <c r="I1" s="7" t="s">
        <v>16</v>
      </c>
      <c r="J1" s="31"/>
      <c r="K1" s="32" t="s">
        <v>47</v>
      </c>
      <c r="L1" s="28" t="s">
        <v>3</v>
      </c>
      <c r="M1" s="28" t="s">
        <v>5</v>
      </c>
      <c r="N1" s="28" t="s">
        <v>7</v>
      </c>
      <c r="O1" s="28" t="s">
        <v>9</v>
      </c>
      <c r="P1" s="29" t="s">
        <v>41</v>
      </c>
      <c r="Q1" s="29" t="s">
        <v>42</v>
      </c>
    </row>
    <row r="2" spans="1:17" ht="64.5" thickBot="1" x14ac:dyDescent="0.3">
      <c r="A2" s="4">
        <v>1</v>
      </c>
      <c r="B2" s="5" t="s">
        <v>3</v>
      </c>
      <c r="C2" s="5" t="s">
        <v>4</v>
      </c>
      <c r="D2" s="5"/>
      <c r="E2" s="31"/>
      <c r="F2" s="8">
        <v>1</v>
      </c>
      <c r="G2" s="9" t="s">
        <v>17</v>
      </c>
      <c r="H2" s="10" t="s">
        <v>18</v>
      </c>
      <c r="I2" s="273" t="s">
        <v>19</v>
      </c>
      <c r="J2" s="31"/>
      <c r="K2" s="26" t="s">
        <v>17</v>
      </c>
      <c r="L2" s="33"/>
      <c r="M2" s="34" t="s">
        <v>46</v>
      </c>
      <c r="N2" s="33"/>
      <c r="O2" s="33"/>
      <c r="P2" s="33"/>
      <c r="Q2" s="33"/>
    </row>
    <row r="3" spans="1:17" ht="77.25" thickBot="1" x14ac:dyDescent="0.3">
      <c r="A3" s="4">
        <v>2</v>
      </c>
      <c r="B3" s="5" t="s">
        <v>5</v>
      </c>
      <c r="C3" s="5" t="s">
        <v>6</v>
      </c>
      <c r="D3" s="35"/>
      <c r="E3" s="31"/>
      <c r="F3" s="8">
        <v>2</v>
      </c>
      <c r="G3" s="9" t="s">
        <v>20</v>
      </c>
      <c r="H3" s="10" t="s">
        <v>21</v>
      </c>
      <c r="I3" s="274"/>
      <c r="J3" s="31"/>
      <c r="K3" s="26" t="s">
        <v>20</v>
      </c>
      <c r="L3" s="33"/>
      <c r="M3" s="34" t="s">
        <v>46</v>
      </c>
      <c r="N3" s="33"/>
      <c r="O3" s="33"/>
      <c r="P3" s="33"/>
      <c r="Q3" s="33"/>
    </row>
    <row r="4" spans="1:17" ht="51.75" thickBot="1" x14ac:dyDescent="0.3">
      <c r="A4" s="4">
        <v>3</v>
      </c>
      <c r="B4" s="5" t="s">
        <v>7</v>
      </c>
      <c r="C4" s="5" t="s">
        <v>8</v>
      </c>
      <c r="D4" s="35"/>
      <c r="E4" s="31"/>
      <c r="F4" s="8">
        <v>3</v>
      </c>
      <c r="G4" s="9" t="s">
        <v>22</v>
      </c>
      <c r="H4" s="10" t="s">
        <v>23</v>
      </c>
      <c r="I4" s="273" t="s">
        <v>24</v>
      </c>
      <c r="J4" s="31"/>
      <c r="K4" s="26" t="s">
        <v>22</v>
      </c>
      <c r="L4" s="34" t="s">
        <v>46</v>
      </c>
      <c r="M4" s="33"/>
      <c r="N4" s="33"/>
      <c r="O4" s="33"/>
      <c r="P4" s="36" t="s">
        <v>46</v>
      </c>
      <c r="Q4" s="33"/>
    </row>
    <row r="5" spans="1:17" ht="64.5" thickBot="1" x14ac:dyDescent="0.3">
      <c r="A5" s="4">
        <v>4</v>
      </c>
      <c r="B5" s="5" t="s">
        <v>9</v>
      </c>
      <c r="C5" s="5" t="s">
        <v>10</v>
      </c>
      <c r="D5" s="35"/>
      <c r="E5" s="31"/>
      <c r="F5" s="8">
        <v>4</v>
      </c>
      <c r="G5" s="9" t="s">
        <v>25</v>
      </c>
      <c r="H5" s="10" t="s">
        <v>26</v>
      </c>
      <c r="I5" s="274"/>
      <c r="J5" s="31"/>
      <c r="K5" s="26" t="s">
        <v>25</v>
      </c>
      <c r="L5" s="33"/>
      <c r="M5" s="33"/>
      <c r="N5" s="33"/>
      <c r="O5" s="34" t="s">
        <v>46</v>
      </c>
      <c r="P5" s="36" t="s">
        <v>46</v>
      </c>
      <c r="Q5" s="33"/>
    </row>
    <row r="6" spans="1:17" ht="51.75" thickBot="1" x14ac:dyDescent="0.3">
      <c r="A6" s="14">
        <v>5</v>
      </c>
      <c r="B6" s="15" t="s">
        <v>41</v>
      </c>
      <c r="C6" s="15" t="s">
        <v>11</v>
      </c>
      <c r="D6" s="37" t="s">
        <v>12</v>
      </c>
      <c r="E6" s="31"/>
      <c r="F6" s="8">
        <v>5</v>
      </c>
      <c r="G6" s="9" t="s">
        <v>27</v>
      </c>
      <c r="H6" s="10" t="s">
        <v>28</v>
      </c>
      <c r="I6" s="273" t="s">
        <v>29</v>
      </c>
      <c r="J6" s="31"/>
      <c r="K6" s="26" t="s">
        <v>27</v>
      </c>
      <c r="L6" s="33"/>
      <c r="M6" s="33"/>
      <c r="N6" s="34" t="s">
        <v>46</v>
      </c>
      <c r="O6" s="33"/>
      <c r="P6" s="36" t="s">
        <v>46</v>
      </c>
      <c r="Q6" s="36" t="s">
        <v>46</v>
      </c>
    </row>
    <row r="7" spans="1:17" ht="64.5" thickBot="1" x14ac:dyDescent="0.3">
      <c r="A7" s="14">
        <v>6</v>
      </c>
      <c r="B7" s="15" t="s">
        <v>42</v>
      </c>
      <c r="C7" s="15" t="s">
        <v>13</v>
      </c>
      <c r="D7" s="37" t="s">
        <v>12</v>
      </c>
      <c r="E7" s="31"/>
      <c r="F7" s="8">
        <v>6</v>
      </c>
      <c r="G7" s="9" t="s">
        <v>30</v>
      </c>
      <c r="H7" s="10" t="s">
        <v>31</v>
      </c>
      <c r="I7" s="274"/>
      <c r="J7" s="31"/>
      <c r="K7" s="26" t="s">
        <v>30</v>
      </c>
      <c r="L7" s="33"/>
      <c r="M7" s="33"/>
      <c r="N7" s="34" t="s">
        <v>46</v>
      </c>
      <c r="O7" s="33"/>
      <c r="P7" s="36" t="s">
        <v>46</v>
      </c>
      <c r="Q7" s="36" t="s">
        <v>46</v>
      </c>
    </row>
    <row r="8" spans="1:17" ht="64.5" thickBot="1" x14ac:dyDescent="0.3">
      <c r="A8" s="31"/>
      <c r="B8" s="31"/>
      <c r="C8" s="31"/>
      <c r="D8" s="31"/>
      <c r="E8" s="31"/>
      <c r="F8" s="8">
        <v>7</v>
      </c>
      <c r="G8" s="9" t="s">
        <v>32</v>
      </c>
      <c r="H8" s="10" t="s">
        <v>33</v>
      </c>
      <c r="I8" s="275" t="s">
        <v>34</v>
      </c>
      <c r="J8" s="31"/>
      <c r="K8" s="26" t="s">
        <v>32</v>
      </c>
      <c r="L8" s="34" t="s">
        <v>46</v>
      </c>
      <c r="M8" s="33"/>
      <c r="N8" s="33"/>
      <c r="O8" s="33"/>
      <c r="P8" s="36" t="s">
        <v>46</v>
      </c>
      <c r="Q8" s="33"/>
    </row>
    <row r="9" spans="1:17" ht="64.5" thickBot="1" x14ac:dyDescent="0.3">
      <c r="A9" s="31"/>
      <c r="B9" s="31"/>
      <c r="C9" s="31"/>
      <c r="D9" s="31"/>
      <c r="E9" s="31"/>
      <c r="F9" s="11">
        <v>8</v>
      </c>
      <c r="G9" s="12" t="s">
        <v>35</v>
      </c>
      <c r="H9" s="13" t="s">
        <v>36</v>
      </c>
      <c r="I9" s="276"/>
      <c r="J9" s="31"/>
      <c r="K9" s="26" t="s">
        <v>35</v>
      </c>
      <c r="L9" s="33"/>
      <c r="M9" s="33"/>
      <c r="N9" s="33"/>
      <c r="O9" s="34" t="s">
        <v>46</v>
      </c>
      <c r="P9" s="36" t="s">
        <v>46</v>
      </c>
      <c r="Q9" s="36" t="s">
        <v>46</v>
      </c>
    </row>
    <row r="10" spans="1:17" ht="39" thickBot="1" x14ac:dyDescent="0.3">
      <c r="A10" s="31"/>
      <c r="B10" s="31"/>
      <c r="C10" s="31"/>
      <c r="D10" s="31"/>
      <c r="E10" s="31"/>
      <c r="F10" s="16">
        <v>9</v>
      </c>
      <c r="G10" s="17" t="s">
        <v>43</v>
      </c>
      <c r="H10" s="18" t="s">
        <v>37</v>
      </c>
      <c r="I10" s="277" t="s">
        <v>38</v>
      </c>
      <c r="J10" s="31"/>
      <c r="K10" s="27" t="s">
        <v>43</v>
      </c>
      <c r="L10" s="33"/>
      <c r="M10" s="33"/>
      <c r="N10" s="33"/>
      <c r="O10" s="33"/>
      <c r="P10" s="36" t="s">
        <v>46</v>
      </c>
      <c r="Q10" s="33"/>
    </row>
    <row r="11" spans="1:17" ht="39" thickBot="1" x14ac:dyDescent="0.3">
      <c r="A11" s="31"/>
      <c r="B11" s="31"/>
      <c r="C11" s="31"/>
      <c r="D11" s="31"/>
      <c r="E11" s="31"/>
      <c r="F11" s="16">
        <v>10</v>
      </c>
      <c r="G11" s="17" t="s">
        <v>44</v>
      </c>
      <c r="H11" s="18" t="s">
        <v>39</v>
      </c>
      <c r="I11" s="278"/>
      <c r="J11" s="31"/>
      <c r="K11" s="27" t="s">
        <v>44</v>
      </c>
      <c r="L11" s="33"/>
      <c r="M11" s="33"/>
      <c r="N11" s="33"/>
      <c r="O11" s="33"/>
      <c r="P11" s="36" t="s">
        <v>46</v>
      </c>
      <c r="Q11" s="36" t="s">
        <v>46</v>
      </c>
    </row>
    <row r="12" spans="1:17" ht="26.25" thickBot="1" x14ac:dyDescent="0.3">
      <c r="A12" s="31"/>
      <c r="B12" s="31"/>
      <c r="C12" s="31"/>
      <c r="D12" s="31"/>
      <c r="E12" s="31"/>
      <c r="F12" s="19">
        <v>11</v>
      </c>
      <c r="G12" s="20" t="s">
        <v>45</v>
      </c>
      <c r="H12" s="21" t="s">
        <v>40</v>
      </c>
      <c r="I12" s="279"/>
      <c r="J12" s="31"/>
      <c r="K12" s="27" t="s">
        <v>45</v>
      </c>
      <c r="L12" s="33"/>
      <c r="M12" s="33"/>
      <c r="N12" s="33"/>
      <c r="O12" s="33"/>
      <c r="P12" s="33"/>
      <c r="Q12" s="36" t="s">
        <v>46</v>
      </c>
    </row>
    <row r="15" spans="1:17" ht="15.75" thickBot="1" x14ac:dyDescent="0.3"/>
    <row r="16" spans="1:17" ht="30.75" thickBot="1" x14ac:dyDescent="0.3">
      <c r="A16" s="254" t="s">
        <v>314</v>
      </c>
      <c r="B16" s="255" t="s">
        <v>315</v>
      </c>
      <c r="C16" s="255" t="s">
        <v>50</v>
      </c>
      <c r="F16" s="260" t="s">
        <v>0</v>
      </c>
      <c r="G16" s="260" t="s">
        <v>390</v>
      </c>
      <c r="H16" s="260" t="s">
        <v>391</v>
      </c>
      <c r="I16" s="260" t="s">
        <v>16</v>
      </c>
      <c r="J16" s="260" t="s">
        <v>392</v>
      </c>
      <c r="K16" s="260" t="s">
        <v>393</v>
      </c>
      <c r="L16" s="260" t="s">
        <v>394</v>
      </c>
    </row>
    <row r="17" spans="1:12" ht="75.75" thickBot="1" x14ac:dyDescent="0.3">
      <c r="A17" s="283" t="s">
        <v>316</v>
      </c>
      <c r="B17" s="284"/>
      <c r="C17" s="285"/>
      <c r="F17" s="261">
        <v>1</v>
      </c>
      <c r="G17" s="261" t="s">
        <v>17</v>
      </c>
      <c r="H17" s="261" t="s">
        <v>395</v>
      </c>
      <c r="I17" s="261" t="s">
        <v>19</v>
      </c>
      <c r="J17" s="261" t="s">
        <v>396</v>
      </c>
      <c r="K17" s="261" t="s">
        <v>397</v>
      </c>
      <c r="L17" s="261" t="s">
        <v>318</v>
      </c>
    </row>
    <row r="18" spans="1:12" ht="27.75" customHeight="1" thickBot="1" x14ac:dyDescent="0.3">
      <c r="A18" s="258" t="s">
        <v>317</v>
      </c>
      <c r="B18" s="280" t="s">
        <v>318</v>
      </c>
      <c r="C18" s="257" t="s">
        <v>378</v>
      </c>
      <c r="F18" s="261">
        <v>2</v>
      </c>
      <c r="G18" s="261" t="s">
        <v>20</v>
      </c>
      <c r="H18" s="261" t="s">
        <v>398</v>
      </c>
      <c r="I18" s="261" t="s">
        <v>24</v>
      </c>
      <c r="J18" s="261" t="s">
        <v>399</v>
      </c>
      <c r="K18" s="261" t="s">
        <v>400</v>
      </c>
      <c r="L18" s="261" t="s">
        <v>318</v>
      </c>
    </row>
    <row r="19" spans="1:12" ht="60.75" thickBot="1" x14ac:dyDescent="0.3">
      <c r="A19" s="258" t="s">
        <v>319</v>
      </c>
      <c r="B19" s="281"/>
      <c r="C19" s="257" t="s">
        <v>379</v>
      </c>
      <c r="F19" s="261">
        <v>3</v>
      </c>
      <c r="G19" s="261" t="s">
        <v>22</v>
      </c>
      <c r="H19" s="261" t="s">
        <v>401</v>
      </c>
      <c r="I19" s="261" t="s">
        <v>24</v>
      </c>
      <c r="J19" s="261" t="s">
        <v>402</v>
      </c>
      <c r="K19" s="261" t="s">
        <v>403</v>
      </c>
      <c r="L19" s="261" t="s">
        <v>318</v>
      </c>
    </row>
    <row r="20" spans="1:12" ht="75.75" thickBot="1" x14ac:dyDescent="0.3">
      <c r="A20" s="258" t="s">
        <v>320</v>
      </c>
      <c r="B20" s="281"/>
      <c r="C20" s="257" t="s">
        <v>380</v>
      </c>
      <c r="F20" s="261">
        <v>4</v>
      </c>
      <c r="G20" s="261" t="s">
        <v>25</v>
      </c>
      <c r="H20" s="261" t="s">
        <v>404</v>
      </c>
      <c r="I20" s="261" t="s">
        <v>29</v>
      </c>
      <c r="J20" s="261" t="s">
        <v>405</v>
      </c>
      <c r="K20" s="261" t="s">
        <v>340</v>
      </c>
      <c r="L20" s="261" t="s">
        <v>406</v>
      </c>
    </row>
    <row r="21" spans="1:12" ht="45.75" thickBot="1" x14ac:dyDescent="0.3">
      <c r="A21" s="258" t="s">
        <v>321</v>
      </c>
      <c r="B21" s="281"/>
      <c r="C21" s="257" t="s">
        <v>381</v>
      </c>
      <c r="F21" s="261">
        <v>5</v>
      </c>
      <c r="G21" s="261" t="s">
        <v>27</v>
      </c>
      <c r="H21" s="261" t="s">
        <v>407</v>
      </c>
      <c r="I21" s="261" t="s">
        <v>29</v>
      </c>
      <c r="J21" s="261" t="s">
        <v>408</v>
      </c>
      <c r="K21" s="261" t="s">
        <v>409</v>
      </c>
      <c r="L21" s="261" t="s">
        <v>410</v>
      </c>
    </row>
    <row r="22" spans="1:12" ht="75.75" thickBot="1" x14ac:dyDescent="0.3">
      <c r="A22" s="258" t="s">
        <v>322</v>
      </c>
      <c r="B22" s="281"/>
      <c r="C22" s="257" t="s">
        <v>323</v>
      </c>
      <c r="F22" s="261">
        <v>6</v>
      </c>
      <c r="G22" s="261" t="s">
        <v>30</v>
      </c>
      <c r="H22" s="261" t="s">
        <v>411</v>
      </c>
      <c r="I22" s="261" t="s">
        <v>34</v>
      </c>
      <c r="J22" s="261" t="s">
        <v>412</v>
      </c>
      <c r="K22" s="261" t="s">
        <v>413</v>
      </c>
      <c r="L22" s="261" t="s">
        <v>414</v>
      </c>
    </row>
    <row r="23" spans="1:12" ht="75.75" thickBot="1" x14ac:dyDescent="0.3">
      <c r="A23" s="258" t="s">
        <v>324</v>
      </c>
      <c r="B23" s="281"/>
      <c r="C23" s="257" t="s">
        <v>325</v>
      </c>
      <c r="F23" s="261">
        <v>7</v>
      </c>
      <c r="G23" s="261" t="s">
        <v>32</v>
      </c>
      <c r="H23" s="261" t="s">
        <v>415</v>
      </c>
      <c r="I23" s="261" t="s">
        <v>34</v>
      </c>
      <c r="J23" s="261" t="s">
        <v>416</v>
      </c>
      <c r="K23" s="261" t="s">
        <v>417</v>
      </c>
      <c r="L23" s="261" t="s">
        <v>414</v>
      </c>
    </row>
    <row r="24" spans="1:12" ht="75.75" thickBot="1" x14ac:dyDescent="0.3">
      <c r="A24" s="258" t="s">
        <v>326</v>
      </c>
      <c r="B24" s="281"/>
      <c r="C24" s="257" t="s">
        <v>327</v>
      </c>
      <c r="F24" s="261">
        <v>8</v>
      </c>
      <c r="G24" s="261" t="s">
        <v>35</v>
      </c>
      <c r="H24" s="261" t="s">
        <v>418</v>
      </c>
      <c r="I24" s="261" t="s">
        <v>34</v>
      </c>
      <c r="J24" s="261" t="s">
        <v>419</v>
      </c>
      <c r="K24" s="261" t="s">
        <v>420</v>
      </c>
      <c r="L24" s="261" t="s">
        <v>406</v>
      </c>
    </row>
    <row r="25" spans="1:12" ht="45.75" thickBot="1" x14ac:dyDescent="0.3">
      <c r="A25" s="258" t="s">
        <v>328</v>
      </c>
      <c r="B25" s="281"/>
      <c r="C25" s="257" t="s">
        <v>329</v>
      </c>
      <c r="F25" s="261">
        <v>9</v>
      </c>
      <c r="G25" s="261" t="s">
        <v>43</v>
      </c>
      <c r="H25" s="261" t="s">
        <v>37</v>
      </c>
      <c r="I25" s="261" t="s">
        <v>38</v>
      </c>
      <c r="J25" s="261" t="s">
        <v>416</v>
      </c>
      <c r="K25" s="261" t="s">
        <v>421</v>
      </c>
      <c r="L25" s="261" t="s">
        <v>406</v>
      </c>
    </row>
    <row r="26" spans="1:12" ht="45.75" thickBot="1" x14ac:dyDescent="0.3">
      <c r="A26" s="258" t="s">
        <v>330</v>
      </c>
      <c r="B26" s="281"/>
      <c r="C26" s="257" t="s">
        <v>331</v>
      </c>
      <c r="F26" s="261">
        <v>10</v>
      </c>
      <c r="G26" s="261" t="s">
        <v>44</v>
      </c>
      <c r="H26" s="261" t="s">
        <v>39</v>
      </c>
      <c r="I26" s="261" t="s">
        <v>38</v>
      </c>
      <c r="J26" s="261" t="s">
        <v>422</v>
      </c>
      <c r="K26" s="261" t="s">
        <v>340</v>
      </c>
      <c r="L26" s="261" t="s">
        <v>406</v>
      </c>
    </row>
    <row r="27" spans="1:12" ht="27.75" customHeight="1" thickBot="1" x14ac:dyDescent="0.3">
      <c r="A27" s="258" t="s">
        <v>332</v>
      </c>
      <c r="B27" s="282"/>
      <c r="C27" s="257" t="s">
        <v>333</v>
      </c>
      <c r="F27" s="261">
        <v>11</v>
      </c>
      <c r="G27" s="261" t="s">
        <v>45</v>
      </c>
      <c r="H27" s="261" t="s">
        <v>40</v>
      </c>
      <c r="I27" s="261" t="s">
        <v>38</v>
      </c>
      <c r="J27" s="261" t="s">
        <v>423</v>
      </c>
      <c r="K27" s="261" t="s">
        <v>424</v>
      </c>
      <c r="L27" s="261" t="s">
        <v>425</v>
      </c>
    </row>
    <row r="28" spans="1:12" ht="15.75" thickBot="1" x14ac:dyDescent="0.3">
      <c r="A28" s="283" t="s">
        <v>334</v>
      </c>
      <c r="B28" s="284"/>
      <c r="C28" s="285"/>
    </row>
    <row r="29" spans="1:12" ht="54.75" thickBot="1" x14ac:dyDescent="0.3">
      <c r="A29" s="258" t="s">
        <v>335</v>
      </c>
      <c r="B29" s="280" t="s">
        <v>318</v>
      </c>
      <c r="C29" s="257" t="s">
        <v>382</v>
      </c>
    </row>
    <row r="30" spans="1:12" ht="15.75" thickBot="1" x14ac:dyDescent="0.3">
      <c r="A30" s="258" t="s">
        <v>336</v>
      </c>
      <c r="B30" s="281"/>
      <c r="C30" s="257" t="s">
        <v>337</v>
      </c>
    </row>
    <row r="31" spans="1:12" ht="54.75" thickBot="1" x14ac:dyDescent="0.3">
      <c r="A31" s="258" t="s">
        <v>338</v>
      </c>
      <c r="B31" s="281"/>
      <c r="C31" s="257" t="s">
        <v>383</v>
      </c>
    </row>
    <row r="32" spans="1:12" ht="27.75" thickBot="1" x14ac:dyDescent="0.3">
      <c r="A32" s="258" t="s">
        <v>339</v>
      </c>
      <c r="B32" s="281"/>
      <c r="C32" s="257" t="s">
        <v>384</v>
      </c>
    </row>
    <row r="33" spans="1:3" ht="27.75" thickBot="1" x14ac:dyDescent="0.3">
      <c r="A33" s="258" t="s">
        <v>340</v>
      </c>
      <c r="B33" s="281"/>
      <c r="C33" s="257" t="s">
        <v>341</v>
      </c>
    </row>
    <row r="34" spans="1:3" ht="27.75" thickBot="1" x14ac:dyDescent="0.3">
      <c r="A34" s="258" t="s">
        <v>342</v>
      </c>
      <c r="B34" s="281"/>
      <c r="C34" s="257" t="s">
        <v>385</v>
      </c>
    </row>
    <row r="35" spans="1:3" ht="41.25" thickBot="1" x14ac:dyDescent="0.3">
      <c r="A35" s="258" t="s">
        <v>343</v>
      </c>
      <c r="B35" s="281"/>
      <c r="C35" s="257" t="s">
        <v>386</v>
      </c>
    </row>
    <row r="36" spans="1:3" ht="27.75" thickBot="1" x14ac:dyDescent="0.3">
      <c r="A36" s="258" t="s">
        <v>344</v>
      </c>
      <c r="B36" s="281"/>
      <c r="C36" s="257" t="s">
        <v>345</v>
      </c>
    </row>
    <row r="37" spans="1:3" ht="27.75" thickBot="1" x14ac:dyDescent="0.3">
      <c r="A37" s="258" t="s">
        <v>346</v>
      </c>
      <c r="B37" s="282"/>
      <c r="C37" s="257" t="s">
        <v>347</v>
      </c>
    </row>
    <row r="38" spans="1:3" ht="15.75" thickBot="1" x14ac:dyDescent="0.3">
      <c r="A38" s="283" t="s">
        <v>348</v>
      </c>
      <c r="B38" s="284"/>
      <c r="C38" s="285"/>
    </row>
    <row r="39" spans="1:3" x14ac:dyDescent="0.25">
      <c r="A39" s="286" t="s">
        <v>349</v>
      </c>
      <c r="B39" s="256" t="s">
        <v>350</v>
      </c>
      <c r="C39" s="286" t="s">
        <v>352</v>
      </c>
    </row>
    <row r="40" spans="1:3" ht="15.75" thickBot="1" x14ac:dyDescent="0.3">
      <c r="A40" s="287"/>
      <c r="B40" s="259" t="s">
        <v>351</v>
      </c>
      <c r="C40" s="287"/>
    </row>
    <row r="41" spans="1:3" x14ac:dyDescent="0.25">
      <c r="A41" s="286" t="s">
        <v>353</v>
      </c>
      <c r="B41" s="256" t="s">
        <v>350</v>
      </c>
      <c r="C41" s="286" t="s">
        <v>354</v>
      </c>
    </row>
    <row r="42" spans="1:3" ht="15.75" thickBot="1" x14ac:dyDescent="0.3">
      <c r="A42" s="287"/>
      <c r="B42" s="259" t="s">
        <v>351</v>
      </c>
      <c r="C42" s="287"/>
    </row>
    <row r="43" spans="1:3" x14ac:dyDescent="0.25">
      <c r="A43" s="286" t="s">
        <v>355</v>
      </c>
      <c r="B43" s="256" t="s">
        <v>350</v>
      </c>
      <c r="C43" s="286" t="s">
        <v>356</v>
      </c>
    </row>
    <row r="44" spans="1:3" ht="15.75" thickBot="1" x14ac:dyDescent="0.3">
      <c r="A44" s="287"/>
      <c r="B44" s="259" t="s">
        <v>351</v>
      </c>
      <c r="C44" s="287"/>
    </row>
    <row r="45" spans="1:3" ht="26.25" customHeight="1" x14ac:dyDescent="0.25">
      <c r="A45" s="286" t="s">
        <v>357</v>
      </c>
      <c r="B45" s="256" t="s">
        <v>350</v>
      </c>
      <c r="C45" s="286" t="s">
        <v>387</v>
      </c>
    </row>
    <row r="46" spans="1:3" ht="15.75" thickBot="1" x14ac:dyDescent="0.3">
      <c r="A46" s="287"/>
      <c r="B46" s="259" t="s">
        <v>351</v>
      </c>
      <c r="C46" s="287"/>
    </row>
    <row r="47" spans="1:3" x14ac:dyDescent="0.25">
      <c r="A47" s="286" t="s">
        <v>358</v>
      </c>
      <c r="B47" s="256" t="s">
        <v>350</v>
      </c>
      <c r="C47" s="286" t="s">
        <v>359</v>
      </c>
    </row>
    <row r="48" spans="1:3" ht="15.75" thickBot="1" x14ac:dyDescent="0.3">
      <c r="A48" s="287"/>
      <c r="B48" s="259" t="s">
        <v>351</v>
      </c>
      <c r="C48" s="287"/>
    </row>
    <row r="49" spans="1:3" ht="41.25" thickBot="1" x14ac:dyDescent="0.3">
      <c r="A49" s="258" t="s">
        <v>360</v>
      </c>
      <c r="B49" s="259" t="s">
        <v>351</v>
      </c>
      <c r="C49" s="257" t="s">
        <v>361</v>
      </c>
    </row>
    <row r="50" spans="1:3" ht="54.75" thickBot="1" x14ac:dyDescent="0.3">
      <c r="A50" s="258" t="s">
        <v>362</v>
      </c>
      <c r="B50" s="259" t="s">
        <v>351</v>
      </c>
      <c r="C50" s="257" t="s">
        <v>363</v>
      </c>
    </row>
    <row r="51" spans="1:3" ht="15.75" thickBot="1" x14ac:dyDescent="0.3">
      <c r="A51" s="283" t="s">
        <v>364</v>
      </c>
      <c r="B51" s="284"/>
      <c r="C51" s="285"/>
    </row>
    <row r="52" spans="1:3" ht="26.25" customHeight="1" x14ac:dyDescent="0.25">
      <c r="A52" s="286" t="s">
        <v>365</v>
      </c>
      <c r="B52" s="256" t="s">
        <v>350</v>
      </c>
      <c r="C52" s="286" t="s">
        <v>366</v>
      </c>
    </row>
    <row r="53" spans="1:3" ht="15.75" thickBot="1" x14ac:dyDescent="0.3">
      <c r="A53" s="287"/>
      <c r="B53" s="259" t="s">
        <v>351</v>
      </c>
      <c r="C53" s="287"/>
    </row>
    <row r="54" spans="1:3" x14ac:dyDescent="0.25">
      <c r="A54" s="286" t="s">
        <v>367</v>
      </c>
      <c r="B54" s="256" t="s">
        <v>350</v>
      </c>
      <c r="C54" s="286" t="s">
        <v>388</v>
      </c>
    </row>
    <row r="55" spans="1:3" ht="15.75" thickBot="1" x14ac:dyDescent="0.3">
      <c r="A55" s="287"/>
      <c r="B55" s="259" t="s">
        <v>351</v>
      </c>
      <c r="C55" s="287"/>
    </row>
    <row r="56" spans="1:3" ht="41.25" thickBot="1" x14ac:dyDescent="0.3">
      <c r="A56" s="258" t="s">
        <v>368</v>
      </c>
      <c r="B56" s="259" t="s">
        <v>369</v>
      </c>
      <c r="C56" s="257" t="s">
        <v>389</v>
      </c>
    </row>
    <row r="57" spans="1:3" ht="27.75" thickBot="1" x14ac:dyDescent="0.3">
      <c r="A57" s="258" t="s">
        <v>370</v>
      </c>
      <c r="B57" s="259" t="s">
        <v>369</v>
      </c>
      <c r="C57" s="257" t="s">
        <v>371</v>
      </c>
    </row>
    <row r="58" spans="1:3" ht="41.25" thickBot="1" x14ac:dyDescent="0.3">
      <c r="A58" s="258" t="s">
        <v>372</v>
      </c>
      <c r="B58" s="259" t="s">
        <v>369</v>
      </c>
      <c r="C58" s="257" t="s">
        <v>373</v>
      </c>
    </row>
    <row r="59" spans="1:3" ht="41.25" thickBot="1" x14ac:dyDescent="0.3">
      <c r="A59" s="258" t="s">
        <v>374</v>
      </c>
      <c r="B59" s="259" t="s">
        <v>351</v>
      </c>
      <c r="C59" s="257" t="s">
        <v>375</v>
      </c>
    </row>
    <row r="60" spans="1:3" ht="41.25" thickBot="1" x14ac:dyDescent="0.3">
      <c r="A60" s="258" t="s">
        <v>376</v>
      </c>
      <c r="B60" s="259" t="s">
        <v>369</v>
      </c>
      <c r="C60" s="257" t="s">
        <v>377</v>
      </c>
    </row>
  </sheetData>
  <mergeCells count="25">
    <mergeCell ref="A54:A55"/>
    <mergeCell ref="C54:C55"/>
    <mergeCell ref="A45:A46"/>
    <mergeCell ref="C45:C46"/>
    <mergeCell ref="A47:A48"/>
    <mergeCell ref="C47:C48"/>
    <mergeCell ref="A51:C51"/>
    <mergeCell ref="A41:A42"/>
    <mergeCell ref="C41:C42"/>
    <mergeCell ref="A43:A44"/>
    <mergeCell ref="C43:C44"/>
    <mergeCell ref="A52:A53"/>
    <mergeCell ref="C52:C53"/>
    <mergeCell ref="B29:B37"/>
    <mergeCell ref="A38:C38"/>
    <mergeCell ref="A39:A40"/>
    <mergeCell ref="A17:C17"/>
    <mergeCell ref="B18:B27"/>
    <mergeCell ref="A28:C28"/>
    <mergeCell ref="C39:C40"/>
    <mergeCell ref="I2:I3"/>
    <mergeCell ref="I4:I5"/>
    <mergeCell ref="I6:I7"/>
    <mergeCell ref="I8:I9"/>
    <mergeCell ref="I10:I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4B04E-0218-406B-A1DC-3B0D9BBDF002}">
  <dimension ref="A1:Y12"/>
  <sheetViews>
    <sheetView zoomScale="70" zoomScaleNormal="70" workbookViewId="0">
      <selection activeCell="M1" sqref="M1:Y11"/>
    </sheetView>
  </sheetViews>
  <sheetFormatPr defaultRowHeight="15" x14ac:dyDescent="0.25"/>
  <cols>
    <col min="1" max="1" width="3.42578125" bestFit="1" customWidth="1"/>
    <col min="2" max="2" width="8.85546875" bestFit="1" customWidth="1"/>
    <col min="3" max="3" width="16" customWidth="1"/>
    <col min="4" max="4" width="93.28515625" customWidth="1"/>
    <col min="5" max="5" width="7.140625" customWidth="1"/>
    <col min="6" max="6" width="7" customWidth="1"/>
    <col min="7" max="7" width="3.140625" customWidth="1"/>
    <col min="8" max="8" width="3.85546875" customWidth="1"/>
    <col min="9" max="9" width="7.28515625" customWidth="1"/>
    <col min="10" max="10" width="63.85546875" customWidth="1"/>
    <col min="11" max="11" width="9.28515625" customWidth="1"/>
    <col min="12" max="12" width="3.7109375" customWidth="1"/>
    <col min="14" max="22" width="6.85546875" customWidth="1"/>
    <col min="25" max="25" width="6" bestFit="1" customWidth="1"/>
  </cols>
  <sheetData>
    <row r="1" spans="1:25" ht="26.25" customHeight="1" thickBot="1" x14ac:dyDescent="0.3">
      <c r="A1" s="38" t="s">
        <v>0</v>
      </c>
      <c r="B1" s="39" t="s">
        <v>48</v>
      </c>
      <c r="C1" s="39" t="s">
        <v>49</v>
      </c>
      <c r="D1" s="39" t="s">
        <v>50</v>
      </c>
      <c r="E1" s="39" t="s">
        <v>16</v>
      </c>
      <c r="F1" s="39" t="s">
        <v>51</v>
      </c>
      <c r="H1" s="6" t="s">
        <v>0</v>
      </c>
      <c r="I1" s="7" t="s">
        <v>14</v>
      </c>
      <c r="J1" s="7" t="s">
        <v>15</v>
      </c>
      <c r="K1" s="7" t="s">
        <v>16</v>
      </c>
      <c r="M1" s="28" t="s">
        <v>87</v>
      </c>
      <c r="N1" s="42" t="s">
        <v>17</v>
      </c>
      <c r="O1" s="42" t="s">
        <v>20</v>
      </c>
      <c r="P1" s="42" t="s">
        <v>22</v>
      </c>
      <c r="Q1" s="42" t="s">
        <v>25</v>
      </c>
      <c r="R1" s="42" t="s">
        <v>27</v>
      </c>
      <c r="S1" s="42" t="s">
        <v>30</v>
      </c>
      <c r="T1" s="42" t="s">
        <v>32</v>
      </c>
      <c r="U1" s="44" t="s">
        <v>35</v>
      </c>
      <c r="V1" s="45" t="s">
        <v>43</v>
      </c>
      <c r="W1" s="45" t="s">
        <v>44</v>
      </c>
      <c r="X1" s="46" t="s">
        <v>45</v>
      </c>
      <c r="Y1" s="45" t="s">
        <v>85</v>
      </c>
    </row>
    <row r="2" spans="1:25" ht="64.5" thickBot="1" x14ac:dyDescent="0.3">
      <c r="A2" s="8">
        <v>1</v>
      </c>
      <c r="B2" s="23" t="s">
        <v>52</v>
      </c>
      <c r="C2" s="9" t="s">
        <v>53</v>
      </c>
      <c r="D2" s="9" t="s">
        <v>54</v>
      </c>
      <c r="E2" s="43" t="s">
        <v>55</v>
      </c>
      <c r="F2" s="9" t="s">
        <v>56</v>
      </c>
      <c r="H2" s="8">
        <v>1</v>
      </c>
      <c r="I2" s="9" t="s">
        <v>17</v>
      </c>
      <c r="J2" s="10" t="s">
        <v>18</v>
      </c>
      <c r="K2" s="273" t="s">
        <v>19</v>
      </c>
      <c r="M2" s="41" t="s">
        <v>52</v>
      </c>
      <c r="N2" s="22"/>
      <c r="O2" s="22"/>
      <c r="P2" s="22"/>
      <c r="Q2" s="22"/>
      <c r="R2" s="24" t="s">
        <v>86</v>
      </c>
      <c r="S2" s="22"/>
      <c r="T2" s="22"/>
      <c r="U2" s="22"/>
      <c r="V2" s="25" t="s">
        <v>46</v>
      </c>
      <c r="W2" s="25" t="s">
        <v>46</v>
      </c>
      <c r="X2" s="22"/>
      <c r="Y2" s="30">
        <f>COUNTIF(N2:X2,"v")</f>
        <v>3</v>
      </c>
    </row>
    <row r="3" spans="1:25" ht="115.5" thickBot="1" x14ac:dyDescent="0.3">
      <c r="A3" s="8">
        <v>2</v>
      </c>
      <c r="B3" s="23" t="s">
        <v>57</v>
      </c>
      <c r="C3" s="9" t="s">
        <v>58</v>
      </c>
      <c r="D3" s="9" t="s">
        <v>59</v>
      </c>
      <c r="E3" s="43" t="s">
        <v>55</v>
      </c>
      <c r="F3" s="9" t="s">
        <v>56</v>
      </c>
      <c r="H3" s="8">
        <v>2</v>
      </c>
      <c r="I3" s="9" t="s">
        <v>20</v>
      </c>
      <c r="J3" s="10" t="s">
        <v>21</v>
      </c>
      <c r="K3" s="274"/>
      <c r="M3" s="41" t="s">
        <v>57</v>
      </c>
      <c r="N3" s="22"/>
      <c r="O3" s="22"/>
      <c r="P3" s="22"/>
      <c r="Q3" s="22"/>
      <c r="R3" s="22"/>
      <c r="S3" s="24" t="s">
        <v>86</v>
      </c>
      <c r="T3" s="22"/>
      <c r="U3" s="22"/>
      <c r="V3" s="25" t="s">
        <v>46</v>
      </c>
      <c r="W3" s="25" t="s">
        <v>46</v>
      </c>
      <c r="X3" s="22"/>
      <c r="Y3" s="30">
        <f t="shared" ref="Y3:Y10" si="0">COUNTIF(N3:X3,"v")</f>
        <v>3</v>
      </c>
    </row>
    <row r="4" spans="1:25" ht="77.25" thickBot="1" x14ac:dyDescent="0.3">
      <c r="A4" s="8">
        <v>3</v>
      </c>
      <c r="B4" s="23" t="s">
        <v>60</v>
      </c>
      <c r="C4" s="9" t="s">
        <v>61</v>
      </c>
      <c r="D4" s="9" t="s">
        <v>62</v>
      </c>
      <c r="E4" s="9" t="s">
        <v>63</v>
      </c>
      <c r="F4" s="9" t="s">
        <v>56</v>
      </c>
      <c r="H4" s="8">
        <v>3</v>
      </c>
      <c r="I4" s="9" t="s">
        <v>22</v>
      </c>
      <c r="J4" s="10" t="s">
        <v>23</v>
      </c>
      <c r="K4" s="273" t="s">
        <v>24</v>
      </c>
      <c r="M4" s="41" t="s">
        <v>60</v>
      </c>
      <c r="N4" s="22"/>
      <c r="O4" s="22"/>
      <c r="P4" s="24" t="s">
        <v>86</v>
      </c>
      <c r="Q4" s="24" t="s">
        <v>86</v>
      </c>
      <c r="R4" s="22"/>
      <c r="S4" s="22"/>
      <c r="T4" s="22"/>
      <c r="U4" s="22"/>
      <c r="V4" s="22"/>
      <c r="W4" s="22"/>
      <c r="X4" s="25" t="s">
        <v>46</v>
      </c>
      <c r="Y4" s="30">
        <f t="shared" si="0"/>
        <v>3</v>
      </c>
    </row>
    <row r="5" spans="1:25" ht="64.5" thickBot="1" x14ac:dyDescent="0.3">
      <c r="A5" s="40">
        <v>4</v>
      </c>
      <c r="B5" s="23" t="s">
        <v>64</v>
      </c>
      <c r="C5" s="9" t="s">
        <v>65</v>
      </c>
      <c r="D5" s="9" t="s">
        <v>66</v>
      </c>
      <c r="E5" s="9" t="s">
        <v>63</v>
      </c>
      <c r="F5" s="9" t="s">
        <v>56</v>
      </c>
      <c r="H5" s="8">
        <v>4</v>
      </c>
      <c r="I5" s="9" t="s">
        <v>25</v>
      </c>
      <c r="J5" s="10" t="s">
        <v>26</v>
      </c>
      <c r="K5" s="274"/>
      <c r="M5" s="41" t="s">
        <v>64</v>
      </c>
      <c r="N5" s="22"/>
      <c r="O5" s="22"/>
      <c r="P5" s="22"/>
      <c r="Q5" s="22"/>
      <c r="R5" s="22"/>
      <c r="S5" s="22"/>
      <c r="T5" s="24" t="s">
        <v>86</v>
      </c>
      <c r="U5" s="22"/>
      <c r="V5" s="22"/>
      <c r="W5" s="22"/>
      <c r="X5" s="25" t="s">
        <v>46</v>
      </c>
      <c r="Y5" s="30">
        <f t="shared" si="0"/>
        <v>2</v>
      </c>
    </row>
    <row r="6" spans="1:25" ht="64.5" thickBot="1" x14ac:dyDescent="0.3">
      <c r="A6" s="40">
        <v>5</v>
      </c>
      <c r="B6" s="23" t="s">
        <v>67</v>
      </c>
      <c r="C6" s="9" t="s">
        <v>68</v>
      </c>
      <c r="D6" s="9" t="s">
        <v>69</v>
      </c>
      <c r="E6" s="43" t="s">
        <v>55</v>
      </c>
      <c r="F6" s="9" t="s">
        <v>70</v>
      </c>
      <c r="H6" s="8">
        <v>5</v>
      </c>
      <c r="I6" s="9" t="s">
        <v>27</v>
      </c>
      <c r="J6" s="10" t="s">
        <v>28</v>
      </c>
      <c r="K6" s="273" t="s">
        <v>29</v>
      </c>
      <c r="M6" s="41" t="s">
        <v>67</v>
      </c>
      <c r="N6" s="22"/>
      <c r="O6" s="22"/>
      <c r="P6" s="22"/>
      <c r="Q6" s="22"/>
      <c r="R6" s="22"/>
      <c r="S6" s="22"/>
      <c r="T6" s="22"/>
      <c r="U6" s="24" t="s">
        <v>86</v>
      </c>
      <c r="V6" s="22"/>
      <c r="W6" s="22"/>
      <c r="X6" s="25" t="s">
        <v>46</v>
      </c>
      <c r="Y6" s="30">
        <f t="shared" si="0"/>
        <v>2</v>
      </c>
    </row>
    <row r="7" spans="1:25" ht="64.5" thickBot="1" x14ac:dyDescent="0.3">
      <c r="A7" s="40">
        <v>6</v>
      </c>
      <c r="B7" s="23" t="s">
        <v>71</v>
      </c>
      <c r="C7" s="9" t="s">
        <v>72</v>
      </c>
      <c r="D7" s="9" t="s">
        <v>73</v>
      </c>
      <c r="E7" s="9" t="s">
        <v>63</v>
      </c>
      <c r="F7" s="9" t="s">
        <v>74</v>
      </c>
      <c r="H7" s="8">
        <v>6</v>
      </c>
      <c r="I7" s="9" t="s">
        <v>30</v>
      </c>
      <c r="J7" s="10" t="s">
        <v>31</v>
      </c>
      <c r="K7" s="274"/>
      <c r="M7" s="41" t="s">
        <v>71</v>
      </c>
      <c r="N7" s="22"/>
      <c r="O7" s="22"/>
      <c r="P7" s="22"/>
      <c r="Q7" s="22"/>
      <c r="R7" s="22"/>
      <c r="S7" s="24" t="s">
        <v>86</v>
      </c>
      <c r="T7" s="22"/>
      <c r="U7" s="24" t="s">
        <v>86</v>
      </c>
      <c r="V7" s="22"/>
      <c r="W7" s="25" t="s">
        <v>46</v>
      </c>
      <c r="X7" s="25" t="s">
        <v>46</v>
      </c>
      <c r="Y7" s="30">
        <f t="shared" si="0"/>
        <v>4</v>
      </c>
    </row>
    <row r="8" spans="1:25" ht="64.5" thickBot="1" x14ac:dyDescent="0.3">
      <c r="A8" s="40">
        <v>7</v>
      </c>
      <c r="B8" s="23" t="s">
        <v>75</v>
      </c>
      <c r="C8" s="9" t="s">
        <v>76</v>
      </c>
      <c r="D8" s="9" t="s">
        <v>77</v>
      </c>
      <c r="E8" s="9" t="s">
        <v>63</v>
      </c>
      <c r="F8" s="9" t="s">
        <v>74</v>
      </c>
      <c r="H8" s="8">
        <v>7</v>
      </c>
      <c r="I8" s="9" t="s">
        <v>32</v>
      </c>
      <c r="J8" s="10" t="s">
        <v>33</v>
      </c>
      <c r="K8" s="275" t="s">
        <v>34</v>
      </c>
      <c r="M8" s="41" t="s">
        <v>75</v>
      </c>
      <c r="N8" s="22"/>
      <c r="O8" s="22"/>
      <c r="P8" s="22"/>
      <c r="Q8" s="22"/>
      <c r="R8" s="24" t="s">
        <v>86</v>
      </c>
      <c r="S8" s="22"/>
      <c r="T8" s="22"/>
      <c r="U8" s="22"/>
      <c r="V8" s="25" t="s">
        <v>46</v>
      </c>
      <c r="W8" s="22"/>
      <c r="X8" s="22"/>
      <c r="Y8" s="30">
        <f t="shared" si="0"/>
        <v>2</v>
      </c>
    </row>
    <row r="9" spans="1:25" ht="64.5" thickBot="1" x14ac:dyDescent="0.3">
      <c r="A9" s="40">
        <v>8</v>
      </c>
      <c r="B9" s="23" t="s">
        <v>78</v>
      </c>
      <c r="C9" s="9" t="s">
        <v>79</v>
      </c>
      <c r="D9" s="9" t="s">
        <v>80</v>
      </c>
      <c r="E9" s="43" t="s">
        <v>55</v>
      </c>
      <c r="F9" s="9" t="s">
        <v>56</v>
      </c>
      <c r="H9" s="11">
        <v>8</v>
      </c>
      <c r="I9" s="12" t="s">
        <v>35</v>
      </c>
      <c r="J9" s="13" t="s">
        <v>36</v>
      </c>
      <c r="K9" s="276"/>
      <c r="M9" s="41" t="s">
        <v>78</v>
      </c>
      <c r="N9" s="24" t="s">
        <v>86</v>
      </c>
      <c r="O9" s="24" t="s">
        <v>86</v>
      </c>
      <c r="P9" s="22"/>
      <c r="Q9" s="22"/>
      <c r="R9" s="22"/>
      <c r="S9" s="22"/>
      <c r="T9" s="22"/>
      <c r="U9" s="22"/>
      <c r="V9" s="25" t="s">
        <v>46</v>
      </c>
      <c r="W9" s="22"/>
      <c r="X9" s="22"/>
      <c r="Y9" s="30">
        <f t="shared" si="0"/>
        <v>3</v>
      </c>
    </row>
    <row r="10" spans="1:25" ht="90" thickBot="1" x14ac:dyDescent="0.3">
      <c r="A10" s="40">
        <v>9</v>
      </c>
      <c r="B10" s="23" t="s">
        <v>81</v>
      </c>
      <c r="C10" s="9" t="s">
        <v>82</v>
      </c>
      <c r="D10" s="9" t="s">
        <v>83</v>
      </c>
      <c r="E10" s="43" t="s">
        <v>55</v>
      </c>
      <c r="F10" s="9" t="s">
        <v>84</v>
      </c>
      <c r="H10" s="16">
        <v>9</v>
      </c>
      <c r="I10" s="17" t="s">
        <v>43</v>
      </c>
      <c r="J10" s="18" t="s">
        <v>37</v>
      </c>
      <c r="K10" s="277" t="s">
        <v>38</v>
      </c>
      <c r="M10" s="48" t="s">
        <v>81</v>
      </c>
      <c r="N10" s="22"/>
      <c r="O10" s="24" t="s">
        <v>86</v>
      </c>
      <c r="P10" s="22"/>
      <c r="Q10" s="22"/>
      <c r="R10" s="22"/>
      <c r="S10" s="22"/>
      <c r="T10" s="22"/>
      <c r="U10" s="22"/>
      <c r="V10" s="22"/>
      <c r="W10" s="22"/>
      <c r="X10" s="25" t="s">
        <v>46</v>
      </c>
      <c r="Y10" s="30">
        <f t="shared" si="0"/>
        <v>2</v>
      </c>
    </row>
    <row r="11" spans="1:25" ht="39" thickBot="1" x14ac:dyDescent="0.3">
      <c r="H11" s="16">
        <v>10</v>
      </c>
      <c r="I11" s="17" t="s">
        <v>44</v>
      </c>
      <c r="J11" s="18" t="s">
        <v>39</v>
      </c>
      <c r="K11" s="278"/>
      <c r="M11" s="26" t="s">
        <v>85</v>
      </c>
      <c r="N11" s="30">
        <f>COUNTIF(N2:N10, "V")</f>
        <v>1</v>
      </c>
      <c r="O11" s="30">
        <f t="shared" ref="O11:X11" si="1">COUNTIF(O2:O10, "V")</f>
        <v>2</v>
      </c>
      <c r="P11" s="30">
        <f t="shared" si="1"/>
        <v>1</v>
      </c>
      <c r="Q11" s="30">
        <f t="shared" si="1"/>
        <v>1</v>
      </c>
      <c r="R11" s="30">
        <f t="shared" si="1"/>
        <v>2</v>
      </c>
      <c r="S11" s="30">
        <f t="shared" si="1"/>
        <v>2</v>
      </c>
      <c r="T11" s="30">
        <f t="shared" si="1"/>
        <v>1</v>
      </c>
      <c r="U11" s="30">
        <f t="shared" si="1"/>
        <v>2</v>
      </c>
      <c r="V11" s="30">
        <f t="shared" si="1"/>
        <v>4</v>
      </c>
      <c r="W11" s="30">
        <f t="shared" si="1"/>
        <v>3</v>
      </c>
      <c r="X11" s="30">
        <f t="shared" si="1"/>
        <v>5</v>
      </c>
      <c r="Y11" s="47"/>
    </row>
    <row r="12" spans="1:25" ht="26.25" thickBot="1" x14ac:dyDescent="0.3">
      <c r="H12" s="19">
        <v>11</v>
      </c>
      <c r="I12" s="20" t="s">
        <v>45</v>
      </c>
      <c r="J12" s="21" t="s">
        <v>40</v>
      </c>
      <c r="K12" s="279"/>
    </row>
  </sheetData>
  <mergeCells count="5">
    <mergeCell ref="K2:K3"/>
    <mergeCell ref="K4:K5"/>
    <mergeCell ref="K6:K7"/>
    <mergeCell ref="K8:K9"/>
    <mergeCell ref="K10: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BD65-7557-4B46-B9B8-853B142E7B5D}">
  <dimension ref="A1:R24"/>
  <sheetViews>
    <sheetView workbookViewId="0">
      <selection activeCell="B24" sqref="B24"/>
    </sheetView>
  </sheetViews>
  <sheetFormatPr defaultRowHeight="15" x14ac:dyDescent="0.25"/>
  <cols>
    <col min="1" max="1" width="14.28515625" bestFit="1" customWidth="1"/>
    <col min="2" max="2" width="46.42578125" bestFit="1" customWidth="1"/>
    <col min="3" max="3" width="3" customWidth="1"/>
    <col min="4" max="4" width="3.42578125" bestFit="1" customWidth="1"/>
    <col min="5" max="5" width="8.85546875" bestFit="1" customWidth="1"/>
    <col min="6" max="6" width="28.5703125" customWidth="1"/>
    <col min="7" max="7" width="2.7109375" customWidth="1"/>
    <col min="8" max="8" width="14.28515625" bestFit="1" customWidth="1"/>
    <col min="9" max="9" width="45.85546875" customWidth="1"/>
    <col min="10" max="18" width="5.28515625" bestFit="1" customWidth="1"/>
  </cols>
  <sheetData>
    <row r="1" spans="1:18" ht="15.75" thickBot="1" x14ac:dyDescent="0.3">
      <c r="A1" s="51" t="s">
        <v>88</v>
      </c>
      <c r="B1" s="51" t="s">
        <v>89</v>
      </c>
      <c r="D1" s="38" t="s">
        <v>0</v>
      </c>
      <c r="E1" s="39" t="s">
        <v>48</v>
      </c>
      <c r="F1" s="39" t="s">
        <v>49</v>
      </c>
      <c r="H1" s="66" t="s">
        <v>134</v>
      </c>
      <c r="I1" s="66" t="s">
        <v>135</v>
      </c>
      <c r="J1" s="59" t="s">
        <v>52</v>
      </c>
      <c r="K1" s="59" t="s">
        <v>57</v>
      </c>
      <c r="L1" s="59" t="s">
        <v>60</v>
      </c>
      <c r="M1" s="59" t="s">
        <v>64</v>
      </c>
      <c r="N1" s="59" t="s">
        <v>67</v>
      </c>
      <c r="O1" s="59" t="s">
        <v>71</v>
      </c>
      <c r="P1" s="59" t="s">
        <v>75</v>
      </c>
      <c r="Q1" s="59" t="s">
        <v>78</v>
      </c>
      <c r="R1" s="59" t="s">
        <v>81</v>
      </c>
    </row>
    <row r="2" spans="1:18" ht="15.75" thickBot="1" x14ac:dyDescent="0.3">
      <c r="A2" s="49" t="s">
        <v>90</v>
      </c>
      <c r="B2" s="58" t="s">
        <v>91</v>
      </c>
      <c r="D2" s="8">
        <v>1</v>
      </c>
      <c r="E2" s="23" t="s">
        <v>52</v>
      </c>
      <c r="F2" s="9" t="s">
        <v>53</v>
      </c>
      <c r="H2" s="49" t="s">
        <v>92</v>
      </c>
      <c r="I2" s="67" t="s">
        <v>93</v>
      </c>
      <c r="J2" s="60" t="s">
        <v>46</v>
      </c>
      <c r="K2" s="61"/>
      <c r="L2" s="61"/>
      <c r="M2" s="61"/>
      <c r="N2" s="61"/>
      <c r="O2" s="61"/>
      <c r="P2" s="61"/>
      <c r="Q2" s="61"/>
      <c r="R2" s="68"/>
    </row>
    <row r="3" spans="1:18" ht="15.75" thickBot="1" x14ac:dyDescent="0.3">
      <c r="A3" s="49" t="s">
        <v>92</v>
      </c>
      <c r="B3" s="58" t="s">
        <v>93</v>
      </c>
      <c r="D3" s="8">
        <v>2</v>
      </c>
      <c r="E3" s="23" t="s">
        <v>57</v>
      </c>
      <c r="F3" s="9" t="s">
        <v>58</v>
      </c>
      <c r="H3" s="49" t="s">
        <v>94</v>
      </c>
      <c r="I3" s="67" t="s">
        <v>95</v>
      </c>
      <c r="J3" s="62" t="s">
        <v>46</v>
      </c>
      <c r="K3" s="22"/>
      <c r="L3" s="22"/>
      <c r="M3" s="22"/>
      <c r="N3" s="24" t="s">
        <v>46</v>
      </c>
      <c r="O3" s="22"/>
      <c r="P3" s="22"/>
      <c r="Q3" s="22"/>
      <c r="R3" s="69"/>
    </row>
    <row r="4" spans="1:18" ht="15.75" thickBot="1" x14ac:dyDescent="0.3">
      <c r="A4" s="49" t="s">
        <v>94</v>
      </c>
      <c r="B4" s="58" t="s">
        <v>95</v>
      </c>
      <c r="D4" s="8">
        <v>3</v>
      </c>
      <c r="E4" s="23" t="s">
        <v>60</v>
      </c>
      <c r="F4" s="9" t="s">
        <v>61</v>
      </c>
      <c r="H4" s="49" t="s">
        <v>96</v>
      </c>
      <c r="I4" s="67" t="s">
        <v>97</v>
      </c>
      <c r="J4" s="62" t="s">
        <v>46</v>
      </c>
      <c r="K4" s="22"/>
      <c r="L4" s="22"/>
      <c r="M4" s="22"/>
      <c r="N4" s="24" t="s">
        <v>46</v>
      </c>
      <c r="O4" s="22"/>
      <c r="P4" s="22"/>
      <c r="Q4" s="22"/>
      <c r="R4" s="69"/>
    </row>
    <row r="5" spans="1:18" ht="15.75" thickBot="1" x14ac:dyDescent="0.3">
      <c r="A5" s="49" t="s">
        <v>96</v>
      </c>
      <c r="B5" s="58" t="s">
        <v>97</v>
      </c>
      <c r="D5" s="8">
        <v>4</v>
      </c>
      <c r="E5" s="23" t="s">
        <v>64</v>
      </c>
      <c r="F5" s="9" t="s">
        <v>65</v>
      </c>
      <c r="H5" s="49" t="s">
        <v>98</v>
      </c>
      <c r="I5" s="67" t="s">
        <v>99</v>
      </c>
      <c r="J5" s="63"/>
      <c r="K5" s="22"/>
      <c r="L5" s="24" t="s">
        <v>46</v>
      </c>
      <c r="M5" s="22"/>
      <c r="N5" s="24" t="s">
        <v>46</v>
      </c>
      <c r="O5" s="22"/>
      <c r="P5" s="22"/>
      <c r="Q5" s="22"/>
      <c r="R5" s="69"/>
    </row>
    <row r="6" spans="1:18" ht="26.25" thickBot="1" x14ac:dyDescent="0.3">
      <c r="A6" s="49" t="s">
        <v>98</v>
      </c>
      <c r="B6" s="58" t="s">
        <v>99</v>
      </c>
      <c r="D6" s="8">
        <v>5</v>
      </c>
      <c r="E6" s="23" t="s">
        <v>67</v>
      </c>
      <c r="F6" s="9" t="s">
        <v>68</v>
      </c>
      <c r="H6" s="50" t="s">
        <v>100</v>
      </c>
      <c r="I6" s="72" t="s">
        <v>101</v>
      </c>
      <c r="J6" s="63"/>
      <c r="K6" s="22"/>
      <c r="L6" s="22"/>
      <c r="M6" s="22"/>
      <c r="N6" s="77" t="s">
        <v>46</v>
      </c>
      <c r="O6" s="22"/>
      <c r="P6" s="22"/>
      <c r="Q6" s="22"/>
      <c r="R6" s="78" t="s">
        <v>46</v>
      </c>
    </row>
    <row r="7" spans="1:18" ht="26.25" thickBot="1" x14ac:dyDescent="0.3">
      <c r="A7" s="50" t="s">
        <v>100</v>
      </c>
      <c r="B7" s="81" t="s">
        <v>101</v>
      </c>
      <c r="D7" s="8">
        <v>6</v>
      </c>
      <c r="E7" s="23" t="s">
        <v>71</v>
      </c>
      <c r="F7" s="9" t="s">
        <v>72</v>
      </c>
      <c r="H7" s="53" t="s">
        <v>102</v>
      </c>
      <c r="I7" s="73" t="s">
        <v>103</v>
      </c>
      <c r="J7" s="63"/>
      <c r="K7" s="22"/>
      <c r="L7" s="22"/>
      <c r="M7" s="22"/>
      <c r="N7" s="22"/>
      <c r="O7" s="22"/>
      <c r="P7" s="22"/>
      <c r="Q7" s="22"/>
      <c r="R7" s="70" t="s">
        <v>46</v>
      </c>
    </row>
    <row r="8" spans="1:18" ht="26.25" thickBot="1" x14ac:dyDescent="0.3">
      <c r="A8" s="53" t="s">
        <v>102</v>
      </c>
      <c r="B8" s="82" t="s">
        <v>103</v>
      </c>
      <c r="D8" s="8">
        <v>7</v>
      </c>
      <c r="E8" s="23" t="s">
        <v>75</v>
      </c>
      <c r="F8" s="9" t="s">
        <v>76</v>
      </c>
      <c r="H8" s="49" t="s">
        <v>104</v>
      </c>
      <c r="I8" s="67" t="s">
        <v>105</v>
      </c>
      <c r="J8" s="63"/>
      <c r="K8" s="22"/>
      <c r="L8" s="22"/>
      <c r="M8" s="22"/>
      <c r="N8" s="24" t="s">
        <v>46</v>
      </c>
      <c r="O8" s="24" t="s">
        <v>46</v>
      </c>
      <c r="P8" s="22"/>
      <c r="Q8" s="22"/>
      <c r="R8" s="69"/>
    </row>
    <row r="9" spans="1:18" ht="15.75" thickBot="1" x14ac:dyDescent="0.3">
      <c r="A9" s="49" t="s">
        <v>104</v>
      </c>
      <c r="B9" s="58" t="s">
        <v>105</v>
      </c>
      <c r="D9" s="8">
        <v>8</v>
      </c>
      <c r="E9" s="23" t="s">
        <v>78</v>
      </c>
      <c r="F9" s="9" t="s">
        <v>79</v>
      </c>
      <c r="H9" s="49" t="s">
        <v>106</v>
      </c>
      <c r="I9" s="67" t="s">
        <v>107</v>
      </c>
      <c r="J9" s="63"/>
      <c r="K9" s="22"/>
      <c r="L9" s="24" t="s">
        <v>46</v>
      </c>
      <c r="M9" s="24" t="s">
        <v>46</v>
      </c>
      <c r="N9" s="22"/>
      <c r="O9" s="22"/>
      <c r="P9" s="22"/>
      <c r="Q9" s="22"/>
      <c r="R9" s="69"/>
    </row>
    <row r="10" spans="1:18" ht="15.75" thickBot="1" x14ac:dyDescent="0.3">
      <c r="A10" s="49" t="s">
        <v>106</v>
      </c>
      <c r="B10" s="58" t="s">
        <v>107</v>
      </c>
      <c r="D10" s="8">
        <v>9</v>
      </c>
      <c r="E10" s="23" t="s">
        <v>81</v>
      </c>
      <c r="F10" s="9" t="s">
        <v>82</v>
      </c>
      <c r="H10" s="49" t="s">
        <v>108</v>
      </c>
      <c r="I10" s="67" t="s">
        <v>109</v>
      </c>
      <c r="J10" s="63"/>
      <c r="K10" s="24" t="s">
        <v>46</v>
      </c>
      <c r="L10" s="22"/>
      <c r="M10" s="22"/>
      <c r="N10" s="22"/>
      <c r="O10" s="22"/>
      <c r="P10" s="22"/>
      <c r="Q10" s="22"/>
      <c r="R10" s="69"/>
    </row>
    <row r="11" spans="1:18" ht="15.75" thickBot="1" x14ac:dyDescent="0.3">
      <c r="A11" s="49" t="s">
        <v>108</v>
      </c>
      <c r="B11" s="58" t="s">
        <v>109</v>
      </c>
      <c r="H11" s="50" t="s">
        <v>110</v>
      </c>
      <c r="I11" s="72" t="s">
        <v>111</v>
      </c>
      <c r="J11" s="80" t="s">
        <v>46</v>
      </c>
      <c r="K11" s="22"/>
      <c r="L11" s="22"/>
      <c r="N11" s="22"/>
      <c r="O11" s="22"/>
      <c r="P11" s="22"/>
      <c r="Q11" s="22"/>
      <c r="R11" s="69"/>
    </row>
    <row r="12" spans="1:18" ht="26.25" thickBot="1" x14ac:dyDescent="0.3">
      <c r="A12" s="50" t="s">
        <v>110</v>
      </c>
      <c r="B12" s="81" t="s">
        <v>111</v>
      </c>
      <c r="H12" s="49" t="s">
        <v>112</v>
      </c>
      <c r="I12" s="67" t="s">
        <v>113</v>
      </c>
      <c r="J12" s="63"/>
      <c r="K12" s="22"/>
      <c r="L12" s="22"/>
      <c r="M12" s="24" t="s">
        <v>46</v>
      </c>
      <c r="N12" s="22"/>
      <c r="O12" s="22"/>
      <c r="P12" s="22"/>
      <c r="Q12" s="22"/>
      <c r="R12" s="69"/>
    </row>
    <row r="13" spans="1:18" ht="25.5" x14ac:dyDescent="0.25">
      <c r="A13" s="49" t="s">
        <v>112</v>
      </c>
      <c r="B13" s="58" t="s">
        <v>113</v>
      </c>
      <c r="H13" s="53" t="s">
        <v>114</v>
      </c>
      <c r="I13" s="73" t="s">
        <v>115</v>
      </c>
      <c r="J13" s="63"/>
      <c r="K13" s="22"/>
      <c r="L13" s="22"/>
      <c r="M13" s="22"/>
      <c r="N13" s="22"/>
      <c r="O13" s="22"/>
      <c r="P13" s="22"/>
      <c r="Q13" s="24" t="s">
        <v>46</v>
      </c>
      <c r="R13" s="70" t="s">
        <v>46</v>
      </c>
    </row>
    <row r="14" spans="1:18" x14ac:dyDescent="0.25">
      <c r="A14" s="53" t="s">
        <v>114</v>
      </c>
      <c r="B14" s="82" t="s">
        <v>115</v>
      </c>
      <c r="H14" s="49"/>
      <c r="I14" s="74" t="s">
        <v>116</v>
      </c>
      <c r="J14" s="63"/>
      <c r="K14" s="22"/>
      <c r="L14" s="22"/>
      <c r="M14" s="22"/>
      <c r="N14" s="22"/>
      <c r="O14" s="22"/>
      <c r="P14" s="22"/>
      <c r="Q14" s="22"/>
      <c r="R14" s="69"/>
    </row>
    <row r="15" spans="1:18" ht="25.5" x14ac:dyDescent="0.25">
      <c r="A15" s="49"/>
      <c r="B15" s="83" t="s">
        <v>116</v>
      </c>
      <c r="H15" s="49" t="s">
        <v>117</v>
      </c>
      <c r="I15" s="67" t="s">
        <v>118</v>
      </c>
      <c r="J15" s="63"/>
      <c r="K15" s="22"/>
      <c r="L15" s="22"/>
      <c r="M15" s="22"/>
      <c r="N15" s="22"/>
      <c r="O15" s="22"/>
      <c r="P15" s="24" t="s">
        <v>46</v>
      </c>
      <c r="Q15" s="22"/>
      <c r="R15" s="69"/>
    </row>
    <row r="16" spans="1:18" x14ac:dyDescent="0.25">
      <c r="A16" s="49" t="s">
        <v>117</v>
      </c>
      <c r="B16" s="58" t="s">
        <v>118</v>
      </c>
      <c r="H16" s="49" t="s">
        <v>119</v>
      </c>
      <c r="I16" s="67" t="s">
        <v>120</v>
      </c>
      <c r="J16" s="63"/>
      <c r="K16" s="22"/>
      <c r="L16" s="24" t="s">
        <v>46</v>
      </c>
      <c r="M16" s="22"/>
      <c r="N16" s="22"/>
      <c r="O16" s="22"/>
      <c r="P16" s="22"/>
      <c r="Q16" s="22"/>
      <c r="R16" s="69"/>
    </row>
    <row r="17" spans="1:18" x14ac:dyDescent="0.25">
      <c r="A17" s="49" t="s">
        <v>119</v>
      </c>
      <c r="B17" s="58" t="s">
        <v>120</v>
      </c>
      <c r="H17" s="49" t="s">
        <v>121</v>
      </c>
      <c r="I17" s="67" t="s">
        <v>122</v>
      </c>
      <c r="J17" s="63"/>
      <c r="K17" s="24" t="s">
        <v>46</v>
      </c>
      <c r="L17" s="24" t="s">
        <v>46</v>
      </c>
      <c r="M17" s="22"/>
      <c r="N17" s="22"/>
      <c r="O17" s="22"/>
      <c r="P17" s="22"/>
      <c r="Q17" s="22"/>
      <c r="R17" s="69"/>
    </row>
    <row r="18" spans="1:18" x14ac:dyDescent="0.25">
      <c r="A18" s="49" t="s">
        <v>121</v>
      </c>
      <c r="B18" s="58" t="s">
        <v>122</v>
      </c>
      <c r="H18" s="49"/>
      <c r="I18" s="74" t="s">
        <v>123</v>
      </c>
      <c r="J18" s="63"/>
      <c r="K18" s="22"/>
      <c r="L18" s="22"/>
      <c r="M18" s="22"/>
      <c r="N18" s="22"/>
      <c r="O18" s="22"/>
      <c r="P18" s="22"/>
      <c r="Q18" s="22"/>
      <c r="R18" s="69"/>
    </row>
    <row r="19" spans="1:18" ht="25.5" x14ac:dyDescent="0.25">
      <c r="A19" s="49"/>
      <c r="B19" s="83" t="s">
        <v>123</v>
      </c>
      <c r="H19" s="49" t="s">
        <v>124</v>
      </c>
      <c r="I19" s="67" t="s">
        <v>125</v>
      </c>
      <c r="J19" s="63"/>
      <c r="K19" s="24" t="s">
        <v>46</v>
      </c>
      <c r="L19" s="22"/>
      <c r="M19" s="22"/>
      <c r="N19" s="22"/>
      <c r="O19" s="24" t="s">
        <v>46</v>
      </c>
      <c r="P19" s="22"/>
      <c r="Q19" s="22"/>
      <c r="R19" s="69"/>
    </row>
    <row r="20" spans="1:18" x14ac:dyDescent="0.25">
      <c r="A20" s="49" t="s">
        <v>124</v>
      </c>
      <c r="B20" s="58" t="s">
        <v>125</v>
      </c>
      <c r="H20" s="49" t="s">
        <v>126</v>
      </c>
      <c r="I20" s="67" t="s">
        <v>127</v>
      </c>
      <c r="J20" s="62" t="s">
        <v>46</v>
      </c>
      <c r="K20" s="22"/>
      <c r="L20" s="22"/>
      <c r="M20" s="22"/>
      <c r="N20" s="22"/>
      <c r="O20" s="24" t="s">
        <v>46</v>
      </c>
      <c r="P20" s="22"/>
      <c r="Q20" s="22"/>
      <c r="R20" s="69"/>
    </row>
    <row r="21" spans="1:18" ht="15.75" thickBot="1" x14ac:dyDescent="0.3">
      <c r="A21" s="49" t="s">
        <v>126</v>
      </c>
      <c r="B21" s="58" t="s">
        <v>127</v>
      </c>
      <c r="H21" s="55" t="s">
        <v>128</v>
      </c>
      <c r="I21" s="75" t="s">
        <v>129</v>
      </c>
      <c r="J21" s="62" t="s">
        <v>46</v>
      </c>
      <c r="K21" s="22"/>
      <c r="L21" s="24" t="s">
        <v>46</v>
      </c>
      <c r="M21" s="22"/>
      <c r="N21" s="22"/>
      <c r="O21" s="22"/>
      <c r="P21" s="22"/>
      <c r="Q21" s="22"/>
      <c r="R21" s="69"/>
    </row>
    <row r="22" spans="1:18" ht="15.75" thickBot="1" x14ac:dyDescent="0.3">
      <c r="A22" s="55" t="s">
        <v>128</v>
      </c>
      <c r="B22" s="84" t="s">
        <v>129</v>
      </c>
      <c r="H22" s="56" t="s">
        <v>130</v>
      </c>
      <c r="I22" s="76" t="s">
        <v>131</v>
      </c>
      <c r="J22" s="63"/>
      <c r="K22" s="22"/>
      <c r="L22" s="22"/>
      <c r="M22" s="22"/>
      <c r="N22" s="22"/>
      <c r="O22" s="22"/>
      <c r="P22" s="22"/>
      <c r="Q22" s="24" t="s">
        <v>46</v>
      </c>
      <c r="R22" s="70" t="s">
        <v>46</v>
      </c>
    </row>
    <row r="23" spans="1:18" ht="26.25" thickBot="1" x14ac:dyDescent="0.3">
      <c r="A23" s="56" t="s">
        <v>130</v>
      </c>
      <c r="B23" s="85" t="s">
        <v>131</v>
      </c>
      <c r="H23" s="50" t="s">
        <v>132</v>
      </c>
      <c r="I23" s="72" t="s">
        <v>133</v>
      </c>
      <c r="J23" s="64"/>
      <c r="K23" s="65"/>
      <c r="L23" s="65"/>
      <c r="M23" s="65"/>
      <c r="N23" s="65"/>
      <c r="O23" s="65"/>
      <c r="P23" s="65"/>
      <c r="Q23" s="79" t="s">
        <v>46</v>
      </c>
      <c r="R23" s="71"/>
    </row>
    <row r="24" spans="1:18" ht="26.25" thickBot="1" x14ac:dyDescent="0.3">
      <c r="A24" s="50" t="s">
        <v>132</v>
      </c>
      <c r="B24" s="81" t="s">
        <v>133</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0496-21D5-4F8D-911B-F3073612D357}">
  <sheetPr>
    <pageSetUpPr fitToPage="1"/>
  </sheetPr>
  <dimension ref="A1:W27"/>
  <sheetViews>
    <sheetView zoomScale="64" zoomScaleNormal="115" workbookViewId="0">
      <selection activeCell="M24" sqref="M24"/>
    </sheetView>
  </sheetViews>
  <sheetFormatPr defaultRowHeight="15" x14ac:dyDescent="0.25"/>
  <cols>
    <col min="1" max="1" width="14.28515625" bestFit="1" customWidth="1"/>
    <col min="2" max="2" width="44.140625" bestFit="1" customWidth="1"/>
    <col min="3" max="3" width="4" customWidth="1"/>
    <col min="4" max="4" width="3.42578125" bestFit="1" customWidth="1"/>
    <col min="5" max="5" width="8.140625" customWidth="1"/>
    <col min="6" max="6" width="91" customWidth="1"/>
    <col min="8" max="8" width="2.140625" customWidth="1"/>
    <col min="9" max="9" width="14.28515625" bestFit="1" customWidth="1"/>
    <col min="10" max="10" width="41.5703125" customWidth="1"/>
    <col min="11" max="11" width="7.42578125" bestFit="1" customWidth="1"/>
    <col min="12" max="19" width="7.85546875" bestFit="1" customWidth="1"/>
    <col min="20" max="20" width="7.42578125" bestFit="1" customWidth="1"/>
    <col min="21" max="21" width="7.140625" bestFit="1" customWidth="1"/>
    <col min="22" max="23" width="9.140625" style="22"/>
  </cols>
  <sheetData>
    <row r="1" spans="1:23" ht="26.25" thickBot="1" x14ac:dyDescent="0.3">
      <c r="A1" s="51" t="s">
        <v>88</v>
      </c>
      <c r="B1" s="51" t="s">
        <v>89</v>
      </c>
      <c r="D1" s="6" t="s">
        <v>0</v>
      </c>
      <c r="E1" s="7" t="s">
        <v>14</v>
      </c>
      <c r="F1" s="7" t="s">
        <v>15</v>
      </c>
      <c r="G1" s="7" t="s">
        <v>16</v>
      </c>
      <c r="I1" s="86" t="s">
        <v>134</v>
      </c>
      <c r="J1" s="86" t="s">
        <v>135</v>
      </c>
      <c r="K1" s="87" t="s">
        <v>17</v>
      </c>
      <c r="L1" s="87" t="s">
        <v>20</v>
      </c>
      <c r="M1" s="87" t="s">
        <v>22</v>
      </c>
      <c r="N1" s="87" t="s">
        <v>25</v>
      </c>
      <c r="O1" s="87" t="s">
        <v>27</v>
      </c>
      <c r="P1" s="87" t="s">
        <v>30</v>
      </c>
      <c r="Q1" s="87" t="s">
        <v>32</v>
      </c>
      <c r="R1" s="87" t="s">
        <v>35</v>
      </c>
      <c r="S1" s="87" t="s">
        <v>43</v>
      </c>
      <c r="T1" s="87" t="s">
        <v>44</v>
      </c>
      <c r="U1" s="87" t="s">
        <v>45</v>
      </c>
      <c r="V1" s="30"/>
    </row>
    <row r="2" spans="1:23" ht="45.75" customHeight="1" thickBot="1" x14ac:dyDescent="0.3">
      <c r="A2" s="49" t="s">
        <v>90</v>
      </c>
      <c r="B2" s="58" t="s">
        <v>91</v>
      </c>
      <c r="D2" s="8">
        <v>1</v>
      </c>
      <c r="E2" s="9" t="s">
        <v>17</v>
      </c>
      <c r="F2" s="10" t="s">
        <v>18</v>
      </c>
      <c r="G2" s="273" t="s">
        <v>19</v>
      </c>
      <c r="I2" s="52" t="s">
        <v>92</v>
      </c>
      <c r="J2" s="58" t="s">
        <v>93</v>
      </c>
      <c r="K2" s="252"/>
      <c r="L2" s="61"/>
      <c r="M2" s="61"/>
      <c r="N2" s="61"/>
      <c r="O2" s="61" t="s">
        <v>136</v>
      </c>
      <c r="P2" s="61"/>
      <c r="Q2" s="61"/>
      <c r="R2" s="61"/>
      <c r="S2" s="61"/>
      <c r="T2" s="61" t="s">
        <v>136</v>
      </c>
      <c r="U2" s="68"/>
      <c r="V2" s="22">
        <f>COUNTIF(K2:U2,"A")</f>
        <v>2</v>
      </c>
      <c r="W2" s="90">
        <f t="shared" ref="W2:W23" si="0">(V2/$V$25)</f>
        <v>4.0816326530612242E-2</v>
      </c>
    </row>
    <row r="3" spans="1:23" ht="45.75" customHeight="1" thickBot="1" x14ac:dyDescent="0.3">
      <c r="A3" s="49" t="s">
        <v>92</v>
      </c>
      <c r="B3" s="58" t="s">
        <v>93</v>
      </c>
      <c r="D3" s="8">
        <v>2</v>
      </c>
      <c r="E3" s="9" t="s">
        <v>20</v>
      </c>
      <c r="F3" s="10" t="s">
        <v>21</v>
      </c>
      <c r="G3" s="274"/>
      <c r="I3" s="52" t="s">
        <v>94</v>
      </c>
      <c r="J3" s="58" t="s">
        <v>95</v>
      </c>
      <c r="K3" s="63"/>
      <c r="L3" s="22"/>
      <c r="M3" s="22"/>
      <c r="N3" s="22"/>
      <c r="O3" s="22" t="s">
        <v>136</v>
      </c>
      <c r="P3" s="22"/>
      <c r="Q3" s="22"/>
      <c r="R3" s="22"/>
      <c r="S3" s="22"/>
      <c r="T3" s="22" t="s">
        <v>136</v>
      </c>
      <c r="U3" s="69"/>
      <c r="V3" s="22">
        <f t="shared" ref="V3:V23" si="1">COUNTIF(K3:U3,"A")</f>
        <v>2</v>
      </c>
      <c r="W3" s="90">
        <f t="shared" si="0"/>
        <v>4.0816326530612242E-2</v>
      </c>
    </row>
    <row r="4" spans="1:23" ht="45.75" customHeight="1" thickBot="1" x14ac:dyDescent="0.3">
      <c r="A4" s="49" t="s">
        <v>94</v>
      </c>
      <c r="B4" s="58" t="s">
        <v>95</v>
      </c>
      <c r="D4" s="8">
        <v>3</v>
      </c>
      <c r="E4" s="9" t="s">
        <v>22</v>
      </c>
      <c r="F4" s="10" t="s">
        <v>23</v>
      </c>
      <c r="G4" s="273" t="s">
        <v>24</v>
      </c>
      <c r="I4" s="52" t="s">
        <v>96</v>
      </c>
      <c r="J4" s="58" t="s">
        <v>97</v>
      </c>
      <c r="K4" s="63"/>
      <c r="L4" s="22"/>
      <c r="M4" s="22"/>
      <c r="N4" s="22"/>
      <c r="O4" s="22" t="s">
        <v>136</v>
      </c>
      <c r="P4" s="22"/>
      <c r="Q4" s="22"/>
      <c r="R4" s="22"/>
      <c r="S4" s="22"/>
      <c r="T4" s="22" t="s">
        <v>136</v>
      </c>
      <c r="U4" s="69"/>
      <c r="V4" s="22">
        <f t="shared" si="1"/>
        <v>2</v>
      </c>
      <c r="W4" s="90">
        <f t="shared" si="0"/>
        <v>4.0816326530612242E-2</v>
      </c>
    </row>
    <row r="5" spans="1:23" ht="45.75" customHeight="1" thickBot="1" x14ac:dyDescent="0.3">
      <c r="A5" s="49" t="s">
        <v>96</v>
      </c>
      <c r="B5" s="58" t="s">
        <v>97</v>
      </c>
      <c r="D5" s="8">
        <v>4</v>
      </c>
      <c r="E5" s="9" t="s">
        <v>25</v>
      </c>
      <c r="F5" s="10" t="s">
        <v>26</v>
      </c>
      <c r="G5" s="274"/>
      <c r="I5" s="52" t="s">
        <v>98</v>
      </c>
      <c r="J5" s="58" t="s">
        <v>99</v>
      </c>
      <c r="K5" s="63"/>
      <c r="L5" s="22"/>
      <c r="M5" s="22" t="s">
        <v>136</v>
      </c>
      <c r="N5" s="22" t="s">
        <v>136</v>
      </c>
      <c r="O5" s="22"/>
      <c r="P5" s="22"/>
      <c r="Q5" s="22"/>
      <c r="R5" s="22"/>
      <c r="S5" s="22"/>
      <c r="T5" s="22"/>
      <c r="U5" s="69" t="s">
        <v>136</v>
      </c>
      <c r="V5" s="22">
        <f t="shared" si="1"/>
        <v>3</v>
      </c>
      <c r="W5" s="90">
        <f t="shared" si="0"/>
        <v>6.1224489795918366E-2</v>
      </c>
    </row>
    <row r="6" spans="1:23" ht="45.75" customHeight="1" thickBot="1" x14ac:dyDescent="0.3">
      <c r="A6" s="49" t="s">
        <v>98</v>
      </c>
      <c r="B6" s="58" t="s">
        <v>99</v>
      </c>
      <c r="D6" s="8">
        <v>5</v>
      </c>
      <c r="E6" s="9" t="s">
        <v>27</v>
      </c>
      <c r="F6" s="10" t="s">
        <v>28</v>
      </c>
      <c r="G6" s="273" t="s">
        <v>29</v>
      </c>
      <c r="I6" s="57" t="s">
        <v>100</v>
      </c>
      <c r="J6" s="85" t="s">
        <v>101</v>
      </c>
      <c r="K6" s="63"/>
      <c r="L6" s="22"/>
      <c r="M6" s="22"/>
      <c r="N6" s="22"/>
      <c r="O6" s="22"/>
      <c r="P6" s="22"/>
      <c r="Q6" s="22"/>
      <c r="R6" s="22" t="s">
        <v>136</v>
      </c>
      <c r="S6" s="22"/>
      <c r="T6" s="22"/>
      <c r="U6" s="69" t="s">
        <v>136</v>
      </c>
      <c r="V6" s="22">
        <f t="shared" si="1"/>
        <v>2</v>
      </c>
      <c r="W6" s="90">
        <f t="shared" si="0"/>
        <v>4.0816326530612242E-2</v>
      </c>
    </row>
    <row r="7" spans="1:23" ht="45.75" customHeight="1" thickBot="1" x14ac:dyDescent="0.3">
      <c r="A7" s="50" t="s">
        <v>100</v>
      </c>
      <c r="B7" s="81" t="s">
        <v>101</v>
      </c>
      <c r="D7" s="8">
        <v>6</v>
      </c>
      <c r="E7" s="9" t="s">
        <v>30</v>
      </c>
      <c r="F7" s="10" t="s">
        <v>31</v>
      </c>
      <c r="G7" s="274"/>
      <c r="I7" s="54" t="s">
        <v>102</v>
      </c>
      <c r="J7" s="82" t="s">
        <v>103</v>
      </c>
      <c r="K7" s="63"/>
      <c r="L7" s="22"/>
      <c r="M7" s="22" t="s">
        <v>136</v>
      </c>
      <c r="N7" s="22"/>
      <c r="O7" s="22"/>
      <c r="P7" s="22"/>
      <c r="Q7" s="22"/>
      <c r="R7" s="22"/>
      <c r="S7" s="22"/>
      <c r="T7" s="22"/>
      <c r="U7" s="69" t="s">
        <v>136</v>
      </c>
      <c r="V7" s="22">
        <f t="shared" si="1"/>
        <v>2</v>
      </c>
      <c r="W7" s="90">
        <f t="shared" si="0"/>
        <v>4.0816326530612242E-2</v>
      </c>
    </row>
    <row r="8" spans="1:23" ht="45.75" customHeight="1" thickBot="1" x14ac:dyDescent="0.3">
      <c r="A8" s="53" t="s">
        <v>102</v>
      </c>
      <c r="B8" s="82" t="s">
        <v>103</v>
      </c>
      <c r="D8" s="8">
        <v>7</v>
      </c>
      <c r="E8" s="9" t="s">
        <v>32</v>
      </c>
      <c r="F8" s="10" t="s">
        <v>33</v>
      </c>
      <c r="G8" s="275" t="s">
        <v>34</v>
      </c>
      <c r="I8" s="52" t="s">
        <v>104</v>
      </c>
      <c r="J8" s="58" t="s">
        <v>105</v>
      </c>
      <c r="K8" s="63"/>
      <c r="L8" s="22"/>
      <c r="M8" s="22"/>
      <c r="N8" s="22"/>
      <c r="O8" s="22"/>
      <c r="P8" s="22" t="s">
        <v>136</v>
      </c>
      <c r="Q8" s="22"/>
      <c r="R8" s="22" t="s">
        <v>136</v>
      </c>
      <c r="S8" s="22"/>
      <c r="T8" s="22"/>
      <c r="U8" s="69" t="s">
        <v>136</v>
      </c>
      <c r="V8" s="22">
        <f t="shared" si="1"/>
        <v>3</v>
      </c>
      <c r="W8" s="90">
        <f t="shared" si="0"/>
        <v>6.1224489795918366E-2</v>
      </c>
    </row>
    <row r="9" spans="1:23" ht="45.75" customHeight="1" thickBot="1" x14ac:dyDescent="0.3">
      <c r="A9" s="49" t="s">
        <v>104</v>
      </c>
      <c r="B9" s="58" t="s">
        <v>105</v>
      </c>
      <c r="D9" s="11">
        <v>8</v>
      </c>
      <c r="E9" s="12" t="s">
        <v>35</v>
      </c>
      <c r="F9" s="13" t="s">
        <v>36</v>
      </c>
      <c r="G9" s="276"/>
      <c r="I9" s="52" t="s">
        <v>106</v>
      </c>
      <c r="J9" s="58" t="s">
        <v>107</v>
      </c>
      <c r="K9" s="63"/>
      <c r="L9" s="22"/>
      <c r="M9" s="22"/>
      <c r="N9" s="22"/>
      <c r="O9" s="22"/>
      <c r="P9" s="22"/>
      <c r="Q9" s="22" t="s">
        <v>136</v>
      </c>
      <c r="R9" s="22"/>
      <c r="S9" s="22"/>
      <c r="T9" s="22"/>
      <c r="U9" s="69" t="s">
        <v>136</v>
      </c>
      <c r="V9" s="22">
        <f t="shared" si="1"/>
        <v>2</v>
      </c>
      <c r="W9" s="90">
        <f t="shared" si="0"/>
        <v>4.0816326530612242E-2</v>
      </c>
    </row>
    <row r="10" spans="1:23" ht="45.75" customHeight="1" thickBot="1" x14ac:dyDescent="0.3">
      <c r="A10" s="49" t="s">
        <v>106</v>
      </c>
      <c r="B10" s="58" t="s">
        <v>107</v>
      </c>
      <c r="D10" s="16">
        <v>9</v>
      </c>
      <c r="E10" s="17" t="s">
        <v>43</v>
      </c>
      <c r="F10" s="18" t="s">
        <v>37</v>
      </c>
      <c r="G10" s="277" t="s">
        <v>38</v>
      </c>
      <c r="I10" s="52" t="s">
        <v>108</v>
      </c>
      <c r="J10" s="58" t="s">
        <v>109</v>
      </c>
      <c r="K10" s="63"/>
      <c r="L10" s="22"/>
      <c r="M10" s="22"/>
      <c r="N10" s="22"/>
      <c r="O10" s="22"/>
      <c r="P10" s="22" t="s">
        <v>136</v>
      </c>
      <c r="Q10" s="22"/>
      <c r="R10" s="22"/>
      <c r="S10" s="22"/>
      <c r="T10" s="22" t="s">
        <v>136</v>
      </c>
      <c r="U10" s="69"/>
      <c r="V10" s="22">
        <f t="shared" si="1"/>
        <v>2</v>
      </c>
      <c r="W10" s="90">
        <f t="shared" si="0"/>
        <v>4.0816326530612242E-2</v>
      </c>
    </row>
    <row r="11" spans="1:23" ht="45.75" customHeight="1" thickBot="1" x14ac:dyDescent="0.3">
      <c r="A11" s="49" t="s">
        <v>108</v>
      </c>
      <c r="B11" s="58" t="s">
        <v>109</v>
      </c>
      <c r="D11" s="16">
        <v>10</v>
      </c>
      <c r="E11" s="17" t="s">
        <v>44</v>
      </c>
      <c r="F11" s="18" t="s">
        <v>39</v>
      </c>
      <c r="G11" s="278"/>
      <c r="I11" s="57" t="s">
        <v>110</v>
      </c>
      <c r="J11" s="85" t="s">
        <v>111</v>
      </c>
      <c r="K11" s="63"/>
      <c r="L11" s="22"/>
      <c r="M11" s="22"/>
      <c r="N11" s="22"/>
      <c r="O11" s="22" t="s">
        <v>136</v>
      </c>
      <c r="P11" s="22"/>
      <c r="Q11" s="22"/>
      <c r="R11" s="22"/>
      <c r="S11" s="22"/>
      <c r="T11" s="22" t="s">
        <v>136</v>
      </c>
      <c r="U11" s="69"/>
      <c r="V11" s="22">
        <f t="shared" si="1"/>
        <v>2</v>
      </c>
      <c r="W11" s="90">
        <f t="shared" si="0"/>
        <v>4.0816326530612242E-2</v>
      </c>
    </row>
    <row r="12" spans="1:23" ht="45.75" customHeight="1" thickBot="1" x14ac:dyDescent="0.3">
      <c r="A12" s="50" t="s">
        <v>110</v>
      </c>
      <c r="B12" s="81" t="s">
        <v>111</v>
      </c>
      <c r="D12" s="19">
        <v>11</v>
      </c>
      <c r="E12" s="20" t="s">
        <v>45</v>
      </c>
      <c r="F12" s="21" t="s">
        <v>40</v>
      </c>
      <c r="G12" s="279"/>
      <c r="I12" s="52" t="s">
        <v>112</v>
      </c>
      <c r="J12" s="58" t="s">
        <v>113</v>
      </c>
      <c r="K12" s="63"/>
      <c r="L12" s="22"/>
      <c r="M12" s="22"/>
      <c r="N12" s="22"/>
      <c r="O12" s="22"/>
      <c r="P12" s="22"/>
      <c r="Q12" s="22" t="s">
        <v>136</v>
      </c>
      <c r="R12" s="22"/>
      <c r="S12" s="22"/>
      <c r="T12" s="22"/>
      <c r="U12" s="69" t="s">
        <v>136</v>
      </c>
      <c r="V12" s="22">
        <f t="shared" si="1"/>
        <v>2</v>
      </c>
      <c r="W12" s="90">
        <f t="shared" si="0"/>
        <v>4.0816326530612242E-2</v>
      </c>
    </row>
    <row r="13" spans="1:23" ht="25.5" x14ac:dyDescent="0.25">
      <c r="A13" s="49" t="s">
        <v>112</v>
      </c>
      <c r="B13" s="58" t="s">
        <v>113</v>
      </c>
      <c r="I13" s="54" t="s">
        <v>114</v>
      </c>
      <c r="J13" s="82" t="s">
        <v>115</v>
      </c>
      <c r="K13" s="63" t="s">
        <v>136</v>
      </c>
      <c r="L13" s="22" t="s">
        <v>136</v>
      </c>
      <c r="M13" s="22"/>
      <c r="N13" s="22"/>
      <c r="O13" s="22"/>
      <c r="P13" s="22"/>
      <c r="Q13" s="22"/>
      <c r="R13" s="22"/>
      <c r="S13" s="22" t="s">
        <v>136</v>
      </c>
      <c r="T13" s="22"/>
      <c r="U13" s="69" t="s">
        <v>136</v>
      </c>
      <c r="V13" s="22">
        <f t="shared" si="1"/>
        <v>4</v>
      </c>
      <c r="W13" s="90">
        <f t="shared" si="0"/>
        <v>8.1632653061224483E-2</v>
      </c>
    </row>
    <row r="14" spans="1:23" ht="25.5" customHeight="1" x14ac:dyDescent="0.25">
      <c r="A14" s="53" t="s">
        <v>114</v>
      </c>
      <c r="B14" s="82" t="s">
        <v>115</v>
      </c>
      <c r="I14" s="52"/>
      <c r="J14" s="83" t="s">
        <v>116</v>
      </c>
      <c r="K14" s="63"/>
      <c r="L14" s="22"/>
      <c r="M14" s="22"/>
      <c r="N14" s="22"/>
      <c r="O14" s="22"/>
      <c r="P14" s="22"/>
      <c r="Q14" s="22"/>
      <c r="R14" s="22"/>
      <c r="S14" s="22"/>
      <c r="T14" s="22"/>
      <c r="U14" s="69"/>
      <c r="V14" s="22">
        <f t="shared" si="1"/>
        <v>0</v>
      </c>
      <c r="W14" s="90">
        <f t="shared" si="0"/>
        <v>0</v>
      </c>
    </row>
    <row r="15" spans="1:23" ht="32.25" customHeight="1" x14ac:dyDescent="0.25">
      <c r="A15" s="49"/>
      <c r="B15" s="83" t="s">
        <v>116</v>
      </c>
      <c r="I15" s="52" t="s">
        <v>117</v>
      </c>
      <c r="J15" s="58" t="s">
        <v>118</v>
      </c>
      <c r="K15" s="63"/>
      <c r="L15" s="22"/>
      <c r="M15" s="22"/>
      <c r="N15" s="22"/>
      <c r="O15" s="22" t="s">
        <v>136</v>
      </c>
      <c r="P15" s="22"/>
      <c r="Q15" s="22"/>
      <c r="R15" s="22"/>
      <c r="S15" s="22" t="s">
        <v>136</v>
      </c>
      <c r="T15" s="22"/>
      <c r="U15" s="69"/>
      <c r="V15" s="22">
        <f t="shared" si="1"/>
        <v>2</v>
      </c>
      <c r="W15" s="90">
        <f t="shared" si="0"/>
        <v>4.0816326530612242E-2</v>
      </c>
    </row>
    <row r="16" spans="1:23" ht="30.75" customHeight="1" x14ac:dyDescent="0.25">
      <c r="A16" s="49" t="s">
        <v>117</v>
      </c>
      <c r="B16" s="58" t="s">
        <v>118</v>
      </c>
      <c r="I16" s="52" t="s">
        <v>119</v>
      </c>
      <c r="J16" s="58" t="s">
        <v>120</v>
      </c>
      <c r="K16" s="63"/>
      <c r="L16" s="22"/>
      <c r="M16" s="22" t="s">
        <v>136</v>
      </c>
      <c r="N16" s="22"/>
      <c r="O16" s="22"/>
      <c r="P16" s="22"/>
      <c r="Q16" s="22"/>
      <c r="R16" s="22"/>
      <c r="S16" s="22"/>
      <c r="T16" s="22"/>
      <c r="U16" s="69" t="s">
        <v>136</v>
      </c>
      <c r="V16" s="22">
        <f t="shared" si="1"/>
        <v>2</v>
      </c>
      <c r="W16" s="90">
        <f t="shared" si="0"/>
        <v>4.0816326530612242E-2</v>
      </c>
    </row>
    <row r="17" spans="1:23" ht="30.75" customHeight="1" x14ac:dyDescent="0.25">
      <c r="A17" s="49" t="s">
        <v>119</v>
      </c>
      <c r="B17" s="58" t="s">
        <v>120</v>
      </c>
      <c r="I17" s="52" t="s">
        <v>121</v>
      </c>
      <c r="J17" s="58" t="s">
        <v>122</v>
      </c>
      <c r="K17" s="63"/>
      <c r="L17" s="22"/>
      <c r="M17" s="22" t="s">
        <v>136</v>
      </c>
      <c r="N17" s="22"/>
      <c r="O17" s="22"/>
      <c r="P17" s="22" t="s">
        <v>136</v>
      </c>
      <c r="Q17" s="22"/>
      <c r="R17" s="22"/>
      <c r="S17" s="22" t="s">
        <v>136</v>
      </c>
      <c r="T17" s="22"/>
      <c r="U17" s="69"/>
      <c r="V17" s="22">
        <f t="shared" si="1"/>
        <v>3</v>
      </c>
      <c r="W17" s="90">
        <f t="shared" si="0"/>
        <v>6.1224489795918366E-2</v>
      </c>
    </row>
    <row r="18" spans="1:23" ht="30.75" customHeight="1" x14ac:dyDescent="0.25">
      <c r="A18" s="49" t="s">
        <v>121</v>
      </c>
      <c r="B18" s="58" t="s">
        <v>122</v>
      </c>
      <c r="I18" s="52"/>
      <c r="J18" s="83" t="s">
        <v>123</v>
      </c>
      <c r="K18" s="63"/>
      <c r="L18" s="22"/>
      <c r="M18" s="22"/>
      <c r="N18" s="22"/>
      <c r="O18" s="22"/>
      <c r="P18" s="22"/>
      <c r="Q18" s="22"/>
      <c r="R18" s="22"/>
      <c r="S18" s="22"/>
      <c r="T18" s="22"/>
      <c r="U18" s="69"/>
      <c r="V18" s="22">
        <f t="shared" si="1"/>
        <v>0</v>
      </c>
      <c r="W18" s="90">
        <f t="shared" si="0"/>
        <v>0</v>
      </c>
    </row>
    <row r="19" spans="1:23" ht="30.75" customHeight="1" x14ac:dyDescent="0.25">
      <c r="A19" s="49"/>
      <c r="B19" s="83" t="s">
        <v>123</v>
      </c>
      <c r="I19" s="52" t="s">
        <v>124</v>
      </c>
      <c r="J19" s="58" t="s">
        <v>125</v>
      </c>
      <c r="K19" s="63"/>
      <c r="L19" s="22"/>
      <c r="M19" s="22"/>
      <c r="N19" s="22"/>
      <c r="O19" s="22"/>
      <c r="P19" s="22"/>
      <c r="Q19" s="22"/>
      <c r="R19" s="22" t="s">
        <v>136</v>
      </c>
      <c r="S19" s="22" t="s">
        <v>136</v>
      </c>
      <c r="T19" s="22" t="s">
        <v>136</v>
      </c>
      <c r="U19" s="69" t="s">
        <v>136</v>
      </c>
      <c r="V19" s="22">
        <f t="shared" si="1"/>
        <v>4</v>
      </c>
      <c r="W19" s="90">
        <f t="shared" si="0"/>
        <v>8.1632653061224483E-2</v>
      </c>
    </row>
    <row r="20" spans="1:23" ht="30.75" customHeight="1" x14ac:dyDescent="0.25">
      <c r="A20" s="49" t="s">
        <v>124</v>
      </c>
      <c r="B20" s="58" t="s">
        <v>125</v>
      </c>
      <c r="I20" s="52" t="s">
        <v>126</v>
      </c>
      <c r="J20" s="58" t="s">
        <v>127</v>
      </c>
      <c r="K20" s="63"/>
      <c r="L20" s="22"/>
      <c r="M20" s="22"/>
      <c r="N20" s="22"/>
      <c r="O20" s="22" t="s">
        <v>136</v>
      </c>
      <c r="P20" s="22" t="s">
        <v>136</v>
      </c>
      <c r="Q20" s="22"/>
      <c r="R20" s="22"/>
      <c r="S20" s="22" t="s">
        <v>136</v>
      </c>
      <c r="T20" s="22"/>
      <c r="U20" s="69"/>
      <c r="V20" s="22">
        <f t="shared" si="1"/>
        <v>3</v>
      </c>
      <c r="W20" s="90">
        <f t="shared" si="0"/>
        <v>6.1224489795918366E-2</v>
      </c>
    </row>
    <row r="21" spans="1:23" ht="30.75" customHeight="1" x14ac:dyDescent="0.25">
      <c r="A21" s="49" t="s">
        <v>126</v>
      </c>
      <c r="B21" s="58" t="s">
        <v>127</v>
      </c>
      <c r="I21" s="52" t="s">
        <v>128</v>
      </c>
      <c r="J21" s="58" t="s">
        <v>129</v>
      </c>
      <c r="K21" s="63"/>
      <c r="L21" s="22"/>
      <c r="M21" s="22" t="s">
        <v>136</v>
      </c>
      <c r="N21" s="22"/>
      <c r="O21" s="22"/>
      <c r="P21" s="22"/>
      <c r="Q21" s="22"/>
      <c r="R21" s="22"/>
      <c r="S21" s="22" t="s">
        <v>136</v>
      </c>
      <c r="T21" s="22"/>
      <c r="U21" s="69"/>
      <c r="V21" s="22">
        <f t="shared" si="1"/>
        <v>2</v>
      </c>
      <c r="W21" s="90">
        <f t="shared" si="0"/>
        <v>4.0816326530612242E-2</v>
      </c>
    </row>
    <row r="22" spans="1:23" ht="30.75" customHeight="1" thickBot="1" x14ac:dyDescent="0.3">
      <c r="A22" s="55" t="s">
        <v>128</v>
      </c>
      <c r="B22" s="84" t="s">
        <v>129</v>
      </c>
      <c r="I22" s="57" t="s">
        <v>130</v>
      </c>
      <c r="J22" s="85" t="s">
        <v>131</v>
      </c>
      <c r="K22" s="63" t="s">
        <v>136</v>
      </c>
      <c r="L22" s="22" t="s">
        <v>136</v>
      </c>
      <c r="M22" s="22"/>
      <c r="N22" s="22"/>
      <c r="O22" s="22"/>
      <c r="P22" s="22"/>
      <c r="Q22" s="22"/>
      <c r="R22" s="22"/>
      <c r="S22" s="22" t="s">
        <v>136</v>
      </c>
      <c r="T22" s="22"/>
      <c r="U22" s="69"/>
      <c r="V22" s="22">
        <f t="shared" si="1"/>
        <v>3</v>
      </c>
      <c r="W22" s="90">
        <f t="shared" si="0"/>
        <v>6.1224489795918366E-2</v>
      </c>
    </row>
    <row r="23" spans="1:23" ht="30.75" customHeight="1" x14ac:dyDescent="0.25">
      <c r="A23" s="56" t="s">
        <v>130</v>
      </c>
      <c r="B23" s="85" t="s">
        <v>131</v>
      </c>
      <c r="I23" s="57" t="s">
        <v>132</v>
      </c>
      <c r="J23" s="85" t="s">
        <v>133</v>
      </c>
      <c r="K23" s="64" t="s">
        <v>136</v>
      </c>
      <c r="L23" s="65" t="s">
        <v>136</v>
      </c>
      <c r="M23" s="65"/>
      <c r="N23" s="65"/>
      <c r="O23" s="65"/>
      <c r="P23" s="65"/>
      <c r="Q23" s="65"/>
      <c r="R23" s="65"/>
      <c r="S23" s="65"/>
      <c r="T23" s="65"/>
      <c r="U23" s="71"/>
      <c r="V23" s="22">
        <f t="shared" si="1"/>
        <v>2</v>
      </c>
      <c r="W23" s="90">
        <f t="shared" si="0"/>
        <v>4.0816326530612242E-2</v>
      </c>
    </row>
    <row r="24" spans="1:23" ht="30.75" customHeight="1" thickBot="1" x14ac:dyDescent="0.3">
      <c r="A24" s="50" t="s">
        <v>132</v>
      </c>
      <c r="B24" s="81" t="s">
        <v>133</v>
      </c>
      <c r="K24">
        <f>COUNTIF(K2:K23,"A")</f>
        <v>3</v>
      </c>
      <c r="L24">
        <f t="shared" ref="L24:U24" si="2">COUNTIF(L2:L23,"A")</f>
        <v>3</v>
      </c>
      <c r="M24">
        <f t="shared" si="2"/>
        <v>5</v>
      </c>
      <c r="N24">
        <f t="shared" si="2"/>
        <v>1</v>
      </c>
      <c r="O24">
        <f t="shared" si="2"/>
        <v>6</v>
      </c>
      <c r="P24">
        <f t="shared" si="2"/>
        <v>4</v>
      </c>
      <c r="Q24">
        <f t="shared" si="2"/>
        <v>2</v>
      </c>
      <c r="R24">
        <f t="shared" si="2"/>
        <v>3</v>
      </c>
      <c r="S24">
        <f t="shared" si="2"/>
        <v>7</v>
      </c>
      <c r="T24">
        <f t="shared" si="2"/>
        <v>6</v>
      </c>
      <c r="U24">
        <f t="shared" si="2"/>
        <v>9</v>
      </c>
    </row>
    <row r="25" spans="1:23" x14ac:dyDescent="0.25">
      <c r="U25">
        <f>SUM(K24:U24)</f>
        <v>49</v>
      </c>
      <c r="V25" s="22">
        <f>SUM(V2:V23)</f>
        <v>49</v>
      </c>
    </row>
    <row r="26" spans="1:23" x14ac:dyDescent="0.25">
      <c r="K26" s="88">
        <f t="shared" ref="K26:U26" si="3">(K24/$U$25)</f>
        <v>6.1224489795918366E-2</v>
      </c>
      <c r="L26" s="88">
        <f t="shared" si="3"/>
        <v>6.1224489795918366E-2</v>
      </c>
      <c r="M26" s="88">
        <f t="shared" si="3"/>
        <v>0.10204081632653061</v>
      </c>
      <c r="N26" s="88">
        <f t="shared" si="3"/>
        <v>2.0408163265306121E-2</v>
      </c>
      <c r="O26" s="88">
        <f t="shared" si="3"/>
        <v>0.12244897959183673</v>
      </c>
      <c r="P26" s="88">
        <f t="shared" si="3"/>
        <v>8.1632653061224483E-2</v>
      </c>
      <c r="Q26" s="88">
        <f t="shared" si="3"/>
        <v>4.0816326530612242E-2</v>
      </c>
      <c r="R26" s="88">
        <f t="shared" si="3"/>
        <v>6.1224489795918366E-2</v>
      </c>
      <c r="S26" s="88">
        <f t="shared" si="3"/>
        <v>0.14285714285714285</v>
      </c>
      <c r="T26" s="88">
        <f t="shared" si="3"/>
        <v>0.12244897959183673</v>
      </c>
      <c r="U26" s="88">
        <f t="shared" si="3"/>
        <v>0.18367346938775511</v>
      </c>
    </row>
    <row r="27" spans="1:23" x14ac:dyDescent="0.25">
      <c r="U27" s="89">
        <f>SUM(K26:U26)</f>
        <v>0.99999999999999989</v>
      </c>
    </row>
  </sheetData>
  <mergeCells count="5">
    <mergeCell ref="G2:G3"/>
    <mergeCell ref="G4:G5"/>
    <mergeCell ref="G6:G7"/>
    <mergeCell ref="G8:G9"/>
    <mergeCell ref="G10:G12"/>
  </mergeCells>
  <pageMargins left="0.25" right="0.25" top="0.75" bottom="0.75" header="0.3" footer="0.3"/>
  <pageSetup scale="3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8E15-A709-44F5-AEA3-443072B0FDF1}">
  <dimension ref="A1:AK33"/>
  <sheetViews>
    <sheetView topLeftCell="F1" zoomScale="55" zoomScaleNormal="55" workbookViewId="0">
      <selection activeCell="K13" sqref="K13"/>
    </sheetView>
  </sheetViews>
  <sheetFormatPr defaultRowHeight="54.75" customHeight="1" x14ac:dyDescent="0.25"/>
  <cols>
    <col min="1" max="1" width="18.5703125" customWidth="1"/>
    <col min="2" max="2" width="49" customWidth="1"/>
    <col min="3" max="3" width="2.7109375" customWidth="1"/>
    <col min="4" max="4" width="5" customWidth="1"/>
    <col min="5" max="5" width="6.5703125" bestFit="1" customWidth="1"/>
    <col min="6" max="6" width="103.140625" customWidth="1"/>
    <col min="8" max="8" width="2.85546875" customWidth="1"/>
    <col min="9" max="9" width="5" customWidth="1"/>
    <col min="10" max="10" width="8.85546875" bestFit="1" customWidth="1"/>
    <col min="11" max="11" width="38.28515625" customWidth="1"/>
    <col min="12" max="12" width="3.42578125" customWidth="1"/>
    <col min="13" max="13" width="9.140625" style="22"/>
    <col min="27" max="37" width="17.28515625" customWidth="1"/>
  </cols>
  <sheetData>
    <row r="1" spans="1:37" ht="26.25" thickBot="1" x14ac:dyDescent="0.3">
      <c r="A1" s="51" t="s">
        <v>88</v>
      </c>
      <c r="B1" s="51" t="s">
        <v>89</v>
      </c>
      <c r="D1" s="6" t="s">
        <v>0</v>
      </c>
      <c r="E1" s="7" t="s">
        <v>14</v>
      </c>
      <c r="F1" s="7" t="s">
        <v>15</v>
      </c>
      <c r="G1" s="7" t="s">
        <v>16</v>
      </c>
      <c r="I1" s="38" t="s">
        <v>0</v>
      </c>
      <c r="J1" s="39" t="s">
        <v>48</v>
      </c>
      <c r="K1" s="39" t="s">
        <v>49</v>
      </c>
      <c r="M1" s="97" t="s">
        <v>48</v>
      </c>
      <c r="N1" s="93" t="s">
        <v>17</v>
      </c>
      <c r="O1" s="91" t="s">
        <v>20</v>
      </c>
      <c r="P1" s="91" t="s">
        <v>22</v>
      </c>
      <c r="Q1" s="91" t="s">
        <v>25</v>
      </c>
      <c r="R1" s="91" t="s">
        <v>27</v>
      </c>
      <c r="S1" s="91" t="s">
        <v>30</v>
      </c>
      <c r="T1" s="91" t="s">
        <v>32</v>
      </c>
      <c r="U1" s="91" t="s">
        <v>35</v>
      </c>
      <c r="V1" s="91" t="s">
        <v>43</v>
      </c>
      <c r="W1" s="91" t="s">
        <v>44</v>
      </c>
      <c r="X1" s="92" t="s">
        <v>45</v>
      </c>
      <c r="Z1" s="97" t="s">
        <v>48</v>
      </c>
      <c r="AA1" s="93" t="s">
        <v>17</v>
      </c>
      <c r="AB1" s="91" t="s">
        <v>20</v>
      </c>
      <c r="AC1" s="91" t="s">
        <v>22</v>
      </c>
      <c r="AD1" s="91" t="s">
        <v>25</v>
      </c>
      <c r="AE1" s="91" t="s">
        <v>27</v>
      </c>
      <c r="AF1" s="91" t="s">
        <v>30</v>
      </c>
      <c r="AG1" s="91" t="s">
        <v>32</v>
      </c>
      <c r="AH1" s="91" t="s">
        <v>35</v>
      </c>
      <c r="AI1" s="91" t="s">
        <v>43</v>
      </c>
      <c r="AJ1" s="91" t="s">
        <v>44</v>
      </c>
      <c r="AK1" s="92" t="s">
        <v>45</v>
      </c>
    </row>
    <row r="2" spans="1:37" ht="54.75" customHeight="1" thickBot="1" x14ac:dyDescent="0.3">
      <c r="A2" s="49" t="s">
        <v>90</v>
      </c>
      <c r="B2" s="58" t="s">
        <v>91</v>
      </c>
      <c r="D2" s="8">
        <v>1</v>
      </c>
      <c r="E2" s="9" t="s">
        <v>17</v>
      </c>
      <c r="F2" s="10" t="s">
        <v>18</v>
      </c>
      <c r="G2" s="273" t="s">
        <v>19</v>
      </c>
      <c r="I2" s="8">
        <v>1</v>
      </c>
      <c r="J2" s="23" t="s">
        <v>52</v>
      </c>
      <c r="K2" s="9" t="s">
        <v>53</v>
      </c>
      <c r="M2" s="288" t="s">
        <v>52</v>
      </c>
      <c r="N2" s="98"/>
      <c r="O2" s="99"/>
      <c r="P2" s="99"/>
      <c r="Q2" s="99"/>
      <c r="R2" s="100" t="s">
        <v>137</v>
      </c>
      <c r="S2" s="99"/>
      <c r="T2" s="99"/>
      <c r="U2" s="99"/>
      <c r="V2" s="100"/>
      <c r="W2" s="100" t="s">
        <v>92</v>
      </c>
      <c r="X2" s="101"/>
      <c r="Z2" s="288" t="s">
        <v>52</v>
      </c>
      <c r="AA2" s="125"/>
      <c r="AB2" s="125"/>
      <c r="AC2" s="125"/>
      <c r="AD2" s="125"/>
      <c r="AE2" s="125" t="str">
        <f t="shared" ref="AE2:AJ2" si="0">VLOOKUP(R2,$A$2:$B$24,2)</f>
        <v>PERMODELAN STATISTIK UNTUK BISNIS</v>
      </c>
      <c r="AF2" s="125"/>
      <c r="AG2" s="125"/>
      <c r="AH2" s="125"/>
      <c r="AI2" s="125" t="e">
        <f t="shared" si="0"/>
        <v>#N/A</v>
      </c>
      <c r="AJ2" s="125" t="str">
        <f t="shared" si="0"/>
        <v>PERMODELAN STATISTIK UNTUK BISNIS</v>
      </c>
      <c r="AK2" s="125"/>
    </row>
    <row r="3" spans="1:37" ht="54.75" customHeight="1" thickBot="1" x14ac:dyDescent="0.3">
      <c r="A3" s="49" t="s">
        <v>92</v>
      </c>
      <c r="B3" s="58" t="s">
        <v>93</v>
      </c>
      <c r="D3" s="8">
        <v>2</v>
      </c>
      <c r="E3" s="9" t="s">
        <v>20</v>
      </c>
      <c r="F3" s="10" t="s">
        <v>21</v>
      </c>
      <c r="G3" s="274"/>
      <c r="I3" s="8">
        <v>2</v>
      </c>
      <c r="J3" s="23" t="s">
        <v>57</v>
      </c>
      <c r="K3" s="9" t="s">
        <v>58</v>
      </c>
      <c r="M3" s="289"/>
      <c r="N3" s="94"/>
      <c r="O3" s="47"/>
      <c r="P3" s="47"/>
      <c r="Q3" s="47"/>
      <c r="R3" s="52" t="s">
        <v>94</v>
      </c>
      <c r="S3" s="47"/>
      <c r="T3" s="47"/>
      <c r="U3" s="52"/>
      <c r="V3" s="52"/>
      <c r="W3" s="52" t="s">
        <v>94</v>
      </c>
      <c r="X3" s="102"/>
      <c r="Z3" s="289"/>
      <c r="AA3" s="125"/>
      <c r="AB3" s="125"/>
      <c r="AC3" s="125"/>
      <c r="AD3" s="125"/>
      <c r="AE3" s="125" t="str">
        <f t="shared" ref="AE3:AE26" si="1">VLOOKUP(R3,$A$2:$B$24,2)</f>
        <v>MESIN PEMBELAJARAN UNTUK BISNIS</v>
      </c>
      <c r="AF3" s="125"/>
      <c r="AG3" s="125"/>
      <c r="AH3" s="125" t="e">
        <f t="shared" ref="AH3:AH30" si="2">VLOOKUP(U3,$A$2:$B$24,2)</f>
        <v>#N/A</v>
      </c>
      <c r="AI3" s="125" t="e">
        <f t="shared" ref="AI3:AI33" si="3">VLOOKUP(V3,$A$2:$B$24,2)</f>
        <v>#N/A</v>
      </c>
      <c r="AJ3" s="125" t="str">
        <f t="shared" ref="AJ3:AJ25" si="4">VLOOKUP(W3,$A$2:$B$24,2)</f>
        <v>MESIN PEMBELAJARAN UNTUK BISNIS</v>
      </c>
      <c r="AK3" s="125" t="e">
        <f t="shared" ref="AK3:AK33" si="5">VLOOKUP(X3,$A$2:$B$24,2)</f>
        <v>#N/A</v>
      </c>
    </row>
    <row r="4" spans="1:37" ht="54.75" customHeight="1" thickBot="1" x14ac:dyDescent="0.3">
      <c r="A4" s="49" t="s">
        <v>94</v>
      </c>
      <c r="B4" s="58" t="s">
        <v>95</v>
      </c>
      <c r="D4" s="8">
        <v>3</v>
      </c>
      <c r="E4" s="9" t="s">
        <v>22</v>
      </c>
      <c r="F4" s="10" t="s">
        <v>23</v>
      </c>
      <c r="G4" s="273" t="s">
        <v>24</v>
      </c>
      <c r="I4" s="8">
        <v>3</v>
      </c>
      <c r="J4" s="23" t="s">
        <v>60</v>
      </c>
      <c r="K4" s="9" t="s">
        <v>61</v>
      </c>
      <c r="M4" s="289"/>
      <c r="N4" s="94"/>
      <c r="O4" s="47"/>
      <c r="P4" s="47"/>
      <c r="Q4" s="47"/>
      <c r="R4" s="52" t="s">
        <v>96</v>
      </c>
      <c r="S4" s="47"/>
      <c r="T4" s="47"/>
      <c r="U4" s="52"/>
      <c r="V4" s="52"/>
      <c r="W4" s="52" t="s">
        <v>96</v>
      </c>
      <c r="X4" s="102"/>
      <c r="Z4" s="289"/>
      <c r="AA4" s="125"/>
      <c r="AB4" s="125"/>
      <c r="AC4" s="125"/>
      <c r="AD4" s="125"/>
      <c r="AE4" s="125" t="str">
        <f t="shared" si="1"/>
        <v>ANALISIS DATA BESAR</v>
      </c>
      <c r="AF4" s="125"/>
      <c r="AG4" s="125"/>
      <c r="AH4" s="125" t="e">
        <f t="shared" si="2"/>
        <v>#N/A</v>
      </c>
      <c r="AI4" s="125" t="e">
        <f t="shared" si="3"/>
        <v>#N/A</v>
      </c>
      <c r="AJ4" s="125" t="str">
        <f t="shared" si="4"/>
        <v>ANALISIS DATA BESAR</v>
      </c>
      <c r="AK4" s="125" t="e">
        <f t="shared" si="5"/>
        <v>#N/A</v>
      </c>
    </row>
    <row r="5" spans="1:37" ht="54.75" customHeight="1" thickBot="1" x14ac:dyDescent="0.3">
      <c r="A5" s="49" t="s">
        <v>96</v>
      </c>
      <c r="B5" s="58" t="s">
        <v>97</v>
      </c>
      <c r="D5" s="8">
        <v>4</v>
      </c>
      <c r="E5" s="9" t="s">
        <v>25</v>
      </c>
      <c r="F5" s="10" t="s">
        <v>26</v>
      </c>
      <c r="G5" s="274"/>
      <c r="I5" s="8">
        <v>4</v>
      </c>
      <c r="J5" s="23" t="s">
        <v>64</v>
      </c>
      <c r="K5" s="9" t="s">
        <v>65</v>
      </c>
      <c r="M5" s="289"/>
      <c r="N5" s="94"/>
      <c r="O5" s="47"/>
      <c r="P5" s="47"/>
      <c r="Q5" s="47"/>
      <c r="R5" s="57" t="s">
        <v>110</v>
      </c>
      <c r="S5" s="47"/>
      <c r="T5" s="47"/>
      <c r="U5" s="47"/>
      <c r="V5" s="57"/>
      <c r="W5" s="57" t="s">
        <v>110</v>
      </c>
      <c r="X5" s="103"/>
      <c r="Z5" s="289"/>
      <c r="AA5" s="125"/>
      <c r="AB5" s="125"/>
      <c r="AC5" s="125"/>
      <c r="AD5" s="125"/>
      <c r="AE5" s="125" t="str">
        <f t="shared" si="1"/>
        <v>SISTEM PENDUKUNG KEPUTUSAN CERDAS</v>
      </c>
      <c r="AF5" s="125"/>
      <c r="AG5" s="125"/>
      <c r="AH5" s="125"/>
      <c r="AI5" s="125" t="e">
        <f t="shared" si="3"/>
        <v>#N/A</v>
      </c>
      <c r="AJ5" s="125" t="str">
        <f t="shared" si="4"/>
        <v>SISTEM PENDUKUNG KEPUTUSAN CERDAS</v>
      </c>
      <c r="AK5" s="125"/>
    </row>
    <row r="6" spans="1:37" ht="54.75" customHeight="1" thickBot="1" x14ac:dyDescent="0.3">
      <c r="A6" s="49" t="s">
        <v>98</v>
      </c>
      <c r="B6" s="58" t="s">
        <v>99</v>
      </c>
      <c r="D6" s="8">
        <v>5</v>
      </c>
      <c r="E6" s="9" t="s">
        <v>27</v>
      </c>
      <c r="F6" s="10" t="s">
        <v>28</v>
      </c>
      <c r="G6" s="273" t="s">
        <v>29</v>
      </c>
      <c r="I6" s="8">
        <v>5</v>
      </c>
      <c r="J6" s="23" t="s">
        <v>67</v>
      </c>
      <c r="K6" s="9" t="s">
        <v>68</v>
      </c>
      <c r="M6" s="289"/>
      <c r="N6" s="94"/>
      <c r="O6" s="47"/>
      <c r="P6" s="47"/>
      <c r="Q6" s="47"/>
      <c r="R6" s="52"/>
      <c r="S6" s="52"/>
      <c r="T6" s="47"/>
      <c r="U6" s="52" t="s">
        <v>126</v>
      </c>
      <c r="V6" s="52" t="s">
        <v>126</v>
      </c>
      <c r="W6" s="52" t="s">
        <v>126</v>
      </c>
      <c r="X6" s="102" t="s">
        <v>126</v>
      </c>
      <c r="Z6" s="289"/>
      <c r="AA6" s="125"/>
      <c r="AB6" s="125"/>
      <c r="AC6" s="125"/>
      <c r="AD6" s="125"/>
      <c r="AE6" s="125" t="e">
        <f t="shared" si="1"/>
        <v>#N/A</v>
      </c>
      <c r="AF6" s="125" t="e">
        <f t="shared" ref="AF6:AF25" si="6">VLOOKUP(S6,$A$2:$B$24,2)</f>
        <v>#N/A</v>
      </c>
      <c r="AG6" s="125"/>
      <c r="AH6" s="125" t="str">
        <f t="shared" si="2"/>
        <v>MANAJEMEN PROYEK TEKNOLOGI INFORMASI</v>
      </c>
      <c r="AI6" s="125" t="str">
        <f t="shared" si="3"/>
        <v>MANAJEMEN PROYEK TEKNOLOGI INFORMASI</v>
      </c>
      <c r="AJ6" s="125" t="str">
        <f t="shared" si="4"/>
        <v>MANAJEMEN PROYEK TEKNOLOGI INFORMASI</v>
      </c>
      <c r="AK6" s="125" t="str">
        <f t="shared" si="5"/>
        <v>MANAJEMEN PROYEK TEKNOLOGI INFORMASI</v>
      </c>
    </row>
    <row r="7" spans="1:37" ht="54.75" customHeight="1" thickBot="1" x14ac:dyDescent="0.3">
      <c r="A7" s="50" t="s">
        <v>100</v>
      </c>
      <c r="B7" s="81" t="s">
        <v>101</v>
      </c>
      <c r="D7" s="8">
        <v>6</v>
      </c>
      <c r="E7" s="9" t="s">
        <v>30</v>
      </c>
      <c r="F7" s="10" t="s">
        <v>31</v>
      </c>
      <c r="G7" s="274"/>
      <c r="I7" s="8">
        <v>6</v>
      </c>
      <c r="J7" s="23" t="s">
        <v>71</v>
      </c>
      <c r="K7" s="9" t="s">
        <v>72</v>
      </c>
      <c r="M7" s="290"/>
      <c r="N7" s="104"/>
      <c r="O7" s="105"/>
      <c r="P7" s="106" t="s">
        <v>128</v>
      </c>
      <c r="Q7" s="106"/>
      <c r="R7" s="106"/>
      <c r="S7" s="105"/>
      <c r="T7" s="105"/>
      <c r="U7" s="105"/>
      <c r="V7" s="106" t="s">
        <v>128</v>
      </c>
      <c r="W7" s="106"/>
      <c r="X7" s="107"/>
      <c r="Z7" s="290"/>
      <c r="AA7" s="125"/>
      <c r="AB7" s="125"/>
      <c r="AC7" s="125" t="str">
        <f t="shared" ref="AC7:AC31" si="7">VLOOKUP(P7,$A$2:$B$24,2)</f>
        <v>KOTA CERDAS</v>
      </c>
      <c r="AD7" s="125" t="e">
        <f t="shared" ref="AD7:AD20" si="8">VLOOKUP(Q7,$A$2:$B$24,2)</f>
        <v>#N/A</v>
      </c>
      <c r="AE7" s="125" t="e">
        <f t="shared" si="1"/>
        <v>#N/A</v>
      </c>
      <c r="AF7" s="125"/>
      <c r="AG7" s="125"/>
      <c r="AH7" s="125"/>
      <c r="AI7" s="125" t="str">
        <f t="shared" si="3"/>
        <v>KOTA CERDAS</v>
      </c>
      <c r="AJ7" s="125" t="e">
        <f t="shared" si="4"/>
        <v>#N/A</v>
      </c>
      <c r="AK7" s="125" t="e">
        <f t="shared" si="5"/>
        <v>#N/A</v>
      </c>
    </row>
    <row r="8" spans="1:37" ht="54.75" customHeight="1" thickBot="1" x14ac:dyDescent="0.3">
      <c r="A8" s="53" t="s">
        <v>102</v>
      </c>
      <c r="B8" s="82" t="s">
        <v>103</v>
      </c>
      <c r="D8" s="8">
        <v>7</v>
      </c>
      <c r="E8" s="9" t="s">
        <v>32</v>
      </c>
      <c r="F8" s="10" t="s">
        <v>33</v>
      </c>
      <c r="G8" s="273" t="s">
        <v>34</v>
      </c>
      <c r="I8" s="8">
        <v>7</v>
      </c>
      <c r="J8" s="23" t="s">
        <v>75</v>
      </c>
      <c r="K8" s="9" t="s">
        <v>76</v>
      </c>
      <c r="M8" s="288" t="s">
        <v>57</v>
      </c>
      <c r="N8" s="98"/>
      <c r="O8" s="99"/>
      <c r="P8" s="99"/>
      <c r="Q8" s="99"/>
      <c r="R8" s="99"/>
      <c r="S8" s="100" t="s">
        <v>108</v>
      </c>
      <c r="T8" s="99"/>
      <c r="U8" s="99"/>
      <c r="V8" s="100"/>
      <c r="W8" s="100" t="s">
        <v>108</v>
      </c>
      <c r="X8" s="101"/>
      <c r="Z8" s="288" t="s">
        <v>57</v>
      </c>
      <c r="AA8" s="125"/>
      <c r="AB8" s="125"/>
      <c r="AC8" s="125"/>
      <c r="AD8" s="125"/>
      <c r="AE8" s="125"/>
      <c r="AF8" s="125" t="str">
        <f t="shared" si="6"/>
        <v>KEAMANAN SIBER</v>
      </c>
      <c r="AG8" s="125"/>
      <c r="AH8" s="125"/>
      <c r="AI8" s="125" t="e">
        <f t="shared" si="3"/>
        <v>#N/A</v>
      </c>
      <c r="AJ8" s="125" t="str">
        <f t="shared" si="4"/>
        <v>KEAMANAN SIBER</v>
      </c>
      <c r="AK8" s="125"/>
    </row>
    <row r="9" spans="1:37" ht="54.75" customHeight="1" thickBot="1" x14ac:dyDescent="0.3">
      <c r="A9" s="49" t="s">
        <v>104</v>
      </c>
      <c r="B9" s="58" t="s">
        <v>105</v>
      </c>
      <c r="D9" s="11">
        <v>8</v>
      </c>
      <c r="E9" s="12" t="s">
        <v>35</v>
      </c>
      <c r="F9" s="13" t="s">
        <v>36</v>
      </c>
      <c r="G9" s="274"/>
      <c r="I9" s="8">
        <v>8</v>
      </c>
      <c r="J9" s="23" t="s">
        <v>78</v>
      </c>
      <c r="K9" s="9" t="s">
        <v>79</v>
      </c>
      <c r="M9" s="289"/>
      <c r="N9" s="94"/>
      <c r="O9" s="47"/>
      <c r="P9" s="52" t="s">
        <v>121</v>
      </c>
      <c r="Q9" s="52"/>
      <c r="R9" s="47"/>
      <c r="S9" s="52" t="s">
        <v>121</v>
      </c>
      <c r="T9" s="47"/>
      <c r="U9" s="47"/>
      <c r="V9" s="52" t="s">
        <v>121</v>
      </c>
      <c r="W9" s="52"/>
      <c r="X9" s="102"/>
      <c r="Z9" s="289"/>
      <c r="AA9" s="125"/>
      <c r="AB9" s="125"/>
      <c r="AC9" s="125" t="str">
        <f t="shared" si="7"/>
        <v>TATA KELOLA DAN AUDIT BISNIS DIGITAL</v>
      </c>
      <c r="AD9" s="125" t="e">
        <f t="shared" si="8"/>
        <v>#N/A</v>
      </c>
      <c r="AE9" s="125"/>
      <c r="AF9" s="125" t="str">
        <f t="shared" si="6"/>
        <v>TATA KELOLA DAN AUDIT BISNIS DIGITAL</v>
      </c>
      <c r="AG9" s="125"/>
      <c r="AH9" s="125"/>
      <c r="AI9" s="125" t="str">
        <f t="shared" si="3"/>
        <v>TATA KELOLA DAN AUDIT BISNIS DIGITAL</v>
      </c>
      <c r="AJ9" s="125" t="e">
        <f t="shared" si="4"/>
        <v>#N/A</v>
      </c>
      <c r="AK9" s="125" t="e">
        <f t="shared" si="5"/>
        <v>#N/A</v>
      </c>
    </row>
    <row r="10" spans="1:37" ht="54.75" customHeight="1" thickBot="1" x14ac:dyDescent="0.3">
      <c r="A10" s="49" t="s">
        <v>229</v>
      </c>
      <c r="B10" s="58" t="s">
        <v>107</v>
      </c>
      <c r="D10" s="16">
        <v>9</v>
      </c>
      <c r="E10" s="17" t="s">
        <v>43</v>
      </c>
      <c r="F10" s="18" t="s">
        <v>37</v>
      </c>
      <c r="G10" s="294" t="s">
        <v>38</v>
      </c>
      <c r="I10" s="8">
        <v>9</v>
      </c>
      <c r="J10" s="23" t="s">
        <v>81</v>
      </c>
      <c r="K10" s="9" t="s">
        <v>82</v>
      </c>
      <c r="M10" s="290"/>
      <c r="N10" s="104"/>
      <c r="O10" s="105"/>
      <c r="P10" s="105"/>
      <c r="Q10" s="105"/>
      <c r="R10" s="105"/>
      <c r="S10" s="106"/>
      <c r="T10" s="105"/>
      <c r="U10" s="106" t="s">
        <v>124</v>
      </c>
      <c r="V10" s="106" t="s">
        <v>124</v>
      </c>
      <c r="W10" s="106" t="s">
        <v>124</v>
      </c>
      <c r="X10" s="107" t="s">
        <v>124</v>
      </c>
      <c r="Z10" s="290"/>
      <c r="AA10" s="125"/>
      <c r="AB10" s="125"/>
      <c r="AC10" s="125"/>
      <c r="AD10" s="125"/>
      <c r="AE10" s="125"/>
      <c r="AF10" s="125" t="e">
        <f t="shared" si="6"/>
        <v>#N/A</v>
      </c>
      <c r="AG10" s="125"/>
      <c r="AH10" s="125" t="str">
        <f t="shared" si="2"/>
        <v>SISTEM PEMERINTAHAN BERBASIS ELEKTRONIK</v>
      </c>
      <c r="AI10" s="125" t="str">
        <f t="shared" si="3"/>
        <v>SISTEM PEMERINTAHAN BERBASIS ELEKTRONIK</v>
      </c>
      <c r="AJ10" s="125" t="str">
        <f t="shared" si="4"/>
        <v>SISTEM PEMERINTAHAN BERBASIS ELEKTRONIK</v>
      </c>
      <c r="AK10" s="125" t="str">
        <f t="shared" si="5"/>
        <v>SISTEM PEMERINTAHAN BERBASIS ELEKTRONIK</v>
      </c>
    </row>
    <row r="11" spans="1:37" ht="54.75" customHeight="1" thickBot="1" x14ac:dyDescent="0.3">
      <c r="A11" s="49" t="s">
        <v>108</v>
      </c>
      <c r="B11" s="58" t="s">
        <v>109</v>
      </c>
      <c r="D11" s="16">
        <v>10</v>
      </c>
      <c r="E11" s="17" t="s">
        <v>44</v>
      </c>
      <c r="F11" s="18" t="s">
        <v>39</v>
      </c>
      <c r="G11" s="295"/>
      <c r="M11" s="291" t="s">
        <v>60</v>
      </c>
      <c r="N11" s="98"/>
      <c r="O11" s="99"/>
      <c r="P11" s="100" t="s">
        <v>98</v>
      </c>
      <c r="Q11" s="100" t="s">
        <v>98</v>
      </c>
      <c r="R11" s="99"/>
      <c r="S11" s="99"/>
      <c r="T11" s="99"/>
      <c r="U11" s="100"/>
      <c r="V11" s="99"/>
      <c r="W11" s="99"/>
      <c r="X11" s="108" t="s">
        <v>98</v>
      </c>
      <c r="Z11" s="291" t="s">
        <v>60</v>
      </c>
      <c r="AA11" s="125"/>
      <c r="AB11" s="125"/>
      <c r="AC11" s="125" t="str">
        <f t="shared" si="7"/>
        <v>MANAJEMEN STRATEGIS SISTEM INFORMASI</v>
      </c>
      <c r="AD11" s="125" t="str">
        <f t="shared" si="8"/>
        <v>MANAJEMEN STRATEGIS SISTEM INFORMASI</v>
      </c>
      <c r="AE11" s="125"/>
      <c r="AF11" s="125"/>
      <c r="AG11" s="125"/>
      <c r="AH11" s="125" t="e">
        <f t="shared" si="2"/>
        <v>#N/A</v>
      </c>
      <c r="AI11" s="125"/>
      <c r="AJ11" s="125"/>
      <c r="AK11" s="125" t="str">
        <f t="shared" si="5"/>
        <v>MANAJEMEN STRATEGIS SISTEM INFORMASI</v>
      </c>
    </row>
    <row r="12" spans="1:37" ht="54.75" customHeight="1" thickBot="1" x14ac:dyDescent="0.3">
      <c r="A12" s="50" t="s">
        <v>110</v>
      </c>
      <c r="B12" s="81" t="s">
        <v>111</v>
      </c>
      <c r="D12" s="19">
        <v>11</v>
      </c>
      <c r="E12" s="20" t="s">
        <v>45</v>
      </c>
      <c r="F12" s="21" t="s">
        <v>40</v>
      </c>
      <c r="G12" s="296"/>
      <c r="M12" s="292"/>
      <c r="N12" s="94"/>
      <c r="O12" s="47"/>
      <c r="P12" s="52"/>
      <c r="Q12" s="52"/>
      <c r="R12" s="47"/>
      <c r="S12" s="47"/>
      <c r="T12" s="52" t="s">
        <v>106</v>
      </c>
      <c r="U12" s="47"/>
      <c r="V12" s="47"/>
      <c r="W12" s="47"/>
      <c r="X12" s="102" t="s">
        <v>106</v>
      </c>
      <c r="Z12" s="292"/>
      <c r="AA12" s="125"/>
      <c r="AB12" s="125"/>
      <c r="AC12" s="125" t="e">
        <f t="shared" si="7"/>
        <v>#N/A</v>
      </c>
      <c r="AD12" s="125" t="e">
        <f t="shared" si="8"/>
        <v>#N/A</v>
      </c>
      <c r="AE12" s="125"/>
      <c r="AF12" s="125"/>
      <c r="AG12" s="125" t="str">
        <f t="shared" ref="AG12:AG17" si="9">VLOOKUP(T12,$A$2:$B$24,2)</f>
        <v>INTERAKSI MANUSIA DAN KOMPUTER</v>
      </c>
      <c r="AH12" s="125"/>
      <c r="AI12" s="125"/>
      <c r="AJ12" s="125"/>
      <c r="AK12" s="125" t="str">
        <f t="shared" si="5"/>
        <v>INTERAKSI MANUSIA DAN KOMPUTER</v>
      </c>
    </row>
    <row r="13" spans="1:37" ht="54.75" customHeight="1" thickBot="1" x14ac:dyDescent="0.3">
      <c r="A13" s="49" t="s">
        <v>112</v>
      </c>
      <c r="B13" s="58" t="s">
        <v>113</v>
      </c>
      <c r="M13" s="292"/>
      <c r="N13" s="94"/>
      <c r="O13" s="47"/>
      <c r="P13" s="52" t="s">
        <v>119</v>
      </c>
      <c r="Q13" s="52"/>
      <c r="R13" s="47"/>
      <c r="S13" s="47"/>
      <c r="T13" s="47"/>
      <c r="U13" s="47"/>
      <c r="V13" s="47"/>
      <c r="W13" s="47"/>
      <c r="X13" s="102" t="s">
        <v>119</v>
      </c>
      <c r="Z13" s="292"/>
      <c r="AA13" s="125"/>
      <c r="AB13" s="125"/>
      <c r="AC13" s="125" t="str">
        <f t="shared" si="7"/>
        <v>KECERDASAN BISNIS</v>
      </c>
      <c r="AD13" s="125" t="e">
        <f t="shared" si="8"/>
        <v>#N/A</v>
      </c>
      <c r="AE13" s="125"/>
      <c r="AF13" s="125"/>
      <c r="AG13" s="125"/>
      <c r="AH13" s="125"/>
      <c r="AI13" s="125"/>
      <c r="AJ13" s="125"/>
      <c r="AK13" s="125" t="str">
        <f t="shared" si="5"/>
        <v>KECERDASAN BISNIS</v>
      </c>
    </row>
    <row r="14" spans="1:37" ht="54.75" customHeight="1" thickBot="1" x14ac:dyDescent="0.3">
      <c r="A14" s="53" t="s">
        <v>114</v>
      </c>
      <c r="B14" s="82" t="s">
        <v>115</v>
      </c>
      <c r="M14" s="292"/>
      <c r="N14" s="94"/>
      <c r="O14" s="47"/>
      <c r="P14" s="52" t="s">
        <v>121</v>
      </c>
      <c r="Q14" s="52"/>
      <c r="R14" s="47"/>
      <c r="S14" s="52" t="s">
        <v>121</v>
      </c>
      <c r="T14" s="47"/>
      <c r="U14" s="47"/>
      <c r="V14" s="52" t="s">
        <v>121</v>
      </c>
      <c r="W14" s="52"/>
      <c r="X14" s="102"/>
      <c r="Z14" s="292"/>
      <c r="AA14" s="125"/>
      <c r="AB14" s="125"/>
      <c r="AC14" s="125" t="str">
        <f t="shared" si="7"/>
        <v>TATA KELOLA DAN AUDIT BISNIS DIGITAL</v>
      </c>
      <c r="AD14" s="125" t="e">
        <f t="shared" si="8"/>
        <v>#N/A</v>
      </c>
      <c r="AE14" s="125"/>
      <c r="AF14" s="125" t="str">
        <f t="shared" si="6"/>
        <v>TATA KELOLA DAN AUDIT BISNIS DIGITAL</v>
      </c>
      <c r="AG14" s="125"/>
      <c r="AH14" s="125"/>
      <c r="AI14" s="125" t="str">
        <f t="shared" si="3"/>
        <v>TATA KELOLA DAN AUDIT BISNIS DIGITAL</v>
      </c>
      <c r="AJ14" s="125" t="e">
        <f t="shared" si="4"/>
        <v>#N/A</v>
      </c>
      <c r="AK14" s="125" t="e">
        <f t="shared" si="5"/>
        <v>#N/A</v>
      </c>
    </row>
    <row r="15" spans="1:37" ht="54.75" customHeight="1" thickBot="1" x14ac:dyDescent="0.3">
      <c r="A15" s="49"/>
      <c r="B15" s="83" t="s">
        <v>116</v>
      </c>
      <c r="M15" s="293"/>
      <c r="N15" s="104"/>
      <c r="O15" s="105"/>
      <c r="P15" s="106" t="s">
        <v>128</v>
      </c>
      <c r="Q15" s="106"/>
      <c r="R15" s="106"/>
      <c r="S15" s="105"/>
      <c r="T15" s="105"/>
      <c r="U15" s="105"/>
      <c r="V15" s="106" t="s">
        <v>128</v>
      </c>
      <c r="W15" s="106"/>
      <c r="X15" s="107"/>
      <c r="Z15" s="293"/>
      <c r="AA15" s="125"/>
      <c r="AB15" s="125"/>
      <c r="AC15" s="125" t="str">
        <f t="shared" si="7"/>
        <v>KOTA CERDAS</v>
      </c>
      <c r="AD15" s="125" t="e">
        <f t="shared" si="8"/>
        <v>#N/A</v>
      </c>
      <c r="AE15" s="125" t="e">
        <f t="shared" si="1"/>
        <v>#N/A</v>
      </c>
      <c r="AF15" s="125"/>
      <c r="AG15" s="125"/>
      <c r="AH15" s="125"/>
      <c r="AI15" s="125" t="str">
        <f t="shared" si="3"/>
        <v>KOTA CERDAS</v>
      </c>
      <c r="AJ15" s="125" t="e">
        <f t="shared" si="4"/>
        <v>#N/A</v>
      </c>
      <c r="AK15" s="125" t="e">
        <f t="shared" si="5"/>
        <v>#N/A</v>
      </c>
    </row>
    <row r="16" spans="1:37" ht="54.75" customHeight="1" thickBot="1" x14ac:dyDescent="0.3">
      <c r="A16" s="49" t="s">
        <v>117</v>
      </c>
      <c r="B16" s="58" t="s">
        <v>118</v>
      </c>
      <c r="M16" s="291" t="s">
        <v>64</v>
      </c>
      <c r="N16" s="98"/>
      <c r="O16" s="99"/>
      <c r="P16" s="100"/>
      <c r="Q16" s="100"/>
      <c r="R16" s="99"/>
      <c r="S16" s="99"/>
      <c r="T16" s="100" t="s">
        <v>106</v>
      </c>
      <c r="U16" s="99"/>
      <c r="V16" s="99"/>
      <c r="W16" s="99"/>
      <c r="X16" s="108" t="s">
        <v>106</v>
      </c>
      <c r="Z16" s="291" t="s">
        <v>64</v>
      </c>
      <c r="AA16" s="125"/>
      <c r="AB16" s="125"/>
      <c r="AC16" s="125" t="e">
        <f t="shared" si="7"/>
        <v>#N/A</v>
      </c>
      <c r="AD16" s="125" t="e">
        <f t="shared" si="8"/>
        <v>#N/A</v>
      </c>
      <c r="AE16" s="125"/>
      <c r="AF16" s="125"/>
      <c r="AG16" s="125" t="str">
        <f t="shared" si="9"/>
        <v>INTERAKSI MANUSIA DAN KOMPUTER</v>
      </c>
      <c r="AH16" s="125"/>
      <c r="AI16" s="125"/>
      <c r="AJ16" s="125"/>
      <c r="AK16" s="125" t="str">
        <f t="shared" si="5"/>
        <v>INTERAKSI MANUSIA DAN KOMPUTER</v>
      </c>
    </row>
    <row r="17" spans="1:37" ht="54.75" customHeight="1" thickBot="1" x14ac:dyDescent="0.3">
      <c r="A17" s="49" t="s">
        <v>119</v>
      </c>
      <c r="B17" s="58" t="s">
        <v>120</v>
      </c>
      <c r="M17" s="293"/>
      <c r="N17" s="104"/>
      <c r="O17" s="105"/>
      <c r="P17" s="105"/>
      <c r="Q17" s="105"/>
      <c r="R17" s="105"/>
      <c r="S17" s="105"/>
      <c r="T17" s="106" t="s">
        <v>112</v>
      </c>
      <c r="U17" s="105"/>
      <c r="V17" s="105"/>
      <c r="W17" s="105"/>
      <c r="X17" s="107" t="s">
        <v>112</v>
      </c>
      <c r="Z17" s="293"/>
      <c r="AA17" s="125"/>
      <c r="AB17" s="125"/>
      <c r="AC17" s="125"/>
      <c r="AD17" s="125"/>
      <c r="AE17" s="125"/>
      <c r="AF17" s="125"/>
      <c r="AG17" s="125" t="str">
        <f t="shared" si="9"/>
        <v>ARSITEKTUR ENTERPRISE UNTUK TEKNOLOGI INFORMASI</v>
      </c>
      <c r="AH17" s="125"/>
      <c r="AI17" s="125"/>
      <c r="AJ17" s="125"/>
      <c r="AK17" s="125" t="str">
        <f t="shared" si="5"/>
        <v>ARSITEKTUR ENTERPRISE UNTUK TEKNOLOGI INFORMASI</v>
      </c>
    </row>
    <row r="18" spans="1:37" ht="54.75" customHeight="1" thickBot="1" x14ac:dyDescent="0.3">
      <c r="A18" s="49" t="s">
        <v>121</v>
      </c>
      <c r="B18" s="58" t="s">
        <v>122</v>
      </c>
      <c r="M18" s="291" t="s">
        <v>67</v>
      </c>
      <c r="N18" s="98"/>
      <c r="O18" s="99"/>
      <c r="P18" s="99"/>
      <c r="Q18" s="99"/>
      <c r="R18" s="100" t="s">
        <v>94</v>
      </c>
      <c r="S18" s="99"/>
      <c r="T18" s="99"/>
      <c r="U18" s="100"/>
      <c r="V18" s="100"/>
      <c r="W18" s="100" t="s">
        <v>94</v>
      </c>
      <c r="X18" s="108"/>
      <c r="Z18" s="291" t="s">
        <v>67</v>
      </c>
      <c r="AA18" s="125"/>
      <c r="AB18" s="125"/>
      <c r="AC18" s="125"/>
      <c r="AD18" s="125"/>
      <c r="AE18" s="125" t="str">
        <f t="shared" si="1"/>
        <v>MESIN PEMBELAJARAN UNTUK BISNIS</v>
      </c>
      <c r="AF18" s="125"/>
      <c r="AG18" s="125"/>
      <c r="AH18" s="125" t="e">
        <f t="shared" si="2"/>
        <v>#N/A</v>
      </c>
      <c r="AI18" s="125" t="e">
        <f t="shared" si="3"/>
        <v>#N/A</v>
      </c>
      <c r="AJ18" s="125" t="str">
        <f t="shared" si="4"/>
        <v>MESIN PEMBELAJARAN UNTUK BISNIS</v>
      </c>
      <c r="AK18" s="125" t="e">
        <f t="shared" si="5"/>
        <v>#N/A</v>
      </c>
    </row>
    <row r="19" spans="1:37" ht="54.75" customHeight="1" thickBot="1" x14ac:dyDescent="0.3">
      <c r="A19" s="49"/>
      <c r="B19" s="83" t="s">
        <v>123</v>
      </c>
      <c r="M19" s="292"/>
      <c r="N19" s="94"/>
      <c r="O19" s="47"/>
      <c r="P19" s="47"/>
      <c r="Q19" s="47"/>
      <c r="R19" s="52" t="s">
        <v>96</v>
      </c>
      <c r="S19" s="47"/>
      <c r="T19" s="47"/>
      <c r="U19" s="52"/>
      <c r="V19" s="52"/>
      <c r="W19" s="52" t="s">
        <v>96</v>
      </c>
      <c r="X19" s="102"/>
      <c r="Z19" s="292"/>
      <c r="AA19" s="125"/>
      <c r="AB19" s="125"/>
      <c r="AC19" s="125"/>
      <c r="AD19" s="125"/>
      <c r="AE19" s="125" t="str">
        <f t="shared" si="1"/>
        <v>ANALISIS DATA BESAR</v>
      </c>
      <c r="AF19" s="125"/>
      <c r="AG19" s="125"/>
      <c r="AH19" s="125" t="e">
        <f t="shared" si="2"/>
        <v>#N/A</v>
      </c>
      <c r="AI19" s="125" t="e">
        <f t="shared" si="3"/>
        <v>#N/A</v>
      </c>
      <c r="AJ19" s="125" t="str">
        <f t="shared" si="4"/>
        <v>ANALISIS DATA BESAR</v>
      </c>
      <c r="AK19" s="125" t="e">
        <f t="shared" si="5"/>
        <v>#N/A</v>
      </c>
    </row>
    <row r="20" spans="1:37" ht="54.75" customHeight="1" thickBot="1" x14ac:dyDescent="0.3">
      <c r="A20" s="49" t="s">
        <v>124</v>
      </c>
      <c r="B20" s="58" t="s">
        <v>125</v>
      </c>
      <c r="M20" s="292"/>
      <c r="N20" s="94"/>
      <c r="O20" s="47"/>
      <c r="P20" s="52" t="s">
        <v>98</v>
      </c>
      <c r="Q20" s="52" t="s">
        <v>98</v>
      </c>
      <c r="R20" s="47"/>
      <c r="S20" s="47"/>
      <c r="T20" s="47"/>
      <c r="U20" s="52"/>
      <c r="V20" s="47"/>
      <c r="W20" s="47"/>
      <c r="X20" s="102" t="s">
        <v>98</v>
      </c>
      <c r="Z20" s="292"/>
      <c r="AA20" s="125"/>
      <c r="AB20" s="125"/>
      <c r="AC20" s="125" t="str">
        <f t="shared" si="7"/>
        <v>MANAJEMEN STRATEGIS SISTEM INFORMASI</v>
      </c>
      <c r="AD20" s="125" t="str">
        <f t="shared" si="8"/>
        <v>MANAJEMEN STRATEGIS SISTEM INFORMASI</v>
      </c>
      <c r="AE20" s="125"/>
      <c r="AF20" s="125"/>
      <c r="AG20" s="125"/>
      <c r="AH20" s="125" t="e">
        <f t="shared" si="2"/>
        <v>#N/A</v>
      </c>
      <c r="AI20" s="125"/>
      <c r="AJ20" s="125"/>
      <c r="AK20" s="125" t="str">
        <f t="shared" si="5"/>
        <v>MANAJEMEN STRATEGIS SISTEM INFORMASI</v>
      </c>
    </row>
    <row r="21" spans="1:37" ht="54.75" customHeight="1" thickBot="1" x14ac:dyDescent="0.3">
      <c r="A21" s="49" t="s">
        <v>126</v>
      </c>
      <c r="B21" s="58" t="s">
        <v>127</v>
      </c>
      <c r="M21" s="292"/>
      <c r="N21" s="94"/>
      <c r="O21" s="57"/>
      <c r="P21" s="47"/>
      <c r="Q21" s="47"/>
      <c r="R21" s="47"/>
      <c r="S21" s="47"/>
      <c r="T21" s="47"/>
      <c r="U21" s="57" t="s">
        <v>100</v>
      </c>
      <c r="V21" s="47"/>
      <c r="W21" s="47"/>
      <c r="X21" s="109" t="s">
        <v>100</v>
      </c>
      <c r="Z21" s="292"/>
      <c r="AA21" s="125"/>
      <c r="AB21" s="125" t="e">
        <f t="shared" ref="AB21:AB33" si="10">VLOOKUP(O21,$A$2:$B$24,2)</f>
        <v>#N/A</v>
      </c>
      <c r="AC21" s="125"/>
      <c r="AD21" s="125"/>
      <c r="AE21" s="125"/>
      <c r="AF21" s="125"/>
      <c r="AG21" s="125"/>
      <c r="AH21" s="125" t="str">
        <f t="shared" si="2"/>
        <v>REKAYASA PERANGKAT LUNAK LANJUT</v>
      </c>
      <c r="AI21" s="125"/>
      <c r="AJ21" s="125"/>
      <c r="AK21" s="125" t="str">
        <f t="shared" si="5"/>
        <v>REKAYASA PERANGKAT LUNAK LANJUT</v>
      </c>
    </row>
    <row r="22" spans="1:37" ht="54.75" customHeight="1" thickBot="1" x14ac:dyDescent="0.3">
      <c r="A22" s="55" t="s">
        <v>128</v>
      </c>
      <c r="B22" s="84" t="s">
        <v>129</v>
      </c>
      <c r="M22" s="293"/>
      <c r="N22" s="104"/>
      <c r="O22" s="105"/>
      <c r="P22" s="105"/>
      <c r="Q22" s="105"/>
      <c r="R22" s="105"/>
      <c r="S22" s="106" t="s">
        <v>104</v>
      </c>
      <c r="T22" s="105"/>
      <c r="U22" s="106" t="s">
        <v>104</v>
      </c>
      <c r="V22" s="105"/>
      <c r="W22" s="106"/>
      <c r="X22" s="107" t="s">
        <v>104</v>
      </c>
      <c r="Z22" s="293"/>
      <c r="AA22" s="125"/>
      <c r="AB22" s="125"/>
      <c r="AC22" s="125"/>
      <c r="AD22" s="125"/>
      <c r="AE22" s="125"/>
      <c r="AF22" s="125" t="str">
        <f t="shared" si="6"/>
        <v>INTERAKSI MANUSIA DAN KOMPUTER</v>
      </c>
      <c r="AG22" s="125"/>
      <c r="AH22" s="125" t="str">
        <f t="shared" si="2"/>
        <v>INTERAKSI MANUSIA DAN KOMPUTER</v>
      </c>
      <c r="AI22" s="125"/>
      <c r="AJ22" s="125" t="e">
        <f t="shared" si="4"/>
        <v>#N/A</v>
      </c>
      <c r="AK22" s="125" t="str">
        <f t="shared" si="5"/>
        <v>INTERAKSI MANUSIA DAN KOMPUTER</v>
      </c>
    </row>
    <row r="23" spans="1:37" ht="54.75" customHeight="1" thickBot="1" x14ac:dyDescent="0.3">
      <c r="A23" s="56" t="s">
        <v>130</v>
      </c>
      <c r="B23" s="85" t="s">
        <v>131</v>
      </c>
      <c r="M23" s="291" t="s">
        <v>71</v>
      </c>
      <c r="N23" s="98"/>
      <c r="O23" s="99"/>
      <c r="P23" s="99"/>
      <c r="Q23" s="99"/>
      <c r="R23" s="99"/>
      <c r="S23" s="100" t="s">
        <v>104</v>
      </c>
      <c r="T23" s="99"/>
      <c r="U23" s="100" t="s">
        <v>104</v>
      </c>
      <c r="V23" s="99"/>
      <c r="W23" s="100"/>
      <c r="X23" s="108" t="s">
        <v>104</v>
      </c>
      <c r="Z23" s="291" t="s">
        <v>71</v>
      </c>
      <c r="AA23" s="125"/>
      <c r="AB23" s="125"/>
      <c r="AC23" s="125"/>
      <c r="AD23" s="125"/>
      <c r="AE23" s="125"/>
      <c r="AF23" s="125" t="str">
        <f t="shared" si="6"/>
        <v>INTERAKSI MANUSIA DAN KOMPUTER</v>
      </c>
      <c r="AG23" s="125"/>
      <c r="AH23" s="125" t="str">
        <f t="shared" si="2"/>
        <v>INTERAKSI MANUSIA DAN KOMPUTER</v>
      </c>
      <c r="AI23" s="125"/>
      <c r="AJ23" s="125" t="e">
        <f t="shared" si="4"/>
        <v>#N/A</v>
      </c>
      <c r="AK23" s="125" t="str">
        <f t="shared" si="5"/>
        <v>INTERAKSI MANUSIA DAN KOMPUTER</v>
      </c>
    </row>
    <row r="24" spans="1:37" ht="54.75" customHeight="1" thickBot="1" x14ac:dyDescent="0.3">
      <c r="A24" s="50" t="s">
        <v>132</v>
      </c>
      <c r="B24" s="81" t="s">
        <v>133</v>
      </c>
      <c r="M24" s="292"/>
      <c r="N24" s="94"/>
      <c r="O24" s="47"/>
      <c r="P24" s="47"/>
      <c r="Q24" s="47"/>
      <c r="R24" s="47"/>
      <c r="S24" s="52"/>
      <c r="T24" s="47"/>
      <c r="U24" s="52" t="s">
        <v>124</v>
      </c>
      <c r="V24" s="52" t="s">
        <v>124</v>
      </c>
      <c r="W24" s="52" t="s">
        <v>124</v>
      </c>
      <c r="X24" s="102" t="s">
        <v>124</v>
      </c>
      <c r="Z24" s="292"/>
      <c r="AA24" s="125"/>
      <c r="AB24" s="125"/>
      <c r="AC24" s="125"/>
      <c r="AD24" s="125"/>
      <c r="AE24" s="125"/>
      <c r="AF24" s="125" t="e">
        <f t="shared" si="6"/>
        <v>#N/A</v>
      </c>
      <c r="AG24" s="125"/>
      <c r="AH24" s="125" t="str">
        <f t="shared" si="2"/>
        <v>SISTEM PEMERINTAHAN BERBASIS ELEKTRONIK</v>
      </c>
      <c r="AI24" s="125" t="str">
        <f t="shared" si="3"/>
        <v>SISTEM PEMERINTAHAN BERBASIS ELEKTRONIK</v>
      </c>
      <c r="AJ24" s="125" t="str">
        <f t="shared" si="4"/>
        <v>SISTEM PEMERINTAHAN BERBASIS ELEKTRONIK</v>
      </c>
      <c r="AK24" s="125" t="str">
        <f t="shared" si="5"/>
        <v>SISTEM PEMERINTAHAN BERBASIS ELEKTRONIK</v>
      </c>
    </row>
    <row r="25" spans="1:37" ht="54.75" customHeight="1" thickBot="1" x14ac:dyDescent="0.3">
      <c r="M25" s="293"/>
      <c r="N25" s="104"/>
      <c r="O25" s="105"/>
      <c r="P25" s="105"/>
      <c r="Q25" s="105"/>
      <c r="R25" s="106" t="s">
        <v>126</v>
      </c>
      <c r="S25" s="106" t="s">
        <v>126</v>
      </c>
      <c r="T25" s="105"/>
      <c r="U25" s="106"/>
      <c r="V25" s="106" t="s">
        <v>126</v>
      </c>
      <c r="W25" s="106"/>
      <c r="X25" s="107"/>
      <c r="Z25" s="293"/>
      <c r="AA25" s="125"/>
      <c r="AB25" s="125"/>
      <c r="AC25" s="125"/>
      <c r="AD25" s="125"/>
      <c r="AE25" s="125" t="str">
        <f t="shared" si="1"/>
        <v>MANAJEMEN PROYEK TEKNOLOGI INFORMASI</v>
      </c>
      <c r="AF25" s="125" t="str">
        <f t="shared" si="6"/>
        <v>MANAJEMEN PROYEK TEKNOLOGI INFORMASI</v>
      </c>
      <c r="AG25" s="125"/>
      <c r="AH25" s="125" t="e">
        <f t="shared" si="2"/>
        <v>#N/A</v>
      </c>
      <c r="AI25" s="125" t="str">
        <f t="shared" si="3"/>
        <v>MANAJEMEN PROYEK TEKNOLOGI INFORMASI</v>
      </c>
      <c r="AJ25" s="125" t="e">
        <f t="shared" si="4"/>
        <v>#N/A</v>
      </c>
      <c r="AK25" s="125" t="e">
        <f t="shared" si="5"/>
        <v>#N/A</v>
      </c>
    </row>
    <row r="26" spans="1:37" ht="54.75" customHeight="1" thickBot="1" x14ac:dyDescent="0.3">
      <c r="M26" s="110" t="s">
        <v>75</v>
      </c>
      <c r="N26" s="111"/>
      <c r="O26" s="112"/>
      <c r="P26" s="112"/>
      <c r="Q26" s="112"/>
      <c r="R26" s="113" t="s">
        <v>117</v>
      </c>
      <c r="S26" s="112"/>
      <c r="T26" s="112"/>
      <c r="U26" s="112"/>
      <c r="V26" s="113" t="s">
        <v>117</v>
      </c>
      <c r="W26" s="112"/>
      <c r="X26" s="114"/>
      <c r="Z26" s="110" t="s">
        <v>75</v>
      </c>
      <c r="AA26" s="125"/>
      <c r="AB26" s="125"/>
      <c r="AC26" s="125"/>
      <c r="AD26" s="125"/>
      <c r="AE26" s="125" t="str">
        <f t="shared" si="1"/>
        <v>TEKNOLOGI KEUANGAN ( FINTECH ) DAN RESIKO</v>
      </c>
      <c r="AF26" s="125"/>
      <c r="AG26" s="125"/>
      <c r="AH26" s="125"/>
      <c r="AI26" s="125" t="str">
        <f t="shared" si="3"/>
        <v>TEKNOLOGI KEUANGAN ( FINTECH ) DAN RESIKO</v>
      </c>
      <c r="AJ26" s="125"/>
      <c r="AK26" s="125"/>
    </row>
    <row r="27" spans="1:37" ht="54.75" customHeight="1" thickBot="1" x14ac:dyDescent="0.3">
      <c r="M27" s="291" t="s">
        <v>78</v>
      </c>
      <c r="N27" s="115" t="s">
        <v>114</v>
      </c>
      <c r="O27" s="116" t="s">
        <v>114</v>
      </c>
      <c r="P27" s="99"/>
      <c r="Q27" s="99"/>
      <c r="R27" s="99"/>
      <c r="S27" s="99"/>
      <c r="T27" s="99"/>
      <c r="U27" s="99"/>
      <c r="V27" s="116" t="s">
        <v>114</v>
      </c>
      <c r="W27" s="99"/>
      <c r="X27" s="117" t="s">
        <v>114</v>
      </c>
      <c r="Z27" s="291" t="s">
        <v>78</v>
      </c>
      <c r="AA27" s="125" t="str">
        <f t="shared" ref="AA27:AA33" si="11">VLOOKUP(N27,$A$2:$B$24,2)</f>
        <v>TESIS</v>
      </c>
      <c r="AB27" s="125" t="str">
        <f t="shared" si="10"/>
        <v>TESIS</v>
      </c>
      <c r="AC27" s="125"/>
      <c r="AD27" s="125"/>
      <c r="AE27" s="125"/>
      <c r="AF27" s="125"/>
      <c r="AG27" s="125"/>
      <c r="AH27" s="125"/>
      <c r="AI27" s="125" t="str">
        <f t="shared" si="3"/>
        <v>TESIS</v>
      </c>
      <c r="AJ27" s="125"/>
      <c r="AK27" s="125" t="str">
        <f t="shared" si="5"/>
        <v>TESIS</v>
      </c>
    </row>
    <row r="28" spans="1:37" ht="54.75" customHeight="1" thickBot="1" x14ac:dyDescent="0.3">
      <c r="M28" s="292"/>
      <c r="N28" s="96" t="s">
        <v>130</v>
      </c>
      <c r="O28" s="57" t="s">
        <v>130</v>
      </c>
      <c r="P28" s="47"/>
      <c r="Q28" s="47"/>
      <c r="R28" s="47"/>
      <c r="S28" s="47"/>
      <c r="T28" s="47"/>
      <c r="U28" s="47"/>
      <c r="V28" s="57" t="s">
        <v>130</v>
      </c>
      <c r="W28" s="47"/>
      <c r="X28" s="109"/>
      <c r="Z28" s="292"/>
      <c r="AA28" s="125" t="str">
        <f t="shared" si="11"/>
        <v>PUBLIKASI</v>
      </c>
      <c r="AB28" s="125" t="str">
        <f t="shared" si="10"/>
        <v>PUBLIKASI</v>
      </c>
      <c r="AC28" s="125"/>
      <c r="AD28" s="125"/>
      <c r="AE28" s="125"/>
      <c r="AF28" s="125"/>
      <c r="AG28" s="125"/>
      <c r="AH28" s="125"/>
      <c r="AI28" s="125" t="str">
        <f t="shared" si="3"/>
        <v>PUBLIKASI</v>
      </c>
      <c r="AJ28" s="125"/>
      <c r="AK28" s="125" t="e">
        <f t="shared" si="5"/>
        <v>#N/A</v>
      </c>
    </row>
    <row r="29" spans="1:37" ht="54.75" customHeight="1" thickBot="1" x14ac:dyDescent="0.3">
      <c r="M29" s="293"/>
      <c r="N29" s="118" t="s">
        <v>132</v>
      </c>
      <c r="O29" s="119" t="s">
        <v>132</v>
      </c>
      <c r="P29" s="105"/>
      <c r="Q29" s="105"/>
      <c r="R29" s="105"/>
      <c r="S29" s="105"/>
      <c r="T29" s="105"/>
      <c r="U29" s="105"/>
      <c r="V29" s="119"/>
      <c r="W29" s="105"/>
      <c r="X29" s="120"/>
      <c r="Z29" s="293"/>
      <c r="AA29" s="125" t="str">
        <f t="shared" si="11"/>
        <v>STRATEGI TEKNOPRENEURSHIP DAN INOVASI DIGITAL</v>
      </c>
      <c r="AB29" s="125" t="str">
        <f t="shared" si="10"/>
        <v>STRATEGI TEKNOPRENEURSHIP DAN INOVASI DIGITAL</v>
      </c>
      <c r="AC29" s="125"/>
      <c r="AD29" s="125"/>
      <c r="AE29" s="125"/>
      <c r="AF29" s="125"/>
      <c r="AG29" s="125"/>
      <c r="AH29" s="125"/>
      <c r="AI29" s="125" t="e">
        <f t="shared" si="3"/>
        <v>#N/A</v>
      </c>
      <c r="AJ29" s="125"/>
      <c r="AK29" s="125"/>
    </row>
    <row r="30" spans="1:37" ht="54.75" customHeight="1" thickBot="1" x14ac:dyDescent="0.3">
      <c r="M30" s="291" t="s">
        <v>81</v>
      </c>
      <c r="N30" s="98"/>
      <c r="O30" s="121"/>
      <c r="P30" s="99"/>
      <c r="Q30" s="99"/>
      <c r="R30" s="99"/>
      <c r="S30" s="99"/>
      <c r="T30" s="99"/>
      <c r="U30" s="121" t="s">
        <v>100</v>
      </c>
      <c r="V30" s="99"/>
      <c r="W30" s="99"/>
      <c r="X30" s="122" t="s">
        <v>100</v>
      </c>
      <c r="Z30" s="291" t="s">
        <v>81</v>
      </c>
      <c r="AA30" s="125"/>
      <c r="AB30" s="125" t="e">
        <f t="shared" si="10"/>
        <v>#N/A</v>
      </c>
      <c r="AC30" s="125"/>
      <c r="AD30" s="125"/>
      <c r="AE30" s="125"/>
      <c r="AF30" s="125"/>
      <c r="AG30" s="125"/>
      <c r="AH30" s="125" t="str">
        <f t="shared" si="2"/>
        <v>REKAYASA PERANGKAT LUNAK LANJUT</v>
      </c>
      <c r="AI30" s="125"/>
      <c r="AJ30" s="125"/>
      <c r="AK30" s="125" t="str">
        <f t="shared" si="5"/>
        <v>REKAYASA PERANGKAT LUNAK LANJUT</v>
      </c>
    </row>
    <row r="31" spans="1:37" ht="54.75" customHeight="1" thickBot="1" x14ac:dyDescent="0.3">
      <c r="M31" s="292"/>
      <c r="N31" s="94"/>
      <c r="O31" s="47"/>
      <c r="P31" s="54" t="s">
        <v>102</v>
      </c>
      <c r="Q31" s="47"/>
      <c r="R31" s="47"/>
      <c r="S31" s="47"/>
      <c r="T31" s="47"/>
      <c r="U31" s="47"/>
      <c r="V31" s="47"/>
      <c r="W31" s="47"/>
      <c r="X31" s="123" t="s">
        <v>102</v>
      </c>
      <c r="Z31" s="292"/>
      <c r="AA31" s="125"/>
      <c r="AB31" s="125"/>
      <c r="AC31" s="125" t="str">
        <f t="shared" si="7"/>
        <v>INTERAKSI MANUSIA DAN KOMPUTER</v>
      </c>
      <c r="AD31" s="125"/>
      <c r="AE31" s="125"/>
      <c r="AF31" s="125"/>
      <c r="AG31" s="125"/>
      <c r="AH31" s="125"/>
      <c r="AI31" s="125"/>
      <c r="AJ31" s="125"/>
      <c r="AK31" s="125" t="str">
        <f t="shared" si="5"/>
        <v>INTERAKSI MANUSIA DAN KOMPUTER</v>
      </c>
    </row>
    <row r="32" spans="1:37" ht="54.75" customHeight="1" thickBot="1" x14ac:dyDescent="0.3">
      <c r="M32" s="292"/>
      <c r="N32" s="95" t="s">
        <v>114</v>
      </c>
      <c r="O32" s="54" t="s">
        <v>114</v>
      </c>
      <c r="P32" s="47"/>
      <c r="Q32" s="47"/>
      <c r="R32" s="47"/>
      <c r="S32" s="47"/>
      <c r="T32" s="47"/>
      <c r="U32" s="47"/>
      <c r="V32" s="54" t="s">
        <v>114</v>
      </c>
      <c r="W32" s="47"/>
      <c r="X32" s="123" t="s">
        <v>114</v>
      </c>
      <c r="Z32" s="292"/>
      <c r="AA32" s="125" t="str">
        <f t="shared" si="11"/>
        <v>TESIS</v>
      </c>
      <c r="AB32" s="125" t="str">
        <f t="shared" si="10"/>
        <v>TESIS</v>
      </c>
      <c r="AC32" s="125"/>
      <c r="AD32" s="125"/>
      <c r="AE32" s="125"/>
      <c r="AF32" s="125"/>
      <c r="AG32" s="125"/>
      <c r="AH32" s="125"/>
      <c r="AI32" s="125" t="str">
        <f t="shared" si="3"/>
        <v>TESIS</v>
      </c>
      <c r="AJ32" s="125"/>
      <c r="AK32" s="125" t="str">
        <f t="shared" si="5"/>
        <v>TESIS</v>
      </c>
    </row>
    <row r="33" spans="13:37" ht="54.75" customHeight="1" thickBot="1" x14ac:dyDescent="0.3">
      <c r="M33" s="293"/>
      <c r="N33" s="118" t="s">
        <v>130</v>
      </c>
      <c r="O33" s="119" t="s">
        <v>130</v>
      </c>
      <c r="P33" s="105"/>
      <c r="Q33" s="105"/>
      <c r="R33" s="105"/>
      <c r="S33" s="105"/>
      <c r="T33" s="105"/>
      <c r="U33" s="105"/>
      <c r="V33" s="119" t="s">
        <v>130</v>
      </c>
      <c r="W33" s="105"/>
      <c r="X33" s="124"/>
      <c r="Z33" s="293"/>
      <c r="AA33" s="125" t="str">
        <f t="shared" si="11"/>
        <v>PUBLIKASI</v>
      </c>
      <c r="AB33" s="125" t="str">
        <f t="shared" si="10"/>
        <v>PUBLIKASI</v>
      </c>
      <c r="AC33" s="125"/>
      <c r="AD33" s="125"/>
      <c r="AE33" s="125"/>
      <c r="AF33" s="125"/>
      <c r="AG33" s="125"/>
      <c r="AH33" s="125"/>
      <c r="AI33" s="125" t="str">
        <f t="shared" si="3"/>
        <v>PUBLIKASI</v>
      </c>
      <c r="AJ33" s="125"/>
      <c r="AK33" s="125" t="e">
        <f t="shared" si="5"/>
        <v>#N/A</v>
      </c>
    </row>
  </sheetData>
  <mergeCells count="21">
    <mergeCell ref="Z23:Z25"/>
    <mergeCell ref="Z27:Z29"/>
    <mergeCell ref="Z30:Z33"/>
    <mergeCell ref="M16:M17"/>
    <mergeCell ref="M18:M22"/>
    <mergeCell ref="M23:M25"/>
    <mergeCell ref="M27:M29"/>
    <mergeCell ref="M30:M33"/>
    <mergeCell ref="Z2:Z7"/>
    <mergeCell ref="Z8:Z10"/>
    <mergeCell ref="Z11:Z15"/>
    <mergeCell ref="Z16:Z17"/>
    <mergeCell ref="Z18:Z22"/>
    <mergeCell ref="M2:M7"/>
    <mergeCell ref="M8:M10"/>
    <mergeCell ref="M11:M15"/>
    <mergeCell ref="G2:G3"/>
    <mergeCell ref="G4:G5"/>
    <mergeCell ref="G6:G7"/>
    <mergeCell ref="G8:G9"/>
    <mergeCell ref="G10:G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CB71-70CF-47FD-AE0F-EE70A08954A9}">
  <dimension ref="A1:AE25"/>
  <sheetViews>
    <sheetView zoomScale="55" zoomScaleNormal="55" workbookViewId="0">
      <selection activeCell="AG13" sqref="AG13"/>
    </sheetView>
  </sheetViews>
  <sheetFormatPr defaultRowHeight="15" x14ac:dyDescent="0.25"/>
  <cols>
    <col min="1" max="1" width="14.28515625" bestFit="1" customWidth="1"/>
    <col min="2" max="2" width="51.42578125" bestFit="1" customWidth="1"/>
    <col min="3" max="3" width="4.140625" bestFit="1" customWidth="1"/>
    <col min="4" max="4" width="5.7109375" bestFit="1" customWidth="1"/>
    <col min="5" max="5" width="7.7109375" bestFit="1" customWidth="1"/>
    <col min="6" max="6" width="3.42578125" customWidth="1"/>
    <col min="8" max="18" width="7.7109375" customWidth="1"/>
    <col min="19" max="19" width="4.42578125" customWidth="1"/>
  </cols>
  <sheetData>
    <row r="1" spans="1:31" ht="26.25" thickBot="1" x14ac:dyDescent="0.3">
      <c r="A1" s="126" t="s">
        <v>88</v>
      </c>
      <c r="B1" s="126" t="s">
        <v>89</v>
      </c>
      <c r="C1" s="127" t="s">
        <v>138</v>
      </c>
      <c r="D1" s="134" t="s">
        <v>139</v>
      </c>
      <c r="E1" s="30" t="s">
        <v>140</v>
      </c>
      <c r="G1" s="138" t="s">
        <v>14</v>
      </c>
      <c r="H1" s="139" t="s">
        <v>17</v>
      </c>
      <c r="I1" s="91" t="s">
        <v>20</v>
      </c>
      <c r="J1" s="91" t="s">
        <v>22</v>
      </c>
      <c r="K1" s="91" t="s">
        <v>25</v>
      </c>
      <c r="L1" s="91" t="s">
        <v>27</v>
      </c>
      <c r="M1" s="91" t="s">
        <v>30</v>
      </c>
      <c r="N1" s="91" t="s">
        <v>32</v>
      </c>
      <c r="O1" s="91" t="s">
        <v>35</v>
      </c>
      <c r="P1" s="91" t="s">
        <v>43</v>
      </c>
      <c r="Q1" s="91" t="s">
        <v>44</v>
      </c>
      <c r="R1" s="92" t="s">
        <v>45</v>
      </c>
      <c r="T1" s="138" t="s">
        <v>14</v>
      </c>
      <c r="U1" s="139" t="s">
        <v>17</v>
      </c>
      <c r="V1" s="91" t="s">
        <v>20</v>
      </c>
      <c r="W1" s="91" t="s">
        <v>22</v>
      </c>
      <c r="X1" s="91" t="s">
        <v>25</v>
      </c>
      <c r="Y1" s="91" t="s">
        <v>27</v>
      </c>
      <c r="Z1" s="91" t="s">
        <v>30</v>
      </c>
      <c r="AA1" s="91" t="s">
        <v>32</v>
      </c>
      <c r="AB1" s="91" t="s">
        <v>35</v>
      </c>
      <c r="AC1" s="91" t="s">
        <v>43</v>
      </c>
      <c r="AD1" s="91" t="s">
        <v>44</v>
      </c>
      <c r="AE1" s="92" t="s">
        <v>45</v>
      </c>
    </row>
    <row r="2" spans="1:31" ht="26.25" thickBot="1" x14ac:dyDescent="0.3">
      <c r="A2" s="128" t="s">
        <v>90</v>
      </c>
      <c r="B2" s="129" t="s">
        <v>91</v>
      </c>
      <c r="C2" s="99">
        <v>0</v>
      </c>
      <c r="D2" s="300">
        <v>1</v>
      </c>
      <c r="E2" s="297">
        <v>15</v>
      </c>
      <c r="G2" s="135"/>
      <c r="H2" s="147"/>
      <c r="I2" s="148"/>
      <c r="J2" s="148"/>
      <c r="K2" s="148"/>
      <c r="L2" s="148"/>
      <c r="M2" s="148"/>
      <c r="N2" s="148"/>
      <c r="O2" s="148"/>
      <c r="P2" s="148"/>
      <c r="Q2" s="148"/>
      <c r="R2" s="149"/>
      <c r="T2" s="135"/>
      <c r="U2" s="206"/>
      <c r="V2" s="141"/>
      <c r="W2" s="141"/>
      <c r="X2" s="141"/>
      <c r="Y2" s="141"/>
      <c r="Z2" s="141"/>
      <c r="AA2" s="141"/>
      <c r="AB2" s="141"/>
      <c r="AC2" s="141"/>
      <c r="AD2" s="141"/>
      <c r="AE2" s="207"/>
    </row>
    <row r="3" spans="1:31" ht="56.25" x14ac:dyDescent="0.25">
      <c r="A3" s="49" t="s">
        <v>92</v>
      </c>
      <c r="B3" s="58" t="s">
        <v>93</v>
      </c>
      <c r="C3" s="47">
        <v>3</v>
      </c>
      <c r="D3" s="298"/>
      <c r="E3" s="298"/>
      <c r="G3" s="140" t="s">
        <v>141</v>
      </c>
      <c r="H3" s="200"/>
      <c r="L3" s="202" t="s">
        <v>92</v>
      </c>
      <c r="P3" s="202"/>
      <c r="Q3" s="202" t="s">
        <v>92</v>
      </c>
      <c r="R3" s="143"/>
      <c r="T3" s="203" t="s">
        <v>141</v>
      </c>
      <c r="U3" s="208"/>
      <c r="V3" s="209"/>
      <c r="W3" s="209"/>
      <c r="X3" s="209"/>
      <c r="Y3" s="209" t="str">
        <f t="shared" ref="V3:AD18" si="0">VLOOKUP(L3,$A$2:$B$24,2)</f>
        <v>PERMODELAN STATISTIK UNTUK BISNIS</v>
      </c>
      <c r="Z3" s="209"/>
      <c r="AA3" s="209"/>
      <c r="AB3" s="209"/>
      <c r="AC3" s="209" t="e">
        <f t="shared" si="0"/>
        <v>#N/A</v>
      </c>
      <c r="AD3" s="209" t="str">
        <f t="shared" si="0"/>
        <v>PERMODELAN STATISTIK UNTUK BISNIS</v>
      </c>
      <c r="AE3" s="210"/>
    </row>
    <row r="4" spans="1:31" ht="45" x14ac:dyDescent="0.25">
      <c r="A4" s="49" t="s">
        <v>94</v>
      </c>
      <c r="B4" s="58" t="s">
        <v>95</v>
      </c>
      <c r="C4" s="47">
        <v>3</v>
      </c>
      <c r="D4" s="298"/>
      <c r="E4" s="298"/>
      <c r="G4" s="136"/>
      <c r="H4" s="200"/>
      <c r="L4" s="52" t="s">
        <v>94</v>
      </c>
      <c r="O4" s="52"/>
      <c r="P4" s="52"/>
      <c r="Q4" s="52" t="s">
        <v>94</v>
      </c>
      <c r="R4" s="102"/>
      <c r="T4" s="204"/>
      <c r="U4" s="211"/>
      <c r="V4" s="212"/>
      <c r="W4" s="212"/>
      <c r="X4" s="212"/>
      <c r="Y4" s="212" t="str">
        <f t="shared" si="0"/>
        <v>MESIN PEMBELAJARAN UNTUK BISNIS</v>
      </c>
      <c r="Z4" s="212"/>
      <c r="AA4" s="212"/>
      <c r="AB4" s="212" t="e">
        <f t="shared" ref="AB4:AB21" si="1">VLOOKUP(O4,$A$2:$B$24,2)</f>
        <v>#N/A</v>
      </c>
      <c r="AC4" s="212" t="e">
        <f t="shared" ref="AC4:AC24" si="2">VLOOKUP(P4,$A$2:$B$24,2)</f>
        <v>#N/A</v>
      </c>
      <c r="AD4" s="212" t="str">
        <f t="shared" ref="AD4:AD22" si="3">VLOOKUP(Q4,$A$2:$B$24,2)</f>
        <v>MESIN PEMBELAJARAN UNTUK BISNIS</v>
      </c>
      <c r="AE4" s="213" t="e">
        <f t="shared" ref="AE4:AE23" si="4">VLOOKUP(R4,$A$2:$B$24,2)</f>
        <v>#N/A</v>
      </c>
    </row>
    <row r="5" spans="1:31" ht="25.5" x14ac:dyDescent="0.25">
      <c r="A5" s="49" t="s">
        <v>96</v>
      </c>
      <c r="B5" s="58" t="s">
        <v>97</v>
      </c>
      <c r="C5" s="47">
        <v>3</v>
      </c>
      <c r="D5" s="298"/>
      <c r="E5" s="298"/>
      <c r="G5" s="136"/>
      <c r="H5" s="200"/>
      <c r="L5" s="52" t="s">
        <v>96</v>
      </c>
      <c r="O5" s="52"/>
      <c r="P5" s="52"/>
      <c r="Q5" s="52" t="s">
        <v>96</v>
      </c>
      <c r="R5" s="102"/>
      <c r="T5" s="204"/>
      <c r="U5" s="211"/>
      <c r="V5" s="212"/>
      <c r="W5" s="212"/>
      <c r="X5" s="212"/>
      <c r="Y5" s="212" t="str">
        <f t="shared" si="0"/>
        <v>ANALISIS DATA BESAR</v>
      </c>
      <c r="Z5" s="212"/>
      <c r="AA5" s="212"/>
      <c r="AB5" s="212" t="e">
        <f t="shared" si="1"/>
        <v>#N/A</v>
      </c>
      <c r="AC5" s="212" t="e">
        <f t="shared" si="2"/>
        <v>#N/A</v>
      </c>
      <c r="AD5" s="212" t="str">
        <f t="shared" si="3"/>
        <v>ANALISIS DATA BESAR</v>
      </c>
      <c r="AE5" s="213" t="e">
        <f t="shared" si="4"/>
        <v>#N/A</v>
      </c>
    </row>
    <row r="6" spans="1:31" ht="56.25" x14ac:dyDescent="0.25">
      <c r="A6" s="49" t="s">
        <v>98</v>
      </c>
      <c r="B6" s="58" t="s">
        <v>99</v>
      </c>
      <c r="C6" s="47">
        <v>3</v>
      </c>
      <c r="D6" s="298"/>
      <c r="E6" s="298"/>
      <c r="G6" s="136"/>
      <c r="H6" s="200"/>
      <c r="J6" s="52" t="s">
        <v>98</v>
      </c>
      <c r="K6" s="52" t="s">
        <v>98</v>
      </c>
      <c r="O6" s="52"/>
      <c r="R6" s="102" t="s">
        <v>98</v>
      </c>
      <c r="T6" s="204"/>
      <c r="U6" s="211"/>
      <c r="V6" s="212"/>
      <c r="W6" s="212" t="str">
        <f t="shared" si="0"/>
        <v>MANAJEMEN STRATEGIS SISTEM INFORMASI</v>
      </c>
      <c r="X6" s="212" t="str">
        <f t="shared" si="0"/>
        <v>MANAJEMEN STRATEGIS SISTEM INFORMASI</v>
      </c>
      <c r="Y6" s="212"/>
      <c r="Z6" s="212"/>
      <c r="AA6" s="212"/>
      <c r="AB6" s="212" t="e">
        <f t="shared" si="1"/>
        <v>#N/A</v>
      </c>
      <c r="AC6" s="212"/>
      <c r="AD6" s="212"/>
      <c r="AE6" s="213" t="str">
        <f t="shared" si="4"/>
        <v>MANAJEMEN STRATEGIS SISTEM INFORMASI</v>
      </c>
    </row>
    <row r="7" spans="1:31" ht="45.75" thickBot="1" x14ac:dyDescent="0.3">
      <c r="A7" s="50" t="s">
        <v>100</v>
      </c>
      <c r="B7" s="81" t="s">
        <v>101</v>
      </c>
      <c r="C7" s="105">
        <v>3</v>
      </c>
      <c r="D7" s="301"/>
      <c r="E7" s="299"/>
      <c r="G7" s="4"/>
      <c r="H7" s="201"/>
      <c r="I7" s="119"/>
      <c r="J7" s="142"/>
      <c r="K7" s="142"/>
      <c r="L7" s="142"/>
      <c r="M7" s="142"/>
      <c r="N7" s="142"/>
      <c r="O7" s="119" t="s">
        <v>100</v>
      </c>
      <c r="P7" s="142"/>
      <c r="Q7" s="142"/>
      <c r="R7" s="124" t="s">
        <v>100</v>
      </c>
      <c r="T7" s="205"/>
      <c r="U7" s="214"/>
      <c r="V7" s="215" t="e">
        <f t="shared" si="0"/>
        <v>#N/A</v>
      </c>
      <c r="W7" s="215"/>
      <c r="X7" s="215"/>
      <c r="Y7" s="215"/>
      <c r="Z7" s="215"/>
      <c r="AA7" s="215"/>
      <c r="AB7" s="215" t="str">
        <f t="shared" si="1"/>
        <v>REKAYASA PERANGKAT LUNAK LANJUT</v>
      </c>
      <c r="AC7" s="215"/>
      <c r="AD7" s="215"/>
      <c r="AE7" s="216" t="str">
        <f t="shared" si="4"/>
        <v>REKAYASA PERANGKAT LUNAK LANJUT</v>
      </c>
    </row>
    <row r="8" spans="1:31" ht="67.5" x14ac:dyDescent="0.25">
      <c r="A8" s="130" t="s">
        <v>102</v>
      </c>
      <c r="B8" s="131" t="s">
        <v>103</v>
      </c>
      <c r="C8" s="99">
        <v>3</v>
      </c>
      <c r="D8" s="300">
        <v>2</v>
      </c>
      <c r="E8" s="297">
        <v>15</v>
      </c>
      <c r="G8" s="140" t="s">
        <v>142</v>
      </c>
      <c r="H8" s="141"/>
      <c r="I8" s="141"/>
      <c r="J8" s="116" t="s">
        <v>102</v>
      </c>
      <c r="K8" s="141"/>
      <c r="L8" s="141"/>
      <c r="M8" s="141"/>
      <c r="N8" s="141"/>
      <c r="O8" s="141"/>
      <c r="P8" s="141"/>
      <c r="Q8" s="141"/>
      <c r="R8" s="117" t="s">
        <v>102</v>
      </c>
      <c r="T8" s="203" t="s">
        <v>142</v>
      </c>
      <c r="U8" s="208"/>
      <c r="V8" s="209"/>
      <c r="W8" s="209" t="str">
        <f t="shared" si="0"/>
        <v>METODOLOGI PENELITIAN DAN PENULISAN ILMIAH</v>
      </c>
      <c r="X8" s="209"/>
      <c r="Y8" s="209"/>
      <c r="Z8" s="209"/>
      <c r="AA8" s="209"/>
      <c r="AB8" s="209"/>
      <c r="AC8" s="209"/>
      <c r="AD8" s="209"/>
      <c r="AE8" s="210" t="str">
        <f t="shared" si="4"/>
        <v>METODOLOGI PENELITIAN DAN PENULISAN ILMIAH</v>
      </c>
    </row>
    <row r="9" spans="1:31" ht="33.75" x14ac:dyDescent="0.25">
      <c r="A9" s="49" t="s">
        <v>104</v>
      </c>
      <c r="B9" s="58" t="s">
        <v>105</v>
      </c>
      <c r="C9" s="47">
        <v>3</v>
      </c>
      <c r="D9" s="298"/>
      <c r="E9" s="298"/>
      <c r="G9" s="136"/>
      <c r="M9" s="52" t="s">
        <v>104</v>
      </c>
      <c r="O9" s="52" t="s">
        <v>104</v>
      </c>
      <c r="Q9" s="52"/>
      <c r="R9" s="102" t="s">
        <v>104</v>
      </c>
      <c r="T9" s="204"/>
      <c r="U9" s="211"/>
      <c r="V9" s="212"/>
      <c r="W9" s="212"/>
      <c r="X9" s="212"/>
      <c r="Y9" s="212"/>
      <c r="Z9" s="212" t="str">
        <f t="shared" ref="Z9:Z21" si="5">VLOOKUP(M9,$A$2:$B$24,2)</f>
        <v>REKAYASA KEBUTUHAN SISTEM</v>
      </c>
      <c r="AA9" s="212"/>
      <c r="AB9" s="212" t="str">
        <f t="shared" si="1"/>
        <v>REKAYASA KEBUTUHAN SISTEM</v>
      </c>
      <c r="AC9" s="212"/>
      <c r="AD9" s="212" t="e">
        <f t="shared" si="3"/>
        <v>#N/A</v>
      </c>
      <c r="AE9" s="213" t="str">
        <f t="shared" si="4"/>
        <v>REKAYASA KEBUTUHAN SISTEM</v>
      </c>
    </row>
    <row r="10" spans="1:31" ht="45" x14ac:dyDescent="0.25">
      <c r="A10" s="49" t="s">
        <v>106</v>
      </c>
      <c r="B10" s="58" t="s">
        <v>107</v>
      </c>
      <c r="C10" s="47">
        <v>3</v>
      </c>
      <c r="D10" s="298"/>
      <c r="E10" s="298"/>
      <c r="G10" s="136"/>
      <c r="J10" s="52"/>
      <c r="K10" s="52"/>
      <c r="N10" s="52" t="s">
        <v>106</v>
      </c>
      <c r="R10" s="102" t="s">
        <v>106</v>
      </c>
      <c r="T10" s="204"/>
      <c r="U10" s="211"/>
      <c r="V10" s="212"/>
      <c r="W10" s="212" t="e">
        <f t="shared" si="0"/>
        <v>#N/A</v>
      </c>
      <c r="X10" s="212" t="e">
        <f t="shared" si="0"/>
        <v>#N/A</v>
      </c>
      <c r="Y10" s="212"/>
      <c r="Z10" s="212"/>
      <c r="AA10" s="212" t="str">
        <f t="shared" ref="AA10:AA13" si="6">VLOOKUP(N10,$A$2:$B$24,2)</f>
        <v>INTERAKSI MANUSIA DAN KOMPUTER</v>
      </c>
      <c r="AB10" s="212"/>
      <c r="AC10" s="212"/>
      <c r="AD10" s="212"/>
      <c r="AE10" s="213" t="str">
        <f t="shared" si="4"/>
        <v>INTERAKSI MANUSIA DAN KOMPUTER</v>
      </c>
    </row>
    <row r="11" spans="1:31" ht="25.5" x14ac:dyDescent="0.25">
      <c r="A11" s="49" t="s">
        <v>108</v>
      </c>
      <c r="B11" s="58" t="s">
        <v>109</v>
      </c>
      <c r="C11" s="47">
        <v>3</v>
      </c>
      <c r="D11" s="298"/>
      <c r="E11" s="298"/>
      <c r="G11" s="136"/>
      <c r="M11" s="52" t="s">
        <v>108</v>
      </c>
      <c r="P11" s="52"/>
      <c r="Q11" s="52" t="s">
        <v>108</v>
      </c>
      <c r="R11" s="143"/>
      <c r="T11" s="204"/>
      <c r="U11" s="211"/>
      <c r="V11" s="212"/>
      <c r="W11" s="212"/>
      <c r="X11" s="212"/>
      <c r="Y11" s="212"/>
      <c r="Z11" s="212" t="str">
        <f t="shared" si="5"/>
        <v>KEAMANAN SIBER</v>
      </c>
      <c r="AA11" s="212"/>
      <c r="AB11" s="212"/>
      <c r="AC11" s="212" t="e">
        <f t="shared" si="2"/>
        <v>#N/A</v>
      </c>
      <c r="AD11" s="212" t="str">
        <f t="shared" si="3"/>
        <v>KEAMANAN SIBER</v>
      </c>
      <c r="AE11" s="213"/>
    </row>
    <row r="12" spans="1:31" ht="57" thickBot="1" x14ac:dyDescent="0.3">
      <c r="A12" s="50" t="s">
        <v>110</v>
      </c>
      <c r="B12" s="81" t="s">
        <v>111</v>
      </c>
      <c r="C12" s="105">
        <v>3</v>
      </c>
      <c r="D12" s="301"/>
      <c r="E12" s="299"/>
      <c r="G12" s="4"/>
      <c r="H12" s="142"/>
      <c r="I12" s="142"/>
      <c r="J12" s="142"/>
      <c r="K12" s="142"/>
      <c r="L12" s="119" t="s">
        <v>110</v>
      </c>
      <c r="M12" s="142"/>
      <c r="N12" s="142"/>
      <c r="O12" s="142"/>
      <c r="P12" s="119"/>
      <c r="Q12" s="119" t="s">
        <v>110</v>
      </c>
      <c r="R12" s="144"/>
      <c r="T12" s="205"/>
      <c r="U12" s="214"/>
      <c r="V12" s="215"/>
      <c r="W12" s="215"/>
      <c r="X12" s="215"/>
      <c r="Y12" s="215" t="str">
        <f t="shared" si="0"/>
        <v>SISTEM PENDUKUNG KEPUTUSAN CERDAS</v>
      </c>
      <c r="Z12" s="215"/>
      <c r="AA12" s="215"/>
      <c r="AB12" s="215"/>
      <c r="AC12" s="215" t="e">
        <f t="shared" si="2"/>
        <v>#N/A</v>
      </c>
      <c r="AD12" s="215" t="str">
        <f t="shared" si="3"/>
        <v>SISTEM PENDUKUNG KEPUTUSAN CERDAS</v>
      </c>
      <c r="AE12" s="216"/>
    </row>
    <row r="13" spans="1:31" ht="56.25" x14ac:dyDescent="0.25">
      <c r="A13" s="128" t="s">
        <v>112</v>
      </c>
      <c r="B13" s="129" t="s">
        <v>113</v>
      </c>
      <c r="C13" s="99">
        <v>3</v>
      </c>
      <c r="D13" s="300">
        <v>3</v>
      </c>
      <c r="E13" s="297">
        <v>18</v>
      </c>
      <c r="G13" s="145" t="s">
        <v>143</v>
      </c>
      <c r="H13" s="141"/>
      <c r="I13" s="141"/>
      <c r="J13" s="141"/>
      <c r="K13" s="141"/>
      <c r="L13" s="141"/>
      <c r="M13" s="141"/>
      <c r="N13" s="100" t="s">
        <v>112</v>
      </c>
      <c r="O13" s="141"/>
      <c r="P13" s="141"/>
      <c r="Q13" s="141"/>
      <c r="R13" s="108" t="s">
        <v>112</v>
      </c>
      <c r="T13" s="206" t="s">
        <v>143</v>
      </c>
      <c r="U13" s="208"/>
      <c r="V13" s="209"/>
      <c r="W13" s="209"/>
      <c r="X13" s="209"/>
      <c r="Y13" s="209"/>
      <c r="Z13" s="209"/>
      <c r="AA13" s="209" t="str">
        <f t="shared" si="6"/>
        <v>ARSITEKTUR ENTERPRISE UNTUK TEKNOLOGI INFORMASI</v>
      </c>
      <c r="AB13" s="209"/>
      <c r="AC13" s="209"/>
      <c r="AD13" s="209"/>
      <c r="AE13" s="210" t="str">
        <f t="shared" si="4"/>
        <v>ARSITEKTUR ENTERPRISE UNTUK TEKNOLOGI INFORMASI</v>
      </c>
    </row>
    <row r="14" spans="1:31" ht="25.5" x14ac:dyDescent="0.25">
      <c r="A14" s="53" t="s">
        <v>114</v>
      </c>
      <c r="B14" s="82" t="s">
        <v>115</v>
      </c>
      <c r="C14" s="47">
        <v>6</v>
      </c>
      <c r="D14" s="298"/>
      <c r="E14" s="298"/>
      <c r="G14" s="135"/>
      <c r="H14" s="95" t="s">
        <v>114</v>
      </c>
      <c r="I14" s="54" t="s">
        <v>114</v>
      </c>
      <c r="P14" s="54" t="s">
        <v>114</v>
      </c>
      <c r="R14" s="123" t="s">
        <v>114</v>
      </c>
      <c r="T14" s="200"/>
      <c r="U14" s="211" t="str">
        <f t="shared" ref="U14:Y24" si="7">VLOOKUP(H14,$A$2:$B$24,2)</f>
        <v>TESIS</v>
      </c>
      <c r="V14" s="212" t="str">
        <f t="shared" si="0"/>
        <v>TESIS</v>
      </c>
      <c r="W14" s="212"/>
      <c r="X14" s="212"/>
      <c r="Y14" s="212"/>
      <c r="Z14" s="212"/>
      <c r="AA14" s="212"/>
      <c r="AB14" s="212"/>
      <c r="AC14" s="212" t="str">
        <f t="shared" si="2"/>
        <v>TESIS</v>
      </c>
      <c r="AD14" s="212"/>
      <c r="AE14" s="213" t="str">
        <f t="shared" si="4"/>
        <v>TESIS</v>
      </c>
    </row>
    <row r="15" spans="1:31" x14ac:dyDescent="0.25">
      <c r="A15" s="49"/>
      <c r="B15" s="83" t="s">
        <v>116</v>
      </c>
      <c r="C15" s="47"/>
      <c r="D15" s="298"/>
      <c r="E15" s="298"/>
      <c r="G15" s="135"/>
      <c r="R15" s="143"/>
      <c r="T15" s="200"/>
      <c r="U15" s="211"/>
      <c r="V15" s="212"/>
      <c r="W15" s="212"/>
      <c r="X15" s="212"/>
      <c r="Y15" s="212"/>
      <c r="Z15" s="212"/>
      <c r="AA15" s="212"/>
      <c r="AB15" s="212"/>
      <c r="AC15" s="212"/>
      <c r="AD15" s="212"/>
      <c r="AE15" s="213"/>
    </row>
    <row r="16" spans="1:31" ht="45" x14ac:dyDescent="0.25">
      <c r="A16" s="49" t="s">
        <v>117</v>
      </c>
      <c r="B16" s="58" t="s">
        <v>118</v>
      </c>
      <c r="C16" s="47">
        <v>3</v>
      </c>
      <c r="D16" s="298"/>
      <c r="E16" s="298"/>
      <c r="G16" s="135"/>
      <c r="L16" s="52" t="s">
        <v>117</v>
      </c>
      <c r="P16" s="52" t="s">
        <v>117</v>
      </c>
      <c r="R16" s="143"/>
      <c r="T16" s="200"/>
      <c r="U16" s="211"/>
      <c r="V16" s="212"/>
      <c r="W16" s="212"/>
      <c r="X16" s="212"/>
      <c r="Y16" s="212" t="str">
        <f t="shared" si="0"/>
        <v>TEKNOLOGI KEUANGAN ( FINTECH ) DAN RESIKO</v>
      </c>
      <c r="Z16" s="212"/>
      <c r="AA16" s="212"/>
      <c r="AB16" s="212"/>
      <c r="AC16" s="212" t="str">
        <f t="shared" si="2"/>
        <v>TEKNOLOGI KEUANGAN ( FINTECH ) DAN RESIKO</v>
      </c>
      <c r="AD16" s="212"/>
      <c r="AE16" s="213"/>
    </row>
    <row r="17" spans="1:31" ht="25.5" x14ac:dyDescent="0.25">
      <c r="A17" s="49" t="s">
        <v>119</v>
      </c>
      <c r="B17" s="58" t="s">
        <v>120</v>
      </c>
      <c r="C17" s="47">
        <v>3</v>
      </c>
      <c r="D17" s="298"/>
      <c r="E17" s="298"/>
      <c r="G17" s="135"/>
      <c r="J17" s="52" t="s">
        <v>119</v>
      </c>
      <c r="K17" s="52"/>
      <c r="R17" s="102" t="s">
        <v>119</v>
      </c>
      <c r="T17" s="200"/>
      <c r="U17" s="211"/>
      <c r="V17" s="212"/>
      <c r="W17" s="212" t="str">
        <f t="shared" si="0"/>
        <v>KECERDASAN BISNIS</v>
      </c>
      <c r="X17" s="212" t="e">
        <f t="shared" si="0"/>
        <v>#N/A</v>
      </c>
      <c r="Y17" s="212"/>
      <c r="Z17" s="212"/>
      <c r="AA17" s="212"/>
      <c r="AB17" s="212"/>
      <c r="AC17" s="212"/>
      <c r="AD17" s="212"/>
      <c r="AE17" s="213" t="str">
        <f t="shared" si="4"/>
        <v>KECERDASAN BISNIS</v>
      </c>
    </row>
    <row r="18" spans="1:31" ht="56.25" x14ac:dyDescent="0.25">
      <c r="A18" s="49" t="s">
        <v>121</v>
      </c>
      <c r="B18" s="58" t="s">
        <v>122</v>
      </c>
      <c r="C18" s="47">
        <v>3</v>
      </c>
      <c r="D18" s="298"/>
      <c r="E18" s="298"/>
      <c r="G18" s="135"/>
      <c r="J18" s="52" t="s">
        <v>121</v>
      </c>
      <c r="K18" s="52"/>
      <c r="M18" s="52" t="s">
        <v>121</v>
      </c>
      <c r="P18" s="52" t="s">
        <v>121</v>
      </c>
      <c r="Q18" s="52"/>
      <c r="R18" s="102"/>
      <c r="T18" s="200"/>
      <c r="U18" s="211"/>
      <c r="V18" s="212"/>
      <c r="W18" s="212" t="str">
        <f t="shared" si="0"/>
        <v>TATA KELOLA DAN AUDIT BISNIS DIGITAL</v>
      </c>
      <c r="X18" s="212" t="e">
        <f t="shared" si="0"/>
        <v>#N/A</v>
      </c>
      <c r="Y18" s="212"/>
      <c r="Z18" s="212" t="str">
        <f t="shared" si="5"/>
        <v>TATA KELOLA DAN AUDIT BISNIS DIGITAL</v>
      </c>
      <c r="AA18" s="212"/>
      <c r="AB18" s="212"/>
      <c r="AC18" s="212" t="str">
        <f t="shared" si="2"/>
        <v>TATA KELOLA DAN AUDIT BISNIS DIGITAL</v>
      </c>
      <c r="AD18" s="212" t="e">
        <f t="shared" si="3"/>
        <v>#N/A</v>
      </c>
      <c r="AE18" s="213" t="e">
        <f t="shared" si="4"/>
        <v>#N/A</v>
      </c>
    </row>
    <row r="19" spans="1:31" x14ac:dyDescent="0.25">
      <c r="A19" s="49"/>
      <c r="B19" s="83" t="s">
        <v>123</v>
      </c>
      <c r="C19" s="47"/>
      <c r="D19" s="298"/>
      <c r="E19" s="298"/>
      <c r="G19" s="135"/>
      <c r="R19" s="143"/>
      <c r="T19" s="200"/>
      <c r="U19" s="211"/>
      <c r="V19" s="212"/>
      <c r="W19" s="212"/>
      <c r="X19" s="212"/>
      <c r="Y19" s="212"/>
      <c r="Z19" s="212"/>
      <c r="AA19" s="212"/>
      <c r="AB19" s="212"/>
      <c r="AC19" s="212"/>
      <c r="AD19" s="212"/>
      <c r="AE19" s="213"/>
    </row>
    <row r="20" spans="1:31" ht="67.5" x14ac:dyDescent="0.25">
      <c r="A20" s="49" t="s">
        <v>124</v>
      </c>
      <c r="B20" s="58" t="s">
        <v>125</v>
      </c>
      <c r="C20" s="47">
        <v>3</v>
      </c>
      <c r="D20" s="298"/>
      <c r="E20" s="298"/>
      <c r="G20" s="135"/>
      <c r="M20" s="52"/>
      <c r="O20" s="52" t="s">
        <v>124</v>
      </c>
      <c r="P20" s="52" t="s">
        <v>124</v>
      </c>
      <c r="Q20" s="52" t="s">
        <v>124</v>
      </c>
      <c r="R20" s="102" t="s">
        <v>124</v>
      </c>
      <c r="T20" s="200"/>
      <c r="U20" s="211"/>
      <c r="V20" s="212"/>
      <c r="W20" s="212"/>
      <c r="X20" s="212"/>
      <c r="Y20" s="212"/>
      <c r="Z20" s="212" t="e">
        <f t="shared" si="5"/>
        <v>#N/A</v>
      </c>
      <c r="AA20" s="212"/>
      <c r="AB20" s="212" t="str">
        <f t="shared" si="1"/>
        <v>SISTEM PEMERINTAHAN BERBASIS ELEKTRONIK</v>
      </c>
      <c r="AC20" s="212" t="str">
        <f t="shared" si="2"/>
        <v>SISTEM PEMERINTAHAN BERBASIS ELEKTRONIK</v>
      </c>
      <c r="AD20" s="212" t="str">
        <f t="shared" si="3"/>
        <v>SISTEM PEMERINTAHAN BERBASIS ELEKTRONIK</v>
      </c>
      <c r="AE20" s="213" t="str">
        <f t="shared" si="4"/>
        <v>SISTEM PEMERINTAHAN BERBASIS ELEKTRONIK</v>
      </c>
    </row>
    <row r="21" spans="1:31" ht="45" x14ac:dyDescent="0.25">
      <c r="A21" s="49" t="s">
        <v>126</v>
      </c>
      <c r="B21" s="58" t="s">
        <v>127</v>
      </c>
      <c r="C21" s="47">
        <v>3</v>
      </c>
      <c r="D21" s="298"/>
      <c r="E21" s="298"/>
      <c r="G21" s="135"/>
      <c r="L21" s="52" t="s">
        <v>126</v>
      </c>
      <c r="M21" s="52" t="s">
        <v>126</v>
      </c>
      <c r="O21" s="52"/>
      <c r="P21" s="52" t="s">
        <v>126</v>
      </c>
      <c r="Q21" s="52"/>
      <c r="R21" s="102"/>
      <c r="T21" s="200"/>
      <c r="U21" s="211"/>
      <c r="V21" s="212"/>
      <c r="W21" s="212"/>
      <c r="X21" s="212"/>
      <c r="Y21" s="212" t="str">
        <f t="shared" si="7"/>
        <v>MANAJEMEN PROYEK TEKNOLOGI INFORMASI</v>
      </c>
      <c r="Z21" s="212" t="str">
        <f t="shared" si="5"/>
        <v>MANAJEMEN PROYEK TEKNOLOGI INFORMASI</v>
      </c>
      <c r="AA21" s="212"/>
      <c r="AB21" s="212" t="e">
        <f t="shared" si="1"/>
        <v>#N/A</v>
      </c>
      <c r="AC21" s="212" t="str">
        <f t="shared" si="2"/>
        <v>MANAJEMEN PROYEK TEKNOLOGI INFORMASI</v>
      </c>
      <c r="AD21" s="212" t="e">
        <f t="shared" si="3"/>
        <v>#N/A</v>
      </c>
      <c r="AE21" s="213" t="e">
        <f t="shared" si="4"/>
        <v>#N/A</v>
      </c>
    </row>
    <row r="22" spans="1:31" ht="26.25" thickBot="1" x14ac:dyDescent="0.3">
      <c r="A22" s="55" t="s">
        <v>128</v>
      </c>
      <c r="B22" s="84" t="s">
        <v>129</v>
      </c>
      <c r="C22" s="105">
        <v>3</v>
      </c>
      <c r="D22" s="301"/>
      <c r="E22" s="299"/>
      <c r="G22" s="137"/>
      <c r="H22" s="142"/>
      <c r="I22" s="142"/>
      <c r="J22" s="106" t="s">
        <v>128</v>
      </c>
      <c r="K22" s="106"/>
      <c r="L22" s="106"/>
      <c r="M22" s="142"/>
      <c r="N22" s="142"/>
      <c r="O22" s="142"/>
      <c r="P22" s="106" t="s">
        <v>128</v>
      </c>
      <c r="Q22" s="106"/>
      <c r="R22" s="107"/>
      <c r="T22" s="201"/>
      <c r="U22" s="214"/>
      <c r="V22" s="215"/>
      <c r="W22" s="215" t="str">
        <f t="shared" si="7"/>
        <v>KOTA CERDAS</v>
      </c>
      <c r="X22" s="215" t="e">
        <f t="shared" si="7"/>
        <v>#N/A</v>
      </c>
      <c r="Y22" s="215" t="e">
        <f t="shared" si="7"/>
        <v>#N/A</v>
      </c>
      <c r="Z22" s="215"/>
      <c r="AA22" s="215"/>
      <c r="AB22" s="215"/>
      <c r="AC22" s="215" t="str">
        <f t="shared" si="2"/>
        <v>KOTA CERDAS</v>
      </c>
      <c r="AD22" s="215" t="e">
        <f t="shared" si="3"/>
        <v>#N/A</v>
      </c>
      <c r="AE22" s="216" t="e">
        <f t="shared" si="4"/>
        <v>#N/A</v>
      </c>
    </row>
    <row r="23" spans="1:31" ht="25.5" x14ac:dyDescent="0.25">
      <c r="A23" s="132" t="s">
        <v>130</v>
      </c>
      <c r="B23" s="133" t="s">
        <v>131</v>
      </c>
      <c r="C23" s="99">
        <v>4</v>
      </c>
      <c r="D23" s="300">
        <v>4</v>
      </c>
      <c r="E23" s="297">
        <v>6</v>
      </c>
      <c r="G23" s="145" t="s">
        <v>144</v>
      </c>
      <c r="H23" s="146" t="s">
        <v>130</v>
      </c>
      <c r="I23" s="121" t="s">
        <v>130</v>
      </c>
      <c r="J23" s="141"/>
      <c r="K23" s="141"/>
      <c r="L23" s="141"/>
      <c r="M23" s="141"/>
      <c r="N23" s="141"/>
      <c r="O23" s="141"/>
      <c r="P23" s="121" t="s">
        <v>130</v>
      </c>
      <c r="Q23" s="141"/>
      <c r="R23" s="122"/>
      <c r="T23" s="206" t="s">
        <v>144</v>
      </c>
      <c r="U23" s="208" t="str">
        <f t="shared" si="7"/>
        <v>PUBLIKASI</v>
      </c>
      <c r="V23" s="209" t="str">
        <f t="shared" si="7"/>
        <v>PUBLIKASI</v>
      </c>
      <c r="W23" s="209"/>
      <c r="X23" s="209"/>
      <c r="Y23" s="209"/>
      <c r="Z23" s="209"/>
      <c r="AA23" s="209"/>
      <c r="AB23" s="209"/>
      <c r="AC23" s="209" t="str">
        <f t="shared" si="2"/>
        <v>PUBLIKASI</v>
      </c>
      <c r="AD23" s="209"/>
      <c r="AE23" s="210" t="e">
        <f t="shared" si="4"/>
        <v>#N/A</v>
      </c>
    </row>
    <row r="24" spans="1:31" ht="68.25" thickBot="1" x14ac:dyDescent="0.3">
      <c r="A24" s="50" t="s">
        <v>132</v>
      </c>
      <c r="B24" s="81" t="s">
        <v>133</v>
      </c>
      <c r="C24" s="105">
        <v>2</v>
      </c>
      <c r="D24" s="301"/>
      <c r="E24" s="299"/>
      <c r="G24" s="137"/>
      <c r="H24" s="118" t="s">
        <v>132</v>
      </c>
      <c r="I24" s="119" t="s">
        <v>132</v>
      </c>
      <c r="J24" s="142"/>
      <c r="K24" s="142"/>
      <c r="L24" s="142"/>
      <c r="M24" s="142"/>
      <c r="N24" s="142"/>
      <c r="O24" s="142"/>
      <c r="P24" s="119"/>
      <c r="Q24" s="142"/>
      <c r="R24" s="144"/>
      <c r="T24" s="201"/>
      <c r="U24" s="214" t="str">
        <f t="shared" si="7"/>
        <v>STRATEGI TEKNOPRENEURSHIP DAN INOVASI DIGITAL</v>
      </c>
      <c r="V24" s="215" t="str">
        <f t="shared" si="7"/>
        <v>STRATEGI TEKNOPRENEURSHIP DAN INOVASI DIGITAL</v>
      </c>
      <c r="W24" s="215"/>
      <c r="X24" s="215"/>
      <c r="Y24" s="215"/>
      <c r="Z24" s="215"/>
      <c r="AA24" s="215"/>
      <c r="AB24" s="215"/>
      <c r="AC24" s="215" t="e">
        <f t="shared" si="2"/>
        <v>#N/A</v>
      </c>
      <c r="AD24" s="215"/>
      <c r="AE24" s="216"/>
    </row>
    <row r="25" spans="1:31" x14ac:dyDescent="0.25">
      <c r="C25">
        <f>(SUM(C2:C24))-9</f>
        <v>54</v>
      </c>
    </row>
  </sheetData>
  <mergeCells count="8">
    <mergeCell ref="E2:E7"/>
    <mergeCell ref="E8:E12"/>
    <mergeCell ref="E13:E22"/>
    <mergeCell ref="E23:E24"/>
    <mergeCell ref="D2:D7"/>
    <mergeCell ref="D8:D12"/>
    <mergeCell ref="D13:D22"/>
    <mergeCell ref="D23:D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277B3-C0DF-47A2-A2C2-4B6AA9CD612C}">
  <dimension ref="A1:W12"/>
  <sheetViews>
    <sheetView workbookViewId="0">
      <selection activeCell="B11" sqref="B11"/>
    </sheetView>
  </sheetViews>
  <sheetFormatPr defaultColWidth="15.5703125" defaultRowHeight="15" x14ac:dyDescent="0.25"/>
  <cols>
    <col min="1" max="1" width="9" style="246" bestFit="1" customWidth="1"/>
    <col min="2" max="2" width="12.28515625" style="246" bestFit="1" customWidth="1"/>
    <col min="3" max="3" width="11.140625" style="246" bestFit="1" customWidth="1"/>
    <col min="4" max="4" width="15.42578125" style="246" bestFit="1" customWidth="1"/>
    <col min="5" max="5" width="13.42578125" style="246" bestFit="1" customWidth="1"/>
    <col min="6" max="6" width="13.7109375" style="246" bestFit="1" customWidth="1"/>
    <col min="7" max="7" width="13.5703125" style="246" bestFit="1" customWidth="1"/>
    <col min="8" max="9" width="14.42578125" style="246" bestFit="1" customWidth="1"/>
    <col min="10" max="10" width="12.5703125" style="246" bestFit="1" customWidth="1"/>
    <col min="11" max="11" width="14.85546875" style="246" bestFit="1" customWidth="1"/>
    <col min="12" max="12" width="14.140625" style="246" bestFit="1" customWidth="1"/>
    <col min="13" max="13" width="4.7109375" style="246" bestFit="1" customWidth="1"/>
    <col min="14" max="14" width="15.5703125" style="246"/>
    <col min="15" max="15" width="15.28515625" style="246" bestFit="1" customWidth="1"/>
    <col min="16" max="16" width="14.85546875" style="246" bestFit="1" customWidth="1"/>
    <col min="17" max="17" width="15.28515625" style="246" bestFit="1" customWidth="1"/>
    <col min="18" max="18" width="15.5703125" style="246"/>
    <col min="19" max="19" width="11.42578125" style="246" bestFit="1" customWidth="1"/>
    <col min="20" max="20" width="14.7109375" style="246" bestFit="1" customWidth="1"/>
    <col min="21" max="21" width="10.140625" style="246" bestFit="1" customWidth="1"/>
    <col min="22" max="22" width="7.85546875" style="246" bestFit="1" customWidth="1"/>
    <col min="23" max="23" width="15.140625" style="246" bestFit="1" customWidth="1"/>
    <col min="24" max="16384" width="15.5703125" style="246"/>
  </cols>
  <sheetData>
    <row r="1" spans="1:23" x14ac:dyDescent="0.25">
      <c r="A1" s="247" t="s">
        <v>14</v>
      </c>
      <c r="B1" s="302" t="s">
        <v>141</v>
      </c>
      <c r="C1" s="303"/>
      <c r="D1" s="303"/>
      <c r="E1" s="303"/>
      <c r="F1" s="304"/>
      <c r="G1" s="302" t="s">
        <v>142</v>
      </c>
      <c r="H1" s="303"/>
      <c r="I1" s="303"/>
      <c r="J1" s="303"/>
      <c r="K1" s="304"/>
      <c r="L1" s="302" t="s">
        <v>143</v>
      </c>
      <c r="M1" s="303"/>
      <c r="N1" s="303"/>
      <c r="O1" s="303"/>
      <c r="P1" s="303"/>
      <c r="Q1" s="303"/>
      <c r="R1" s="303"/>
      <c r="S1" s="303"/>
      <c r="T1" s="303"/>
      <c r="U1" s="304"/>
      <c r="V1" s="302" t="s">
        <v>144</v>
      </c>
      <c r="W1" s="304"/>
    </row>
    <row r="2" spans="1:23" ht="33.75" x14ac:dyDescent="0.25">
      <c r="A2" s="247" t="s">
        <v>17</v>
      </c>
      <c r="B2" s="248"/>
      <c r="C2" s="248"/>
      <c r="D2" s="248"/>
      <c r="E2" s="248"/>
      <c r="F2" s="248"/>
      <c r="G2" s="248"/>
      <c r="H2" s="248"/>
      <c r="I2" s="248"/>
      <c r="J2" s="248"/>
      <c r="K2" s="248"/>
      <c r="L2" s="248"/>
      <c r="M2" s="248" t="s">
        <v>115</v>
      </c>
      <c r="N2" s="248"/>
      <c r="O2" s="248"/>
      <c r="P2" s="248"/>
      <c r="Q2" s="248"/>
      <c r="R2" s="248"/>
      <c r="S2" s="248"/>
      <c r="T2" s="248"/>
      <c r="U2" s="248"/>
      <c r="V2" s="248" t="s">
        <v>131</v>
      </c>
      <c r="W2" s="248" t="s">
        <v>133</v>
      </c>
    </row>
    <row r="3" spans="1:23" ht="33.75" x14ac:dyDescent="0.25">
      <c r="A3" s="247" t="s">
        <v>20</v>
      </c>
      <c r="B3" s="248"/>
      <c r="C3" s="248"/>
      <c r="D3" s="248"/>
      <c r="E3" s="248"/>
      <c r="F3" s="248"/>
      <c r="G3" s="248"/>
      <c r="H3" s="248"/>
      <c r="I3" s="248"/>
      <c r="J3" s="248"/>
      <c r="K3" s="248"/>
      <c r="L3" s="248"/>
      <c r="M3" s="248" t="s">
        <v>115</v>
      </c>
      <c r="N3" s="248"/>
      <c r="O3" s="248"/>
      <c r="P3" s="248"/>
      <c r="Q3" s="248"/>
      <c r="R3" s="248"/>
      <c r="S3" s="248"/>
      <c r="T3" s="248"/>
      <c r="U3" s="248"/>
      <c r="V3" s="248" t="s">
        <v>131</v>
      </c>
      <c r="W3" s="248" t="s">
        <v>133</v>
      </c>
    </row>
    <row r="4" spans="1:23" ht="33.75" x14ac:dyDescent="0.25">
      <c r="A4" s="247" t="s">
        <v>22</v>
      </c>
      <c r="B4" s="248"/>
      <c r="C4" s="248"/>
      <c r="D4" s="248"/>
      <c r="E4" s="248" t="s">
        <v>99</v>
      </c>
      <c r="F4" s="248"/>
      <c r="G4" s="248" t="s">
        <v>103</v>
      </c>
      <c r="H4" s="248"/>
      <c r="I4" s="248"/>
      <c r="J4" s="248"/>
      <c r="K4" s="248"/>
      <c r="L4" s="248"/>
      <c r="M4" s="248"/>
      <c r="N4" s="248"/>
      <c r="O4" s="248"/>
      <c r="P4" s="248" t="s">
        <v>120</v>
      </c>
      <c r="Q4" s="248" t="s">
        <v>122</v>
      </c>
      <c r="R4" s="248"/>
      <c r="S4" s="248"/>
      <c r="T4" s="248"/>
      <c r="U4" s="248" t="s">
        <v>129</v>
      </c>
      <c r="V4" s="248"/>
      <c r="W4" s="248"/>
    </row>
    <row r="5" spans="1:23" ht="33.75" x14ac:dyDescent="0.25">
      <c r="A5" s="247" t="s">
        <v>25</v>
      </c>
      <c r="B5" s="248"/>
      <c r="C5" s="248"/>
      <c r="D5" s="248"/>
      <c r="E5" s="248" t="s">
        <v>99</v>
      </c>
      <c r="F5" s="248"/>
      <c r="G5" s="248"/>
      <c r="H5" s="248"/>
      <c r="I5" s="248"/>
      <c r="J5" s="248"/>
      <c r="K5" s="248"/>
      <c r="L5" s="248"/>
      <c r="M5" s="248"/>
      <c r="N5" s="248"/>
      <c r="O5" s="248"/>
      <c r="P5" s="248"/>
      <c r="Q5" s="248"/>
      <c r="R5" s="248"/>
      <c r="S5" s="248"/>
      <c r="T5" s="248"/>
      <c r="U5" s="248"/>
      <c r="V5" s="248"/>
      <c r="W5" s="248"/>
    </row>
    <row r="6" spans="1:23" ht="33.75" x14ac:dyDescent="0.25">
      <c r="A6" s="247" t="s">
        <v>27</v>
      </c>
      <c r="B6" s="248" t="s">
        <v>93</v>
      </c>
      <c r="C6" s="248" t="s">
        <v>95</v>
      </c>
      <c r="D6" s="248" t="s">
        <v>97</v>
      </c>
      <c r="E6" s="248"/>
      <c r="F6" s="248"/>
      <c r="G6" s="248"/>
      <c r="H6" s="248"/>
      <c r="I6" s="248"/>
      <c r="J6" s="248"/>
      <c r="K6" s="248" t="s">
        <v>111</v>
      </c>
      <c r="L6" s="248"/>
      <c r="M6" s="248"/>
      <c r="N6" s="248"/>
      <c r="O6" s="248" t="s">
        <v>118</v>
      </c>
      <c r="P6" s="248"/>
      <c r="Q6" s="248"/>
      <c r="R6" s="248"/>
      <c r="S6" s="248"/>
      <c r="T6" s="248" t="s">
        <v>127</v>
      </c>
      <c r="U6" s="248"/>
      <c r="V6" s="248"/>
      <c r="W6" s="248"/>
    </row>
    <row r="7" spans="1:23" ht="33.75" x14ac:dyDescent="0.25">
      <c r="A7" s="247" t="s">
        <v>30</v>
      </c>
      <c r="B7" s="248"/>
      <c r="C7" s="248"/>
      <c r="D7" s="248"/>
      <c r="E7" s="248"/>
      <c r="F7" s="248"/>
      <c r="G7" s="248"/>
      <c r="H7" s="248" t="s">
        <v>105</v>
      </c>
      <c r="I7" s="248"/>
      <c r="J7" s="248" t="s">
        <v>109</v>
      </c>
      <c r="K7" s="248"/>
      <c r="L7" s="248"/>
      <c r="M7" s="248"/>
      <c r="N7" s="248"/>
      <c r="O7" s="248"/>
      <c r="P7" s="248"/>
      <c r="Q7" s="248" t="s">
        <v>122</v>
      </c>
      <c r="R7" s="248"/>
      <c r="S7" s="248"/>
      <c r="T7" s="248" t="s">
        <v>127</v>
      </c>
      <c r="U7" s="248"/>
      <c r="V7" s="248"/>
      <c r="W7" s="248"/>
    </row>
    <row r="8" spans="1:23" ht="45" x14ac:dyDescent="0.25">
      <c r="A8" s="247" t="s">
        <v>32</v>
      </c>
      <c r="B8" s="248"/>
      <c r="C8" s="248"/>
      <c r="D8" s="248"/>
      <c r="E8" s="248"/>
      <c r="F8" s="248"/>
      <c r="G8" s="248"/>
      <c r="H8" s="248"/>
      <c r="I8" s="248" t="s">
        <v>107</v>
      </c>
      <c r="J8" s="248"/>
      <c r="K8" s="248"/>
      <c r="L8" s="248" t="s">
        <v>113</v>
      </c>
      <c r="M8" s="248"/>
      <c r="N8" s="248"/>
      <c r="O8" s="248"/>
      <c r="P8" s="248"/>
      <c r="Q8" s="248"/>
      <c r="R8" s="248"/>
      <c r="S8" s="248"/>
      <c r="T8" s="248"/>
      <c r="U8" s="248"/>
      <c r="V8" s="248"/>
      <c r="W8" s="248"/>
    </row>
    <row r="9" spans="1:23" ht="45" x14ac:dyDescent="0.25">
      <c r="A9" s="247" t="s">
        <v>35</v>
      </c>
      <c r="B9" s="248"/>
      <c r="C9" s="248"/>
      <c r="D9" s="248"/>
      <c r="E9" s="248"/>
      <c r="F9" s="248" t="s">
        <v>101</v>
      </c>
      <c r="G9" s="248"/>
      <c r="H9" s="248" t="s">
        <v>105</v>
      </c>
      <c r="I9" s="248"/>
      <c r="J9" s="248"/>
      <c r="K9" s="248"/>
      <c r="L9" s="248"/>
      <c r="M9" s="248"/>
      <c r="N9" s="248"/>
      <c r="O9" s="248"/>
      <c r="P9" s="248"/>
      <c r="Q9" s="248"/>
      <c r="R9" s="248"/>
      <c r="S9" s="248" t="s">
        <v>125</v>
      </c>
      <c r="T9" s="248"/>
      <c r="U9" s="248"/>
      <c r="V9" s="248"/>
      <c r="W9" s="248"/>
    </row>
    <row r="10" spans="1:23" ht="45" x14ac:dyDescent="0.25">
      <c r="A10" s="247" t="s">
        <v>43</v>
      </c>
      <c r="B10" s="248"/>
      <c r="C10" s="248"/>
      <c r="D10" s="248"/>
      <c r="E10" s="248"/>
      <c r="F10" s="248"/>
      <c r="G10" s="248"/>
      <c r="H10" s="248"/>
      <c r="I10" s="248"/>
      <c r="J10" s="248"/>
      <c r="K10" s="248"/>
      <c r="L10" s="248"/>
      <c r="M10" s="248" t="s">
        <v>115</v>
      </c>
      <c r="N10" s="248"/>
      <c r="O10" s="248" t="s">
        <v>118</v>
      </c>
      <c r="P10" s="248"/>
      <c r="Q10" s="248" t="s">
        <v>122</v>
      </c>
      <c r="R10" s="248"/>
      <c r="S10" s="248" t="s">
        <v>125</v>
      </c>
      <c r="T10" s="248" t="s">
        <v>127</v>
      </c>
      <c r="U10" s="248" t="s">
        <v>129</v>
      </c>
      <c r="V10" s="248" t="s">
        <v>131</v>
      </c>
      <c r="W10" s="248"/>
    </row>
    <row r="11" spans="1:23" ht="45" x14ac:dyDescent="0.25">
      <c r="A11" s="247" t="s">
        <v>44</v>
      </c>
      <c r="B11" s="248" t="s">
        <v>93</v>
      </c>
      <c r="C11" s="248" t="s">
        <v>95</v>
      </c>
      <c r="D11" s="248" t="s">
        <v>97</v>
      </c>
      <c r="E11" s="248"/>
      <c r="F11" s="248"/>
      <c r="G11" s="248"/>
      <c r="H11" s="248"/>
      <c r="I11" s="248"/>
      <c r="J11" s="248" t="s">
        <v>109</v>
      </c>
      <c r="K11" s="248" t="s">
        <v>111</v>
      </c>
      <c r="L11" s="248"/>
      <c r="M11" s="248"/>
      <c r="N11" s="248"/>
      <c r="O11" s="248"/>
      <c r="P11" s="248"/>
      <c r="Q11" s="248"/>
      <c r="R11" s="248"/>
      <c r="S11" s="248" t="s">
        <v>125</v>
      </c>
      <c r="T11" s="248"/>
      <c r="U11" s="248"/>
      <c r="V11" s="248"/>
      <c r="W11" s="248"/>
    </row>
    <row r="12" spans="1:23" ht="45" x14ac:dyDescent="0.25">
      <c r="A12" s="247" t="s">
        <v>45</v>
      </c>
      <c r="B12" s="248"/>
      <c r="C12" s="248"/>
      <c r="D12" s="248"/>
      <c r="E12" s="248" t="s">
        <v>99</v>
      </c>
      <c r="F12" s="248" t="s">
        <v>101</v>
      </c>
      <c r="G12" s="248" t="s">
        <v>103</v>
      </c>
      <c r="H12" s="248" t="s">
        <v>105</v>
      </c>
      <c r="I12" s="248" t="s">
        <v>107</v>
      </c>
      <c r="J12" s="248"/>
      <c r="K12" s="248"/>
      <c r="L12" s="248" t="s">
        <v>113</v>
      </c>
      <c r="M12" s="248" t="s">
        <v>115</v>
      </c>
      <c r="N12" s="248"/>
      <c r="O12" s="248"/>
      <c r="P12" s="248" t="s">
        <v>120</v>
      </c>
      <c r="Q12" s="248"/>
      <c r="R12" s="248"/>
      <c r="S12" s="248" t="s">
        <v>125</v>
      </c>
      <c r="T12" s="248"/>
      <c r="U12" s="248"/>
      <c r="V12" s="248"/>
      <c r="W12" s="248"/>
    </row>
  </sheetData>
  <mergeCells count="4">
    <mergeCell ref="B1:F1"/>
    <mergeCell ref="G1:K1"/>
    <mergeCell ref="L1:U1"/>
    <mergeCell ref="V1:W1"/>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5F3C-8154-490C-B5E3-A99638962880}">
  <dimension ref="A1:V30"/>
  <sheetViews>
    <sheetView zoomScale="85" zoomScaleNormal="85" workbookViewId="0">
      <selection activeCell="U3" sqref="U3"/>
    </sheetView>
  </sheetViews>
  <sheetFormatPr defaultRowHeight="12.75" x14ac:dyDescent="0.2"/>
  <cols>
    <col min="1" max="1" width="3.42578125" style="150" bestFit="1" customWidth="1"/>
    <col min="2" max="2" width="9.140625" style="150"/>
    <col min="3" max="3" width="38.7109375" style="150" customWidth="1"/>
    <col min="4" max="4" width="9.140625" style="150"/>
    <col min="5" max="5" width="56.42578125" style="150" customWidth="1"/>
    <col min="6" max="20" width="10.5703125" style="150" customWidth="1"/>
    <col min="21" max="16384" width="9.140625" style="150"/>
  </cols>
  <sheetData>
    <row r="1" spans="1:22" ht="26.25" thickBot="1" x14ac:dyDescent="0.25">
      <c r="A1" s="166" t="s">
        <v>0</v>
      </c>
      <c r="B1" s="166" t="s">
        <v>14</v>
      </c>
      <c r="C1" s="166" t="s">
        <v>15</v>
      </c>
      <c r="D1" s="167" t="s">
        <v>203</v>
      </c>
      <c r="E1" s="168" t="s">
        <v>204</v>
      </c>
      <c r="F1" s="311" t="s">
        <v>141</v>
      </c>
      <c r="G1" s="312"/>
      <c r="H1" s="312"/>
      <c r="I1" s="313"/>
      <c r="J1" s="330" t="s">
        <v>142</v>
      </c>
      <c r="K1" s="331"/>
      <c r="L1" s="332"/>
      <c r="M1" s="311" t="s">
        <v>143</v>
      </c>
      <c r="N1" s="312"/>
      <c r="O1" s="312"/>
      <c r="P1" s="312"/>
      <c r="Q1" s="312"/>
      <c r="R1" s="312"/>
      <c r="S1" s="312"/>
      <c r="T1" s="313"/>
      <c r="U1" s="305" t="s">
        <v>144</v>
      </c>
      <c r="V1" s="306"/>
    </row>
    <row r="2" spans="1:22" ht="51" x14ac:dyDescent="0.2">
      <c r="A2" s="327">
        <v>1</v>
      </c>
      <c r="B2" s="324" t="s">
        <v>17</v>
      </c>
      <c r="C2" s="321" t="s">
        <v>18</v>
      </c>
      <c r="D2" s="169" t="s">
        <v>145</v>
      </c>
      <c r="E2" s="170" t="s">
        <v>146</v>
      </c>
      <c r="F2" s="171"/>
      <c r="G2" s="172"/>
      <c r="H2" s="172"/>
      <c r="I2" s="173"/>
      <c r="J2" s="171"/>
      <c r="K2" s="218"/>
      <c r="L2" s="224"/>
      <c r="M2" s="174" t="s">
        <v>114</v>
      </c>
      <c r="N2" s="172"/>
      <c r="O2" s="172"/>
      <c r="P2" s="175"/>
      <c r="Q2" s="175"/>
      <c r="R2" s="175"/>
      <c r="S2" s="175"/>
      <c r="T2" s="176"/>
      <c r="U2" s="177" t="s">
        <v>130</v>
      </c>
      <c r="V2" s="178" t="s">
        <v>132</v>
      </c>
    </row>
    <row r="3" spans="1:22" ht="68.25" thickBot="1" x14ac:dyDescent="0.25">
      <c r="A3" s="329"/>
      <c r="B3" s="326"/>
      <c r="C3" s="323"/>
      <c r="D3" s="179" t="s">
        <v>147</v>
      </c>
      <c r="E3" s="180" t="s">
        <v>148</v>
      </c>
      <c r="F3" s="181"/>
      <c r="G3" s="182"/>
      <c r="H3" s="182"/>
      <c r="I3" s="165"/>
      <c r="J3" s="181"/>
      <c r="K3" s="219"/>
      <c r="L3" s="225"/>
      <c r="M3" s="183" t="str">
        <f>VLOOKUP(M2,'CPL-MK'!$A$2:$B$24,2)</f>
        <v>TESIS</v>
      </c>
      <c r="N3" s="182"/>
      <c r="O3" s="182"/>
      <c r="P3" s="162"/>
      <c r="Q3" s="162"/>
      <c r="R3" s="162"/>
      <c r="S3" s="162"/>
      <c r="T3" s="163"/>
      <c r="U3" s="183" t="str">
        <f>VLOOKUP(U2,'CPL-MK'!$A$2:$B$24,2)</f>
        <v>PUBLIKASI</v>
      </c>
      <c r="V3" s="184" t="str">
        <f>VLOOKUP(V2,'CPL-MK'!$A$2:$B$24,2)</f>
        <v>STRATEGI TEKNOPRENEURSHIP DAN INOVASI DIGITAL</v>
      </c>
    </row>
    <row r="4" spans="1:22" ht="63.75" x14ac:dyDescent="0.2">
      <c r="A4" s="327">
        <v>2</v>
      </c>
      <c r="B4" s="324" t="s">
        <v>20</v>
      </c>
      <c r="C4" s="321" t="s">
        <v>21</v>
      </c>
      <c r="D4" s="188" t="s">
        <v>149</v>
      </c>
      <c r="E4" s="189" t="s">
        <v>150</v>
      </c>
      <c r="F4" s="177"/>
      <c r="G4" s="172"/>
      <c r="H4" s="172"/>
      <c r="I4" s="173"/>
      <c r="J4" s="171"/>
      <c r="K4" s="218"/>
      <c r="L4" s="224"/>
      <c r="M4" s="174" t="s">
        <v>114</v>
      </c>
      <c r="N4" s="172"/>
      <c r="O4" s="172"/>
      <c r="P4" s="175"/>
      <c r="Q4" s="175"/>
      <c r="R4" s="175"/>
      <c r="S4" s="175"/>
      <c r="T4" s="176"/>
      <c r="U4" s="177" t="s">
        <v>130</v>
      </c>
      <c r="V4" s="178" t="s">
        <v>132</v>
      </c>
    </row>
    <row r="5" spans="1:22" ht="68.25" thickBot="1" x14ac:dyDescent="0.25">
      <c r="A5" s="329"/>
      <c r="B5" s="326"/>
      <c r="C5" s="323"/>
      <c r="D5" s="179" t="s">
        <v>151</v>
      </c>
      <c r="E5" s="180" t="s">
        <v>152</v>
      </c>
      <c r="F5" s="183" t="e">
        <f>VLOOKUP(F4,'CPL-MK'!$A$2:$B$24,2)</f>
        <v>#N/A</v>
      </c>
      <c r="G5" s="182"/>
      <c r="H5" s="182"/>
      <c r="I5" s="165"/>
      <c r="J5" s="181"/>
      <c r="K5" s="219"/>
      <c r="L5" s="225"/>
      <c r="M5" s="183" t="str">
        <f>VLOOKUP(M4,'CPL-MK'!$A$2:$B$24,2)</f>
        <v>TESIS</v>
      </c>
      <c r="N5" s="182"/>
      <c r="O5" s="182"/>
      <c r="P5" s="162"/>
      <c r="Q5" s="162"/>
      <c r="R5" s="162"/>
      <c r="S5" s="162"/>
      <c r="T5" s="163"/>
      <c r="U5" s="183" t="str">
        <f>VLOOKUP(U4,'CPL-MK'!$A$2:$B$24,2)</f>
        <v>PUBLIKASI</v>
      </c>
      <c r="V5" s="184" t="str">
        <f>VLOOKUP(V4,'CPL-MK'!$A$2:$B$24,2)</f>
        <v>STRATEGI TEKNOPRENEURSHIP DAN INOVASI DIGITAL</v>
      </c>
    </row>
    <row r="6" spans="1:22" ht="38.25" x14ac:dyDescent="0.2">
      <c r="A6" s="327">
        <v>3</v>
      </c>
      <c r="B6" s="324" t="s">
        <v>22</v>
      </c>
      <c r="C6" s="321" t="s">
        <v>23</v>
      </c>
      <c r="D6" s="188" t="s">
        <v>153</v>
      </c>
      <c r="E6" s="189" t="s">
        <v>154</v>
      </c>
      <c r="F6" s="190" t="s">
        <v>98</v>
      </c>
      <c r="G6" s="172"/>
      <c r="H6" s="172"/>
      <c r="I6" s="173"/>
      <c r="J6" s="174" t="s">
        <v>102</v>
      </c>
      <c r="K6" s="192"/>
      <c r="L6" s="191"/>
      <c r="M6" s="190" t="s">
        <v>119</v>
      </c>
      <c r="N6" s="192" t="s">
        <v>121</v>
      </c>
      <c r="O6" s="192" t="s">
        <v>128</v>
      </c>
      <c r="P6" s="175"/>
      <c r="Q6" s="175"/>
      <c r="R6" s="175"/>
      <c r="S6" s="175"/>
      <c r="T6" s="176"/>
      <c r="U6" s="171"/>
      <c r="V6" s="173"/>
    </row>
    <row r="7" spans="1:22" ht="76.5" x14ac:dyDescent="0.2">
      <c r="A7" s="328"/>
      <c r="B7" s="325"/>
      <c r="C7" s="322"/>
      <c r="D7" s="151" t="s">
        <v>155</v>
      </c>
      <c r="E7" s="154" t="s">
        <v>156</v>
      </c>
      <c r="F7" s="158" t="str">
        <f>VLOOKUP(F6,'CPL-MK'!$A$2:$B$24,2)</f>
        <v>MANAJEMEN STRATEGIS SISTEM INFORMASI</v>
      </c>
      <c r="I7" s="157"/>
      <c r="J7" s="158" t="str">
        <f>VLOOKUP(J6,'CPL-MK'!$A$2:$B$24,2)</f>
        <v>METODOLOGI PENELITIAN DAN PENULISAN ILMIAH</v>
      </c>
      <c r="K7" s="220" t="e">
        <f>VLOOKUP(K6,'CPL-MK'!$A$2:$B$24,2)</f>
        <v>#N/A</v>
      </c>
      <c r="L7" s="226"/>
      <c r="M7" s="158" t="str">
        <f>VLOOKUP(M6,'CPL-MK'!$A$2:$B$24,2)</f>
        <v>KECERDASAN BISNIS</v>
      </c>
      <c r="N7" s="159" t="str">
        <f>VLOOKUP(N6,'CPL-MK'!$A$2:$B$24,2)</f>
        <v>TATA KELOLA DAN AUDIT BISNIS DIGITAL</v>
      </c>
      <c r="O7" s="159" t="str">
        <f>VLOOKUP(O6,'CPL-MK'!$A$2:$B$24,2)</f>
        <v>KOTA CERDAS</v>
      </c>
      <c r="P7" s="159"/>
      <c r="Q7" s="159"/>
      <c r="R7" s="159"/>
      <c r="S7" s="159"/>
      <c r="T7" s="160"/>
      <c r="U7" s="156"/>
      <c r="V7" s="157"/>
    </row>
    <row r="8" spans="1:22" ht="51.75" thickBot="1" x14ac:dyDescent="0.25">
      <c r="A8" s="329"/>
      <c r="B8" s="326"/>
      <c r="C8" s="323"/>
      <c r="D8" s="179" t="s">
        <v>157</v>
      </c>
      <c r="E8" s="180" t="s">
        <v>158</v>
      </c>
      <c r="F8" s="161"/>
      <c r="G8" s="182"/>
      <c r="H8" s="182"/>
      <c r="I8" s="165"/>
      <c r="J8" s="161"/>
      <c r="K8" s="221"/>
      <c r="L8" s="227"/>
      <c r="M8" s="161"/>
      <c r="N8" s="162"/>
      <c r="O8" s="162"/>
      <c r="P8" s="162"/>
      <c r="Q8" s="162"/>
      <c r="R8" s="162"/>
      <c r="S8" s="162"/>
      <c r="T8" s="163"/>
      <c r="U8" s="181"/>
      <c r="V8" s="165"/>
    </row>
    <row r="9" spans="1:22" ht="51" x14ac:dyDescent="0.2">
      <c r="A9" s="327">
        <v>4</v>
      </c>
      <c r="B9" s="324" t="s">
        <v>25</v>
      </c>
      <c r="C9" s="321" t="s">
        <v>26</v>
      </c>
      <c r="D9" s="188" t="s">
        <v>159</v>
      </c>
      <c r="E9" s="189" t="s">
        <v>160</v>
      </c>
      <c r="F9" s="190" t="s">
        <v>98</v>
      </c>
      <c r="G9" s="172"/>
      <c r="H9" s="172"/>
      <c r="I9" s="173"/>
      <c r="J9" s="193"/>
      <c r="K9" s="218"/>
      <c r="L9" s="224"/>
      <c r="M9" s="190"/>
      <c r="N9" s="192"/>
      <c r="O9" s="192"/>
      <c r="P9" s="175"/>
      <c r="Q9" s="175"/>
      <c r="R9" s="175"/>
      <c r="S9" s="175"/>
      <c r="T9" s="176"/>
      <c r="U9" s="171"/>
      <c r="V9" s="173"/>
    </row>
    <row r="10" spans="1:22" ht="76.5" x14ac:dyDescent="0.2">
      <c r="A10" s="328"/>
      <c r="B10" s="325"/>
      <c r="C10" s="322"/>
      <c r="D10" s="151" t="s">
        <v>161</v>
      </c>
      <c r="E10" s="154" t="s">
        <v>162</v>
      </c>
      <c r="F10" s="158" t="str">
        <f>VLOOKUP(F9,'CPL-MK'!$A$2:$B$24,2)</f>
        <v>MANAJEMEN STRATEGIS SISTEM INFORMASI</v>
      </c>
      <c r="I10" s="157"/>
      <c r="J10" s="158" t="e">
        <f>VLOOKUP(J9,'CPL-MK'!$A$2:$B$24,2)</f>
        <v>#N/A</v>
      </c>
      <c r="K10" s="222"/>
      <c r="L10" s="228"/>
      <c r="M10" s="158" t="e">
        <f>VLOOKUP(M9,'CPL-MK'!$A$2:$B$24,2)</f>
        <v>#N/A</v>
      </c>
      <c r="N10" s="159" t="e">
        <f>VLOOKUP(N9,'CPL-MK'!$A$2:$B$24,2)</f>
        <v>#N/A</v>
      </c>
      <c r="O10" s="159" t="e">
        <f>VLOOKUP(O9,'CPL-MK'!$A$2:$B$24,2)</f>
        <v>#N/A</v>
      </c>
      <c r="P10" s="159"/>
      <c r="Q10" s="159"/>
      <c r="R10" s="159"/>
      <c r="S10" s="159"/>
      <c r="T10" s="160"/>
      <c r="U10" s="156"/>
      <c r="V10" s="157"/>
    </row>
    <row r="11" spans="1:22" ht="51.75" thickBot="1" x14ac:dyDescent="0.25">
      <c r="A11" s="329"/>
      <c r="B11" s="326"/>
      <c r="C11" s="323"/>
      <c r="D11" s="179" t="s">
        <v>163</v>
      </c>
      <c r="E11" s="180" t="s">
        <v>164</v>
      </c>
      <c r="F11" s="161"/>
      <c r="G11" s="162"/>
      <c r="H11" s="162"/>
      <c r="I11" s="165"/>
      <c r="J11" s="161"/>
      <c r="K11" s="221"/>
      <c r="L11" s="227"/>
      <c r="M11" s="161"/>
      <c r="N11" s="162"/>
      <c r="O11" s="162"/>
      <c r="P11" s="162"/>
      <c r="Q11" s="162"/>
      <c r="R11" s="162"/>
      <c r="S11" s="162"/>
      <c r="T11" s="163"/>
      <c r="U11" s="181"/>
      <c r="V11" s="165"/>
    </row>
    <row r="12" spans="1:22" ht="38.25" x14ac:dyDescent="0.2">
      <c r="A12" s="327">
        <v>5</v>
      </c>
      <c r="B12" s="324" t="s">
        <v>27</v>
      </c>
      <c r="C12" s="321" t="s">
        <v>28</v>
      </c>
      <c r="D12" s="188" t="s">
        <v>165</v>
      </c>
      <c r="E12" s="189" t="s">
        <v>166</v>
      </c>
      <c r="F12" s="190" t="s">
        <v>92</v>
      </c>
      <c r="G12" s="192" t="s">
        <v>94</v>
      </c>
      <c r="H12" s="192" t="s">
        <v>96</v>
      </c>
      <c r="I12" s="173"/>
      <c r="J12" s="177" t="s">
        <v>110</v>
      </c>
      <c r="K12" s="218"/>
      <c r="L12" s="224"/>
      <c r="M12" s="190" t="s">
        <v>117</v>
      </c>
      <c r="N12" s="192" t="s">
        <v>126</v>
      </c>
      <c r="O12" s="192"/>
      <c r="P12" s="175"/>
      <c r="Q12" s="175"/>
      <c r="R12" s="175"/>
      <c r="S12" s="175"/>
      <c r="T12" s="176"/>
      <c r="U12" s="171"/>
      <c r="V12" s="173"/>
    </row>
    <row r="13" spans="1:22" ht="89.25" x14ac:dyDescent="0.2">
      <c r="A13" s="328"/>
      <c r="B13" s="325"/>
      <c r="C13" s="322"/>
      <c r="D13" s="151" t="s">
        <v>167</v>
      </c>
      <c r="E13" s="154" t="s">
        <v>168</v>
      </c>
      <c r="F13" s="158" t="str">
        <f>VLOOKUP(F12,'CPL-MK'!$A$2:$B$24,2)</f>
        <v>PERMODELAN STATISTIK UNTUK BISNIS</v>
      </c>
      <c r="G13" s="159" t="str">
        <f>VLOOKUP(G12,'CPL-MK'!$A$2:$B$24,2)</f>
        <v>MESIN PEMBELAJARAN UNTUK BISNIS</v>
      </c>
      <c r="H13" s="159" t="str">
        <f>VLOOKUP(H12,'CPL-MK'!$A$2:$B$24,2)</f>
        <v>ANALISIS DATA BESAR</v>
      </c>
      <c r="I13" s="157"/>
      <c r="J13" s="158" t="str">
        <f>VLOOKUP(J12,'CPL-MK'!$A$2:$B$24,2)</f>
        <v>SISTEM PENDUKUNG KEPUTUSAN CERDAS</v>
      </c>
      <c r="K13" s="222"/>
      <c r="L13" s="228"/>
      <c r="M13" s="158" t="str">
        <f>VLOOKUP(M12,'CPL-MK'!$A$2:$B$24,2)</f>
        <v>TEKNOLOGI KEUANGAN ( FINTECH ) DAN RESIKO</v>
      </c>
      <c r="N13" s="159" t="str">
        <f>VLOOKUP(N12,'CPL-MK'!$A$2:$B$24,2)</f>
        <v>MANAJEMEN PROYEK TEKNOLOGI INFORMASI</v>
      </c>
      <c r="O13" s="159" t="e">
        <f>VLOOKUP(O12,'CPL-MK'!$A$2:$B$24,2)</f>
        <v>#N/A</v>
      </c>
      <c r="P13" s="159"/>
      <c r="Q13" s="159"/>
      <c r="R13" s="159"/>
      <c r="S13" s="159"/>
      <c r="T13" s="160"/>
      <c r="U13" s="156"/>
      <c r="V13" s="157"/>
    </row>
    <row r="14" spans="1:22" ht="39" thickBot="1" x14ac:dyDescent="0.25">
      <c r="A14" s="329"/>
      <c r="B14" s="326"/>
      <c r="C14" s="323"/>
      <c r="D14" s="179" t="s">
        <v>169</v>
      </c>
      <c r="E14" s="180" t="s">
        <v>170</v>
      </c>
      <c r="F14" s="161"/>
      <c r="G14" s="162"/>
      <c r="H14" s="162"/>
      <c r="I14" s="165"/>
      <c r="J14" s="161"/>
      <c r="K14" s="221"/>
      <c r="L14" s="227"/>
      <c r="M14" s="161"/>
      <c r="N14" s="162"/>
      <c r="O14" s="162"/>
      <c r="P14" s="162"/>
      <c r="Q14" s="162"/>
      <c r="R14" s="162"/>
      <c r="S14" s="162"/>
      <c r="T14" s="163"/>
      <c r="U14" s="181"/>
      <c r="V14" s="165"/>
    </row>
    <row r="15" spans="1:22" ht="51" x14ac:dyDescent="0.2">
      <c r="A15" s="327">
        <v>6</v>
      </c>
      <c r="B15" s="324" t="s">
        <v>30</v>
      </c>
      <c r="C15" s="321" t="s">
        <v>31</v>
      </c>
      <c r="D15" s="188" t="s">
        <v>171</v>
      </c>
      <c r="E15" s="189" t="s">
        <v>172</v>
      </c>
      <c r="F15" s="171"/>
      <c r="G15" s="172"/>
      <c r="H15" s="172"/>
      <c r="I15" s="173"/>
      <c r="J15" s="190" t="s">
        <v>104</v>
      </c>
      <c r="K15" s="192" t="s">
        <v>108</v>
      </c>
      <c r="L15" s="191"/>
      <c r="M15" s="190" t="s">
        <v>121</v>
      </c>
      <c r="N15" s="192"/>
      <c r="O15" s="192" t="s">
        <v>126</v>
      </c>
      <c r="P15" s="175"/>
      <c r="Q15" s="175"/>
      <c r="R15" s="175"/>
      <c r="S15" s="175"/>
      <c r="T15" s="176"/>
      <c r="U15" s="171"/>
      <c r="V15" s="173"/>
    </row>
    <row r="16" spans="1:22" ht="89.25" x14ac:dyDescent="0.2">
      <c r="A16" s="328"/>
      <c r="B16" s="325"/>
      <c r="C16" s="322"/>
      <c r="D16" s="151" t="s">
        <v>173</v>
      </c>
      <c r="E16" s="154" t="s">
        <v>174</v>
      </c>
      <c r="F16" s="156"/>
      <c r="I16" s="157"/>
      <c r="J16" s="158" t="str">
        <f>VLOOKUP(J15,'CPL-MK'!$A$2:$B$24,2)</f>
        <v>REKAYASA KEBUTUHAN SISTEM</v>
      </c>
      <c r="K16" s="220" t="str">
        <f>VLOOKUP(K15,'CPL-MK'!$A$2:$B$24,2)</f>
        <v>KEAMANAN SIBER</v>
      </c>
      <c r="L16" s="226"/>
      <c r="M16" s="158" t="str">
        <f>VLOOKUP(M15,'CPL-MK'!$A$2:$B$24,2)</f>
        <v>TATA KELOLA DAN AUDIT BISNIS DIGITAL</v>
      </c>
      <c r="N16" s="159" t="e">
        <f>VLOOKUP(N15,'CPL-MK'!$A$2:$B$24,2)</f>
        <v>#N/A</v>
      </c>
      <c r="O16" s="159" t="str">
        <f>VLOOKUP(O15,'CPL-MK'!$A$2:$B$24,2)</f>
        <v>MANAJEMEN PROYEK TEKNOLOGI INFORMASI</v>
      </c>
      <c r="P16" s="159"/>
      <c r="Q16" s="159"/>
      <c r="R16" s="159"/>
      <c r="S16" s="159"/>
      <c r="T16" s="160"/>
      <c r="U16" s="156"/>
      <c r="V16" s="157"/>
    </row>
    <row r="17" spans="1:22" ht="51.75" thickBot="1" x14ac:dyDescent="0.25">
      <c r="A17" s="329"/>
      <c r="B17" s="326"/>
      <c r="C17" s="323"/>
      <c r="D17" s="179" t="s">
        <v>175</v>
      </c>
      <c r="E17" s="180" t="s">
        <v>176</v>
      </c>
      <c r="F17" s="161"/>
      <c r="G17" s="162"/>
      <c r="H17" s="162"/>
      <c r="I17" s="165"/>
      <c r="J17" s="161"/>
      <c r="K17" s="221"/>
      <c r="L17" s="227"/>
      <c r="M17" s="161"/>
      <c r="N17" s="162"/>
      <c r="O17" s="162"/>
      <c r="P17" s="162"/>
      <c r="Q17" s="162"/>
      <c r="R17" s="162"/>
      <c r="S17" s="162"/>
      <c r="T17" s="163"/>
      <c r="U17" s="181"/>
      <c r="V17" s="165"/>
    </row>
    <row r="18" spans="1:22" ht="38.25" x14ac:dyDescent="0.2">
      <c r="A18" s="327">
        <v>7</v>
      </c>
      <c r="B18" s="324" t="s">
        <v>32</v>
      </c>
      <c r="C18" s="321" t="s">
        <v>33</v>
      </c>
      <c r="D18" s="188" t="s">
        <v>177</v>
      </c>
      <c r="E18" s="189" t="s">
        <v>178</v>
      </c>
      <c r="F18" s="171"/>
      <c r="G18" s="172"/>
      <c r="H18" s="175"/>
      <c r="I18" s="173"/>
      <c r="J18" s="190" t="s">
        <v>106</v>
      </c>
      <c r="K18" s="218"/>
      <c r="L18" s="224"/>
      <c r="M18" s="190" t="s">
        <v>112</v>
      </c>
      <c r="N18" s="175"/>
      <c r="O18" s="175"/>
      <c r="P18" s="175"/>
      <c r="Q18" s="175"/>
      <c r="R18" s="175"/>
      <c r="S18" s="175"/>
      <c r="T18" s="176"/>
      <c r="U18" s="171"/>
      <c r="V18" s="173"/>
    </row>
    <row r="19" spans="1:22" ht="102" x14ac:dyDescent="0.2">
      <c r="A19" s="328"/>
      <c r="B19" s="325"/>
      <c r="C19" s="322"/>
      <c r="D19" s="151" t="s">
        <v>179</v>
      </c>
      <c r="E19" s="154" t="s">
        <v>180</v>
      </c>
      <c r="F19" s="156"/>
      <c r="H19" s="159"/>
      <c r="I19" s="157"/>
      <c r="J19" s="158" t="str">
        <f>VLOOKUP(J18,'CPL-MK'!$A$2:$B$24,2)</f>
        <v>INTERAKSI MANUSIA DAN KOMPUTER</v>
      </c>
      <c r="K19" s="222"/>
      <c r="L19" s="228"/>
      <c r="M19" s="158" t="str">
        <f>VLOOKUP(M18,'CPL-MK'!$A$2:$B$24,2)</f>
        <v>ARSITEKTUR ENTERPRISE UNTUK TEKNOLOGI INFORMASI</v>
      </c>
      <c r="N19" s="159"/>
      <c r="O19" s="159"/>
      <c r="P19" s="159"/>
      <c r="Q19" s="159"/>
      <c r="R19" s="159"/>
      <c r="S19" s="159"/>
      <c r="T19" s="160"/>
      <c r="U19" s="156"/>
      <c r="V19" s="157"/>
    </row>
    <row r="20" spans="1:22" ht="26.25" thickBot="1" x14ac:dyDescent="0.25">
      <c r="A20" s="329"/>
      <c r="B20" s="326"/>
      <c r="C20" s="323"/>
      <c r="D20" s="179" t="s">
        <v>181</v>
      </c>
      <c r="E20" s="180" t="s">
        <v>182</v>
      </c>
      <c r="F20" s="161"/>
      <c r="G20" s="162"/>
      <c r="H20" s="162"/>
      <c r="I20" s="163"/>
      <c r="J20" s="161"/>
      <c r="K20" s="221"/>
      <c r="L20" s="227"/>
      <c r="M20" s="161"/>
      <c r="N20" s="162"/>
      <c r="O20" s="162"/>
      <c r="P20" s="162"/>
      <c r="Q20" s="162"/>
      <c r="R20" s="162"/>
      <c r="S20" s="162"/>
      <c r="T20" s="163"/>
      <c r="U20" s="181"/>
      <c r="V20" s="165"/>
    </row>
    <row r="21" spans="1:22" ht="51" x14ac:dyDescent="0.2">
      <c r="A21" s="327">
        <v>8</v>
      </c>
      <c r="B21" s="324" t="s">
        <v>35</v>
      </c>
      <c r="C21" s="321" t="s">
        <v>36</v>
      </c>
      <c r="D21" s="188" t="s">
        <v>183</v>
      </c>
      <c r="E21" s="189" t="s">
        <v>184</v>
      </c>
      <c r="F21" s="190"/>
      <c r="G21" s="192"/>
      <c r="H21" s="192"/>
      <c r="I21" s="178" t="s">
        <v>100</v>
      </c>
      <c r="J21" s="190" t="s">
        <v>104</v>
      </c>
      <c r="K21" s="218"/>
      <c r="L21" s="224"/>
      <c r="M21" s="190" t="s">
        <v>124</v>
      </c>
      <c r="N21" s="192"/>
      <c r="O21" s="175"/>
      <c r="P21" s="175"/>
      <c r="Q21" s="175"/>
      <c r="R21" s="175"/>
      <c r="S21" s="175"/>
      <c r="T21" s="176"/>
      <c r="U21" s="171"/>
      <c r="V21" s="173"/>
    </row>
    <row r="22" spans="1:22" ht="76.5" x14ac:dyDescent="0.2">
      <c r="A22" s="328"/>
      <c r="B22" s="325"/>
      <c r="C22" s="322"/>
      <c r="D22" s="151" t="s">
        <v>185</v>
      </c>
      <c r="E22" s="154" t="s">
        <v>186</v>
      </c>
      <c r="F22" s="158" t="e">
        <f>VLOOKUP(F21,'CPL-MK'!$A$2:$B$24,2)</f>
        <v>#N/A</v>
      </c>
      <c r="G22" s="159" t="e">
        <f>VLOOKUP(G21,'CPL-MK'!$A$2:$B$24,2)</f>
        <v>#N/A</v>
      </c>
      <c r="H22" s="159" t="e">
        <f>VLOOKUP(H21,'CPL-MK'!$A$2:$B$24,2)</f>
        <v>#N/A</v>
      </c>
      <c r="I22" s="160" t="str">
        <f>VLOOKUP(I21,'CPL-MK'!$A$2:$B$24,2)</f>
        <v>REKAYASA PERANGKAT LUNAK LANJUT</v>
      </c>
      <c r="J22" s="158" t="str">
        <f>VLOOKUP(J21,'CPL-MK'!$A$2:$B$24,2)</f>
        <v>REKAYASA KEBUTUHAN SISTEM</v>
      </c>
      <c r="K22" s="222"/>
      <c r="L22" s="228"/>
      <c r="M22" s="158" t="str">
        <f>VLOOKUP(M21,'CPL-MK'!$A$2:$B$24,2)</f>
        <v>SISTEM PEMERINTAHAN BERBASIS ELEKTRONIK</v>
      </c>
      <c r="N22" s="159" t="e">
        <f>VLOOKUP(N21,'CPL-MK'!$A$2:$B$24,2)</f>
        <v>#N/A</v>
      </c>
      <c r="O22" s="159"/>
      <c r="P22" s="159"/>
      <c r="Q22" s="159"/>
      <c r="R22" s="159"/>
      <c r="S22" s="159"/>
      <c r="T22" s="160"/>
      <c r="U22" s="156"/>
      <c r="V22" s="157"/>
    </row>
    <row r="23" spans="1:22" ht="51.75" thickBot="1" x14ac:dyDescent="0.25">
      <c r="A23" s="329"/>
      <c r="B23" s="326"/>
      <c r="C23" s="323"/>
      <c r="D23" s="179" t="s">
        <v>187</v>
      </c>
      <c r="E23" s="180" t="s">
        <v>188</v>
      </c>
      <c r="F23" s="161"/>
      <c r="G23" s="162"/>
      <c r="H23" s="162"/>
      <c r="I23" s="163"/>
      <c r="J23" s="161"/>
      <c r="K23" s="221"/>
      <c r="L23" s="227"/>
      <c r="M23" s="161"/>
      <c r="N23" s="162"/>
      <c r="O23" s="162"/>
      <c r="P23" s="162"/>
      <c r="Q23" s="162"/>
      <c r="R23" s="162"/>
      <c r="S23" s="162"/>
      <c r="T23" s="163"/>
      <c r="U23" s="181"/>
      <c r="V23" s="165"/>
    </row>
    <row r="24" spans="1:22" ht="25.5" x14ac:dyDescent="0.2">
      <c r="A24" s="318">
        <v>9</v>
      </c>
      <c r="B24" s="316" t="s">
        <v>43</v>
      </c>
      <c r="C24" s="314" t="s">
        <v>37</v>
      </c>
      <c r="D24" s="196" t="s">
        <v>196</v>
      </c>
      <c r="E24" s="197" t="s">
        <v>189</v>
      </c>
      <c r="F24" s="190"/>
      <c r="G24" s="192"/>
      <c r="H24" s="192"/>
      <c r="I24" s="173"/>
      <c r="J24" s="190"/>
      <c r="K24" s="223"/>
      <c r="L24" s="178"/>
      <c r="M24" s="174" t="s">
        <v>114</v>
      </c>
      <c r="N24" s="192" t="s">
        <v>117</v>
      </c>
      <c r="O24" s="192" t="s">
        <v>121</v>
      </c>
      <c r="P24" s="192" t="s">
        <v>124</v>
      </c>
      <c r="Q24" s="192" t="s">
        <v>126</v>
      </c>
      <c r="R24" s="192" t="s">
        <v>128</v>
      </c>
      <c r="S24" s="172"/>
      <c r="T24" s="173"/>
      <c r="U24" s="177" t="s">
        <v>130</v>
      </c>
      <c r="V24" s="178"/>
    </row>
    <row r="25" spans="1:22" ht="89.25" x14ac:dyDescent="0.2">
      <c r="A25" s="319"/>
      <c r="B25" s="310"/>
      <c r="C25" s="308"/>
      <c r="D25" s="152" t="s">
        <v>197</v>
      </c>
      <c r="E25" s="155" t="s">
        <v>190</v>
      </c>
      <c r="F25" s="158" t="e">
        <f>VLOOKUP(F24,'CPL-MK'!$A$2:$B$24,2)</f>
        <v>#N/A</v>
      </c>
      <c r="G25" s="159" t="e">
        <f>VLOOKUP(G24,'CPL-MK'!$A$2:$B$24,2)</f>
        <v>#N/A</v>
      </c>
      <c r="H25" s="159" t="e">
        <f>VLOOKUP(H24,'CPL-MK'!$A$2:$B$24,2)</f>
        <v>#N/A</v>
      </c>
      <c r="I25" s="157"/>
      <c r="J25" s="158" t="e">
        <f>VLOOKUP(J24,'CPL-MK'!$A$2:$B$24,2)</f>
        <v>#N/A</v>
      </c>
      <c r="K25" s="220" t="e">
        <f>VLOOKUP(K24,'CPL-MK'!$A$2:$B$24,2)</f>
        <v>#N/A</v>
      </c>
      <c r="L25" s="226"/>
      <c r="M25" s="158" t="str">
        <f>VLOOKUP(M24,'CPL-MK'!$A$2:$B$24,2)</f>
        <v>TESIS</v>
      </c>
      <c r="N25" s="159" t="str">
        <f>VLOOKUP(N24,'CPL-MK'!$A$2:$B$24,2)</f>
        <v>TEKNOLOGI KEUANGAN ( FINTECH ) DAN RESIKO</v>
      </c>
      <c r="O25" s="159" t="str">
        <f>VLOOKUP(O24,'CPL-MK'!$A$2:$B$24,2)</f>
        <v>TATA KELOLA DAN AUDIT BISNIS DIGITAL</v>
      </c>
      <c r="P25" s="159" t="str">
        <f>VLOOKUP(P24,'CPL-MK'!$A$2:$B$24,2)</f>
        <v>SISTEM PEMERINTAHAN BERBASIS ELEKTRONIK</v>
      </c>
      <c r="Q25" s="159" t="str">
        <f>VLOOKUP(Q24,'CPL-MK'!$A$2:$B$24,2)</f>
        <v>MANAJEMEN PROYEK TEKNOLOGI INFORMASI</v>
      </c>
      <c r="R25" s="159" t="str">
        <f>VLOOKUP(R24,'CPL-MK'!$A$2:$B$24,2)</f>
        <v>KOTA CERDAS</v>
      </c>
      <c r="T25" s="157"/>
      <c r="U25" s="158" t="str">
        <f>VLOOKUP(U24,'CPL-MK'!$A$2:$B$24,2)</f>
        <v>PUBLIKASI</v>
      </c>
      <c r="V25" s="160" t="e">
        <f>VLOOKUP(V24,'CPL-MK'!$A$2:$B$24,2)</f>
        <v>#N/A</v>
      </c>
    </row>
    <row r="26" spans="1:22" ht="26.25" thickBot="1" x14ac:dyDescent="0.25">
      <c r="A26" s="320"/>
      <c r="B26" s="317"/>
      <c r="C26" s="315"/>
      <c r="D26" s="198" t="s">
        <v>198</v>
      </c>
      <c r="E26" s="199" t="s">
        <v>191</v>
      </c>
      <c r="F26" s="161"/>
      <c r="G26" s="162"/>
      <c r="H26" s="162"/>
      <c r="I26" s="163"/>
      <c r="J26" s="161"/>
      <c r="K26" s="221"/>
      <c r="L26" s="227"/>
      <c r="M26" s="161"/>
      <c r="N26" s="162"/>
      <c r="O26" s="162"/>
      <c r="P26" s="162"/>
      <c r="Q26" s="162"/>
      <c r="R26" s="162"/>
      <c r="S26" s="162"/>
      <c r="T26" s="163"/>
      <c r="U26" s="181"/>
      <c r="V26" s="165"/>
    </row>
    <row r="27" spans="1:22" ht="25.5" x14ac:dyDescent="0.2">
      <c r="A27" s="318">
        <v>10</v>
      </c>
      <c r="B27" s="316" t="s">
        <v>44</v>
      </c>
      <c r="C27" s="314" t="s">
        <v>39</v>
      </c>
      <c r="D27" s="196" t="s">
        <v>199</v>
      </c>
      <c r="E27" s="197" t="s">
        <v>192</v>
      </c>
      <c r="F27" s="190" t="s">
        <v>92</v>
      </c>
      <c r="G27" s="192" t="s">
        <v>94</v>
      </c>
      <c r="H27" s="192" t="s">
        <v>96</v>
      </c>
      <c r="I27" s="173"/>
      <c r="J27" s="190" t="s">
        <v>108</v>
      </c>
      <c r="K27" s="223" t="s">
        <v>110</v>
      </c>
      <c r="L27" s="178"/>
      <c r="M27" s="190"/>
      <c r="N27" s="192" t="s">
        <v>124</v>
      </c>
      <c r="O27" s="192"/>
      <c r="P27" s="192"/>
      <c r="Q27" s="175"/>
      <c r="R27" s="175"/>
      <c r="S27" s="175"/>
      <c r="T27" s="176"/>
      <c r="U27" s="171"/>
      <c r="V27" s="173"/>
    </row>
    <row r="28" spans="1:22" ht="77.25" thickBot="1" x14ac:dyDescent="0.25">
      <c r="A28" s="320"/>
      <c r="B28" s="317"/>
      <c r="C28" s="315"/>
      <c r="D28" s="198" t="s">
        <v>200</v>
      </c>
      <c r="E28" s="199" t="s">
        <v>193</v>
      </c>
      <c r="F28" s="161" t="str">
        <f>VLOOKUP(F27,'CPL-MK'!$A$2:$B$24,2)</f>
        <v>PERMODELAN STATISTIK UNTUK BISNIS</v>
      </c>
      <c r="G28" s="162" t="str">
        <f>VLOOKUP(G27,'CPL-MK'!$A$2:$B$24,2)</f>
        <v>MESIN PEMBELAJARAN UNTUK BISNIS</v>
      </c>
      <c r="H28" s="162" t="str">
        <f>VLOOKUP(H27,'CPL-MK'!$A$2:$B$24,2)</f>
        <v>ANALISIS DATA BESAR</v>
      </c>
      <c r="I28" s="165"/>
      <c r="J28" s="158" t="str">
        <f>VLOOKUP(J27,'CPL-MK'!$A$2:$B$24,2)</f>
        <v>KEAMANAN SIBER</v>
      </c>
      <c r="K28" s="220" t="str">
        <f>VLOOKUP(K27,'CPL-MK'!$A$2:$B$24,2)</f>
        <v>SISTEM PENDUKUNG KEPUTUSAN CERDAS</v>
      </c>
      <c r="L28" s="226"/>
      <c r="M28" s="161" t="e">
        <f>VLOOKUP(M27,'CPL-MK'!$A$2:$B$24,2)</f>
        <v>#N/A</v>
      </c>
      <c r="N28" s="162" t="str">
        <f>VLOOKUP(N27,'CPL-MK'!$A$2:$B$24,2)</f>
        <v>SISTEM PEMERINTAHAN BERBASIS ELEKTRONIK</v>
      </c>
      <c r="O28" s="162" t="e">
        <f>VLOOKUP(O27,'CPL-MK'!$A$2:$B$24,2)</f>
        <v>#N/A</v>
      </c>
      <c r="P28" s="162" t="e">
        <f>VLOOKUP(P27,'CPL-MK'!$A$2:$B$24,2)</f>
        <v>#N/A</v>
      </c>
      <c r="Q28" s="162"/>
      <c r="R28" s="162"/>
      <c r="S28" s="162"/>
      <c r="T28" s="163"/>
      <c r="U28" s="181"/>
      <c r="V28" s="165"/>
    </row>
    <row r="29" spans="1:22" ht="25.5" x14ac:dyDescent="0.2">
      <c r="A29" s="309">
        <v>11</v>
      </c>
      <c r="B29" s="309" t="s">
        <v>45</v>
      </c>
      <c r="C29" s="307" t="s">
        <v>40</v>
      </c>
      <c r="D29" s="194" t="s">
        <v>201</v>
      </c>
      <c r="E29" s="195" t="s">
        <v>194</v>
      </c>
      <c r="F29" s="185"/>
      <c r="G29" s="187"/>
      <c r="H29" s="187" t="s">
        <v>98</v>
      </c>
      <c r="I29" s="229" t="s">
        <v>100</v>
      </c>
      <c r="J29" s="230" t="s">
        <v>102</v>
      </c>
      <c r="K29" s="231" t="s">
        <v>104</v>
      </c>
      <c r="L29" s="232" t="s">
        <v>106</v>
      </c>
      <c r="N29" s="187" t="s">
        <v>112</v>
      </c>
      <c r="O29" s="153" t="s">
        <v>114</v>
      </c>
      <c r="P29" s="187" t="s">
        <v>119</v>
      </c>
      <c r="Q29" s="187"/>
      <c r="R29" s="187" t="s">
        <v>124</v>
      </c>
      <c r="S29" s="187"/>
      <c r="T29" s="186"/>
      <c r="U29" s="164"/>
      <c r="V29" s="157"/>
    </row>
    <row r="30" spans="1:22" ht="102.75" thickBot="1" x14ac:dyDescent="0.25">
      <c r="A30" s="310"/>
      <c r="B30" s="310"/>
      <c r="C30" s="308"/>
      <c r="D30" s="152" t="s">
        <v>202</v>
      </c>
      <c r="E30" s="155" t="s">
        <v>195</v>
      </c>
      <c r="F30" s="161" t="e">
        <f>VLOOKUP(F29,'CPL-MK'!$A$2:$B$24,2)</f>
        <v>#N/A</v>
      </c>
      <c r="G30" s="162" t="e">
        <f>VLOOKUP(G29,'CPL-MK'!$A$2:$B$24,2)</f>
        <v>#N/A</v>
      </c>
      <c r="H30" s="162" t="str">
        <f>VLOOKUP(H29,'CPL-MK'!$A$2:$B$24,2)</f>
        <v>MANAJEMEN STRATEGIS SISTEM INFORMASI</v>
      </c>
      <c r="I30" s="162" t="str">
        <f>VLOOKUP(I29,'CPL-MK'!$A$2:$B$24,2)</f>
        <v>REKAYASA PERANGKAT LUNAK LANJUT</v>
      </c>
      <c r="J30" s="161" t="str">
        <f>VLOOKUP(J29,'CPL-MK'!$A$2:$B$24,2)</f>
        <v>METODOLOGI PENELITIAN DAN PENULISAN ILMIAH</v>
      </c>
      <c r="K30" s="162" t="str">
        <f>VLOOKUP(K29,'CPL-MK'!$A$2:$B$24,2)</f>
        <v>REKAYASA KEBUTUHAN SISTEM</v>
      </c>
      <c r="L30" s="163" t="str">
        <f>VLOOKUP(L29,'CPL-MK'!$A$2:$B$24,2)</f>
        <v>INTERAKSI MANUSIA DAN KOMPUTER</v>
      </c>
      <c r="M30" s="181"/>
      <c r="N30" s="162" t="str">
        <f>VLOOKUP(N29,'CPL-MK'!$A$2:$B$24,2)</f>
        <v>ARSITEKTUR ENTERPRISE UNTUK TEKNOLOGI INFORMASI</v>
      </c>
      <c r="O30" s="162" t="str">
        <f>VLOOKUP(O29,'CPL-MK'!$A$2:$B$24,2)</f>
        <v>TESIS</v>
      </c>
      <c r="P30" s="162" t="str">
        <f>VLOOKUP(P29,'CPL-MK'!$A$2:$B$24,2)</f>
        <v>KECERDASAN BISNIS</v>
      </c>
      <c r="Q30" s="162" t="e">
        <f>VLOOKUP(Q29,'CPL-MK'!$A$2:$B$24,2)</f>
        <v>#N/A</v>
      </c>
      <c r="R30" s="162" t="str">
        <f>VLOOKUP(R29,'CPL-MK'!$A$2:$B$24,2)</f>
        <v>SISTEM PEMERINTAHAN BERBASIS ELEKTRONIK</v>
      </c>
      <c r="S30" s="162" t="e">
        <f>VLOOKUP(S29,'CPL-MK'!$A$2:$B$24,2)</f>
        <v>#N/A</v>
      </c>
      <c r="T30" s="163" t="e">
        <f>VLOOKUP(T29,'CPL-MK'!$A$2:$B$24,2)</f>
        <v>#N/A</v>
      </c>
      <c r="U30" s="161" t="e">
        <f>VLOOKUP(U29,'CPL-MK'!$A$2:$B$24,2)</f>
        <v>#N/A</v>
      </c>
      <c r="V30" s="165"/>
    </row>
  </sheetData>
  <mergeCells count="37">
    <mergeCell ref="J1:L1"/>
    <mergeCell ref="A2:A3"/>
    <mergeCell ref="B2:B3"/>
    <mergeCell ref="C2:C3"/>
    <mergeCell ref="C4:C5"/>
    <mergeCell ref="B4:B5"/>
    <mergeCell ref="A4:A5"/>
    <mergeCell ref="C6:C8"/>
    <mergeCell ref="B6:B8"/>
    <mergeCell ref="A6:A8"/>
    <mergeCell ref="C9:C11"/>
    <mergeCell ref="B9:B11"/>
    <mergeCell ref="A9:A11"/>
    <mergeCell ref="B21:B23"/>
    <mergeCell ref="A21:A23"/>
    <mergeCell ref="C12:C14"/>
    <mergeCell ref="B12:B14"/>
    <mergeCell ref="A12:A14"/>
    <mergeCell ref="C15:C17"/>
    <mergeCell ref="B15:B17"/>
    <mergeCell ref="A15:A17"/>
    <mergeCell ref="U1:V1"/>
    <mergeCell ref="C29:C30"/>
    <mergeCell ref="B29:B30"/>
    <mergeCell ref="A29:A30"/>
    <mergeCell ref="F1:I1"/>
    <mergeCell ref="M1:T1"/>
    <mergeCell ref="C24:C26"/>
    <mergeCell ref="B24:B26"/>
    <mergeCell ref="A24:A26"/>
    <mergeCell ref="C27:C28"/>
    <mergeCell ref="B27:B28"/>
    <mergeCell ref="A27:A28"/>
    <mergeCell ref="C18:C20"/>
    <mergeCell ref="B18:B20"/>
    <mergeCell ref="A18:A20"/>
    <mergeCell ref="C21:C23"/>
  </mergeCells>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1D3B-6DC7-4850-BE11-B32BA7B3D94C}">
  <dimension ref="B1:O24"/>
  <sheetViews>
    <sheetView zoomScale="80" zoomScaleNormal="80" workbookViewId="0">
      <selection activeCell="B2" sqref="B2"/>
    </sheetView>
  </sheetViews>
  <sheetFormatPr defaultColWidth="9.28515625" defaultRowHeight="47.25" customHeight="1" x14ac:dyDescent="0.25"/>
  <cols>
    <col min="1" max="1" width="4.5703125" customWidth="1"/>
    <col min="2" max="2" width="14.28515625" bestFit="1" customWidth="1"/>
    <col min="3" max="3" width="54.85546875" bestFit="1" customWidth="1"/>
    <col min="4" max="14" width="9.42578125" style="217" bestFit="1" customWidth="1"/>
    <col min="15" max="15" width="6" bestFit="1" customWidth="1"/>
  </cols>
  <sheetData>
    <row r="1" spans="2:15" ht="17.25" customHeight="1" x14ac:dyDescent="0.25"/>
    <row r="2" spans="2:15" ht="15" x14ac:dyDescent="0.25">
      <c r="B2" s="66" t="s">
        <v>134</v>
      </c>
      <c r="C2" s="66" t="s">
        <v>135</v>
      </c>
      <c r="D2" s="233" t="s">
        <v>17</v>
      </c>
      <c r="E2" s="233" t="s">
        <v>20</v>
      </c>
      <c r="F2" s="233" t="s">
        <v>22</v>
      </c>
      <c r="G2" s="233" t="s">
        <v>25</v>
      </c>
      <c r="H2" s="233" t="s">
        <v>27</v>
      </c>
      <c r="I2" s="233" t="s">
        <v>30</v>
      </c>
      <c r="J2" s="233" t="s">
        <v>32</v>
      </c>
      <c r="K2" s="233" t="s">
        <v>35</v>
      </c>
      <c r="L2" s="233" t="s">
        <v>43</v>
      </c>
      <c r="M2" s="233" t="s">
        <v>44</v>
      </c>
      <c r="N2" s="233" t="s">
        <v>45</v>
      </c>
    </row>
    <row r="3" spans="2:15" ht="47.25" customHeight="1" x14ac:dyDescent="0.25">
      <c r="B3" s="49" t="s">
        <v>92</v>
      </c>
      <c r="C3" s="67" t="s">
        <v>93</v>
      </c>
      <c r="D3" s="233"/>
      <c r="E3" s="233"/>
      <c r="F3" s="233"/>
      <c r="G3" s="233"/>
      <c r="H3" s="233" t="s">
        <v>211</v>
      </c>
      <c r="I3" s="233"/>
      <c r="J3" s="233"/>
      <c r="K3" s="233"/>
      <c r="L3" s="233"/>
      <c r="M3" s="233" t="s">
        <v>220</v>
      </c>
      <c r="N3" s="233"/>
      <c r="O3">
        <f>11-COUNTIF(D3:N3,"")</f>
        <v>2</v>
      </c>
    </row>
    <row r="4" spans="2:15" ht="47.25" customHeight="1" x14ac:dyDescent="0.25">
      <c r="B4" s="49" t="s">
        <v>94</v>
      </c>
      <c r="C4" s="67" t="s">
        <v>95</v>
      </c>
      <c r="D4" s="233"/>
      <c r="E4" s="233"/>
      <c r="F4" s="233"/>
      <c r="G4" s="233"/>
      <c r="H4" s="233" t="s">
        <v>211</v>
      </c>
      <c r="I4" s="233"/>
      <c r="J4" s="233"/>
      <c r="K4" s="233"/>
      <c r="L4" s="233"/>
      <c r="M4" s="233" t="s">
        <v>220</v>
      </c>
      <c r="N4" s="233"/>
      <c r="O4">
        <f t="shared" ref="O4:O24" si="0">11-COUNTIF(D4:N4,"")</f>
        <v>2</v>
      </c>
    </row>
    <row r="5" spans="2:15" ht="47.25" customHeight="1" x14ac:dyDescent="0.25">
      <c r="B5" s="49" t="s">
        <v>96</v>
      </c>
      <c r="C5" s="67" t="s">
        <v>97</v>
      </c>
      <c r="D5" s="233"/>
      <c r="E5" s="233"/>
      <c r="F5" s="233"/>
      <c r="G5" s="233"/>
      <c r="H5" s="233" t="s">
        <v>211</v>
      </c>
      <c r="I5" s="233"/>
      <c r="J5" s="233"/>
      <c r="K5" s="233"/>
      <c r="L5" s="233"/>
      <c r="M5" s="233" t="s">
        <v>220</v>
      </c>
      <c r="N5" s="233"/>
      <c r="O5">
        <f t="shared" si="0"/>
        <v>2</v>
      </c>
    </row>
    <row r="6" spans="2:15" ht="47.25" customHeight="1" x14ac:dyDescent="0.25">
      <c r="B6" s="49" t="s">
        <v>98</v>
      </c>
      <c r="C6" s="67" t="s">
        <v>99</v>
      </c>
      <c r="D6" s="233"/>
      <c r="E6" s="233"/>
      <c r="F6" s="233" t="s">
        <v>213</v>
      </c>
      <c r="G6" s="233" t="s">
        <v>215</v>
      </c>
      <c r="H6" s="233"/>
      <c r="I6" s="233"/>
      <c r="J6" s="233"/>
      <c r="K6" s="233"/>
      <c r="L6" s="233"/>
      <c r="M6" s="233"/>
      <c r="N6" s="233" t="s">
        <v>221</v>
      </c>
      <c r="O6">
        <f t="shared" si="0"/>
        <v>3</v>
      </c>
    </row>
    <row r="7" spans="2:15" ht="47.25" customHeight="1" thickBot="1" x14ac:dyDescent="0.3">
      <c r="B7" s="50" t="s">
        <v>100</v>
      </c>
      <c r="C7" s="72" t="s">
        <v>101</v>
      </c>
      <c r="D7" s="233"/>
      <c r="E7" s="233"/>
      <c r="F7" s="233"/>
      <c r="G7" s="233"/>
      <c r="H7" s="233"/>
      <c r="I7" s="233"/>
      <c r="J7" s="233"/>
      <c r="K7" s="233" t="s">
        <v>218</v>
      </c>
      <c r="L7" s="233"/>
      <c r="M7" s="233"/>
      <c r="N7" s="233" t="s">
        <v>221</v>
      </c>
      <c r="O7">
        <f t="shared" si="0"/>
        <v>2</v>
      </c>
    </row>
    <row r="8" spans="2:15" ht="47.25" customHeight="1" x14ac:dyDescent="0.25">
      <c r="B8" s="53" t="s">
        <v>102</v>
      </c>
      <c r="C8" s="73" t="s">
        <v>103</v>
      </c>
      <c r="D8" s="233"/>
      <c r="E8" s="233"/>
      <c r="F8" s="233" t="s">
        <v>213</v>
      </c>
      <c r="G8" s="233"/>
      <c r="H8" s="233"/>
      <c r="I8" s="233"/>
      <c r="J8" s="233"/>
      <c r="K8" s="233"/>
      <c r="L8" s="233"/>
      <c r="M8" s="233"/>
      <c r="N8" s="233" t="s">
        <v>221</v>
      </c>
      <c r="O8">
        <f t="shared" si="0"/>
        <v>2</v>
      </c>
    </row>
    <row r="9" spans="2:15" ht="47.25" customHeight="1" x14ac:dyDescent="0.25">
      <c r="B9" s="49" t="s">
        <v>104</v>
      </c>
      <c r="C9" s="67" t="s">
        <v>105</v>
      </c>
      <c r="D9" s="233"/>
      <c r="E9" s="233"/>
      <c r="F9" s="233"/>
      <c r="G9" s="233"/>
      <c r="H9" s="233"/>
      <c r="I9" s="233" t="s">
        <v>216</v>
      </c>
      <c r="J9" s="233"/>
      <c r="K9" s="233" t="s">
        <v>218</v>
      </c>
      <c r="L9" s="233"/>
      <c r="M9" s="233"/>
      <c r="N9" s="233" t="s">
        <v>221</v>
      </c>
      <c r="O9">
        <f t="shared" si="0"/>
        <v>3</v>
      </c>
    </row>
    <row r="10" spans="2:15" ht="47.25" customHeight="1" x14ac:dyDescent="0.25">
      <c r="B10" s="49" t="s">
        <v>106</v>
      </c>
      <c r="C10" s="67" t="s">
        <v>107</v>
      </c>
      <c r="D10" s="233"/>
      <c r="E10" s="233"/>
      <c r="F10" s="233"/>
      <c r="G10" s="233"/>
      <c r="H10" s="233"/>
      <c r="I10" s="233"/>
      <c r="J10" s="233" t="s">
        <v>217</v>
      </c>
      <c r="K10" s="233"/>
      <c r="L10" s="233"/>
      <c r="M10" s="233"/>
      <c r="N10" s="233"/>
      <c r="O10">
        <f t="shared" si="0"/>
        <v>1</v>
      </c>
    </row>
    <row r="11" spans="2:15" ht="47.25" customHeight="1" x14ac:dyDescent="0.25">
      <c r="B11" s="49" t="s">
        <v>108</v>
      </c>
      <c r="C11" s="67" t="s">
        <v>109</v>
      </c>
      <c r="D11" s="233"/>
      <c r="E11" s="233"/>
      <c r="F11" s="233"/>
      <c r="G11" s="233"/>
      <c r="H11" s="233"/>
      <c r="I11" s="233" t="s">
        <v>216</v>
      </c>
      <c r="J11" s="233"/>
      <c r="K11" s="233"/>
      <c r="L11" s="233"/>
      <c r="M11" s="233" t="s">
        <v>220</v>
      </c>
      <c r="N11" s="233"/>
      <c r="O11">
        <f t="shared" si="0"/>
        <v>2</v>
      </c>
    </row>
    <row r="12" spans="2:15" ht="47.25" customHeight="1" thickBot="1" x14ac:dyDescent="0.3">
      <c r="B12" s="50" t="s">
        <v>110</v>
      </c>
      <c r="C12" s="72" t="s">
        <v>111</v>
      </c>
      <c r="D12" s="233"/>
      <c r="E12" s="233"/>
      <c r="F12" s="233"/>
      <c r="G12" s="233"/>
      <c r="H12" s="233" t="s">
        <v>211</v>
      </c>
      <c r="I12" s="233"/>
      <c r="J12" s="233"/>
      <c r="K12" s="233"/>
      <c r="L12" s="233"/>
      <c r="M12" s="233" t="s">
        <v>220</v>
      </c>
      <c r="N12" s="233"/>
      <c r="O12">
        <f t="shared" si="0"/>
        <v>2</v>
      </c>
    </row>
    <row r="13" spans="2:15" ht="47.25" customHeight="1" x14ac:dyDescent="0.25">
      <c r="B13" s="49" t="s">
        <v>112</v>
      </c>
      <c r="C13" s="67" t="s">
        <v>113</v>
      </c>
      <c r="D13" s="233"/>
      <c r="E13" s="233"/>
      <c r="F13" s="233"/>
      <c r="G13" s="233"/>
      <c r="H13" s="233"/>
      <c r="I13" s="233"/>
      <c r="J13" s="233" t="s">
        <v>217</v>
      </c>
      <c r="K13" s="233"/>
      <c r="L13" s="233"/>
      <c r="M13" s="233"/>
      <c r="N13" s="233" t="s">
        <v>221</v>
      </c>
      <c r="O13">
        <f t="shared" si="0"/>
        <v>2</v>
      </c>
    </row>
    <row r="14" spans="2:15" ht="47.25" customHeight="1" x14ac:dyDescent="0.25">
      <c r="B14" s="53" t="s">
        <v>114</v>
      </c>
      <c r="C14" s="73" t="s">
        <v>115</v>
      </c>
      <c r="D14" s="233" t="s">
        <v>212</v>
      </c>
      <c r="E14" s="233" t="s">
        <v>214</v>
      </c>
      <c r="F14" s="233"/>
      <c r="G14" s="233"/>
      <c r="H14" s="233"/>
      <c r="I14" s="233"/>
      <c r="J14" s="233"/>
      <c r="K14" s="233"/>
      <c r="L14" s="233" t="s">
        <v>219</v>
      </c>
      <c r="M14" s="233"/>
      <c r="N14" s="233" t="s">
        <v>221</v>
      </c>
      <c r="O14">
        <f t="shared" si="0"/>
        <v>4</v>
      </c>
    </row>
    <row r="15" spans="2:15" ht="47.25" customHeight="1" x14ac:dyDescent="0.25">
      <c r="B15" s="49"/>
      <c r="C15" s="74" t="s">
        <v>116</v>
      </c>
      <c r="D15" s="233"/>
      <c r="E15" s="233"/>
      <c r="F15" s="233"/>
      <c r="G15" s="233"/>
      <c r="H15" s="233"/>
      <c r="I15" s="233"/>
      <c r="J15" s="233"/>
      <c r="K15" s="233"/>
      <c r="L15" s="233"/>
      <c r="M15" s="233"/>
      <c r="N15" s="233"/>
    </row>
    <row r="16" spans="2:15" ht="47.25" customHeight="1" x14ac:dyDescent="0.25">
      <c r="B16" s="49" t="s">
        <v>117</v>
      </c>
      <c r="C16" s="67" t="s">
        <v>118</v>
      </c>
      <c r="D16" s="233"/>
      <c r="E16" s="233"/>
      <c r="F16" s="233"/>
      <c r="G16" s="233"/>
      <c r="H16" s="233" t="s">
        <v>211</v>
      </c>
      <c r="I16" s="233"/>
      <c r="J16" s="233"/>
      <c r="K16" s="233"/>
      <c r="L16" s="233" t="s">
        <v>219</v>
      </c>
      <c r="M16" s="233"/>
      <c r="N16" s="233"/>
      <c r="O16">
        <f t="shared" si="0"/>
        <v>2</v>
      </c>
    </row>
    <row r="17" spans="2:15" ht="47.25" customHeight="1" x14ac:dyDescent="0.25">
      <c r="B17" s="49" t="s">
        <v>119</v>
      </c>
      <c r="C17" s="67" t="s">
        <v>120</v>
      </c>
      <c r="D17" s="233"/>
      <c r="E17" s="233"/>
      <c r="F17" s="233" t="s">
        <v>213</v>
      </c>
      <c r="G17" s="233"/>
      <c r="H17" s="233"/>
      <c r="I17" s="233"/>
      <c r="J17" s="233"/>
      <c r="K17" s="233"/>
      <c r="L17" s="233"/>
      <c r="M17" s="233"/>
      <c r="N17" s="233" t="s">
        <v>221</v>
      </c>
      <c r="O17">
        <f t="shared" si="0"/>
        <v>2</v>
      </c>
    </row>
    <row r="18" spans="2:15" ht="47.25" customHeight="1" x14ac:dyDescent="0.25">
      <c r="B18" s="49" t="s">
        <v>121</v>
      </c>
      <c r="C18" s="67" t="s">
        <v>122</v>
      </c>
      <c r="D18" s="233"/>
      <c r="E18" s="233"/>
      <c r="F18" s="233" t="s">
        <v>213</v>
      </c>
      <c r="G18" s="233"/>
      <c r="H18" s="233"/>
      <c r="I18" s="233" t="s">
        <v>216</v>
      </c>
      <c r="J18" s="233"/>
      <c r="K18" s="233"/>
      <c r="L18" s="233" t="s">
        <v>219</v>
      </c>
      <c r="M18" s="233"/>
      <c r="N18" s="233"/>
      <c r="O18">
        <f t="shared" si="0"/>
        <v>3</v>
      </c>
    </row>
    <row r="19" spans="2:15" ht="47.25" customHeight="1" x14ac:dyDescent="0.25">
      <c r="B19" s="49"/>
      <c r="C19" s="74" t="s">
        <v>123</v>
      </c>
      <c r="D19" s="233"/>
      <c r="E19" s="233"/>
      <c r="F19" s="233"/>
      <c r="G19" s="233"/>
      <c r="H19" s="233"/>
      <c r="I19" s="233"/>
      <c r="J19" s="233"/>
      <c r="K19" s="233"/>
      <c r="L19" s="233"/>
      <c r="M19" s="233"/>
      <c r="N19" s="233"/>
    </row>
    <row r="20" spans="2:15" ht="47.25" customHeight="1" x14ac:dyDescent="0.25">
      <c r="B20" s="49" t="s">
        <v>124</v>
      </c>
      <c r="C20" s="67" t="s">
        <v>125</v>
      </c>
      <c r="D20" s="233"/>
      <c r="E20" s="233"/>
      <c r="F20" s="233"/>
      <c r="G20" s="233"/>
      <c r="H20" s="233"/>
      <c r="I20" s="233"/>
      <c r="J20" s="233"/>
      <c r="K20" s="233" t="s">
        <v>218</v>
      </c>
      <c r="L20" s="233" t="s">
        <v>219</v>
      </c>
      <c r="M20" s="233" t="s">
        <v>220</v>
      </c>
      <c r="N20" s="233" t="s">
        <v>221</v>
      </c>
      <c r="O20">
        <f t="shared" si="0"/>
        <v>4</v>
      </c>
    </row>
    <row r="21" spans="2:15" ht="47.25" customHeight="1" x14ac:dyDescent="0.25">
      <c r="B21" s="49" t="s">
        <v>126</v>
      </c>
      <c r="C21" s="67" t="s">
        <v>127</v>
      </c>
      <c r="D21" s="233"/>
      <c r="E21" s="233"/>
      <c r="F21" s="233"/>
      <c r="G21" s="233"/>
      <c r="H21" s="233" t="s">
        <v>211</v>
      </c>
      <c r="I21" s="233" t="s">
        <v>216</v>
      </c>
      <c r="J21" s="233"/>
      <c r="K21" s="233"/>
      <c r="L21" s="233" t="s">
        <v>219</v>
      </c>
      <c r="M21" s="233"/>
      <c r="N21" s="233"/>
      <c r="O21">
        <f t="shared" si="0"/>
        <v>3</v>
      </c>
    </row>
    <row r="22" spans="2:15" ht="47.25" customHeight="1" thickBot="1" x14ac:dyDescent="0.3">
      <c r="B22" s="55" t="s">
        <v>128</v>
      </c>
      <c r="C22" s="75" t="s">
        <v>129</v>
      </c>
      <c r="D22" s="233"/>
      <c r="E22" s="233"/>
      <c r="F22" s="233" t="s">
        <v>213</v>
      </c>
      <c r="G22" s="233"/>
      <c r="H22" s="233"/>
      <c r="I22" s="233"/>
      <c r="J22" s="233"/>
      <c r="K22" s="233"/>
      <c r="L22" s="233" t="s">
        <v>219</v>
      </c>
      <c r="M22" s="233"/>
      <c r="N22" s="233"/>
      <c r="O22">
        <f t="shared" si="0"/>
        <v>2</v>
      </c>
    </row>
    <row r="23" spans="2:15" ht="47.25" customHeight="1" x14ac:dyDescent="0.25">
      <c r="B23" s="56" t="s">
        <v>130</v>
      </c>
      <c r="C23" s="76" t="s">
        <v>131</v>
      </c>
      <c r="D23" s="233" t="s">
        <v>212</v>
      </c>
      <c r="E23" s="233" t="s">
        <v>214</v>
      </c>
      <c r="F23" s="233"/>
      <c r="G23" s="233"/>
      <c r="H23" s="233"/>
      <c r="I23" s="233"/>
      <c r="J23" s="233"/>
      <c r="K23" s="233"/>
      <c r="L23" s="233" t="s">
        <v>219</v>
      </c>
      <c r="M23" s="233"/>
      <c r="N23" s="233"/>
      <c r="O23">
        <f t="shared" si="0"/>
        <v>3</v>
      </c>
    </row>
    <row r="24" spans="2:15" ht="47.25" customHeight="1" thickBot="1" x14ac:dyDescent="0.3">
      <c r="B24" s="50" t="s">
        <v>132</v>
      </c>
      <c r="C24" s="72" t="s">
        <v>133</v>
      </c>
      <c r="D24" s="233" t="s">
        <v>212</v>
      </c>
      <c r="E24" s="233" t="s">
        <v>149</v>
      </c>
      <c r="F24" s="233"/>
      <c r="G24" s="233"/>
      <c r="H24" s="233"/>
      <c r="I24" s="233"/>
      <c r="J24" s="233"/>
      <c r="K24" s="233"/>
      <c r="L24" s="233"/>
      <c r="M24" s="233"/>
      <c r="N24" s="233"/>
      <c r="O24">
        <f t="shared" si="0"/>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3B92-1D82-435C-8D95-786C6EF5EA02}">
  <sheetPr>
    <pageSetUpPr fitToPage="1"/>
  </sheetPr>
  <dimension ref="A2:Z128"/>
  <sheetViews>
    <sheetView zoomScale="85" zoomScaleNormal="85" workbookViewId="0">
      <selection activeCell="B121" sqref="B121"/>
    </sheetView>
  </sheetViews>
  <sheetFormatPr defaultColWidth="18.7109375" defaultRowHeight="13.5" x14ac:dyDescent="0.25"/>
  <cols>
    <col min="1" max="1" width="8" style="31" customWidth="1"/>
    <col min="2" max="2" width="17.28515625" style="31" customWidth="1"/>
    <col min="3" max="3" width="6.5703125" style="31" customWidth="1"/>
    <col min="4" max="4" width="42" style="236" customWidth="1"/>
    <col min="5" max="5" width="5.5703125" style="31" customWidth="1"/>
    <col min="6" max="6" width="38.42578125" style="31" customWidth="1"/>
    <col min="7" max="7" width="9.42578125" style="234" customWidth="1"/>
    <col min="8" max="8" width="46.28515625" style="31" customWidth="1"/>
    <col min="9" max="9" width="10.140625" style="31" customWidth="1"/>
    <col min="10" max="16" width="9.28515625" style="31" customWidth="1"/>
    <col min="17" max="17" width="14.5703125" style="31" customWidth="1"/>
    <col min="18" max="24" width="9.140625" style="31" customWidth="1"/>
    <col min="25" max="25" width="11" style="31" customWidth="1"/>
    <col min="26" max="26" width="10.140625" style="31" customWidth="1"/>
    <col min="27" max="16384" width="18.7109375" style="31"/>
  </cols>
  <sheetData>
    <row r="2" spans="1:26" s="235" customFormat="1" ht="40.5" x14ac:dyDescent="0.25">
      <c r="A2" s="237" t="s">
        <v>134</v>
      </c>
      <c r="B2" s="237" t="s">
        <v>205</v>
      </c>
      <c r="C2" s="238" t="s">
        <v>206</v>
      </c>
      <c r="D2" s="238" t="s">
        <v>230</v>
      </c>
      <c r="E2" s="238" t="s">
        <v>207</v>
      </c>
      <c r="F2" s="238" t="s">
        <v>210</v>
      </c>
      <c r="G2" s="239" t="s">
        <v>208</v>
      </c>
      <c r="H2" s="238" t="s">
        <v>209</v>
      </c>
      <c r="I2" s="239" t="s">
        <v>232</v>
      </c>
      <c r="J2" s="333" t="s">
        <v>233</v>
      </c>
      <c r="K2" s="334"/>
      <c r="L2" s="334"/>
      <c r="M2" s="334"/>
      <c r="N2" s="334"/>
      <c r="O2" s="334"/>
      <c r="P2" s="335"/>
      <c r="Q2" s="253"/>
      <c r="R2" s="239" t="s">
        <v>222</v>
      </c>
      <c r="S2" s="239" t="s">
        <v>223</v>
      </c>
      <c r="T2" s="239" t="s">
        <v>224</v>
      </c>
      <c r="U2" s="239" t="s">
        <v>225</v>
      </c>
      <c r="V2" s="239" t="s">
        <v>226</v>
      </c>
      <c r="W2" s="239" t="s">
        <v>227</v>
      </c>
      <c r="X2" s="238" t="s">
        <v>228</v>
      </c>
      <c r="Y2" s="238" t="s">
        <v>231</v>
      </c>
      <c r="Z2" s="238" t="s">
        <v>85</v>
      </c>
    </row>
    <row r="3" spans="1:26" ht="54" x14ac:dyDescent="0.25">
      <c r="A3" s="240" t="s">
        <v>92</v>
      </c>
      <c r="B3" s="241" t="s">
        <v>93</v>
      </c>
      <c r="C3" s="242" t="s">
        <v>27</v>
      </c>
      <c r="D3" s="243" t="str">
        <f>VLOOKUP(C3,'CPL-MK'!$E$2:$F$12,2)</f>
        <v>Memiliki kemampuan menganalisa, mengevaluasi, dan membuat keputusan berbasis kinerja solusi komputasi cerdas untuk mendukung layanan publik dan ekonomi digital</v>
      </c>
      <c r="E3" s="242" t="s">
        <v>165</v>
      </c>
      <c r="F3" s="244" t="str">
        <f>VLOOKUP(E3,'CPL-CPMK-MK'!$D$1:$E$30,2)</f>
        <v>Memiliki kemampuan menganalisa berbasis kinerja solusi komputasi cerdas untuk mendukung layanan publik dan ekonomi digital</v>
      </c>
      <c r="G3" s="244" t="str">
        <f>CONCATENATE("SUBCPMK-",E3,"1")</f>
        <v>SUBCPMK-CPMK0511</v>
      </c>
      <c r="H3" s="244" t="str">
        <f>CONCATENATE(F3, " dalam ",LOWER($B$3))</f>
        <v>Memiliki kemampuan menganalisa berbasis kinerja solusi komputasi cerdas untuk mendukung layanan publik dan ekonomi digital dalam permodelan statistik untuk bisnis</v>
      </c>
      <c r="I3" s="244" t="s">
        <v>313</v>
      </c>
      <c r="J3" s="244" t="str">
        <f>IF(R3&lt;&gt;"",$R$2,"")</f>
        <v>Unjuk Kerja (Presensi)</v>
      </c>
      <c r="K3" s="244" t="str">
        <f>IF(S3&lt;&gt;"",$S$2,"")</f>
        <v>Kuis / Tugas 1</v>
      </c>
      <c r="L3" s="244" t="str">
        <f>IF(T3&lt;&gt;"",$T$2,"")</f>
        <v/>
      </c>
      <c r="M3" s="244" t="str">
        <f>IF(U3&lt;&gt;"",$U$2,"")</f>
        <v/>
      </c>
      <c r="N3" s="244" t="str">
        <f>IF(V3&lt;&gt;"",$V$2,"")</f>
        <v/>
      </c>
      <c r="O3" s="244" t="str">
        <f>IF(W3&lt;&gt;"",$W$2,"")</f>
        <v>UTS</v>
      </c>
      <c r="P3" s="244" t="str">
        <f>IF(X3&lt;&gt;"",$X$2,"")</f>
        <v>UAS</v>
      </c>
      <c r="Q3" s="244" t="str">
        <f>CONCATENATE(J3,", ",K3,", ",L3,", ",M3,", ",N3,", ",O3,", ",P3)</f>
        <v>Unjuk Kerja (Presensi), Kuis / Tugas 1, , , , UTS, UAS</v>
      </c>
      <c r="R3" s="249">
        <v>5</v>
      </c>
      <c r="S3" s="249">
        <v>5</v>
      </c>
      <c r="T3" s="249"/>
      <c r="U3" s="249"/>
      <c r="V3" s="249"/>
      <c r="W3" s="249">
        <v>5</v>
      </c>
      <c r="X3" s="249">
        <v>5</v>
      </c>
      <c r="Y3" s="249">
        <f>SUM(R3:X3)</f>
        <v>20</v>
      </c>
      <c r="Z3" s="250"/>
    </row>
    <row r="4" spans="1:26" ht="67.5" x14ac:dyDescent="0.25">
      <c r="A4" s="240"/>
      <c r="B4" s="241"/>
      <c r="C4" s="242"/>
      <c r="D4" s="243" t="e">
        <f>VLOOKUP(C4,'CPL-MK'!$E$2:$F$12,2)</f>
        <v>#N/A</v>
      </c>
      <c r="E4" s="242" t="s">
        <v>167</v>
      </c>
      <c r="F4" s="244" t="str">
        <f>VLOOKUP(E4,'CPL-CPMK-MK'!$D$1:$E$30,2)</f>
        <v>Memiliki kemampuan mengevaluasi berbasis kinerja solusi komputasi cerdas untuk mendukung layanan publik dan ekonomi digital</v>
      </c>
      <c r="G4" s="244" t="str">
        <f t="shared" ref="G4:G43" si="0">CONCATENATE("SUBCPMK-",E4,"1")</f>
        <v>SUBCPMK-CPMK0521</v>
      </c>
      <c r="H4" s="244" t="str">
        <f t="shared" ref="H4:H7" si="1">CONCATENATE(F4, " dalam ",LOWER($B$3))</f>
        <v>Memiliki kemampuan mengevaluasi berbasis kinerja solusi komputasi cerdas untuk mendukung layanan publik dan ekonomi digital dalam permodelan statistik untuk bisnis</v>
      </c>
      <c r="I4" s="244" t="s">
        <v>313</v>
      </c>
      <c r="J4" s="244" t="str">
        <f t="shared" ref="J4:J67" si="2">IF(R4&lt;&gt;"",$R$2,"")</f>
        <v>Unjuk Kerja (Presensi)</v>
      </c>
      <c r="K4" s="244" t="str">
        <f t="shared" ref="K4:K67" si="3">IF(S4&lt;&gt;"",$S$2,"")</f>
        <v>Kuis / Tugas 1</v>
      </c>
      <c r="L4" s="244" t="str">
        <f t="shared" ref="L4:L67" si="4">IF(T4&lt;&gt;"",$T$2,"")</f>
        <v>Kuis / Tugas 2</v>
      </c>
      <c r="M4" s="244" t="str">
        <f t="shared" ref="M4:M67" si="5">IF(U4&lt;&gt;"",$U$2,"")</f>
        <v/>
      </c>
      <c r="N4" s="244" t="str">
        <f t="shared" ref="N4:N67" si="6">IF(V4&lt;&gt;"",$V$2,"")</f>
        <v/>
      </c>
      <c r="O4" s="244" t="str">
        <f t="shared" ref="O4:O67" si="7">IF(W4&lt;&gt;"",$W$2,"")</f>
        <v>UTS</v>
      </c>
      <c r="P4" s="244" t="str">
        <f t="shared" ref="P4:P67" si="8">IF(X4&lt;&gt;"",$X$2,"")</f>
        <v>UAS</v>
      </c>
      <c r="Q4" s="244" t="str">
        <f t="shared" ref="Q4:Q67" si="9">CONCATENATE(J4,", ",K4,", ",L4,", ",M4,", ",N4,", ",O4,", ",P4)</f>
        <v>Unjuk Kerja (Presensi), Kuis / Tugas 1, Kuis / Tugas 2, , , UTS, UAS</v>
      </c>
      <c r="R4" s="249">
        <v>4</v>
      </c>
      <c r="S4" s="249">
        <v>4</v>
      </c>
      <c r="T4" s="249">
        <v>4</v>
      </c>
      <c r="U4" s="249"/>
      <c r="V4" s="249"/>
      <c r="W4" s="249">
        <v>4</v>
      </c>
      <c r="X4" s="249">
        <v>4</v>
      </c>
      <c r="Y4" s="249">
        <f t="shared" ref="Y4:Y67" si="10">SUM(R4:X4)</f>
        <v>20</v>
      </c>
      <c r="Z4" s="250"/>
    </row>
    <row r="5" spans="1:26" ht="67.5" x14ac:dyDescent="0.25">
      <c r="A5" s="240"/>
      <c r="B5" s="241"/>
      <c r="C5" s="242"/>
      <c r="D5" s="243" t="e">
        <f>VLOOKUP(C5,'CPL-MK'!$E$2:$F$12,2)</f>
        <v>#N/A</v>
      </c>
      <c r="E5" s="242" t="s">
        <v>169</v>
      </c>
      <c r="F5" s="244" t="str">
        <f>VLOOKUP(E5,'CPL-CPMK-MK'!$D$1:$E$30,2)</f>
        <v>Memiliki kemampuan membuat keputusan berbasis kinerja solusi komputasi cerdas untuk mendukung layanan publik dan ekonomi digital</v>
      </c>
      <c r="G5" s="244" t="str">
        <f t="shared" si="0"/>
        <v>SUBCPMK-CPMK0531</v>
      </c>
      <c r="H5" s="244" t="str">
        <f t="shared" si="1"/>
        <v>Memiliki kemampuan membuat keputusan berbasis kinerja solusi komputasi cerdas untuk mendukung layanan publik dan ekonomi digital dalam permodelan statistik untuk bisnis</v>
      </c>
      <c r="I5" s="244" t="s">
        <v>313</v>
      </c>
      <c r="J5" s="244" t="str">
        <f t="shared" si="2"/>
        <v>Unjuk Kerja (Presensi)</v>
      </c>
      <c r="K5" s="244" t="str">
        <f t="shared" si="3"/>
        <v/>
      </c>
      <c r="L5" s="244" t="str">
        <f t="shared" si="4"/>
        <v>Kuis / Tugas 2</v>
      </c>
      <c r="M5" s="244" t="str">
        <f t="shared" si="5"/>
        <v>Kuis / Tugas 3</v>
      </c>
      <c r="N5" s="244" t="str">
        <f t="shared" si="6"/>
        <v/>
      </c>
      <c r="O5" s="244" t="str">
        <f t="shared" si="7"/>
        <v>UTS</v>
      </c>
      <c r="P5" s="244" t="str">
        <f t="shared" si="8"/>
        <v>UAS</v>
      </c>
      <c r="Q5" s="244" t="str">
        <f t="shared" si="9"/>
        <v>Unjuk Kerja (Presensi), , Kuis / Tugas 2, Kuis / Tugas 3, , UTS, UAS</v>
      </c>
      <c r="R5" s="249">
        <v>4</v>
      </c>
      <c r="S5" s="249"/>
      <c r="T5" s="249">
        <v>4</v>
      </c>
      <c r="U5" s="249">
        <v>4</v>
      </c>
      <c r="V5" s="249"/>
      <c r="W5" s="249">
        <v>4</v>
      </c>
      <c r="X5" s="249">
        <v>4</v>
      </c>
      <c r="Y5" s="249">
        <f t="shared" si="10"/>
        <v>20</v>
      </c>
      <c r="Z5" s="250"/>
    </row>
    <row r="6" spans="1:26" ht="54" x14ac:dyDescent="0.25">
      <c r="A6" s="245"/>
      <c r="B6" s="245"/>
      <c r="C6" s="242" t="s">
        <v>44</v>
      </c>
      <c r="D6" s="243" t="str">
        <f>VLOOKUP(C6,'CPL-MK'!$E$2:$F$12,2)</f>
        <v>Mampu menerapkan prinsip-prinsip matematika, computing, dan disiplin ilmu yang relevan untuk merumuskan solusi bagi persoalan computing yang kompleks</v>
      </c>
      <c r="E6" s="242" t="s">
        <v>199</v>
      </c>
      <c r="F6" s="244" t="str">
        <f>VLOOKUP(E6,'CPL-CPMK-MK'!$D$1:$E$30,2)</f>
        <v>Mampu menerapkan prinsip_x0002_prinsip matematika, computing, dan disiplin ilmu yang relevan untuk mendukung analisis data.</v>
      </c>
      <c r="G6" s="244" t="str">
        <f t="shared" si="0"/>
        <v>SUBCPMK-CPMK1011</v>
      </c>
      <c r="H6" s="244" t="str">
        <f t="shared" si="1"/>
        <v>Mampu menerapkan prinsip_x0002_prinsip matematika, computing, dan disiplin ilmu yang relevan untuk mendukung analisis data. dalam permodelan statistik untuk bisnis</v>
      </c>
      <c r="I6" s="244" t="s">
        <v>313</v>
      </c>
      <c r="J6" s="244" t="str">
        <f t="shared" si="2"/>
        <v>Unjuk Kerja (Presensi)</v>
      </c>
      <c r="K6" s="244" t="str">
        <f t="shared" si="3"/>
        <v/>
      </c>
      <c r="L6" s="244" t="str">
        <f t="shared" si="4"/>
        <v/>
      </c>
      <c r="M6" s="244" t="str">
        <f t="shared" si="5"/>
        <v>Kuis / Tugas 3</v>
      </c>
      <c r="N6" s="244" t="str">
        <f t="shared" si="6"/>
        <v>Kuis / Tugas 4</v>
      </c>
      <c r="O6" s="244" t="str">
        <f t="shared" si="7"/>
        <v>UTS</v>
      </c>
      <c r="P6" s="244" t="str">
        <f t="shared" si="8"/>
        <v>UAS</v>
      </c>
      <c r="Q6" s="244" t="str">
        <f t="shared" si="9"/>
        <v>Unjuk Kerja (Presensi), , , Kuis / Tugas 3, Kuis / Tugas 4, UTS, UAS</v>
      </c>
      <c r="R6" s="249">
        <v>4</v>
      </c>
      <c r="S6" s="249"/>
      <c r="T6" s="249"/>
      <c r="U6" s="249">
        <v>4</v>
      </c>
      <c r="V6" s="249">
        <v>4</v>
      </c>
      <c r="W6" s="249">
        <v>4</v>
      </c>
      <c r="X6" s="249">
        <v>4</v>
      </c>
      <c r="Y6" s="249">
        <f t="shared" si="10"/>
        <v>20</v>
      </c>
      <c r="Z6" s="250"/>
    </row>
    <row r="7" spans="1:26" ht="54" x14ac:dyDescent="0.25">
      <c r="A7" s="245"/>
      <c r="B7" s="245"/>
      <c r="C7" s="242"/>
      <c r="D7" s="243" t="e">
        <f>VLOOKUP(C7,'CPL-MK'!$E$2:$F$12,2)</f>
        <v>#N/A</v>
      </c>
      <c r="E7" s="242" t="s">
        <v>200</v>
      </c>
      <c r="F7" s="244" t="str">
        <f>VLOOKUP(E7,'CPL-CPMK-MK'!$D$1:$E$30,2)</f>
        <v>Mampu merumuskan solusi bagi bidang computing yang kompleks</v>
      </c>
      <c r="G7" s="244" t="str">
        <f t="shared" si="0"/>
        <v>SUBCPMK-CPMK1021</v>
      </c>
      <c r="H7" s="244" t="str">
        <f t="shared" si="1"/>
        <v>Mampu merumuskan solusi bagi bidang computing yang kompleks dalam permodelan statistik untuk bisnis</v>
      </c>
      <c r="I7" s="244" t="s">
        <v>313</v>
      </c>
      <c r="J7" s="244" t="str">
        <f t="shared" si="2"/>
        <v>Unjuk Kerja (Presensi)</v>
      </c>
      <c r="K7" s="244" t="str">
        <f t="shared" si="3"/>
        <v/>
      </c>
      <c r="L7" s="244" t="str">
        <f t="shared" si="4"/>
        <v/>
      </c>
      <c r="M7" s="244" t="str">
        <f t="shared" si="5"/>
        <v/>
      </c>
      <c r="N7" s="244" t="str">
        <f t="shared" si="6"/>
        <v>Kuis / Tugas 4</v>
      </c>
      <c r="O7" s="244" t="str">
        <f t="shared" si="7"/>
        <v>UTS</v>
      </c>
      <c r="P7" s="244" t="str">
        <f t="shared" si="8"/>
        <v>UAS</v>
      </c>
      <c r="Q7" s="244" t="str">
        <f t="shared" si="9"/>
        <v>Unjuk Kerja (Presensi), , , , Kuis / Tugas 4, UTS, UAS</v>
      </c>
      <c r="R7" s="249">
        <v>5</v>
      </c>
      <c r="S7" s="249"/>
      <c r="T7" s="249"/>
      <c r="U7" s="249"/>
      <c r="V7" s="249">
        <v>5</v>
      </c>
      <c r="W7" s="249">
        <v>5</v>
      </c>
      <c r="X7" s="249">
        <v>5</v>
      </c>
      <c r="Y7" s="249">
        <f t="shared" si="10"/>
        <v>20</v>
      </c>
      <c r="Z7" s="250">
        <f>SUM(Y3:Y7)</f>
        <v>100</v>
      </c>
    </row>
    <row r="8" spans="1:26" ht="54" x14ac:dyDescent="0.25">
      <c r="A8" s="240" t="s">
        <v>94</v>
      </c>
      <c r="B8" s="241" t="s">
        <v>95</v>
      </c>
      <c r="C8" s="242" t="s">
        <v>27</v>
      </c>
      <c r="D8" s="243" t="str">
        <f>VLOOKUP(C8,'CPL-MK'!$E$2:$F$12,2)</f>
        <v>Memiliki kemampuan menganalisa, mengevaluasi, dan membuat keputusan berbasis kinerja solusi komputasi cerdas untuk mendukung layanan publik dan ekonomi digital</v>
      </c>
      <c r="E8" s="242" t="s">
        <v>165</v>
      </c>
      <c r="F8" s="244" t="str">
        <f>VLOOKUP(E8,'CPL-CPMK-MK'!$D$1:$E$30,2)</f>
        <v>Memiliki kemampuan menganalisa berbasis kinerja solusi komputasi cerdas untuk mendukung layanan publik dan ekonomi digital</v>
      </c>
      <c r="G8" s="244" t="str">
        <f t="shared" si="0"/>
        <v>SUBCPMK-CPMK0511</v>
      </c>
      <c r="H8" s="244" t="str">
        <f>CONCATENATE(F8, " dalam ",LOWER($B$8))</f>
        <v>Memiliki kemampuan menganalisa berbasis kinerja solusi komputasi cerdas untuk mendukung layanan publik dan ekonomi digital dalam mesin pembelajaran untuk bisnis</v>
      </c>
      <c r="I8" s="244" t="s">
        <v>313</v>
      </c>
      <c r="J8" s="244" t="str">
        <f t="shared" si="2"/>
        <v>Unjuk Kerja (Presensi)</v>
      </c>
      <c r="K8" s="244" t="str">
        <f t="shared" si="3"/>
        <v>Kuis / Tugas 1</v>
      </c>
      <c r="L8" s="244" t="str">
        <f t="shared" si="4"/>
        <v/>
      </c>
      <c r="M8" s="244" t="str">
        <f t="shared" si="5"/>
        <v/>
      </c>
      <c r="N8" s="244" t="str">
        <f t="shared" si="6"/>
        <v/>
      </c>
      <c r="O8" s="244" t="str">
        <f t="shared" si="7"/>
        <v>UTS</v>
      </c>
      <c r="P8" s="244" t="str">
        <f t="shared" si="8"/>
        <v>UAS</v>
      </c>
      <c r="Q8" s="244" t="str">
        <f t="shared" si="9"/>
        <v>Unjuk Kerja (Presensi), Kuis / Tugas 1, , , , UTS, UAS</v>
      </c>
      <c r="R8" s="251">
        <v>2</v>
      </c>
      <c r="S8" s="251">
        <v>4</v>
      </c>
      <c r="T8" s="251"/>
      <c r="U8" s="251"/>
      <c r="V8" s="251"/>
      <c r="W8" s="251">
        <v>5</v>
      </c>
      <c r="X8" s="251">
        <v>4</v>
      </c>
      <c r="Y8" s="249">
        <f t="shared" si="10"/>
        <v>15</v>
      </c>
      <c r="Z8" s="250"/>
    </row>
    <row r="9" spans="1:26" ht="67.5" x14ac:dyDescent="0.25">
      <c r="A9" s="240"/>
      <c r="B9" s="241"/>
      <c r="C9" s="242"/>
      <c r="D9" s="243" t="e">
        <f>VLOOKUP(C9,'CPL-MK'!$E$2:$F$12,2)</f>
        <v>#N/A</v>
      </c>
      <c r="E9" s="242" t="s">
        <v>167</v>
      </c>
      <c r="F9" s="244" t="str">
        <f>VLOOKUP(E9,'CPL-CPMK-MK'!$D$1:$E$30,2)</f>
        <v>Memiliki kemampuan mengevaluasi berbasis kinerja solusi komputasi cerdas untuk mendukung layanan publik dan ekonomi digital</v>
      </c>
      <c r="G9" s="244" t="str">
        <f t="shared" si="0"/>
        <v>SUBCPMK-CPMK0521</v>
      </c>
      <c r="H9" s="244" t="str">
        <f t="shared" ref="H9:H12" si="11">CONCATENATE(F9, " dalam ",LOWER($B$8))</f>
        <v>Memiliki kemampuan mengevaluasi berbasis kinerja solusi komputasi cerdas untuk mendukung layanan publik dan ekonomi digital dalam mesin pembelajaran untuk bisnis</v>
      </c>
      <c r="I9" s="244" t="s">
        <v>313</v>
      </c>
      <c r="J9" s="244" t="str">
        <f t="shared" si="2"/>
        <v>Unjuk Kerja (Presensi)</v>
      </c>
      <c r="K9" s="244" t="str">
        <f t="shared" si="3"/>
        <v>Kuis / Tugas 1</v>
      </c>
      <c r="L9" s="244" t="str">
        <f t="shared" si="4"/>
        <v>Kuis / Tugas 2</v>
      </c>
      <c r="M9" s="244" t="str">
        <f t="shared" si="5"/>
        <v/>
      </c>
      <c r="N9" s="244" t="str">
        <f t="shared" si="6"/>
        <v/>
      </c>
      <c r="O9" s="244" t="str">
        <f t="shared" si="7"/>
        <v>UTS</v>
      </c>
      <c r="P9" s="244" t="str">
        <f t="shared" si="8"/>
        <v>UAS</v>
      </c>
      <c r="Q9" s="244" t="str">
        <f t="shared" si="9"/>
        <v>Unjuk Kerja (Presensi), Kuis / Tugas 1, Kuis / Tugas 2, , , UTS, UAS</v>
      </c>
      <c r="R9" s="251">
        <v>2</v>
      </c>
      <c r="S9" s="251">
        <v>4</v>
      </c>
      <c r="T9" s="251">
        <v>4</v>
      </c>
      <c r="U9" s="251"/>
      <c r="V9" s="251"/>
      <c r="W9" s="251">
        <v>5</v>
      </c>
      <c r="X9" s="251">
        <v>5</v>
      </c>
      <c r="Y9" s="249">
        <f t="shared" si="10"/>
        <v>20</v>
      </c>
      <c r="Z9" s="250"/>
    </row>
    <row r="10" spans="1:26" ht="67.5" x14ac:dyDescent="0.25">
      <c r="A10" s="240"/>
      <c r="B10" s="241"/>
      <c r="C10" s="242"/>
      <c r="D10" s="243" t="e">
        <f>VLOOKUP(C10,'CPL-MK'!$E$2:$F$12,2)</f>
        <v>#N/A</v>
      </c>
      <c r="E10" s="242" t="s">
        <v>169</v>
      </c>
      <c r="F10" s="244" t="str">
        <f>VLOOKUP(E10,'CPL-CPMK-MK'!$D$1:$E$30,2)</f>
        <v>Memiliki kemampuan membuat keputusan berbasis kinerja solusi komputasi cerdas untuk mendukung layanan publik dan ekonomi digital</v>
      </c>
      <c r="G10" s="244" t="str">
        <f t="shared" si="0"/>
        <v>SUBCPMK-CPMK0531</v>
      </c>
      <c r="H10" s="244" t="str">
        <f t="shared" si="11"/>
        <v>Memiliki kemampuan membuat keputusan berbasis kinerja solusi komputasi cerdas untuk mendukung layanan publik dan ekonomi digital dalam mesin pembelajaran untuk bisnis</v>
      </c>
      <c r="I10" s="244" t="s">
        <v>313</v>
      </c>
      <c r="J10" s="244" t="str">
        <f t="shared" si="2"/>
        <v>Unjuk Kerja (Presensi)</v>
      </c>
      <c r="K10" s="244" t="str">
        <f t="shared" si="3"/>
        <v/>
      </c>
      <c r="L10" s="244" t="str">
        <f t="shared" si="4"/>
        <v>Kuis / Tugas 2</v>
      </c>
      <c r="M10" s="244" t="str">
        <f t="shared" si="5"/>
        <v>Kuis / Tugas 3</v>
      </c>
      <c r="N10" s="244" t="str">
        <f t="shared" si="6"/>
        <v/>
      </c>
      <c r="O10" s="244" t="str">
        <f t="shared" si="7"/>
        <v>UTS</v>
      </c>
      <c r="P10" s="244" t="str">
        <f t="shared" si="8"/>
        <v>UAS</v>
      </c>
      <c r="Q10" s="244" t="str">
        <f t="shared" si="9"/>
        <v>Unjuk Kerja (Presensi), , Kuis / Tugas 2, Kuis / Tugas 3, , UTS, UAS</v>
      </c>
      <c r="R10" s="251">
        <v>2</v>
      </c>
      <c r="S10" s="251"/>
      <c r="T10" s="251">
        <v>4</v>
      </c>
      <c r="U10" s="251">
        <v>4</v>
      </c>
      <c r="V10" s="251"/>
      <c r="W10" s="251">
        <v>5</v>
      </c>
      <c r="X10" s="251">
        <v>5</v>
      </c>
      <c r="Y10" s="249">
        <f t="shared" si="10"/>
        <v>20</v>
      </c>
      <c r="Z10" s="250"/>
    </row>
    <row r="11" spans="1:26" ht="54" x14ac:dyDescent="0.25">
      <c r="A11" s="245"/>
      <c r="B11" s="245"/>
      <c r="C11" s="242" t="s">
        <v>44</v>
      </c>
      <c r="D11" s="243" t="str">
        <f>VLOOKUP(C11,'CPL-MK'!$E$2:$F$12,2)</f>
        <v>Mampu menerapkan prinsip-prinsip matematika, computing, dan disiplin ilmu yang relevan untuk merumuskan solusi bagi persoalan computing yang kompleks</v>
      </c>
      <c r="E11" s="242" t="s">
        <v>199</v>
      </c>
      <c r="F11" s="244" t="str">
        <f>VLOOKUP(E11,'CPL-CPMK-MK'!$D$1:$E$30,2)</f>
        <v>Mampu menerapkan prinsip_x0002_prinsip matematika, computing, dan disiplin ilmu yang relevan untuk mendukung analisis data.</v>
      </c>
      <c r="G11" s="244" t="str">
        <f t="shared" si="0"/>
        <v>SUBCPMK-CPMK1011</v>
      </c>
      <c r="H11" s="244" t="str">
        <f t="shared" si="11"/>
        <v>Mampu menerapkan prinsip_x0002_prinsip matematika, computing, dan disiplin ilmu yang relevan untuk mendukung analisis data. dalam mesin pembelajaran untuk bisnis</v>
      </c>
      <c r="I11" s="244" t="s">
        <v>313</v>
      </c>
      <c r="J11" s="244" t="str">
        <f t="shared" si="2"/>
        <v>Unjuk Kerja (Presensi)</v>
      </c>
      <c r="K11" s="244" t="str">
        <f t="shared" si="3"/>
        <v/>
      </c>
      <c r="L11" s="244" t="str">
        <f t="shared" si="4"/>
        <v/>
      </c>
      <c r="M11" s="244" t="str">
        <f t="shared" si="5"/>
        <v>Kuis / Tugas 3</v>
      </c>
      <c r="N11" s="244" t="str">
        <f t="shared" si="6"/>
        <v>Kuis / Tugas 4</v>
      </c>
      <c r="O11" s="244" t="str">
        <f t="shared" si="7"/>
        <v>UTS</v>
      </c>
      <c r="P11" s="244" t="str">
        <f t="shared" si="8"/>
        <v>UAS</v>
      </c>
      <c r="Q11" s="244" t="str">
        <f t="shared" si="9"/>
        <v>Unjuk Kerja (Presensi), , , Kuis / Tugas 3, Kuis / Tugas 4, UTS, UAS</v>
      </c>
      <c r="R11" s="251">
        <v>3</v>
      </c>
      <c r="S11" s="251"/>
      <c r="T11" s="251"/>
      <c r="U11" s="251">
        <v>5</v>
      </c>
      <c r="V11" s="251">
        <v>5</v>
      </c>
      <c r="W11" s="251">
        <v>5</v>
      </c>
      <c r="X11" s="251">
        <v>5</v>
      </c>
      <c r="Y11" s="249">
        <f t="shared" si="10"/>
        <v>23</v>
      </c>
      <c r="Z11" s="250"/>
    </row>
    <row r="12" spans="1:26" ht="54" x14ac:dyDescent="0.25">
      <c r="A12" s="245"/>
      <c r="B12" s="245"/>
      <c r="C12" s="242"/>
      <c r="D12" s="243" t="e">
        <f>VLOOKUP(C12,'CPL-MK'!$E$2:$F$12,2)</f>
        <v>#N/A</v>
      </c>
      <c r="E12" s="242" t="s">
        <v>200</v>
      </c>
      <c r="F12" s="244" t="str">
        <f>VLOOKUP(E12,'CPL-CPMK-MK'!$D$1:$E$30,2)</f>
        <v>Mampu merumuskan solusi bagi bidang computing yang kompleks</v>
      </c>
      <c r="G12" s="244" t="str">
        <f t="shared" si="0"/>
        <v>SUBCPMK-CPMK1021</v>
      </c>
      <c r="H12" s="244" t="str">
        <f t="shared" si="11"/>
        <v>Mampu merumuskan solusi bagi bidang computing yang kompleks dalam mesin pembelajaran untuk bisnis</v>
      </c>
      <c r="I12" s="244" t="s">
        <v>313</v>
      </c>
      <c r="J12" s="244" t="str">
        <f t="shared" si="2"/>
        <v>Unjuk Kerja (Presensi)</v>
      </c>
      <c r="K12" s="244" t="str">
        <f t="shared" si="3"/>
        <v/>
      </c>
      <c r="L12" s="244" t="str">
        <f t="shared" si="4"/>
        <v/>
      </c>
      <c r="M12" s="244" t="str">
        <f t="shared" si="5"/>
        <v/>
      </c>
      <c r="N12" s="244" t="str">
        <f t="shared" si="6"/>
        <v>Kuis / Tugas 4</v>
      </c>
      <c r="O12" s="244" t="str">
        <f t="shared" si="7"/>
        <v>UTS</v>
      </c>
      <c r="P12" s="244" t="str">
        <f t="shared" si="8"/>
        <v>UAS</v>
      </c>
      <c r="Q12" s="244" t="str">
        <f t="shared" si="9"/>
        <v>Unjuk Kerja (Presensi), , , , Kuis / Tugas 4, UTS, UAS</v>
      </c>
      <c r="R12" s="251">
        <v>2</v>
      </c>
      <c r="S12" s="251"/>
      <c r="T12" s="251"/>
      <c r="U12" s="251"/>
      <c r="V12" s="251">
        <v>5</v>
      </c>
      <c r="W12" s="251">
        <v>5</v>
      </c>
      <c r="X12" s="251">
        <v>10</v>
      </c>
      <c r="Y12" s="249">
        <f t="shared" si="10"/>
        <v>22</v>
      </c>
      <c r="Z12" s="250">
        <f>SUM(Y8:Y12)</f>
        <v>100</v>
      </c>
    </row>
    <row r="13" spans="1:26" ht="54" x14ac:dyDescent="0.25">
      <c r="A13" s="240" t="s">
        <v>96</v>
      </c>
      <c r="B13" s="241" t="s">
        <v>97</v>
      </c>
      <c r="C13" s="242" t="s">
        <v>27</v>
      </c>
      <c r="D13" s="243" t="str">
        <f>VLOOKUP(C13,'CPL-MK'!$E$2:$F$12,2)</f>
        <v>Memiliki kemampuan menganalisa, mengevaluasi, dan membuat keputusan berbasis kinerja solusi komputasi cerdas untuk mendukung layanan publik dan ekonomi digital</v>
      </c>
      <c r="E13" s="242" t="s">
        <v>165</v>
      </c>
      <c r="F13" s="244" t="str">
        <f>VLOOKUP(E13,'CPL-CPMK-MK'!$D$1:$E$30,2)</f>
        <v>Memiliki kemampuan menganalisa berbasis kinerja solusi komputasi cerdas untuk mendukung layanan publik dan ekonomi digital</v>
      </c>
      <c r="G13" s="244" t="str">
        <f t="shared" si="0"/>
        <v>SUBCPMK-CPMK0511</v>
      </c>
      <c r="H13" s="244" t="str">
        <f>CONCATENATE(F13, " dalam ",LOWER($B$13))</f>
        <v>Memiliki kemampuan menganalisa berbasis kinerja solusi komputasi cerdas untuk mendukung layanan publik dan ekonomi digital dalam analisis data besar</v>
      </c>
      <c r="I13" s="244" t="s">
        <v>313</v>
      </c>
      <c r="J13" s="244" t="str">
        <f t="shared" si="2"/>
        <v>Unjuk Kerja (Presensi)</v>
      </c>
      <c r="K13" s="244" t="str">
        <f t="shared" si="3"/>
        <v>Kuis / Tugas 1</v>
      </c>
      <c r="L13" s="244" t="str">
        <f t="shared" si="4"/>
        <v>Kuis / Tugas 2</v>
      </c>
      <c r="M13" s="244" t="str">
        <f t="shared" si="5"/>
        <v/>
      </c>
      <c r="N13" s="244" t="str">
        <f t="shared" si="6"/>
        <v/>
      </c>
      <c r="O13" s="244" t="str">
        <f t="shared" si="7"/>
        <v/>
      </c>
      <c r="P13" s="244" t="str">
        <f t="shared" si="8"/>
        <v>UAS</v>
      </c>
      <c r="Q13" s="244" t="str">
        <f t="shared" si="9"/>
        <v>Unjuk Kerja (Presensi), Kuis / Tugas 1, Kuis / Tugas 2, , , , UAS</v>
      </c>
      <c r="R13" s="249">
        <v>3</v>
      </c>
      <c r="S13" s="249">
        <v>5</v>
      </c>
      <c r="T13" s="249">
        <v>7</v>
      </c>
      <c r="U13" s="249"/>
      <c r="V13" s="249"/>
      <c r="W13" s="249"/>
      <c r="X13" s="249">
        <v>5</v>
      </c>
      <c r="Y13" s="249">
        <f t="shared" si="10"/>
        <v>20</v>
      </c>
      <c r="Z13" s="250"/>
    </row>
    <row r="14" spans="1:26" ht="54" x14ac:dyDescent="0.25">
      <c r="A14" s="240"/>
      <c r="B14" s="241"/>
      <c r="C14" s="242"/>
      <c r="D14" s="243" t="e">
        <f>VLOOKUP(C14,'CPL-MK'!$E$2:$F$12,2)</f>
        <v>#N/A</v>
      </c>
      <c r="E14" s="242" t="s">
        <v>167</v>
      </c>
      <c r="F14" s="244" t="str">
        <f>VLOOKUP(E14,'CPL-CPMK-MK'!$D$1:$E$30,2)</f>
        <v>Memiliki kemampuan mengevaluasi berbasis kinerja solusi komputasi cerdas untuk mendukung layanan publik dan ekonomi digital</v>
      </c>
      <c r="G14" s="244" t="str">
        <f t="shared" si="0"/>
        <v>SUBCPMK-CPMK0521</v>
      </c>
      <c r="H14" s="244" t="str">
        <f t="shared" ref="H14:H17" si="12">CONCATENATE(F14, " dalam ",LOWER($B$13))</f>
        <v>Memiliki kemampuan mengevaluasi berbasis kinerja solusi komputasi cerdas untuk mendukung layanan publik dan ekonomi digital dalam analisis data besar</v>
      </c>
      <c r="I14" s="244" t="s">
        <v>313</v>
      </c>
      <c r="J14" s="244" t="str">
        <f t="shared" si="2"/>
        <v>Unjuk Kerja (Presensi)</v>
      </c>
      <c r="K14" s="244" t="str">
        <f t="shared" si="3"/>
        <v/>
      </c>
      <c r="L14" s="244" t="str">
        <f t="shared" si="4"/>
        <v/>
      </c>
      <c r="M14" s="244" t="str">
        <f t="shared" si="5"/>
        <v>Kuis / Tugas 3</v>
      </c>
      <c r="N14" s="244" t="str">
        <f t="shared" si="6"/>
        <v/>
      </c>
      <c r="O14" s="244" t="str">
        <f t="shared" si="7"/>
        <v>UTS</v>
      </c>
      <c r="P14" s="244" t="str">
        <f t="shared" si="8"/>
        <v>UAS</v>
      </c>
      <c r="Q14" s="244" t="str">
        <f t="shared" si="9"/>
        <v>Unjuk Kerja (Presensi), , , Kuis / Tugas 3, , UTS, UAS</v>
      </c>
      <c r="R14" s="249">
        <v>2</v>
      </c>
      <c r="S14" s="249"/>
      <c r="T14" s="249"/>
      <c r="U14" s="249">
        <v>5</v>
      </c>
      <c r="V14" s="249"/>
      <c r="W14" s="249">
        <v>5</v>
      </c>
      <c r="X14" s="249">
        <v>8</v>
      </c>
      <c r="Y14" s="249">
        <f t="shared" si="10"/>
        <v>20</v>
      </c>
      <c r="Z14" s="250"/>
    </row>
    <row r="15" spans="1:26" ht="54" x14ac:dyDescent="0.25">
      <c r="A15" s="240"/>
      <c r="B15" s="241"/>
      <c r="C15" s="242"/>
      <c r="D15" s="243" t="e">
        <f>VLOOKUP(C15,'CPL-MK'!$E$2:$F$12,2)</f>
        <v>#N/A</v>
      </c>
      <c r="E15" s="242" t="s">
        <v>169</v>
      </c>
      <c r="F15" s="244" t="str">
        <f>VLOOKUP(E15,'CPL-CPMK-MK'!$D$1:$E$30,2)</f>
        <v>Memiliki kemampuan membuat keputusan berbasis kinerja solusi komputasi cerdas untuk mendukung layanan publik dan ekonomi digital</v>
      </c>
      <c r="G15" s="244" t="str">
        <f t="shared" si="0"/>
        <v>SUBCPMK-CPMK0531</v>
      </c>
      <c r="H15" s="244" t="str">
        <f t="shared" si="12"/>
        <v>Memiliki kemampuan membuat keputusan berbasis kinerja solusi komputasi cerdas untuk mendukung layanan publik dan ekonomi digital dalam analisis data besar</v>
      </c>
      <c r="I15" s="244" t="s">
        <v>313</v>
      </c>
      <c r="J15" s="244" t="str">
        <f t="shared" si="2"/>
        <v>Unjuk Kerja (Presensi)</v>
      </c>
      <c r="K15" s="244" t="str">
        <f t="shared" si="3"/>
        <v/>
      </c>
      <c r="L15" s="244" t="str">
        <f t="shared" si="4"/>
        <v/>
      </c>
      <c r="M15" s="244" t="str">
        <f t="shared" si="5"/>
        <v>Kuis / Tugas 3</v>
      </c>
      <c r="N15" s="244" t="str">
        <f t="shared" si="6"/>
        <v/>
      </c>
      <c r="O15" s="244" t="str">
        <f t="shared" si="7"/>
        <v/>
      </c>
      <c r="P15" s="244" t="str">
        <f t="shared" si="8"/>
        <v>UAS</v>
      </c>
      <c r="Q15" s="244" t="str">
        <f t="shared" si="9"/>
        <v>Unjuk Kerja (Presensi), , , Kuis / Tugas 3, , , UAS</v>
      </c>
      <c r="R15" s="249">
        <v>2</v>
      </c>
      <c r="S15" s="249"/>
      <c r="T15" s="249"/>
      <c r="U15" s="249">
        <v>8</v>
      </c>
      <c r="V15" s="249"/>
      <c r="W15" s="249"/>
      <c r="X15" s="249">
        <v>10</v>
      </c>
      <c r="Y15" s="249">
        <f t="shared" si="10"/>
        <v>20</v>
      </c>
      <c r="Z15" s="250"/>
    </row>
    <row r="16" spans="1:26" ht="54" x14ac:dyDescent="0.25">
      <c r="A16" s="245"/>
      <c r="B16" s="245"/>
      <c r="C16" s="242" t="s">
        <v>44</v>
      </c>
      <c r="D16" s="243" t="str">
        <f>VLOOKUP(C16,'CPL-MK'!$E$2:$F$12,2)</f>
        <v>Mampu menerapkan prinsip-prinsip matematika, computing, dan disiplin ilmu yang relevan untuk merumuskan solusi bagi persoalan computing yang kompleks</v>
      </c>
      <c r="E16" s="242" t="s">
        <v>199</v>
      </c>
      <c r="F16" s="244" t="str">
        <f>VLOOKUP(E16,'CPL-CPMK-MK'!$D$1:$E$30,2)</f>
        <v>Mampu menerapkan prinsip_x0002_prinsip matematika, computing, dan disiplin ilmu yang relevan untuk mendukung analisis data.</v>
      </c>
      <c r="G16" s="244" t="str">
        <f t="shared" si="0"/>
        <v>SUBCPMK-CPMK1011</v>
      </c>
      <c r="H16" s="244" t="str">
        <f t="shared" si="12"/>
        <v>Mampu menerapkan prinsip_x0002_prinsip matematika, computing, dan disiplin ilmu yang relevan untuk mendukung analisis data. dalam analisis data besar</v>
      </c>
      <c r="I16" s="244" t="s">
        <v>313</v>
      </c>
      <c r="J16" s="244" t="str">
        <f t="shared" si="2"/>
        <v>Unjuk Kerja (Presensi)</v>
      </c>
      <c r="K16" s="244" t="str">
        <f t="shared" si="3"/>
        <v>Kuis / Tugas 1</v>
      </c>
      <c r="L16" s="244" t="str">
        <f t="shared" si="4"/>
        <v/>
      </c>
      <c r="M16" s="244" t="str">
        <f t="shared" si="5"/>
        <v>Kuis / Tugas 3</v>
      </c>
      <c r="N16" s="244" t="str">
        <f t="shared" si="6"/>
        <v/>
      </c>
      <c r="O16" s="244" t="str">
        <f t="shared" si="7"/>
        <v/>
      </c>
      <c r="P16" s="244" t="str">
        <f t="shared" si="8"/>
        <v>UAS</v>
      </c>
      <c r="Q16" s="244" t="str">
        <f t="shared" si="9"/>
        <v>Unjuk Kerja (Presensi), Kuis / Tugas 1, , Kuis / Tugas 3, , , UAS</v>
      </c>
      <c r="R16" s="249">
        <v>2</v>
      </c>
      <c r="S16" s="249">
        <v>6</v>
      </c>
      <c r="T16" s="249"/>
      <c r="U16" s="249">
        <v>4</v>
      </c>
      <c r="V16" s="249"/>
      <c r="W16" s="249"/>
      <c r="X16" s="249">
        <v>8</v>
      </c>
      <c r="Y16" s="249">
        <f t="shared" si="10"/>
        <v>20</v>
      </c>
      <c r="Z16" s="250"/>
    </row>
    <row r="17" spans="1:26" ht="54" x14ac:dyDescent="0.25">
      <c r="A17" s="245"/>
      <c r="B17" s="245"/>
      <c r="C17" s="242"/>
      <c r="D17" s="243" t="e">
        <f>VLOOKUP(C17,'CPL-MK'!$E$2:$F$12,2)</f>
        <v>#N/A</v>
      </c>
      <c r="E17" s="242" t="s">
        <v>200</v>
      </c>
      <c r="F17" s="244" t="str">
        <f>VLOOKUP(E17,'CPL-CPMK-MK'!$D$1:$E$30,2)</f>
        <v>Mampu merumuskan solusi bagi bidang computing yang kompleks</v>
      </c>
      <c r="G17" s="244" t="str">
        <f t="shared" si="0"/>
        <v>SUBCPMK-CPMK1021</v>
      </c>
      <c r="H17" s="244" t="str">
        <f t="shared" si="12"/>
        <v>Mampu merumuskan solusi bagi bidang computing yang kompleks dalam analisis data besar</v>
      </c>
      <c r="I17" s="244" t="s">
        <v>313</v>
      </c>
      <c r="J17" s="244" t="str">
        <f t="shared" si="2"/>
        <v>Unjuk Kerja (Presensi)</v>
      </c>
      <c r="K17" s="244" t="str">
        <f t="shared" si="3"/>
        <v/>
      </c>
      <c r="L17" s="244" t="str">
        <f t="shared" si="4"/>
        <v>Kuis / Tugas 2</v>
      </c>
      <c r="M17" s="244" t="str">
        <f t="shared" si="5"/>
        <v/>
      </c>
      <c r="N17" s="244" t="str">
        <f t="shared" si="6"/>
        <v>Kuis / Tugas 4</v>
      </c>
      <c r="O17" s="244" t="str">
        <f t="shared" si="7"/>
        <v/>
      </c>
      <c r="P17" s="244" t="str">
        <f t="shared" si="8"/>
        <v>UAS</v>
      </c>
      <c r="Q17" s="244" t="str">
        <f t="shared" si="9"/>
        <v>Unjuk Kerja (Presensi), , Kuis / Tugas 2, , Kuis / Tugas 4, , UAS</v>
      </c>
      <c r="R17" s="249">
        <v>2</v>
      </c>
      <c r="S17" s="249"/>
      <c r="T17" s="249">
        <v>4</v>
      </c>
      <c r="U17" s="249"/>
      <c r="V17" s="249">
        <v>6</v>
      </c>
      <c r="W17" s="249"/>
      <c r="X17" s="249">
        <v>8</v>
      </c>
      <c r="Y17" s="249">
        <f t="shared" si="10"/>
        <v>20</v>
      </c>
      <c r="Z17" s="250">
        <f>SUM(Y13:Y17)</f>
        <v>100</v>
      </c>
    </row>
    <row r="18" spans="1:26" ht="67.5" x14ac:dyDescent="0.25">
      <c r="A18" s="240" t="s">
        <v>98</v>
      </c>
      <c r="B18" s="241" t="s">
        <v>99</v>
      </c>
      <c r="C18" s="242" t="s">
        <v>22</v>
      </c>
      <c r="D18" s="243" t="str">
        <f>VLOOKUP(C18,'CPL-MK'!$E$2:$F$12,2)</f>
        <v>Memiliki kemampuan menganalisis, mengevaluasi, dan membuat keputusan berdasarkan pengetahuan di bidang teknologi informasi cerdas dalam konteks dukungan terhadap pengembangan layanan publik dan ekonomi digital</v>
      </c>
      <c r="E18" s="242" t="s">
        <v>153</v>
      </c>
      <c r="F18" s="244" t="str">
        <f>VLOOKUP(E18,'CPL-CPMK-MK'!$D$1:$E$30,2)</f>
        <v>Memiliki kemampuan menganalisis berdasarkan pengetahuan di bidang teknologi informasi cerdas dalam konteks dukungan terhadap pengembangan layanan publik dan ekonomi digital</v>
      </c>
      <c r="G18" s="244" t="str">
        <f t="shared" si="0"/>
        <v>SUBCPMK-CPMK0311</v>
      </c>
      <c r="H18" s="244" t="str">
        <f>CONCATENATE(F18, " dalam ",LOWER($B$18))</f>
        <v>Memiliki kemampuan menganalisis berdasarkan pengetahuan di bidang teknologi informasi cerdas dalam konteks dukungan terhadap pengembangan layanan publik dan ekonomi digital dalam manajemen strategis sistem informasi</v>
      </c>
      <c r="I18" s="244" t="s">
        <v>313</v>
      </c>
      <c r="J18" s="244" t="str">
        <f t="shared" si="2"/>
        <v/>
      </c>
      <c r="K18" s="244" t="str">
        <f t="shared" si="3"/>
        <v/>
      </c>
      <c r="L18" s="244" t="str">
        <f t="shared" si="4"/>
        <v/>
      </c>
      <c r="M18" s="244" t="str">
        <f t="shared" si="5"/>
        <v/>
      </c>
      <c r="N18" s="244" t="str">
        <f t="shared" si="6"/>
        <v/>
      </c>
      <c r="O18" s="244" t="str">
        <f t="shared" si="7"/>
        <v/>
      </c>
      <c r="P18" s="244" t="str">
        <f t="shared" si="8"/>
        <v/>
      </c>
      <c r="Q18" s="244" t="str">
        <f t="shared" si="9"/>
        <v xml:space="preserve">, , , , , , </v>
      </c>
      <c r="R18" s="245"/>
      <c r="S18" s="245"/>
      <c r="T18" s="245"/>
      <c r="U18" s="245"/>
      <c r="V18" s="245"/>
      <c r="W18" s="245"/>
      <c r="X18" s="245"/>
      <c r="Y18" s="249">
        <f t="shared" si="10"/>
        <v>0</v>
      </c>
      <c r="Z18" s="250"/>
    </row>
    <row r="19" spans="1:26" ht="67.5" x14ac:dyDescent="0.25">
      <c r="A19" s="240"/>
      <c r="B19" s="241"/>
      <c r="C19" s="242"/>
      <c r="D19" s="243" t="e">
        <f>VLOOKUP(C19,'CPL-MK'!$E$2:$F$12,2)</f>
        <v>#N/A</v>
      </c>
      <c r="E19" s="242" t="s">
        <v>155</v>
      </c>
      <c r="F19" s="244" t="str">
        <f>VLOOKUP(E19,'CPL-CPMK-MK'!$D$1:$E$30,2)</f>
        <v>Memiliki kemampuan mengevaluasi berdasarkan pengetahuan di bidang teknologi informasi cerdas dalam konteks dukungan terhadap pengembangan layanan publik dan ekonomi digital</v>
      </c>
      <c r="G19" s="244" t="str">
        <f t="shared" si="0"/>
        <v>SUBCPMK-CPMK0321</v>
      </c>
      <c r="H19" s="244" t="str">
        <f t="shared" ref="H19:H25" si="13">CONCATENATE(F19, " dalam ",LOWER($B$18))</f>
        <v>Memiliki kemampuan mengevaluasi berdasarkan pengetahuan di bidang teknologi informasi cerdas dalam konteks dukungan terhadap pengembangan layanan publik dan ekonomi digital dalam manajemen strategis sistem informasi</v>
      </c>
      <c r="I19" s="244" t="s">
        <v>313</v>
      </c>
      <c r="J19" s="244" t="str">
        <f t="shared" si="2"/>
        <v/>
      </c>
      <c r="K19" s="244" t="str">
        <f t="shared" si="3"/>
        <v/>
      </c>
      <c r="L19" s="244" t="str">
        <f t="shared" si="4"/>
        <v/>
      </c>
      <c r="M19" s="244" t="str">
        <f t="shared" si="5"/>
        <v/>
      </c>
      <c r="N19" s="244" t="str">
        <f t="shared" si="6"/>
        <v/>
      </c>
      <c r="O19" s="244" t="str">
        <f t="shared" si="7"/>
        <v/>
      </c>
      <c r="P19" s="244" t="str">
        <f t="shared" si="8"/>
        <v/>
      </c>
      <c r="Q19" s="244" t="str">
        <f t="shared" si="9"/>
        <v xml:space="preserve">, , , , , , </v>
      </c>
      <c r="R19" s="245"/>
      <c r="S19" s="245"/>
      <c r="T19" s="245"/>
      <c r="U19" s="245"/>
      <c r="V19" s="245"/>
      <c r="W19" s="245"/>
      <c r="X19" s="245"/>
      <c r="Y19" s="249">
        <f t="shared" si="10"/>
        <v>0</v>
      </c>
      <c r="Z19" s="250"/>
    </row>
    <row r="20" spans="1:26" ht="67.5" x14ac:dyDescent="0.25">
      <c r="A20" s="240"/>
      <c r="B20" s="241"/>
      <c r="C20" s="242"/>
      <c r="D20" s="243" t="e">
        <f>VLOOKUP(C20,'CPL-MK'!$E$2:$F$12,2)</f>
        <v>#N/A</v>
      </c>
      <c r="E20" s="242" t="s">
        <v>157</v>
      </c>
      <c r="F20" s="244" t="str">
        <f>VLOOKUP(E20,'CPL-CPMK-MK'!$D$1:$E$30,2)</f>
        <v>Memiliki kemampuan membuat keputusan berdasarkan pengetahuan di bidang teknologi informasi cerdas dalam konteks dukungan terhadap pengembangan layanan publik dan ekonomi digital</v>
      </c>
      <c r="G20" s="244" t="str">
        <f t="shared" si="0"/>
        <v>SUBCPMK-CPMK0331</v>
      </c>
      <c r="H20" s="244" t="str">
        <f t="shared" si="13"/>
        <v>Memiliki kemampuan membuat keputusan berdasarkan pengetahuan di bidang teknologi informasi cerdas dalam konteks dukungan terhadap pengembangan layanan publik dan ekonomi digital dalam manajemen strategis sistem informasi</v>
      </c>
      <c r="I20" s="244" t="s">
        <v>313</v>
      </c>
      <c r="J20" s="244" t="str">
        <f t="shared" si="2"/>
        <v/>
      </c>
      <c r="K20" s="244" t="str">
        <f t="shared" si="3"/>
        <v/>
      </c>
      <c r="L20" s="244" t="str">
        <f t="shared" si="4"/>
        <v/>
      </c>
      <c r="M20" s="244" t="str">
        <f t="shared" si="5"/>
        <v/>
      </c>
      <c r="N20" s="244" t="str">
        <f t="shared" si="6"/>
        <v/>
      </c>
      <c r="O20" s="244" t="str">
        <f t="shared" si="7"/>
        <v/>
      </c>
      <c r="P20" s="244" t="str">
        <f t="shared" si="8"/>
        <v/>
      </c>
      <c r="Q20" s="244" t="str">
        <f t="shared" si="9"/>
        <v xml:space="preserve">, , , , , , </v>
      </c>
      <c r="R20" s="245"/>
      <c r="S20" s="245"/>
      <c r="T20" s="245"/>
      <c r="U20" s="245"/>
      <c r="V20" s="245"/>
      <c r="W20" s="245"/>
      <c r="X20" s="245"/>
      <c r="Y20" s="249">
        <f t="shared" si="10"/>
        <v>0</v>
      </c>
      <c r="Z20" s="250"/>
    </row>
    <row r="21" spans="1:26" ht="67.5" x14ac:dyDescent="0.25">
      <c r="A21" s="245"/>
      <c r="B21" s="245"/>
      <c r="C21" s="242" t="s">
        <v>25</v>
      </c>
      <c r="D21" s="243" t="str">
        <f>VLOOKUP(C21,'CPL-MK'!$E$2:$F$12,2)</f>
        <v>Mampu mengevaluasi, membuat kesimpulan, dan membuat keputusan berdasarkan pengetahuan teknologi informasi khususnya teknologi informasi cerdas terbaru berkaitan dengan manajemen pengembangan layanan publik dan ekonomi digital</v>
      </c>
      <c r="E21" s="242" t="s">
        <v>159</v>
      </c>
      <c r="F21" s="244" t="str">
        <f>VLOOKUP(E21,'CPL-CPMK-MK'!$D$1:$E$30,2)</f>
        <v>Mampu mengevaluasi berdasarkan pengetahuan teknologi informasi khususnya teknologi informasi cerdas terbaru berkaitan dengan manajemen pengembangan layanan publik dan ekonomi digital</v>
      </c>
      <c r="G21" s="244" t="str">
        <f t="shared" si="0"/>
        <v>SUBCPMK-CPMK0411</v>
      </c>
      <c r="H21" s="244" t="str">
        <f t="shared" si="13"/>
        <v>Mampu mengevaluasi berdasarkan pengetahuan teknologi informasi khususnya teknologi informasi cerdas terbaru berkaitan dengan manajemen pengembangan layanan publik dan ekonomi digital dalam manajemen strategis sistem informasi</v>
      </c>
      <c r="I21" s="244" t="s">
        <v>313</v>
      </c>
      <c r="J21" s="244" t="str">
        <f t="shared" si="2"/>
        <v/>
      </c>
      <c r="K21" s="244" t="str">
        <f t="shared" si="3"/>
        <v/>
      </c>
      <c r="L21" s="244" t="str">
        <f t="shared" si="4"/>
        <v/>
      </c>
      <c r="M21" s="244" t="str">
        <f t="shared" si="5"/>
        <v/>
      </c>
      <c r="N21" s="244" t="str">
        <f t="shared" si="6"/>
        <v/>
      </c>
      <c r="O21" s="244" t="str">
        <f t="shared" si="7"/>
        <v/>
      </c>
      <c r="P21" s="244" t="str">
        <f t="shared" si="8"/>
        <v/>
      </c>
      <c r="Q21" s="244" t="str">
        <f t="shared" si="9"/>
        <v xml:space="preserve">, , , , , , </v>
      </c>
      <c r="R21" s="245"/>
      <c r="S21" s="245"/>
      <c r="T21" s="245"/>
      <c r="U21" s="245"/>
      <c r="V21" s="245"/>
      <c r="W21" s="245"/>
      <c r="X21" s="245"/>
      <c r="Y21" s="249">
        <f t="shared" si="10"/>
        <v>0</v>
      </c>
      <c r="Z21" s="250"/>
    </row>
    <row r="22" spans="1:26" ht="67.5" x14ac:dyDescent="0.25">
      <c r="A22" s="245"/>
      <c r="B22" s="245"/>
      <c r="C22" s="242"/>
      <c r="D22" s="243" t="e">
        <f>VLOOKUP(C22,'CPL-MK'!$E$2:$F$12,2)</f>
        <v>#N/A</v>
      </c>
      <c r="E22" s="242" t="s">
        <v>161</v>
      </c>
      <c r="F22" s="244" t="str">
        <f>VLOOKUP(E22,'CPL-CPMK-MK'!$D$1:$E$30,2)</f>
        <v>Mampu membuat kesimpulan berdasarkan pengetahuan teknologi informasi khususnya teknologi informasi cerdas terbaru berkaitan dengan manajemen pengembangan layanan publik dan ekonomi digital</v>
      </c>
      <c r="G22" s="244" t="str">
        <f t="shared" si="0"/>
        <v>SUBCPMK-CPMK0421</v>
      </c>
      <c r="H22" s="244" t="str">
        <f t="shared" si="13"/>
        <v>Mampu membuat kesimpulan berdasarkan pengetahuan teknologi informasi khususnya teknologi informasi cerdas terbaru berkaitan dengan manajemen pengembangan layanan publik dan ekonomi digital dalam manajemen strategis sistem informasi</v>
      </c>
      <c r="I22" s="244" t="s">
        <v>313</v>
      </c>
      <c r="J22" s="244" t="str">
        <f t="shared" si="2"/>
        <v/>
      </c>
      <c r="K22" s="244" t="str">
        <f t="shared" si="3"/>
        <v/>
      </c>
      <c r="L22" s="244" t="str">
        <f t="shared" si="4"/>
        <v/>
      </c>
      <c r="M22" s="244" t="str">
        <f t="shared" si="5"/>
        <v/>
      </c>
      <c r="N22" s="244" t="str">
        <f t="shared" si="6"/>
        <v/>
      </c>
      <c r="O22" s="244" t="str">
        <f t="shared" si="7"/>
        <v/>
      </c>
      <c r="P22" s="244" t="str">
        <f t="shared" si="8"/>
        <v/>
      </c>
      <c r="Q22" s="244" t="str">
        <f t="shared" si="9"/>
        <v xml:space="preserve">, , , , , , </v>
      </c>
      <c r="R22" s="245"/>
      <c r="S22" s="245"/>
      <c r="T22" s="245"/>
      <c r="U22" s="245"/>
      <c r="V22" s="245"/>
      <c r="W22" s="245"/>
      <c r="X22" s="245"/>
      <c r="Y22" s="249">
        <f t="shared" si="10"/>
        <v>0</v>
      </c>
      <c r="Z22" s="250"/>
    </row>
    <row r="23" spans="1:26" ht="67.5" x14ac:dyDescent="0.25">
      <c r="A23" s="245"/>
      <c r="B23" s="245"/>
      <c r="C23" s="242"/>
      <c r="D23" s="243" t="e">
        <f>VLOOKUP(C23,'CPL-MK'!$E$2:$F$12,2)</f>
        <v>#N/A</v>
      </c>
      <c r="E23" s="242" t="s">
        <v>163</v>
      </c>
      <c r="F23" s="244" t="str">
        <f>VLOOKUP(E23,'CPL-CPMK-MK'!$D$1:$E$30,2)</f>
        <v>Mampu membuat keputusan berdasarkan pengetahuan teknologi informasi khususnya teknologi informasi cerdas terbaru berkaitan dengan manajemen pengembangan layanan publik dan ekonomi digital</v>
      </c>
      <c r="G23" s="244" t="str">
        <f t="shared" si="0"/>
        <v>SUBCPMK-CPMK0431</v>
      </c>
      <c r="H23" s="244" t="str">
        <f t="shared" si="13"/>
        <v>Mampu membuat keputusan berdasarkan pengetahuan teknologi informasi khususnya teknologi informasi cerdas terbaru berkaitan dengan manajemen pengembangan layanan publik dan ekonomi digital dalam manajemen strategis sistem informasi</v>
      </c>
      <c r="I23" s="244" t="s">
        <v>313</v>
      </c>
      <c r="J23" s="244" t="str">
        <f t="shared" si="2"/>
        <v/>
      </c>
      <c r="K23" s="244" t="str">
        <f t="shared" si="3"/>
        <v/>
      </c>
      <c r="L23" s="244" t="str">
        <f t="shared" si="4"/>
        <v/>
      </c>
      <c r="M23" s="244" t="str">
        <f t="shared" si="5"/>
        <v/>
      </c>
      <c r="N23" s="244" t="str">
        <f t="shared" si="6"/>
        <v/>
      </c>
      <c r="O23" s="244" t="str">
        <f t="shared" si="7"/>
        <v/>
      </c>
      <c r="P23" s="244" t="str">
        <f t="shared" si="8"/>
        <v/>
      </c>
      <c r="Q23" s="244" t="str">
        <f t="shared" si="9"/>
        <v xml:space="preserve">, , , , , , </v>
      </c>
      <c r="R23" s="245"/>
      <c r="S23" s="245"/>
      <c r="T23" s="245"/>
      <c r="U23" s="245"/>
      <c r="V23" s="245"/>
      <c r="W23" s="245"/>
      <c r="X23" s="245"/>
      <c r="Y23" s="249">
        <f t="shared" si="10"/>
        <v>0</v>
      </c>
      <c r="Z23" s="250"/>
    </row>
    <row r="24" spans="1:26" ht="54" x14ac:dyDescent="0.25">
      <c r="A24" s="245"/>
      <c r="B24" s="245"/>
      <c r="C24" s="242" t="s">
        <v>45</v>
      </c>
      <c r="D24" s="243" t="str">
        <f>VLOOKUP(C24,'CPL-MK'!$E$2:$F$12,2)</f>
        <v>Mampu memodelkan sistem yang kompleks dan membangun solusi berbasis computing yang efektif dan efisien</v>
      </c>
      <c r="E24" s="242" t="s">
        <v>201</v>
      </c>
      <c r="F24" s="244" t="str">
        <f>VLOOKUP(E24,'CPL-CPMK-MK'!$D$1:$E$30,2)</f>
        <v>Mampu merancang sistem yang kompleks dalam bidang computing.</v>
      </c>
      <c r="G24" s="244" t="str">
        <f t="shared" si="0"/>
        <v>SUBCPMK-CPMK1111</v>
      </c>
      <c r="H24" s="244" t="str">
        <f t="shared" si="13"/>
        <v>Mampu merancang sistem yang kompleks dalam bidang computing. dalam manajemen strategis sistem informasi</v>
      </c>
      <c r="I24" s="244" t="s">
        <v>313</v>
      </c>
      <c r="J24" s="244" t="str">
        <f t="shared" si="2"/>
        <v/>
      </c>
      <c r="K24" s="244" t="str">
        <f t="shared" si="3"/>
        <v/>
      </c>
      <c r="L24" s="244" t="str">
        <f t="shared" si="4"/>
        <v/>
      </c>
      <c r="M24" s="244" t="str">
        <f t="shared" si="5"/>
        <v/>
      </c>
      <c r="N24" s="244" t="str">
        <f t="shared" si="6"/>
        <v/>
      </c>
      <c r="O24" s="244" t="str">
        <f t="shared" si="7"/>
        <v/>
      </c>
      <c r="P24" s="244" t="str">
        <f t="shared" si="8"/>
        <v/>
      </c>
      <c r="Q24" s="244" t="str">
        <f t="shared" si="9"/>
        <v xml:space="preserve">, , , , , , </v>
      </c>
      <c r="R24" s="245"/>
      <c r="S24" s="245"/>
      <c r="T24" s="245"/>
      <c r="U24" s="245"/>
      <c r="V24" s="245"/>
      <c r="W24" s="245"/>
      <c r="X24" s="245"/>
      <c r="Y24" s="249">
        <f t="shared" si="10"/>
        <v>0</v>
      </c>
      <c r="Z24" s="250"/>
    </row>
    <row r="25" spans="1:26" ht="54" x14ac:dyDescent="0.25">
      <c r="A25" s="245"/>
      <c r="B25" s="245"/>
      <c r="C25" s="242"/>
      <c r="D25" s="243" t="e">
        <f>VLOOKUP(C25,'CPL-MK'!$E$2:$F$12,2)</f>
        <v>#N/A</v>
      </c>
      <c r="E25" s="242" t="s">
        <v>202</v>
      </c>
      <c r="F25" s="244" t="str">
        <f>VLOOKUP(E25,'CPL-CPMK-MK'!$D$1:$E$30,2)</f>
        <v>Mampu membangun solusi berbasis computing yang efektif dan efisien</v>
      </c>
      <c r="G25" s="244" t="str">
        <f t="shared" si="0"/>
        <v>SUBCPMK-CPMK1121</v>
      </c>
      <c r="H25" s="244" t="str">
        <f t="shared" si="13"/>
        <v>Mampu membangun solusi berbasis computing yang efektif dan efisien dalam manajemen strategis sistem informasi</v>
      </c>
      <c r="I25" s="244" t="s">
        <v>313</v>
      </c>
      <c r="J25" s="244" t="str">
        <f t="shared" si="2"/>
        <v/>
      </c>
      <c r="K25" s="244" t="str">
        <f t="shared" si="3"/>
        <v/>
      </c>
      <c r="L25" s="244" t="str">
        <f t="shared" si="4"/>
        <v/>
      </c>
      <c r="M25" s="244" t="str">
        <f t="shared" si="5"/>
        <v/>
      </c>
      <c r="N25" s="244" t="str">
        <f t="shared" si="6"/>
        <v/>
      </c>
      <c r="O25" s="244" t="str">
        <f t="shared" si="7"/>
        <v/>
      </c>
      <c r="P25" s="244" t="str">
        <f t="shared" si="8"/>
        <v/>
      </c>
      <c r="Q25" s="244" t="str">
        <f t="shared" si="9"/>
        <v xml:space="preserve">, , , , , , </v>
      </c>
      <c r="R25" s="245"/>
      <c r="S25" s="245"/>
      <c r="T25" s="245"/>
      <c r="U25" s="245"/>
      <c r="V25" s="245"/>
      <c r="W25" s="245"/>
      <c r="X25" s="245"/>
      <c r="Y25" s="249">
        <f t="shared" si="10"/>
        <v>0</v>
      </c>
      <c r="Z25" s="250"/>
    </row>
    <row r="26" spans="1:26" ht="67.5" x14ac:dyDescent="0.25">
      <c r="A26" s="240" t="s">
        <v>100</v>
      </c>
      <c r="B26" s="241" t="s">
        <v>101</v>
      </c>
      <c r="C26" s="242" t="s">
        <v>35</v>
      </c>
      <c r="D26" s="243" t="str">
        <f>VLOOKUP(C26,'CPL-MK'!$E$2:$F$12,2)</f>
        <v>Mampu mengevaluasi, mengembangkan dan mengimplementasikan solusi komputasi cerdas dengan menggunakan teknologi terkini dalam mendukung pengembangan kota cerdas dan sistem pemerintahan berbasis elektronik</v>
      </c>
      <c r="E26" s="242" t="s">
        <v>183</v>
      </c>
      <c r="F26" s="244" t="str">
        <f>VLOOKUP(E26,'CPL-CPMK-MK'!$D$1:$E$30,2)</f>
        <v>Mampu mengevaluasi solusi komputasi cerdas dengan menggunakan teknologi terkini dalam mendukung pengembangan kota cerdas dan sistem pemerintahan berbasis elektronik</v>
      </c>
      <c r="G26" s="244" t="str">
        <f t="shared" si="0"/>
        <v>SUBCPMK-CPMK0811</v>
      </c>
      <c r="H26" s="244" t="str">
        <f>CONCATENATE(F26, " dalam ",LOWER($B$26))</f>
        <v>Mampu mengevaluasi solusi komputasi cerdas dengan menggunakan teknologi terkini dalam mendukung pengembangan kota cerdas dan sistem pemerintahan berbasis elektronik dalam rekayasa perangkat lunak lanjut</v>
      </c>
      <c r="I26" s="244" t="s">
        <v>313</v>
      </c>
      <c r="J26" s="244" t="str">
        <f t="shared" si="2"/>
        <v/>
      </c>
      <c r="K26" s="244" t="str">
        <f t="shared" si="3"/>
        <v/>
      </c>
      <c r="L26" s="244" t="str">
        <f t="shared" si="4"/>
        <v/>
      </c>
      <c r="M26" s="244" t="str">
        <f t="shared" si="5"/>
        <v/>
      </c>
      <c r="N26" s="244" t="str">
        <f t="shared" si="6"/>
        <v/>
      </c>
      <c r="O26" s="244" t="str">
        <f t="shared" si="7"/>
        <v/>
      </c>
      <c r="P26" s="244" t="str">
        <f t="shared" si="8"/>
        <v/>
      </c>
      <c r="Q26" s="244" t="str">
        <f t="shared" si="9"/>
        <v xml:space="preserve">, , , , , , </v>
      </c>
      <c r="R26" s="245"/>
      <c r="S26" s="245"/>
      <c r="T26" s="245"/>
      <c r="U26" s="245"/>
      <c r="V26" s="245"/>
      <c r="W26" s="245"/>
      <c r="X26" s="245"/>
      <c r="Y26" s="249">
        <f t="shared" si="10"/>
        <v>0</v>
      </c>
      <c r="Z26" s="250"/>
    </row>
    <row r="27" spans="1:26" ht="54" x14ac:dyDescent="0.25">
      <c r="A27" s="245"/>
      <c r="B27" s="245"/>
      <c r="C27" s="242"/>
      <c r="D27" s="243" t="e">
        <f>VLOOKUP(C27,'CPL-MK'!$E$2:$F$12,2)</f>
        <v>#N/A</v>
      </c>
      <c r="E27" s="242" t="s">
        <v>185</v>
      </c>
      <c r="F27" s="244" t="str">
        <f>VLOOKUP(E27,'CPL-CPMK-MK'!$D$1:$E$30,2)</f>
        <v>Mampu mengembangkan solusi komputasi cerdas dengan menggunakan teknologi terkini dalam mendukung pengembangan kota cerdas dan sistem pemerintahan berbasis elektronik</v>
      </c>
      <c r="G27" s="244" t="str">
        <f t="shared" si="0"/>
        <v>SUBCPMK-CPMK0821</v>
      </c>
      <c r="H27" s="244" t="str">
        <f>CONCATENATE(F27, " dalam ",LOWER($B$26))</f>
        <v>Mampu mengembangkan solusi komputasi cerdas dengan menggunakan teknologi terkini dalam mendukung pengembangan kota cerdas dan sistem pemerintahan berbasis elektronik dalam rekayasa perangkat lunak lanjut</v>
      </c>
      <c r="I27" s="244" t="s">
        <v>313</v>
      </c>
      <c r="J27" s="244" t="str">
        <f t="shared" si="2"/>
        <v/>
      </c>
      <c r="K27" s="244" t="str">
        <f t="shared" si="3"/>
        <v/>
      </c>
      <c r="L27" s="244" t="str">
        <f t="shared" si="4"/>
        <v/>
      </c>
      <c r="M27" s="244" t="str">
        <f t="shared" si="5"/>
        <v/>
      </c>
      <c r="N27" s="244" t="str">
        <f t="shared" si="6"/>
        <v/>
      </c>
      <c r="O27" s="244" t="str">
        <f t="shared" si="7"/>
        <v/>
      </c>
      <c r="P27" s="244" t="str">
        <f t="shared" si="8"/>
        <v/>
      </c>
      <c r="Q27" s="244" t="str">
        <f t="shared" si="9"/>
        <v xml:space="preserve">, , , , , , </v>
      </c>
      <c r="R27" s="245"/>
      <c r="S27" s="245"/>
      <c r="T27" s="245"/>
      <c r="U27" s="245"/>
      <c r="V27" s="245"/>
      <c r="W27" s="245"/>
      <c r="X27" s="245"/>
      <c r="Y27" s="249">
        <f t="shared" si="10"/>
        <v>0</v>
      </c>
      <c r="Z27" s="250"/>
    </row>
    <row r="28" spans="1:26" ht="54" x14ac:dyDescent="0.25">
      <c r="A28" s="245"/>
      <c r="B28" s="245"/>
      <c r="C28" s="242"/>
      <c r="D28" s="243" t="e">
        <f>VLOOKUP(C28,'CPL-MK'!$E$2:$F$12,2)</f>
        <v>#N/A</v>
      </c>
      <c r="E28" s="242" t="s">
        <v>187</v>
      </c>
      <c r="F28" s="244" t="str">
        <f>VLOOKUP(E28,'CPL-CPMK-MK'!$D$1:$E$30,2)</f>
        <v>Mampu mengimplementasikan solusi komputasi cerdas dengan menggunakan teknologi terkini dalam mendukung pengembangan kota cerdas dan sistem pemerintahan berbasis elektronik</v>
      </c>
      <c r="G28" s="244" t="str">
        <f t="shared" si="0"/>
        <v>SUBCPMK-CPMK0831</v>
      </c>
      <c r="H28" s="244" t="str">
        <f>CONCATENATE(F28, " dalam ",LOWER($B$26))</f>
        <v>Mampu mengimplementasikan solusi komputasi cerdas dengan menggunakan teknologi terkini dalam mendukung pengembangan kota cerdas dan sistem pemerintahan berbasis elektronik dalam rekayasa perangkat lunak lanjut</v>
      </c>
      <c r="I28" s="244" t="s">
        <v>313</v>
      </c>
      <c r="J28" s="244" t="str">
        <f t="shared" si="2"/>
        <v/>
      </c>
      <c r="K28" s="244" t="str">
        <f t="shared" si="3"/>
        <v/>
      </c>
      <c r="L28" s="244" t="str">
        <f t="shared" si="4"/>
        <v/>
      </c>
      <c r="M28" s="244" t="str">
        <f t="shared" si="5"/>
        <v/>
      </c>
      <c r="N28" s="244" t="str">
        <f t="shared" si="6"/>
        <v/>
      </c>
      <c r="O28" s="244" t="str">
        <f t="shared" si="7"/>
        <v/>
      </c>
      <c r="P28" s="244" t="str">
        <f t="shared" si="8"/>
        <v/>
      </c>
      <c r="Q28" s="244" t="str">
        <f t="shared" si="9"/>
        <v xml:space="preserve">, , , , , , </v>
      </c>
      <c r="R28" s="245"/>
      <c r="S28" s="245"/>
      <c r="T28" s="245"/>
      <c r="U28" s="245"/>
      <c r="V28" s="245"/>
      <c r="W28" s="245"/>
      <c r="X28" s="245"/>
      <c r="Y28" s="249">
        <f t="shared" si="10"/>
        <v>0</v>
      </c>
      <c r="Z28" s="250"/>
    </row>
    <row r="29" spans="1:26" ht="54" x14ac:dyDescent="0.25">
      <c r="A29" s="245"/>
      <c r="B29" s="245"/>
      <c r="C29" s="242" t="s">
        <v>45</v>
      </c>
      <c r="D29" s="243" t="str">
        <f>VLOOKUP(C29,'CPL-MK'!$E$2:$F$12,2)</f>
        <v>Mampu memodelkan sistem yang kompleks dan membangun solusi berbasis computing yang efektif dan efisien</v>
      </c>
      <c r="E29" s="242" t="s">
        <v>201</v>
      </c>
      <c r="F29" s="244" t="str">
        <f>VLOOKUP(E29,'CPL-CPMK-MK'!$D$1:$E$30,2)</f>
        <v>Mampu merancang sistem yang kompleks dalam bidang computing.</v>
      </c>
      <c r="G29" s="244" t="str">
        <f t="shared" si="0"/>
        <v>SUBCPMK-CPMK1111</v>
      </c>
      <c r="H29" s="244" t="str">
        <f>CONCATENATE(F29, " dalam ",LOWER($B$26))</f>
        <v>Mampu merancang sistem yang kompleks dalam bidang computing. dalam rekayasa perangkat lunak lanjut</v>
      </c>
      <c r="I29" s="244" t="s">
        <v>313</v>
      </c>
      <c r="J29" s="244" t="str">
        <f t="shared" si="2"/>
        <v/>
      </c>
      <c r="K29" s="244" t="str">
        <f t="shared" si="3"/>
        <v/>
      </c>
      <c r="L29" s="244" t="str">
        <f t="shared" si="4"/>
        <v/>
      </c>
      <c r="M29" s="244" t="str">
        <f t="shared" si="5"/>
        <v/>
      </c>
      <c r="N29" s="244" t="str">
        <f t="shared" si="6"/>
        <v/>
      </c>
      <c r="O29" s="244" t="str">
        <f t="shared" si="7"/>
        <v/>
      </c>
      <c r="P29" s="244" t="str">
        <f t="shared" si="8"/>
        <v/>
      </c>
      <c r="Q29" s="244" t="str">
        <f t="shared" si="9"/>
        <v xml:space="preserve">, , , , , , </v>
      </c>
      <c r="R29" s="245"/>
      <c r="S29" s="245"/>
      <c r="T29" s="245"/>
      <c r="U29" s="245"/>
      <c r="V29" s="245"/>
      <c r="W29" s="245"/>
      <c r="X29" s="245"/>
      <c r="Y29" s="249">
        <f t="shared" si="10"/>
        <v>0</v>
      </c>
      <c r="Z29" s="250"/>
    </row>
    <row r="30" spans="1:26" ht="54" x14ac:dyDescent="0.25">
      <c r="A30" s="245"/>
      <c r="B30" s="245"/>
      <c r="C30" s="242"/>
      <c r="D30" s="243" t="e">
        <f>VLOOKUP(C30,'CPL-MK'!$E$2:$F$12,2)</f>
        <v>#N/A</v>
      </c>
      <c r="E30" s="242" t="s">
        <v>202</v>
      </c>
      <c r="F30" s="244" t="str">
        <f>VLOOKUP(E30,'CPL-CPMK-MK'!$D$1:$E$30,2)</f>
        <v>Mampu membangun solusi berbasis computing yang efektif dan efisien</v>
      </c>
      <c r="G30" s="244" t="str">
        <f t="shared" si="0"/>
        <v>SUBCPMK-CPMK1121</v>
      </c>
      <c r="H30" s="244" t="str">
        <f>CONCATENATE(F30, " dalam ",LOWER($B$26))</f>
        <v>Mampu membangun solusi berbasis computing yang efektif dan efisien dalam rekayasa perangkat lunak lanjut</v>
      </c>
      <c r="I30" s="244" t="s">
        <v>313</v>
      </c>
      <c r="J30" s="244" t="str">
        <f t="shared" si="2"/>
        <v/>
      </c>
      <c r="K30" s="244" t="str">
        <f t="shared" si="3"/>
        <v/>
      </c>
      <c r="L30" s="244" t="str">
        <f t="shared" si="4"/>
        <v/>
      </c>
      <c r="M30" s="244" t="str">
        <f t="shared" si="5"/>
        <v/>
      </c>
      <c r="N30" s="244" t="str">
        <f t="shared" si="6"/>
        <v/>
      </c>
      <c r="O30" s="244" t="str">
        <f t="shared" si="7"/>
        <v/>
      </c>
      <c r="P30" s="244" t="str">
        <f t="shared" si="8"/>
        <v/>
      </c>
      <c r="Q30" s="244" t="str">
        <f t="shared" si="9"/>
        <v xml:space="preserve">, , , , , , </v>
      </c>
      <c r="R30" s="245"/>
      <c r="S30" s="245"/>
      <c r="T30" s="245"/>
      <c r="U30" s="245"/>
      <c r="V30" s="245"/>
      <c r="W30" s="245"/>
      <c r="X30" s="245"/>
      <c r="Y30" s="249">
        <f t="shared" si="10"/>
        <v>0</v>
      </c>
      <c r="Z30" s="250"/>
    </row>
    <row r="31" spans="1:26" ht="67.5" x14ac:dyDescent="0.25">
      <c r="A31" s="240" t="s">
        <v>102</v>
      </c>
      <c r="B31" s="241" t="s">
        <v>103</v>
      </c>
      <c r="C31" s="242" t="s">
        <v>22</v>
      </c>
      <c r="D31" s="243" t="str">
        <f>VLOOKUP(C31,'CPL-MK'!$E$2:$F$12,2)</f>
        <v>Memiliki kemampuan menganalisis, mengevaluasi, dan membuat keputusan berdasarkan pengetahuan di bidang teknologi informasi cerdas dalam konteks dukungan terhadap pengembangan layanan publik dan ekonomi digital</v>
      </c>
      <c r="E31" s="242" t="s">
        <v>153</v>
      </c>
      <c r="F31" s="244" t="str">
        <f>VLOOKUP(E31,'CPL-CPMK-MK'!$D$1:$E$30,2)</f>
        <v>Memiliki kemampuan menganalisis berdasarkan pengetahuan di bidang teknologi informasi cerdas dalam konteks dukungan terhadap pengembangan layanan publik dan ekonomi digital</v>
      </c>
      <c r="G31" s="244" t="str">
        <f t="shared" si="0"/>
        <v>SUBCPMK-CPMK0311</v>
      </c>
      <c r="H31" s="244" t="str">
        <f>CONCATENATE(F31, " dalam ",LOWER($B$31))</f>
        <v>Memiliki kemampuan menganalisis berdasarkan pengetahuan di bidang teknologi informasi cerdas dalam konteks dukungan terhadap pengembangan layanan publik dan ekonomi digital dalam metodologi penelitian dan penulisan ilmiah</v>
      </c>
      <c r="I31" s="244" t="s">
        <v>313</v>
      </c>
      <c r="J31" s="244" t="str">
        <f t="shared" si="2"/>
        <v>Unjuk Kerja (Presensi)</v>
      </c>
      <c r="K31" s="244" t="str">
        <f t="shared" si="3"/>
        <v>Kuis / Tugas 1</v>
      </c>
      <c r="L31" s="244" t="str">
        <f t="shared" si="4"/>
        <v>Kuis / Tugas 2</v>
      </c>
      <c r="M31" s="244" t="str">
        <f t="shared" si="5"/>
        <v/>
      </c>
      <c r="N31" s="244" t="str">
        <f t="shared" si="6"/>
        <v/>
      </c>
      <c r="O31" s="244" t="str">
        <f t="shared" si="7"/>
        <v>UTS</v>
      </c>
      <c r="P31" s="244" t="str">
        <f t="shared" si="8"/>
        <v>UAS</v>
      </c>
      <c r="Q31" s="244" t="str">
        <f t="shared" si="9"/>
        <v>Unjuk Kerja (Presensi), Kuis / Tugas 1, Kuis / Tugas 2, , , UTS, UAS</v>
      </c>
      <c r="R31" s="249">
        <v>4</v>
      </c>
      <c r="S31" s="249">
        <v>6</v>
      </c>
      <c r="T31" s="249">
        <v>8</v>
      </c>
      <c r="U31" s="249"/>
      <c r="V31" s="249"/>
      <c r="W31" s="249">
        <v>8</v>
      </c>
      <c r="X31" s="249">
        <v>9</v>
      </c>
      <c r="Y31" s="249">
        <f t="shared" si="10"/>
        <v>35</v>
      </c>
      <c r="Z31" s="250"/>
    </row>
    <row r="32" spans="1:26" ht="67.5" x14ac:dyDescent="0.25">
      <c r="A32" s="240"/>
      <c r="B32" s="241"/>
      <c r="C32" s="242"/>
      <c r="D32" s="243" t="e">
        <f>VLOOKUP(C32,'CPL-MK'!$E$2:$F$12,2)</f>
        <v>#N/A</v>
      </c>
      <c r="E32" s="242" t="s">
        <v>155</v>
      </c>
      <c r="F32" s="244" t="str">
        <f>VLOOKUP(E32,'CPL-CPMK-MK'!$D$1:$E$30,2)</f>
        <v>Memiliki kemampuan mengevaluasi berdasarkan pengetahuan di bidang teknologi informasi cerdas dalam konteks dukungan terhadap pengembangan layanan publik dan ekonomi digital</v>
      </c>
      <c r="G32" s="244" t="str">
        <f t="shared" si="0"/>
        <v>SUBCPMK-CPMK0321</v>
      </c>
      <c r="H32" s="244" t="str">
        <f t="shared" ref="H32:H35" si="14">CONCATENATE(F32, " dalam ",LOWER($B$31))</f>
        <v>Memiliki kemampuan mengevaluasi berdasarkan pengetahuan di bidang teknologi informasi cerdas dalam konteks dukungan terhadap pengembangan layanan publik dan ekonomi digital dalam metodologi penelitian dan penulisan ilmiah</v>
      </c>
      <c r="I32" s="244" t="s">
        <v>313</v>
      </c>
      <c r="J32" s="244" t="str">
        <f t="shared" si="2"/>
        <v>Unjuk Kerja (Presensi)</v>
      </c>
      <c r="K32" s="244" t="str">
        <f t="shared" si="3"/>
        <v/>
      </c>
      <c r="L32" s="244" t="str">
        <f t="shared" si="4"/>
        <v>Kuis / Tugas 2</v>
      </c>
      <c r="M32" s="244" t="str">
        <f t="shared" si="5"/>
        <v/>
      </c>
      <c r="N32" s="244" t="str">
        <f t="shared" si="6"/>
        <v/>
      </c>
      <c r="O32" s="244" t="str">
        <f t="shared" si="7"/>
        <v>UTS</v>
      </c>
      <c r="P32" s="244" t="str">
        <f t="shared" si="8"/>
        <v>UAS</v>
      </c>
      <c r="Q32" s="244" t="str">
        <f t="shared" si="9"/>
        <v>Unjuk Kerja (Presensi), , Kuis / Tugas 2, , , UTS, UAS</v>
      </c>
      <c r="R32" s="249">
        <v>3</v>
      </c>
      <c r="S32" s="249"/>
      <c r="T32" s="249">
        <v>7</v>
      </c>
      <c r="U32" s="249"/>
      <c r="V32" s="249"/>
      <c r="W32" s="249">
        <v>7</v>
      </c>
      <c r="X32" s="249">
        <v>8</v>
      </c>
      <c r="Y32" s="249">
        <f t="shared" si="10"/>
        <v>25</v>
      </c>
      <c r="Z32" s="250"/>
    </row>
    <row r="33" spans="1:26" ht="67.5" x14ac:dyDescent="0.25">
      <c r="A33" s="240"/>
      <c r="B33" s="241"/>
      <c r="C33" s="242"/>
      <c r="D33" s="243" t="e">
        <f>VLOOKUP(C33,'CPL-MK'!$E$2:$F$12,2)</f>
        <v>#N/A</v>
      </c>
      <c r="E33" s="242" t="s">
        <v>157</v>
      </c>
      <c r="F33" s="244" t="str">
        <f>VLOOKUP(E33,'CPL-CPMK-MK'!$D$1:$E$30,2)</f>
        <v>Memiliki kemampuan membuat keputusan berdasarkan pengetahuan di bidang teknologi informasi cerdas dalam konteks dukungan terhadap pengembangan layanan publik dan ekonomi digital</v>
      </c>
      <c r="G33" s="244" t="str">
        <f t="shared" si="0"/>
        <v>SUBCPMK-CPMK0331</v>
      </c>
      <c r="H33" s="244" t="str">
        <f t="shared" si="14"/>
        <v>Memiliki kemampuan membuat keputusan berdasarkan pengetahuan di bidang teknologi informasi cerdas dalam konteks dukungan terhadap pengembangan layanan publik dan ekonomi digital dalam metodologi penelitian dan penulisan ilmiah</v>
      </c>
      <c r="I33" s="244" t="s">
        <v>313</v>
      </c>
      <c r="J33" s="244" t="str">
        <f t="shared" si="2"/>
        <v>Unjuk Kerja (Presensi)</v>
      </c>
      <c r="K33" s="244" t="str">
        <f t="shared" si="3"/>
        <v/>
      </c>
      <c r="L33" s="244" t="str">
        <f t="shared" si="4"/>
        <v/>
      </c>
      <c r="M33" s="244" t="str">
        <f t="shared" si="5"/>
        <v>Kuis / Tugas 3</v>
      </c>
      <c r="N33" s="244" t="str">
        <f t="shared" si="6"/>
        <v>Kuis / Tugas 4</v>
      </c>
      <c r="O33" s="244" t="str">
        <f t="shared" si="7"/>
        <v/>
      </c>
      <c r="P33" s="244" t="str">
        <f t="shared" si="8"/>
        <v>UAS</v>
      </c>
      <c r="Q33" s="244" t="str">
        <f t="shared" si="9"/>
        <v>Unjuk Kerja (Presensi), , , Kuis / Tugas 3, Kuis / Tugas 4, , UAS</v>
      </c>
      <c r="R33" s="249">
        <v>3</v>
      </c>
      <c r="S33" s="249"/>
      <c r="T33" s="249"/>
      <c r="U33" s="249">
        <v>6</v>
      </c>
      <c r="V33" s="249">
        <v>6</v>
      </c>
      <c r="W33" s="249"/>
      <c r="X33" s="249">
        <v>5</v>
      </c>
      <c r="Y33" s="249">
        <f t="shared" si="10"/>
        <v>20</v>
      </c>
      <c r="Z33" s="250"/>
    </row>
    <row r="34" spans="1:26" ht="67.5" x14ac:dyDescent="0.25">
      <c r="A34" s="245"/>
      <c r="B34" s="245"/>
      <c r="C34" s="242" t="s">
        <v>45</v>
      </c>
      <c r="D34" s="243" t="str">
        <f>VLOOKUP(C34,'CPL-MK'!$E$2:$F$12,2)</f>
        <v>Mampu memodelkan sistem yang kompleks dan membangun solusi berbasis computing yang efektif dan efisien</v>
      </c>
      <c r="E34" s="242" t="s">
        <v>201</v>
      </c>
      <c r="F34" s="244" t="str">
        <f>VLOOKUP(E34,'CPL-CPMK-MK'!$D$1:$E$30,2)</f>
        <v>Mampu merancang sistem yang kompleks dalam bidang computing.</v>
      </c>
      <c r="G34" s="244" t="str">
        <f t="shared" si="0"/>
        <v>SUBCPMK-CPMK1111</v>
      </c>
      <c r="H34" s="244" t="str">
        <f t="shared" si="14"/>
        <v>Mampu merancang sistem yang kompleks dalam bidang computing. dalam metodologi penelitian dan penulisan ilmiah</v>
      </c>
      <c r="I34" s="244" t="s">
        <v>313</v>
      </c>
      <c r="J34" s="244" t="str">
        <f t="shared" si="2"/>
        <v>Unjuk Kerja (Presensi)</v>
      </c>
      <c r="K34" s="244" t="str">
        <f t="shared" si="3"/>
        <v>Kuis / Tugas 1</v>
      </c>
      <c r="L34" s="244" t="str">
        <f t="shared" si="4"/>
        <v/>
      </c>
      <c r="M34" s="244" t="str">
        <f t="shared" si="5"/>
        <v>Kuis / Tugas 3</v>
      </c>
      <c r="N34" s="244" t="str">
        <f t="shared" si="6"/>
        <v/>
      </c>
      <c r="O34" s="244" t="str">
        <f t="shared" si="7"/>
        <v>UTS</v>
      </c>
      <c r="P34" s="244" t="str">
        <f t="shared" si="8"/>
        <v>UAS</v>
      </c>
      <c r="Q34" s="244" t="str">
        <f t="shared" si="9"/>
        <v>Unjuk Kerja (Presensi), Kuis / Tugas 1, , Kuis / Tugas 3, , UTS, UAS</v>
      </c>
      <c r="R34" s="249">
        <v>1</v>
      </c>
      <c r="S34" s="249">
        <v>2</v>
      </c>
      <c r="T34" s="249"/>
      <c r="U34" s="249">
        <v>2</v>
      </c>
      <c r="V34" s="249"/>
      <c r="W34" s="249">
        <v>2</v>
      </c>
      <c r="X34" s="249">
        <v>3</v>
      </c>
      <c r="Y34" s="249">
        <f t="shared" si="10"/>
        <v>10</v>
      </c>
      <c r="Z34" s="250"/>
    </row>
    <row r="35" spans="1:26" ht="54" x14ac:dyDescent="0.25">
      <c r="A35" s="245"/>
      <c r="B35" s="245"/>
      <c r="C35" s="242"/>
      <c r="D35" s="243" t="e">
        <f>VLOOKUP(C35,'CPL-MK'!$E$2:$F$12,2)</f>
        <v>#N/A</v>
      </c>
      <c r="E35" s="242" t="s">
        <v>202</v>
      </c>
      <c r="F35" s="244" t="str">
        <f>VLOOKUP(E35,'CPL-CPMK-MK'!$D$1:$E$30,2)</f>
        <v>Mampu membangun solusi berbasis computing yang efektif dan efisien</v>
      </c>
      <c r="G35" s="244" t="str">
        <f t="shared" si="0"/>
        <v>SUBCPMK-CPMK1121</v>
      </c>
      <c r="H35" s="244" t="str">
        <f t="shared" si="14"/>
        <v>Mampu membangun solusi berbasis computing yang efektif dan efisien dalam metodologi penelitian dan penulisan ilmiah</v>
      </c>
      <c r="I35" s="244" t="s">
        <v>313</v>
      </c>
      <c r="J35" s="244" t="str">
        <f t="shared" si="2"/>
        <v>Unjuk Kerja (Presensi)</v>
      </c>
      <c r="K35" s="244" t="str">
        <f t="shared" si="3"/>
        <v/>
      </c>
      <c r="L35" s="244" t="str">
        <f t="shared" si="4"/>
        <v>Kuis / Tugas 2</v>
      </c>
      <c r="M35" s="244" t="str">
        <f t="shared" si="5"/>
        <v/>
      </c>
      <c r="N35" s="244" t="str">
        <f t="shared" si="6"/>
        <v>Kuis / Tugas 4</v>
      </c>
      <c r="O35" s="244" t="str">
        <f t="shared" si="7"/>
        <v>UTS</v>
      </c>
      <c r="P35" s="244" t="str">
        <f t="shared" si="8"/>
        <v>UAS</v>
      </c>
      <c r="Q35" s="244" t="str">
        <f t="shared" si="9"/>
        <v>Unjuk Kerja (Presensi), , Kuis / Tugas 2, , Kuis / Tugas 4, UTS, UAS</v>
      </c>
      <c r="R35" s="249">
        <v>1</v>
      </c>
      <c r="S35" s="249"/>
      <c r="T35" s="249">
        <v>2</v>
      </c>
      <c r="U35" s="249"/>
      <c r="V35" s="249">
        <v>2</v>
      </c>
      <c r="W35" s="249">
        <v>2</v>
      </c>
      <c r="X35" s="249">
        <v>3</v>
      </c>
      <c r="Y35" s="249">
        <f t="shared" si="10"/>
        <v>10</v>
      </c>
      <c r="Z35" s="250">
        <f>SUM(Y31:Y35)</f>
        <v>100</v>
      </c>
    </row>
    <row r="36" spans="1:26" ht="67.5" x14ac:dyDescent="0.25">
      <c r="A36" s="240" t="s">
        <v>104</v>
      </c>
      <c r="B36" s="241" t="s">
        <v>105</v>
      </c>
      <c r="C36" s="242" t="s">
        <v>30</v>
      </c>
      <c r="D36" s="243" t="str">
        <f>VLOOKUP(C36,'CPL-MK'!$E$2:$F$12,2)</f>
        <v>Memiliki pemahaman yang mendalam, menganalisis, dan mengevaluasi tentang solusi komputasi cerdas dengan sistem dan infrastruktur yang ada termasuk pertimbangan keamanan sistem informasi untuk mendukung layanan publik dan ekonomi digital</v>
      </c>
      <c r="E36" s="242" t="s">
        <v>171</v>
      </c>
      <c r="F36" s="244" t="str">
        <f>VLOOKUP(E36,'CPL-CPMK-MK'!$D$1:$E$30,2)</f>
        <v>Memiliki pemahaman yang mendalam tentang solusi komputasi cerdas dengan sistem dan infrastruktur yang ada termasuk pertimbangan keamanan sistem informasi untuk mendukung layanan publik dan ekonomi digital</v>
      </c>
      <c r="G36" s="244" t="str">
        <f t="shared" si="0"/>
        <v>SUBCPMK-CPMK0611</v>
      </c>
      <c r="H36" s="244" t="str">
        <f>CONCATENATE(F36, " dalam ",LOWER($B$36))</f>
        <v>Memiliki pemahaman yang mendalam tentang solusi komputasi cerdas dengan sistem dan infrastruktur yang ada termasuk pertimbangan keamanan sistem informasi untuk mendukung layanan publik dan ekonomi digital dalam rekayasa kebutuhan sistem</v>
      </c>
      <c r="I36" s="244" t="s">
        <v>313</v>
      </c>
      <c r="J36" s="244" t="str">
        <f t="shared" si="2"/>
        <v>Unjuk Kerja (Presensi)</v>
      </c>
      <c r="K36" s="244" t="str">
        <f t="shared" si="3"/>
        <v>Kuis / Tugas 1</v>
      </c>
      <c r="L36" s="244" t="str">
        <f t="shared" si="4"/>
        <v/>
      </c>
      <c r="M36" s="244" t="str">
        <f t="shared" si="5"/>
        <v/>
      </c>
      <c r="N36" s="244" t="str">
        <f t="shared" si="6"/>
        <v/>
      </c>
      <c r="O36" s="244" t="str">
        <f t="shared" si="7"/>
        <v/>
      </c>
      <c r="P36" s="244" t="str">
        <f t="shared" si="8"/>
        <v/>
      </c>
      <c r="Q36" s="244" t="str">
        <f t="shared" si="9"/>
        <v xml:space="preserve">Unjuk Kerja (Presensi), Kuis / Tugas 1, , , , , </v>
      </c>
      <c r="R36" s="251">
        <v>2</v>
      </c>
      <c r="S36" s="251">
        <v>5</v>
      </c>
      <c r="T36" s="251"/>
      <c r="U36" s="251"/>
      <c r="V36" s="251"/>
      <c r="W36" s="251"/>
      <c r="X36" s="251"/>
      <c r="Y36" s="249">
        <f t="shared" si="10"/>
        <v>7</v>
      </c>
      <c r="Z36" s="250"/>
    </row>
    <row r="37" spans="1:26" ht="81" x14ac:dyDescent="0.25">
      <c r="A37" s="240"/>
      <c r="B37" s="241"/>
      <c r="C37" s="242"/>
      <c r="D37" s="243" t="e">
        <f>VLOOKUP(C37,'CPL-MK'!$E$2:$F$12,2)</f>
        <v>#N/A</v>
      </c>
      <c r="E37" s="242" t="s">
        <v>173</v>
      </c>
      <c r="F37" s="244" t="str">
        <f>VLOOKUP(E37,'CPL-CPMK-MK'!$D$1:$E$30,2)</f>
        <v>Memiliki kemampuan menganalisis yang mendalam tentang solusi komputasi cerdas dengan sistem dan infrastruktur yang ada termasuk pertimbangan keamanan sistem informasi untuk mendukung layanan publik dan ekonomi digital</v>
      </c>
      <c r="G37" s="244" t="str">
        <f t="shared" si="0"/>
        <v>SUBCPMK-CPMK0621</v>
      </c>
      <c r="H37" s="244" t="str">
        <f t="shared" ref="H37:H43" si="15">CONCATENATE(F37, " dalam ",LOWER($B$36))</f>
        <v>Memiliki kemampuan menganalisis yang mendalam tentang solusi komputasi cerdas dengan sistem dan infrastruktur yang ada termasuk pertimbangan keamanan sistem informasi untuk mendukung layanan publik dan ekonomi digital dalam rekayasa kebutuhan sistem</v>
      </c>
      <c r="I37" s="244" t="s">
        <v>313</v>
      </c>
      <c r="J37" s="244" t="str">
        <f t="shared" si="2"/>
        <v/>
      </c>
      <c r="K37" s="244" t="str">
        <f t="shared" si="3"/>
        <v/>
      </c>
      <c r="L37" s="244" t="str">
        <f t="shared" si="4"/>
        <v>Kuis / Tugas 2</v>
      </c>
      <c r="M37" s="244" t="str">
        <f t="shared" si="5"/>
        <v>Kuis / Tugas 3</v>
      </c>
      <c r="N37" s="244" t="str">
        <f t="shared" si="6"/>
        <v/>
      </c>
      <c r="O37" s="244" t="str">
        <f t="shared" si="7"/>
        <v>UTS</v>
      </c>
      <c r="P37" s="244" t="str">
        <f t="shared" si="8"/>
        <v/>
      </c>
      <c r="Q37" s="244" t="str">
        <f t="shared" si="9"/>
        <v xml:space="preserve">, , Kuis / Tugas 2, Kuis / Tugas 3, , UTS, </v>
      </c>
      <c r="R37" s="251"/>
      <c r="S37" s="251"/>
      <c r="T37" s="251">
        <v>5</v>
      </c>
      <c r="U37" s="251">
        <v>5</v>
      </c>
      <c r="V37" s="251"/>
      <c r="W37" s="251">
        <v>5</v>
      </c>
      <c r="X37" s="251"/>
      <c r="Y37" s="249">
        <f t="shared" si="10"/>
        <v>15</v>
      </c>
      <c r="Z37" s="250"/>
    </row>
    <row r="38" spans="1:26" ht="81" x14ac:dyDescent="0.25">
      <c r="A38" s="240"/>
      <c r="B38" s="241"/>
      <c r="C38" s="242"/>
      <c r="D38" s="243" t="e">
        <f>VLOOKUP(C38,'CPL-MK'!$E$2:$F$12,2)</f>
        <v>#N/A</v>
      </c>
      <c r="E38" s="242" t="s">
        <v>175</v>
      </c>
      <c r="F38" s="244" t="str">
        <f>VLOOKUP(E38,'CPL-CPMK-MK'!$D$1:$E$30,2)</f>
        <v>Memiliki kemampuan mengevaluasi yang mendalam tentang solusi komputasi cerdas dengan sistem dan infrastruktur yang ada termasuk pertimbangan keamanan sistem informasi untuk mendukung layanan publik dan ekonomi digital</v>
      </c>
      <c r="G38" s="244" t="str">
        <f t="shared" si="0"/>
        <v>SUBCPMK-CPMK0631</v>
      </c>
      <c r="H38" s="244" t="str">
        <f t="shared" si="15"/>
        <v>Memiliki kemampuan mengevaluasi yang mendalam tentang solusi komputasi cerdas dengan sistem dan infrastruktur yang ada termasuk pertimbangan keamanan sistem informasi untuk mendukung layanan publik dan ekonomi digital dalam rekayasa kebutuhan sistem</v>
      </c>
      <c r="I38" s="244" t="s">
        <v>313</v>
      </c>
      <c r="J38" s="244" t="str">
        <f t="shared" si="2"/>
        <v/>
      </c>
      <c r="K38" s="244" t="str">
        <f t="shared" si="3"/>
        <v/>
      </c>
      <c r="L38" s="244" t="str">
        <f t="shared" si="4"/>
        <v/>
      </c>
      <c r="M38" s="244" t="str">
        <f t="shared" si="5"/>
        <v>Kuis / Tugas 3</v>
      </c>
      <c r="N38" s="244" t="str">
        <f t="shared" si="6"/>
        <v>Kuis / Tugas 4</v>
      </c>
      <c r="O38" s="244" t="str">
        <f t="shared" si="7"/>
        <v/>
      </c>
      <c r="P38" s="244" t="str">
        <f t="shared" si="8"/>
        <v>UAS</v>
      </c>
      <c r="Q38" s="244" t="str">
        <f t="shared" si="9"/>
        <v>, , , Kuis / Tugas 3, Kuis / Tugas 4, , UAS</v>
      </c>
      <c r="R38" s="251"/>
      <c r="S38" s="251"/>
      <c r="T38" s="251"/>
      <c r="U38" s="251">
        <v>5</v>
      </c>
      <c r="V38" s="251">
        <v>5</v>
      </c>
      <c r="W38" s="251"/>
      <c r="X38" s="251">
        <v>5</v>
      </c>
      <c r="Y38" s="249">
        <f t="shared" si="10"/>
        <v>15</v>
      </c>
      <c r="Z38" s="250"/>
    </row>
    <row r="39" spans="1:26" ht="67.5" x14ac:dyDescent="0.25">
      <c r="A39" s="245"/>
      <c r="B39" s="245"/>
      <c r="C39" s="242" t="s">
        <v>35</v>
      </c>
      <c r="D39" s="243" t="str">
        <f>VLOOKUP(C39,'CPL-MK'!$E$2:$F$12,2)</f>
        <v>Mampu mengevaluasi, mengembangkan dan mengimplementasikan solusi komputasi cerdas dengan menggunakan teknologi terkini dalam mendukung pengembangan kota cerdas dan sistem pemerintahan berbasis elektronik</v>
      </c>
      <c r="E39" s="242" t="s">
        <v>183</v>
      </c>
      <c r="F39" s="244" t="str">
        <f>VLOOKUP(E39,'CPL-CPMK-MK'!$D$1:$E$30,2)</f>
        <v>Mampu mengevaluasi solusi komputasi cerdas dengan menggunakan teknologi terkini dalam mendukung pengembangan kota cerdas dan sistem pemerintahan berbasis elektronik</v>
      </c>
      <c r="G39" s="244" t="str">
        <f t="shared" si="0"/>
        <v>SUBCPMK-CPMK0811</v>
      </c>
      <c r="H39" s="244" t="str">
        <f t="shared" si="15"/>
        <v>Mampu mengevaluasi solusi komputasi cerdas dengan menggunakan teknologi terkini dalam mendukung pengembangan kota cerdas dan sistem pemerintahan berbasis elektronik dalam rekayasa kebutuhan sistem</v>
      </c>
      <c r="I39" s="244" t="s">
        <v>313</v>
      </c>
      <c r="J39" s="244" t="str">
        <f t="shared" si="2"/>
        <v/>
      </c>
      <c r="K39" s="244" t="str">
        <f t="shared" si="3"/>
        <v/>
      </c>
      <c r="L39" s="244" t="str">
        <f t="shared" si="4"/>
        <v/>
      </c>
      <c r="M39" s="244" t="str">
        <f t="shared" si="5"/>
        <v>Kuis / Tugas 3</v>
      </c>
      <c r="N39" s="244" t="str">
        <f t="shared" si="6"/>
        <v/>
      </c>
      <c r="O39" s="244" t="str">
        <f t="shared" si="7"/>
        <v/>
      </c>
      <c r="P39" s="244" t="str">
        <f t="shared" si="8"/>
        <v>UAS</v>
      </c>
      <c r="Q39" s="244" t="str">
        <f t="shared" si="9"/>
        <v>, , , Kuis / Tugas 3, , , UAS</v>
      </c>
      <c r="R39" s="251"/>
      <c r="S39" s="251"/>
      <c r="T39" s="251"/>
      <c r="U39" s="251">
        <v>5</v>
      </c>
      <c r="V39" s="251"/>
      <c r="W39" s="251"/>
      <c r="X39" s="251">
        <v>5</v>
      </c>
      <c r="Y39" s="249">
        <f t="shared" si="10"/>
        <v>10</v>
      </c>
      <c r="Z39" s="250"/>
    </row>
    <row r="40" spans="1:26" ht="54" x14ac:dyDescent="0.25">
      <c r="A40" s="245"/>
      <c r="B40" s="245"/>
      <c r="C40" s="242"/>
      <c r="D40" s="243" t="e">
        <f>VLOOKUP(C40,'CPL-MK'!$E$2:$F$12,2)</f>
        <v>#N/A</v>
      </c>
      <c r="E40" s="242" t="s">
        <v>185</v>
      </c>
      <c r="F40" s="244" t="str">
        <f>VLOOKUP(E40,'CPL-CPMK-MK'!$D$1:$E$30,2)</f>
        <v>Mampu mengembangkan solusi komputasi cerdas dengan menggunakan teknologi terkini dalam mendukung pengembangan kota cerdas dan sistem pemerintahan berbasis elektronik</v>
      </c>
      <c r="G40" s="244" t="str">
        <f t="shared" si="0"/>
        <v>SUBCPMK-CPMK0821</v>
      </c>
      <c r="H40" s="244" t="str">
        <f t="shared" si="15"/>
        <v>Mampu mengembangkan solusi komputasi cerdas dengan menggunakan teknologi terkini dalam mendukung pengembangan kota cerdas dan sistem pemerintahan berbasis elektronik dalam rekayasa kebutuhan sistem</v>
      </c>
      <c r="I40" s="244" t="s">
        <v>313</v>
      </c>
      <c r="J40" s="244" t="str">
        <f t="shared" si="2"/>
        <v/>
      </c>
      <c r="K40" s="244" t="str">
        <f t="shared" si="3"/>
        <v/>
      </c>
      <c r="L40" s="244" t="str">
        <f t="shared" si="4"/>
        <v/>
      </c>
      <c r="M40" s="244" t="str">
        <f t="shared" si="5"/>
        <v/>
      </c>
      <c r="N40" s="244" t="str">
        <f t="shared" si="6"/>
        <v>Kuis / Tugas 4</v>
      </c>
      <c r="O40" s="244" t="str">
        <f t="shared" si="7"/>
        <v/>
      </c>
      <c r="P40" s="244" t="str">
        <f t="shared" si="8"/>
        <v>UAS</v>
      </c>
      <c r="Q40" s="244" t="str">
        <f t="shared" si="9"/>
        <v>, , , , Kuis / Tugas 4, , UAS</v>
      </c>
      <c r="R40" s="251"/>
      <c r="S40" s="251"/>
      <c r="T40" s="251"/>
      <c r="U40" s="251"/>
      <c r="V40" s="251">
        <v>5</v>
      </c>
      <c r="W40" s="251"/>
      <c r="X40" s="251">
        <v>5</v>
      </c>
      <c r="Y40" s="249">
        <f t="shared" si="10"/>
        <v>10</v>
      </c>
      <c r="Z40" s="250"/>
    </row>
    <row r="41" spans="1:26" ht="54" x14ac:dyDescent="0.25">
      <c r="A41" s="245"/>
      <c r="B41" s="245"/>
      <c r="C41" s="242"/>
      <c r="D41" s="243" t="e">
        <f>VLOOKUP(C41,'CPL-MK'!$E$2:$F$12,2)</f>
        <v>#N/A</v>
      </c>
      <c r="E41" s="242" t="s">
        <v>187</v>
      </c>
      <c r="F41" s="244" t="str">
        <f>VLOOKUP(E41,'CPL-CPMK-MK'!$D$1:$E$30,2)</f>
        <v>Mampu mengimplementasikan solusi komputasi cerdas dengan menggunakan teknologi terkini dalam mendukung pengembangan kota cerdas dan sistem pemerintahan berbasis elektronik</v>
      </c>
      <c r="G41" s="244" t="str">
        <f t="shared" si="0"/>
        <v>SUBCPMK-CPMK0831</v>
      </c>
      <c r="H41" s="244" t="str">
        <f t="shared" si="15"/>
        <v>Mampu mengimplementasikan solusi komputasi cerdas dengan menggunakan teknologi terkini dalam mendukung pengembangan kota cerdas dan sistem pemerintahan berbasis elektronik dalam rekayasa kebutuhan sistem</v>
      </c>
      <c r="I41" s="244" t="s">
        <v>313</v>
      </c>
      <c r="J41" s="244" t="str">
        <f t="shared" si="2"/>
        <v/>
      </c>
      <c r="K41" s="244" t="str">
        <f t="shared" si="3"/>
        <v/>
      </c>
      <c r="L41" s="244" t="str">
        <f t="shared" si="4"/>
        <v/>
      </c>
      <c r="M41" s="244" t="str">
        <f t="shared" si="5"/>
        <v/>
      </c>
      <c r="N41" s="244" t="str">
        <f t="shared" si="6"/>
        <v>Kuis / Tugas 4</v>
      </c>
      <c r="O41" s="244" t="str">
        <f t="shared" si="7"/>
        <v/>
      </c>
      <c r="P41" s="244" t="str">
        <f t="shared" si="8"/>
        <v>UAS</v>
      </c>
      <c r="Q41" s="244" t="str">
        <f t="shared" si="9"/>
        <v>, , , , Kuis / Tugas 4, , UAS</v>
      </c>
      <c r="R41" s="251"/>
      <c r="S41" s="251"/>
      <c r="T41" s="251"/>
      <c r="U41" s="251"/>
      <c r="V41" s="251">
        <v>5</v>
      </c>
      <c r="W41" s="251"/>
      <c r="X41" s="251">
        <v>5</v>
      </c>
      <c r="Y41" s="249">
        <f t="shared" si="10"/>
        <v>10</v>
      </c>
      <c r="Z41" s="250"/>
    </row>
    <row r="42" spans="1:26" ht="54" x14ac:dyDescent="0.25">
      <c r="A42" s="245"/>
      <c r="B42" s="245"/>
      <c r="C42" s="242" t="s">
        <v>45</v>
      </c>
      <c r="D42" s="243" t="str">
        <f>VLOOKUP(C42,'CPL-MK'!$E$2:$F$12,2)</f>
        <v>Mampu memodelkan sistem yang kompleks dan membangun solusi berbasis computing yang efektif dan efisien</v>
      </c>
      <c r="E42" s="242" t="s">
        <v>201</v>
      </c>
      <c r="F42" s="244" t="str">
        <f>VLOOKUP(E42,'CPL-CPMK-MK'!$D$1:$E$30,2)</f>
        <v>Mampu merancang sistem yang kompleks dalam bidang computing.</v>
      </c>
      <c r="G42" s="244" t="str">
        <f t="shared" si="0"/>
        <v>SUBCPMK-CPMK1111</v>
      </c>
      <c r="H42" s="244" t="str">
        <f t="shared" si="15"/>
        <v>Mampu merancang sistem yang kompleks dalam bidang computing. dalam rekayasa kebutuhan sistem</v>
      </c>
      <c r="I42" s="244" t="s">
        <v>313</v>
      </c>
      <c r="J42" s="244" t="str">
        <f t="shared" si="2"/>
        <v>Unjuk Kerja (Presensi)</v>
      </c>
      <c r="K42" s="244" t="str">
        <f t="shared" si="3"/>
        <v/>
      </c>
      <c r="L42" s="244" t="str">
        <f t="shared" si="4"/>
        <v>Kuis / Tugas 2</v>
      </c>
      <c r="M42" s="244" t="str">
        <f t="shared" si="5"/>
        <v/>
      </c>
      <c r="N42" s="244" t="str">
        <f t="shared" si="6"/>
        <v/>
      </c>
      <c r="O42" s="244" t="str">
        <f t="shared" si="7"/>
        <v>UTS</v>
      </c>
      <c r="P42" s="244" t="str">
        <f t="shared" si="8"/>
        <v>UAS</v>
      </c>
      <c r="Q42" s="244" t="str">
        <f t="shared" si="9"/>
        <v>Unjuk Kerja (Presensi), , Kuis / Tugas 2, , , UTS, UAS</v>
      </c>
      <c r="R42" s="251">
        <v>3</v>
      </c>
      <c r="S42" s="251"/>
      <c r="T42" s="251">
        <v>5</v>
      </c>
      <c r="U42" s="251"/>
      <c r="V42" s="251"/>
      <c r="W42" s="251">
        <v>5</v>
      </c>
      <c r="X42" s="251">
        <v>5</v>
      </c>
      <c r="Y42" s="249">
        <f t="shared" si="10"/>
        <v>18</v>
      </c>
      <c r="Z42" s="250"/>
    </row>
    <row r="43" spans="1:26" ht="54" x14ac:dyDescent="0.25">
      <c r="A43" s="245"/>
      <c r="B43" s="245"/>
      <c r="C43" s="242"/>
      <c r="D43" s="243" t="e">
        <f>VLOOKUP(C43,'CPL-MK'!$E$2:$F$12,2)</f>
        <v>#N/A</v>
      </c>
      <c r="E43" s="242" t="s">
        <v>202</v>
      </c>
      <c r="F43" s="244" t="str">
        <f>VLOOKUP(E43,'CPL-CPMK-MK'!$D$1:$E$30,2)</f>
        <v>Mampu membangun solusi berbasis computing yang efektif dan efisien</v>
      </c>
      <c r="G43" s="244" t="str">
        <f t="shared" si="0"/>
        <v>SUBCPMK-CPMK1121</v>
      </c>
      <c r="H43" s="244" t="str">
        <f t="shared" si="15"/>
        <v>Mampu membangun solusi berbasis computing yang efektif dan efisien dalam rekayasa kebutuhan sistem</v>
      </c>
      <c r="I43" s="244" t="s">
        <v>313</v>
      </c>
      <c r="J43" s="244" t="str">
        <f t="shared" si="2"/>
        <v/>
      </c>
      <c r="K43" s="244" t="str">
        <f t="shared" si="3"/>
        <v/>
      </c>
      <c r="L43" s="244" t="str">
        <f t="shared" si="4"/>
        <v/>
      </c>
      <c r="M43" s="244" t="str">
        <f t="shared" si="5"/>
        <v>Kuis / Tugas 3</v>
      </c>
      <c r="N43" s="244" t="str">
        <f t="shared" si="6"/>
        <v>Kuis / Tugas 4</v>
      </c>
      <c r="O43" s="244" t="str">
        <f t="shared" si="7"/>
        <v/>
      </c>
      <c r="P43" s="244" t="str">
        <f t="shared" si="8"/>
        <v>UAS</v>
      </c>
      <c r="Q43" s="244" t="str">
        <f t="shared" si="9"/>
        <v>, , , Kuis / Tugas 3, Kuis / Tugas 4, , UAS</v>
      </c>
      <c r="R43" s="251"/>
      <c r="S43" s="251"/>
      <c r="T43" s="251"/>
      <c r="U43" s="251">
        <v>5</v>
      </c>
      <c r="V43" s="251">
        <v>5</v>
      </c>
      <c r="W43" s="251"/>
      <c r="X43" s="251">
        <v>5</v>
      </c>
      <c r="Y43" s="249">
        <f t="shared" si="10"/>
        <v>15</v>
      </c>
      <c r="Z43" s="250">
        <f>SUM(Y36:Y43)</f>
        <v>100</v>
      </c>
    </row>
    <row r="44" spans="1:26" ht="81" x14ac:dyDescent="0.25">
      <c r="A44" s="240" t="s">
        <v>106</v>
      </c>
      <c r="B44" s="241" t="s">
        <v>107</v>
      </c>
      <c r="C44" s="242" t="s">
        <v>32</v>
      </c>
      <c r="D44" s="243" t="str">
        <f>VLOOKUP(C44,'CPL-MK'!$E$2:$F$12,2)</f>
        <v>Mampu menganalisis, mengembangkan, dan mengevaluasi kebutuhan sistem antarmuka pengguna yang efektif dan memahami kebutuhan serta preferensi pengguna dalam pengembangan teknologi informasi berbasis komputasi cerdas untuk mendukung layanan publik dan ekonomi digital.</v>
      </c>
      <c r="E44" s="242" t="s">
        <v>177</v>
      </c>
      <c r="F44" s="244" t="str">
        <f>VLOOKUP(E44,'CPL-CPMK-MK'!$D$1:$E$30,2)</f>
        <v>Mampu menganalisis kebutuhan pengguna dalam konteks sistem interaksi manusia dan komputer. dengan memanfaatkan berbagai metode secara tepat</v>
      </c>
      <c r="G44" s="244" t="str">
        <f t="shared" ref="G44:G91" si="16">CONCATENATE("SUBCPMK-",E44,"1")</f>
        <v>SUBCPMK-CPMK0711</v>
      </c>
      <c r="H44" s="244" t="str">
        <f>CONCATENATE(F44, " dalam ",LOWER($B$44))</f>
        <v>Mampu menganalisis kebutuhan pengguna dalam konteks sistem interaksi manusia dan komputer. dengan memanfaatkan berbagai metode secara tepat dalam interaksi manusia dan komputer</v>
      </c>
      <c r="I44" s="244" t="s">
        <v>313</v>
      </c>
      <c r="J44" s="244" t="str">
        <f t="shared" si="2"/>
        <v>Unjuk Kerja (Presensi)</v>
      </c>
      <c r="K44" s="244" t="str">
        <f t="shared" si="3"/>
        <v>Kuis / Tugas 1</v>
      </c>
      <c r="L44" s="244" t="str">
        <f t="shared" si="4"/>
        <v/>
      </c>
      <c r="M44" s="244" t="str">
        <f t="shared" si="5"/>
        <v/>
      </c>
      <c r="N44" s="244" t="str">
        <f t="shared" si="6"/>
        <v/>
      </c>
      <c r="O44" s="244" t="str">
        <f t="shared" si="7"/>
        <v/>
      </c>
      <c r="P44" s="244" t="str">
        <f t="shared" si="8"/>
        <v/>
      </c>
      <c r="Q44" s="244" t="str">
        <f t="shared" si="9"/>
        <v xml:space="preserve">Unjuk Kerja (Presensi), Kuis / Tugas 1, , , , , </v>
      </c>
      <c r="R44" s="249">
        <v>5</v>
      </c>
      <c r="S44" s="249">
        <v>10</v>
      </c>
      <c r="T44" s="249"/>
      <c r="U44" s="249"/>
      <c r="V44" s="249"/>
      <c r="W44" s="249"/>
      <c r="X44" s="249"/>
      <c r="Y44" s="249">
        <f t="shared" si="10"/>
        <v>15</v>
      </c>
      <c r="Z44" s="250"/>
    </row>
    <row r="45" spans="1:26" ht="54" x14ac:dyDescent="0.25">
      <c r="A45" s="245"/>
      <c r="B45" s="245"/>
      <c r="C45" s="242"/>
      <c r="D45" s="243" t="e">
        <f>VLOOKUP(C45,'CPL-MK'!$E$2:$F$12,2)</f>
        <v>#N/A</v>
      </c>
      <c r="E45" s="242" t="s">
        <v>179</v>
      </c>
      <c r="F45" s="244" t="str">
        <f>VLOOKUP(E45,'CPL-CPMK-MK'!$D$1:$E$30,2)</f>
        <v>Mampu mengembangkan berbagai pendekatan dalam rangka pengumpulan data penelitian</v>
      </c>
      <c r="G45" s="244" t="str">
        <f t="shared" si="16"/>
        <v>SUBCPMK-CPMK0721</v>
      </c>
      <c r="H45" s="244" t="str">
        <f>CONCATENATE(F45, " dalam ",LOWER($B$44))</f>
        <v>Mampu mengembangkan berbagai pendekatan dalam rangka pengumpulan data penelitian dalam interaksi manusia dan komputer</v>
      </c>
      <c r="I45" s="244" t="s">
        <v>313</v>
      </c>
      <c r="J45" s="244" t="str">
        <f t="shared" si="2"/>
        <v>Unjuk Kerja (Presensi)</v>
      </c>
      <c r="K45" s="244" t="str">
        <f t="shared" si="3"/>
        <v/>
      </c>
      <c r="L45" s="244" t="str">
        <f t="shared" si="4"/>
        <v>Kuis / Tugas 2</v>
      </c>
      <c r="M45" s="244" t="str">
        <f t="shared" si="5"/>
        <v>Kuis / Tugas 3</v>
      </c>
      <c r="N45" s="244" t="str">
        <f t="shared" si="6"/>
        <v/>
      </c>
      <c r="O45" s="244" t="str">
        <f t="shared" si="7"/>
        <v>UTS</v>
      </c>
      <c r="P45" s="244" t="str">
        <f t="shared" si="8"/>
        <v/>
      </c>
      <c r="Q45" s="244" t="str">
        <f t="shared" si="9"/>
        <v xml:space="preserve">Unjuk Kerja (Presensi), , Kuis / Tugas 2, Kuis / Tugas 3, , UTS, </v>
      </c>
      <c r="R45" s="249">
        <v>5</v>
      </c>
      <c r="S45" s="249"/>
      <c r="T45" s="249">
        <v>10</v>
      </c>
      <c r="U45" s="249">
        <v>5</v>
      </c>
      <c r="V45" s="249"/>
      <c r="W45" s="249">
        <v>5</v>
      </c>
      <c r="X45" s="249"/>
      <c r="Y45" s="249">
        <f t="shared" si="10"/>
        <v>25</v>
      </c>
      <c r="Z45" s="250"/>
    </row>
    <row r="46" spans="1:26" ht="54" x14ac:dyDescent="0.25">
      <c r="A46" s="245"/>
      <c r="B46" s="245"/>
      <c r="C46" s="242"/>
      <c r="D46" s="243" t="e">
        <f>VLOOKUP(C46,'CPL-MK'!$E$2:$F$12,2)</f>
        <v>#N/A</v>
      </c>
      <c r="E46" s="242" t="s">
        <v>181</v>
      </c>
      <c r="F46" s="244" t="str">
        <f>VLOOKUP(E46,'CPL-CPMK-MK'!$D$1:$E$30,2)</f>
        <v>Mampu mengevaluasi antarmuka pengguna dengan tepat dan benar</v>
      </c>
      <c r="G46" s="244" t="str">
        <f t="shared" si="16"/>
        <v>SUBCPMK-CPMK0731</v>
      </c>
      <c r="H46" s="244" t="str">
        <f>CONCATENATE(F46, " dalam ",LOWER($B$44))</f>
        <v>Mampu mengevaluasi antarmuka pengguna dengan tepat dan benar dalam interaksi manusia dan komputer</v>
      </c>
      <c r="I46" s="244" t="s">
        <v>313</v>
      </c>
      <c r="J46" s="244" t="str">
        <f t="shared" si="2"/>
        <v>Unjuk Kerja (Presensi)</v>
      </c>
      <c r="K46" s="244" t="str">
        <f t="shared" si="3"/>
        <v/>
      </c>
      <c r="L46" s="244" t="str">
        <f t="shared" si="4"/>
        <v/>
      </c>
      <c r="M46" s="244" t="str">
        <f t="shared" si="5"/>
        <v>Kuis / Tugas 3</v>
      </c>
      <c r="N46" s="244" t="str">
        <f t="shared" si="6"/>
        <v/>
      </c>
      <c r="O46" s="244" t="str">
        <f t="shared" si="7"/>
        <v/>
      </c>
      <c r="P46" s="244" t="str">
        <f t="shared" si="8"/>
        <v>UAS</v>
      </c>
      <c r="Q46" s="244" t="str">
        <f t="shared" si="9"/>
        <v>Unjuk Kerja (Presensi), , , Kuis / Tugas 3, , , UAS</v>
      </c>
      <c r="R46" s="249">
        <v>5</v>
      </c>
      <c r="S46" s="249"/>
      <c r="T46" s="249"/>
      <c r="U46" s="249">
        <v>5</v>
      </c>
      <c r="V46" s="249"/>
      <c r="W46" s="249"/>
      <c r="X46" s="249">
        <v>10</v>
      </c>
      <c r="Y46" s="249">
        <f t="shared" si="10"/>
        <v>20</v>
      </c>
      <c r="Z46" s="250"/>
    </row>
    <row r="47" spans="1:26" ht="54" x14ac:dyDescent="0.25">
      <c r="A47" s="245"/>
      <c r="B47" s="245"/>
      <c r="C47" s="242" t="s">
        <v>45</v>
      </c>
      <c r="D47" s="243" t="str">
        <f>VLOOKUP(C47,'CPL-MK'!$E$2:$F$12,2)</f>
        <v>Mampu memodelkan sistem yang kompleks dan membangun solusi berbasis computing yang efektif dan efisien</v>
      </c>
      <c r="E47" s="242" t="s">
        <v>201</v>
      </c>
      <c r="F47" s="244" t="str">
        <f>VLOOKUP(E47,'CPL-CPMK-MK'!$D$1:$E$30,2)</f>
        <v>Mampu merancang sistem yang kompleks dalam bidang computing.</v>
      </c>
      <c r="G47" s="244" t="str">
        <f t="shared" si="16"/>
        <v>SUBCPMK-CPMK1111</v>
      </c>
      <c r="H47" s="244" t="str">
        <f>CONCATENATE(F47, " dalam ",LOWER($B$44))</f>
        <v>Mampu merancang sistem yang kompleks dalam bidang computing. dalam interaksi manusia dan komputer</v>
      </c>
      <c r="I47" s="244" t="s">
        <v>313</v>
      </c>
      <c r="J47" s="244" t="str">
        <f t="shared" si="2"/>
        <v>Unjuk Kerja (Presensi)</v>
      </c>
      <c r="K47" s="244" t="str">
        <f t="shared" si="3"/>
        <v/>
      </c>
      <c r="L47" s="244" t="str">
        <f t="shared" si="4"/>
        <v/>
      </c>
      <c r="M47" s="244" t="str">
        <f t="shared" si="5"/>
        <v/>
      </c>
      <c r="N47" s="244" t="str">
        <f t="shared" si="6"/>
        <v>Kuis / Tugas 4</v>
      </c>
      <c r="O47" s="244" t="str">
        <f t="shared" si="7"/>
        <v>UTS</v>
      </c>
      <c r="P47" s="244" t="str">
        <f t="shared" si="8"/>
        <v/>
      </c>
      <c r="Q47" s="244" t="str">
        <f t="shared" si="9"/>
        <v xml:space="preserve">Unjuk Kerja (Presensi), , , , Kuis / Tugas 4, UTS, </v>
      </c>
      <c r="R47" s="249">
        <v>5</v>
      </c>
      <c r="S47" s="249"/>
      <c r="T47" s="249"/>
      <c r="U47" s="249"/>
      <c r="V47" s="249">
        <v>10</v>
      </c>
      <c r="W47" s="249">
        <v>5</v>
      </c>
      <c r="X47" s="249"/>
      <c r="Y47" s="249">
        <f t="shared" si="10"/>
        <v>20</v>
      </c>
      <c r="Z47" s="250"/>
    </row>
    <row r="48" spans="1:26" ht="54" x14ac:dyDescent="0.25">
      <c r="A48" s="245"/>
      <c r="B48" s="245"/>
      <c r="C48" s="242"/>
      <c r="D48" s="243" t="e">
        <f>VLOOKUP(C48,'CPL-MK'!$E$2:$F$12,2)</f>
        <v>#N/A</v>
      </c>
      <c r="E48" s="242" t="s">
        <v>202</v>
      </c>
      <c r="F48" s="244" t="str">
        <f>VLOOKUP(E48,'CPL-CPMK-MK'!$D$1:$E$30,2)</f>
        <v>Mampu membangun solusi berbasis computing yang efektif dan efisien</v>
      </c>
      <c r="G48" s="244" t="str">
        <f t="shared" si="16"/>
        <v>SUBCPMK-CPMK1121</v>
      </c>
      <c r="H48" s="244" t="str">
        <f>CONCATENATE(F48, " dalam ",LOWER($B$44))</f>
        <v>Mampu membangun solusi berbasis computing yang efektif dan efisien dalam interaksi manusia dan komputer</v>
      </c>
      <c r="I48" s="244" t="s">
        <v>313</v>
      </c>
      <c r="J48" s="244" t="str">
        <f t="shared" si="2"/>
        <v>Unjuk Kerja (Presensi)</v>
      </c>
      <c r="K48" s="244" t="str">
        <f t="shared" si="3"/>
        <v/>
      </c>
      <c r="L48" s="244" t="str">
        <f t="shared" si="4"/>
        <v/>
      </c>
      <c r="M48" s="244" t="str">
        <f t="shared" si="5"/>
        <v/>
      </c>
      <c r="N48" s="244" t="str">
        <f t="shared" si="6"/>
        <v>Kuis / Tugas 4</v>
      </c>
      <c r="O48" s="244" t="str">
        <f t="shared" si="7"/>
        <v/>
      </c>
      <c r="P48" s="244" t="str">
        <f t="shared" si="8"/>
        <v>UAS</v>
      </c>
      <c r="Q48" s="244" t="str">
        <f t="shared" si="9"/>
        <v>Unjuk Kerja (Presensi), , , , Kuis / Tugas 4, , UAS</v>
      </c>
      <c r="R48" s="249">
        <v>5</v>
      </c>
      <c r="S48" s="249"/>
      <c r="T48" s="249"/>
      <c r="U48" s="249"/>
      <c r="V48" s="249">
        <v>10</v>
      </c>
      <c r="W48" s="249"/>
      <c r="X48" s="249">
        <v>5</v>
      </c>
      <c r="Y48" s="249">
        <f t="shared" si="10"/>
        <v>20</v>
      </c>
      <c r="Z48" s="250">
        <f>SUM(Y44:Y48)</f>
        <v>100</v>
      </c>
    </row>
    <row r="49" spans="1:26" ht="67.5" x14ac:dyDescent="0.25">
      <c r="A49" s="240" t="s">
        <v>108</v>
      </c>
      <c r="B49" s="241" t="s">
        <v>109</v>
      </c>
      <c r="C49" s="242" t="s">
        <v>30</v>
      </c>
      <c r="D49" s="243" t="str">
        <f>VLOOKUP(C49,'CPL-MK'!$E$2:$F$12,2)</f>
        <v>Memiliki pemahaman yang mendalam, menganalisis, dan mengevaluasi tentang solusi komputasi cerdas dengan sistem dan infrastruktur yang ada termasuk pertimbangan keamanan sistem informasi untuk mendukung layanan publik dan ekonomi digital</v>
      </c>
      <c r="E49" s="242" t="s">
        <v>171</v>
      </c>
      <c r="F49" s="244" t="str">
        <f>VLOOKUP(E49,'CPL-CPMK-MK'!$D$1:$E$30,2)</f>
        <v>Memiliki pemahaman yang mendalam tentang solusi komputasi cerdas dengan sistem dan infrastruktur yang ada termasuk pertimbangan keamanan sistem informasi untuk mendukung layanan publik dan ekonomi digital</v>
      </c>
      <c r="G49" s="244" t="str">
        <f t="shared" si="16"/>
        <v>SUBCPMK-CPMK0611</v>
      </c>
      <c r="H49" s="244" t="str">
        <f>CONCATENATE(F49, " dalam ",LOWER($B$49))</f>
        <v>Memiliki pemahaman yang mendalam tentang solusi komputasi cerdas dengan sistem dan infrastruktur yang ada termasuk pertimbangan keamanan sistem informasi untuk mendukung layanan publik dan ekonomi digital dalam keamanan siber</v>
      </c>
      <c r="I49" s="244" t="s">
        <v>313</v>
      </c>
      <c r="J49" s="244" t="str">
        <f t="shared" si="2"/>
        <v>Unjuk Kerja (Presensi)</v>
      </c>
      <c r="K49" s="244" t="str">
        <f t="shared" si="3"/>
        <v>Kuis / Tugas 1</v>
      </c>
      <c r="L49" s="244" t="str">
        <f t="shared" si="4"/>
        <v/>
      </c>
      <c r="M49" s="244" t="str">
        <f t="shared" si="5"/>
        <v/>
      </c>
      <c r="N49" s="244" t="str">
        <f t="shared" si="6"/>
        <v/>
      </c>
      <c r="O49" s="244" t="str">
        <f t="shared" si="7"/>
        <v/>
      </c>
      <c r="P49" s="244" t="str">
        <f t="shared" si="8"/>
        <v/>
      </c>
      <c r="Q49" s="244" t="str">
        <f t="shared" si="9"/>
        <v xml:space="preserve">Unjuk Kerja (Presensi), Kuis / Tugas 1, , , , , </v>
      </c>
      <c r="R49" s="249">
        <v>3</v>
      </c>
      <c r="S49" s="249">
        <v>7</v>
      </c>
      <c r="T49" s="249"/>
      <c r="U49" s="249"/>
      <c r="V49" s="249"/>
      <c r="W49" s="249"/>
      <c r="X49" s="249"/>
      <c r="Y49" s="249">
        <f t="shared" si="10"/>
        <v>10</v>
      </c>
      <c r="Z49" s="250"/>
    </row>
    <row r="50" spans="1:26" ht="81" x14ac:dyDescent="0.25">
      <c r="A50" s="240"/>
      <c r="B50" s="241"/>
      <c r="C50" s="242"/>
      <c r="D50" s="243" t="e">
        <f>VLOOKUP(C50,'CPL-MK'!$E$2:$F$12,2)</f>
        <v>#N/A</v>
      </c>
      <c r="E50" s="242" t="s">
        <v>173</v>
      </c>
      <c r="F50" s="244" t="str">
        <f>VLOOKUP(E50,'CPL-CPMK-MK'!$D$1:$E$30,2)</f>
        <v>Memiliki kemampuan menganalisis yang mendalam tentang solusi komputasi cerdas dengan sistem dan infrastruktur yang ada termasuk pertimbangan keamanan sistem informasi untuk mendukung layanan publik dan ekonomi digital</v>
      </c>
      <c r="G50" s="244" t="str">
        <f t="shared" si="16"/>
        <v>SUBCPMK-CPMK0621</v>
      </c>
      <c r="H50" s="244" t="str">
        <f t="shared" ref="H50:H53" si="17">CONCATENATE(F50, " dalam ",LOWER($B$49))</f>
        <v>Memiliki kemampuan menganalisis yang mendalam tentang solusi komputasi cerdas dengan sistem dan infrastruktur yang ada termasuk pertimbangan keamanan sistem informasi untuk mendukung layanan publik dan ekonomi digital dalam keamanan siber</v>
      </c>
      <c r="I50" s="244" t="s">
        <v>313</v>
      </c>
      <c r="J50" s="244" t="str">
        <f t="shared" si="2"/>
        <v>Unjuk Kerja (Presensi)</v>
      </c>
      <c r="K50" s="244" t="str">
        <f t="shared" si="3"/>
        <v/>
      </c>
      <c r="L50" s="244" t="str">
        <f t="shared" si="4"/>
        <v>Kuis / Tugas 2</v>
      </c>
      <c r="M50" s="244" t="str">
        <f t="shared" si="5"/>
        <v/>
      </c>
      <c r="N50" s="244" t="str">
        <f t="shared" si="6"/>
        <v/>
      </c>
      <c r="O50" s="244" t="str">
        <f t="shared" si="7"/>
        <v>UTS</v>
      </c>
      <c r="P50" s="244" t="str">
        <f t="shared" si="8"/>
        <v/>
      </c>
      <c r="Q50" s="244" t="str">
        <f t="shared" si="9"/>
        <v xml:space="preserve">Unjuk Kerja (Presensi), , Kuis / Tugas 2, , , UTS, </v>
      </c>
      <c r="R50" s="249">
        <v>3</v>
      </c>
      <c r="S50" s="249"/>
      <c r="T50" s="249">
        <v>7</v>
      </c>
      <c r="U50" s="249"/>
      <c r="V50" s="249"/>
      <c r="W50" s="249">
        <v>8</v>
      </c>
      <c r="X50" s="249"/>
      <c r="Y50" s="249">
        <f t="shared" si="10"/>
        <v>18</v>
      </c>
      <c r="Z50" s="250"/>
    </row>
    <row r="51" spans="1:26" ht="81" x14ac:dyDescent="0.25">
      <c r="A51" s="240"/>
      <c r="B51" s="241"/>
      <c r="C51" s="242"/>
      <c r="D51" s="243" t="e">
        <f>VLOOKUP(C51,'CPL-MK'!$E$2:$F$12,2)</f>
        <v>#N/A</v>
      </c>
      <c r="E51" s="242" t="s">
        <v>175</v>
      </c>
      <c r="F51" s="244" t="str">
        <f>VLOOKUP(E51,'CPL-CPMK-MK'!$D$1:$E$30,2)</f>
        <v>Memiliki kemampuan mengevaluasi yang mendalam tentang solusi komputasi cerdas dengan sistem dan infrastruktur yang ada termasuk pertimbangan keamanan sistem informasi untuk mendukung layanan publik dan ekonomi digital</v>
      </c>
      <c r="G51" s="244" t="str">
        <f t="shared" si="16"/>
        <v>SUBCPMK-CPMK0631</v>
      </c>
      <c r="H51" s="244" t="str">
        <f t="shared" si="17"/>
        <v>Memiliki kemampuan mengevaluasi yang mendalam tentang solusi komputasi cerdas dengan sistem dan infrastruktur yang ada termasuk pertimbangan keamanan sistem informasi untuk mendukung layanan publik dan ekonomi digital dalam keamanan siber</v>
      </c>
      <c r="I51" s="244" t="s">
        <v>313</v>
      </c>
      <c r="J51" s="244" t="str">
        <f t="shared" si="2"/>
        <v>Unjuk Kerja (Presensi)</v>
      </c>
      <c r="K51" s="244" t="str">
        <f t="shared" si="3"/>
        <v/>
      </c>
      <c r="L51" s="244" t="str">
        <f t="shared" si="4"/>
        <v/>
      </c>
      <c r="M51" s="244" t="str">
        <f t="shared" si="5"/>
        <v>Kuis / Tugas 3</v>
      </c>
      <c r="N51" s="244" t="str">
        <f t="shared" si="6"/>
        <v>Kuis / Tugas 4</v>
      </c>
      <c r="O51" s="244" t="str">
        <f t="shared" si="7"/>
        <v/>
      </c>
      <c r="P51" s="244" t="str">
        <f t="shared" si="8"/>
        <v>UAS</v>
      </c>
      <c r="Q51" s="244" t="str">
        <f t="shared" si="9"/>
        <v>Unjuk Kerja (Presensi), , , Kuis / Tugas 3, Kuis / Tugas 4, , UAS</v>
      </c>
      <c r="R51" s="249">
        <v>3</v>
      </c>
      <c r="S51" s="249"/>
      <c r="T51" s="249"/>
      <c r="U51" s="249">
        <v>7</v>
      </c>
      <c r="V51" s="249">
        <v>7</v>
      </c>
      <c r="W51" s="249"/>
      <c r="X51" s="249">
        <v>8</v>
      </c>
      <c r="Y51" s="249">
        <f t="shared" si="10"/>
        <v>25</v>
      </c>
      <c r="Z51" s="250"/>
    </row>
    <row r="52" spans="1:26" ht="54" x14ac:dyDescent="0.25">
      <c r="A52" s="245"/>
      <c r="B52" s="245"/>
      <c r="C52" s="242" t="s">
        <v>44</v>
      </c>
      <c r="D52" s="243" t="str">
        <f>VLOOKUP(C52,'CPL-MK'!$E$2:$F$12,2)</f>
        <v>Mampu menerapkan prinsip-prinsip matematika, computing, dan disiplin ilmu yang relevan untuk merumuskan solusi bagi persoalan computing yang kompleks</v>
      </c>
      <c r="E52" s="242" t="s">
        <v>199</v>
      </c>
      <c r="F52" s="244" t="str">
        <f>VLOOKUP(E52,'CPL-CPMK-MK'!$D$1:$E$30,2)</f>
        <v>Mampu menerapkan prinsip_x0002_prinsip matematika, computing, dan disiplin ilmu yang relevan untuk mendukung analisis data.</v>
      </c>
      <c r="G52" s="244" t="str">
        <f t="shared" si="16"/>
        <v>SUBCPMK-CPMK1011</v>
      </c>
      <c r="H52" s="244" t="str">
        <f t="shared" si="17"/>
        <v>Mampu menerapkan prinsip_x0002_prinsip matematika, computing, dan disiplin ilmu yang relevan untuk mendukung analisis data. dalam keamanan siber</v>
      </c>
      <c r="I52" s="244" t="s">
        <v>313</v>
      </c>
      <c r="J52" s="244" t="str">
        <f t="shared" si="2"/>
        <v>Unjuk Kerja (Presensi)</v>
      </c>
      <c r="K52" s="244" t="str">
        <f t="shared" si="3"/>
        <v>Kuis / Tugas 1</v>
      </c>
      <c r="L52" s="244" t="str">
        <f t="shared" si="4"/>
        <v>Kuis / Tugas 2</v>
      </c>
      <c r="M52" s="244" t="str">
        <f t="shared" si="5"/>
        <v/>
      </c>
      <c r="N52" s="244" t="str">
        <f t="shared" si="6"/>
        <v/>
      </c>
      <c r="O52" s="244" t="str">
        <f t="shared" si="7"/>
        <v>UTS</v>
      </c>
      <c r="P52" s="244" t="str">
        <f t="shared" si="8"/>
        <v/>
      </c>
      <c r="Q52" s="244" t="str">
        <f t="shared" si="9"/>
        <v xml:space="preserve">Unjuk Kerja (Presensi), Kuis / Tugas 1, Kuis / Tugas 2, , , UTS, </v>
      </c>
      <c r="R52" s="249">
        <v>3</v>
      </c>
      <c r="S52" s="249">
        <v>7</v>
      </c>
      <c r="T52" s="249">
        <v>7</v>
      </c>
      <c r="U52" s="249"/>
      <c r="V52" s="249"/>
      <c r="W52" s="249">
        <v>10</v>
      </c>
      <c r="X52" s="249"/>
      <c r="Y52" s="249">
        <f t="shared" si="10"/>
        <v>27</v>
      </c>
      <c r="Z52" s="250"/>
    </row>
    <row r="53" spans="1:26" ht="54" x14ac:dyDescent="0.25">
      <c r="A53" s="245"/>
      <c r="B53" s="245"/>
      <c r="C53" s="242"/>
      <c r="D53" s="243" t="e">
        <f>VLOOKUP(C53,'CPL-MK'!$E$2:$F$12,2)</f>
        <v>#N/A</v>
      </c>
      <c r="E53" s="242" t="s">
        <v>200</v>
      </c>
      <c r="F53" s="244" t="str">
        <f>VLOOKUP(E53,'CPL-CPMK-MK'!$D$1:$E$30,2)</f>
        <v>Mampu merumuskan solusi bagi bidang computing yang kompleks</v>
      </c>
      <c r="G53" s="244" t="str">
        <f t="shared" si="16"/>
        <v>SUBCPMK-CPMK1021</v>
      </c>
      <c r="H53" s="244" t="str">
        <f t="shared" si="17"/>
        <v>Mampu merumuskan solusi bagi bidang computing yang kompleks dalam keamanan siber</v>
      </c>
      <c r="I53" s="244" t="s">
        <v>313</v>
      </c>
      <c r="J53" s="244" t="str">
        <f t="shared" si="2"/>
        <v>Unjuk Kerja (Presensi)</v>
      </c>
      <c r="K53" s="244" t="str">
        <f t="shared" si="3"/>
        <v/>
      </c>
      <c r="L53" s="244" t="str">
        <f t="shared" si="4"/>
        <v/>
      </c>
      <c r="M53" s="244" t="str">
        <f t="shared" si="5"/>
        <v/>
      </c>
      <c r="N53" s="244" t="str">
        <f t="shared" si="6"/>
        <v>Kuis / Tugas 4</v>
      </c>
      <c r="O53" s="244" t="str">
        <f t="shared" si="7"/>
        <v/>
      </c>
      <c r="P53" s="244" t="str">
        <f t="shared" si="8"/>
        <v>UAS</v>
      </c>
      <c r="Q53" s="244" t="str">
        <f t="shared" si="9"/>
        <v>Unjuk Kerja (Presensi), , , , Kuis / Tugas 4, , UAS</v>
      </c>
      <c r="R53" s="249">
        <v>3</v>
      </c>
      <c r="S53" s="249"/>
      <c r="T53" s="249"/>
      <c r="U53" s="249"/>
      <c r="V53" s="249">
        <v>7</v>
      </c>
      <c r="W53" s="249"/>
      <c r="X53" s="249">
        <v>10</v>
      </c>
      <c r="Y53" s="249">
        <f t="shared" si="10"/>
        <v>20</v>
      </c>
      <c r="Z53" s="250">
        <f>SUM(Y49:Y53)</f>
        <v>100</v>
      </c>
    </row>
    <row r="54" spans="1:26" ht="54" x14ac:dyDescent="0.25">
      <c r="A54" s="240" t="s">
        <v>110</v>
      </c>
      <c r="B54" s="241" t="s">
        <v>111</v>
      </c>
      <c r="C54" s="242" t="s">
        <v>27</v>
      </c>
      <c r="D54" s="243" t="str">
        <f>VLOOKUP(C54,'CPL-MK'!$E$2:$F$12,2)</f>
        <v>Memiliki kemampuan menganalisa, mengevaluasi, dan membuat keputusan berbasis kinerja solusi komputasi cerdas untuk mendukung layanan publik dan ekonomi digital</v>
      </c>
      <c r="E54" s="242" t="s">
        <v>165</v>
      </c>
      <c r="F54" s="244" t="str">
        <f>VLOOKUP(E54,'CPL-CPMK-MK'!$D$1:$E$30,2)</f>
        <v>Memiliki kemampuan menganalisa berbasis kinerja solusi komputasi cerdas untuk mendukung layanan publik dan ekonomi digital</v>
      </c>
      <c r="G54" s="244" t="str">
        <f t="shared" si="16"/>
        <v>SUBCPMK-CPMK0511</v>
      </c>
      <c r="H54" s="244" t="str">
        <f>CONCATENATE(F54, " dalam ",LOWER($B$54))</f>
        <v>Memiliki kemampuan menganalisa berbasis kinerja solusi komputasi cerdas untuk mendukung layanan publik dan ekonomi digital dalam sistem pendukung keputusan cerdas</v>
      </c>
      <c r="I54" s="244" t="s">
        <v>313</v>
      </c>
      <c r="J54" s="244" t="str">
        <f t="shared" si="2"/>
        <v/>
      </c>
      <c r="K54" s="244" t="str">
        <f t="shared" si="3"/>
        <v/>
      </c>
      <c r="L54" s="244" t="str">
        <f t="shared" si="4"/>
        <v/>
      </c>
      <c r="M54" s="244" t="str">
        <f t="shared" si="5"/>
        <v/>
      </c>
      <c r="N54" s="244" t="str">
        <f t="shared" si="6"/>
        <v/>
      </c>
      <c r="O54" s="244" t="str">
        <f t="shared" si="7"/>
        <v/>
      </c>
      <c r="P54" s="244" t="str">
        <f t="shared" si="8"/>
        <v/>
      </c>
      <c r="Q54" s="244" t="str">
        <f t="shared" si="9"/>
        <v xml:space="preserve">, , , , , , </v>
      </c>
      <c r="R54" s="245"/>
      <c r="S54" s="245"/>
      <c r="T54" s="245"/>
      <c r="U54" s="245"/>
      <c r="V54" s="245"/>
      <c r="W54" s="245"/>
      <c r="X54" s="245"/>
      <c r="Y54" s="249">
        <f t="shared" si="10"/>
        <v>0</v>
      </c>
      <c r="Z54" s="250"/>
    </row>
    <row r="55" spans="1:26" ht="54" x14ac:dyDescent="0.25">
      <c r="A55" s="240"/>
      <c r="B55" s="241"/>
      <c r="C55" s="242"/>
      <c r="D55" s="243" t="e">
        <f>VLOOKUP(C55,'CPL-MK'!$E$2:$F$12,2)</f>
        <v>#N/A</v>
      </c>
      <c r="E55" s="242" t="s">
        <v>167</v>
      </c>
      <c r="F55" s="244" t="str">
        <f>VLOOKUP(E55,'CPL-CPMK-MK'!$D$1:$E$30,2)</f>
        <v>Memiliki kemampuan mengevaluasi berbasis kinerja solusi komputasi cerdas untuk mendukung layanan publik dan ekonomi digital</v>
      </c>
      <c r="G55" s="244" t="str">
        <f t="shared" si="16"/>
        <v>SUBCPMK-CPMK0521</v>
      </c>
      <c r="H55" s="244" t="str">
        <f t="shared" ref="H55:H58" si="18">CONCATENATE(F55, " dalam ",LOWER($B$54))</f>
        <v>Memiliki kemampuan mengevaluasi berbasis kinerja solusi komputasi cerdas untuk mendukung layanan publik dan ekonomi digital dalam sistem pendukung keputusan cerdas</v>
      </c>
      <c r="I55" s="244" t="s">
        <v>313</v>
      </c>
      <c r="J55" s="244" t="str">
        <f t="shared" si="2"/>
        <v/>
      </c>
      <c r="K55" s="244" t="str">
        <f t="shared" si="3"/>
        <v/>
      </c>
      <c r="L55" s="244" t="str">
        <f t="shared" si="4"/>
        <v/>
      </c>
      <c r="M55" s="244" t="str">
        <f t="shared" si="5"/>
        <v/>
      </c>
      <c r="N55" s="244" t="str">
        <f t="shared" si="6"/>
        <v/>
      </c>
      <c r="O55" s="244" t="str">
        <f t="shared" si="7"/>
        <v/>
      </c>
      <c r="P55" s="244" t="str">
        <f t="shared" si="8"/>
        <v/>
      </c>
      <c r="Q55" s="244" t="str">
        <f t="shared" si="9"/>
        <v xml:space="preserve">, , , , , , </v>
      </c>
      <c r="R55" s="245"/>
      <c r="S55" s="245"/>
      <c r="T55" s="245"/>
      <c r="U55" s="245"/>
      <c r="V55" s="245"/>
      <c r="W55" s="245"/>
      <c r="X55" s="245"/>
      <c r="Y55" s="249">
        <f t="shared" si="10"/>
        <v>0</v>
      </c>
      <c r="Z55" s="250"/>
    </row>
    <row r="56" spans="1:26" ht="54" x14ac:dyDescent="0.25">
      <c r="A56" s="240"/>
      <c r="B56" s="241"/>
      <c r="C56" s="242"/>
      <c r="D56" s="243" t="e">
        <f>VLOOKUP(C56,'CPL-MK'!$E$2:$F$12,2)</f>
        <v>#N/A</v>
      </c>
      <c r="E56" s="242" t="s">
        <v>169</v>
      </c>
      <c r="F56" s="244" t="str">
        <f>VLOOKUP(E56,'CPL-CPMK-MK'!$D$1:$E$30,2)</f>
        <v>Memiliki kemampuan membuat keputusan berbasis kinerja solusi komputasi cerdas untuk mendukung layanan publik dan ekonomi digital</v>
      </c>
      <c r="G56" s="244" t="str">
        <f t="shared" si="16"/>
        <v>SUBCPMK-CPMK0531</v>
      </c>
      <c r="H56" s="244" t="str">
        <f t="shared" si="18"/>
        <v>Memiliki kemampuan membuat keputusan berbasis kinerja solusi komputasi cerdas untuk mendukung layanan publik dan ekonomi digital dalam sistem pendukung keputusan cerdas</v>
      </c>
      <c r="I56" s="244" t="s">
        <v>313</v>
      </c>
      <c r="J56" s="244" t="str">
        <f t="shared" si="2"/>
        <v/>
      </c>
      <c r="K56" s="244" t="str">
        <f t="shared" si="3"/>
        <v/>
      </c>
      <c r="L56" s="244" t="str">
        <f t="shared" si="4"/>
        <v/>
      </c>
      <c r="M56" s="244" t="str">
        <f t="shared" si="5"/>
        <v/>
      </c>
      <c r="N56" s="244" t="str">
        <f t="shared" si="6"/>
        <v/>
      </c>
      <c r="O56" s="244" t="str">
        <f t="shared" si="7"/>
        <v/>
      </c>
      <c r="P56" s="244" t="str">
        <f t="shared" si="8"/>
        <v/>
      </c>
      <c r="Q56" s="244" t="str">
        <f t="shared" si="9"/>
        <v xml:space="preserve">, , , , , , </v>
      </c>
      <c r="R56" s="245"/>
      <c r="S56" s="245"/>
      <c r="T56" s="245"/>
      <c r="U56" s="245"/>
      <c r="V56" s="245"/>
      <c r="W56" s="245"/>
      <c r="X56" s="245"/>
      <c r="Y56" s="249">
        <f t="shared" si="10"/>
        <v>0</v>
      </c>
      <c r="Z56" s="250"/>
    </row>
    <row r="57" spans="1:26" ht="54" x14ac:dyDescent="0.25">
      <c r="A57" s="245"/>
      <c r="B57" s="245"/>
      <c r="C57" s="242" t="s">
        <v>44</v>
      </c>
      <c r="D57" s="243" t="str">
        <f>VLOOKUP(C57,'CPL-MK'!$E$2:$F$12,2)</f>
        <v>Mampu menerapkan prinsip-prinsip matematika, computing, dan disiplin ilmu yang relevan untuk merumuskan solusi bagi persoalan computing yang kompleks</v>
      </c>
      <c r="E57" s="242" t="s">
        <v>199</v>
      </c>
      <c r="F57" s="244" t="str">
        <f>VLOOKUP(E57,'CPL-CPMK-MK'!$D$1:$E$30,2)</f>
        <v>Mampu menerapkan prinsip_x0002_prinsip matematika, computing, dan disiplin ilmu yang relevan untuk mendukung analisis data.</v>
      </c>
      <c r="G57" s="244" t="str">
        <f t="shared" si="16"/>
        <v>SUBCPMK-CPMK1011</v>
      </c>
      <c r="H57" s="244" t="str">
        <f t="shared" si="18"/>
        <v>Mampu menerapkan prinsip_x0002_prinsip matematika, computing, dan disiplin ilmu yang relevan untuk mendukung analisis data. dalam sistem pendukung keputusan cerdas</v>
      </c>
      <c r="I57" s="244" t="s">
        <v>313</v>
      </c>
      <c r="J57" s="244" t="str">
        <f t="shared" si="2"/>
        <v/>
      </c>
      <c r="K57" s="244" t="str">
        <f t="shared" si="3"/>
        <v/>
      </c>
      <c r="L57" s="244" t="str">
        <f t="shared" si="4"/>
        <v/>
      </c>
      <c r="M57" s="244" t="str">
        <f t="shared" si="5"/>
        <v/>
      </c>
      <c r="N57" s="244" t="str">
        <f t="shared" si="6"/>
        <v/>
      </c>
      <c r="O57" s="244" t="str">
        <f t="shared" si="7"/>
        <v/>
      </c>
      <c r="P57" s="244" t="str">
        <f t="shared" si="8"/>
        <v/>
      </c>
      <c r="Q57" s="244" t="str">
        <f t="shared" si="9"/>
        <v xml:space="preserve">, , , , , , </v>
      </c>
      <c r="R57" s="245"/>
      <c r="S57" s="245"/>
      <c r="T57" s="245"/>
      <c r="U57" s="245"/>
      <c r="V57" s="245"/>
      <c r="W57" s="245"/>
      <c r="X57" s="245"/>
      <c r="Y57" s="249">
        <f t="shared" si="10"/>
        <v>0</v>
      </c>
      <c r="Z57" s="250"/>
    </row>
    <row r="58" spans="1:26" ht="54" x14ac:dyDescent="0.25">
      <c r="A58" s="245"/>
      <c r="B58" s="245"/>
      <c r="C58" s="242"/>
      <c r="D58" s="243" t="e">
        <f>VLOOKUP(C58,'CPL-MK'!$E$2:$F$12,2)</f>
        <v>#N/A</v>
      </c>
      <c r="E58" s="242" t="s">
        <v>200</v>
      </c>
      <c r="F58" s="244" t="str">
        <f>VLOOKUP(E58,'CPL-CPMK-MK'!$D$1:$E$30,2)</f>
        <v>Mampu merumuskan solusi bagi bidang computing yang kompleks</v>
      </c>
      <c r="G58" s="244" t="str">
        <f t="shared" si="16"/>
        <v>SUBCPMK-CPMK1021</v>
      </c>
      <c r="H58" s="244" t="str">
        <f t="shared" si="18"/>
        <v>Mampu merumuskan solusi bagi bidang computing yang kompleks dalam sistem pendukung keputusan cerdas</v>
      </c>
      <c r="I58" s="244" t="s">
        <v>313</v>
      </c>
      <c r="J58" s="244" t="str">
        <f t="shared" si="2"/>
        <v/>
      </c>
      <c r="K58" s="244" t="str">
        <f t="shared" si="3"/>
        <v/>
      </c>
      <c r="L58" s="244" t="str">
        <f t="shared" si="4"/>
        <v/>
      </c>
      <c r="M58" s="244" t="str">
        <f t="shared" si="5"/>
        <v/>
      </c>
      <c r="N58" s="244" t="str">
        <f t="shared" si="6"/>
        <v/>
      </c>
      <c r="O58" s="244" t="str">
        <f t="shared" si="7"/>
        <v/>
      </c>
      <c r="P58" s="244" t="str">
        <f t="shared" si="8"/>
        <v/>
      </c>
      <c r="Q58" s="244" t="str">
        <f t="shared" si="9"/>
        <v xml:space="preserve">, , , , , , </v>
      </c>
      <c r="R58" s="245"/>
      <c r="S58" s="245"/>
      <c r="T58" s="245"/>
      <c r="U58" s="245"/>
      <c r="V58" s="245"/>
      <c r="W58" s="245"/>
      <c r="X58" s="245"/>
      <c r="Y58" s="249">
        <f t="shared" si="10"/>
        <v>0</v>
      </c>
      <c r="Z58" s="250"/>
    </row>
    <row r="59" spans="1:26" ht="81" x14ac:dyDescent="0.25">
      <c r="A59" s="240" t="s">
        <v>112</v>
      </c>
      <c r="B59" s="241" t="s">
        <v>113</v>
      </c>
      <c r="C59" s="242" t="s">
        <v>32</v>
      </c>
      <c r="D59" s="243" t="str">
        <f>VLOOKUP(C59,'CPL-MK'!$E$2:$F$12,2)</f>
        <v>Mampu menganalisis, mengembangkan, dan mengevaluasi kebutuhan sistem antarmuka pengguna yang efektif dan memahami kebutuhan serta preferensi pengguna dalam pengembangan teknologi informasi berbasis komputasi cerdas untuk mendukung layanan publik dan ekonomi digital.</v>
      </c>
      <c r="E59" s="242" t="s">
        <v>177</v>
      </c>
      <c r="F59" s="244" t="str">
        <f>VLOOKUP(E59,'CPL-CPMK-MK'!$D$1:$E$30,2)</f>
        <v>Mampu menganalisis kebutuhan pengguna dalam konteks sistem interaksi manusia dan komputer. dengan memanfaatkan berbagai metode secara tepat</v>
      </c>
      <c r="G59" s="244" t="str">
        <f t="shared" si="16"/>
        <v>SUBCPMK-CPMK0711</v>
      </c>
      <c r="H59" s="244" t="str">
        <f>CONCATENATE(F59, " dalam ",LOWER($B$59))</f>
        <v>Mampu menganalisis kebutuhan pengguna dalam konteks sistem interaksi manusia dan komputer. dengan memanfaatkan berbagai metode secara tepat dalam arsitektur enterprise untuk teknologi informasi</v>
      </c>
      <c r="I59" s="244" t="s">
        <v>313</v>
      </c>
      <c r="J59" s="244" t="str">
        <f t="shared" si="2"/>
        <v>Unjuk Kerja (Presensi)</v>
      </c>
      <c r="K59" s="244" t="str">
        <f t="shared" si="3"/>
        <v>Kuis / Tugas 1</v>
      </c>
      <c r="L59" s="244" t="str">
        <f t="shared" si="4"/>
        <v/>
      </c>
      <c r="M59" s="244" t="str">
        <f t="shared" si="5"/>
        <v/>
      </c>
      <c r="N59" s="244" t="str">
        <f t="shared" si="6"/>
        <v/>
      </c>
      <c r="O59" s="244" t="str">
        <f t="shared" si="7"/>
        <v/>
      </c>
      <c r="P59" s="244" t="str">
        <f t="shared" si="8"/>
        <v/>
      </c>
      <c r="Q59" s="244" t="str">
        <f t="shared" si="9"/>
        <v xml:space="preserve">Unjuk Kerja (Presensi), Kuis / Tugas 1, , , , , </v>
      </c>
      <c r="R59" s="251">
        <v>2</v>
      </c>
      <c r="S59" s="251">
        <v>8</v>
      </c>
      <c r="T59" s="251"/>
      <c r="U59" s="251"/>
      <c r="V59" s="251"/>
      <c r="W59" s="251"/>
      <c r="X59" s="251"/>
      <c r="Y59" s="249">
        <f t="shared" si="10"/>
        <v>10</v>
      </c>
      <c r="Z59" s="250"/>
    </row>
    <row r="60" spans="1:26" ht="54" x14ac:dyDescent="0.25">
      <c r="A60" s="240"/>
      <c r="B60" s="241"/>
      <c r="C60" s="242"/>
      <c r="D60" s="243" t="e">
        <f>VLOOKUP(C60,'CPL-MK'!$E$2:$F$12,2)</f>
        <v>#N/A</v>
      </c>
      <c r="E60" s="242" t="s">
        <v>179</v>
      </c>
      <c r="F60" s="244" t="str">
        <f>VLOOKUP(E60,'CPL-CPMK-MK'!$D$1:$E$30,2)</f>
        <v>Mampu mengembangkan berbagai pendekatan dalam rangka pengumpulan data penelitian</v>
      </c>
      <c r="G60" s="244" t="str">
        <f t="shared" si="16"/>
        <v>SUBCPMK-CPMK0721</v>
      </c>
      <c r="H60" s="244" t="str">
        <f t="shared" ref="H60:H63" si="19">CONCATENATE(F60, " dalam ",LOWER($B$59))</f>
        <v>Mampu mengembangkan berbagai pendekatan dalam rangka pengumpulan data penelitian dalam arsitektur enterprise untuk teknologi informasi</v>
      </c>
      <c r="I60" s="244" t="s">
        <v>313</v>
      </c>
      <c r="J60" s="244" t="str">
        <f t="shared" si="2"/>
        <v>Unjuk Kerja (Presensi)</v>
      </c>
      <c r="K60" s="244" t="str">
        <f t="shared" si="3"/>
        <v/>
      </c>
      <c r="L60" s="244" t="str">
        <f t="shared" si="4"/>
        <v>Kuis / Tugas 2</v>
      </c>
      <c r="M60" s="244" t="str">
        <f t="shared" si="5"/>
        <v/>
      </c>
      <c r="N60" s="244" t="str">
        <f t="shared" si="6"/>
        <v/>
      </c>
      <c r="O60" s="244" t="str">
        <f t="shared" si="7"/>
        <v/>
      </c>
      <c r="P60" s="244" t="str">
        <f t="shared" si="8"/>
        <v/>
      </c>
      <c r="Q60" s="244" t="str">
        <f t="shared" si="9"/>
        <v xml:space="preserve">Unjuk Kerja (Presensi), , Kuis / Tugas 2, , , , </v>
      </c>
      <c r="R60" s="251">
        <v>2</v>
      </c>
      <c r="S60" s="251"/>
      <c r="T60" s="251">
        <v>8</v>
      </c>
      <c r="U60" s="251"/>
      <c r="V60" s="251"/>
      <c r="W60" s="251"/>
      <c r="X60" s="251"/>
      <c r="Y60" s="249">
        <f t="shared" si="10"/>
        <v>10</v>
      </c>
      <c r="Z60" s="250"/>
    </row>
    <row r="61" spans="1:26" ht="54" x14ac:dyDescent="0.25">
      <c r="A61" s="240"/>
      <c r="B61" s="241"/>
      <c r="C61" s="242"/>
      <c r="D61" s="243" t="e">
        <f>VLOOKUP(C61,'CPL-MK'!$E$2:$F$12,2)</f>
        <v>#N/A</v>
      </c>
      <c r="E61" s="242" t="s">
        <v>181</v>
      </c>
      <c r="F61" s="244" t="str">
        <f>VLOOKUP(E61,'CPL-CPMK-MK'!$D$1:$E$30,2)</f>
        <v>Mampu mengevaluasi antarmuka pengguna dengan tepat dan benar</v>
      </c>
      <c r="G61" s="244" t="str">
        <f t="shared" si="16"/>
        <v>SUBCPMK-CPMK0731</v>
      </c>
      <c r="H61" s="244" t="str">
        <f t="shared" si="19"/>
        <v>Mampu mengevaluasi antarmuka pengguna dengan tepat dan benar dalam arsitektur enterprise untuk teknologi informasi</v>
      </c>
      <c r="I61" s="244" t="s">
        <v>313</v>
      </c>
      <c r="J61" s="244" t="str">
        <f t="shared" si="2"/>
        <v>Unjuk Kerja (Presensi)</v>
      </c>
      <c r="K61" s="244" t="str">
        <f t="shared" si="3"/>
        <v/>
      </c>
      <c r="L61" s="244" t="str">
        <f t="shared" si="4"/>
        <v/>
      </c>
      <c r="M61" s="244" t="str">
        <f t="shared" si="5"/>
        <v>Kuis / Tugas 3</v>
      </c>
      <c r="N61" s="244" t="str">
        <f t="shared" si="6"/>
        <v/>
      </c>
      <c r="O61" s="244" t="str">
        <f t="shared" si="7"/>
        <v/>
      </c>
      <c r="P61" s="244" t="str">
        <f t="shared" si="8"/>
        <v/>
      </c>
      <c r="Q61" s="244" t="str">
        <f t="shared" si="9"/>
        <v xml:space="preserve">Unjuk Kerja (Presensi), , , Kuis / Tugas 3, , , </v>
      </c>
      <c r="R61" s="251">
        <v>2</v>
      </c>
      <c r="S61" s="251"/>
      <c r="T61" s="251"/>
      <c r="U61" s="251">
        <v>8</v>
      </c>
      <c r="V61" s="251"/>
      <c r="W61" s="251"/>
      <c r="X61" s="251"/>
      <c r="Y61" s="249">
        <f t="shared" si="10"/>
        <v>10</v>
      </c>
      <c r="Z61" s="250"/>
    </row>
    <row r="62" spans="1:26" ht="81" x14ac:dyDescent="0.25">
      <c r="A62" s="245"/>
      <c r="B62" s="245"/>
      <c r="C62" s="242" t="s">
        <v>45</v>
      </c>
      <c r="D62" s="243" t="str">
        <f>VLOOKUP(C62,'CPL-MK'!$E$2:$F$12,2)</f>
        <v>Mampu memodelkan sistem yang kompleks dan membangun solusi berbasis computing yang efektif dan efisien</v>
      </c>
      <c r="E62" s="242" t="s">
        <v>201</v>
      </c>
      <c r="F62" s="244" t="str">
        <f>VLOOKUP(E62,'CPL-CPMK-MK'!$D$1:$E$30,2)</f>
        <v>Mampu merancang sistem yang kompleks dalam bidang computing.</v>
      </c>
      <c r="G62" s="244" t="str">
        <f t="shared" si="16"/>
        <v>SUBCPMK-CPMK1111</v>
      </c>
      <c r="H62" s="244" t="str">
        <f t="shared" si="19"/>
        <v>Mampu merancang sistem yang kompleks dalam bidang computing. dalam arsitektur enterprise untuk teknologi informasi</v>
      </c>
      <c r="I62" s="244" t="s">
        <v>313</v>
      </c>
      <c r="J62" s="244" t="str">
        <f t="shared" si="2"/>
        <v>Unjuk Kerja (Presensi)</v>
      </c>
      <c r="K62" s="244" t="str">
        <f t="shared" si="3"/>
        <v>Kuis / Tugas 1</v>
      </c>
      <c r="L62" s="244" t="str">
        <f t="shared" si="4"/>
        <v>Kuis / Tugas 2</v>
      </c>
      <c r="M62" s="244" t="str">
        <f t="shared" si="5"/>
        <v>Kuis / Tugas 3</v>
      </c>
      <c r="N62" s="244" t="str">
        <f t="shared" si="6"/>
        <v/>
      </c>
      <c r="O62" s="244" t="str">
        <f t="shared" si="7"/>
        <v>UTS</v>
      </c>
      <c r="P62" s="244" t="str">
        <f t="shared" si="8"/>
        <v>UAS</v>
      </c>
      <c r="Q62" s="244" t="str">
        <f t="shared" si="9"/>
        <v>Unjuk Kerja (Presensi), Kuis / Tugas 1, Kuis / Tugas 2, Kuis / Tugas 3, , UTS, UAS</v>
      </c>
      <c r="R62" s="251">
        <v>2</v>
      </c>
      <c r="S62" s="251">
        <v>5</v>
      </c>
      <c r="T62" s="251">
        <v>5</v>
      </c>
      <c r="U62" s="251">
        <v>5</v>
      </c>
      <c r="V62" s="251"/>
      <c r="W62" s="251">
        <v>10</v>
      </c>
      <c r="X62" s="251">
        <v>10</v>
      </c>
      <c r="Y62" s="249">
        <f t="shared" si="10"/>
        <v>37</v>
      </c>
      <c r="Z62" s="250"/>
    </row>
    <row r="63" spans="1:26" ht="54" x14ac:dyDescent="0.25">
      <c r="A63" s="245"/>
      <c r="B63" s="245"/>
      <c r="C63" s="242"/>
      <c r="D63" s="243" t="e">
        <f>VLOOKUP(C63,'CPL-MK'!$E$2:$F$12,2)</f>
        <v>#N/A</v>
      </c>
      <c r="E63" s="242" t="s">
        <v>202</v>
      </c>
      <c r="F63" s="244" t="str">
        <f>VLOOKUP(E63,'CPL-CPMK-MK'!$D$1:$E$30,2)</f>
        <v>Mampu membangun solusi berbasis computing yang efektif dan efisien</v>
      </c>
      <c r="G63" s="244" t="str">
        <f t="shared" si="16"/>
        <v>SUBCPMK-CPMK1121</v>
      </c>
      <c r="H63" s="244" t="str">
        <f t="shared" si="19"/>
        <v>Mampu membangun solusi berbasis computing yang efektif dan efisien dalam arsitektur enterprise untuk teknologi informasi</v>
      </c>
      <c r="I63" s="244" t="s">
        <v>313</v>
      </c>
      <c r="J63" s="244" t="str">
        <f t="shared" si="2"/>
        <v>Unjuk Kerja (Presensi)</v>
      </c>
      <c r="K63" s="244" t="str">
        <f t="shared" si="3"/>
        <v/>
      </c>
      <c r="L63" s="244" t="str">
        <f t="shared" si="4"/>
        <v/>
      </c>
      <c r="M63" s="244" t="str">
        <f t="shared" si="5"/>
        <v>Kuis / Tugas 3</v>
      </c>
      <c r="N63" s="244" t="str">
        <f t="shared" si="6"/>
        <v>Kuis / Tugas 4</v>
      </c>
      <c r="O63" s="244" t="str">
        <f t="shared" si="7"/>
        <v>UTS</v>
      </c>
      <c r="P63" s="244" t="str">
        <f t="shared" si="8"/>
        <v>UAS</v>
      </c>
      <c r="Q63" s="244" t="str">
        <f t="shared" si="9"/>
        <v>Unjuk Kerja (Presensi), , , Kuis / Tugas 3, Kuis / Tugas 4, UTS, UAS</v>
      </c>
      <c r="R63" s="251">
        <v>2</v>
      </c>
      <c r="S63" s="251"/>
      <c r="T63" s="251"/>
      <c r="U63" s="251">
        <v>5</v>
      </c>
      <c r="V63" s="251">
        <v>6</v>
      </c>
      <c r="W63" s="251">
        <v>10</v>
      </c>
      <c r="X63" s="251">
        <v>10</v>
      </c>
      <c r="Y63" s="249">
        <f t="shared" si="10"/>
        <v>33</v>
      </c>
      <c r="Z63" s="250">
        <f>SUM(Y59:Y63)</f>
        <v>100</v>
      </c>
    </row>
    <row r="64" spans="1:26" ht="81" x14ac:dyDescent="0.25">
      <c r="A64" s="240" t="s">
        <v>114</v>
      </c>
      <c r="B64" s="241" t="s">
        <v>115</v>
      </c>
      <c r="C64" s="242" t="s">
        <v>17</v>
      </c>
      <c r="D64" s="243" t="str">
        <f>VLOOKUP(C64,'CPL-MK'!$E$2:$F$12,2)</f>
        <v>Mampu bekerja secara mandiri ataupun dalam tim, serta menunjukkan sikap profesional dan etis dalam menjalankan tugas dan tanggung jawab untuk menyelesaikan proyek-proyek terkait teknologi informasi cerdas dalam pengembangan layanan publik dan ekonomi digital</v>
      </c>
      <c r="E64" s="242" t="s">
        <v>145</v>
      </c>
      <c r="F64" s="244" t="s">
        <v>146</v>
      </c>
      <c r="G64" s="244" t="str">
        <f t="shared" si="16"/>
        <v>SUBCPMK-CPMK0111</v>
      </c>
      <c r="H64" s="244" t="str">
        <f>CONCATENATE(F64, " dalam ",LOWER($B$64))</f>
        <v>Mampu bekerja secara mandiri ataupun dalam tim dalam menjalankan tugas dan tanggung jawab untuk menyelesaikan proyek-proyek terkait teknologi informasi cerdas dalam pengembangan layanan publik dan ekonomi digital dalam tesis</v>
      </c>
      <c r="I64" s="244" t="s">
        <v>313</v>
      </c>
      <c r="J64" s="244" t="str">
        <f t="shared" si="2"/>
        <v>Unjuk Kerja (Presensi)</v>
      </c>
      <c r="K64" s="244" t="str">
        <f t="shared" si="3"/>
        <v>Kuis / Tugas 1</v>
      </c>
      <c r="L64" s="244" t="str">
        <f t="shared" si="4"/>
        <v>Kuis / Tugas 2</v>
      </c>
      <c r="M64" s="244" t="str">
        <f t="shared" si="5"/>
        <v/>
      </c>
      <c r="N64" s="244" t="str">
        <f t="shared" si="6"/>
        <v/>
      </c>
      <c r="O64" s="244" t="str">
        <f t="shared" si="7"/>
        <v/>
      </c>
      <c r="P64" s="244" t="str">
        <f t="shared" si="8"/>
        <v>UAS</v>
      </c>
      <c r="Q64" s="244" t="str">
        <f t="shared" si="9"/>
        <v>Unjuk Kerja (Presensi), Kuis / Tugas 1, Kuis / Tugas 2, , , , UAS</v>
      </c>
      <c r="R64" s="251">
        <v>2</v>
      </c>
      <c r="S64" s="251">
        <v>2</v>
      </c>
      <c r="T64" s="251">
        <v>2</v>
      </c>
      <c r="U64" s="251"/>
      <c r="V64" s="251"/>
      <c r="W64" s="251"/>
      <c r="X64" s="251">
        <v>4</v>
      </c>
      <c r="Y64" s="249">
        <f t="shared" si="10"/>
        <v>10</v>
      </c>
      <c r="Z64" s="250"/>
    </row>
    <row r="65" spans="1:26" ht="81" x14ac:dyDescent="0.25">
      <c r="A65" s="240"/>
      <c r="B65" s="241"/>
      <c r="C65" s="242"/>
      <c r="D65" s="243" t="e">
        <f>VLOOKUP(C65,'CPL-MK'!$E$2:$F$12,2)</f>
        <v>#N/A</v>
      </c>
      <c r="E65" s="242" t="s">
        <v>147</v>
      </c>
      <c r="F65" s="244" t="str">
        <f>VLOOKUP(E65,'CPL-CPMK-MK'!$D$1:$E$30,2)</f>
        <v>Profesional dan Etis dalam menjalankan tugas dan tanggung jawab dalam menjalankan tugas dan tanggung jawab untuk menyelesaikan proyek-proyek terkait teknologi informasi cerdas dalam pengembangan layanan publik dan ekonomi digital</v>
      </c>
      <c r="G65" s="244" t="str">
        <f t="shared" si="16"/>
        <v>SUBCPMK-CPMK0121</v>
      </c>
      <c r="H65" s="244" t="str">
        <f t="shared" ref="H65:H72" si="20">CONCATENATE(F65, " dalam ",LOWER($B$64))</f>
        <v>Profesional dan Etis dalam menjalankan tugas dan tanggung jawab dalam menjalankan tugas dan tanggung jawab untuk menyelesaikan proyek-proyek terkait teknologi informasi cerdas dalam pengembangan layanan publik dan ekonomi digital dalam tesis</v>
      </c>
      <c r="I65" s="244" t="s">
        <v>313</v>
      </c>
      <c r="J65" s="244" t="str">
        <f t="shared" si="2"/>
        <v/>
      </c>
      <c r="K65" s="244" t="str">
        <f t="shared" si="3"/>
        <v>Kuis / Tugas 1</v>
      </c>
      <c r="L65" s="244" t="str">
        <f t="shared" si="4"/>
        <v>Kuis / Tugas 2</v>
      </c>
      <c r="M65" s="244" t="str">
        <f t="shared" si="5"/>
        <v>Kuis / Tugas 3</v>
      </c>
      <c r="N65" s="244" t="str">
        <f t="shared" si="6"/>
        <v>Kuis / Tugas 4</v>
      </c>
      <c r="O65" s="244" t="str">
        <f t="shared" si="7"/>
        <v/>
      </c>
      <c r="P65" s="244" t="str">
        <f t="shared" si="8"/>
        <v>UAS</v>
      </c>
      <c r="Q65" s="244" t="str">
        <f t="shared" si="9"/>
        <v>, Kuis / Tugas 1, Kuis / Tugas 2, Kuis / Tugas 3, Kuis / Tugas 4, , UAS</v>
      </c>
      <c r="R65" s="251"/>
      <c r="S65" s="251">
        <v>2</v>
      </c>
      <c r="T65" s="251">
        <v>2</v>
      </c>
      <c r="U65" s="251">
        <v>2</v>
      </c>
      <c r="V65" s="251">
        <v>2</v>
      </c>
      <c r="W65" s="251"/>
      <c r="X65" s="251">
        <v>2</v>
      </c>
      <c r="Y65" s="249">
        <f t="shared" si="10"/>
        <v>10</v>
      </c>
      <c r="Z65" s="250"/>
    </row>
    <row r="66" spans="1:26" ht="94.5" x14ac:dyDescent="0.25">
      <c r="A66" s="245"/>
      <c r="B66" s="245"/>
      <c r="C66" s="242" t="s">
        <v>20</v>
      </c>
      <c r="D66" s="243" t="str">
        <f>VLOOKUP(C66,'CPL-MK'!$E$2:$F$12,2)</f>
        <v>Mampu mengembangkan kemampuan berkomunikasi lisan secara efektif, berpikir kritis, kreatif, dan profesional serta dapat menghasilkan karya ilmiah yang orisinal dalam menyelesaikan permasalahan terkait teknologi informasi cerdas melalui pemanfaatan penelitian teknologi informasi dengan berbagai pihak terkait.</v>
      </c>
      <c r="E66" s="242" t="s">
        <v>149</v>
      </c>
      <c r="F66" s="244" t="str">
        <f>VLOOKUP(E66,'CPL-CPMK-MK'!$D$1:$E$30,2)</f>
        <v>Mampu mengembangkan kemampuan berkomunikasi lisan secara efektif, berpikir kritis, kreatif dan profesional dalam menyelesaikan permasalahan terkait teknologi informasi cerdas melalui pemanfaatan penelitian teknologi informasi dengan berbagai pihak terkait</v>
      </c>
      <c r="G66" s="244" t="str">
        <f t="shared" si="16"/>
        <v>SUBCPMK-CPMK0211</v>
      </c>
      <c r="H66" s="244" t="str">
        <f t="shared" si="20"/>
        <v>Mampu mengembangkan kemampuan berkomunikasi lisan secara efektif, berpikir kritis, kreatif dan profesional dalam menyelesaikan permasalahan terkait teknologi informasi cerdas melalui pemanfaatan penelitian teknologi informasi dengan berbagai pihak terkait dalam tesis</v>
      </c>
      <c r="I66" s="244" t="s">
        <v>313</v>
      </c>
      <c r="J66" s="244" t="str">
        <f t="shared" si="2"/>
        <v>Unjuk Kerja (Presensi)</v>
      </c>
      <c r="K66" s="244" t="str">
        <f t="shared" si="3"/>
        <v>Kuis / Tugas 1</v>
      </c>
      <c r="L66" s="244" t="str">
        <f t="shared" si="4"/>
        <v/>
      </c>
      <c r="M66" s="244" t="str">
        <f t="shared" si="5"/>
        <v>Kuis / Tugas 3</v>
      </c>
      <c r="N66" s="244" t="str">
        <f t="shared" si="6"/>
        <v/>
      </c>
      <c r="O66" s="244" t="str">
        <f t="shared" si="7"/>
        <v>UTS</v>
      </c>
      <c r="P66" s="244" t="str">
        <f t="shared" si="8"/>
        <v>UAS</v>
      </c>
      <c r="Q66" s="244" t="str">
        <f t="shared" si="9"/>
        <v>Unjuk Kerja (Presensi), Kuis / Tugas 1, , Kuis / Tugas 3, , UTS, UAS</v>
      </c>
      <c r="R66" s="251">
        <v>2</v>
      </c>
      <c r="S66" s="251">
        <v>2</v>
      </c>
      <c r="T66" s="251"/>
      <c r="U66" s="251">
        <v>2</v>
      </c>
      <c r="V66" s="251"/>
      <c r="W66" s="251">
        <v>2</v>
      </c>
      <c r="X66" s="251">
        <v>2</v>
      </c>
      <c r="Y66" s="249">
        <f t="shared" si="10"/>
        <v>10</v>
      </c>
      <c r="Z66" s="250"/>
    </row>
    <row r="67" spans="1:26" ht="67.5" x14ac:dyDescent="0.25">
      <c r="A67" s="245"/>
      <c r="B67" s="245"/>
      <c r="C67" s="242"/>
      <c r="D67" s="243" t="e">
        <f>VLOOKUP(C67,'CPL-MK'!$E$2:$F$12,2)</f>
        <v>#N/A</v>
      </c>
      <c r="E67" s="242" t="s">
        <v>151</v>
      </c>
      <c r="F67" s="244" t="str">
        <f>VLOOKUP(E67,'CPL-CPMK-MK'!$D$1:$E$30,2)</f>
        <v>Mampu menghasilkan karya ilmiah yang orisinal dalam menyelesaikan permasalahan terkait teknologi informasi cerdas melalui pemanfaatan penelitian teknologi informasi dengan berbagai pihak terkait</v>
      </c>
      <c r="G67" s="244" t="str">
        <f t="shared" si="16"/>
        <v>SUBCPMK-CPMK0221</v>
      </c>
      <c r="H67" s="244" t="str">
        <f t="shared" si="20"/>
        <v>Mampu menghasilkan karya ilmiah yang orisinal dalam menyelesaikan permasalahan terkait teknologi informasi cerdas melalui pemanfaatan penelitian teknologi informasi dengan berbagai pihak terkait dalam tesis</v>
      </c>
      <c r="I67" s="244" t="s">
        <v>313</v>
      </c>
      <c r="J67" s="244" t="str">
        <f t="shared" si="2"/>
        <v/>
      </c>
      <c r="K67" s="244" t="str">
        <f t="shared" si="3"/>
        <v>Kuis / Tugas 1</v>
      </c>
      <c r="L67" s="244" t="str">
        <f t="shared" si="4"/>
        <v>Kuis / Tugas 2</v>
      </c>
      <c r="M67" s="244" t="str">
        <f t="shared" si="5"/>
        <v>Kuis / Tugas 3</v>
      </c>
      <c r="N67" s="244" t="str">
        <f t="shared" si="6"/>
        <v>Kuis / Tugas 4</v>
      </c>
      <c r="O67" s="244" t="str">
        <f t="shared" si="7"/>
        <v/>
      </c>
      <c r="P67" s="244" t="str">
        <f t="shared" si="8"/>
        <v>UAS</v>
      </c>
      <c r="Q67" s="244" t="str">
        <f t="shared" si="9"/>
        <v>, Kuis / Tugas 1, Kuis / Tugas 2, Kuis / Tugas 3, Kuis / Tugas 4, , UAS</v>
      </c>
      <c r="R67" s="251"/>
      <c r="S67" s="251">
        <v>3</v>
      </c>
      <c r="T67" s="251">
        <v>4</v>
      </c>
      <c r="U67" s="251">
        <v>4</v>
      </c>
      <c r="V67" s="251">
        <v>4</v>
      </c>
      <c r="W67" s="251"/>
      <c r="X67" s="251">
        <v>5</v>
      </c>
      <c r="Y67" s="249">
        <f t="shared" si="10"/>
        <v>20</v>
      </c>
      <c r="Z67" s="250"/>
    </row>
    <row r="68" spans="1:26" ht="54" x14ac:dyDescent="0.25">
      <c r="A68" s="245"/>
      <c r="B68" s="245"/>
      <c r="C68" s="242" t="s">
        <v>43</v>
      </c>
      <c r="D68" s="243" t="str">
        <f>VLOOKUP(C68,'CPL-MK'!$E$2:$F$12,2)</f>
        <v>Mampu mengidentifikasi, menganalisis, meneliti literatur, mengevaluasi, dan memformulasi solusi-solusi algoritmik untuk masalah computing yang kompleks</v>
      </c>
      <c r="E68" s="242" t="s">
        <v>196</v>
      </c>
      <c r="F68" s="244" t="str">
        <f>VLOOKUP(E68,'CPL-CPMK-MK'!$D$1:$E$30,2)</f>
        <v>Mampu mengidentifikasi solusi_x0002_solusi algoritmik untuk masalah computing yang kompleks.</v>
      </c>
      <c r="G68" s="244" t="str">
        <f t="shared" si="16"/>
        <v>SUBCPMK-CPMK0911</v>
      </c>
      <c r="H68" s="244" t="str">
        <f t="shared" si="20"/>
        <v>Mampu mengidentifikasi solusi_x0002_solusi algoritmik untuk masalah computing yang kompleks. dalam tesis</v>
      </c>
      <c r="I68" s="244" t="s">
        <v>313</v>
      </c>
      <c r="J68" s="244" t="str">
        <f t="shared" ref="J68:J127" si="21">IF(R68&lt;&gt;"",$R$2,"")</f>
        <v/>
      </c>
      <c r="K68" s="244" t="str">
        <f t="shared" ref="K68:K127" si="22">IF(S68&lt;&gt;"",$S$2,"")</f>
        <v>Kuis / Tugas 1</v>
      </c>
      <c r="L68" s="244" t="str">
        <f t="shared" ref="L68:L127" si="23">IF(T68&lt;&gt;"",$T$2,"")</f>
        <v/>
      </c>
      <c r="M68" s="244" t="str">
        <f t="shared" ref="M68:M127" si="24">IF(U68&lt;&gt;"",$U$2,"")</f>
        <v>Kuis / Tugas 3</v>
      </c>
      <c r="N68" s="244" t="str">
        <f t="shared" ref="N68:N127" si="25">IF(V68&lt;&gt;"",$V$2,"")</f>
        <v/>
      </c>
      <c r="O68" s="244" t="str">
        <f t="shared" ref="O68:O127" si="26">IF(W68&lt;&gt;"",$W$2,"")</f>
        <v/>
      </c>
      <c r="P68" s="244" t="str">
        <f t="shared" ref="P68:P127" si="27">IF(X68&lt;&gt;"",$X$2,"")</f>
        <v/>
      </c>
      <c r="Q68" s="244" t="str">
        <f t="shared" ref="Q68:Q127" si="28">CONCATENATE(J68,", ",K68,", ",L68,", ",M68,", ",N68,", ",O68,", ",P68)</f>
        <v xml:space="preserve">, Kuis / Tugas 1, , Kuis / Tugas 3, , , </v>
      </c>
      <c r="R68" s="251"/>
      <c r="S68" s="251">
        <v>2</v>
      </c>
      <c r="T68" s="251"/>
      <c r="U68" s="251">
        <v>3</v>
      </c>
      <c r="V68" s="251"/>
      <c r="W68" s="251"/>
      <c r="X68" s="251"/>
      <c r="Y68" s="249">
        <f t="shared" ref="Y68:Y127" si="29">SUM(R68:X68)</f>
        <v>5</v>
      </c>
      <c r="Z68" s="250"/>
    </row>
    <row r="69" spans="1:26" ht="54" x14ac:dyDescent="0.25">
      <c r="A69" s="245"/>
      <c r="B69" s="245"/>
      <c r="C69" s="242"/>
      <c r="D69" s="243" t="e">
        <f>VLOOKUP(C69,'CPL-MK'!$E$2:$F$12,2)</f>
        <v>#N/A</v>
      </c>
      <c r="E69" s="242" t="s">
        <v>197</v>
      </c>
      <c r="F69" s="244" t="str">
        <f>VLOOKUP(E69,'CPL-CPMK-MK'!$D$1:$E$30,2)</f>
        <v>Mampu meneliti literatur dalam menganalisis solusi-solusi algoritmik untuk masalah yang 
kompleks.</v>
      </c>
      <c r="G69" s="244" t="str">
        <f t="shared" si="16"/>
        <v>SUBCPMK-CPMK0921</v>
      </c>
      <c r="H69" s="244" t="str">
        <f t="shared" si="20"/>
        <v>Mampu meneliti literatur dalam menganalisis solusi-solusi algoritmik untuk masalah yang 
kompleks. dalam tesis</v>
      </c>
      <c r="I69" s="244" t="s">
        <v>313</v>
      </c>
      <c r="J69" s="244" t="str">
        <f t="shared" si="21"/>
        <v/>
      </c>
      <c r="K69" s="244" t="str">
        <f t="shared" si="22"/>
        <v>Kuis / Tugas 1</v>
      </c>
      <c r="L69" s="244" t="str">
        <f t="shared" si="23"/>
        <v>Kuis / Tugas 2</v>
      </c>
      <c r="M69" s="244" t="str">
        <f t="shared" si="24"/>
        <v/>
      </c>
      <c r="N69" s="244" t="str">
        <f t="shared" si="25"/>
        <v/>
      </c>
      <c r="O69" s="244" t="str">
        <f t="shared" si="26"/>
        <v/>
      </c>
      <c r="P69" s="244" t="str">
        <f t="shared" si="27"/>
        <v/>
      </c>
      <c r="Q69" s="244" t="str">
        <f t="shared" si="28"/>
        <v xml:space="preserve">, Kuis / Tugas 1, Kuis / Tugas 2, , , , </v>
      </c>
      <c r="R69" s="251"/>
      <c r="S69" s="251">
        <v>2</v>
      </c>
      <c r="T69" s="251">
        <v>3</v>
      </c>
      <c r="U69" s="251"/>
      <c r="V69" s="251"/>
      <c r="W69" s="251"/>
      <c r="X69" s="251"/>
      <c r="Y69" s="249">
        <f t="shared" si="29"/>
        <v>5</v>
      </c>
      <c r="Z69" s="250"/>
    </row>
    <row r="70" spans="1:26" ht="54" x14ac:dyDescent="0.25">
      <c r="A70" s="245"/>
      <c r="B70" s="245"/>
      <c r="C70" s="242"/>
      <c r="D70" s="243" t="e">
        <f>VLOOKUP(C70,'CPL-MK'!$E$2:$F$12,2)</f>
        <v>#N/A</v>
      </c>
      <c r="E70" s="242" t="s">
        <v>198</v>
      </c>
      <c r="F70" s="244" t="str">
        <f>VLOOKUP(E70,'CPL-CPMK-MK'!$D$1:$E$30,2)</f>
        <v>Mampu mengevaluasi dan memformulasi solusi-solusi algoritmik untuk masalah yang kompleks.</v>
      </c>
      <c r="G70" s="244" t="str">
        <f t="shared" si="16"/>
        <v>SUBCPMK-CPMK0931</v>
      </c>
      <c r="H70" s="244" t="str">
        <f t="shared" si="20"/>
        <v>Mampu mengevaluasi dan memformulasi solusi-solusi algoritmik untuk masalah yang kompleks. dalam tesis</v>
      </c>
      <c r="I70" s="244" t="s">
        <v>313</v>
      </c>
      <c r="J70" s="244" t="str">
        <f t="shared" si="21"/>
        <v/>
      </c>
      <c r="K70" s="244" t="str">
        <f t="shared" si="22"/>
        <v/>
      </c>
      <c r="L70" s="244" t="str">
        <f t="shared" si="23"/>
        <v>Kuis / Tugas 2</v>
      </c>
      <c r="M70" s="244" t="str">
        <f t="shared" si="24"/>
        <v>Kuis / Tugas 3</v>
      </c>
      <c r="N70" s="244" t="str">
        <f t="shared" si="25"/>
        <v/>
      </c>
      <c r="O70" s="244" t="str">
        <f t="shared" si="26"/>
        <v/>
      </c>
      <c r="P70" s="244" t="str">
        <f t="shared" si="27"/>
        <v>UAS</v>
      </c>
      <c r="Q70" s="244" t="str">
        <f t="shared" si="28"/>
        <v>, , Kuis / Tugas 2, Kuis / Tugas 3, , , UAS</v>
      </c>
      <c r="R70" s="251"/>
      <c r="S70" s="251"/>
      <c r="T70" s="251">
        <v>4</v>
      </c>
      <c r="U70" s="251">
        <v>4</v>
      </c>
      <c r="V70" s="251"/>
      <c r="W70" s="251"/>
      <c r="X70" s="251">
        <v>7</v>
      </c>
      <c r="Y70" s="249">
        <f t="shared" si="29"/>
        <v>15</v>
      </c>
      <c r="Z70" s="250"/>
    </row>
    <row r="71" spans="1:26" ht="54" x14ac:dyDescent="0.25">
      <c r="A71" s="245"/>
      <c r="B71" s="245"/>
      <c r="C71" s="242" t="s">
        <v>45</v>
      </c>
      <c r="D71" s="243" t="str">
        <f>VLOOKUP(C71,'CPL-MK'!$E$2:$F$12,2)</f>
        <v>Mampu memodelkan sistem yang kompleks dan membangun solusi berbasis computing yang efektif dan efisien</v>
      </c>
      <c r="E71" s="242" t="s">
        <v>201</v>
      </c>
      <c r="F71" s="244" t="str">
        <f>VLOOKUP(E71,'CPL-CPMK-MK'!$D$1:$E$30,2)</f>
        <v>Mampu merancang sistem yang kompleks dalam bidang computing.</v>
      </c>
      <c r="G71" s="244" t="str">
        <f t="shared" si="16"/>
        <v>SUBCPMK-CPMK1111</v>
      </c>
      <c r="H71" s="244" t="str">
        <f t="shared" si="20"/>
        <v>Mampu merancang sistem yang kompleks dalam bidang computing. dalam tesis</v>
      </c>
      <c r="I71" s="244" t="s">
        <v>313</v>
      </c>
      <c r="J71" s="244" t="str">
        <f t="shared" si="21"/>
        <v/>
      </c>
      <c r="K71" s="244" t="str">
        <f t="shared" si="22"/>
        <v/>
      </c>
      <c r="L71" s="244" t="str">
        <f t="shared" si="23"/>
        <v>Kuis / Tugas 2</v>
      </c>
      <c r="M71" s="244" t="str">
        <f t="shared" si="24"/>
        <v>Kuis / Tugas 3</v>
      </c>
      <c r="N71" s="244" t="str">
        <f t="shared" si="25"/>
        <v/>
      </c>
      <c r="O71" s="244" t="str">
        <f t="shared" si="26"/>
        <v>UTS</v>
      </c>
      <c r="P71" s="244" t="str">
        <f t="shared" si="27"/>
        <v>UAS</v>
      </c>
      <c r="Q71" s="244" t="str">
        <f t="shared" si="28"/>
        <v>, , Kuis / Tugas 2, Kuis / Tugas 3, , UTS, UAS</v>
      </c>
      <c r="R71" s="251"/>
      <c r="S71" s="251"/>
      <c r="T71" s="251">
        <v>3</v>
      </c>
      <c r="U71" s="251">
        <v>3</v>
      </c>
      <c r="V71" s="251"/>
      <c r="W71" s="251">
        <v>2</v>
      </c>
      <c r="X71" s="251">
        <v>2</v>
      </c>
      <c r="Y71" s="249">
        <f t="shared" si="29"/>
        <v>10</v>
      </c>
      <c r="Z71" s="250"/>
    </row>
    <row r="72" spans="1:26" ht="54" x14ac:dyDescent="0.25">
      <c r="A72" s="245"/>
      <c r="B72" s="245"/>
      <c r="C72" s="242"/>
      <c r="D72" s="243" t="e">
        <f>VLOOKUP(C72,'CPL-MK'!$E$2:$F$12,2)</f>
        <v>#N/A</v>
      </c>
      <c r="E72" s="242" t="s">
        <v>202</v>
      </c>
      <c r="F72" s="244" t="str">
        <f>VLOOKUP(E72,'CPL-CPMK-MK'!$D$1:$E$30,2)</f>
        <v>Mampu membangun solusi berbasis computing yang efektif dan efisien</v>
      </c>
      <c r="G72" s="244" t="str">
        <f t="shared" si="16"/>
        <v>SUBCPMK-CPMK1121</v>
      </c>
      <c r="H72" s="244" t="str">
        <f t="shared" si="20"/>
        <v>Mampu membangun solusi berbasis computing yang efektif dan efisien dalam tesis</v>
      </c>
      <c r="I72" s="244" t="s">
        <v>313</v>
      </c>
      <c r="J72" s="244" t="str">
        <f t="shared" si="21"/>
        <v/>
      </c>
      <c r="K72" s="244" t="str">
        <f t="shared" si="22"/>
        <v/>
      </c>
      <c r="L72" s="244" t="str">
        <f t="shared" si="23"/>
        <v/>
      </c>
      <c r="M72" s="244" t="str">
        <f t="shared" si="24"/>
        <v>Kuis / Tugas 3</v>
      </c>
      <c r="N72" s="244" t="str">
        <f t="shared" si="25"/>
        <v>Kuis / Tugas 4</v>
      </c>
      <c r="O72" s="244" t="str">
        <f t="shared" si="26"/>
        <v/>
      </c>
      <c r="P72" s="244" t="str">
        <f t="shared" si="27"/>
        <v>UAS</v>
      </c>
      <c r="Q72" s="244" t="str">
        <f t="shared" si="28"/>
        <v>, , , Kuis / Tugas 3, Kuis / Tugas 4, , UAS</v>
      </c>
      <c r="R72" s="251"/>
      <c r="S72" s="251"/>
      <c r="T72" s="251"/>
      <c r="U72" s="251">
        <v>4</v>
      </c>
      <c r="V72" s="251">
        <v>4</v>
      </c>
      <c r="W72" s="251"/>
      <c r="X72" s="251">
        <v>7</v>
      </c>
      <c r="Y72" s="249">
        <f t="shared" si="29"/>
        <v>15</v>
      </c>
      <c r="Z72" s="250">
        <f>SUM(Y64:Y72)</f>
        <v>100</v>
      </c>
    </row>
    <row r="73" spans="1:26" ht="54" x14ac:dyDescent="0.25">
      <c r="A73" s="240" t="s">
        <v>117</v>
      </c>
      <c r="B73" s="241" t="s">
        <v>118</v>
      </c>
      <c r="C73" s="242" t="s">
        <v>27</v>
      </c>
      <c r="D73" s="243" t="str">
        <f>VLOOKUP(C73,'CPL-MK'!$E$2:$F$12,2)</f>
        <v>Memiliki kemampuan menganalisa, mengevaluasi, dan membuat keputusan berbasis kinerja solusi komputasi cerdas untuk mendukung layanan publik dan ekonomi digital</v>
      </c>
      <c r="E73" s="242" t="s">
        <v>165</v>
      </c>
      <c r="F73" s="244" t="str">
        <f>VLOOKUP(E73,'CPL-CPMK-MK'!$D$1:$E$30,2)</f>
        <v>Memiliki kemampuan menganalisa berbasis kinerja solusi komputasi cerdas untuk mendukung layanan publik dan ekonomi digital</v>
      </c>
      <c r="G73" s="244" t="str">
        <f t="shared" si="16"/>
        <v>SUBCPMK-CPMK0511</v>
      </c>
      <c r="H73" s="244" t="str">
        <f>CONCATENATE(F73, " dalam ",LOWER($B$73))</f>
        <v>Memiliki kemampuan menganalisa berbasis kinerja solusi komputasi cerdas untuk mendukung layanan publik dan ekonomi digital dalam teknologi keuangan ( fintech ) dan resiko</v>
      </c>
      <c r="I73" s="244" t="s">
        <v>313</v>
      </c>
      <c r="J73" s="244" t="str">
        <f t="shared" si="21"/>
        <v>Unjuk Kerja (Presensi)</v>
      </c>
      <c r="K73" s="244" t="str">
        <f t="shared" si="22"/>
        <v>Kuis / Tugas 1</v>
      </c>
      <c r="L73" s="244" t="str">
        <f t="shared" si="23"/>
        <v>Kuis / Tugas 2</v>
      </c>
      <c r="M73" s="244" t="str">
        <f t="shared" si="24"/>
        <v/>
      </c>
      <c r="N73" s="244" t="str">
        <f t="shared" si="25"/>
        <v/>
      </c>
      <c r="O73" s="244" t="str">
        <f t="shared" si="26"/>
        <v>UTS</v>
      </c>
      <c r="P73" s="244" t="str">
        <f t="shared" si="27"/>
        <v/>
      </c>
      <c r="Q73" s="244" t="str">
        <f t="shared" si="28"/>
        <v xml:space="preserve">Unjuk Kerja (Presensi), Kuis / Tugas 1, Kuis / Tugas 2, , , UTS, </v>
      </c>
      <c r="R73" s="251">
        <v>2</v>
      </c>
      <c r="S73" s="251">
        <v>5</v>
      </c>
      <c r="T73" s="251">
        <v>5</v>
      </c>
      <c r="U73" s="251"/>
      <c r="V73" s="251"/>
      <c r="W73" s="251">
        <v>10</v>
      </c>
      <c r="X73" s="251"/>
      <c r="Y73" s="249">
        <f t="shared" si="29"/>
        <v>22</v>
      </c>
      <c r="Z73" s="250"/>
    </row>
    <row r="74" spans="1:26" ht="67.5" x14ac:dyDescent="0.25">
      <c r="A74" s="240"/>
      <c r="B74" s="241"/>
      <c r="C74" s="242"/>
      <c r="D74" s="243" t="e">
        <f>VLOOKUP(C74,'CPL-MK'!$E$2:$F$12,2)</f>
        <v>#N/A</v>
      </c>
      <c r="E74" s="242" t="s">
        <v>167</v>
      </c>
      <c r="F74" s="244" t="str">
        <f>VLOOKUP(E74,'CPL-CPMK-MK'!$D$1:$E$30,2)</f>
        <v>Memiliki kemampuan mengevaluasi berbasis kinerja solusi komputasi cerdas untuk mendukung layanan publik dan ekonomi digital</v>
      </c>
      <c r="G74" s="244" t="str">
        <f t="shared" si="16"/>
        <v>SUBCPMK-CPMK0521</v>
      </c>
      <c r="H74" s="244" t="str">
        <f t="shared" ref="H74:H78" si="30">CONCATENATE(F74, " dalam ",LOWER($B$73))</f>
        <v>Memiliki kemampuan mengevaluasi berbasis kinerja solusi komputasi cerdas untuk mendukung layanan publik dan ekonomi digital dalam teknologi keuangan ( fintech ) dan resiko</v>
      </c>
      <c r="I74" s="244" t="s">
        <v>313</v>
      </c>
      <c r="J74" s="244" t="str">
        <f t="shared" si="21"/>
        <v>Unjuk Kerja (Presensi)</v>
      </c>
      <c r="K74" s="244" t="str">
        <f t="shared" si="22"/>
        <v/>
      </c>
      <c r="L74" s="244" t="str">
        <f t="shared" si="23"/>
        <v>Kuis / Tugas 2</v>
      </c>
      <c r="M74" s="244" t="str">
        <f t="shared" si="24"/>
        <v>Kuis / Tugas 3</v>
      </c>
      <c r="N74" s="244" t="str">
        <f t="shared" si="25"/>
        <v>Kuis / Tugas 4</v>
      </c>
      <c r="O74" s="244" t="str">
        <f t="shared" si="26"/>
        <v/>
      </c>
      <c r="P74" s="244" t="str">
        <f t="shared" si="27"/>
        <v>UAS</v>
      </c>
      <c r="Q74" s="244" t="str">
        <f t="shared" si="28"/>
        <v>Unjuk Kerja (Presensi), , Kuis / Tugas 2, Kuis / Tugas 3, Kuis / Tugas 4, , UAS</v>
      </c>
      <c r="R74" s="251">
        <v>2</v>
      </c>
      <c r="S74" s="251"/>
      <c r="T74" s="251">
        <v>5</v>
      </c>
      <c r="U74" s="251">
        <v>5</v>
      </c>
      <c r="V74" s="251">
        <v>6</v>
      </c>
      <c r="W74" s="251"/>
      <c r="X74" s="251">
        <v>10</v>
      </c>
      <c r="Y74" s="249">
        <f t="shared" si="29"/>
        <v>28</v>
      </c>
      <c r="Z74" s="250"/>
    </row>
    <row r="75" spans="1:26" ht="54" x14ac:dyDescent="0.25">
      <c r="A75" s="240"/>
      <c r="B75" s="241"/>
      <c r="C75" s="242"/>
      <c r="D75" s="243" t="e">
        <f>VLOOKUP(C75,'CPL-MK'!$E$2:$F$12,2)</f>
        <v>#N/A</v>
      </c>
      <c r="E75" s="242" t="s">
        <v>169</v>
      </c>
      <c r="F75" s="244" t="str">
        <f>VLOOKUP(E75,'CPL-CPMK-MK'!$D$1:$E$30,2)</f>
        <v>Memiliki kemampuan membuat keputusan berbasis kinerja solusi komputasi cerdas untuk mendukung layanan publik dan ekonomi digital</v>
      </c>
      <c r="G75" s="244" t="str">
        <f t="shared" si="16"/>
        <v>SUBCPMK-CPMK0531</v>
      </c>
      <c r="H75" s="244" t="str">
        <f t="shared" si="30"/>
        <v>Memiliki kemampuan membuat keputusan berbasis kinerja solusi komputasi cerdas untuk mendukung layanan publik dan ekonomi digital dalam teknologi keuangan ( fintech ) dan resiko</v>
      </c>
      <c r="I75" s="244" t="s">
        <v>313</v>
      </c>
      <c r="J75" s="244" t="str">
        <f t="shared" si="21"/>
        <v>Unjuk Kerja (Presensi)</v>
      </c>
      <c r="K75" s="244" t="str">
        <f t="shared" si="22"/>
        <v/>
      </c>
      <c r="L75" s="244" t="str">
        <f t="shared" si="23"/>
        <v/>
      </c>
      <c r="M75" s="244" t="str">
        <f t="shared" si="24"/>
        <v/>
      </c>
      <c r="N75" s="244" t="str">
        <f t="shared" si="25"/>
        <v>Kuis / Tugas 4</v>
      </c>
      <c r="O75" s="244" t="str">
        <f t="shared" si="26"/>
        <v/>
      </c>
      <c r="P75" s="244" t="str">
        <f t="shared" si="27"/>
        <v>UAS</v>
      </c>
      <c r="Q75" s="244" t="str">
        <f t="shared" si="28"/>
        <v>Unjuk Kerja (Presensi), , , , Kuis / Tugas 4, , UAS</v>
      </c>
      <c r="R75" s="251">
        <v>2</v>
      </c>
      <c r="S75" s="251"/>
      <c r="T75" s="251"/>
      <c r="U75" s="251"/>
      <c r="V75" s="251">
        <v>6</v>
      </c>
      <c r="W75" s="251"/>
      <c r="X75" s="251">
        <v>10</v>
      </c>
      <c r="Y75" s="249">
        <f t="shared" si="29"/>
        <v>18</v>
      </c>
      <c r="Z75" s="250"/>
    </row>
    <row r="76" spans="1:26" ht="54" x14ac:dyDescent="0.25">
      <c r="A76" s="245"/>
      <c r="B76" s="245"/>
      <c r="C76" s="242" t="s">
        <v>43</v>
      </c>
      <c r="D76" s="243" t="str">
        <f>VLOOKUP(C76,'CPL-MK'!$E$2:$F$12,2)</f>
        <v>Mampu mengidentifikasi, menganalisis, meneliti literatur, mengevaluasi, dan memformulasi solusi-solusi algoritmik untuk masalah computing yang kompleks</v>
      </c>
      <c r="E76" s="242" t="s">
        <v>196</v>
      </c>
      <c r="F76" s="244" t="str">
        <f>VLOOKUP(E76,'CPL-CPMK-MK'!$D$1:$E$30,2)</f>
        <v>Mampu mengidentifikasi solusi_x0002_solusi algoritmik untuk masalah computing yang kompleks.</v>
      </c>
      <c r="G76" s="244" t="str">
        <f t="shared" si="16"/>
        <v>SUBCPMK-CPMK0911</v>
      </c>
      <c r="H76" s="244" t="str">
        <f t="shared" si="30"/>
        <v>Mampu mengidentifikasi solusi_x0002_solusi algoritmik untuk masalah computing yang kompleks. dalam teknologi keuangan ( fintech ) dan resiko</v>
      </c>
      <c r="I76" s="244" t="s">
        <v>313</v>
      </c>
      <c r="J76" s="244" t="str">
        <f t="shared" si="21"/>
        <v>Unjuk Kerja (Presensi)</v>
      </c>
      <c r="K76" s="244" t="str">
        <f t="shared" si="22"/>
        <v>Kuis / Tugas 1</v>
      </c>
      <c r="L76" s="244" t="str">
        <f t="shared" si="23"/>
        <v/>
      </c>
      <c r="M76" s="244" t="str">
        <f t="shared" si="24"/>
        <v/>
      </c>
      <c r="N76" s="244" t="str">
        <f t="shared" si="25"/>
        <v/>
      </c>
      <c r="O76" s="244" t="str">
        <f t="shared" si="26"/>
        <v/>
      </c>
      <c r="P76" s="244" t="str">
        <f t="shared" si="27"/>
        <v/>
      </c>
      <c r="Q76" s="244" t="str">
        <f t="shared" si="28"/>
        <v xml:space="preserve">Unjuk Kerja (Presensi), Kuis / Tugas 1, , , , , </v>
      </c>
      <c r="R76" s="251">
        <v>2</v>
      </c>
      <c r="S76" s="251">
        <v>5</v>
      </c>
      <c r="T76" s="251"/>
      <c r="U76" s="251"/>
      <c r="V76" s="251"/>
      <c r="W76" s="251"/>
      <c r="X76" s="251"/>
      <c r="Y76" s="249">
        <f t="shared" si="29"/>
        <v>7</v>
      </c>
      <c r="Z76" s="250"/>
    </row>
    <row r="77" spans="1:26" ht="54" x14ac:dyDescent="0.25">
      <c r="A77" s="245"/>
      <c r="B77" s="245"/>
      <c r="C77" s="242"/>
      <c r="D77" s="243" t="e">
        <f>VLOOKUP(C77,'CPL-MK'!$E$2:$F$12,2)</f>
        <v>#N/A</v>
      </c>
      <c r="E77" s="242" t="s">
        <v>197</v>
      </c>
      <c r="F77" s="244" t="str">
        <f>VLOOKUP(E77,'CPL-CPMK-MK'!$D$1:$E$30,2)</f>
        <v>Mampu meneliti literatur dalam menganalisis solusi-solusi algoritmik untuk masalah yang 
kompleks.</v>
      </c>
      <c r="G77" s="244" t="str">
        <f t="shared" si="16"/>
        <v>SUBCPMK-CPMK0921</v>
      </c>
      <c r="H77" s="244" t="str">
        <f t="shared" si="30"/>
        <v>Mampu meneliti literatur dalam menganalisis solusi-solusi algoritmik untuk masalah yang 
kompleks. dalam teknologi keuangan ( fintech ) dan resiko</v>
      </c>
      <c r="I77" s="244" t="s">
        <v>313</v>
      </c>
      <c r="J77" s="244" t="str">
        <f t="shared" si="21"/>
        <v>Unjuk Kerja (Presensi)</v>
      </c>
      <c r="K77" s="244" t="str">
        <f t="shared" si="22"/>
        <v/>
      </c>
      <c r="L77" s="244" t="str">
        <f t="shared" si="23"/>
        <v>Kuis / Tugas 2</v>
      </c>
      <c r="M77" s="244" t="str">
        <f t="shared" si="24"/>
        <v>Kuis / Tugas 3</v>
      </c>
      <c r="N77" s="244" t="str">
        <f t="shared" si="25"/>
        <v/>
      </c>
      <c r="O77" s="244" t="str">
        <f t="shared" si="26"/>
        <v/>
      </c>
      <c r="P77" s="244" t="str">
        <f t="shared" si="27"/>
        <v/>
      </c>
      <c r="Q77" s="244" t="str">
        <f t="shared" si="28"/>
        <v xml:space="preserve">Unjuk Kerja (Presensi), , Kuis / Tugas 2, Kuis / Tugas 3, , , </v>
      </c>
      <c r="R77" s="251">
        <v>2</v>
      </c>
      <c r="S77" s="251"/>
      <c r="T77" s="251">
        <v>5</v>
      </c>
      <c r="U77" s="251">
        <v>5</v>
      </c>
      <c r="V77" s="251"/>
      <c r="W77" s="251"/>
      <c r="X77" s="251"/>
      <c r="Y77" s="249">
        <f t="shared" si="29"/>
        <v>12</v>
      </c>
      <c r="Z77" s="250"/>
    </row>
    <row r="78" spans="1:26" ht="54" x14ac:dyDescent="0.25">
      <c r="A78" s="245"/>
      <c r="B78" s="245"/>
      <c r="C78" s="242"/>
      <c r="D78" s="243" t="e">
        <f>VLOOKUP(C78,'CPL-MK'!$E$2:$F$12,2)</f>
        <v>#N/A</v>
      </c>
      <c r="E78" s="242" t="s">
        <v>198</v>
      </c>
      <c r="F78" s="244" t="str">
        <f>VLOOKUP(E78,'CPL-CPMK-MK'!$D$1:$E$30,2)</f>
        <v>Mampu mengevaluasi dan memformulasi solusi-solusi algoritmik untuk masalah yang kompleks.</v>
      </c>
      <c r="G78" s="244" t="str">
        <f t="shared" si="16"/>
        <v>SUBCPMK-CPMK0931</v>
      </c>
      <c r="H78" s="244" t="str">
        <f t="shared" si="30"/>
        <v>Mampu mengevaluasi dan memformulasi solusi-solusi algoritmik untuk masalah yang kompleks. dalam teknologi keuangan ( fintech ) dan resiko</v>
      </c>
      <c r="I78" s="244" t="s">
        <v>313</v>
      </c>
      <c r="J78" s="244" t="str">
        <f t="shared" si="21"/>
        <v>Unjuk Kerja (Presensi)</v>
      </c>
      <c r="K78" s="244" t="str">
        <f t="shared" si="22"/>
        <v/>
      </c>
      <c r="L78" s="244" t="str">
        <f t="shared" si="23"/>
        <v/>
      </c>
      <c r="M78" s="244" t="str">
        <f t="shared" si="24"/>
        <v>Kuis / Tugas 3</v>
      </c>
      <c r="N78" s="244" t="str">
        <f t="shared" si="25"/>
        <v>Kuis / Tugas 4</v>
      </c>
      <c r="O78" s="244" t="str">
        <f t="shared" si="26"/>
        <v/>
      </c>
      <c r="P78" s="244" t="str">
        <f t="shared" si="27"/>
        <v/>
      </c>
      <c r="Q78" s="244" t="str">
        <f t="shared" si="28"/>
        <v xml:space="preserve">Unjuk Kerja (Presensi), , , Kuis / Tugas 3, Kuis / Tugas 4, , </v>
      </c>
      <c r="R78" s="251">
        <v>2</v>
      </c>
      <c r="S78" s="251"/>
      <c r="T78" s="251"/>
      <c r="U78" s="251">
        <v>5</v>
      </c>
      <c r="V78" s="251">
        <v>6</v>
      </c>
      <c r="W78" s="251"/>
      <c r="X78" s="251"/>
      <c r="Y78" s="249">
        <f t="shared" si="29"/>
        <v>13</v>
      </c>
      <c r="Z78" s="250">
        <f>SUM(Y73:Y78)</f>
        <v>100</v>
      </c>
    </row>
    <row r="79" spans="1:26" ht="67.5" x14ac:dyDescent="0.25">
      <c r="A79" s="240" t="s">
        <v>119</v>
      </c>
      <c r="B79" s="241" t="s">
        <v>120</v>
      </c>
      <c r="C79" s="242" t="s">
        <v>22</v>
      </c>
      <c r="D79" s="243" t="str">
        <f>VLOOKUP(C79,'CPL-MK'!$E$2:$F$12,2)</f>
        <v>Memiliki kemampuan menganalisis, mengevaluasi, dan membuat keputusan berdasarkan pengetahuan di bidang teknologi informasi cerdas dalam konteks dukungan terhadap pengembangan layanan publik dan ekonomi digital</v>
      </c>
      <c r="E79" s="242" t="s">
        <v>153</v>
      </c>
      <c r="F79" s="244" t="str">
        <f>VLOOKUP(E79,'CPL-CPMK-MK'!$D$1:$E$30,2)</f>
        <v>Memiliki kemampuan menganalisis berdasarkan pengetahuan di bidang teknologi informasi cerdas dalam konteks dukungan terhadap pengembangan layanan publik dan ekonomi digital</v>
      </c>
      <c r="G79" s="244" t="str">
        <f t="shared" si="16"/>
        <v>SUBCPMK-CPMK0311</v>
      </c>
      <c r="H79" s="244" t="str">
        <f>CONCATENATE(F79, " dalam ",LOWER($B$79))</f>
        <v>Memiliki kemampuan menganalisis berdasarkan pengetahuan di bidang teknologi informasi cerdas dalam konteks dukungan terhadap pengembangan layanan publik dan ekonomi digital dalam kecerdasan bisnis</v>
      </c>
      <c r="I79" s="244" t="s">
        <v>313</v>
      </c>
      <c r="J79" s="244" t="str">
        <f t="shared" si="21"/>
        <v>Unjuk Kerja (Presensi)</v>
      </c>
      <c r="K79" s="244" t="str">
        <f t="shared" si="22"/>
        <v>Kuis / Tugas 1</v>
      </c>
      <c r="L79" s="244" t="str">
        <f t="shared" si="23"/>
        <v/>
      </c>
      <c r="M79" s="244" t="str">
        <f t="shared" si="24"/>
        <v/>
      </c>
      <c r="N79" s="244" t="str">
        <f t="shared" si="25"/>
        <v/>
      </c>
      <c r="O79" s="244" t="str">
        <f t="shared" si="26"/>
        <v/>
      </c>
      <c r="P79" s="244" t="str">
        <f t="shared" si="27"/>
        <v/>
      </c>
      <c r="Q79" s="244" t="str">
        <f t="shared" si="28"/>
        <v xml:space="preserve">Unjuk Kerja (Presensi), Kuis / Tugas 1, , , , , </v>
      </c>
      <c r="R79" s="251">
        <v>5</v>
      </c>
      <c r="S79" s="251">
        <v>10</v>
      </c>
      <c r="T79" s="251"/>
      <c r="U79" s="251"/>
      <c r="V79" s="251"/>
      <c r="W79" s="251"/>
      <c r="X79" s="251"/>
      <c r="Y79" s="249">
        <f t="shared" si="29"/>
        <v>15</v>
      </c>
      <c r="Z79" s="250"/>
    </row>
    <row r="80" spans="1:26" ht="67.5" x14ac:dyDescent="0.25">
      <c r="A80" s="240"/>
      <c r="B80" s="241"/>
      <c r="C80" s="242"/>
      <c r="D80" s="243" t="e">
        <f>VLOOKUP(C80,'CPL-MK'!$E$2:$F$12,2)</f>
        <v>#N/A</v>
      </c>
      <c r="E80" s="242" t="s">
        <v>155</v>
      </c>
      <c r="F80" s="244" t="str">
        <f>VLOOKUP(E80,'CPL-CPMK-MK'!$D$1:$E$30,2)</f>
        <v>Memiliki kemampuan mengevaluasi berdasarkan pengetahuan di bidang teknologi informasi cerdas dalam konteks dukungan terhadap pengembangan layanan publik dan ekonomi digital</v>
      </c>
      <c r="G80" s="244" t="str">
        <f t="shared" si="16"/>
        <v>SUBCPMK-CPMK0321</v>
      </c>
      <c r="H80" s="244" t="str">
        <f t="shared" ref="H80:H83" si="31">CONCATENATE(F80, " dalam ",LOWER($B$79))</f>
        <v>Memiliki kemampuan mengevaluasi berdasarkan pengetahuan di bidang teknologi informasi cerdas dalam konteks dukungan terhadap pengembangan layanan publik dan ekonomi digital dalam kecerdasan bisnis</v>
      </c>
      <c r="I80" s="244" t="s">
        <v>313</v>
      </c>
      <c r="J80" s="244" t="str">
        <f t="shared" si="21"/>
        <v>Unjuk Kerja (Presensi)</v>
      </c>
      <c r="K80" s="244" t="str">
        <f t="shared" si="22"/>
        <v>Kuis / Tugas 1</v>
      </c>
      <c r="L80" s="244" t="str">
        <f t="shared" si="23"/>
        <v>Kuis / Tugas 2</v>
      </c>
      <c r="M80" s="244" t="str">
        <f t="shared" si="24"/>
        <v/>
      </c>
      <c r="N80" s="244" t="str">
        <f t="shared" si="25"/>
        <v/>
      </c>
      <c r="O80" s="244" t="str">
        <f t="shared" si="26"/>
        <v/>
      </c>
      <c r="P80" s="244" t="str">
        <f t="shared" si="27"/>
        <v/>
      </c>
      <c r="Q80" s="244" t="str">
        <f t="shared" si="28"/>
        <v xml:space="preserve">Unjuk Kerja (Presensi), Kuis / Tugas 1, Kuis / Tugas 2, , , , </v>
      </c>
      <c r="R80" s="251">
        <v>5</v>
      </c>
      <c r="S80" s="251">
        <v>5</v>
      </c>
      <c r="T80" s="251">
        <v>5</v>
      </c>
      <c r="U80" s="251"/>
      <c r="V80" s="251"/>
      <c r="W80" s="251"/>
      <c r="X80" s="251"/>
      <c r="Y80" s="249">
        <f t="shared" si="29"/>
        <v>15</v>
      </c>
      <c r="Z80" s="250"/>
    </row>
    <row r="81" spans="1:26" ht="67.5" x14ac:dyDescent="0.25">
      <c r="A81" s="240"/>
      <c r="B81" s="241"/>
      <c r="C81" s="242"/>
      <c r="D81" s="243" t="e">
        <f>VLOOKUP(C81,'CPL-MK'!$E$2:$F$12,2)</f>
        <v>#N/A</v>
      </c>
      <c r="E81" s="242" t="s">
        <v>157</v>
      </c>
      <c r="F81" s="244" t="str">
        <f>VLOOKUP(E81,'CPL-CPMK-MK'!$D$1:$E$30,2)</f>
        <v>Memiliki kemampuan membuat keputusan berdasarkan pengetahuan di bidang teknologi informasi cerdas dalam konteks dukungan terhadap pengembangan layanan publik dan ekonomi digital</v>
      </c>
      <c r="G81" s="244" t="str">
        <f t="shared" si="16"/>
        <v>SUBCPMK-CPMK0331</v>
      </c>
      <c r="H81" s="244" t="str">
        <f t="shared" si="31"/>
        <v>Memiliki kemampuan membuat keputusan berdasarkan pengetahuan di bidang teknologi informasi cerdas dalam konteks dukungan terhadap pengembangan layanan publik dan ekonomi digital dalam kecerdasan bisnis</v>
      </c>
      <c r="I81" s="244" t="s">
        <v>313</v>
      </c>
      <c r="J81" s="244" t="str">
        <f t="shared" si="21"/>
        <v>Unjuk Kerja (Presensi)</v>
      </c>
      <c r="K81" s="244" t="str">
        <f t="shared" si="22"/>
        <v>Kuis / Tugas 1</v>
      </c>
      <c r="L81" s="244" t="str">
        <f t="shared" si="23"/>
        <v>Kuis / Tugas 2</v>
      </c>
      <c r="M81" s="244" t="str">
        <f t="shared" si="24"/>
        <v/>
      </c>
      <c r="N81" s="244" t="str">
        <f t="shared" si="25"/>
        <v/>
      </c>
      <c r="O81" s="244" t="str">
        <f t="shared" si="26"/>
        <v>UTS</v>
      </c>
      <c r="P81" s="244" t="str">
        <f t="shared" si="27"/>
        <v>UAS</v>
      </c>
      <c r="Q81" s="244" t="str">
        <f t="shared" si="28"/>
        <v>Unjuk Kerja (Presensi), Kuis / Tugas 1, Kuis / Tugas 2, , , UTS, UAS</v>
      </c>
      <c r="R81" s="251">
        <v>5</v>
      </c>
      <c r="S81" s="251">
        <v>5</v>
      </c>
      <c r="T81" s="251">
        <v>5</v>
      </c>
      <c r="U81" s="251"/>
      <c r="V81" s="251"/>
      <c r="W81" s="251">
        <v>10</v>
      </c>
      <c r="X81" s="251">
        <v>5</v>
      </c>
      <c r="Y81" s="249">
        <f t="shared" si="29"/>
        <v>30</v>
      </c>
      <c r="Z81" s="250"/>
    </row>
    <row r="82" spans="1:26" ht="54" x14ac:dyDescent="0.25">
      <c r="A82" s="245"/>
      <c r="B82" s="245"/>
      <c r="C82" s="242" t="s">
        <v>45</v>
      </c>
      <c r="D82" s="243" t="str">
        <f>VLOOKUP(C82,'CPL-MK'!$E$2:$F$12,2)</f>
        <v>Mampu memodelkan sistem yang kompleks dan membangun solusi berbasis computing yang efektif dan efisien</v>
      </c>
      <c r="E82" s="242" t="s">
        <v>201</v>
      </c>
      <c r="F82" s="244" t="str">
        <f>VLOOKUP(E82,'CPL-CPMK-MK'!$D$1:$E$30,2)</f>
        <v>Mampu merancang sistem yang kompleks dalam bidang computing.</v>
      </c>
      <c r="G82" s="244" t="str">
        <f t="shared" si="16"/>
        <v>SUBCPMK-CPMK1111</v>
      </c>
      <c r="H82" s="244" t="str">
        <f t="shared" si="31"/>
        <v>Mampu merancang sistem yang kompleks dalam bidang computing. dalam kecerdasan bisnis</v>
      </c>
      <c r="I82" s="244" t="s">
        <v>313</v>
      </c>
      <c r="J82" s="244" t="str">
        <f t="shared" si="21"/>
        <v>Unjuk Kerja (Presensi)</v>
      </c>
      <c r="K82" s="244" t="str">
        <f t="shared" si="22"/>
        <v>Kuis / Tugas 1</v>
      </c>
      <c r="L82" s="244" t="str">
        <f t="shared" si="23"/>
        <v/>
      </c>
      <c r="M82" s="244" t="str">
        <f t="shared" si="24"/>
        <v/>
      </c>
      <c r="N82" s="244" t="str">
        <f t="shared" si="25"/>
        <v/>
      </c>
      <c r="O82" s="244" t="str">
        <f t="shared" si="26"/>
        <v/>
      </c>
      <c r="P82" s="244" t="str">
        <f t="shared" si="27"/>
        <v/>
      </c>
      <c r="Q82" s="244" t="str">
        <f t="shared" si="28"/>
        <v xml:space="preserve">Unjuk Kerja (Presensi), Kuis / Tugas 1, , , , , </v>
      </c>
      <c r="R82" s="251">
        <v>2</v>
      </c>
      <c r="S82" s="251">
        <v>8</v>
      </c>
      <c r="T82" s="251"/>
      <c r="U82" s="251"/>
      <c r="V82" s="251"/>
      <c r="W82" s="251"/>
      <c r="X82" s="251"/>
      <c r="Y82" s="249">
        <f t="shared" si="29"/>
        <v>10</v>
      </c>
      <c r="Z82" s="250"/>
    </row>
    <row r="83" spans="1:26" ht="54" x14ac:dyDescent="0.25">
      <c r="A83" s="245"/>
      <c r="B83" s="245"/>
      <c r="C83" s="242"/>
      <c r="D83" s="243" t="e">
        <f>VLOOKUP(C83,'CPL-MK'!$E$2:$F$12,2)</f>
        <v>#N/A</v>
      </c>
      <c r="E83" s="242" t="s">
        <v>202</v>
      </c>
      <c r="F83" s="244" t="str">
        <f>VLOOKUP(E83,'CPL-CPMK-MK'!$D$1:$E$30,2)</f>
        <v>Mampu membangun solusi berbasis computing yang efektif dan efisien</v>
      </c>
      <c r="G83" s="244" t="str">
        <f t="shared" si="16"/>
        <v>SUBCPMK-CPMK1121</v>
      </c>
      <c r="H83" s="244" t="str">
        <f t="shared" si="31"/>
        <v>Mampu membangun solusi berbasis computing yang efektif dan efisien dalam kecerdasan bisnis</v>
      </c>
      <c r="I83" s="244" t="s">
        <v>313</v>
      </c>
      <c r="J83" s="244" t="str">
        <f t="shared" si="21"/>
        <v>Unjuk Kerja (Presensi)</v>
      </c>
      <c r="K83" s="244" t="str">
        <f t="shared" si="22"/>
        <v/>
      </c>
      <c r="L83" s="244" t="str">
        <f t="shared" si="23"/>
        <v>Kuis / Tugas 2</v>
      </c>
      <c r="M83" s="244" t="str">
        <f t="shared" si="24"/>
        <v>Kuis / Tugas 3</v>
      </c>
      <c r="N83" s="244" t="str">
        <f t="shared" si="25"/>
        <v/>
      </c>
      <c r="O83" s="244" t="str">
        <f t="shared" si="26"/>
        <v/>
      </c>
      <c r="P83" s="244" t="str">
        <f t="shared" si="27"/>
        <v>UAS</v>
      </c>
      <c r="Q83" s="244" t="str">
        <f t="shared" si="28"/>
        <v>Unjuk Kerja (Presensi), , Kuis / Tugas 2, Kuis / Tugas 3, , , UAS</v>
      </c>
      <c r="R83" s="251">
        <v>3</v>
      </c>
      <c r="S83" s="251"/>
      <c r="T83" s="251">
        <v>7</v>
      </c>
      <c r="U83" s="251">
        <v>5</v>
      </c>
      <c r="V83" s="251"/>
      <c r="W83" s="251"/>
      <c r="X83" s="251">
        <v>15</v>
      </c>
      <c r="Y83" s="249">
        <f t="shared" si="29"/>
        <v>30</v>
      </c>
      <c r="Z83" s="250">
        <f>SUM(Y79:Y83)</f>
        <v>100</v>
      </c>
    </row>
    <row r="84" spans="1:26" ht="67.5" x14ac:dyDescent="0.25">
      <c r="A84" s="240" t="s">
        <v>121</v>
      </c>
      <c r="B84" s="241" t="s">
        <v>122</v>
      </c>
      <c r="C84" s="242" t="s">
        <v>22</v>
      </c>
      <c r="D84" s="243" t="str">
        <f>VLOOKUP(C84,'CPL-MK'!$E$2:$F$12,2)</f>
        <v>Memiliki kemampuan menganalisis, mengevaluasi, dan membuat keputusan berdasarkan pengetahuan di bidang teknologi informasi cerdas dalam konteks dukungan terhadap pengembangan layanan publik dan ekonomi digital</v>
      </c>
      <c r="E84" s="242" t="s">
        <v>153</v>
      </c>
      <c r="F84" s="244" t="str">
        <f>VLOOKUP(E84,'CPL-CPMK-MK'!$D$1:$E$30,2)</f>
        <v>Memiliki kemampuan menganalisis berdasarkan pengetahuan di bidang teknologi informasi cerdas dalam konteks dukungan terhadap pengembangan layanan publik dan ekonomi digital</v>
      </c>
      <c r="G84" s="244" t="str">
        <f t="shared" si="16"/>
        <v>SUBCPMK-CPMK0311</v>
      </c>
      <c r="H84" s="244" t="str">
        <f>CONCATENATE(F84, " dalam ",LOWER($B$84))</f>
        <v>Memiliki kemampuan menganalisis berdasarkan pengetahuan di bidang teknologi informasi cerdas dalam konteks dukungan terhadap pengembangan layanan publik dan ekonomi digital dalam tata kelola dan audit bisnis digital</v>
      </c>
      <c r="I84" s="244" t="s">
        <v>313</v>
      </c>
      <c r="J84" s="244" t="str">
        <f t="shared" si="21"/>
        <v>Unjuk Kerja (Presensi)</v>
      </c>
      <c r="K84" s="244" t="str">
        <f t="shared" si="22"/>
        <v>Kuis / Tugas 1</v>
      </c>
      <c r="L84" s="244" t="str">
        <f t="shared" si="23"/>
        <v/>
      </c>
      <c r="M84" s="244" t="str">
        <f t="shared" si="24"/>
        <v/>
      </c>
      <c r="N84" s="244" t="str">
        <f t="shared" si="25"/>
        <v/>
      </c>
      <c r="O84" s="244" t="str">
        <f t="shared" si="26"/>
        <v/>
      </c>
      <c r="P84" s="244" t="str">
        <f t="shared" si="27"/>
        <v/>
      </c>
      <c r="Q84" s="244" t="str">
        <f t="shared" si="28"/>
        <v xml:space="preserve">Unjuk Kerja (Presensi), Kuis / Tugas 1, , , , , </v>
      </c>
      <c r="R84" s="251">
        <v>2</v>
      </c>
      <c r="S84" s="251">
        <v>9</v>
      </c>
      <c r="T84" s="251"/>
      <c r="U84" s="251"/>
      <c r="V84" s="251"/>
      <c r="W84" s="251"/>
      <c r="X84" s="251"/>
      <c r="Y84" s="249">
        <f t="shared" si="29"/>
        <v>11</v>
      </c>
      <c r="Z84" s="250"/>
    </row>
    <row r="85" spans="1:26" ht="67.5" x14ac:dyDescent="0.25">
      <c r="A85" s="240"/>
      <c r="B85" s="241"/>
      <c r="C85" s="242"/>
      <c r="D85" s="243" t="e">
        <f>VLOOKUP(C85,'CPL-MK'!$E$2:$F$12,2)</f>
        <v>#N/A</v>
      </c>
      <c r="E85" s="242" t="s">
        <v>155</v>
      </c>
      <c r="F85" s="244" t="str">
        <f>VLOOKUP(E85,'CPL-CPMK-MK'!$D$1:$E$30,2)</f>
        <v>Memiliki kemampuan mengevaluasi berdasarkan pengetahuan di bidang teknologi informasi cerdas dalam konteks dukungan terhadap pengembangan layanan publik dan ekonomi digital</v>
      </c>
      <c r="G85" s="244" t="str">
        <f t="shared" si="16"/>
        <v>SUBCPMK-CPMK0321</v>
      </c>
      <c r="H85" s="244" t="str">
        <f t="shared" ref="H85:H92" si="32">CONCATENATE(F85, " dalam ",LOWER($B$84))</f>
        <v>Memiliki kemampuan mengevaluasi berdasarkan pengetahuan di bidang teknologi informasi cerdas dalam konteks dukungan terhadap pengembangan layanan publik dan ekonomi digital dalam tata kelola dan audit bisnis digital</v>
      </c>
      <c r="I85" s="244" t="s">
        <v>313</v>
      </c>
      <c r="J85" s="244" t="str">
        <f t="shared" si="21"/>
        <v>Unjuk Kerja (Presensi)</v>
      </c>
      <c r="K85" s="244" t="str">
        <f t="shared" si="22"/>
        <v/>
      </c>
      <c r="L85" s="244" t="str">
        <f t="shared" si="23"/>
        <v>Kuis / Tugas 2</v>
      </c>
      <c r="M85" s="244" t="str">
        <f t="shared" si="24"/>
        <v/>
      </c>
      <c r="N85" s="244" t="str">
        <f t="shared" si="25"/>
        <v/>
      </c>
      <c r="O85" s="244" t="str">
        <f t="shared" si="26"/>
        <v>UTS</v>
      </c>
      <c r="P85" s="244" t="str">
        <f t="shared" si="27"/>
        <v/>
      </c>
      <c r="Q85" s="244" t="str">
        <f t="shared" si="28"/>
        <v xml:space="preserve">Unjuk Kerja (Presensi), , Kuis / Tugas 2, , , UTS, </v>
      </c>
      <c r="R85" s="251">
        <v>2</v>
      </c>
      <c r="S85" s="251"/>
      <c r="T85" s="251">
        <v>7</v>
      </c>
      <c r="U85" s="251"/>
      <c r="V85" s="251"/>
      <c r="W85" s="251">
        <v>2</v>
      </c>
      <c r="X85" s="251"/>
      <c r="Y85" s="249">
        <f t="shared" si="29"/>
        <v>11</v>
      </c>
      <c r="Z85" s="250"/>
    </row>
    <row r="86" spans="1:26" ht="67.5" x14ac:dyDescent="0.25">
      <c r="A86" s="240"/>
      <c r="B86" s="241"/>
      <c r="C86" s="242"/>
      <c r="D86" s="243" t="e">
        <f>VLOOKUP(C86,'CPL-MK'!$E$2:$F$12,2)</f>
        <v>#N/A</v>
      </c>
      <c r="E86" s="242" t="s">
        <v>157</v>
      </c>
      <c r="F86" s="244" t="str">
        <f>VLOOKUP(E86,'CPL-CPMK-MK'!$D$1:$E$30,2)</f>
        <v>Memiliki kemampuan membuat keputusan berdasarkan pengetahuan di bidang teknologi informasi cerdas dalam konteks dukungan terhadap pengembangan layanan publik dan ekonomi digital</v>
      </c>
      <c r="G86" s="244" t="str">
        <f t="shared" si="16"/>
        <v>SUBCPMK-CPMK0331</v>
      </c>
      <c r="H86" s="244" t="str">
        <f t="shared" si="32"/>
        <v>Memiliki kemampuan membuat keputusan berdasarkan pengetahuan di bidang teknologi informasi cerdas dalam konteks dukungan terhadap pengembangan layanan publik dan ekonomi digital dalam tata kelola dan audit bisnis digital</v>
      </c>
      <c r="I86" s="244" t="s">
        <v>313</v>
      </c>
      <c r="J86" s="244" t="str">
        <f t="shared" si="21"/>
        <v>Unjuk Kerja (Presensi)</v>
      </c>
      <c r="K86" s="244" t="str">
        <f t="shared" si="22"/>
        <v/>
      </c>
      <c r="L86" s="244" t="str">
        <f t="shared" si="23"/>
        <v/>
      </c>
      <c r="M86" s="244" t="str">
        <f t="shared" si="24"/>
        <v>Kuis / Tugas 3</v>
      </c>
      <c r="N86" s="244" t="str">
        <f t="shared" si="25"/>
        <v/>
      </c>
      <c r="O86" s="244" t="str">
        <f t="shared" si="26"/>
        <v>UTS</v>
      </c>
      <c r="P86" s="244" t="str">
        <f t="shared" si="27"/>
        <v/>
      </c>
      <c r="Q86" s="244" t="str">
        <f t="shared" si="28"/>
        <v xml:space="preserve">Unjuk Kerja (Presensi), , , Kuis / Tugas 3, , UTS, </v>
      </c>
      <c r="R86" s="251">
        <v>2</v>
      </c>
      <c r="S86" s="251"/>
      <c r="T86" s="251"/>
      <c r="U86" s="251">
        <v>7</v>
      </c>
      <c r="V86" s="251"/>
      <c r="W86" s="251">
        <v>2</v>
      </c>
      <c r="X86" s="251"/>
      <c r="Y86" s="249">
        <f t="shared" si="29"/>
        <v>11</v>
      </c>
      <c r="Z86" s="250"/>
    </row>
    <row r="87" spans="1:26" ht="67.5" x14ac:dyDescent="0.25">
      <c r="A87" s="245"/>
      <c r="B87" s="245"/>
      <c r="C87" s="242" t="s">
        <v>30</v>
      </c>
      <c r="D87" s="243" t="str">
        <f>VLOOKUP(C87,'CPL-MK'!$E$2:$F$12,2)</f>
        <v>Memiliki pemahaman yang mendalam, menganalisis, dan mengevaluasi tentang solusi komputasi cerdas dengan sistem dan infrastruktur yang ada termasuk pertimbangan keamanan sistem informasi untuk mendukung layanan publik dan ekonomi digital</v>
      </c>
      <c r="E87" s="242" t="s">
        <v>171</v>
      </c>
      <c r="F87" s="244" t="str">
        <f>VLOOKUP(E87,'CPL-CPMK-MK'!$D$1:$E$30,2)</f>
        <v>Memiliki pemahaman yang mendalam tentang solusi komputasi cerdas dengan sistem dan infrastruktur yang ada termasuk pertimbangan keamanan sistem informasi untuk mendukung layanan publik dan ekonomi digital</v>
      </c>
      <c r="G87" s="244" t="str">
        <f t="shared" si="16"/>
        <v>SUBCPMK-CPMK0611</v>
      </c>
      <c r="H87" s="244" t="str">
        <f t="shared" si="32"/>
        <v>Memiliki pemahaman yang mendalam tentang solusi komputasi cerdas dengan sistem dan infrastruktur yang ada termasuk pertimbangan keamanan sistem informasi untuk mendukung layanan publik dan ekonomi digital dalam tata kelola dan audit bisnis digital</v>
      </c>
      <c r="I87" s="244" t="s">
        <v>313</v>
      </c>
      <c r="J87" s="244" t="str">
        <f t="shared" si="21"/>
        <v>Unjuk Kerja (Presensi)</v>
      </c>
      <c r="K87" s="244" t="str">
        <f t="shared" si="22"/>
        <v>Kuis / Tugas 1</v>
      </c>
      <c r="L87" s="244" t="str">
        <f t="shared" si="23"/>
        <v/>
      </c>
      <c r="M87" s="244" t="str">
        <f t="shared" si="24"/>
        <v/>
      </c>
      <c r="N87" s="244" t="str">
        <f t="shared" si="25"/>
        <v/>
      </c>
      <c r="O87" s="244" t="str">
        <f t="shared" si="26"/>
        <v/>
      </c>
      <c r="P87" s="244" t="str">
        <f t="shared" si="27"/>
        <v/>
      </c>
      <c r="Q87" s="244" t="str">
        <f t="shared" si="28"/>
        <v xml:space="preserve">Unjuk Kerja (Presensi), Kuis / Tugas 1, , , , , </v>
      </c>
      <c r="R87" s="251">
        <v>2</v>
      </c>
      <c r="S87" s="251">
        <v>9</v>
      </c>
      <c r="T87" s="251"/>
      <c r="U87" s="251"/>
      <c r="V87" s="251"/>
      <c r="W87" s="251"/>
      <c r="X87" s="251"/>
      <c r="Y87" s="249">
        <f t="shared" si="29"/>
        <v>11</v>
      </c>
      <c r="Z87" s="250"/>
    </row>
    <row r="88" spans="1:26" ht="81" x14ac:dyDescent="0.25">
      <c r="A88" s="245"/>
      <c r="B88" s="245"/>
      <c r="C88" s="242"/>
      <c r="D88" s="243" t="e">
        <f>VLOOKUP(C88,'CPL-MK'!$E$2:$F$12,2)</f>
        <v>#N/A</v>
      </c>
      <c r="E88" s="242" t="s">
        <v>173</v>
      </c>
      <c r="F88" s="244" t="str">
        <f>VLOOKUP(E88,'CPL-CPMK-MK'!$D$1:$E$30,2)</f>
        <v>Memiliki kemampuan menganalisis yang mendalam tentang solusi komputasi cerdas dengan sistem dan infrastruktur yang ada termasuk pertimbangan keamanan sistem informasi untuk mendukung layanan publik dan ekonomi digital</v>
      </c>
      <c r="G88" s="244" t="str">
        <f t="shared" si="16"/>
        <v>SUBCPMK-CPMK0621</v>
      </c>
      <c r="H88" s="244" t="str">
        <f t="shared" si="32"/>
        <v>Memiliki kemampuan menganalisis yang mendalam tentang solusi komputasi cerdas dengan sistem dan infrastruktur yang ada termasuk pertimbangan keamanan sistem informasi untuk mendukung layanan publik dan ekonomi digital dalam tata kelola dan audit bisnis digital</v>
      </c>
      <c r="I88" s="244" t="s">
        <v>313</v>
      </c>
      <c r="J88" s="244" t="str">
        <f t="shared" si="21"/>
        <v>Unjuk Kerja (Presensi)</v>
      </c>
      <c r="K88" s="244" t="str">
        <f t="shared" si="22"/>
        <v/>
      </c>
      <c r="L88" s="244" t="str">
        <f t="shared" si="23"/>
        <v>Kuis / Tugas 2</v>
      </c>
      <c r="M88" s="244" t="str">
        <f t="shared" si="24"/>
        <v/>
      </c>
      <c r="N88" s="244" t="str">
        <f t="shared" si="25"/>
        <v/>
      </c>
      <c r="O88" s="244" t="str">
        <f t="shared" si="26"/>
        <v/>
      </c>
      <c r="P88" s="244" t="str">
        <f t="shared" si="27"/>
        <v/>
      </c>
      <c r="Q88" s="244" t="str">
        <f t="shared" si="28"/>
        <v xml:space="preserve">Unjuk Kerja (Presensi), , Kuis / Tugas 2, , , , </v>
      </c>
      <c r="R88" s="251">
        <v>2</v>
      </c>
      <c r="S88" s="251"/>
      <c r="T88" s="251">
        <v>9</v>
      </c>
      <c r="U88" s="251"/>
      <c r="V88" s="251"/>
      <c r="W88" s="251"/>
      <c r="X88" s="251"/>
      <c r="Y88" s="249">
        <f t="shared" si="29"/>
        <v>11</v>
      </c>
      <c r="Z88" s="250"/>
    </row>
    <row r="89" spans="1:26" ht="81" x14ac:dyDescent="0.25">
      <c r="A89" s="245"/>
      <c r="B89" s="245"/>
      <c r="C89" s="242"/>
      <c r="D89" s="243" t="e">
        <f>VLOOKUP(C89,'CPL-MK'!$E$2:$F$12,2)</f>
        <v>#N/A</v>
      </c>
      <c r="E89" s="242" t="s">
        <v>175</v>
      </c>
      <c r="F89" s="244" t="str">
        <f>VLOOKUP(E89,'CPL-CPMK-MK'!$D$1:$E$30,2)</f>
        <v>Memiliki kemampuan mengevaluasi yang mendalam tentang solusi komputasi cerdas dengan sistem dan infrastruktur yang ada termasuk pertimbangan keamanan sistem informasi untuk mendukung layanan publik dan ekonomi digital</v>
      </c>
      <c r="G89" s="244" t="str">
        <f t="shared" si="16"/>
        <v>SUBCPMK-CPMK0631</v>
      </c>
      <c r="H89" s="244" t="str">
        <f t="shared" si="32"/>
        <v>Memiliki kemampuan mengevaluasi yang mendalam tentang solusi komputasi cerdas dengan sistem dan infrastruktur yang ada termasuk pertimbangan keamanan sistem informasi untuk mendukung layanan publik dan ekonomi digital dalam tata kelola dan audit bisnis digital</v>
      </c>
      <c r="I89" s="244" t="s">
        <v>313</v>
      </c>
      <c r="J89" s="244" t="str">
        <f t="shared" si="21"/>
        <v>Unjuk Kerja (Presensi)</v>
      </c>
      <c r="K89" s="244" t="str">
        <f t="shared" si="22"/>
        <v/>
      </c>
      <c r="L89" s="244" t="str">
        <f t="shared" si="23"/>
        <v/>
      </c>
      <c r="M89" s="244" t="str">
        <f t="shared" si="24"/>
        <v/>
      </c>
      <c r="N89" s="244" t="str">
        <f t="shared" si="25"/>
        <v>Kuis / Tugas 4</v>
      </c>
      <c r="O89" s="244" t="str">
        <f t="shared" si="26"/>
        <v/>
      </c>
      <c r="P89" s="244" t="str">
        <f t="shared" si="27"/>
        <v>UAS</v>
      </c>
      <c r="Q89" s="244" t="str">
        <f t="shared" si="28"/>
        <v>Unjuk Kerja (Presensi), , , , Kuis / Tugas 4, , UAS</v>
      </c>
      <c r="R89" s="251">
        <v>2</v>
      </c>
      <c r="S89" s="251"/>
      <c r="T89" s="251"/>
      <c r="U89" s="251"/>
      <c r="V89" s="251">
        <v>5</v>
      </c>
      <c r="W89" s="251"/>
      <c r="X89" s="251">
        <v>4</v>
      </c>
      <c r="Y89" s="249">
        <f t="shared" si="29"/>
        <v>11</v>
      </c>
      <c r="Z89" s="250"/>
    </row>
    <row r="90" spans="1:26" ht="54" x14ac:dyDescent="0.25">
      <c r="A90" s="245"/>
      <c r="B90" s="245"/>
      <c r="C90" s="242" t="s">
        <v>43</v>
      </c>
      <c r="D90" s="243" t="str">
        <f>VLOOKUP(C90,'CPL-MK'!$E$2:$F$12,2)</f>
        <v>Mampu mengidentifikasi, menganalisis, meneliti literatur, mengevaluasi, dan memformulasi solusi-solusi algoritmik untuk masalah computing yang kompleks</v>
      </c>
      <c r="E90" s="242" t="s">
        <v>196</v>
      </c>
      <c r="F90" s="244" t="str">
        <f>VLOOKUP(E90,'CPL-CPMK-MK'!$D$1:$E$30,2)</f>
        <v>Mampu mengidentifikasi solusi_x0002_solusi algoritmik untuk masalah computing yang kompleks.</v>
      </c>
      <c r="G90" s="244" t="str">
        <f t="shared" si="16"/>
        <v>SUBCPMK-CPMK0911</v>
      </c>
      <c r="H90" s="244" t="str">
        <f t="shared" si="32"/>
        <v>Mampu mengidentifikasi solusi_x0002_solusi algoritmik untuk masalah computing yang kompleks. dalam tata kelola dan audit bisnis digital</v>
      </c>
      <c r="I90" s="244" t="s">
        <v>313</v>
      </c>
      <c r="J90" s="244" t="str">
        <f t="shared" si="21"/>
        <v>Unjuk Kerja (Presensi)</v>
      </c>
      <c r="K90" s="244" t="str">
        <f t="shared" si="22"/>
        <v/>
      </c>
      <c r="L90" s="244" t="str">
        <f t="shared" si="23"/>
        <v/>
      </c>
      <c r="M90" s="244" t="str">
        <f t="shared" si="24"/>
        <v/>
      </c>
      <c r="N90" s="244" t="str">
        <f t="shared" si="25"/>
        <v>Kuis / Tugas 4</v>
      </c>
      <c r="O90" s="244" t="str">
        <f t="shared" si="26"/>
        <v/>
      </c>
      <c r="P90" s="244" t="str">
        <f t="shared" si="27"/>
        <v>UAS</v>
      </c>
      <c r="Q90" s="244" t="str">
        <f t="shared" si="28"/>
        <v>Unjuk Kerja (Presensi), , , , Kuis / Tugas 4, , UAS</v>
      </c>
      <c r="R90" s="251">
        <v>2</v>
      </c>
      <c r="S90" s="251"/>
      <c r="T90" s="251"/>
      <c r="U90" s="251"/>
      <c r="V90" s="251">
        <v>6</v>
      </c>
      <c r="W90" s="251"/>
      <c r="X90" s="251">
        <v>4</v>
      </c>
      <c r="Y90" s="249">
        <f t="shared" si="29"/>
        <v>12</v>
      </c>
      <c r="Z90" s="250"/>
    </row>
    <row r="91" spans="1:26" ht="54" x14ac:dyDescent="0.25">
      <c r="A91" s="245"/>
      <c r="B91" s="245"/>
      <c r="C91" s="242"/>
      <c r="D91" s="243" t="e">
        <f>VLOOKUP(C91,'CPL-MK'!$E$2:$F$12,2)</f>
        <v>#N/A</v>
      </c>
      <c r="E91" s="242" t="s">
        <v>197</v>
      </c>
      <c r="F91" s="244" t="str">
        <f>VLOOKUP(E91,'CPL-CPMK-MK'!$D$1:$E$30,2)</f>
        <v>Mampu meneliti literatur dalam menganalisis solusi-solusi algoritmik untuk masalah yang 
kompleks.</v>
      </c>
      <c r="G91" s="244" t="str">
        <f t="shared" si="16"/>
        <v>SUBCPMK-CPMK0921</v>
      </c>
      <c r="H91" s="244" t="str">
        <f t="shared" si="32"/>
        <v>Mampu meneliti literatur dalam menganalisis solusi-solusi algoritmik untuk masalah yang 
kompleks. dalam tata kelola dan audit bisnis digital</v>
      </c>
      <c r="I91" s="244" t="s">
        <v>313</v>
      </c>
      <c r="J91" s="244" t="str">
        <f t="shared" si="21"/>
        <v>Unjuk Kerja (Presensi)</v>
      </c>
      <c r="K91" s="244" t="str">
        <f t="shared" si="22"/>
        <v/>
      </c>
      <c r="L91" s="244" t="str">
        <f t="shared" si="23"/>
        <v/>
      </c>
      <c r="M91" s="244" t="str">
        <f t="shared" si="24"/>
        <v/>
      </c>
      <c r="N91" s="244" t="str">
        <f t="shared" si="25"/>
        <v>Kuis / Tugas 4</v>
      </c>
      <c r="O91" s="244" t="str">
        <f t="shared" si="26"/>
        <v/>
      </c>
      <c r="P91" s="244" t="str">
        <f t="shared" si="27"/>
        <v>UAS</v>
      </c>
      <c r="Q91" s="244" t="str">
        <f t="shared" si="28"/>
        <v>Unjuk Kerja (Presensi), , , , Kuis / Tugas 4, , UAS</v>
      </c>
      <c r="R91" s="251">
        <v>2</v>
      </c>
      <c r="S91" s="251"/>
      <c r="T91" s="251"/>
      <c r="U91" s="251"/>
      <c r="V91" s="251">
        <v>5</v>
      </c>
      <c r="W91" s="251"/>
      <c r="X91" s="251">
        <v>4</v>
      </c>
      <c r="Y91" s="249">
        <f t="shared" si="29"/>
        <v>11</v>
      </c>
      <c r="Z91" s="250"/>
    </row>
    <row r="92" spans="1:26" ht="54" x14ac:dyDescent="0.25">
      <c r="A92" s="245"/>
      <c r="B92" s="245"/>
      <c r="C92" s="242"/>
      <c r="D92" s="243" t="e">
        <f>VLOOKUP(C92,'CPL-MK'!$E$2:$F$12,2)</f>
        <v>#N/A</v>
      </c>
      <c r="E92" s="242" t="s">
        <v>198</v>
      </c>
      <c r="F92" s="244" t="str">
        <f>VLOOKUP(E92,'CPL-CPMK-MK'!$D$1:$E$30,2)</f>
        <v>Mampu mengevaluasi dan memformulasi solusi-solusi algoritmik untuk masalah yang kompleks.</v>
      </c>
      <c r="G92" s="244" t="str">
        <f t="shared" ref="G92:G127" si="33">CONCATENATE("SUBCPMK-",E92,"1")</f>
        <v>SUBCPMK-CPMK0931</v>
      </c>
      <c r="H92" s="244" t="str">
        <f t="shared" si="32"/>
        <v>Mampu mengevaluasi dan memformulasi solusi-solusi algoritmik untuk masalah yang kompleks. dalam tata kelola dan audit bisnis digital</v>
      </c>
      <c r="I92" s="244" t="s">
        <v>313</v>
      </c>
      <c r="J92" s="244" t="str">
        <f t="shared" si="21"/>
        <v/>
      </c>
      <c r="K92" s="244" t="str">
        <f t="shared" si="22"/>
        <v/>
      </c>
      <c r="L92" s="244" t="str">
        <f t="shared" si="23"/>
        <v/>
      </c>
      <c r="M92" s="244" t="str">
        <f t="shared" si="24"/>
        <v/>
      </c>
      <c r="N92" s="244" t="str">
        <f t="shared" si="25"/>
        <v/>
      </c>
      <c r="O92" s="244" t="str">
        <f t="shared" si="26"/>
        <v/>
      </c>
      <c r="P92" s="244" t="str">
        <f t="shared" si="27"/>
        <v>UAS</v>
      </c>
      <c r="Q92" s="244" t="str">
        <f t="shared" si="28"/>
        <v>, , , , , , UAS</v>
      </c>
      <c r="R92" s="251"/>
      <c r="S92" s="251"/>
      <c r="T92" s="251"/>
      <c r="U92" s="251"/>
      <c r="V92" s="251"/>
      <c r="W92" s="251"/>
      <c r="X92" s="251">
        <v>11</v>
      </c>
      <c r="Y92" s="249">
        <f t="shared" si="29"/>
        <v>11</v>
      </c>
      <c r="Z92" s="250">
        <f>SUM(Y84:Y92)</f>
        <v>100</v>
      </c>
    </row>
    <row r="93" spans="1:26" ht="67.5" x14ac:dyDescent="0.25">
      <c r="A93" s="240" t="s">
        <v>124</v>
      </c>
      <c r="B93" s="241" t="s">
        <v>125</v>
      </c>
      <c r="C93" s="242" t="s">
        <v>35</v>
      </c>
      <c r="D93" s="243" t="str">
        <f>VLOOKUP(C93,'CPL-MK'!$E$2:$F$12,2)</f>
        <v>Mampu mengevaluasi, mengembangkan dan mengimplementasikan solusi komputasi cerdas dengan menggunakan teknologi terkini dalam mendukung pengembangan kota cerdas dan sistem pemerintahan berbasis elektronik</v>
      </c>
      <c r="E93" s="242" t="s">
        <v>183</v>
      </c>
      <c r="F93" s="244" t="str">
        <f>VLOOKUP(E93,'CPL-CPMK-MK'!$D$1:$E$30,2)</f>
        <v>Mampu mengevaluasi solusi komputasi cerdas dengan menggunakan teknologi terkini dalam mendukung pengembangan kota cerdas dan sistem pemerintahan berbasis elektronik</v>
      </c>
      <c r="G93" s="244" t="str">
        <f t="shared" si="33"/>
        <v>SUBCPMK-CPMK0811</v>
      </c>
      <c r="H93" s="244" t="str">
        <f t="shared" ref="H93:H102" si="34">CONCATENATE(F93, " dalam ",LOWER($B$93))</f>
        <v>Mampu mengevaluasi solusi komputasi cerdas dengan menggunakan teknologi terkini dalam mendukung pengembangan kota cerdas dan sistem pemerintahan berbasis elektronik dalam sistem pemerintahan berbasis elektronik</v>
      </c>
      <c r="I93" s="244" t="s">
        <v>313</v>
      </c>
      <c r="J93" s="244" t="str">
        <f t="shared" si="21"/>
        <v>Unjuk Kerja (Presensi)</v>
      </c>
      <c r="K93" s="244" t="str">
        <f t="shared" si="22"/>
        <v>Kuis / Tugas 1</v>
      </c>
      <c r="L93" s="244" t="str">
        <f t="shared" si="23"/>
        <v/>
      </c>
      <c r="M93" s="244" t="str">
        <f t="shared" si="24"/>
        <v/>
      </c>
      <c r="N93" s="244" t="str">
        <f t="shared" si="25"/>
        <v/>
      </c>
      <c r="O93" s="244" t="str">
        <f t="shared" si="26"/>
        <v>UTS</v>
      </c>
      <c r="P93" s="244" t="str">
        <f t="shared" si="27"/>
        <v/>
      </c>
      <c r="Q93" s="244" t="str">
        <f t="shared" si="28"/>
        <v xml:space="preserve">Unjuk Kerja (Presensi), Kuis / Tugas 1, , , , UTS, </v>
      </c>
      <c r="R93" s="249">
        <v>2</v>
      </c>
      <c r="S93" s="249">
        <v>4</v>
      </c>
      <c r="T93" s="249"/>
      <c r="U93" s="249"/>
      <c r="V93" s="249"/>
      <c r="W93" s="249">
        <v>4</v>
      </c>
      <c r="X93" s="249"/>
      <c r="Y93" s="249">
        <f t="shared" si="29"/>
        <v>10</v>
      </c>
      <c r="Z93" s="250"/>
    </row>
    <row r="94" spans="1:26" ht="67.5" x14ac:dyDescent="0.25">
      <c r="A94" s="245"/>
      <c r="B94" s="245"/>
      <c r="C94" s="242"/>
      <c r="D94" s="243" t="e">
        <f>VLOOKUP(C94,'CPL-MK'!$E$2:$F$12,2)</f>
        <v>#N/A</v>
      </c>
      <c r="E94" s="242" t="s">
        <v>185</v>
      </c>
      <c r="F94" s="244" t="str">
        <f>VLOOKUP(E94,'CPL-CPMK-MK'!$D$1:$E$30,2)</f>
        <v>Mampu mengembangkan solusi komputasi cerdas dengan menggunakan teknologi terkini dalam mendukung pengembangan kota cerdas dan sistem pemerintahan berbasis elektronik</v>
      </c>
      <c r="G94" s="244" t="str">
        <f t="shared" si="33"/>
        <v>SUBCPMK-CPMK0821</v>
      </c>
      <c r="H94" s="244" t="str">
        <f t="shared" si="34"/>
        <v>Mampu mengembangkan solusi komputasi cerdas dengan menggunakan teknologi terkini dalam mendukung pengembangan kota cerdas dan sistem pemerintahan berbasis elektronik dalam sistem pemerintahan berbasis elektronik</v>
      </c>
      <c r="I94" s="244" t="s">
        <v>313</v>
      </c>
      <c r="J94" s="244" t="str">
        <f t="shared" si="21"/>
        <v>Unjuk Kerja (Presensi)</v>
      </c>
      <c r="K94" s="244" t="str">
        <f t="shared" si="22"/>
        <v/>
      </c>
      <c r="L94" s="244" t="str">
        <f t="shared" si="23"/>
        <v>Kuis / Tugas 2</v>
      </c>
      <c r="M94" s="244" t="str">
        <f t="shared" si="24"/>
        <v/>
      </c>
      <c r="N94" s="244" t="str">
        <f t="shared" si="25"/>
        <v/>
      </c>
      <c r="O94" s="244" t="str">
        <f t="shared" si="26"/>
        <v/>
      </c>
      <c r="P94" s="244" t="str">
        <f t="shared" si="27"/>
        <v>UAS</v>
      </c>
      <c r="Q94" s="244" t="str">
        <f t="shared" si="28"/>
        <v>Unjuk Kerja (Presensi), , Kuis / Tugas 2, , , , UAS</v>
      </c>
      <c r="R94" s="249">
        <v>2</v>
      </c>
      <c r="S94" s="249"/>
      <c r="T94" s="249">
        <v>4</v>
      </c>
      <c r="U94" s="249"/>
      <c r="V94" s="249"/>
      <c r="W94" s="249"/>
      <c r="X94" s="249">
        <v>4</v>
      </c>
      <c r="Y94" s="249">
        <f t="shared" si="29"/>
        <v>10</v>
      </c>
      <c r="Z94" s="250"/>
    </row>
    <row r="95" spans="1:26" ht="67.5" x14ac:dyDescent="0.25">
      <c r="A95" s="245"/>
      <c r="B95" s="245"/>
      <c r="C95" s="242"/>
      <c r="D95" s="243" t="e">
        <f>VLOOKUP(C95,'CPL-MK'!$E$2:$F$12,2)</f>
        <v>#N/A</v>
      </c>
      <c r="E95" s="242" t="s">
        <v>187</v>
      </c>
      <c r="F95" s="244" t="str">
        <f>VLOOKUP(E95,'CPL-CPMK-MK'!$D$1:$E$30,2)</f>
        <v>Mampu mengimplementasikan solusi komputasi cerdas dengan menggunakan teknologi terkini dalam mendukung pengembangan kota cerdas dan sistem pemerintahan berbasis elektronik</v>
      </c>
      <c r="G95" s="244" t="str">
        <f t="shared" si="33"/>
        <v>SUBCPMK-CPMK0831</v>
      </c>
      <c r="H95" s="244" t="str">
        <f t="shared" si="34"/>
        <v>Mampu mengimplementasikan solusi komputasi cerdas dengan menggunakan teknologi terkini dalam mendukung pengembangan kota cerdas dan sistem pemerintahan berbasis elektronik dalam sistem pemerintahan berbasis elektronik</v>
      </c>
      <c r="I95" s="244" t="s">
        <v>313</v>
      </c>
      <c r="J95" s="244" t="str">
        <f t="shared" si="21"/>
        <v>Unjuk Kerja (Presensi)</v>
      </c>
      <c r="K95" s="244" t="str">
        <f t="shared" si="22"/>
        <v/>
      </c>
      <c r="L95" s="244" t="str">
        <f t="shared" si="23"/>
        <v/>
      </c>
      <c r="M95" s="244" t="str">
        <f t="shared" si="24"/>
        <v>Kuis / Tugas 3</v>
      </c>
      <c r="N95" s="244" t="str">
        <f t="shared" si="25"/>
        <v/>
      </c>
      <c r="O95" s="244" t="str">
        <f t="shared" si="26"/>
        <v/>
      </c>
      <c r="P95" s="244" t="str">
        <f t="shared" si="27"/>
        <v>UAS</v>
      </c>
      <c r="Q95" s="244" t="str">
        <f t="shared" si="28"/>
        <v>Unjuk Kerja (Presensi), , , Kuis / Tugas 3, , , UAS</v>
      </c>
      <c r="R95" s="249">
        <v>2</v>
      </c>
      <c r="S95" s="249"/>
      <c r="T95" s="249"/>
      <c r="U95" s="249">
        <v>4</v>
      </c>
      <c r="V95" s="249"/>
      <c r="W95" s="249"/>
      <c r="X95" s="249">
        <v>4</v>
      </c>
      <c r="Y95" s="249">
        <f t="shared" si="29"/>
        <v>10</v>
      </c>
      <c r="Z95" s="250"/>
    </row>
    <row r="96" spans="1:26" ht="54" x14ac:dyDescent="0.25">
      <c r="A96" s="245"/>
      <c r="B96" s="245"/>
      <c r="C96" s="242" t="s">
        <v>43</v>
      </c>
      <c r="D96" s="243" t="str">
        <f>VLOOKUP(C96,'CPL-MK'!$E$2:$F$12,2)</f>
        <v>Mampu mengidentifikasi, menganalisis, meneliti literatur, mengevaluasi, dan memformulasi solusi-solusi algoritmik untuk masalah computing yang kompleks</v>
      </c>
      <c r="E96" s="242" t="s">
        <v>196</v>
      </c>
      <c r="F96" s="244" t="str">
        <f>VLOOKUP(E96,'CPL-CPMK-MK'!$D$1:$E$30,2)</f>
        <v>Mampu mengidentifikasi solusi_x0002_solusi algoritmik untuk masalah computing yang kompleks.</v>
      </c>
      <c r="G96" s="244" t="str">
        <f t="shared" si="33"/>
        <v>SUBCPMK-CPMK0911</v>
      </c>
      <c r="H96" s="244" t="str">
        <f t="shared" si="34"/>
        <v>Mampu mengidentifikasi solusi_x0002_solusi algoritmik untuk masalah computing yang kompleks. dalam sistem pemerintahan berbasis elektronik</v>
      </c>
      <c r="I96" s="244" t="s">
        <v>313</v>
      </c>
      <c r="J96" s="244" t="str">
        <f t="shared" si="21"/>
        <v>Unjuk Kerja (Presensi)</v>
      </c>
      <c r="K96" s="244" t="str">
        <f t="shared" si="22"/>
        <v>Kuis / Tugas 1</v>
      </c>
      <c r="L96" s="244" t="str">
        <f t="shared" si="23"/>
        <v/>
      </c>
      <c r="M96" s="244" t="str">
        <f t="shared" si="24"/>
        <v/>
      </c>
      <c r="N96" s="244" t="str">
        <f t="shared" si="25"/>
        <v/>
      </c>
      <c r="O96" s="244" t="str">
        <f t="shared" si="26"/>
        <v/>
      </c>
      <c r="P96" s="244" t="str">
        <f t="shared" si="27"/>
        <v/>
      </c>
      <c r="Q96" s="244" t="str">
        <f t="shared" si="28"/>
        <v xml:space="preserve">Unjuk Kerja (Presensi), Kuis / Tugas 1, , , , , </v>
      </c>
      <c r="R96" s="249">
        <v>2</v>
      </c>
      <c r="S96" s="249">
        <v>8</v>
      </c>
      <c r="T96" s="249"/>
      <c r="U96" s="249"/>
      <c r="V96" s="249"/>
      <c r="W96" s="249"/>
      <c r="X96" s="249"/>
      <c r="Y96" s="249">
        <f t="shared" si="29"/>
        <v>10</v>
      </c>
      <c r="Z96" s="250"/>
    </row>
    <row r="97" spans="1:26" ht="54" x14ac:dyDescent="0.25">
      <c r="A97" s="245"/>
      <c r="B97" s="245"/>
      <c r="C97" s="242"/>
      <c r="D97" s="243" t="e">
        <f>VLOOKUP(C97,'CPL-MK'!$E$2:$F$12,2)</f>
        <v>#N/A</v>
      </c>
      <c r="E97" s="242" t="s">
        <v>197</v>
      </c>
      <c r="F97" s="244" t="str">
        <f>VLOOKUP(E97,'CPL-CPMK-MK'!$D$1:$E$30,2)</f>
        <v>Mampu meneliti literatur dalam menganalisis solusi-solusi algoritmik untuk masalah yang 
kompleks.</v>
      </c>
      <c r="G97" s="244" t="str">
        <f t="shared" si="33"/>
        <v>SUBCPMK-CPMK0921</v>
      </c>
      <c r="H97" s="244" t="str">
        <f t="shared" si="34"/>
        <v>Mampu meneliti literatur dalam menganalisis solusi-solusi algoritmik untuk masalah yang 
kompleks. dalam sistem pemerintahan berbasis elektronik</v>
      </c>
      <c r="I97" s="244" t="s">
        <v>313</v>
      </c>
      <c r="J97" s="244" t="str">
        <f t="shared" si="21"/>
        <v>Unjuk Kerja (Presensi)</v>
      </c>
      <c r="K97" s="244" t="str">
        <f t="shared" si="22"/>
        <v>Kuis / Tugas 1</v>
      </c>
      <c r="L97" s="244" t="str">
        <f t="shared" si="23"/>
        <v/>
      </c>
      <c r="M97" s="244" t="str">
        <f t="shared" si="24"/>
        <v/>
      </c>
      <c r="N97" s="244" t="str">
        <f t="shared" si="25"/>
        <v/>
      </c>
      <c r="O97" s="244" t="str">
        <f t="shared" si="26"/>
        <v/>
      </c>
      <c r="P97" s="244" t="str">
        <f t="shared" si="27"/>
        <v/>
      </c>
      <c r="Q97" s="244" t="str">
        <f t="shared" si="28"/>
        <v xml:space="preserve">Unjuk Kerja (Presensi), Kuis / Tugas 1, , , , , </v>
      </c>
      <c r="R97" s="249">
        <v>2</v>
      </c>
      <c r="S97" s="249">
        <v>8</v>
      </c>
      <c r="T97" s="249"/>
      <c r="U97" s="249"/>
      <c r="V97" s="249"/>
      <c r="W97" s="249"/>
      <c r="X97" s="249"/>
      <c r="Y97" s="249">
        <f t="shared" si="29"/>
        <v>10</v>
      </c>
      <c r="Z97" s="250"/>
    </row>
    <row r="98" spans="1:26" ht="54" x14ac:dyDescent="0.25">
      <c r="A98" s="245"/>
      <c r="B98" s="245"/>
      <c r="C98" s="242"/>
      <c r="D98" s="243" t="e">
        <f>VLOOKUP(C98,'CPL-MK'!$E$2:$F$12,2)</f>
        <v>#N/A</v>
      </c>
      <c r="E98" s="242" t="s">
        <v>198</v>
      </c>
      <c r="F98" s="244" t="str">
        <f>VLOOKUP(E98,'CPL-CPMK-MK'!$D$1:$E$30,2)</f>
        <v>Mampu mengevaluasi dan memformulasi solusi-solusi algoritmik untuk masalah yang kompleks.</v>
      </c>
      <c r="G98" s="244" t="str">
        <f t="shared" si="33"/>
        <v>SUBCPMK-CPMK0931</v>
      </c>
      <c r="H98" s="244" t="str">
        <f t="shared" si="34"/>
        <v>Mampu mengevaluasi dan memformulasi solusi-solusi algoritmik untuk masalah yang kompleks. dalam sistem pemerintahan berbasis elektronik</v>
      </c>
      <c r="I98" s="244" t="s">
        <v>313</v>
      </c>
      <c r="J98" s="244" t="str">
        <f t="shared" si="21"/>
        <v>Unjuk Kerja (Presensi)</v>
      </c>
      <c r="K98" s="244" t="str">
        <f t="shared" si="22"/>
        <v/>
      </c>
      <c r="L98" s="244" t="str">
        <f t="shared" si="23"/>
        <v>Kuis / Tugas 2</v>
      </c>
      <c r="M98" s="244" t="str">
        <f t="shared" si="24"/>
        <v/>
      </c>
      <c r="N98" s="244" t="str">
        <f t="shared" si="25"/>
        <v/>
      </c>
      <c r="O98" s="244" t="str">
        <f t="shared" si="26"/>
        <v>UTS</v>
      </c>
      <c r="P98" s="244" t="str">
        <f t="shared" si="27"/>
        <v/>
      </c>
      <c r="Q98" s="244" t="str">
        <f t="shared" si="28"/>
        <v xml:space="preserve">Unjuk Kerja (Presensi), , Kuis / Tugas 2, , , UTS, </v>
      </c>
      <c r="R98" s="249">
        <v>2</v>
      </c>
      <c r="S98" s="249"/>
      <c r="T98" s="249">
        <v>4</v>
      </c>
      <c r="U98" s="249"/>
      <c r="V98" s="249"/>
      <c r="W98" s="249">
        <v>4</v>
      </c>
      <c r="X98" s="249"/>
      <c r="Y98" s="249">
        <f t="shared" si="29"/>
        <v>10</v>
      </c>
      <c r="Z98" s="250"/>
    </row>
    <row r="99" spans="1:26" ht="54" x14ac:dyDescent="0.25">
      <c r="A99" s="245"/>
      <c r="B99" s="245"/>
      <c r="C99" s="242" t="s">
        <v>44</v>
      </c>
      <c r="D99" s="243" t="str">
        <f>VLOOKUP(C99,'CPL-MK'!$E$2:$F$12,2)</f>
        <v>Mampu menerapkan prinsip-prinsip matematika, computing, dan disiplin ilmu yang relevan untuk merumuskan solusi bagi persoalan computing yang kompleks</v>
      </c>
      <c r="E99" s="242" t="s">
        <v>199</v>
      </c>
      <c r="F99" s="244" t="str">
        <f>VLOOKUP(E99,'CPL-CPMK-MK'!$D$1:$E$30,2)</f>
        <v>Mampu menerapkan prinsip_x0002_prinsip matematika, computing, dan disiplin ilmu yang relevan untuk mendukung analisis data.</v>
      </c>
      <c r="G99" s="244" t="str">
        <f t="shared" si="33"/>
        <v>SUBCPMK-CPMK1011</v>
      </c>
      <c r="H99" s="244" t="str">
        <f t="shared" si="34"/>
        <v>Mampu menerapkan prinsip_x0002_prinsip matematika, computing, dan disiplin ilmu yang relevan untuk mendukung analisis data. dalam sistem pemerintahan berbasis elektronik</v>
      </c>
      <c r="I99" s="244" t="s">
        <v>313</v>
      </c>
      <c r="J99" s="244" t="str">
        <f t="shared" si="21"/>
        <v>Unjuk Kerja (Presensi)</v>
      </c>
      <c r="K99" s="244" t="str">
        <f t="shared" si="22"/>
        <v/>
      </c>
      <c r="L99" s="244" t="str">
        <f t="shared" si="23"/>
        <v/>
      </c>
      <c r="M99" s="244" t="str">
        <f t="shared" si="24"/>
        <v>Kuis / Tugas 3</v>
      </c>
      <c r="N99" s="244" t="str">
        <f t="shared" si="25"/>
        <v/>
      </c>
      <c r="O99" s="244" t="str">
        <f t="shared" si="26"/>
        <v/>
      </c>
      <c r="P99" s="244" t="str">
        <f t="shared" si="27"/>
        <v/>
      </c>
      <c r="Q99" s="244" t="str">
        <f t="shared" si="28"/>
        <v xml:space="preserve">Unjuk Kerja (Presensi), , , Kuis / Tugas 3, , , </v>
      </c>
      <c r="R99" s="249">
        <v>2</v>
      </c>
      <c r="S99" s="249"/>
      <c r="T99" s="249"/>
      <c r="U99" s="249">
        <v>8</v>
      </c>
      <c r="V99" s="249"/>
      <c r="W99" s="249"/>
      <c r="X99" s="249"/>
      <c r="Y99" s="249">
        <f t="shared" si="29"/>
        <v>10</v>
      </c>
      <c r="Z99" s="250"/>
    </row>
    <row r="100" spans="1:26" ht="54" x14ac:dyDescent="0.25">
      <c r="A100" s="245"/>
      <c r="B100" s="245"/>
      <c r="C100" s="242"/>
      <c r="D100" s="243" t="e">
        <f>VLOOKUP(C100,'CPL-MK'!$E$2:$F$12,2)</f>
        <v>#N/A</v>
      </c>
      <c r="E100" s="242" t="s">
        <v>200</v>
      </c>
      <c r="F100" s="244" t="str">
        <f>VLOOKUP(E100,'CPL-CPMK-MK'!$D$1:$E$30,2)</f>
        <v>Mampu merumuskan solusi bagi bidang computing yang kompleks</v>
      </c>
      <c r="G100" s="244" t="str">
        <f t="shared" si="33"/>
        <v>SUBCPMK-CPMK1021</v>
      </c>
      <c r="H100" s="244" t="str">
        <f t="shared" si="34"/>
        <v>Mampu merumuskan solusi bagi bidang computing yang kompleks dalam sistem pemerintahan berbasis elektronik</v>
      </c>
      <c r="I100" s="244" t="s">
        <v>313</v>
      </c>
      <c r="J100" s="244" t="str">
        <f t="shared" si="21"/>
        <v>Unjuk Kerja (Presensi)</v>
      </c>
      <c r="K100" s="244" t="str">
        <f t="shared" si="22"/>
        <v/>
      </c>
      <c r="L100" s="244" t="str">
        <f t="shared" si="23"/>
        <v/>
      </c>
      <c r="M100" s="244" t="str">
        <f t="shared" si="24"/>
        <v/>
      </c>
      <c r="N100" s="244" t="str">
        <f t="shared" si="25"/>
        <v>Kuis / Tugas 4</v>
      </c>
      <c r="O100" s="244" t="str">
        <f t="shared" si="26"/>
        <v/>
      </c>
      <c r="P100" s="244" t="str">
        <f t="shared" si="27"/>
        <v>UAS</v>
      </c>
      <c r="Q100" s="244" t="str">
        <f t="shared" si="28"/>
        <v>Unjuk Kerja (Presensi), , , , Kuis / Tugas 4, , UAS</v>
      </c>
      <c r="R100" s="249">
        <v>2</v>
      </c>
      <c r="S100" s="249"/>
      <c r="T100" s="249"/>
      <c r="U100" s="249"/>
      <c r="V100" s="249">
        <v>4</v>
      </c>
      <c r="W100" s="249"/>
      <c r="X100" s="249">
        <v>4</v>
      </c>
      <c r="Y100" s="249">
        <f t="shared" si="29"/>
        <v>10</v>
      </c>
      <c r="Z100" s="250"/>
    </row>
    <row r="101" spans="1:26" ht="54" x14ac:dyDescent="0.25">
      <c r="A101" s="245"/>
      <c r="B101" s="245"/>
      <c r="C101" s="242" t="s">
        <v>45</v>
      </c>
      <c r="D101" s="243" t="str">
        <f>VLOOKUP(C101,'CPL-MK'!$E$2:$F$12,2)</f>
        <v>Mampu memodelkan sistem yang kompleks dan membangun solusi berbasis computing yang efektif dan efisien</v>
      </c>
      <c r="E101" s="242" t="s">
        <v>201</v>
      </c>
      <c r="F101" s="244" t="str">
        <f>VLOOKUP(E101,'CPL-CPMK-MK'!$D$1:$E$30,2)</f>
        <v>Mampu merancang sistem yang kompleks dalam bidang computing.</v>
      </c>
      <c r="G101" s="244" t="str">
        <f t="shared" si="33"/>
        <v>SUBCPMK-CPMK1111</v>
      </c>
      <c r="H101" s="244" t="str">
        <f t="shared" si="34"/>
        <v>Mampu merancang sistem yang kompleks dalam bidang computing. dalam sistem pemerintahan berbasis elektronik</v>
      </c>
      <c r="I101" s="244" t="s">
        <v>313</v>
      </c>
      <c r="J101" s="244" t="str">
        <f t="shared" si="21"/>
        <v>Unjuk Kerja (Presensi)</v>
      </c>
      <c r="K101" s="244" t="str">
        <f t="shared" si="22"/>
        <v/>
      </c>
      <c r="L101" s="244" t="str">
        <f t="shared" si="23"/>
        <v/>
      </c>
      <c r="M101" s="244" t="str">
        <f t="shared" si="24"/>
        <v>Kuis / Tugas 3</v>
      </c>
      <c r="N101" s="244" t="str">
        <f t="shared" si="25"/>
        <v>Kuis / Tugas 4</v>
      </c>
      <c r="O101" s="244" t="str">
        <f t="shared" si="26"/>
        <v>UTS</v>
      </c>
      <c r="P101" s="244" t="str">
        <f t="shared" si="27"/>
        <v>UAS</v>
      </c>
      <c r="Q101" s="244" t="str">
        <f t="shared" si="28"/>
        <v>Unjuk Kerja (Presensi), , , Kuis / Tugas 3, Kuis / Tugas 4, UTS, UAS</v>
      </c>
      <c r="R101" s="249">
        <v>2</v>
      </c>
      <c r="S101" s="249"/>
      <c r="T101" s="249"/>
      <c r="U101" s="249">
        <v>2</v>
      </c>
      <c r="V101" s="249">
        <v>2</v>
      </c>
      <c r="W101" s="249">
        <v>2</v>
      </c>
      <c r="X101" s="249">
        <v>2</v>
      </c>
      <c r="Y101" s="249">
        <f t="shared" si="29"/>
        <v>10</v>
      </c>
      <c r="Z101" s="250"/>
    </row>
    <row r="102" spans="1:26" ht="54" x14ac:dyDescent="0.25">
      <c r="A102" s="245"/>
      <c r="B102" s="245"/>
      <c r="C102" s="242"/>
      <c r="D102" s="243" t="e">
        <f>VLOOKUP(C102,'CPL-MK'!$E$2:$F$12,2)</f>
        <v>#N/A</v>
      </c>
      <c r="E102" s="242" t="s">
        <v>202</v>
      </c>
      <c r="F102" s="244" t="str">
        <f>VLOOKUP(E102,'CPL-CPMK-MK'!$D$1:$E$30,2)</f>
        <v>Mampu membangun solusi berbasis computing yang efektif dan efisien</v>
      </c>
      <c r="G102" s="244" t="str">
        <f t="shared" si="33"/>
        <v>SUBCPMK-CPMK1121</v>
      </c>
      <c r="H102" s="244" t="str">
        <f t="shared" si="34"/>
        <v>Mampu membangun solusi berbasis computing yang efektif dan efisien dalam sistem pemerintahan berbasis elektronik</v>
      </c>
      <c r="I102" s="244" t="s">
        <v>313</v>
      </c>
      <c r="J102" s="244" t="str">
        <f t="shared" si="21"/>
        <v>Unjuk Kerja (Presensi)</v>
      </c>
      <c r="K102" s="244" t="str">
        <f t="shared" si="22"/>
        <v/>
      </c>
      <c r="L102" s="244" t="str">
        <f t="shared" si="23"/>
        <v/>
      </c>
      <c r="M102" s="244" t="str">
        <f t="shared" si="24"/>
        <v/>
      </c>
      <c r="N102" s="244" t="str">
        <f t="shared" si="25"/>
        <v>Kuis / Tugas 4</v>
      </c>
      <c r="O102" s="244" t="str">
        <f t="shared" si="26"/>
        <v/>
      </c>
      <c r="P102" s="244" t="str">
        <f t="shared" si="27"/>
        <v>UAS</v>
      </c>
      <c r="Q102" s="244" t="str">
        <f t="shared" si="28"/>
        <v>Unjuk Kerja (Presensi), , , , Kuis / Tugas 4, , UAS</v>
      </c>
      <c r="R102" s="249">
        <v>2</v>
      </c>
      <c r="S102" s="249"/>
      <c r="T102" s="249"/>
      <c r="U102" s="249"/>
      <c r="V102" s="249">
        <v>4</v>
      </c>
      <c r="W102" s="249"/>
      <c r="X102" s="249">
        <v>4</v>
      </c>
      <c r="Y102" s="249">
        <f t="shared" si="29"/>
        <v>10</v>
      </c>
      <c r="Z102" s="250">
        <f>SUM(Y93:Y102)</f>
        <v>100</v>
      </c>
    </row>
    <row r="103" spans="1:26" ht="81" x14ac:dyDescent="0.25">
      <c r="A103" s="240" t="s">
        <v>126</v>
      </c>
      <c r="B103" s="241" t="s">
        <v>127</v>
      </c>
      <c r="C103" s="242" t="s">
        <v>27</v>
      </c>
      <c r="D103" s="243" t="str">
        <f>VLOOKUP(C103,'CPL-MK'!$E$2:$F$12,2)</f>
        <v>Memiliki kemampuan menganalisa, mengevaluasi, dan membuat keputusan berbasis kinerja solusi komputasi cerdas untuk mendukung layanan publik dan ekonomi digital</v>
      </c>
      <c r="E103" s="242" t="s">
        <v>165</v>
      </c>
      <c r="F103" s="244" t="str">
        <f>VLOOKUP(E103,'CPL-CPMK-MK'!$D$1:$E$30,2)</f>
        <v>Memiliki kemampuan menganalisa berbasis kinerja solusi komputasi cerdas untuk mendukung layanan publik dan ekonomi digital</v>
      </c>
      <c r="G103" s="244" t="str">
        <f t="shared" si="33"/>
        <v>SUBCPMK-CPMK0511</v>
      </c>
      <c r="H103" s="244" t="str">
        <f>CONCATENATE(F103, " dalam ",LOWER($B$103))</f>
        <v>Memiliki kemampuan menganalisa berbasis kinerja solusi komputasi cerdas untuk mendukung layanan publik dan ekonomi digital dalam manajemen proyek teknologi informasi</v>
      </c>
      <c r="I103" s="244" t="s">
        <v>313</v>
      </c>
      <c r="J103" s="244" t="str">
        <f t="shared" si="21"/>
        <v>Unjuk Kerja (Presensi)</v>
      </c>
      <c r="K103" s="244" t="str">
        <f t="shared" si="22"/>
        <v>Kuis / Tugas 1</v>
      </c>
      <c r="L103" s="244" t="str">
        <f t="shared" si="23"/>
        <v>Kuis / Tugas 2</v>
      </c>
      <c r="M103" s="244" t="str">
        <f t="shared" si="24"/>
        <v>Kuis / Tugas 3</v>
      </c>
      <c r="N103" s="244" t="str">
        <f t="shared" si="25"/>
        <v/>
      </c>
      <c r="O103" s="244" t="str">
        <f t="shared" si="26"/>
        <v>UTS</v>
      </c>
      <c r="P103" s="244" t="str">
        <f t="shared" si="27"/>
        <v>UAS</v>
      </c>
      <c r="Q103" s="244" t="str">
        <f t="shared" si="28"/>
        <v>Unjuk Kerja (Presensi), Kuis / Tugas 1, Kuis / Tugas 2, Kuis / Tugas 3, , UTS, UAS</v>
      </c>
      <c r="R103" s="251">
        <v>2</v>
      </c>
      <c r="S103" s="251">
        <v>2</v>
      </c>
      <c r="T103" s="251">
        <v>2</v>
      </c>
      <c r="U103" s="251">
        <v>2</v>
      </c>
      <c r="V103" s="251"/>
      <c r="W103" s="251">
        <v>2</v>
      </c>
      <c r="X103" s="251">
        <v>3</v>
      </c>
      <c r="Y103" s="249">
        <f t="shared" si="29"/>
        <v>13</v>
      </c>
      <c r="Z103" s="250"/>
    </row>
    <row r="104" spans="1:26" ht="67.5" x14ac:dyDescent="0.25">
      <c r="A104" s="240"/>
      <c r="B104" s="241"/>
      <c r="C104" s="242"/>
      <c r="D104" s="243" t="e">
        <f>VLOOKUP(C104,'CPL-MK'!$E$2:$F$12,2)</f>
        <v>#N/A</v>
      </c>
      <c r="E104" s="242" t="s">
        <v>167</v>
      </c>
      <c r="F104" s="244" t="str">
        <f>VLOOKUP(E104,'CPL-CPMK-MK'!$D$1:$E$30,2)</f>
        <v>Memiliki kemampuan mengevaluasi berbasis kinerja solusi komputasi cerdas untuk mendukung layanan publik dan ekonomi digital</v>
      </c>
      <c r="G104" s="244" t="str">
        <f t="shared" si="33"/>
        <v>SUBCPMK-CPMK0521</v>
      </c>
      <c r="H104" s="244" t="str">
        <f t="shared" ref="H104:H111" si="35">CONCATENATE(F104, " dalam ",LOWER($B$103))</f>
        <v>Memiliki kemampuan mengevaluasi berbasis kinerja solusi komputasi cerdas untuk mendukung layanan publik dan ekonomi digital dalam manajemen proyek teknologi informasi</v>
      </c>
      <c r="I104" s="244" t="s">
        <v>313</v>
      </c>
      <c r="J104" s="244" t="str">
        <f t="shared" si="21"/>
        <v>Unjuk Kerja (Presensi)</v>
      </c>
      <c r="K104" s="244" t="str">
        <f t="shared" si="22"/>
        <v/>
      </c>
      <c r="L104" s="244" t="str">
        <f t="shared" si="23"/>
        <v>Kuis / Tugas 2</v>
      </c>
      <c r="M104" s="244" t="str">
        <f t="shared" si="24"/>
        <v>Kuis / Tugas 3</v>
      </c>
      <c r="N104" s="244" t="str">
        <f t="shared" si="25"/>
        <v/>
      </c>
      <c r="O104" s="244" t="str">
        <f t="shared" si="26"/>
        <v>UTS</v>
      </c>
      <c r="P104" s="244" t="str">
        <f t="shared" si="27"/>
        <v>UAS</v>
      </c>
      <c r="Q104" s="244" t="str">
        <f t="shared" si="28"/>
        <v>Unjuk Kerja (Presensi), , Kuis / Tugas 2, Kuis / Tugas 3, , UTS, UAS</v>
      </c>
      <c r="R104" s="251">
        <v>2</v>
      </c>
      <c r="S104" s="251"/>
      <c r="T104" s="251">
        <v>2</v>
      </c>
      <c r="U104" s="251">
        <v>2</v>
      </c>
      <c r="V104" s="251"/>
      <c r="W104" s="251">
        <v>3</v>
      </c>
      <c r="X104" s="251">
        <v>4</v>
      </c>
      <c r="Y104" s="249">
        <f t="shared" si="29"/>
        <v>13</v>
      </c>
      <c r="Z104" s="250"/>
    </row>
    <row r="105" spans="1:26" ht="67.5" x14ac:dyDescent="0.25">
      <c r="A105" s="240"/>
      <c r="B105" s="241"/>
      <c r="C105" s="242"/>
      <c r="D105" s="243" t="e">
        <f>VLOOKUP(C105,'CPL-MK'!$E$2:$F$12,2)</f>
        <v>#N/A</v>
      </c>
      <c r="E105" s="242" t="s">
        <v>169</v>
      </c>
      <c r="F105" s="244" t="str">
        <f>VLOOKUP(E105,'CPL-CPMK-MK'!$D$1:$E$30,2)</f>
        <v>Memiliki kemampuan membuat keputusan berbasis kinerja solusi komputasi cerdas untuk mendukung layanan publik dan ekonomi digital</v>
      </c>
      <c r="G105" s="244" t="str">
        <f t="shared" si="33"/>
        <v>SUBCPMK-CPMK0531</v>
      </c>
      <c r="H105" s="244" t="str">
        <f t="shared" si="35"/>
        <v>Memiliki kemampuan membuat keputusan berbasis kinerja solusi komputasi cerdas untuk mendukung layanan publik dan ekonomi digital dalam manajemen proyek teknologi informasi</v>
      </c>
      <c r="I105" s="244" t="s">
        <v>313</v>
      </c>
      <c r="J105" s="244" t="str">
        <f t="shared" si="21"/>
        <v>Unjuk Kerja (Presensi)</v>
      </c>
      <c r="K105" s="244" t="str">
        <f t="shared" si="22"/>
        <v/>
      </c>
      <c r="L105" s="244" t="str">
        <f t="shared" si="23"/>
        <v>Kuis / Tugas 2</v>
      </c>
      <c r="M105" s="244" t="str">
        <f t="shared" si="24"/>
        <v>Kuis / Tugas 3</v>
      </c>
      <c r="N105" s="244" t="str">
        <f t="shared" si="25"/>
        <v/>
      </c>
      <c r="O105" s="244" t="str">
        <f t="shared" si="26"/>
        <v>UTS</v>
      </c>
      <c r="P105" s="244" t="str">
        <f t="shared" si="27"/>
        <v>UAS</v>
      </c>
      <c r="Q105" s="244" t="str">
        <f t="shared" si="28"/>
        <v>Unjuk Kerja (Presensi), , Kuis / Tugas 2, Kuis / Tugas 3, , UTS, UAS</v>
      </c>
      <c r="R105" s="251">
        <v>2</v>
      </c>
      <c r="S105" s="251"/>
      <c r="T105" s="251">
        <v>2</v>
      </c>
      <c r="U105" s="251">
        <v>2</v>
      </c>
      <c r="V105" s="251"/>
      <c r="W105" s="251">
        <v>3</v>
      </c>
      <c r="X105" s="251">
        <v>4</v>
      </c>
      <c r="Y105" s="249">
        <f t="shared" si="29"/>
        <v>13</v>
      </c>
      <c r="Z105" s="250"/>
    </row>
    <row r="106" spans="1:26" ht="67.5" x14ac:dyDescent="0.25">
      <c r="A106" s="245"/>
      <c r="B106" s="245"/>
      <c r="C106" s="242" t="s">
        <v>30</v>
      </c>
      <c r="D106" s="243" t="str">
        <f>VLOOKUP(C106,'CPL-MK'!$E$2:$F$12,2)</f>
        <v>Memiliki pemahaman yang mendalam, menganalisis, dan mengevaluasi tentang solusi komputasi cerdas dengan sistem dan infrastruktur yang ada termasuk pertimbangan keamanan sistem informasi untuk mendukung layanan publik dan ekonomi digital</v>
      </c>
      <c r="E106" s="242" t="s">
        <v>171</v>
      </c>
      <c r="F106" s="244" t="str">
        <f>VLOOKUP(E106,'CPL-CPMK-MK'!$D$1:$E$30,2)</f>
        <v>Memiliki pemahaman yang mendalam tentang solusi komputasi cerdas dengan sistem dan infrastruktur yang ada termasuk pertimbangan keamanan sistem informasi untuk mendukung layanan publik dan ekonomi digital</v>
      </c>
      <c r="G106" s="244" t="str">
        <f t="shared" si="33"/>
        <v>SUBCPMK-CPMK0611</v>
      </c>
      <c r="H106" s="244" t="str">
        <f t="shared" si="35"/>
        <v>Memiliki pemahaman yang mendalam tentang solusi komputasi cerdas dengan sistem dan infrastruktur yang ada termasuk pertimbangan keamanan sistem informasi untuk mendukung layanan publik dan ekonomi digital dalam manajemen proyek teknologi informasi</v>
      </c>
      <c r="I106" s="244" t="s">
        <v>313</v>
      </c>
      <c r="J106" s="244" t="str">
        <f t="shared" si="21"/>
        <v>Unjuk Kerja (Presensi)</v>
      </c>
      <c r="K106" s="244" t="str">
        <f t="shared" si="22"/>
        <v>Kuis / Tugas 1</v>
      </c>
      <c r="L106" s="244" t="str">
        <f t="shared" si="23"/>
        <v>Kuis / Tugas 2</v>
      </c>
      <c r="M106" s="244" t="str">
        <f t="shared" si="24"/>
        <v/>
      </c>
      <c r="N106" s="244" t="str">
        <f t="shared" si="25"/>
        <v/>
      </c>
      <c r="O106" s="244" t="str">
        <f t="shared" si="26"/>
        <v>UTS</v>
      </c>
      <c r="P106" s="244" t="str">
        <f t="shared" si="27"/>
        <v>UAS</v>
      </c>
      <c r="Q106" s="244" t="str">
        <f t="shared" si="28"/>
        <v>Unjuk Kerja (Presensi), Kuis / Tugas 1, Kuis / Tugas 2, , , UTS, UAS</v>
      </c>
      <c r="R106" s="251">
        <v>2</v>
      </c>
      <c r="S106" s="251">
        <v>2</v>
      </c>
      <c r="T106" s="251">
        <v>2</v>
      </c>
      <c r="U106" s="251"/>
      <c r="V106" s="251"/>
      <c r="W106" s="251">
        <v>3</v>
      </c>
      <c r="X106" s="251">
        <v>4</v>
      </c>
      <c r="Y106" s="249">
        <f t="shared" si="29"/>
        <v>13</v>
      </c>
      <c r="Z106" s="250"/>
    </row>
    <row r="107" spans="1:26" ht="81" x14ac:dyDescent="0.25">
      <c r="A107" s="245"/>
      <c r="B107" s="245"/>
      <c r="C107" s="242"/>
      <c r="D107" s="243" t="e">
        <f>VLOOKUP(C107,'CPL-MK'!$E$2:$F$12,2)</f>
        <v>#N/A</v>
      </c>
      <c r="E107" s="242" t="s">
        <v>173</v>
      </c>
      <c r="F107" s="244" t="str">
        <f>VLOOKUP(E107,'CPL-CPMK-MK'!$D$1:$E$30,2)</f>
        <v>Memiliki kemampuan menganalisis yang mendalam tentang solusi komputasi cerdas dengan sistem dan infrastruktur yang ada termasuk pertimbangan keamanan sistem informasi untuk mendukung layanan publik dan ekonomi digital</v>
      </c>
      <c r="G107" s="244" t="str">
        <f t="shared" si="33"/>
        <v>SUBCPMK-CPMK0621</v>
      </c>
      <c r="H107" s="244" t="str">
        <f t="shared" si="35"/>
        <v>Memiliki kemampuan menganalisis yang mendalam tentang solusi komputasi cerdas dengan sistem dan infrastruktur yang ada termasuk pertimbangan keamanan sistem informasi untuk mendukung layanan publik dan ekonomi digital dalam manajemen proyek teknologi informasi</v>
      </c>
      <c r="I107" s="244" t="s">
        <v>313</v>
      </c>
      <c r="J107" s="244" t="str">
        <f t="shared" si="21"/>
        <v>Unjuk Kerja (Presensi)</v>
      </c>
      <c r="K107" s="244" t="str">
        <f t="shared" si="22"/>
        <v>Kuis / Tugas 1</v>
      </c>
      <c r="L107" s="244" t="str">
        <f t="shared" si="23"/>
        <v>Kuis / Tugas 2</v>
      </c>
      <c r="M107" s="244" t="str">
        <f t="shared" si="24"/>
        <v>Kuis / Tugas 3</v>
      </c>
      <c r="N107" s="244" t="str">
        <f t="shared" si="25"/>
        <v/>
      </c>
      <c r="O107" s="244" t="str">
        <f t="shared" si="26"/>
        <v>UTS</v>
      </c>
      <c r="P107" s="244" t="str">
        <f t="shared" si="27"/>
        <v>UAS</v>
      </c>
      <c r="Q107" s="244" t="str">
        <f t="shared" si="28"/>
        <v>Unjuk Kerja (Presensi), Kuis / Tugas 1, Kuis / Tugas 2, Kuis / Tugas 3, , UTS, UAS</v>
      </c>
      <c r="R107" s="251">
        <v>2</v>
      </c>
      <c r="S107" s="251">
        <v>2</v>
      </c>
      <c r="T107" s="251">
        <v>2</v>
      </c>
      <c r="U107" s="251">
        <v>2</v>
      </c>
      <c r="V107" s="251"/>
      <c r="W107" s="251">
        <v>2</v>
      </c>
      <c r="X107" s="251">
        <v>3</v>
      </c>
      <c r="Y107" s="249">
        <f t="shared" si="29"/>
        <v>13</v>
      </c>
      <c r="Z107" s="250"/>
    </row>
    <row r="108" spans="1:26" ht="81" x14ac:dyDescent="0.25">
      <c r="A108" s="245"/>
      <c r="B108" s="245"/>
      <c r="C108" s="242"/>
      <c r="D108" s="243" t="e">
        <f>VLOOKUP(C108,'CPL-MK'!$E$2:$F$12,2)</f>
        <v>#N/A</v>
      </c>
      <c r="E108" s="242" t="s">
        <v>175</v>
      </c>
      <c r="F108" s="244" t="str">
        <f>VLOOKUP(E108,'CPL-CPMK-MK'!$D$1:$E$30,2)</f>
        <v>Memiliki kemampuan mengevaluasi yang mendalam tentang solusi komputasi cerdas dengan sistem dan infrastruktur yang ada termasuk pertimbangan keamanan sistem informasi untuk mendukung layanan publik dan ekonomi digital</v>
      </c>
      <c r="G108" s="244" t="str">
        <f t="shared" si="33"/>
        <v>SUBCPMK-CPMK0631</v>
      </c>
      <c r="H108" s="244" t="str">
        <f t="shared" si="35"/>
        <v>Memiliki kemampuan mengevaluasi yang mendalam tentang solusi komputasi cerdas dengan sistem dan infrastruktur yang ada termasuk pertimbangan keamanan sistem informasi untuk mendukung layanan publik dan ekonomi digital dalam manajemen proyek teknologi informasi</v>
      </c>
      <c r="I108" s="244" t="s">
        <v>313</v>
      </c>
      <c r="J108" s="244" t="str">
        <f t="shared" si="21"/>
        <v>Unjuk Kerja (Presensi)</v>
      </c>
      <c r="K108" s="244" t="str">
        <f t="shared" si="22"/>
        <v>Kuis / Tugas 1</v>
      </c>
      <c r="L108" s="244" t="str">
        <f t="shared" si="23"/>
        <v>Kuis / Tugas 2</v>
      </c>
      <c r="M108" s="244" t="str">
        <f t="shared" si="24"/>
        <v>Kuis / Tugas 3</v>
      </c>
      <c r="N108" s="244" t="str">
        <f t="shared" si="25"/>
        <v/>
      </c>
      <c r="O108" s="244" t="str">
        <f t="shared" si="26"/>
        <v>UTS</v>
      </c>
      <c r="P108" s="244" t="str">
        <f t="shared" si="27"/>
        <v>UAS</v>
      </c>
      <c r="Q108" s="244" t="str">
        <f t="shared" si="28"/>
        <v>Unjuk Kerja (Presensi), Kuis / Tugas 1, Kuis / Tugas 2, Kuis / Tugas 3, , UTS, UAS</v>
      </c>
      <c r="R108" s="251">
        <v>2</v>
      </c>
      <c r="S108" s="251">
        <v>2</v>
      </c>
      <c r="T108" s="251">
        <v>2</v>
      </c>
      <c r="U108" s="251">
        <v>2</v>
      </c>
      <c r="V108" s="251"/>
      <c r="W108" s="251">
        <v>2</v>
      </c>
      <c r="X108" s="251">
        <v>3</v>
      </c>
      <c r="Y108" s="249">
        <f t="shared" si="29"/>
        <v>13</v>
      </c>
      <c r="Z108" s="250"/>
    </row>
    <row r="109" spans="1:26" ht="54" x14ac:dyDescent="0.25">
      <c r="A109" s="245"/>
      <c r="B109" s="245"/>
      <c r="C109" s="242" t="s">
        <v>43</v>
      </c>
      <c r="D109" s="243" t="str">
        <f>VLOOKUP(C109,'CPL-MK'!$E$2:$F$12,2)</f>
        <v>Mampu mengidentifikasi, menganalisis, meneliti literatur, mengevaluasi, dan memformulasi solusi-solusi algoritmik untuk masalah computing yang kompleks</v>
      </c>
      <c r="E109" s="242" t="s">
        <v>196</v>
      </c>
      <c r="F109" s="244" t="str">
        <f>VLOOKUP(E109,'CPL-CPMK-MK'!$D$1:$E$30,2)</f>
        <v>Mampu mengidentifikasi solusi_x0002_solusi algoritmik untuk masalah computing yang kompleks.</v>
      </c>
      <c r="G109" s="244" t="str">
        <f t="shared" si="33"/>
        <v>SUBCPMK-CPMK0911</v>
      </c>
      <c r="H109" s="244" t="str">
        <f t="shared" si="35"/>
        <v>Mampu mengidentifikasi solusi_x0002_solusi algoritmik untuk masalah computing yang kompleks. dalam manajemen proyek teknologi informasi</v>
      </c>
      <c r="I109" s="244" t="s">
        <v>313</v>
      </c>
      <c r="J109" s="244" t="str">
        <f t="shared" si="21"/>
        <v>Unjuk Kerja (Presensi)</v>
      </c>
      <c r="K109" s="244" t="str">
        <f t="shared" si="22"/>
        <v>Kuis / Tugas 1</v>
      </c>
      <c r="L109" s="244" t="str">
        <f t="shared" si="23"/>
        <v/>
      </c>
      <c r="M109" s="244" t="str">
        <f t="shared" si="24"/>
        <v/>
      </c>
      <c r="N109" s="244" t="str">
        <f t="shared" si="25"/>
        <v/>
      </c>
      <c r="O109" s="244" t="str">
        <f t="shared" si="26"/>
        <v/>
      </c>
      <c r="P109" s="244" t="str">
        <f t="shared" si="27"/>
        <v>UAS</v>
      </c>
      <c r="Q109" s="244" t="str">
        <f t="shared" si="28"/>
        <v>Unjuk Kerja (Presensi), Kuis / Tugas 1, , , , , UAS</v>
      </c>
      <c r="R109" s="251">
        <v>2</v>
      </c>
      <c r="S109" s="251">
        <v>2</v>
      </c>
      <c r="T109" s="251"/>
      <c r="U109" s="251"/>
      <c r="V109" s="251"/>
      <c r="W109" s="251"/>
      <c r="X109" s="251">
        <v>3</v>
      </c>
      <c r="Y109" s="249">
        <f t="shared" si="29"/>
        <v>7</v>
      </c>
      <c r="Z109" s="250"/>
    </row>
    <row r="110" spans="1:26" ht="54" x14ac:dyDescent="0.25">
      <c r="A110" s="245"/>
      <c r="B110" s="245"/>
      <c r="C110" s="242"/>
      <c r="D110" s="243" t="e">
        <f>VLOOKUP(C110,'CPL-MK'!$E$2:$F$12,2)</f>
        <v>#N/A</v>
      </c>
      <c r="E110" s="242" t="s">
        <v>197</v>
      </c>
      <c r="F110" s="244" t="str">
        <f>VLOOKUP(E110,'CPL-CPMK-MK'!$D$1:$E$30,2)</f>
        <v>Mampu meneliti literatur dalam menganalisis solusi-solusi algoritmik untuk masalah yang 
kompleks.</v>
      </c>
      <c r="G110" s="244" t="str">
        <f t="shared" si="33"/>
        <v>SUBCPMK-CPMK0921</v>
      </c>
      <c r="H110" s="244" t="str">
        <f t="shared" si="35"/>
        <v>Mampu meneliti literatur dalam menganalisis solusi-solusi algoritmik untuk masalah yang 
kompleks. dalam manajemen proyek teknologi informasi</v>
      </c>
      <c r="I110" s="244" t="s">
        <v>313</v>
      </c>
      <c r="J110" s="244" t="str">
        <f t="shared" si="21"/>
        <v>Unjuk Kerja (Presensi)</v>
      </c>
      <c r="K110" s="244" t="str">
        <f t="shared" si="22"/>
        <v>Kuis / Tugas 1</v>
      </c>
      <c r="L110" s="244" t="str">
        <f t="shared" si="23"/>
        <v/>
      </c>
      <c r="M110" s="244" t="str">
        <f t="shared" si="24"/>
        <v/>
      </c>
      <c r="N110" s="244" t="str">
        <f t="shared" si="25"/>
        <v/>
      </c>
      <c r="O110" s="244" t="str">
        <f t="shared" si="26"/>
        <v/>
      </c>
      <c r="P110" s="244" t="str">
        <f t="shared" si="27"/>
        <v>UAS</v>
      </c>
      <c r="Q110" s="244" t="str">
        <f t="shared" si="28"/>
        <v>Unjuk Kerja (Presensi), Kuis / Tugas 1, , , , , UAS</v>
      </c>
      <c r="R110" s="251">
        <v>2</v>
      </c>
      <c r="S110" s="251">
        <v>2</v>
      </c>
      <c r="T110" s="251"/>
      <c r="U110" s="251"/>
      <c r="V110" s="251"/>
      <c r="W110" s="251"/>
      <c r="X110" s="251">
        <v>3</v>
      </c>
      <c r="Y110" s="249">
        <f t="shared" si="29"/>
        <v>7</v>
      </c>
      <c r="Z110" s="250"/>
    </row>
    <row r="111" spans="1:26" ht="54" x14ac:dyDescent="0.25">
      <c r="A111" s="245"/>
      <c r="B111" s="245"/>
      <c r="C111" s="242"/>
      <c r="D111" s="243" t="e">
        <f>VLOOKUP(C111,'CPL-MK'!$E$2:$F$12,2)</f>
        <v>#N/A</v>
      </c>
      <c r="E111" s="242" t="s">
        <v>198</v>
      </c>
      <c r="F111" s="244" t="str">
        <f>VLOOKUP(E111,'CPL-CPMK-MK'!$D$1:$E$30,2)</f>
        <v>Mampu mengevaluasi dan memformulasi solusi-solusi algoritmik untuk masalah yang kompleks.</v>
      </c>
      <c r="G111" s="244" t="str">
        <f t="shared" si="33"/>
        <v>SUBCPMK-CPMK0931</v>
      </c>
      <c r="H111" s="244" t="str">
        <f t="shared" si="35"/>
        <v>Mampu mengevaluasi dan memformulasi solusi-solusi algoritmik untuk masalah yang kompleks. dalam manajemen proyek teknologi informasi</v>
      </c>
      <c r="I111" s="244" t="s">
        <v>313</v>
      </c>
      <c r="J111" s="244" t="str">
        <f t="shared" si="21"/>
        <v>Unjuk Kerja (Presensi)</v>
      </c>
      <c r="K111" s="244" t="str">
        <f t="shared" si="22"/>
        <v>Kuis / Tugas 1</v>
      </c>
      <c r="L111" s="244" t="str">
        <f t="shared" si="23"/>
        <v/>
      </c>
      <c r="M111" s="244" t="str">
        <f t="shared" si="24"/>
        <v/>
      </c>
      <c r="N111" s="244" t="str">
        <f t="shared" si="25"/>
        <v/>
      </c>
      <c r="O111" s="244" t="str">
        <f t="shared" si="26"/>
        <v/>
      </c>
      <c r="P111" s="244" t="str">
        <f t="shared" si="27"/>
        <v>UAS</v>
      </c>
      <c r="Q111" s="244" t="str">
        <f t="shared" si="28"/>
        <v>Unjuk Kerja (Presensi), Kuis / Tugas 1, , , , , UAS</v>
      </c>
      <c r="R111" s="251">
        <v>2</v>
      </c>
      <c r="S111" s="251">
        <v>2</v>
      </c>
      <c r="T111" s="251"/>
      <c r="U111" s="251"/>
      <c r="V111" s="251"/>
      <c r="W111" s="251"/>
      <c r="X111" s="251">
        <v>4</v>
      </c>
      <c r="Y111" s="249">
        <f t="shared" si="29"/>
        <v>8</v>
      </c>
      <c r="Z111" s="250">
        <f>SUM(Y103:Y111)</f>
        <v>100</v>
      </c>
    </row>
    <row r="112" spans="1:26" ht="67.5" x14ac:dyDescent="0.25">
      <c r="A112" s="240" t="s">
        <v>128</v>
      </c>
      <c r="B112" s="241" t="s">
        <v>129</v>
      </c>
      <c r="C112" s="242" t="s">
        <v>22</v>
      </c>
      <c r="D112" s="243" t="str">
        <f>VLOOKUP(C112,'CPL-MK'!$E$2:$F$12,2)</f>
        <v>Memiliki kemampuan menganalisis, mengevaluasi, dan membuat keputusan berdasarkan pengetahuan di bidang teknologi informasi cerdas dalam konteks dukungan terhadap pengembangan layanan publik dan ekonomi digital</v>
      </c>
      <c r="E112" s="242" t="s">
        <v>153</v>
      </c>
      <c r="F112" s="244" t="str">
        <f>VLOOKUP(E112,'CPL-CPMK-MK'!$D$1:$E$30,2)</f>
        <v>Memiliki kemampuan menganalisis berdasarkan pengetahuan di bidang teknologi informasi cerdas dalam konteks dukungan terhadap pengembangan layanan publik dan ekonomi digital</v>
      </c>
      <c r="G112" s="244" t="str">
        <f t="shared" si="33"/>
        <v>SUBCPMK-CPMK0311</v>
      </c>
      <c r="H112" s="244" t="str">
        <f>CONCATENATE(F112, " dalam ",LOWER($B$112))</f>
        <v>Memiliki kemampuan menganalisis berdasarkan pengetahuan di bidang teknologi informasi cerdas dalam konteks dukungan terhadap pengembangan layanan publik dan ekonomi digital dalam kota cerdas</v>
      </c>
      <c r="I112" s="244" t="s">
        <v>313</v>
      </c>
      <c r="J112" s="244" t="str">
        <f t="shared" si="21"/>
        <v>Unjuk Kerja (Presensi)</v>
      </c>
      <c r="K112" s="244" t="str">
        <f t="shared" si="22"/>
        <v>Kuis / Tugas 1</v>
      </c>
      <c r="L112" s="244" t="str">
        <f t="shared" si="23"/>
        <v>Kuis / Tugas 2</v>
      </c>
      <c r="M112" s="244" t="str">
        <f t="shared" si="24"/>
        <v/>
      </c>
      <c r="N112" s="244" t="str">
        <f t="shared" si="25"/>
        <v/>
      </c>
      <c r="O112" s="244" t="str">
        <f t="shared" si="26"/>
        <v>UTS</v>
      </c>
      <c r="P112" s="244" t="str">
        <f t="shared" si="27"/>
        <v/>
      </c>
      <c r="Q112" s="244" t="str">
        <f t="shared" si="28"/>
        <v xml:space="preserve">Unjuk Kerja (Presensi), Kuis / Tugas 1, Kuis / Tugas 2, , , UTS, </v>
      </c>
      <c r="R112" s="249">
        <v>3</v>
      </c>
      <c r="S112" s="249">
        <v>3</v>
      </c>
      <c r="T112" s="249">
        <v>3</v>
      </c>
      <c r="U112" s="249"/>
      <c r="V112" s="249"/>
      <c r="W112" s="249">
        <v>6</v>
      </c>
      <c r="X112" s="249"/>
      <c r="Y112" s="249">
        <f t="shared" si="29"/>
        <v>15</v>
      </c>
      <c r="Z112" s="250"/>
    </row>
    <row r="113" spans="1:26" ht="67.5" x14ac:dyDescent="0.25">
      <c r="A113" s="240"/>
      <c r="B113" s="241"/>
      <c r="C113" s="242"/>
      <c r="D113" s="243" t="e">
        <f>VLOOKUP(C113,'CPL-MK'!$E$2:$F$12,2)</f>
        <v>#N/A</v>
      </c>
      <c r="E113" s="242" t="s">
        <v>155</v>
      </c>
      <c r="F113" s="244" t="str">
        <f>VLOOKUP(E113,'CPL-CPMK-MK'!$D$1:$E$30,2)</f>
        <v>Memiliki kemampuan mengevaluasi berdasarkan pengetahuan di bidang teknologi informasi cerdas dalam konteks dukungan terhadap pengembangan layanan publik dan ekonomi digital</v>
      </c>
      <c r="G113" s="244" t="str">
        <f t="shared" si="33"/>
        <v>SUBCPMK-CPMK0321</v>
      </c>
      <c r="H113" s="244" t="str">
        <f t="shared" ref="H113:H117" si="36">CONCATENATE(F113, " dalam ",LOWER($B$112))</f>
        <v>Memiliki kemampuan mengevaluasi berdasarkan pengetahuan di bidang teknologi informasi cerdas dalam konteks dukungan terhadap pengembangan layanan publik dan ekonomi digital dalam kota cerdas</v>
      </c>
      <c r="I113" s="244" t="s">
        <v>313</v>
      </c>
      <c r="J113" s="244" t="str">
        <f t="shared" si="21"/>
        <v>Unjuk Kerja (Presensi)</v>
      </c>
      <c r="K113" s="244" t="str">
        <f t="shared" si="22"/>
        <v/>
      </c>
      <c r="L113" s="244" t="str">
        <f t="shared" si="23"/>
        <v/>
      </c>
      <c r="M113" s="244" t="str">
        <f t="shared" si="24"/>
        <v>Kuis / Tugas 3</v>
      </c>
      <c r="N113" s="244" t="str">
        <f t="shared" si="25"/>
        <v>Kuis / Tugas 4</v>
      </c>
      <c r="O113" s="244" t="str">
        <f t="shared" si="26"/>
        <v/>
      </c>
      <c r="P113" s="244" t="str">
        <f t="shared" si="27"/>
        <v>UAS</v>
      </c>
      <c r="Q113" s="244" t="str">
        <f t="shared" si="28"/>
        <v>Unjuk Kerja (Presensi), , , Kuis / Tugas 3, Kuis / Tugas 4, , UAS</v>
      </c>
      <c r="R113" s="249">
        <v>3</v>
      </c>
      <c r="S113" s="249"/>
      <c r="T113" s="249"/>
      <c r="U113" s="249">
        <v>3</v>
      </c>
      <c r="V113" s="249">
        <v>3</v>
      </c>
      <c r="W113" s="249"/>
      <c r="X113" s="249">
        <v>6</v>
      </c>
      <c r="Y113" s="249">
        <f t="shared" si="29"/>
        <v>15</v>
      </c>
      <c r="Z113" s="250"/>
    </row>
    <row r="114" spans="1:26" ht="67.5" x14ac:dyDescent="0.25">
      <c r="A114" s="240"/>
      <c r="B114" s="241"/>
      <c r="C114" s="242"/>
      <c r="D114" s="243" t="e">
        <f>VLOOKUP(C114,'CPL-MK'!$E$2:$F$12,2)</f>
        <v>#N/A</v>
      </c>
      <c r="E114" s="242" t="s">
        <v>157</v>
      </c>
      <c r="F114" s="244" t="str">
        <f>VLOOKUP(E114,'CPL-CPMK-MK'!$D$1:$E$30,2)</f>
        <v>Memiliki kemampuan membuat keputusan berdasarkan pengetahuan di bidang teknologi informasi cerdas dalam konteks dukungan terhadap pengembangan layanan publik dan ekonomi digital</v>
      </c>
      <c r="G114" s="244" t="str">
        <f t="shared" si="33"/>
        <v>SUBCPMK-CPMK0331</v>
      </c>
      <c r="H114" s="244" t="str">
        <f t="shared" si="36"/>
        <v>Memiliki kemampuan membuat keputusan berdasarkan pengetahuan di bidang teknologi informasi cerdas dalam konteks dukungan terhadap pengembangan layanan publik dan ekonomi digital dalam kota cerdas</v>
      </c>
      <c r="I114" s="244" t="s">
        <v>313</v>
      </c>
      <c r="J114" s="244" t="str">
        <f t="shared" si="21"/>
        <v>Unjuk Kerja (Presensi)</v>
      </c>
      <c r="K114" s="244" t="str">
        <f t="shared" si="22"/>
        <v/>
      </c>
      <c r="L114" s="244" t="str">
        <f t="shared" si="23"/>
        <v/>
      </c>
      <c r="M114" s="244" t="str">
        <f t="shared" si="24"/>
        <v/>
      </c>
      <c r="N114" s="244" t="str">
        <f t="shared" si="25"/>
        <v>Kuis / Tugas 4</v>
      </c>
      <c r="O114" s="244" t="str">
        <f t="shared" si="26"/>
        <v/>
      </c>
      <c r="P114" s="244" t="str">
        <f t="shared" si="27"/>
        <v>UAS</v>
      </c>
      <c r="Q114" s="244" t="str">
        <f t="shared" si="28"/>
        <v>Unjuk Kerja (Presensi), , , , Kuis / Tugas 4, , UAS</v>
      </c>
      <c r="R114" s="249">
        <v>7</v>
      </c>
      <c r="S114" s="249"/>
      <c r="T114" s="249"/>
      <c r="U114" s="249"/>
      <c r="V114" s="249">
        <v>7</v>
      </c>
      <c r="W114" s="249"/>
      <c r="X114" s="249">
        <v>6</v>
      </c>
      <c r="Y114" s="249">
        <f t="shared" si="29"/>
        <v>20</v>
      </c>
      <c r="Z114" s="250"/>
    </row>
    <row r="115" spans="1:26" ht="54" x14ac:dyDescent="0.25">
      <c r="A115" s="245"/>
      <c r="B115" s="245"/>
      <c r="C115" s="242" t="s">
        <v>43</v>
      </c>
      <c r="D115" s="243" t="str">
        <f>VLOOKUP(C115,'CPL-MK'!$E$2:$F$12,2)</f>
        <v>Mampu mengidentifikasi, menganalisis, meneliti literatur, mengevaluasi, dan memformulasi solusi-solusi algoritmik untuk masalah computing yang kompleks</v>
      </c>
      <c r="E115" s="242" t="s">
        <v>196</v>
      </c>
      <c r="F115" s="244" t="str">
        <f>VLOOKUP(E115,'CPL-CPMK-MK'!$D$1:$E$30,2)</f>
        <v>Mampu mengidentifikasi solusi_x0002_solusi algoritmik untuk masalah computing yang kompleks.</v>
      </c>
      <c r="G115" s="244" t="str">
        <f t="shared" si="33"/>
        <v>SUBCPMK-CPMK0911</v>
      </c>
      <c r="H115" s="244" t="str">
        <f t="shared" si="36"/>
        <v>Mampu mengidentifikasi solusi_x0002_solusi algoritmik untuk masalah computing yang kompleks. dalam kota cerdas</v>
      </c>
      <c r="I115" s="244" t="s">
        <v>313</v>
      </c>
      <c r="J115" s="244" t="str">
        <f t="shared" si="21"/>
        <v>Unjuk Kerja (Presensi)</v>
      </c>
      <c r="K115" s="244" t="str">
        <f t="shared" si="22"/>
        <v>Kuis / Tugas 1</v>
      </c>
      <c r="L115" s="244" t="str">
        <f t="shared" si="23"/>
        <v/>
      </c>
      <c r="M115" s="244" t="str">
        <f t="shared" si="24"/>
        <v/>
      </c>
      <c r="N115" s="244" t="str">
        <f t="shared" si="25"/>
        <v/>
      </c>
      <c r="O115" s="244" t="str">
        <f t="shared" si="26"/>
        <v/>
      </c>
      <c r="P115" s="244" t="str">
        <f t="shared" si="27"/>
        <v/>
      </c>
      <c r="Q115" s="244" t="str">
        <f t="shared" si="28"/>
        <v xml:space="preserve">Unjuk Kerja (Presensi), Kuis / Tugas 1, , , , , </v>
      </c>
      <c r="R115" s="249">
        <v>7</v>
      </c>
      <c r="S115" s="249">
        <v>8</v>
      </c>
      <c r="T115" s="249"/>
      <c r="U115" s="249"/>
      <c r="V115" s="249"/>
      <c r="W115" s="249"/>
      <c r="X115" s="249"/>
      <c r="Y115" s="249">
        <f t="shared" si="29"/>
        <v>15</v>
      </c>
      <c r="Z115" s="250"/>
    </row>
    <row r="116" spans="1:26" ht="54" x14ac:dyDescent="0.25">
      <c r="A116" s="245"/>
      <c r="B116" s="245"/>
      <c r="C116" s="242"/>
      <c r="D116" s="243" t="e">
        <f>VLOOKUP(C116,'CPL-MK'!$E$2:$F$12,2)</f>
        <v>#N/A</v>
      </c>
      <c r="E116" s="242" t="s">
        <v>197</v>
      </c>
      <c r="F116" s="244" t="str">
        <f>VLOOKUP(E116,'CPL-CPMK-MK'!$D$1:$E$30,2)</f>
        <v>Mampu meneliti literatur dalam menganalisis solusi-solusi algoritmik untuk masalah yang 
kompleks.</v>
      </c>
      <c r="G116" s="244" t="str">
        <f t="shared" si="33"/>
        <v>SUBCPMK-CPMK0921</v>
      </c>
      <c r="H116" s="244" t="str">
        <f t="shared" si="36"/>
        <v>Mampu meneliti literatur dalam menganalisis solusi-solusi algoritmik untuk masalah yang 
kompleks. dalam kota cerdas</v>
      </c>
      <c r="I116" s="244" t="s">
        <v>313</v>
      </c>
      <c r="J116" s="244" t="str">
        <f t="shared" si="21"/>
        <v>Unjuk Kerja (Presensi)</v>
      </c>
      <c r="K116" s="244" t="str">
        <f t="shared" si="22"/>
        <v/>
      </c>
      <c r="L116" s="244" t="str">
        <f t="shared" si="23"/>
        <v>Kuis / Tugas 2</v>
      </c>
      <c r="M116" s="244" t="str">
        <f t="shared" si="24"/>
        <v/>
      </c>
      <c r="N116" s="244" t="str">
        <f t="shared" si="25"/>
        <v/>
      </c>
      <c r="O116" s="244" t="str">
        <f t="shared" si="26"/>
        <v/>
      </c>
      <c r="P116" s="244" t="str">
        <f t="shared" si="27"/>
        <v/>
      </c>
      <c r="Q116" s="244" t="str">
        <f t="shared" si="28"/>
        <v xml:space="preserve">Unjuk Kerja (Presensi), , Kuis / Tugas 2, , , , </v>
      </c>
      <c r="R116" s="249">
        <v>7</v>
      </c>
      <c r="S116" s="249"/>
      <c r="T116" s="249">
        <v>8</v>
      </c>
      <c r="U116" s="249"/>
      <c r="V116" s="249"/>
      <c r="W116" s="249"/>
      <c r="X116" s="249"/>
      <c r="Y116" s="249">
        <f t="shared" si="29"/>
        <v>15</v>
      </c>
      <c r="Z116" s="250"/>
    </row>
    <row r="117" spans="1:26" ht="54" x14ac:dyDescent="0.25">
      <c r="A117" s="245"/>
      <c r="B117" s="245"/>
      <c r="C117" s="242"/>
      <c r="D117" s="243" t="e">
        <f>VLOOKUP(C117,'CPL-MK'!$E$2:$F$12,2)</f>
        <v>#N/A</v>
      </c>
      <c r="E117" s="242" t="s">
        <v>198</v>
      </c>
      <c r="F117" s="244" t="str">
        <f>VLOOKUP(E117,'CPL-CPMK-MK'!$D$1:$E$30,2)</f>
        <v>Mampu mengevaluasi dan memformulasi solusi-solusi algoritmik untuk masalah yang kompleks.</v>
      </c>
      <c r="G117" s="244" t="str">
        <f t="shared" si="33"/>
        <v>SUBCPMK-CPMK0931</v>
      </c>
      <c r="H117" s="244" t="str">
        <f t="shared" si="36"/>
        <v>Mampu mengevaluasi dan memformulasi solusi-solusi algoritmik untuk masalah yang kompleks. dalam kota cerdas</v>
      </c>
      <c r="I117" s="244" t="s">
        <v>313</v>
      </c>
      <c r="J117" s="244" t="str">
        <f t="shared" si="21"/>
        <v>Unjuk Kerja (Presensi)</v>
      </c>
      <c r="K117" s="244" t="str">
        <f t="shared" si="22"/>
        <v/>
      </c>
      <c r="L117" s="244" t="str">
        <f t="shared" si="23"/>
        <v/>
      </c>
      <c r="M117" s="244" t="str">
        <f t="shared" si="24"/>
        <v/>
      </c>
      <c r="N117" s="244" t="str">
        <f t="shared" si="25"/>
        <v>Kuis / Tugas 4</v>
      </c>
      <c r="O117" s="244" t="str">
        <f t="shared" si="26"/>
        <v/>
      </c>
      <c r="P117" s="244" t="str">
        <f t="shared" si="27"/>
        <v>UAS</v>
      </c>
      <c r="Q117" s="244" t="str">
        <f t="shared" si="28"/>
        <v>Unjuk Kerja (Presensi), , , , Kuis / Tugas 4, , UAS</v>
      </c>
      <c r="R117" s="249">
        <v>7</v>
      </c>
      <c r="S117" s="249"/>
      <c r="T117" s="249"/>
      <c r="U117" s="249"/>
      <c r="V117" s="249">
        <v>7</v>
      </c>
      <c r="W117" s="249"/>
      <c r="X117" s="249">
        <v>6</v>
      </c>
      <c r="Y117" s="249">
        <f t="shared" si="29"/>
        <v>20</v>
      </c>
      <c r="Z117" s="250">
        <f>SUM(Y112:Y117)</f>
        <v>100</v>
      </c>
    </row>
    <row r="118" spans="1:26" ht="81" x14ac:dyDescent="0.25">
      <c r="A118" s="240" t="s">
        <v>130</v>
      </c>
      <c r="B118" s="241" t="s">
        <v>131</v>
      </c>
      <c r="C118" s="242" t="s">
        <v>17</v>
      </c>
      <c r="D118" s="243" t="str">
        <f>VLOOKUP(C118,'CPL-MK'!$E$2:$F$12,2)</f>
        <v>Mampu bekerja secara mandiri ataupun dalam tim, serta menunjukkan sikap profesional dan etis dalam menjalankan tugas dan tanggung jawab untuk menyelesaikan proyek-proyek terkait teknologi informasi cerdas dalam pengembangan layanan publik dan ekonomi digital</v>
      </c>
      <c r="E118" s="242" t="s">
        <v>145</v>
      </c>
      <c r="F118" s="244" t="s">
        <v>146</v>
      </c>
      <c r="G118" s="244" t="str">
        <f t="shared" si="33"/>
        <v>SUBCPMK-CPMK0111</v>
      </c>
      <c r="H118" s="244" t="str">
        <f>CONCATENATE(F118, " dalam ",LOWER($B$118))</f>
        <v>Mampu bekerja secara mandiri ataupun dalam tim dalam menjalankan tugas dan tanggung jawab untuk menyelesaikan proyek-proyek terkait teknologi informasi cerdas dalam pengembangan layanan publik dan ekonomi digital dalam publikasi</v>
      </c>
      <c r="I118" s="244" t="s">
        <v>313</v>
      </c>
      <c r="J118" s="244" t="str">
        <f t="shared" si="21"/>
        <v>Unjuk Kerja (Presensi)</v>
      </c>
      <c r="K118" s="244" t="str">
        <f t="shared" si="22"/>
        <v>Kuis / Tugas 1</v>
      </c>
      <c r="L118" s="244" t="str">
        <f t="shared" si="23"/>
        <v>Kuis / Tugas 2</v>
      </c>
      <c r="M118" s="244" t="str">
        <f t="shared" si="24"/>
        <v>Kuis / Tugas 3</v>
      </c>
      <c r="N118" s="244" t="str">
        <f t="shared" si="25"/>
        <v>Kuis / Tugas 4</v>
      </c>
      <c r="O118" s="244" t="str">
        <f t="shared" si="26"/>
        <v/>
      </c>
      <c r="P118" s="244" t="str">
        <f t="shared" si="27"/>
        <v>UAS</v>
      </c>
      <c r="Q118" s="244" t="str">
        <f t="shared" si="28"/>
        <v>Unjuk Kerja (Presensi), Kuis / Tugas 1, Kuis / Tugas 2, Kuis / Tugas 3, Kuis / Tugas 4, , UAS</v>
      </c>
      <c r="R118" s="249">
        <v>3</v>
      </c>
      <c r="S118" s="249">
        <v>3</v>
      </c>
      <c r="T118" s="249">
        <v>3</v>
      </c>
      <c r="U118" s="249">
        <v>3</v>
      </c>
      <c r="V118" s="249">
        <v>3</v>
      </c>
      <c r="W118" s="249"/>
      <c r="X118" s="249">
        <v>5</v>
      </c>
      <c r="Y118" s="249">
        <f t="shared" si="29"/>
        <v>20</v>
      </c>
      <c r="Z118" s="250"/>
    </row>
    <row r="119" spans="1:26" ht="81" x14ac:dyDescent="0.25">
      <c r="A119" s="240"/>
      <c r="B119" s="241"/>
      <c r="C119" s="242"/>
      <c r="D119" s="243" t="e">
        <f>VLOOKUP(C119,'CPL-MK'!$E$2:$F$12,2)</f>
        <v>#N/A</v>
      </c>
      <c r="E119" s="242" t="s">
        <v>147</v>
      </c>
      <c r="F119" s="244" t="str">
        <f>VLOOKUP(E119,'CPL-CPMK-MK'!$D$1:$E$30,2)</f>
        <v>Profesional dan Etis dalam menjalankan tugas dan tanggung jawab dalam menjalankan tugas dan tanggung jawab untuk menyelesaikan proyek-proyek terkait teknologi informasi cerdas dalam pengembangan layanan publik dan ekonomi digital</v>
      </c>
      <c r="G119" s="244" t="str">
        <f t="shared" si="33"/>
        <v>SUBCPMK-CPMK0121</v>
      </c>
      <c r="H119" s="244" t="str">
        <f t="shared" ref="H119:H124" si="37">CONCATENATE(F119, " dalam ",LOWER($B$118))</f>
        <v>Profesional dan Etis dalam menjalankan tugas dan tanggung jawab dalam menjalankan tugas dan tanggung jawab untuk menyelesaikan proyek-proyek terkait teknologi informasi cerdas dalam pengembangan layanan publik dan ekonomi digital dalam publikasi</v>
      </c>
      <c r="I119" s="244" t="s">
        <v>313</v>
      </c>
      <c r="J119" s="244" t="str">
        <f t="shared" si="21"/>
        <v>Unjuk Kerja (Presensi)</v>
      </c>
      <c r="K119" s="244" t="str">
        <f t="shared" si="22"/>
        <v>Kuis / Tugas 1</v>
      </c>
      <c r="L119" s="244" t="str">
        <f t="shared" si="23"/>
        <v/>
      </c>
      <c r="M119" s="244" t="str">
        <f t="shared" si="24"/>
        <v>Kuis / Tugas 3</v>
      </c>
      <c r="N119" s="244" t="str">
        <f t="shared" si="25"/>
        <v>Kuis / Tugas 4</v>
      </c>
      <c r="O119" s="244" t="str">
        <f t="shared" si="26"/>
        <v/>
      </c>
      <c r="P119" s="244" t="str">
        <f t="shared" si="27"/>
        <v>UAS</v>
      </c>
      <c r="Q119" s="244" t="str">
        <f t="shared" si="28"/>
        <v>Unjuk Kerja (Presensi), Kuis / Tugas 1, , Kuis / Tugas 3, Kuis / Tugas 4, , UAS</v>
      </c>
      <c r="R119" s="249">
        <v>3</v>
      </c>
      <c r="S119" s="249">
        <v>3</v>
      </c>
      <c r="T119" s="249"/>
      <c r="U119" s="249">
        <v>3</v>
      </c>
      <c r="V119" s="249">
        <v>3</v>
      </c>
      <c r="W119" s="249"/>
      <c r="X119" s="249">
        <v>3</v>
      </c>
      <c r="Y119" s="249">
        <f t="shared" si="29"/>
        <v>15</v>
      </c>
      <c r="Z119" s="250"/>
    </row>
    <row r="120" spans="1:26" ht="94.5" x14ac:dyDescent="0.25">
      <c r="A120" s="245"/>
      <c r="B120" s="245"/>
      <c r="C120" s="242" t="s">
        <v>20</v>
      </c>
      <c r="D120" s="243" t="str">
        <f>VLOOKUP(C120,'CPL-MK'!$E$2:$F$12,2)</f>
        <v>Mampu mengembangkan kemampuan berkomunikasi lisan secara efektif, berpikir kritis, kreatif, dan profesional serta dapat menghasilkan karya ilmiah yang orisinal dalam menyelesaikan permasalahan terkait teknologi informasi cerdas melalui pemanfaatan penelitian teknologi informasi dengan berbagai pihak terkait.</v>
      </c>
      <c r="E120" s="242" t="s">
        <v>149</v>
      </c>
      <c r="F120" s="244" t="str">
        <f>VLOOKUP(E120,'CPL-CPMK-MK'!$D$1:$E$30,2)</f>
        <v>Mampu mengembangkan kemampuan berkomunikasi lisan secara efektif, berpikir kritis, kreatif dan profesional dalam menyelesaikan permasalahan terkait teknologi informasi cerdas melalui pemanfaatan penelitian teknologi informasi dengan berbagai pihak terkait</v>
      </c>
      <c r="G120" s="244" t="str">
        <f t="shared" si="33"/>
        <v>SUBCPMK-CPMK0211</v>
      </c>
      <c r="H120" s="244" t="str">
        <f t="shared" si="37"/>
        <v>Mampu mengembangkan kemampuan berkomunikasi lisan secara efektif, berpikir kritis, kreatif dan profesional dalam menyelesaikan permasalahan terkait teknologi informasi cerdas melalui pemanfaatan penelitian teknologi informasi dengan berbagai pihak terkait dalam publikasi</v>
      </c>
      <c r="I120" s="244" t="s">
        <v>313</v>
      </c>
      <c r="J120" s="244" t="str">
        <f t="shared" si="21"/>
        <v>Unjuk Kerja (Presensi)</v>
      </c>
      <c r="K120" s="244" t="str">
        <f t="shared" si="22"/>
        <v>Kuis / Tugas 1</v>
      </c>
      <c r="L120" s="244" t="str">
        <f t="shared" si="23"/>
        <v>Kuis / Tugas 2</v>
      </c>
      <c r="M120" s="244" t="str">
        <f t="shared" si="24"/>
        <v/>
      </c>
      <c r="N120" s="244" t="str">
        <f t="shared" si="25"/>
        <v/>
      </c>
      <c r="O120" s="244" t="str">
        <f t="shared" si="26"/>
        <v>UTS</v>
      </c>
      <c r="P120" s="244" t="str">
        <f t="shared" si="27"/>
        <v>UAS</v>
      </c>
      <c r="Q120" s="244" t="str">
        <f t="shared" si="28"/>
        <v>Unjuk Kerja (Presensi), Kuis / Tugas 1, Kuis / Tugas 2, , , UTS, UAS</v>
      </c>
      <c r="R120" s="249">
        <v>3</v>
      </c>
      <c r="S120" s="249">
        <v>3</v>
      </c>
      <c r="T120" s="249">
        <v>3</v>
      </c>
      <c r="U120" s="249"/>
      <c r="V120" s="249"/>
      <c r="W120" s="249">
        <v>3</v>
      </c>
      <c r="X120" s="249">
        <v>3</v>
      </c>
      <c r="Y120" s="249">
        <f t="shared" si="29"/>
        <v>15</v>
      </c>
      <c r="Z120" s="250"/>
    </row>
    <row r="121" spans="1:26" ht="67.5" x14ac:dyDescent="0.25">
      <c r="A121" s="245"/>
      <c r="B121" s="245"/>
      <c r="C121" s="242"/>
      <c r="D121" s="243" t="e">
        <f>VLOOKUP(C121,'CPL-MK'!$E$2:$F$12,2)</f>
        <v>#N/A</v>
      </c>
      <c r="E121" s="242" t="s">
        <v>151</v>
      </c>
      <c r="F121" s="244" t="str">
        <f>VLOOKUP(E121,'CPL-CPMK-MK'!$D$1:$E$30,2)</f>
        <v>Mampu menghasilkan karya ilmiah yang orisinal dalam menyelesaikan permasalahan terkait teknologi informasi cerdas melalui pemanfaatan penelitian teknologi informasi dengan berbagai pihak terkait</v>
      </c>
      <c r="G121" s="244" t="str">
        <f t="shared" si="33"/>
        <v>SUBCPMK-CPMK0221</v>
      </c>
      <c r="H121" s="244" t="str">
        <f t="shared" si="37"/>
        <v>Mampu menghasilkan karya ilmiah yang orisinal dalam menyelesaikan permasalahan terkait teknologi informasi cerdas melalui pemanfaatan penelitian teknologi informasi dengan berbagai pihak terkait dalam publikasi</v>
      </c>
      <c r="I121" s="244" t="s">
        <v>313</v>
      </c>
      <c r="J121" s="244" t="str">
        <f t="shared" si="21"/>
        <v/>
      </c>
      <c r="K121" s="244" t="str">
        <f t="shared" si="22"/>
        <v>Kuis / Tugas 1</v>
      </c>
      <c r="L121" s="244" t="str">
        <f t="shared" si="23"/>
        <v>Kuis / Tugas 2</v>
      </c>
      <c r="M121" s="244" t="str">
        <f t="shared" si="24"/>
        <v>Kuis / Tugas 3</v>
      </c>
      <c r="N121" s="244" t="str">
        <f t="shared" si="25"/>
        <v>Kuis / Tugas 4</v>
      </c>
      <c r="O121" s="244" t="str">
        <f t="shared" si="26"/>
        <v/>
      </c>
      <c r="P121" s="244" t="str">
        <f t="shared" si="27"/>
        <v>UAS</v>
      </c>
      <c r="Q121" s="244" t="str">
        <f t="shared" si="28"/>
        <v>, Kuis / Tugas 1, Kuis / Tugas 2, Kuis / Tugas 3, Kuis / Tugas 4, , UAS</v>
      </c>
      <c r="R121" s="249"/>
      <c r="S121" s="249">
        <v>3</v>
      </c>
      <c r="T121" s="249">
        <v>3</v>
      </c>
      <c r="U121" s="249">
        <v>3</v>
      </c>
      <c r="V121" s="249">
        <v>3</v>
      </c>
      <c r="W121" s="249"/>
      <c r="X121" s="249">
        <v>3</v>
      </c>
      <c r="Y121" s="249">
        <f t="shared" si="29"/>
        <v>15</v>
      </c>
      <c r="Z121" s="250"/>
    </row>
    <row r="122" spans="1:26" ht="54" x14ac:dyDescent="0.25">
      <c r="A122" s="245"/>
      <c r="B122" s="245"/>
      <c r="C122" s="242" t="s">
        <v>43</v>
      </c>
      <c r="D122" s="243" t="str">
        <f>VLOOKUP(C122,'CPL-MK'!$E$2:$F$12,2)</f>
        <v>Mampu mengidentifikasi, menganalisis, meneliti literatur, mengevaluasi, dan memformulasi solusi-solusi algoritmik untuk masalah computing yang kompleks</v>
      </c>
      <c r="E122" s="242" t="s">
        <v>196</v>
      </c>
      <c r="F122" s="244" t="str">
        <f>VLOOKUP(E122,'CPL-CPMK-MK'!$D$1:$E$30,2)</f>
        <v>Mampu mengidentifikasi solusi_x0002_solusi algoritmik untuk masalah computing yang kompleks.</v>
      </c>
      <c r="G122" s="244" t="str">
        <f t="shared" si="33"/>
        <v>SUBCPMK-CPMK0911</v>
      </c>
      <c r="H122" s="244" t="str">
        <f t="shared" si="37"/>
        <v>Mampu mengidentifikasi solusi_x0002_solusi algoritmik untuk masalah computing yang kompleks. dalam publikasi</v>
      </c>
      <c r="I122" s="244" t="s">
        <v>313</v>
      </c>
      <c r="J122" s="244" t="str">
        <f t="shared" si="21"/>
        <v/>
      </c>
      <c r="K122" s="244" t="str">
        <f t="shared" si="22"/>
        <v>Kuis / Tugas 1</v>
      </c>
      <c r="L122" s="244" t="str">
        <f t="shared" si="23"/>
        <v/>
      </c>
      <c r="M122" s="244" t="str">
        <f t="shared" si="24"/>
        <v>Kuis / Tugas 3</v>
      </c>
      <c r="N122" s="244" t="str">
        <f t="shared" si="25"/>
        <v/>
      </c>
      <c r="O122" s="244" t="str">
        <f t="shared" si="26"/>
        <v/>
      </c>
      <c r="P122" s="244" t="str">
        <f t="shared" si="27"/>
        <v>UAS</v>
      </c>
      <c r="Q122" s="244" t="str">
        <f t="shared" si="28"/>
        <v>, Kuis / Tugas 1, , Kuis / Tugas 3, , , UAS</v>
      </c>
      <c r="R122" s="249"/>
      <c r="S122" s="249">
        <v>3</v>
      </c>
      <c r="T122" s="249"/>
      <c r="U122" s="249">
        <v>3</v>
      </c>
      <c r="V122" s="249"/>
      <c r="W122" s="249"/>
      <c r="X122" s="249">
        <v>4</v>
      </c>
      <c r="Y122" s="249">
        <f t="shared" si="29"/>
        <v>10</v>
      </c>
      <c r="Z122" s="250"/>
    </row>
    <row r="123" spans="1:26" ht="54" x14ac:dyDescent="0.25">
      <c r="A123" s="245"/>
      <c r="B123" s="245"/>
      <c r="C123" s="242"/>
      <c r="D123" s="243" t="e">
        <f>VLOOKUP(C123,'CPL-MK'!$E$2:$F$12,2)</f>
        <v>#N/A</v>
      </c>
      <c r="E123" s="242" t="s">
        <v>197</v>
      </c>
      <c r="F123" s="244" t="str">
        <f>VLOOKUP(E123,'CPL-CPMK-MK'!$D$1:$E$30,2)</f>
        <v>Mampu meneliti literatur dalam menganalisis solusi-solusi algoritmik untuk masalah yang 
kompleks.</v>
      </c>
      <c r="G123" s="244" t="str">
        <f t="shared" si="33"/>
        <v>SUBCPMK-CPMK0921</v>
      </c>
      <c r="H123" s="244" t="str">
        <f t="shared" si="37"/>
        <v>Mampu meneliti literatur dalam menganalisis solusi-solusi algoritmik untuk masalah yang 
kompleks. dalam publikasi</v>
      </c>
      <c r="I123" s="244" t="s">
        <v>313</v>
      </c>
      <c r="J123" s="244" t="str">
        <f t="shared" si="21"/>
        <v/>
      </c>
      <c r="K123" s="244" t="str">
        <f t="shared" si="22"/>
        <v>Kuis / Tugas 1</v>
      </c>
      <c r="L123" s="244" t="str">
        <f t="shared" si="23"/>
        <v>Kuis / Tugas 2</v>
      </c>
      <c r="M123" s="244" t="str">
        <f t="shared" si="24"/>
        <v/>
      </c>
      <c r="N123" s="244" t="str">
        <f t="shared" si="25"/>
        <v/>
      </c>
      <c r="O123" s="244" t="str">
        <f t="shared" si="26"/>
        <v/>
      </c>
      <c r="P123" s="244" t="str">
        <f t="shared" si="27"/>
        <v>UAS</v>
      </c>
      <c r="Q123" s="244" t="str">
        <f t="shared" si="28"/>
        <v>, Kuis / Tugas 1, Kuis / Tugas 2, , , , UAS</v>
      </c>
      <c r="R123" s="249"/>
      <c r="S123" s="249">
        <v>3</v>
      </c>
      <c r="T123" s="249">
        <v>3</v>
      </c>
      <c r="U123" s="249"/>
      <c r="V123" s="249"/>
      <c r="W123" s="249"/>
      <c r="X123" s="249">
        <v>4</v>
      </c>
      <c r="Y123" s="249">
        <f t="shared" si="29"/>
        <v>10</v>
      </c>
      <c r="Z123" s="250"/>
    </row>
    <row r="124" spans="1:26" ht="54" x14ac:dyDescent="0.25">
      <c r="A124" s="245"/>
      <c r="B124" s="245"/>
      <c r="C124" s="242"/>
      <c r="D124" s="243" t="e">
        <f>VLOOKUP(C124,'CPL-MK'!$E$2:$F$12,2)</f>
        <v>#N/A</v>
      </c>
      <c r="E124" s="242" t="s">
        <v>198</v>
      </c>
      <c r="F124" s="244" t="str">
        <f>VLOOKUP(E124,'CPL-CPMK-MK'!$D$1:$E$30,2)</f>
        <v>Mampu mengevaluasi dan memformulasi solusi-solusi algoritmik untuk masalah yang kompleks.</v>
      </c>
      <c r="G124" s="244" t="str">
        <f t="shared" si="33"/>
        <v>SUBCPMK-CPMK0931</v>
      </c>
      <c r="H124" s="244" t="str">
        <f t="shared" si="37"/>
        <v>Mampu mengevaluasi dan memformulasi solusi-solusi algoritmik untuk masalah yang kompleks. dalam publikasi</v>
      </c>
      <c r="I124" s="244" t="s">
        <v>313</v>
      </c>
      <c r="J124" s="244" t="str">
        <f t="shared" si="21"/>
        <v/>
      </c>
      <c r="K124" s="244" t="str">
        <f t="shared" si="22"/>
        <v/>
      </c>
      <c r="L124" s="244" t="str">
        <f t="shared" si="23"/>
        <v>Kuis / Tugas 2</v>
      </c>
      <c r="M124" s="244" t="str">
        <f t="shared" si="24"/>
        <v>Kuis / Tugas 3</v>
      </c>
      <c r="N124" s="244" t="str">
        <f t="shared" si="25"/>
        <v>Kuis / Tugas 4</v>
      </c>
      <c r="O124" s="244" t="str">
        <f t="shared" si="26"/>
        <v/>
      </c>
      <c r="P124" s="244" t="str">
        <f t="shared" si="27"/>
        <v>UAS</v>
      </c>
      <c r="Q124" s="244" t="str">
        <f t="shared" si="28"/>
        <v>, , Kuis / Tugas 2, Kuis / Tugas 3, Kuis / Tugas 4, , UAS</v>
      </c>
      <c r="R124" s="249"/>
      <c r="S124" s="249"/>
      <c r="T124" s="249">
        <v>3</v>
      </c>
      <c r="U124" s="249">
        <v>3</v>
      </c>
      <c r="V124" s="249">
        <v>3</v>
      </c>
      <c r="W124" s="249"/>
      <c r="X124" s="249">
        <v>6</v>
      </c>
      <c r="Y124" s="249">
        <f t="shared" si="29"/>
        <v>15</v>
      </c>
      <c r="Z124" s="250">
        <f>SUM(Y118:Y124)</f>
        <v>100</v>
      </c>
    </row>
    <row r="125" spans="1:26" ht="81" x14ac:dyDescent="0.25">
      <c r="A125" s="240" t="s">
        <v>132</v>
      </c>
      <c r="B125" s="241" t="s">
        <v>133</v>
      </c>
      <c r="C125" s="242" t="s">
        <v>17</v>
      </c>
      <c r="D125" s="243" t="str">
        <f>VLOOKUP(C125,'CPL-MK'!$E$2:$F$12,2)</f>
        <v>Mampu bekerja secara mandiri ataupun dalam tim, serta menunjukkan sikap profesional dan etis dalam menjalankan tugas dan tanggung jawab untuk menyelesaikan proyek-proyek terkait teknologi informasi cerdas dalam pengembangan layanan publik dan ekonomi digital</v>
      </c>
      <c r="E125" s="242" t="s">
        <v>145</v>
      </c>
      <c r="F125" s="244" t="s">
        <v>146</v>
      </c>
      <c r="G125" s="244" t="str">
        <f t="shared" si="33"/>
        <v>SUBCPMK-CPMK0111</v>
      </c>
      <c r="H125" s="244" t="str">
        <f>CONCATENATE(F125, " dalam ",LOWER($B$125))</f>
        <v>Mampu bekerja secara mandiri ataupun dalam tim dalam menjalankan tugas dan tanggung jawab untuk menyelesaikan proyek-proyek terkait teknologi informasi cerdas dalam pengembangan layanan publik dan ekonomi digital dalam strategi teknopreneurship dan inovasi digital</v>
      </c>
      <c r="I125" s="244" t="s">
        <v>313</v>
      </c>
      <c r="J125" s="244" t="str">
        <f t="shared" si="21"/>
        <v>Unjuk Kerja (Presensi)</v>
      </c>
      <c r="K125" s="244" t="str">
        <f t="shared" si="22"/>
        <v>Kuis / Tugas 1</v>
      </c>
      <c r="L125" s="244" t="str">
        <f t="shared" si="23"/>
        <v>Kuis / Tugas 2</v>
      </c>
      <c r="M125" s="244" t="str">
        <f t="shared" si="24"/>
        <v>Kuis / Tugas 3</v>
      </c>
      <c r="N125" s="244" t="str">
        <f t="shared" si="25"/>
        <v>Kuis / Tugas 4</v>
      </c>
      <c r="O125" s="244" t="str">
        <f t="shared" si="26"/>
        <v>UTS</v>
      </c>
      <c r="P125" s="244" t="str">
        <f t="shared" si="27"/>
        <v>UAS</v>
      </c>
      <c r="Q125" s="244" t="str">
        <f t="shared" si="28"/>
        <v>Unjuk Kerja (Presensi), Kuis / Tugas 1, Kuis / Tugas 2, Kuis / Tugas 3, Kuis / Tugas 4, UTS, UAS</v>
      </c>
      <c r="R125" s="251">
        <v>2</v>
      </c>
      <c r="S125" s="251">
        <v>2</v>
      </c>
      <c r="T125" s="251">
        <v>2</v>
      </c>
      <c r="U125" s="251">
        <v>2</v>
      </c>
      <c r="V125" s="251">
        <v>2</v>
      </c>
      <c r="W125" s="251">
        <v>10</v>
      </c>
      <c r="X125" s="251">
        <v>10</v>
      </c>
      <c r="Y125" s="249">
        <f t="shared" si="29"/>
        <v>30</v>
      </c>
      <c r="Z125" s="250"/>
    </row>
    <row r="126" spans="1:26" ht="81" x14ac:dyDescent="0.25">
      <c r="A126" s="240"/>
      <c r="B126" s="241"/>
      <c r="C126" s="242"/>
      <c r="D126" s="243" t="e">
        <f>VLOOKUP(C126,'CPL-MK'!$E$2:$F$12,2)</f>
        <v>#N/A</v>
      </c>
      <c r="E126" s="242" t="s">
        <v>147</v>
      </c>
      <c r="F126" s="244" t="str">
        <f>VLOOKUP(E126,'CPL-CPMK-MK'!$D$1:$E$30,2)</f>
        <v>Profesional dan Etis dalam menjalankan tugas dan tanggung jawab dalam menjalankan tugas dan tanggung jawab untuk menyelesaikan proyek-proyek terkait teknologi informasi cerdas dalam pengembangan layanan publik dan ekonomi digital</v>
      </c>
      <c r="G126" s="244" t="str">
        <f t="shared" si="33"/>
        <v>SUBCPMK-CPMK0121</v>
      </c>
      <c r="H126" s="244" t="str">
        <f t="shared" ref="H126:H127" si="38">CONCATENATE(F126, " dalam ",LOWER($B$125))</f>
        <v>Profesional dan Etis dalam menjalankan tugas dan tanggung jawab dalam menjalankan tugas dan tanggung jawab untuk menyelesaikan proyek-proyek terkait teknologi informasi cerdas dalam pengembangan layanan publik dan ekonomi digital dalam strategi teknopreneurship dan inovasi digital</v>
      </c>
      <c r="I126" s="244" t="s">
        <v>313</v>
      </c>
      <c r="J126" s="244" t="str">
        <f t="shared" si="21"/>
        <v>Unjuk Kerja (Presensi)</v>
      </c>
      <c r="K126" s="244" t="str">
        <f t="shared" si="22"/>
        <v/>
      </c>
      <c r="L126" s="244" t="str">
        <f t="shared" si="23"/>
        <v>Kuis / Tugas 2</v>
      </c>
      <c r="M126" s="244" t="str">
        <f t="shared" si="24"/>
        <v>Kuis / Tugas 3</v>
      </c>
      <c r="N126" s="244" t="str">
        <f t="shared" si="25"/>
        <v>Kuis / Tugas 4</v>
      </c>
      <c r="O126" s="244" t="str">
        <f t="shared" si="26"/>
        <v>UTS</v>
      </c>
      <c r="P126" s="244" t="str">
        <f t="shared" si="27"/>
        <v>UAS</v>
      </c>
      <c r="Q126" s="244" t="str">
        <f t="shared" si="28"/>
        <v>Unjuk Kerja (Presensi), , Kuis / Tugas 2, Kuis / Tugas 3, Kuis / Tugas 4, UTS, UAS</v>
      </c>
      <c r="R126" s="251">
        <v>2</v>
      </c>
      <c r="S126" s="251"/>
      <c r="T126" s="251">
        <v>2</v>
      </c>
      <c r="U126" s="251">
        <v>3</v>
      </c>
      <c r="V126" s="251">
        <v>3</v>
      </c>
      <c r="W126" s="251">
        <v>5</v>
      </c>
      <c r="X126" s="251">
        <v>5</v>
      </c>
      <c r="Y126" s="249">
        <f t="shared" si="29"/>
        <v>20</v>
      </c>
      <c r="Z126" s="250"/>
    </row>
    <row r="127" spans="1:26" ht="94.5" x14ac:dyDescent="0.25">
      <c r="A127" s="245"/>
      <c r="B127" s="245"/>
      <c r="C127" s="242" t="s">
        <v>20</v>
      </c>
      <c r="D127" s="243" t="str">
        <f>VLOOKUP(C127,'CPL-MK'!$E$2:$F$12,2)</f>
        <v>Mampu mengembangkan kemampuan berkomunikasi lisan secara efektif, berpikir kritis, kreatif, dan profesional serta dapat menghasilkan karya ilmiah yang orisinal dalam menyelesaikan permasalahan terkait teknologi informasi cerdas melalui pemanfaatan penelitian teknologi informasi dengan berbagai pihak terkait.</v>
      </c>
      <c r="E127" s="242" t="s">
        <v>149</v>
      </c>
      <c r="F127" s="244" t="str">
        <f>VLOOKUP(E127,'CPL-CPMK-MK'!$D$1:$E$30,2)</f>
        <v>Mampu mengembangkan kemampuan berkomunikasi lisan secara efektif, berpikir kritis, kreatif dan profesional dalam menyelesaikan permasalahan terkait teknologi informasi cerdas melalui pemanfaatan penelitian teknologi informasi dengan berbagai pihak terkait</v>
      </c>
      <c r="G127" s="244" t="str">
        <f t="shared" si="33"/>
        <v>SUBCPMK-CPMK0211</v>
      </c>
      <c r="H127" s="244" t="str">
        <f t="shared" si="38"/>
        <v>Mampu mengembangkan kemampuan berkomunikasi lisan secara efektif, berpikir kritis, kreatif dan profesional dalam menyelesaikan permasalahan terkait teknologi informasi cerdas melalui pemanfaatan penelitian teknologi informasi dengan berbagai pihak terkait dalam strategi teknopreneurship dan inovasi digital</v>
      </c>
      <c r="I127" s="244" t="s">
        <v>313</v>
      </c>
      <c r="J127" s="244" t="str">
        <f t="shared" si="21"/>
        <v>Unjuk Kerja (Presensi)</v>
      </c>
      <c r="K127" s="244" t="str">
        <f t="shared" si="22"/>
        <v>Kuis / Tugas 1</v>
      </c>
      <c r="L127" s="244" t="str">
        <f t="shared" si="23"/>
        <v>Kuis / Tugas 2</v>
      </c>
      <c r="M127" s="244" t="str">
        <f t="shared" si="24"/>
        <v>Kuis / Tugas 3</v>
      </c>
      <c r="N127" s="244" t="str">
        <f t="shared" si="25"/>
        <v>Kuis / Tugas 4</v>
      </c>
      <c r="O127" s="244" t="str">
        <f t="shared" si="26"/>
        <v>UTS</v>
      </c>
      <c r="P127" s="244" t="str">
        <f t="shared" si="27"/>
        <v>UAS</v>
      </c>
      <c r="Q127" s="244" t="str">
        <f t="shared" si="28"/>
        <v>Unjuk Kerja (Presensi), Kuis / Tugas 1, Kuis / Tugas 2, Kuis / Tugas 3, Kuis / Tugas 4, UTS, UAS</v>
      </c>
      <c r="R127" s="251">
        <v>5</v>
      </c>
      <c r="S127" s="251">
        <v>5</v>
      </c>
      <c r="T127" s="251">
        <v>5</v>
      </c>
      <c r="U127" s="251">
        <v>5</v>
      </c>
      <c r="V127" s="251">
        <v>5</v>
      </c>
      <c r="W127" s="251">
        <v>10</v>
      </c>
      <c r="X127" s="251">
        <v>15</v>
      </c>
      <c r="Y127" s="249">
        <f t="shared" si="29"/>
        <v>50</v>
      </c>
      <c r="Z127" s="250">
        <f>SUM(Y125:Y127)</f>
        <v>100</v>
      </c>
    </row>
    <row r="128" spans="1:26" x14ac:dyDescent="0.25">
      <c r="R128" s="31">
        <f>(127-3)-COUNTIF(R3:R127,"")</f>
        <v>88</v>
      </c>
      <c r="S128" s="31">
        <f t="shared" ref="S128:Y128" si="39">(127-3)-COUNTIF(S3:S127,"")</f>
        <v>47</v>
      </c>
      <c r="T128" s="31">
        <f t="shared" si="39"/>
        <v>47</v>
      </c>
      <c r="U128" s="31">
        <f t="shared" si="39"/>
        <v>47</v>
      </c>
      <c r="V128" s="31">
        <f t="shared" si="39"/>
        <v>37</v>
      </c>
      <c r="W128" s="31">
        <f t="shared" si="39"/>
        <v>42</v>
      </c>
      <c r="X128" s="31">
        <f t="shared" si="39"/>
        <v>73</v>
      </c>
      <c r="Y128" s="31">
        <f t="shared" si="39"/>
        <v>124</v>
      </c>
    </row>
  </sheetData>
  <dataConsolidate/>
  <mergeCells count="1">
    <mergeCell ref="J2:P2"/>
  </mergeCells>
  <phoneticPr fontId="16" type="noConversion"/>
  <pageMargins left="7.874015748031496E-2" right="7.874015748031496E-2" top="0" bottom="0" header="3.937007874015748E-2" footer="3.937007874015748E-2"/>
  <pageSetup paperSize="9" scale="63" fitToHeight="0"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D444-3B7A-4E4D-B05D-A678CED5A478}">
  <dimension ref="A1:I126"/>
  <sheetViews>
    <sheetView topLeftCell="A114" workbookViewId="0">
      <selection activeCell="K120" sqref="K120"/>
    </sheetView>
  </sheetViews>
  <sheetFormatPr defaultColWidth="18.5703125" defaultRowHeight="15" x14ac:dyDescent="0.25"/>
  <cols>
    <col min="1" max="1" width="14.28515625" style="217" bestFit="1" customWidth="1"/>
    <col min="2" max="2" width="18.5703125" style="217"/>
    <col min="3" max="3" width="6" style="217" bestFit="1" customWidth="1"/>
    <col min="4" max="4" width="8.42578125" style="217" bestFit="1" customWidth="1"/>
    <col min="5" max="5" width="17.85546875" style="217" bestFit="1" customWidth="1"/>
    <col min="6" max="6" width="16.85546875" style="217" bestFit="1" customWidth="1"/>
    <col min="7" max="7" width="18.42578125" style="217" bestFit="1" customWidth="1"/>
    <col min="8" max="8" width="5.5703125" style="217" bestFit="1" customWidth="1"/>
    <col min="9" max="9" width="8" style="217" customWidth="1"/>
    <col min="10" max="16384" width="18.5703125" style="217"/>
  </cols>
  <sheetData>
    <row r="1" spans="1:9" x14ac:dyDescent="0.25">
      <c r="A1" s="237" t="s">
        <v>134</v>
      </c>
      <c r="B1" s="237" t="s">
        <v>205</v>
      </c>
      <c r="C1" s="238" t="s">
        <v>206</v>
      </c>
      <c r="D1" s="238" t="s">
        <v>207</v>
      </c>
      <c r="E1" s="239" t="s">
        <v>208</v>
      </c>
      <c r="F1" s="239" t="s">
        <v>232</v>
      </c>
      <c r="G1" s="253"/>
      <c r="H1" s="238" t="s">
        <v>231</v>
      </c>
      <c r="I1" s="238" t="s">
        <v>85</v>
      </c>
    </row>
    <row r="2" spans="1:9" ht="40.5" x14ac:dyDescent="0.25">
      <c r="A2" s="240" t="s">
        <v>92</v>
      </c>
      <c r="B2" s="241" t="s">
        <v>93</v>
      </c>
      <c r="C2" s="242" t="s">
        <v>27</v>
      </c>
      <c r="D2" s="242" t="s">
        <v>165</v>
      </c>
      <c r="E2" s="244" t="s">
        <v>234</v>
      </c>
      <c r="F2" s="244" t="s">
        <v>313</v>
      </c>
      <c r="G2" s="244" t="s">
        <v>235</v>
      </c>
      <c r="H2" s="249">
        <v>20</v>
      </c>
      <c r="I2" s="250"/>
    </row>
    <row r="3" spans="1:9" ht="40.5" x14ac:dyDescent="0.25">
      <c r="A3" s="240"/>
      <c r="B3" s="241"/>
      <c r="C3" s="242"/>
      <c r="D3" s="242" t="s">
        <v>167</v>
      </c>
      <c r="E3" s="244" t="s">
        <v>236</v>
      </c>
      <c r="F3" s="244" t="s">
        <v>313</v>
      </c>
      <c r="G3" s="244" t="s">
        <v>237</v>
      </c>
      <c r="H3" s="249">
        <v>20</v>
      </c>
      <c r="I3" s="250"/>
    </row>
    <row r="4" spans="1:9" ht="40.5" x14ac:dyDescent="0.25">
      <c r="A4" s="240"/>
      <c r="B4" s="241"/>
      <c r="C4" s="242"/>
      <c r="D4" s="242" t="s">
        <v>169</v>
      </c>
      <c r="E4" s="244" t="s">
        <v>238</v>
      </c>
      <c r="F4" s="244" t="s">
        <v>313</v>
      </c>
      <c r="G4" s="244" t="s">
        <v>239</v>
      </c>
      <c r="H4" s="249">
        <v>20</v>
      </c>
      <c r="I4" s="250"/>
    </row>
    <row r="5" spans="1:9" ht="40.5" x14ac:dyDescent="0.25">
      <c r="A5" s="245"/>
      <c r="B5" s="245"/>
      <c r="C5" s="242" t="s">
        <v>44</v>
      </c>
      <c r="D5" s="242" t="s">
        <v>199</v>
      </c>
      <c r="E5" s="244" t="s">
        <v>240</v>
      </c>
      <c r="F5" s="244" t="s">
        <v>313</v>
      </c>
      <c r="G5" s="244" t="s">
        <v>241</v>
      </c>
      <c r="H5" s="249">
        <v>20</v>
      </c>
      <c r="I5" s="250"/>
    </row>
    <row r="6" spans="1:9" ht="40.5" x14ac:dyDescent="0.25">
      <c r="A6" s="245"/>
      <c r="B6" s="245"/>
      <c r="C6" s="242"/>
      <c r="D6" s="242" t="s">
        <v>200</v>
      </c>
      <c r="E6" s="244" t="s">
        <v>242</v>
      </c>
      <c r="F6" s="244" t="s">
        <v>313</v>
      </c>
      <c r="G6" s="244" t="s">
        <v>243</v>
      </c>
      <c r="H6" s="249">
        <v>20</v>
      </c>
      <c r="I6" s="250">
        <v>100</v>
      </c>
    </row>
    <row r="7" spans="1:9" ht="40.5" x14ac:dyDescent="0.25">
      <c r="A7" s="240" t="s">
        <v>94</v>
      </c>
      <c r="B7" s="241" t="s">
        <v>95</v>
      </c>
      <c r="C7" s="242" t="s">
        <v>27</v>
      </c>
      <c r="D7" s="242" t="s">
        <v>165</v>
      </c>
      <c r="E7" s="244" t="s">
        <v>234</v>
      </c>
      <c r="F7" s="244" t="s">
        <v>313</v>
      </c>
      <c r="G7" s="244" t="s">
        <v>235</v>
      </c>
      <c r="H7" s="249">
        <v>15</v>
      </c>
      <c r="I7" s="250"/>
    </row>
    <row r="8" spans="1:9" ht="40.5" x14ac:dyDescent="0.25">
      <c r="A8" s="240"/>
      <c r="B8" s="241"/>
      <c r="C8" s="242"/>
      <c r="D8" s="242" t="s">
        <v>167</v>
      </c>
      <c r="E8" s="244" t="s">
        <v>236</v>
      </c>
      <c r="F8" s="244" t="s">
        <v>313</v>
      </c>
      <c r="G8" s="244" t="s">
        <v>237</v>
      </c>
      <c r="H8" s="249">
        <v>20</v>
      </c>
      <c r="I8" s="250"/>
    </row>
    <row r="9" spans="1:9" ht="40.5" x14ac:dyDescent="0.25">
      <c r="A9" s="240"/>
      <c r="B9" s="241"/>
      <c r="C9" s="242"/>
      <c r="D9" s="242" t="s">
        <v>169</v>
      </c>
      <c r="E9" s="244" t="s">
        <v>238</v>
      </c>
      <c r="F9" s="244" t="s">
        <v>313</v>
      </c>
      <c r="G9" s="244" t="s">
        <v>239</v>
      </c>
      <c r="H9" s="249">
        <v>20</v>
      </c>
      <c r="I9" s="250"/>
    </row>
    <row r="10" spans="1:9" ht="40.5" x14ac:dyDescent="0.25">
      <c r="A10" s="245"/>
      <c r="B10" s="245"/>
      <c r="C10" s="242" t="s">
        <v>44</v>
      </c>
      <c r="D10" s="242" t="s">
        <v>199</v>
      </c>
      <c r="E10" s="244" t="s">
        <v>240</v>
      </c>
      <c r="F10" s="244" t="s">
        <v>313</v>
      </c>
      <c r="G10" s="244" t="s">
        <v>241</v>
      </c>
      <c r="H10" s="249">
        <v>23</v>
      </c>
      <c r="I10" s="250"/>
    </row>
    <row r="11" spans="1:9" ht="40.5" x14ac:dyDescent="0.25">
      <c r="A11" s="245"/>
      <c r="B11" s="245"/>
      <c r="C11" s="242"/>
      <c r="D11" s="242" t="s">
        <v>200</v>
      </c>
      <c r="E11" s="244" t="s">
        <v>242</v>
      </c>
      <c r="F11" s="244" t="s">
        <v>313</v>
      </c>
      <c r="G11" s="244" t="s">
        <v>243</v>
      </c>
      <c r="H11" s="249">
        <v>22</v>
      </c>
      <c r="I11" s="250">
        <v>100</v>
      </c>
    </row>
    <row r="12" spans="1:9" ht="40.5" x14ac:dyDescent="0.25">
      <c r="A12" s="240" t="s">
        <v>96</v>
      </c>
      <c r="B12" s="241" t="s">
        <v>97</v>
      </c>
      <c r="C12" s="242" t="s">
        <v>27</v>
      </c>
      <c r="D12" s="242" t="s">
        <v>165</v>
      </c>
      <c r="E12" s="244" t="s">
        <v>234</v>
      </c>
      <c r="F12" s="244" t="s">
        <v>313</v>
      </c>
      <c r="G12" s="244" t="s">
        <v>244</v>
      </c>
      <c r="H12" s="249">
        <v>20</v>
      </c>
      <c r="I12" s="250"/>
    </row>
    <row r="13" spans="1:9" ht="40.5" x14ac:dyDescent="0.25">
      <c r="A13" s="240"/>
      <c r="B13" s="241"/>
      <c r="C13" s="242"/>
      <c r="D13" s="242" t="s">
        <v>167</v>
      </c>
      <c r="E13" s="244" t="s">
        <v>236</v>
      </c>
      <c r="F13" s="244" t="s">
        <v>313</v>
      </c>
      <c r="G13" s="244" t="s">
        <v>245</v>
      </c>
      <c r="H13" s="249">
        <v>20</v>
      </c>
      <c r="I13" s="250"/>
    </row>
    <row r="14" spans="1:9" ht="27" x14ac:dyDescent="0.25">
      <c r="A14" s="240"/>
      <c r="B14" s="241"/>
      <c r="C14" s="242"/>
      <c r="D14" s="242" t="s">
        <v>169</v>
      </c>
      <c r="E14" s="244" t="s">
        <v>238</v>
      </c>
      <c r="F14" s="244" t="s">
        <v>313</v>
      </c>
      <c r="G14" s="244" t="s">
        <v>246</v>
      </c>
      <c r="H14" s="249">
        <v>20</v>
      </c>
      <c r="I14" s="250"/>
    </row>
    <row r="15" spans="1:9" ht="40.5" x14ac:dyDescent="0.25">
      <c r="A15" s="245"/>
      <c r="B15" s="245"/>
      <c r="C15" s="242" t="s">
        <v>44</v>
      </c>
      <c r="D15" s="242" t="s">
        <v>199</v>
      </c>
      <c r="E15" s="244" t="s">
        <v>240</v>
      </c>
      <c r="F15" s="244" t="s">
        <v>313</v>
      </c>
      <c r="G15" s="244" t="s">
        <v>247</v>
      </c>
      <c r="H15" s="249">
        <v>20</v>
      </c>
      <c r="I15" s="250"/>
    </row>
    <row r="16" spans="1:9" ht="40.5" x14ac:dyDescent="0.25">
      <c r="A16" s="245"/>
      <c r="B16" s="245"/>
      <c r="C16" s="242"/>
      <c r="D16" s="242" t="s">
        <v>200</v>
      </c>
      <c r="E16" s="244" t="s">
        <v>242</v>
      </c>
      <c r="F16" s="244" t="s">
        <v>313</v>
      </c>
      <c r="G16" s="244" t="s">
        <v>248</v>
      </c>
      <c r="H16" s="249">
        <v>20</v>
      </c>
      <c r="I16" s="250">
        <v>100</v>
      </c>
    </row>
    <row r="17" spans="1:9" ht="51" x14ac:dyDescent="0.25">
      <c r="A17" s="240" t="s">
        <v>98</v>
      </c>
      <c r="B17" s="241" t="s">
        <v>99</v>
      </c>
      <c r="C17" s="242" t="s">
        <v>22</v>
      </c>
      <c r="D17" s="242" t="s">
        <v>153</v>
      </c>
      <c r="E17" s="244" t="s">
        <v>249</v>
      </c>
      <c r="F17" s="244" t="s">
        <v>313</v>
      </c>
      <c r="G17" s="244" t="s">
        <v>250</v>
      </c>
      <c r="H17" s="249">
        <v>0</v>
      </c>
      <c r="I17" s="250"/>
    </row>
    <row r="18" spans="1:9" ht="27" x14ac:dyDescent="0.25">
      <c r="A18" s="240"/>
      <c r="B18" s="241"/>
      <c r="C18" s="242"/>
      <c r="D18" s="242" t="s">
        <v>155</v>
      </c>
      <c r="E18" s="244" t="s">
        <v>251</v>
      </c>
      <c r="F18" s="244" t="s">
        <v>313</v>
      </c>
      <c r="G18" s="244" t="s">
        <v>250</v>
      </c>
      <c r="H18" s="249">
        <v>0</v>
      </c>
      <c r="I18" s="250"/>
    </row>
    <row r="19" spans="1:9" ht="27" x14ac:dyDescent="0.25">
      <c r="A19" s="240"/>
      <c r="B19" s="241"/>
      <c r="C19" s="242"/>
      <c r="D19" s="242" t="s">
        <v>157</v>
      </c>
      <c r="E19" s="244" t="s">
        <v>252</v>
      </c>
      <c r="F19" s="244" t="s">
        <v>313</v>
      </c>
      <c r="G19" s="244" t="s">
        <v>250</v>
      </c>
      <c r="H19" s="249">
        <v>0</v>
      </c>
      <c r="I19" s="250"/>
    </row>
    <row r="20" spans="1:9" ht="27" x14ac:dyDescent="0.25">
      <c r="A20" s="245"/>
      <c r="B20" s="245"/>
      <c r="C20" s="242" t="s">
        <v>25</v>
      </c>
      <c r="D20" s="242" t="s">
        <v>159</v>
      </c>
      <c r="E20" s="244" t="s">
        <v>253</v>
      </c>
      <c r="F20" s="244" t="s">
        <v>313</v>
      </c>
      <c r="G20" s="244" t="s">
        <v>250</v>
      </c>
      <c r="H20" s="249">
        <v>0</v>
      </c>
      <c r="I20" s="250"/>
    </row>
    <row r="21" spans="1:9" ht="27" x14ac:dyDescent="0.25">
      <c r="A21" s="245"/>
      <c r="B21" s="245"/>
      <c r="C21" s="242"/>
      <c r="D21" s="242" t="s">
        <v>161</v>
      </c>
      <c r="E21" s="244" t="s">
        <v>254</v>
      </c>
      <c r="F21" s="244" t="s">
        <v>313</v>
      </c>
      <c r="G21" s="244" t="s">
        <v>250</v>
      </c>
      <c r="H21" s="249">
        <v>0</v>
      </c>
      <c r="I21" s="250"/>
    </row>
    <row r="22" spans="1:9" ht="27" x14ac:dyDescent="0.25">
      <c r="A22" s="245"/>
      <c r="B22" s="245"/>
      <c r="C22" s="242"/>
      <c r="D22" s="242" t="s">
        <v>163</v>
      </c>
      <c r="E22" s="244" t="s">
        <v>255</v>
      </c>
      <c r="F22" s="244" t="s">
        <v>313</v>
      </c>
      <c r="G22" s="244" t="s">
        <v>250</v>
      </c>
      <c r="H22" s="249">
        <v>0</v>
      </c>
      <c r="I22" s="250"/>
    </row>
    <row r="23" spans="1:9" ht="27" x14ac:dyDescent="0.25">
      <c r="A23" s="245"/>
      <c r="B23" s="245"/>
      <c r="C23" s="242" t="s">
        <v>45</v>
      </c>
      <c r="D23" s="242" t="s">
        <v>201</v>
      </c>
      <c r="E23" s="244" t="s">
        <v>256</v>
      </c>
      <c r="F23" s="244" t="s">
        <v>313</v>
      </c>
      <c r="G23" s="244" t="s">
        <v>250</v>
      </c>
      <c r="H23" s="249">
        <v>0</v>
      </c>
      <c r="I23" s="250"/>
    </row>
    <row r="24" spans="1:9" ht="27" x14ac:dyDescent="0.25">
      <c r="A24" s="245"/>
      <c r="B24" s="245"/>
      <c r="C24" s="242"/>
      <c r="D24" s="242" t="s">
        <v>202</v>
      </c>
      <c r="E24" s="244" t="s">
        <v>257</v>
      </c>
      <c r="F24" s="244" t="s">
        <v>313</v>
      </c>
      <c r="G24" s="244" t="s">
        <v>250</v>
      </c>
      <c r="H24" s="249">
        <v>0</v>
      </c>
      <c r="I24" s="250"/>
    </row>
    <row r="25" spans="1:9" ht="38.25" x14ac:dyDescent="0.25">
      <c r="A25" s="240" t="s">
        <v>100</v>
      </c>
      <c r="B25" s="241" t="s">
        <v>101</v>
      </c>
      <c r="C25" s="242" t="s">
        <v>35</v>
      </c>
      <c r="D25" s="242" t="s">
        <v>183</v>
      </c>
      <c r="E25" s="244" t="s">
        <v>258</v>
      </c>
      <c r="F25" s="244" t="s">
        <v>313</v>
      </c>
      <c r="G25" s="244" t="s">
        <v>250</v>
      </c>
      <c r="H25" s="249">
        <v>0</v>
      </c>
      <c r="I25" s="250"/>
    </row>
    <row r="26" spans="1:9" ht="27" x14ac:dyDescent="0.25">
      <c r="A26" s="245"/>
      <c r="B26" s="245"/>
      <c r="C26" s="242"/>
      <c r="D26" s="242" t="s">
        <v>185</v>
      </c>
      <c r="E26" s="244" t="s">
        <v>259</v>
      </c>
      <c r="F26" s="244" t="s">
        <v>313</v>
      </c>
      <c r="G26" s="244" t="s">
        <v>250</v>
      </c>
      <c r="H26" s="249">
        <v>0</v>
      </c>
      <c r="I26" s="250"/>
    </row>
    <row r="27" spans="1:9" ht="27" x14ac:dyDescent="0.25">
      <c r="A27" s="245"/>
      <c r="B27" s="245"/>
      <c r="C27" s="242"/>
      <c r="D27" s="242" t="s">
        <v>187</v>
      </c>
      <c r="E27" s="244" t="s">
        <v>260</v>
      </c>
      <c r="F27" s="244" t="s">
        <v>313</v>
      </c>
      <c r="G27" s="244" t="s">
        <v>250</v>
      </c>
      <c r="H27" s="249">
        <v>0</v>
      </c>
      <c r="I27" s="250"/>
    </row>
    <row r="28" spans="1:9" ht="27" x14ac:dyDescent="0.25">
      <c r="A28" s="245"/>
      <c r="B28" s="245"/>
      <c r="C28" s="242" t="s">
        <v>45</v>
      </c>
      <c r="D28" s="242" t="s">
        <v>201</v>
      </c>
      <c r="E28" s="244" t="s">
        <v>256</v>
      </c>
      <c r="F28" s="244" t="s">
        <v>313</v>
      </c>
      <c r="G28" s="244" t="s">
        <v>250</v>
      </c>
      <c r="H28" s="249">
        <v>0</v>
      </c>
      <c r="I28" s="250"/>
    </row>
    <row r="29" spans="1:9" ht="27" x14ac:dyDescent="0.25">
      <c r="A29" s="245"/>
      <c r="B29" s="245"/>
      <c r="C29" s="242"/>
      <c r="D29" s="242" t="s">
        <v>202</v>
      </c>
      <c r="E29" s="244" t="s">
        <v>257</v>
      </c>
      <c r="F29" s="244" t="s">
        <v>313</v>
      </c>
      <c r="G29" s="244" t="s">
        <v>250</v>
      </c>
      <c r="H29" s="249">
        <v>0</v>
      </c>
      <c r="I29" s="250"/>
    </row>
    <row r="30" spans="1:9" ht="40.5" x14ac:dyDescent="0.25">
      <c r="A30" s="240" t="s">
        <v>102</v>
      </c>
      <c r="B30" s="241" t="s">
        <v>103</v>
      </c>
      <c r="C30" s="242" t="s">
        <v>22</v>
      </c>
      <c r="D30" s="242" t="s">
        <v>153</v>
      </c>
      <c r="E30" s="244" t="s">
        <v>249</v>
      </c>
      <c r="F30" s="244" t="s">
        <v>313</v>
      </c>
      <c r="G30" s="244" t="s">
        <v>237</v>
      </c>
      <c r="H30" s="249">
        <v>35</v>
      </c>
      <c r="I30" s="250"/>
    </row>
    <row r="31" spans="1:9" ht="40.5" x14ac:dyDescent="0.25">
      <c r="A31" s="240"/>
      <c r="B31" s="241"/>
      <c r="C31" s="242"/>
      <c r="D31" s="242" t="s">
        <v>155</v>
      </c>
      <c r="E31" s="244" t="s">
        <v>251</v>
      </c>
      <c r="F31" s="244" t="s">
        <v>313</v>
      </c>
      <c r="G31" s="244" t="s">
        <v>261</v>
      </c>
      <c r="H31" s="249">
        <v>25</v>
      </c>
      <c r="I31" s="250"/>
    </row>
    <row r="32" spans="1:9" ht="40.5" x14ac:dyDescent="0.25">
      <c r="A32" s="240"/>
      <c r="B32" s="241"/>
      <c r="C32" s="242"/>
      <c r="D32" s="242" t="s">
        <v>157</v>
      </c>
      <c r="E32" s="244" t="s">
        <v>252</v>
      </c>
      <c r="F32" s="244" t="s">
        <v>313</v>
      </c>
      <c r="G32" s="244" t="s">
        <v>262</v>
      </c>
      <c r="H32" s="249">
        <v>20</v>
      </c>
      <c r="I32" s="250"/>
    </row>
    <row r="33" spans="1:9" ht="40.5" x14ac:dyDescent="0.25">
      <c r="A33" s="245"/>
      <c r="B33" s="245"/>
      <c r="C33" s="242" t="s">
        <v>45</v>
      </c>
      <c r="D33" s="242" t="s">
        <v>201</v>
      </c>
      <c r="E33" s="244" t="s">
        <v>256</v>
      </c>
      <c r="F33" s="244" t="s">
        <v>313</v>
      </c>
      <c r="G33" s="244" t="s">
        <v>263</v>
      </c>
      <c r="H33" s="249">
        <v>10</v>
      </c>
      <c r="I33" s="250"/>
    </row>
    <row r="34" spans="1:9" ht="40.5" x14ac:dyDescent="0.25">
      <c r="A34" s="245"/>
      <c r="B34" s="245"/>
      <c r="C34" s="242"/>
      <c r="D34" s="242" t="s">
        <v>202</v>
      </c>
      <c r="E34" s="244" t="s">
        <v>257</v>
      </c>
      <c r="F34" s="244" t="s">
        <v>313</v>
      </c>
      <c r="G34" s="244" t="s">
        <v>264</v>
      </c>
      <c r="H34" s="249">
        <v>10</v>
      </c>
      <c r="I34" s="250">
        <v>100</v>
      </c>
    </row>
    <row r="35" spans="1:9" ht="38.25" x14ac:dyDescent="0.25">
      <c r="A35" s="240" t="s">
        <v>104</v>
      </c>
      <c r="B35" s="241" t="s">
        <v>105</v>
      </c>
      <c r="C35" s="242" t="s">
        <v>30</v>
      </c>
      <c r="D35" s="242" t="s">
        <v>171</v>
      </c>
      <c r="E35" s="244" t="s">
        <v>265</v>
      </c>
      <c r="F35" s="244" t="s">
        <v>313</v>
      </c>
      <c r="G35" s="244" t="s">
        <v>266</v>
      </c>
      <c r="H35" s="249">
        <v>7</v>
      </c>
      <c r="I35" s="250"/>
    </row>
    <row r="36" spans="1:9" ht="27" x14ac:dyDescent="0.25">
      <c r="A36" s="240"/>
      <c r="B36" s="241"/>
      <c r="C36" s="242"/>
      <c r="D36" s="242" t="s">
        <v>173</v>
      </c>
      <c r="E36" s="244" t="s">
        <v>267</v>
      </c>
      <c r="F36" s="244" t="s">
        <v>313</v>
      </c>
      <c r="G36" s="244" t="s">
        <v>268</v>
      </c>
      <c r="H36" s="249">
        <v>15</v>
      </c>
      <c r="I36" s="250"/>
    </row>
    <row r="37" spans="1:9" ht="27" x14ac:dyDescent="0.25">
      <c r="A37" s="240"/>
      <c r="B37" s="241"/>
      <c r="C37" s="242"/>
      <c r="D37" s="242" t="s">
        <v>175</v>
      </c>
      <c r="E37" s="244" t="s">
        <v>269</v>
      </c>
      <c r="F37" s="244" t="s">
        <v>313</v>
      </c>
      <c r="G37" s="244" t="s">
        <v>270</v>
      </c>
      <c r="H37" s="249">
        <v>15</v>
      </c>
      <c r="I37" s="250"/>
    </row>
    <row r="38" spans="1:9" ht="27" x14ac:dyDescent="0.25">
      <c r="A38" s="245"/>
      <c r="B38" s="245"/>
      <c r="C38" s="242" t="s">
        <v>35</v>
      </c>
      <c r="D38" s="242" t="s">
        <v>183</v>
      </c>
      <c r="E38" s="244" t="s">
        <v>258</v>
      </c>
      <c r="F38" s="244" t="s">
        <v>313</v>
      </c>
      <c r="G38" s="244" t="s">
        <v>271</v>
      </c>
      <c r="H38" s="249">
        <v>10</v>
      </c>
      <c r="I38" s="250"/>
    </row>
    <row r="39" spans="1:9" ht="27" x14ac:dyDescent="0.25">
      <c r="A39" s="245"/>
      <c r="B39" s="245"/>
      <c r="C39" s="242"/>
      <c r="D39" s="242" t="s">
        <v>185</v>
      </c>
      <c r="E39" s="244" t="s">
        <v>259</v>
      </c>
      <c r="F39" s="244" t="s">
        <v>313</v>
      </c>
      <c r="G39" s="244" t="s">
        <v>272</v>
      </c>
      <c r="H39" s="249">
        <v>10</v>
      </c>
      <c r="I39" s="250"/>
    </row>
    <row r="40" spans="1:9" ht="27" x14ac:dyDescent="0.25">
      <c r="A40" s="245"/>
      <c r="B40" s="245"/>
      <c r="C40" s="242"/>
      <c r="D40" s="242" t="s">
        <v>187</v>
      </c>
      <c r="E40" s="244" t="s">
        <v>260</v>
      </c>
      <c r="F40" s="244" t="s">
        <v>313</v>
      </c>
      <c r="G40" s="244" t="s">
        <v>272</v>
      </c>
      <c r="H40" s="249">
        <v>10</v>
      </c>
      <c r="I40" s="250"/>
    </row>
    <row r="41" spans="1:9" ht="40.5" x14ac:dyDescent="0.25">
      <c r="A41" s="245"/>
      <c r="B41" s="245"/>
      <c r="C41" s="242" t="s">
        <v>45</v>
      </c>
      <c r="D41" s="242" t="s">
        <v>201</v>
      </c>
      <c r="E41" s="244" t="s">
        <v>256</v>
      </c>
      <c r="F41" s="244" t="s">
        <v>313</v>
      </c>
      <c r="G41" s="244" t="s">
        <v>261</v>
      </c>
      <c r="H41" s="249">
        <v>18</v>
      </c>
      <c r="I41" s="250"/>
    </row>
    <row r="42" spans="1:9" ht="27" x14ac:dyDescent="0.25">
      <c r="A42" s="245"/>
      <c r="B42" s="245"/>
      <c r="C42" s="242"/>
      <c r="D42" s="242" t="s">
        <v>202</v>
      </c>
      <c r="E42" s="244" t="s">
        <v>257</v>
      </c>
      <c r="F42" s="244" t="s">
        <v>313</v>
      </c>
      <c r="G42" s="244" t="s">
        <v>270</v>
      </c>
      <c r="H42" s="249">
        <v>15</v>
      </c>
      <c r="I42" s="250">
        <v>100</v>
      </c>
    </row>
    <row r="43" spans="1:9" ht="38.25" x14ac:dyDescent="0.25">
      <c r="A43" s="240" t="s">
        <v>106</v>
      </c>
      <c r="B43" s="241" t="s">
        <v>107</v>
      </c>
      <c r="C43" s="242" t="s">
        <v>32</v>
      </c>
      <c r="D43" s="242" t="s">
        <v>177</v>
      </c>
      <c r="E43" s="244" t="s">
        <v>273</v>
      </c>
      <c r="F43" s="244" t="s">
        <v>313</v>
      </c>
      <c r="G43" s="244" t="s">
        <v>266</v>
      </c>
      <c r="H43" s="249">
        <v>15</v>
      </c>
      <c r="I43" s="250"/>
    </row>
    <row r="44" spans="1:9" ht="40.5" x14ac:dyDescent="0.25">
      <c r="A44" s="245"/>
      <c r="B44" s="245"/>
      <c r="C44" s="242"/>
      <c r="D44" s="242" t="s">
        <v>179</v>
      </c>
      <c r="E44" s="244" t="s">
        <v>274</v>
      </c>
      <c r="F44" s="244" t="s">
        <v>313</v>
      </c>
      <c r="G44" s="244" t="s">
        <v>275</v>
      </c>
      <c r="H44" s="249">
        <v>25</v>
      </c>
      <c r="I44" s="250"/>
    </row>
    <row r="45" spans="1:9" ht="27" x14ac:dyDescent="0.25">
      <c r="A45" s="245"/>
      <c r="B45" s="245"/>
      <c r="C45" s="242"/>
      <c r="D45" s="242" t="s">
        <v>181</v>
      </c>
      <c r="E45" s="244" t="s">
        <v>276</v>
      </c>
      <c r="F45" s="244" t="s">
        <v>313</v>
      </c>
      <c r="G45" s="244" t="s">
        <v>246</v>
      </c>
      <c r="H45" s="249">
        <v>20</v>
      </c>
      <c r="I45" s="250"/>
    </row>
    <row r="46" spans="1:9" ht="27" x14ac:dyDescent="0.25">
      <c r="A46" s="245"/>
      <c r="B46" s="245"/>
      <c r="C46" s="242" t="s">
        <v>45</v>
      </c>
      <c r="D46" s="242" t="s">
        <v>201</v>
      </c>
      <c r="E46" s="244" t="s">
        <v>256</v>
      </c>
      <c r="F46" s="244" t="s">
        <v>313</v>
      </c>
      <c r="G46" s="244" t="s">
        <v>277</v>
      </c>
      <c r="H46" s="249">
        <v>20</v>
      </c>
      <c r="I46" s="250"/>
    </row>
    <row r="47" spans="1:9" ht="27" x14ac:dyDescent="0.25">
      <c r="A47" s="245"/>
      <c r="B47" s="245"/>
      <c r="C47" s="242"/>
      <c r="D47" s="242" t="s">
        <v>202</v>
      </c>
      <c r="E47" s="244" t="s">
        <v>257</v>
      </c>
      <c r="F47" s="244" t="s">
        <v>313</v>
      </c>
      <c r="G47" s="244" t="s">
        <v>278</v>
      </c>
      <c r="H47" s="249">
        <v>20</v>
      </c>
      <c r="I47" s="250">
        <v>100</v>
      </c>
    </row>
    <row r="48" spans="1:9" ht="27" x14ac:dyDescent="0.25">
      <c r="A48" s="240" t="s">
        <v>108</v>
      </c>
      <c r="B48" s="241" t="s">
        <v>109</v>
      </c>
      <c r="C48" s="242" t="s">
        <v>30</v>
      </c>
      <c r="D48" s="242" t="s">
        <v>171</v>
      </c>
      <c r="E48" s="244" t="s">
        <v>265</v>
      </c>
      <c r="F48" s="244" t="s">
        <v>313</v>
      </c>
      <c r="G48" s="244" t="s">
        <v>266</v>
      </c>
      <c r="H48" s="249">
        <v>10</v>
      </c>
      <c r="I48" s="250"/>
    </row>
    <row r="49" spans="1:9" ht="27" x14ac:dyDescent="0.25">
      <c r="A49" s="240"/>
      <c r="B49" s="241"/>
      <c r="C49" s="242"/>
      <c r="D49" s="242" t="s">
        <v>173</v>
      </c>
      <c r="E49" s="244" t="s">
        <v>267</v>
      </c>
      <c r="F49" s="244" t="s">
        <v>313</v>
      </c>
      <c r="G49" s="244" t="s">
        <v>279</v>
      </c>
      <c r="H49" s="249">
        <v>18</v>
      </c>
      <c r="I49" s="250"/>
    </row>
    <row r="50" spans="1:9" ht="40.5" x14ac:dyDescent="0.25">
      <c r="A50" s="240"/>
      <c r="B50" s="241"/>
      <c r="C50" s="242"/>
      <c r="D50" s="242" t="s">
        <v>175</v>
      </c>
      <c r="E50" s="244" t="s">
        <v>269</v>
      </c>
      <c r="F50" s="244" t="s">
        <v>313</v>
      </c>
      <c r="G50" s="244" t="s">
        <v>262</v>
      </c>
      <c r="H50" s="249">
        <v>25</v>
      </c>
      <c r="I50" s="250"/>
    </row>
    <row r="51" spans="1:9" ht="40.5" x14ac:dyDescent="0.25">
      <c r="A51" s="245"/>
      <c r="B51" s="245"/>
      <c r="C51" s="242" t="s">
        <v>44</v>
      </c>
      <c r="D51" s="242" t="s">
        <v>199</v>
      </c>
      <c r="E51" s="244" t="s">
        <v>240</v>
      </c>
      <c r="F51" s="244" t="s">
        <v>313</v>
      </c>
      <c r="G51" s="244" t="s">
        <v>280</v>
      </c>
      <c r="H51" s="249">
        <v>27</v>
      </c>
      <c r="I51" s="250"/>
    </row>
    <row r="52" spans="1:9" ht="27" x14ac:dyDescent="0.25">
      <c r="A52" s="245"/>
      <c r="B52" s="245"/>
      <c r="C52" s="242"/>
      <c r="D52" s="242" t="s">
        <v>200</v>
      </c>
      <c r="E52" s="244" t="s">
        <v>242</v>
      </c>
      <c r="F52" s="244" t="s">
        <v>313</v>
      </c>
      <c r="G52" s="244" t="s">
        <v>278</v>
      </c>
      <c r="H52" s="249">
        <v>20</v>
      </c>
      <c r="I52" s="250">
        <v>100</v>
      </c>
    </row>
    <row r="53" spans="1:9" ht="51" x14ac:dyDescent="0.25">
      <c r="A53" s="240" t="s">
        <v>110</v>
      </c>
      <c r="B53" s="241" t="s">
        <v>111</v>
      </c>
      <c r="C53" s="242" t="s">
        <v>27</v>
      </c>
      <c r="D53" s="242" t="s">
        <v>165</v>
      </c>
      <c r="E53" s="244" t="s">
        <v>234</v>
      </c>
      <c r="F53" s="244" t="s">
        <v>313</v>
      </c>
      <c r="G53" s="244" t="s">
        <v>250</v>
      </c>
      <c r="H53" s="249">
        <v>0</v>
      </c>
      <c r="I53" s="250"/>
    </row>
    <row r="54" spans="1:9" ht="27" x14ac:dyDescent="0.25">
      <c r="A54" s="240"/>
      <c r="B54" s="241"/>
      <c r="C54" s="242"/>
      <c r="D54" s="242" t="s">
        <v>167</v>
      </c>
      <c r="E54" s="244" t="s">
        <v>236</v>
      </c>
      <c r="F54" s="244" t="s">
        <v>313</v>
      </c>
      <c r="G54" s="244" t="s">
        <v>250</v>
      </c>
      <c r="H54" s="249">
        <v>0</v>
      </c>
      <c r="I54" s="250"/>
    </row>
    <row r="55" spans="1:9" ht="27" x14ac:dyDescent="0.25">
      <c r="A55" s="240"/>
      <c r="B55" s="241"/>
      <c r="C55" s="242"/>
      <c r="D55" s="242" t="s">
        <v>169</v>
      </c>
      <c r="E55" s="244" t="s">
        <v>238</v>
      </c>
      <c r="F55" s="244" t="s">
        <v>313</v>
      </c>
      <c r="G55" s="244" t="s">
        <v>250</v>
      </c>
      <c r="H55" s="249">
        <v>0</v>
      </c>
      <c r="I55" s="250"/>
    </row>
    <row r="56" spans="1:9" ht="27" x14ac:dyDescent="0.25">
      <c r="A56" s="245"/>
      <c r="B56" s="245"/>
      <c r="C56" s="242" t="s">
        <v>44</v>
      </c>
      <c r="D56" s="242" t="s">
        <v>199</v>
      </c>
      <c r="E56" s="244" t="s">
        <v>240</v>
      </c>
      <c r="F56" s="244" t="s">
        <v>313</v>
      </c>
      <c r="G56" s="244" t="s">
        <v>250</v>
      </c>
      <c r="H56" s="249">
        <v>0</v>
      </c>
      <c r="I56" s="250"/>
    </row>
    <row r="57" spans="1:9" ht="27" x14ac:dyDescent="0.25">
      <c r="A57" s="245"/>
      <c r="B57" s="245"/>
      <c r="C57" s="242"/>
      <c r="D57" s="242" t="s">
        <v>200</v>
      </c>
      <c r="E57" s="244" t="s">
        <v>242</v>
      </c>
      <c r="F57" s="244" t="s">
        <v>313</v>
      </c>
      <c r="G57" s="244" t="s">
        <v>250</v>
      </c>
      <c r="H57" s="249">
        <v>0</v>
      </c>
      <c r="I57" s="250"/>
    </row>
    <row r="58" spans="1:9" ht="51" x14ac:dyDescent="0.25">
      <c r="A58" s="240" t="s">
        <v>112</v>
      </c>
      <c r="B58" s="241" t="s">
        <v>113</v>
      </c>
      <c r="C58" s="242" t="s">
        <v>32</v>
      </c>
      <c r="D58" s="242" t="s">
        <v>177</v>
      </c>
      <c r="E58" s="244" t="s">
        <v>273</v>
      </c>
      <c r="F58" s="244" t="s">
        <v>313</v>
      </c>
      <c r="G58" s="244" t="s">
        <v>266</v>
      </c>
      <c r="H58" s="249">
        <v>10</v>
      </c>
      <c r="I58" s="250"/>
    </row>
    <row r="59" spans="1:9" ht="27" x14ac:dyDescent="0.25">
      <c r="A59" s="240"/>
      <c r="B59" s="241"/>
      <c r="C59" s="242"/>
      <c r="D59" s="242" t="s">
        <v>179</v>
      </c>
      <c r="E59" s="244" t="s">
        <v>274</v>
      </c>
      <c r="F59" s="244" t="s">
        <v>313</v>
      </c>
      <c r="G59" s="244" t="s">
        <v>281</v>
      </c>
      <c r="H59" s="249">
        <v>10</v>
      </c>
      <c r="I59" s="250"/>
    </row>
    <row r="60" spans="1:9" ht="27" x14ac:dyDescent="0.25">
      <c r="A60" s="240"/>
      <c r="B60" s="241"/>
      <c r="C60" s="242"/>
      <c r="D60" s="242" t="s">
        <v>181</v>
      </c>
      <c r="E60" s="244" t="s">
        <v>276</v>
      </c>
      <c r="F60" s="244" t="s">
        <v>313</v>
      </c>
      <c r="G60" s="244" t="s">
        <v>282</v>
      </c>
      <c r="H60" s="249">
        <v>10</v>
      </c>
      <c r="I60" s="250"/>
    </row>
    <row r="61" spans="1:9" ht="54" x14ac:dyDescent="0.25">
      <c r="A61" s="245"/>
      <c r="B61" s="245"/>
      <c r="C61" s="242" t="s">
        <v>45</v>
      </c>
      <c r="D61" s="242" t="s">
        <v>201</v>
      </c>
      <c r="E61" s="244" t="s">
        <v>256</v>
      </c>
      <c r="F61" s="244" t="s">
        <v>313</v>
      </c>
      <c r="G61" s="244" t="s">
        <v>283</v>
      </c>
      <c r="H61" s="249">
        <v>37</v>
      </c>
      <c r="I61" s="250"/>
    </row>
    <row r="62" spans="1:9" ht="40.5" x14ac:dyDescent="0.25">
      <c r="A62" s="245"/>
      <c r="B62" s="245"/>
      <c r="C62" s="242"/>
      <c r="D62" s="242" t="s">
        <v>202</v>
      </c>
      <c r="E62" s="244" t="s">
        <v>257</v>
      </c>
      <c r="F62" s="244" t="s">
        <v>313</v>
      </c>
      <c r="G62" s="244" t="s">
        <v>241</v>
      </c>
      <c r="H62" s="249">
        <v>33</v>
      </c>
      <c r="I62" s="250">
        <v>100</v>
      </c>
    </row>
    <row r="63" spans="1:9" ht="40.5" x14ac:dyDescent="0.25">
      <c r="A63" s="240" t="s">
        <v>114</v>
      </c>
      <c r="B63" s="241" t="s">
        <v>115</v>
      </c>
      <c r="C63" s="242" t="s">
        <v>17</v>
      </c>
      <c r="D63" s="242" t="s">
        <v>145</v>
      </c>
      <c r="E63" s="244" t="s">
        <v>284</v>
      </c>
      <c r="F63" s="244" t="s">
        <v>313</v>
      </c>
      <c r="G63" s="244" t="s">
        <v>244</v>
      </c>
      <c r="H63" s="249">
        <v>10</v>
      </c>
      <c r="I63" s="250"/>
    </row>
    <row r="64" spans="1:9" ht="40.5" x14ac:dyDescent="0.25">
      <c r="A64" s="240"/>
      <c r="B64" s="241"/>
      <c r="C64" s="242"/>
      <c r="D64" s="242" t="s">
        <v>147</v>
      </c>
      <c r="E64" s="244" t="s">
        <v>285</v>
      </c>
      <c r="F64" s="244" t="s">
        <v>313</v>
      </c>
      <c r="G64" s="244" t="s">
        <v>286</v>
      </c>
      <c r="H64" s="249">
        <v>10</v>
      </c>
      <c r="I64" s="250"/>
    </row>
    <row r="65" spans="1:9" ht="40.5" x14ac:dyDescent="0.25">
      <c r="A65" s="245"/>
      <c r="B65" s="245"/>
      <c r="C65" s="242" t="s">
        <v>20</v>
      </c>
      <c r="D65" s="242" t="s">
        <v>149</v>
      </c>
      <c r="E65" s="244" t="s">
        <v>287</v>
      </c>
      <c r="F65" s="244" t="s">
        <v>313</v>
      </c>
      <c r="G65" s="244" t="s">
        <v>263</v>
      </c>
      <c r="H65" s="249">
        <v>10</v>
      </c>
      <c r="I65" s="250"/>
    </row>
    <row r="66" spans="1:9" ht="40.5" x14ac:dyDescent="0.25">
      <c r="A66" s="245"/>
      <c r="B66" s="245"/>
      <c r="C66" s="242"/>
      <c r="D66" s="242" t="s">
        <v>151</v>
      </c>
      <c r="E66" s="244" t="s">
        <v>288</v>
      </c>
      <c r="F66" s="244" t="s">
        <v>313</v>
      </c>
      <c r="G66" s="244" t="s">
        <v>286</v>
      </c>
      <c r="H66" s="249">
        <v>20</v>
      </c>
      <c r="I66" s="250"/>
    </row>
    <row r="67" spans="1:9" ht="27" x14ac:dyDescent="0.25">
      <c r="A67" s="245"/>
      <c r="B67" s="245"/>
      <c r="C67" s="242" t="s">
        <v>43</v>
      </c>
      <c r="D67" s="242" t="s">
        <v>196</v>
      </c>
      <c r="E67" s="244" t="s">
        <v>289</v>
      </c>
      <c r="F67" s="244" t="s">
        <v>313</v>
      </c>
      <c r="G67" s="244" t="s">
        <v>290</v>
      </c>
      <c r="H67" s="249">
        <v>5</v>
      </c>
      <c r="I67" s="250"/>
    </row>
    <row r="68" spans="1:9" ht="27" x14ac:dyDescent="0.25">
      <c r="A68" s="245"/>
      <c r="B68" s="245"/>
      <c r="C68" s="242"/>
      <c r="D68" s="242" t="s">
        <v>197</v>
      </c>
      <c r="E68" s="244" t="s">
        <v>291</v>
      </c>
      <c r="F68" s="244" t="s">
        <v>313</v>
      </c>
      <c r="G68" s="244" t="s">
        <v>292</v>
      </c>
      <c r="H68" s="249">
        <v>5</v>
      </c>
      <c r="I68" s="250"/>
    </row>
    <row r="69" spans="1:9" ht="27" x14ac:dyDescent="0.25">
      <c r="A69" s="245"/>
      <c r="B69" s="245"/>
      <c r="C69" s="242"/>
      <c r="D69" s="242" t="s">
        <v>198</v>
      </c>
      <c r="E69" s="244" t="s">
        <v>293</v>
      </c>
      <c r="F69" s="244" t="s">
        <v>313</v>
      </c>
      <c r="G69" s="244" t="s">
        <v>294</v>
      </c>
      <c r="H69" s="249">
        <v>15</v>
      </c>
      <c r="I69" s="250"/>
    </row>
    <row r="70" spans="1:9" ht="27" x14ac:dyDescent="0.25">
      <c r="A70" s="245"/>
      <c r="B70" s="245"/>
      <c r="C70" s="242" t="s">
        <v>45</v>
      </c>
      <c r="D70" s="242" t="s">
        <v>201</v>
      </c>
      <c r="E70" s="244" t="s">
        <v>256</v>
      </c>
      <c r="F70" s="244" t="s">
        <v>313</v>
      </c>
      <c r="G70" s="244" t="s">
        <v>295</v>
      </c>
      <c r="H70" s="249">
        <v>10</v>
      </c>
      <c r="I70" s="250"/>
    </row>
    <row r="71" spans="1:9" ht="27" x14ac:dyDescent="0.25">
      <c r="A71" s="245"/>
      <c r="B71" s="245"/>
      <c r="C71" s="242"/>
      <c r="D71" s="242" t="s">
        <v>202</v>
      </c>
      <c r="E71" s="244" t="s">
        <v>257</v>
      </c>
      <c r="F71" s="244" t="s">
        <v>313</v>
      </c>
      <c r="G71" s="244" t="s">
        <v>270</v>
      </c>
      <c r="H71" s="249">
        <v>15</v>
      </c>
      <c r="I71" s="250">
        <v>100</v>
      </c>
    </row>
    <row r="72" spans="1:9" ht="51" x14ac:dyDescent="0.25">
      <c r="A72" s="240" t="s">
        <v>117</v>
      </c>
      <c r="B72" s="241" t="s">
        <v>118</v>
      </c>
      <c r="C72" s="242" t="s">
        <v>27</v>
      </c>
      <c r="D72" s="242" t="s">
        <v>165</v>
      </c>
      <c r="E72" s="244" t="s">
        <v>234</v>
      </c>
      <c r="F72" s="244" t="s">
        <v>313</v>
      </c>
      <c r="G72" s="244" t="s">
        <v>280</v>
      </c>
      <c r="H72" s="249">
        <v>22</v>
      </c>
      <c r="I72" s="250"/>
    </row>
    <row r="73" spans="1:9" ht="54" x14ac:dyDescent="0.25">
      <c r="A73" s="240"/>
      <c r="B73" s="241"/>
      <c r="C73" s="242"/>
      <c r="D73" s="242" t="s">
        <v>167</v>
      </c>
      <c r="E73" s="244" t="s">
        <v>236</v>
      </c>
      <c r="F73" s="244" t="s">
        <v>313</v>
      </c>
      <c r="G73" s="244" t="s">
        <v>296</v>
      </c>
      <c r="H73" s="249">
        <v>28</v>
      </c>
      <c r="I73" s="250"/>
    </row>
    <row r="74" spans="1:9" ht="27" x14ac:dyDescent="0.25">
      <c r="A74" s="240"/>
      <c r="B74" s="241"/>
      <c r="C74" s="242"/>
      <c r="D74" s="242" t="s">
        <v>169</v>
      </c>
      <c r="E74" s="244" t="s">
        <v>238</v>
      </c>
      <c r="F74" s="244" t="s">
        <v>313</v>
      </c>
      <c r="G74" s="244" t="s">
        <v>278</v>
      </c>
      <c r="H74" s="249">
        <v>18</v>
      </c>
      <c r="I74" s="250"/>
    </row>
    <row r="75" spans="1:9" ht="27" x14ac:dyDescent="0.25">
      <c r="A75" s="245"/>
      <c r="B75" s="245"/>
      <c r="C75" s="242" t="s">
        <v>43</v>
      </c>
      <c r="D75" s="242" t="s">
        <v>196</v>
      </c>
      <c r="E75" s="244" t="s">
        <v>289</v>
      </c>
      <c r="F75" s="244" t="s">
        <v>313</v>
      </c>
      <c r="G75" s="244" t="s">
        <v>266</v>
      </c>
      <c r="H75" s="249">
        <v>7</v>
      </c>
      <c r="I75" s="250"/>
    </row>
    <row r="76" spans="1:9" ht="40.5" x14ac:dyDescent="0.25">
      <c r="A76" s="245"/>
      <c r="B76" s="245"/>
      <c r="C76" s="242"/>
      <c r="D76" s="242" t="s">
        <v>197</v>
      </c>
      <c r="E76" s="244" t="s">
        <v>291</v>
      </c>
      <c r="F76" s="244" t="s">
        <v>313</v>
      </c>
      <c r="G76" s="244" t="s">
        <v>297</v>
      </c>
      <c r="H76" s="249">
        <v>12</v>
      </c>
      <c r="I76" s="250"/>
    </row>
    <row r="77" spans="1:9" ht="40.5" x14ac:dyDescent="0.25">
      <c r="A77" s="245"/>
      <c r="B77" s="245"/>
      <c r="C77" s="242"/>
      <c r="D77" s="242" t="s">
        <v>198</v>
      </c>
      <c r="E77" s="244" t="s">
        <v>293</v>
      </c>
      <c r="F77" s="244" t="s">
        <v>313</v>
      </c>
      <c r="G77" s="244" t="s">
        <v>298</v>
      </c>
      <c r="H77" s="249">
        <v>13</v>
      </c>
      <c r="I77" s="250">
        <v>100</v>
      </c>
    </row>
    <row r="78" spans="1:9" ht="27" x14ac:dyDescent="0.25">
      <c r="A78" s="240" t="s">
        <v>119</v>
      </c>
      <c r="B78" s="241" t="s">
        <v>120</v>
      </c>
      <c r="C78" s="242" t="s">
        <v>22</v>
      </c>
      <c r="D78" s="242" t="s">
        <v>153</v>
      </c>
      <c r="E78" s="244" t="s">
        <v>249</v>
      </c>
      <c r="F78" s="244" t="s">
        <v>313</v>
      </c>
      <c r="G78" s="244" t="s">
        <v>266</v>
      </c>
      <c r="H78" s="249">
        <v>15</v>
      </c>
      <c r="I78" s="250"/>
    </row>
    <row r="79" spans="1:9" ht="40.5" x14ac:dyDescent="0.25">
      <c r="A79" s="240"/>
      <c r="B79" s="241"/>
      <c r="C79" s="242"/>
      <c r="D79" s="242" t="s">
        <v>155</v>
      </c>
      <c r="E79" s="244" t="s">
        <v>251</v>
      </c>
      <c r="F79" s="244" t="s">
        <v>313</v>
      </c>
      <c r="G79" s="244" t="s">
        <v>299</v>
      </c>
      <c r="H79" s="249">
        <v>15</v>
      </c>
      <c r="I79" s="250"/>
    </row>
    <row r="80" spans="1:9" ht="40.5" x14ac:dyDescent="0.25">
      <c r="A80" s="240"/>
      <c r="B80" s="241"/>
      <c r="C80" s="242"/>
      <c r="D80" s="242" t="s">
        <v>157</v>
      </c>
      <c r="E80" s="244" t="s">
        <v>252</v>
      </c>
      <c r="F80" s="244" t="s">
        <v>313</v>
      </c>
      <c r="G80" s="244" t="s">
        <v>237</v>
      </c>
      <c r="H80" s="249">
        <v>30</v>
      </c>
      <c r="I80" s="250"/>
    </row>
    <row r="81" spans="1:9" ht="27" x14ac:dyDescent="0.25">
      <c r="A81" s="245"/>
      <c r="B81" s="245"/>
      <c r="C81" s="242" t="s">
        <v>45</v>
      </c>
      <c r="D81" s="242" t="s">
        <v>201</v>
      </c>
      <c r="E81" s="244" t="s">
        <v>256</v>
      </c>
      <c r="F81" s="244" t="s">
        <v>313</v>
      </c>
      <c r="G81" s="244" t="s">
        <v>266</v>
      </c>
      <c r="H81" s="249">
        <v>10</v>
      </c>
      <c r="I81" s="250"/>
    </row>
    <row r="82" spans="1:9" ht="40.5" x14ac:dyDescent="0.25">
      <c r="A82" s="245"/>
      <c r="B82" s="245"/>
      <c r="C82" s="242"/>
      <c r="D82" s="242" t="s">
        <v>202</v>
      </c>
      <c r="E82" s="244" t="s">
        <v>257</v>
      </c>
      <c r="F82" s="244" t="s">
        <v>313</v>
      </c>
      <c r="G82" s="244" t="s">
        <v>300</v>
      </c>
      <c r="H82" s="249">
        <v>30</v>
      </c>
      <c r="I82" s="250">
        <v>100</v>
      </c>
    </row>
    <row r="83" spans="1:9" ht="38.25" x14ac:dyDescent="0.25">
      <c r="A83" s="240" t="s">
        <v>121</v>
      </c>
      <c r="B83" s="241" t="s">
        <v>122</v>
      </c>
      <c r="C83" s="242" t="s">
        <v>22</v>
      </c>
      <c r="D83" s="242" t="s">
        <v>153</v>
      </c>
      <c r="E83" s="244" t="s">
        <v>249</v>
      </c>
      <c r="F83" s="244" t="s">
        <v>313</v>
      </c>
      <c r="G83" s="244" t="s">
        <v>266</v>
      </c>
      <c r="H83" s="249">
        <v>11</v>
      </c>
      <c r="I83" s="250"/>
    </row>
    <row r="84" spans="1:9" ht="27" x14ac:dyDescent="0.25">
      <c r="A84" s="240"/>
      <c r="B84" s="241"/>
      <c r="C84" s="242"/>
      <c r="D84" s="242" t="s">
        <v>155</v>
      </c>
      <c r="E84" s="244" t="s">
        <v>251</v>
      </c>
      <c r="F84" s="244" t="s">
        <v>313</v>
      </c>
      <c r="G84" s="244" t="s">
        <v>279</v>
      </c>
      <c r="H84" s="249">
        <v>11</v>
      </c>
      <c r="I84" s="250"/>
    </row>
    <row r="85" spans="1:9" ht="27" x14ac:dyDescent="0.25">
      <c r="A85" s="240"/>
      <c r="B85" s="241"/>
      <c r="C85" s="242"/>
      <c r="D85" s="242" t="s">
        <v>157</v>
      </c>
      <c r="E85" s="244" t="s">
        <v>252</v>
      </c>
      <c r="F85" s="244" t="s">
        <v>313</v>
      </c>
      <c r="G85" s="244" t="s">
        <v>301</v>
      </c>
      <c r="H85" s="249">
        <v>11</v>
      </c>
      <c r="I85" s="250"/>
    </row>
    <row r="86" spans="1:9" ht="27" x14ac:dyDescent="0.25">
      <c r="A86" s="245"/>
      <c r="B86" s="245"/>
      <c r="C86" s="242" t="s">
        <v>30</v>
      </c>
      <c r="D86" s="242" t="s">
        <v>171</v>
      </c>
      <c r="E86" s="244" t="s">
        <v>265</v>
      </c>
      <c r="F86" s="244" t="s">
        <v>313</v>
      </c>
      <c r="G86" s="244" t="s">
        <v>266</v>
      </c>
      <c r="H86" s="249">
        <v>11</v>
      </c>
      <c r="I86" s="250"/>
    </row>
    <row r="87" spans="1:9" ht="27" x14ac:dyDescent="0.25">
      <c r="A87" s="245"/>
      <c r="B87" s="245"/>
      <c r="C87" s="242"/>
      <c r="D87" s="242" t="s">
        <v>173</v>
      </c>
      <c r="E87" s="244" t="s">
        <v>267</v>
      </c>
      <c r="F87" s="244" t="s">
        <v>313</v>
      </c>
      <c r="G87" s="244" t="s">
        <v>281</v>
      </c>
      <c r="H87" s="249">
        <v>11</v>
      </c>
      <c r="I87" s="250"/>
    </row>
    <row r="88" spans="1:9" ht="27" x14ac:dyDescent="0.25">
      <c r="A88" s="245"/>
      <c r="B88" s="245"/>
      <c r="C88" s="242"/>
      <c r="D88" s="242" t="s">
        <v>175</v>
      </c>
      <c r="E88" s="244" t="s">
        <v>269</v>
      </c>
      <c r="F88" s="244" t="s">
        <v>313</v>
      </c>
      <c r="G88" s="244" t="s">
        <v>278</v>
      </c>
      <c r="H88" s="249">
        <v>11</v>
      </c>
      <c r="I88" s="250"/>
    </row>
    <row r="89" spans="1:9" ht="27" x14ac:dyDescent="0.25">
      <c r="A89" s="245"/>
      <c r="B89" s="245"/>
      <c r="C89" s="242" t="s">
        <v>43</v>
      </c>
      <c r="D89" s="242" t="s">
        <v>196</v>
      </c>
      <c r="E89" s="244" t="s">
        <v>289</v>
      </c>
      <c r="F89" s="244" t="s">
        <v>313</v>
      </c>
      <c r="G89" s="244" t="s">
        <v>278</v>
      </c>
      <c r="H89" s="249">
        <v>12</v>
      </c>
      <c r="I89" s="250"/>
    </row>
    <row r="90" spans="1:9" ht="27" x14ac:dyDescent="0.25">
      <c r="A90" s="245"/>
      <c r="B90" s="245"/>
      <c r="C90" s="242"/>
      <c r="D90" s="242" t="s">
        <v>197</v>
      </c>
      <c r="E90" s="244" t="s">
        <v>291</v>
      </c>
      <c r="F90" s="244" t="s">
        <v>313</v>
      </c>
      <c r="G90" s="244" t="s">
        <v>278</v>
      </c>
      <c r="H90" s="249">
        <v>11</v>
      </c>
      <c r="I90" s="250"/>
    </row>
    <row r="91" spans="1:9" ht="27" x14ac:dyDescent="0.25">
      <c r="A91" s="245"/>
      <c r="B91" s="245"/>
      <c r="C91" s="242"/>
      <c r="D91" s="242" t="s">
        <v>198</v>
      </c>
      <c r="E91" s="244" t="s">
        <v>293</v>
      </c>
      <c r="F91" s="244" t="s">
        <v>313</v>
      </c>
      <c r="G91" s="244" t="s">
        <v>302</v>
      </c>
      <c r="H91" s="249">
        <v>11</v>
      </c>
      <c r="I91" s="250">
        <v>100</v>
      </c>
    </row>
    <row r="92" spans="1:9" ht="51" x14ac:dyDescent="0.25">
      <c r="A92" s="240" t="s">
        <v>124</v>
      </c>
      <c r="B92" s="241" t="s">
        <v>125</v>
      </c>
      <c r="C92" s="242" t="s">
        <v>35</v>
      </c>
      <c r="D92" s="242" t="s">
        <v>183</v>
      </c>
      <c r="E92" s="244" t="s">
        <v>258</v>
      </c>
      <c r="F92" s="244" t="s">
        <v>313</v>
      </c>
      <c r="G92" s="244" t="s">
        <v>303</v>
      </c>
      <c r="H92" s="249">
        <v>10</v>
      </c>
      <c r="I92" s="250"/>
    </row>
    <row r="93" spans="1:9" ht="27" x14ac:dyDescent="0.25">
      <c r="A93" s="245"/>
      <c r="B93" s="245"/>
      <c r="C93" s="242"/>
      <c r="D93" s="242" t="s">
        <v>185</v>
      </c>
      <c r="E93" s="244" t="s">
        <v>259</v>
      </c>
      <c r="F93" s="244" t="s">
        <v>313</v>
      </c>
      <c r="G93" s="244" t="s">
        <v>304</v>
      </c>
      <c r="H93" s="249">
        <v>10</v>
      </c>
      <c r="I93" s="250"/>
    </row>
    <row r="94" spans="1:9" ht="27" x14ac:dyDescent="0.25">
      <c r="A94" s="245"/>
      <c r="B94" s="245"/>
      <c r="C94" s="242"/>
      <c r="D94" s="242" t="s">
        <v>187</v>
      </c>
      <c r="E94" s="244" t="s">
        <v>260</v>
      </c>
      <c r="F94" s="244" t="s">
        <v>313</v>
      </c>
      <c r="G94" s="244" t="s">
        <v>246</v>
      </c>
      <c r="H94" s="249">
        <v>10</v>
      </c>
      <c r="I94" s="250"/>
    </row>
    <row r="95" spans="1:9" ht="27" x14ac:dyDescent="0.25">
      <c r="A95" s="245"/>
      <c r="B95" s="245"/>
      <c r="C95" s="242" t="s">
        <v>43</v>
      </c>
      <c r="D95" s="242" t="s">
        <v>196</v>
      </c>
      <c r="E95" s="244" t="s">
        <v>289</v>
      </c>
      <c r="F95" s="244" t="s">
        <v>313</v>
      </c>
      <c r="G95" s="244" t="s">
        <v>266</v>
      </c>
      <c r="H95" s="249">
        <v>10</v>
      </c>
      <c r="I95" s="250"/>
    </row>
    <row r="96" spans="1:9" ht="27" x14ac:dyDescent="0.25">
      <c r="A96" s="245"/>
      <c r="B96" s="245"/>
      <c r="C96" s="242"/>
      <c r="D96" s="242" t="s">
        <v>197</v>
      </c>
      <c r="E96" s="244" t="s">
        <v>291</v>
      </c>
      <c r="F96" s="244" t="s">
        <v>313</v>
      </c>
      <c r="G96" s="244" t="s">
        <v>266</v>
      </c>
      <c r="H96" s="249">
        <v>10</v>
      </c>
      <c r="I96" s="250"/>
    </row>
    <row r="97" spans="1:9" ht="27" x14ac:dyDescent="0.25">
      <c r="A97" s="245"/>
      <c r="B97" s="245"/>
      <c r="C97" s="242"/>
      <c r="D97" s="242" t="s">
        <v>198</v>
      </c>
      <c r="E97" s="244" t="s">
        <v>293</v>
      </c>
      <c r="F97" s="244" t="s">
        <v>313</v>
      </c>
      <c r="G97" s="244" t="s">
        <v>279</v>
      </c>
      <c r="H97" s="249">
        <v>10</v>
      </c>
      <c r="I97" s="250"/>
    </row>
    <row r="98" spans="1:9" ht="27" x14ac:dyDescent="0.25">
      <c r="A98" s="245"/>
      <c r="B98" s="245"/>
      <c r="C98" s="242" t="s">
        <v>44</v>
      </c>
      <c r="D98" s="242" t="s">
        <v>199</v>
      </c>
      <c r="E98" s="244" t="s">
        <v>240</v>
      </c>
      <c r="F98" s="244" t="s">
        <v>313</v>
      </c>
      <c r="G98" s="244" t="s">
        <v>282</v>
      </c>
      <c r="H98" s="249">
        <v>10</v>
      </c>
      <c r="I98" s="250"/>
    </row>
    <row r="99" spans="1:9" ht="27" x14ac:dyDescent="0.25">
      <c r="A99" s="245"/>
      <c r="B99" s="245"/>
      <c r="C99" s="242"/>
      <c r="D99" s="242" t="s">
        <v>200</v>
      </c>
      <c r="E99" s="244" t="s">
        <v>242</v>
      </c>
      <c r="F99" s="244" t="s">
        <v>313</v>
      </c>
      <c r="G99" s="244" t="s">
        <v>278</v>
      </c>
      <c r="H99" s="249">
        <v>10</v>
      </c>
      <c r="I99" s="250"/>
    </row>
    <row r="100" spans="1:9" ht="40.5" x14ac:dyDescent="0.25">
      <c r="A100" s="245"/>
      <c r="B100" s="245"/>
      <c r="C100" s="242" t="s">
        <v>45</v>
      </c>
      <c r="D100" s="242" t="s">
        <v>201</v>
      </c>
      <c r="E100" s="244" t="s">
        <v>256</v>
      </c>
      <c r="F100" s="244" t="s">
        <v>313</v>
      </c>
      <c r="G100" s="244" t="s">
        <v>241</v>
      </c>
      <c r="H100" s="249">
        <v>10</v>
      </c>
      <c r="I100" s="250"/>
    </row>
    <row r="101" spans="1:9" ht="27" x14ac:dyDescent="0.25">
      <c r="A101" s="245"/>
      <c r="B101" s="245"/>
      <c r="C101" s="242"/>
      <c r="D101" s="242" t="s">
        <v>202</v>
      </c>
      <c r="E101" s="244" t="s">
        <v>257</v>
      </c>
      <c r="F101" s="244" t="s">
        <v>313</v>
      </c>
      <c r="G101" s="244" t="s">
        <v>278</v>
      </c>
      <c r="H101" s="249">
        <v>10</v>
      </c>
      <c r="I101" s="250">
        <v>100</v>
      </c>
    </row>
    <row r="102" spans="1:9" ht="54" x14ac:dyDescent="0.25">
      <c r="A102" s="240" t="s">
        <v>126</v>
      </c>
      <c r="B102" s="241" t="s">
        <v>127</v>
      </c>
      <c r="C102" s="242" t="s">
        <v>27</v>
      </c>
      <c r="D102" s="242" t="s">
        <v>165</v>
      </c>
      <c r="E102" s="244" t="s">
        <v>234</v>
      </c>
      <c r="F102" s="244" t="s">
        <v>313</v>
      </c>
      <c r="G102" s="244" t="s">
        <v>283</v>
      </c>
      <c r="H102" s="249">
        <v>13</v>
      </c>
      <c r="I102" s="250"/>
    </row>
    <row r="103" spans="1:9" ht="40.5" x14ac:dyDescent="0.25">
      <c r="A103" s="240"/>
      <c r="B103" s="241"/>
      <c r="C103" s="242"/>
      <c r="D103" s="242" t="s">
        <v>167</v>
      </c>
      <c r="E103" s="244" t="s">
        <v>236</v>
      </c>
      <c r="F103" s="244" t="s">
        <v>313</v>
      </c>
      <c r="G103" s="244" t="s">
        <v>239</v>
      </c>
      <c r="H103" s="249">
        <v>13</v>
      </c>
      <c r="I103" s="250"/>
    </row>
    <row r="104" spans="1:9" ht="40.5" x14ac:dyDescent="0.25">
      <c r="A104" s="240"/>
      <c r="B104" s="241"/>
      <c r="C104" s="242"/>
      <c r="D104" s="242" t="s">
        <v>169</v>
      </c>
      <c r="E104" s="244" t="s">
        <v>238</v>
      </c>
      <c r="F104" s="244" t="s">
        <v>313</v>
      </c>
      <c r="G104" s="244" t="s">
        <v>239</v>
      </c>
      <c r="H104" s="249">
        <v>13</v>
      </c>
      <c r="I104" s="250"/>
    </row>
    <row r="105" spans="1:9" ht="40.5" x14ac:dyDescent="0.25">
      <c r="A105" s="245"/>
      <c r="B105" s="245"/>
      <c r="C105" s="242" t="s">
        <v>30</v>
      </c>
      <c r="D105" s="242" t="s">
        <v>171</v>
      </c>
      <c r="E105" s="244" t="s">
        <v>265</v>
      </c>
      <c r="F105" s="244" t="s">
        <v>313</v>
      </c>
      <c r="G105" s="244" t="s">
        <v>237</v>
      </c>
      <c r="H105" s="249">
        <v>13</v>
      </c>
      <c r="I105" s="250"/>
    </row>
    <row r="106" spans="1:9" ht="54" x14ac:dyDescent="0.25">
      <c r="A106" s="245"/>
      <c r="B106" s="245"/>
      <c r="C106" s="242"/>
      <c r="D106" s="242" t="s">
        <v>173</v>
      </c>
      <c r="E106" s="244" t="s">
        <v>267</v>
      </c>
      <c r="F106" s="244" t="s">
        <v>313</v>
      </c>
      <c r="G106" s="244" t="s">
        <v>283</v>
      </c>
      <c r="H106" s="249">
        <v>13</v>
      </c>
      <c r="I106" s="250"/>
    </row>
    <row r="107" spans="1:9" ht="54" x14ac:dyDescent="0.25">
      <c r="A107" s="245"/>
      <c r="B107" s="245"/>
      <c r="C107" s="242"/>
      <c r="D107" s="242" t="s">
        <v>175</v>
      </c>
      <c r="E107" s="244" t="s">
        <v>269</v>
      </c>
      <c r="F107" s="244" t="s">
        <v>313</v>
      </c>
      <c r="G107" s="244" t="s">
        <v>283</v>
      </c>
      <c r="H107" s="249">
        <v>13</v>
      </c>
      <c r="I107" s="250"/>
    </row>
    <row r="108" spans="1:9" ht="27" x14ac:dyDescent="0.25">
      <c r="A108" s="245"/>
      <c r="B108" s="245"/>
      <c r="C108" s="242" t="s">
        <v>43</v>
      </c>
      <c r="D108" s="242" t="s">
        <v>196</v>
      </c>
      <c r="E108" s="244" t="s">
        <v>289</v>
      </c>
      <c r="F108" s="244" t="s">
        <v>313</v>
      </c>
      <c r="G108" s="244" t="s">
        <v>305</v>
      </c>
      <c r="H108" s="249">
        <v>7</v>
      </c>
      <c r="I108" s="250"/>
    </row>
    <row r="109" spans="1:9" ht="27" x14ac:dyDescent="0.25">
      <c r="A109" s="245"/>
      <c r="B109" s="245"/>
      <c r="C109" s="242"/>
      <c r="D109" s="242" t="s">
        <v>197</v>
      </c>
      <c r="E109" s="244" t="s">
        <v>291</v>
      </c>
      <c r="F109" s="244" t="s">
        <v>313</v>
      </c>
      <c r="G109" s="244" t="s">
        <v>305</v>
      </c>
      <c r="H109" s="249">
        <v>7</v>
      </c>
      <c r="I109" s="250"/>
    </row>
    <row r="110" spans="1:9" ht="27" x14ac:dyDescent="0.25">
      <c r="A110" s="245"/>
      <c r="B110" s="245"/>
      <c r="C110" s="242"/>
      <c r="D110" s="242" t="s">
        <v>198</v>
      </c>
      <c r="E110" s="244" t="s">
        <v>293</v>
      </c>
      <c r="F110" s="244" t="s">
        <v>313</v>
      </c>
      <c r="G110" s="244" t="s">
        <v>305</v>
      </c>
      <c r="H110" s="249">
        <v>8</v>
      </c>
      <c r="I110" s="250">
        <v>100</v>
      </c>
    </row>
    <row r="111" spans="1:9" ht="40.5" x14ac:dyDescent="0.25">
      <c r="A111" s="240" t="s">
        <v>128</v>
      </c>
      <c r="B111" s="241" t="s">
        <v>129</v>
      </c>
      <c r="C111" s="242" t="s">
        <v>22</v>
      </c>
      <c r="D111" s="242" t="s">
        <v>153</v>
      </c>
      <c r="E111" s="244" t="s">
        <v>249</v>
      </c>
      <c r="F111" s="244" t="s">
        <v>313</v>
      </c>
      <c r="G111" s="244" t="s">
        <v>280</v>
      </c>
      <c r="H111" s="249">
        <v>15</v>
      </c>
      <c r="I111" s="250"/>
    </row>
    <row r="112" spans="1:9" ht="40.5" x14ac:dyDescent="0.25">
      <c r="A112" s="240"/>
      <c r="B112" s="241"/>
      <c r="C112" s="242"/>
      <c r="D112" s="242" t="s">
        <v>155</v>
      </c>
      <c r="E112" s="244" t="s">
        <v>251</v>
      </c>
      <c r="F112" s="244" t="s">
        <v>313</v>
      </c>
      <c r="G112" s="244" t="s">
        <v>262</v>
      </c>
      <c r="H112" s="249">
        <v>15</v>
      </c>
      <c r="I112" s="250"/>
    </row>
    <row r="113" spans="1:9" ht="27" x14ac:dyDescent="0.25">
      <c r="A113" s="240"/>
      <c r="B113" s="241"/>
      <c r="C113" s="242"/>
      <c r="D113" s="242" t="s">
        <v>157</v>
      </c>
      <c r="E113" s="244" t="s">
        <v>252</v>
      </c>
      <c r="F113" s="244" t="s">
        <v>313</v>
      </c>
      <c r="G113" s="244" t="s">
        <v>278</v>
      </c>
      <c r="H113" s="249">
        <v>20</v>
      </c>
      <c r="I113" s="250"/>
    </row>
    <row r="114" spans="1:9" ht="27" x14ac:dyDescent="0.25">
      <c r="A114" s="245"/>
      <c r="B114" s="245"/>
      <c r="C114" s="242" t="s">
        <v>43</v>
      </c>
      <c r="D114" s="242" t="s">
        <v>196</v>
      </c>
      <c r="E114" s="244" t="s">
        <v>289</v>
      </c>
      <c r="F114" s="244" t="s">
        <v>313</v>
      </c>
      <c r="G114" s="244" t="s">
        <v>266</v>
      </c>
      <c r="H114" s="249">
        <v>15</v>
      </c>
      <c r="I114" s="250"/>
    </row>
    <row r="115" spans="1:9" ht="27" x14ac:dyDescent="0.25">
      <c r="A115" s="245"/>
      <c r="B115" s="245"/>
      <c r="C115" s="242"/>
      <c r="D115" s="242" t="s">
        <v>197</v>
      </c>
      <c r="E115" s="244" t="s">
        <v>291</v>
      </c>
      <c r="F115" s="244" t="s">
        <v>313</v>
      </c>
      <c r="G115" s="244" t="s">
        <v>281</v>
      </c>
      <c r="H115" s="249">
        <v>15</v>
      </c>
      <c r="I115" s="250"/>
    </row>
    <row r="116" spans="1:9" ht="27" x14ac:dyDescent="0.25">
      <c r="A116" s="245"/>
      <c r="B116" s="245"/>
      <c r="C116" s="242"/>
      <c r="D116" s="242" t="s">
        <v>198</v>
      </c>
      <c r="E116" s="244" t="s">
        <v>293</v>
      </c>
      <c r="F116" s="244" t="s">
        <v>313</v>
      </c>
      <c r="G116" s="244" t="s">
        <v>278</v>
      </c>
      <c r="H116" s="249">
        <v>20</v>
      </c>
      <c r="I116" s="250">
        <v>100</v>
      </c>
    </row>
    <row r="117" spans="1:9" ht="54" x14ac:dyDescent="0.25">
      <c r="A117" s="240" t="s">
        <v>130</v>
      </c>
      <c r="B117" s="241" t="s">
        <v>131</v>
      </c>
      <c r="C117" s="242" t="s">
        <v>17</v>
      </c>
      <c r="D117" s="242" t="s">
        <v>145</v>
      </c>
      <c r="E117" s="244" t="s">
        <v>284</v>
      </c>
      <c r="F117" s="244" t="s">
        <v>313</v>
      </c>
      <c r="G117" s="244" t="s">
        <v>306</v>
      </c>
      <c r="H117" s="249">
        <v>20</v>
      </c>
      <c r="I117" s="250"/>
    </row>
    <row r="118" spans="1:9" ht="54" x14ac:dyDescent="0.25">
      <c r="A118" s="240"/>
      <c r="B118" s="241"/>
      <c r="C118" s="242"/>
      <c r="D118" s="242" t="s">
        <v>147</v>
      </c>
      <c r="E118" s="244" t="s">
        <v>285</v>
      </c>
      <c r="F118" s="244" t="s">
        <v>313</v>
      </c>
      <c r="G118" s="244" t="s">
        <v>307</v>
      </c>
      <c r="H118" s="249">
        <v>15</v>
      </c>
      <c r="I118" s="250"/>
    </row>
    <row r="119" spans="1:9" ht="40.5" x14ac:dyDescent="0.25">
      <c r="A119" s="245"/>
      <c r="B119" s="245"/>
      <c r="C119" s="242" t="s">
        <v>20</v>
      </c>
      <c r="D119" s="242" t="s">
        <v>149</v>
      </c>
      <c r="E119" s="244" t="s">
        <v>287</v>
      </c>
      <c r="F119" s="244" t="s">
        <v>313</v>
      </c>
      <c r="G119" s="244" t="s">
        <v>237</v>
      </c>
      <c r="H119" s="249">
        <v>15</v>
      </c>
      <c r="I119" s="250"/>
    </row>
    <row r="120" spans="1:9" ht="40.5" x14ac:dyDescent="0.25">
      <c r="A120" s="245"/>
      <c r="B120" s="245"/>
      <c r="C120" s="242"/>
      <c r="D120" s="242" t="s">
        <v>151</v>
      </c>
      <c r="E120" s="244" t="s">
        <v>288</v>
      </c>
      <c r="F120" s="244" t="s">
        <v>313</v>
      </c>
      <c r="G120" s="244" t="s">
        <v>286</v>
      </c>
      <c r="H120" s="249">
        <v>15</v>
      </c>
      <c r="I120" s="250"/>
    </row>
    <row r="121" spans="1:9" ht="27" x14ac:dyDescent="0.25">
      <c r="A121" s="245"/>
      <c r="B121" s="245"/>
      <c r="C121" s="242" t="s">
        <v>43</v>
      </c>
      <c r="D121" s="242" t="s">
        <v>196</v>
      </c>
      <c r="E121" s="244" t="s">
        <v>289</v>
      </c>
      <c r="F121" s="244" t="s">
        <v>313</v>
      </c>
      <c r="G121" s="244" t="s">
        <v>308</v>
      </c>
      <c r="H121" s="249">
        <v>10</v>
      </c>
      <c r="I121" s="250"/>
    </row>
    <row r="122" spans="1:9" ht="27" x14ac:dyDescent="0.25">
      <c r="A122" s="245"/>
      <c r="B122" s="245"/>
      <c r="C122" s="242"/>
      <c r="D122" s="242" t="s">
        <v>197</v>
      </c>
      <c r="E122" s="244" t="s">
        <v>291</v>
      </c>
      <c r="F122" s="244" t="s">
        <v>313</v>
      </c>
      <c r="G122" s="244" t="s">
        <v>309</v>
      </c>
      <c r="H122" s="249">
        <v>10</v>
      </c>
      <c r="I122" s="250"/>
    </row>
    <row r="123" spans="1:9" ht="40.5" x14ac:dyDescent="0.25">
      <c r="A123" s="245"/>
      <c r="B123" s="245"/>
      <c r="C123" s="242"/>
      <c r="D123" s="242" t="s">
        <v>198</v>
      </c>
      <c r="E123" s="244" t="s">
        <v>293</v>
      </c>
      <c r="F123" s="244" t="s">
        <v>313</v>
      </c>
      <c r="G123" s="244" t="s">
        <v>310</v>
      </c>
      <c r="H123" s="249">
        <v>15</v>
      </c>
      <c r="I123" s="250">
        <v>100</v>
      </c>
    </row>
    <row r="124" spans="1:9" ht="67.5" x14ac:dyDescent="0.25">
      <c r="A124" s="240" t="s">
        <v>132</v>
      </c>
      <c r="B124" s="241" t="s">
        <v>133</v>
      </c>
      <c r="C124" s="242" t="s">
        <v>17</v>
      </c>
      <c r="D124" s="242" t="s">
        <v>145</v>
      </c>
      <c r="E124" s="244" t="s">
        <v>284</v>
      </c>
      <c r="F124" s="244" t="s">
        <v>313</v>
      </c>
      <c r="G124" s="244" t="s">
        <v>311</v>
      </c>
      <c r="H124" s="249">
        <v>30</v>
      </c>
      <c r="I124" s="250"/>
    </row>
    <row r="125" spans="1:9" ht="54" x14ac:dyDescent="0.25">
      <c r="A125" s="240"/>
      <c r="B125" s="241"/>
      <c r="C125" s="242"/>
      <c r="D125" s="242" t="s">
        <v>147</v>
      </c>
      <c r="E125" s="244" t="s">
        <v>285</v>
      </c>
      <c r="F125" s="244" t="s">
        <v>313</v>
      </c>
      <c r="G125" s="244" t="s">
        <v>312</v>
      </c>
      <c r="H125" s="249">
        <v>20</v>
      </c>
      <c r="I125" s="250"/>
    </row>
    <row r="126" spans="1:9" ht="67.5" x14ac:dyDescent="0.25">
      <c r="A126" s="245"/>
      <c r="B126" s="245"/>
      <c r="C126" s="242" t="s">
        <v>20</v>
      </c>
      <c r="D126" s="242" t="s">
        <v>149</v>
      </c>
      <c r="E126" s="244" t="s">
        <v>287</v>
      </c>
      <c r="F126" s="244" t="s">
        <v>313</v>
      </c>
      <c r="G126" s="244" t="s">
        <v>311</v>
      </c>
      <c r="H126" s="249">
        <v>50</v>
      </c>
      <c r="I126" s="250">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5ECC-C6BD-46FB-93C8-6C2CBD75787C}">
  <dimension ref="A1:D5"/>
  <sheetViews>
    <sheetView tabSelected="1" zoomScale="115" zoomScaleNormal="115" workbookViewId="0">
      <selection activeCell="D5" sqref="D5"/>
    </sheetView>
  </sheetViews>
  <sheetFormatPr defaultColWidth="9" defaultRowHeight="15" x14ac:dyDescent="0.25"/>
  <cols>
    <col min="1" max="1" width="26.7109375" customWidth="1"/>
    <col min="2" max="2" width="11.5703125" customWidth="1"/>
    <col min="3" max="3" width="65.28515625" customWidth="1"/>
  </cols>
  <sheetData>
    <row r="1" spans="1:4" x14ac:dyDescent="0.25">
      <c r="A1" s="264" t="s">
        <v>426</v>
      </c>
      <c r="B1" s="264" t="s">
        <v>427</v>
      </c>
      <c r="C1" s="264" t="s">
        <v>50</v>
      </c>
      <c r="D1" s="47"/>
    </row>
    <row r="2" spans="1:4" ht="40.5" x14ac:dyDescent="0.25">
      <c r="A2" s="265" t="s">
        <v>428</v>
      </c>
      <c r="B2" s="265" t="s">
        <v>429</v>
      </c>
      <c r="C2" s="265" t="s">
        <v>563</v>
      </c>
      <c r="D2" s="269" t="s">
        <v>567</v>
      </c>
    </row>
    <row r="3" spans="1:4" ht="40.5" x14ac:dyDescent="0.25">
      <c r="A3" s="265" t="s">
        <v>430</v>
      </c>
      <c r="B3" s="265" t="s">
        <v>431</v>
      </c>
      <c r="C3" s="265" t="s">
        <v>564</v>
      </c>
      <c r="D3" s="269" t="s">
        <v>568</v>
      </c>
    </row>
    <row r="4" spans="1:4" ht="40.5" x14ac:dyDescent="0.25">
      <c r="A4" s="265" t="s">
        <v>432</v>
      </c>
      <c r="B4" s="265" t="s">
        <v>433</v>
      </c>
      <c r="C4" s="265" t="s">
        <v>565</v>
      </c>
      <c r="D4" s="269" t="s">
        <v>570</v>
      </c>
    </row>
    <row r="5" spans="1:4" ht="27" x14ac:dyDescent="0.25">
      <c r="A5" s="265" t="s">
        <v>434</v>
      </c>
      <c r="B5" s="265" t="s">
        <v>435</v>
      </c>
      <c r="C5" s="265" t="s">
        <v>566</v>
      </c>
      <c r="D5" s="269" t="s">
        <v>569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640F-ECA8-4B89-8318-193B7FBCC44E}">
  <dimension ref="A2:N129"/>
  <sheetViews>
    <sheetView topLeftCell="A122" zoomScale="90" zoomScaleNormal="90" workbookViewId="0">
      <selection activeCell="A3" sqref="A3:J128"/>
    </sheetView>
  </sheetViews>
  <sheetFormatPr defaultRowHeight="15" x14ac:dyDescent="0.25"/>
  <cols>
    <col min="1" max="1" width="8.140625" bestFit="1" customWidth="1"/>
    <col min="2" max="2" width="12.5703125" bestFit="1" customWidth="1"/>
    <col min="3" max="3" width="6" bestFit="1" customWidth="1"/>
    <col min="4" max="4" width="34.85546875" customWidth="1"/>
    <col min="5" max="5" width="8.42578125" bestFit="1" customWidth="1"/>
    <col min="6" max="6" width="36.42578125" customWidth="1"/>
    <col min="7" max="7" width="17.85546875" hidden="1" customWidth="1"/>
    <col min="8" max="8" width="34.42578125" hidden="1" customWidth="1"/>
    <col min="9" max="9" width="6.140625" bestFit="1" customWidth="1"/>
    <col min="10" max="10" width="5.42578125" bestFit="1" customWidth="1"/>
    <col min="11" max="14" width="43" style="266" customWidth="1"/>
  </cols>
  <sheetData>
    <row r="2" spans="1:14" x14ac:dyDescent="0.25">
      <c r="A2" s="47"/>
      <c r="B2" s="47"/>
      <c r="C2" s="47"/>
      <c r="D2" s="47"/>
      <c r="E2" s="47"/>
      <c r="F2" s="47"/>
      <c r="G2" s="47"/>
      <c r="H2" s="47"/>
      <c r="I2" s="47"/>
      <c r="J2" s="47"/>
      <c r="K2" s="270" t="str">
        <f>'SKALA CPL'!$A$2</f>
        <v>Sangat Kompeten (Exemplary)</v>
      </c>
      <c r="L2" s="270" t="str">
        <f>'SKALA CPL'!$A$3</f>
        <v>Kompeten (Competent)</v>
      </c>
      <c r="M2" s="270" t="str">
        <f>'SKALA CPL'!$A$4</f>
        <v>Berkembang (Develop)</v>
      </c>
      <c r="N2" s="270" t="str">
        <f>'SKALA CPL'!$A$5</f>
        <v>Tidak Memuaskan (Unstatisfactory)</v>
      </c>
    </row>
    <row r="3" spans="1:14" x14ac:dyDescent="0.25">
      <c r="A3" s="32" t="s">
        <v>134</v>
      </c>
      <c r="B3" s="32" t="s">
        <v>205</v>
      </c>
      <c r="C3" s="32" t="s">
        <v>206</v>
      </c>
      <c r="D3" s="32" t="s">
        <v>230</v>
      </c>
      <c r="E3" s="267" t="s">
        <v>207</v>
      </c>
      <c r="F3" s="32" t="s">
        <v>210</v>
      </c>
      <c r="G3" s="267" t="s">
        <v>208</v>
      </c>
      <c r="H3" s="32" t="s">
        <v>209</v>
      </c>
      <c r="I3" s="268" t="s">
        <v>231</v>
      </c>
      <c r="J3" s="268" t="s">
        <v>85</v>
      </c>
      <c r="K3" s="271" t="str">
        <f>'SKALA CPL'!B2</f>
        <v>85,50 – 100</v>
      </c>
      <c r="L3" s="271" t="str">
        <f>'SKALA CPL'!B3</f>
        <v>65,50 – 85,49</v>
      </c>
      <c r="M3" s="271" t="str">
        <f>'SKALA CPL'!B4</f>
        <v>49,50 – 65,49</v>
      </c>
      <c r="N3" s="271" t="str">
        <f>'SKALA CPL'!B5</f>
        <v>0 – 49,49</v>
      </c>
    </row>
    <row r="4" spans="1:14" ht="67.5" x14ac:dyDescent="0.25">
      <c r="A4" s="243" t="s">
        <v>92</v>
      </c>
      <c r="B4" s="243" t="s">
        <v>93</v>
      </c>
      <c r="C4" s="243" t="s">
        <v>27</v>
      </c>
      <c r="D4" s="243" t="s">
        <v>436</v>
      </c>
      <c r="E4" s="243" t="s">
        <v>165</v>
      </c>
      <c r="F4" s="243" t="s">
        <v>166</v>
      </c>
      <c r="G4" s="243" t="s">
        <v>234</v>
      </c>
      <c r="H4" s="243" t="s">
        <v>437</v>
      </c>
      <c r="I4" s="262">
        <v>20</v>
      </c>
      <c r="J4" s="262"/>
      <c r="K4" s="272" t="str">
        <f>CONCATENATE('SKALA CPL'!$D$2," ",'IMPLEMENTASI RUBIK'!F4)</f>
        <v>Sangat Mampu Memiliki kemampuan menganalisa berbasis kinerja solusi komputasi cerdas untuk mendukung layanan publik dan ekonomi digital</v>
      </c>
      <c r="L4" s="272" t="str">
        <f>CONCATENATE('SKALA CPL'!$D$3," ",'IMPLEMENTASI RUBIK'!F4)</f>
        <v>Mampu Memiliki kemampuan menganalisa berbasis kinerja solusi komputasi cerdas untuk mendukung layanan publik dan ekonomi digital</v>
      </c>
      <c r="M4" s="272" t="str">
        <f>CONCATENATE('SKALA CPL'!$D$4," ",'IMPLEMENTASI RUBIK'!F4)</f>
        <v>Cukup Mampu Memiliki kemampuan menganalisa berbasis kinerja solusi komputasi cerdas untuk mendukung layanan publik dan ekonomi digital</v>
      </c>
      <c r="N4" s="272" t="str">
        <f>CONCATENATE('SKALA CPL'!$D$5," ",'IMPLEMENTASI RUBIK'!F4)</f>
        <v>Kurang Mampu Memiliki kemampuan menganalisa berbasis kinerja solusi komputasi cerdas untuk mendukung layanan publik dan ekonomi digital</v>
      </c>
    </row>
    <row r="5" spans="1:14" ht="67.5" x14ac:dyDescent="0.25">
      <c r="A5" s="243"/>
      <c r="B5" s="243"/>
      <c r="C5" s="243"/>
      <c r="D5" s="243" t="e">
        <v>#N/A</v>
      </c>
      <c r="E5" s="243" t="s">
        <v>167</v>
      </c>
      <c r="F5" s="243" t="s">
        <v>168</v>
      </c>
      <c r="G5" s="243" t="s">
        <v>236</v>
      </c>
      <c r="H5" s="243" t="s">
        <v>438</v>
      </c>
      <c r="I5" s="262">
        <v>20</v>
      </c>
      <c r="J5" s="262"/>
      <c r="K5" s="272" t="str">
        <f>CONCATENATE('SKALA CPL'!$D$2," ",'IMPLEMENTASI RUBIK'!F5)</f>
        <v>Sangat Mampu Memiliki kemampuan mengevaluasi berbasis kinerja solusi komputasi cerdas untuk mendukung layanan publik dan ekonomi digital</v>
      </c>
      <c r="L5" s="272" t="str">
        <f>CONCATENATE('SKALA CPL'!$D$3," ",'IMPLEMENTASI RUBIK'!F5)</f>
        <v>Mampu Memiliki kemampuan mengevaluasi berbasis kinerja solusi komputasi cerdas untuk mendukung layanan publik dan ekonomi digital</v>
      </c>
      <c r="M5" s="272" t="str">
        <f>CONCATENATE('SKALA CPL'!$D$4," ",'IMPLEMENTASI RUBIK'!F5)</f>
        <v>Cukup Mampu Memiliki kemampuan mengevaluasi berbasis kinerja solusi komputasi cerdas untuk mendukung layanan publik dan ekonomi digital</v>
      </c>
      <c r="N5" s="272" t="str">
        <f>CONCATENATE('SKALA CPL'!$D$5," ",'IMPLEMENTASI RUBIK'!F5)</f>
        <v>Kurang Mampu Memiliki kemampuan mengevaluasi berbasis kinerja solusi komputasi cerdas untuk mendukung layanan publik dan ekonomi digital</v>
      </c>
    </row>
    <row r="6" spans="1:14" ht="67.5" x14ac:dyDescent="0.25">
      <c r="A6" s="243"/>
      <c r="B6" s="243"/>
      <c r="C6" s="243"/>
      <c r="D6" s="243" t="e">
        <v>#N/A</v>
      </c>
      <c r="E6" s="243" t="s">
        <v>169</v>
      </c>
      <c r="F6" s="243" t="s">
        <v>170</v>
      </c>
      <c r="G6" s="243" t="s">
        <v>238</v>
      </c>
      <c r="H6" s="243" t="s">
        <v>439</v>
      </c>
      <c r="I6" s="262">
        <v>20</v>
      </c>
      <c r="J6" s="262"/>
      <c r="K6" s="272" t="str">
        <f>CONCATENATE('SKALA CPL'!$D$2," ",'IMPLEMENTASI RUBIK'!F6)</f>
        <v>Sangat Mampu Memiliki kemampuan membuat keputusan berbasis kinerja solusi komputasi cerdas untuk mendukung layanan publik dan ekonomi digital</v>
      </c>
      <c r="L6" s="272" t="str">
        <f>CONCATENATE('SKALA CPL'!$D$3," ",'IMPLEMENTASI RUBIK'!F6)</f>
        <v>Mampu Memiliki kemampuan membuat keputusan berbasis kinerja solusi komputasi cerdas untuk mendukung layanan publik dan ekonomi digital</v>
      </c>
      <c r="M6" s="272" t="str">
        <f>CONCATENATE('SKALA CPL'!$D$4," ",'IMPLEMENTASI RUBIK'!F6)</f>
        <v>Cukup Mampu Memiliki kemampuan membuat keputusan berbasis kinerja solusi komputasi cerdas untuk mendukung layanan publik dan ekonomi digital</v>
      </c>
      <c r="N6" s="272" t="str">
        <f>CONCATENATE('SKALA CPL'!$D$5," ",'IMPLEMENTASI RUBIK'!F6)</f>
        <v>Kurang Mampu Memiliki kemampuan membuat keputusan berbasis kinerja solusi komputasi cerdas untuk mendukung layanan publik dan ekonomi digital</v>
      </c>
    </row>
    <row r="7" spans="1:14" ht="67.5" x14ac:dyDescent="0.25">
      <c r="A7" s="243"/>
      <c r="B7" s="243"/>
      <c r="C7" s="243" t="s">
        <v>44</v>
      </c>
      <c r="D7" s="243" t="s">
        <v>39</v>
      </c>
      <c r="E7" s="243" t="s">
        <v>199</v>
      </c>
      <c r="F7" s="243" t="s">
        <v>192</v>
      </c>
      <c r="G7" s="243" t="s">
        <v>240</v>
      </c>
      <c r="H7" s="243" t="s">
        <v>440</v>
      </c>
      <c r="I7" s="262">
        <v>20</v>
      </c>
      <c r="J7" s="262"/>
      <c r="K7" s="272" t="str">
        <f>CONCATENATE('SKALA CPL'!$D$2," ",'IMPLEMENTASI RUBIK'!F7)</f>
        <v>Sangat Mampu Mampu menerapkan prinsip_x0002_prinsip matematika, computing, dan disiplin ilmu yang relevan untuk mendukung analisis data.</v>
      </c>
      <c r="L7" s="272" t="str">
        <f>CONCATENATE('SKALA CPL'!$D$3," ",'IMPLEMENTASI RUBIK'!F7)</f>
        <v>Mampu Mampu menerapkan prinsip_x0002_prinsip matematika, computing, dan disiplin ilmu yang relevan untuk mendukung analisis data.</v>
      </c>
      <c r="M7" s="272" t="str">
        <f>CONCATENATE('SKALA CPL'!$D$4," ",'IMPLEMENTASI RUBIK'!F7)</f>
        <v>Cukup Mampu Mampu menerapkan prinsip_x0002_prinsip matematika, computing, dan disiplin ilmu yang relevan untuk mendukung analisis data.</v>
      </c>
      <c r="N7" s="272" t="str">
        <f>CONCATENATE('SKALA CPL'!$D$5," ",'IMPLEMENTASI RUBIK'!F7)</f>
        <v>Kurang Mampu Mampu menerapkan prinsip_x0002_prinsip matematika, computing, dan disiplin ilmu yang relevan untuk mendukung analisis data.</v>
      </c>
    </row>
    <row r="8" spans="1:14" ht="40.5" x14ac:dyDescent="0.25">
      <c r="A8" s="243"/>
      <c r="B8" s="243"/>
      <c r="C8" s="243"/>
      <c r="D8" s="243" t="e">
        <v>#N/A</v>
      </c>
      <c r="E8" s="243" t="s">
        <v>200</v>
      </c>
      <c r="F8" s="243" t="s">
        <v>193</v>
      </c>
      <c r="G8" s="243" t="s">
        <v>242</v>
      </c>
      <c r="H8" s="243" t="s">
        <v>441</v>
      </c>
      <c r="I8" s="262">
        <v>20</v>
      </c>
      <c r="J8" s="262">
        <v>100</v>
      </c>
      <c r="K8" s="272" t="str">
        <f>CONCATENATE('SKALA CPL'!$D$2," ",'IMPLEMENTASI RUBIK'!F8)</f>
        <v>Sangat Mampu Mampu merumuskan solusi bagi bidang computing yang kompleks</v>
      </c>
      <c r="L8" s="272" t="str">
        <f>CONCATENATE('SKALA CPL'!$D$3," ",'IMPLEMENTASI RUBIK'!F8)</f>
        <v>Mampu Mampu merumuskan solusi bagi bidang computing yang kompleks</v>
      </c>
      <c r="M8" s="272" t="str">
        <f>CONCATENATE('SKALA CPL'!$D$4," ",'IMPLEMENTASI RUBIK'!F8)</f>
        <v>Cukup Mampu Mampu merumuskan solusi bagi bidang computing yang kompleks</v>
      </c>
      <c r="N8" s="272" t="str">
        <f>CONCATENATE('SKALA CPL'!$D$5," ",'IMPLEMENTASI RUBIK'!F8)</f>
        <v>Kurang Mampu Mampu merumuskan solusi bagi bidang computing yang kompleks</v>
      </c>
    </row>
    <row r="9" spans="1:14" ht="67.5" x14ac:dyDescent="0.25">
      <c r="A9" s="243" t="s">
        <v>94</v>
      </c>
      <c r="B9" s="243" t="s">
        <v>95</v>
      </c>
      <c r="C9" s="243" t="s">
        <v>27</v>
      </c>
      <c r="D9" s="243" t="s">
        <v>436</v>
      </c>
      <c r="E9" s="243" t="s">
        <v>165</v>
      </c>
      <c r="F9" s="243" t="s">
        <v>166</v>
      </c>
      <c r="G9" s="243" t="s">
        <v>234</v>
      </c>
      <c r="H9" s="243" t="s">
        <v>442</v>
      </c>
      <c r="I9" s="262">
        <v>15</v>
      </c>
      <c r="J9" s="262"/>
      <c r="K9" s="272" t="str">
        <f>CONCATENATE('SKALA CPL'!$D$2," ",'IMPLEMENTASI RUBIK'!F9)</f>
        <v>Sangat Mampu Memiliki kemampuan menganalisa berbasis kinerja solusi komputasi cerdas untuk mendukung layanan publik dan ekonomi digital</v>
      </c>
      <c r="L9" s="272" t="str">
        <f>CONCATENATE('SKALA CPL'!$D$3," ",'IMPLEMENTASI RUBIK'!F9)</f>
        <v>Mampu Memiliki kemampuan menganalisa berbasis kinerja solusi komputasi cerdas untuk mendukung layanan publik dan ekonomi digital</v>
      </c>
      <c r="M9" s="272" t="str">
        <f>CONCATENATE('SKALA CPL'!$D$4," ",'IMPLEMENTASI RUBIK'!F9)</f>
        <v>Cukup Mampu Memiliki kemampuan menganalisa berbasis kinerja solusi komputasi cerdas untuk mendukung layanan publik dan ekonomi digital</v>
      </c>
      <c r="N9" s="272" t="str">
        <f>CONCATENATE('SKALA CPL'!$D$5," ",'IMPLEMENTASI RUBIK'!F9)</f>
        <v>Kurang Mampu Memiliki kemampuan menganalisa berbasis kinerja solusi komputasi cerdas untuk mendukung layanan publik dan ekonomi digital</v>
      </c>
    </row>
    <row r="10" spans="1:14" ht="67.5" x14ac:dyDescent="0.25">
      <c r="A10" s="243"/>
      <c r="B10" s="243"/>
      <c r="C10" s="243"/>
      <c r="D10" s="243" t="e">
        <v>#N/A</v>
      </c>
      <c r="E10" s="243" t="s">
        <v>167</v>
      </c>
      <c r="F10" s="243" t="s">
        <v>168</v>
      </c>
      <c r="G10" s="243" t="s">
        <v>236</v>
      </c>
      <c r="H10" s="243" t="s">
        <v>443</v>
      </c>
      <c r="I10" s="262">
        <v>20</v>
      </c>
      <c r="J10" s="262"/>
      <c r="K10" s="272" t="str">
        <f>CONCATENATE('SKALA CPL'!$D$2," ",'IMPLEMENTASI RUBIK'!F10)</f>
        <v>Sangat Mampu Memiliki kemampuan mengevaluasi berbasis kinerja solusi komputasi cerdas untuk mendukung layanan publik dan ekonomi digital</v>
      </c>
      <c r="L10" s="272" t="str">
        <f>CONCATENATE('SKALA CPL'!$D$3," ",'IMPLEMENTASI RUBIK'!F10)</f>
        <v>Mampu Memiliki kemampuan mengevaluasi berbasis kinerja solusi komputasi cerdas untuk mendukung layanan publik dan ekonomi digital</v>
      </c>
      <c r="M10" s="272" t="str">
        <f>CONCATENATE('SKALA CPL'!$D$4," ",'IMPLEMENTASI RUBIK'!F10)</f>
        <v>Cukup Mampu Memiliki kemampuan mengevaluasi berbasis kinerja solusi komputasi cerdas untuk mendukung layanan publik dan ekonomi digital</v>
      </c>
      <c r="N10" s="272" t="str">
        <f>CONCATENATE('SKALA CPL'!$D$5," ",'IMPLEMENTASI RUBIK'!F10)</f>
        <v>Kurang Mampu Memiliki kemampuan mengevaluasi berbasis kinerja solusi komputasi cerdas untuk mendukung layanan publik dan ekonomi digital</v>
      </c>
    </row>
    <row r="11" spans="1:14" ht="67.5" x14ac:dyDescent="0.25">
      <c r="A11" s="243"/>
      <c r="B11" s="243"/>
      <c r="C11" s="243"/>
      <c r="D11" s="243" t="e">
        <v>#N/A</v>
      </c>
      <c r="E11" s="243" t="s">
        <v>169</v>
      </c>
      <c r="F11" s="243" t="s">
        <v>170</v>
      </c>
      <c r="G11" s="243" t="s">
        <v>238</v>
      </c>
      <c r="H11" s="243" t="s">
        <v>444</v>
      </c>
      <c r="I11" s="262">
        <v>20</v>
      </c>
      <c r="J11" s="262"/>
      <c r="K11" s="272" t="str">
        <f>CONCATENATE('SKALA CPL'!$D$2," ",'IMPLEMENTASI RUBIK'!F11)</f>
        <v>Sangat Mampu Memiliki kemampuan membuat keputusan berbasis kinerja solusi komputasi cerdas untuk mendukung layanan publik dan ekonomi digital</v>
      </c>
      <c r="L11" s="272" t="str">
        <f>CONCATENATE('SKALA CPL'!$D$3," ",'IMPLEMENTASI RUBIK'!F11)</f>
        <v>Mampu Memiliki kemampuan membuat keputusan berbasis kinerja solusi komputasi cerdas untuk mendukung layanan publik dan ekonomi digital</v>
      </c>
      <c r="M11" s="272" t="str">
        <f>CONCATENATE('SKALA CPL'!$D$4," ",'IMPLEMENTASI RUBIK'!F11)</f>
        <v>Cukup Mampu Memiliki kemampuan membuat keputusan berbasis kinerja solusi komputasi cerdas untuk mendukung layanan publik dan ekonomi digital</v>
      </c>
      <c r="N11" s="272" t="str">
        <f>CONCATENATE('SKALA CPL'!$D$5," ",'IMPLEMENTASI RUBIK'!F11)</f>
        <v>Kurang Mampu Memiliki kemampuan membuat keputusan berbasis kinerja solusi komputasi cerdas untuk mendukung layanan publik dan ekonomi digital</v>
      </c>
    </row>
    <row r="12" spans="1:14" ht="67.5" x14ac:dyDescent="0.25">
      <c r="A12" s="243"/>
      <c r="B12" s="243"/>
      <c r="C12" s="243" t="s">
        <v>44</v>
      </c>
      <c r="D12" s="243" t="s">
        <v>39</v>
      </c>
      <c r="E12" s="243" t="s">
        <v>199</v>
      </c>
      <c r="F12" s="243" t="s">
        <v>192</v>
      </c>
      <c r="G12" s="243" t="s">
        <v>240</v>
      </c>
      <c r="H12" s="243" t="s">
        <v>445</v>
      </c>
      <c r="I12" s="262">
        <v>23</v>
      </c>
      <c r="J12" s="262"/>
      <c r="K12" s="272" t="str">
        <f>CONCATENATE('SKALA CPL'!$D$2," ",'IMPLEMENTASI RUBIK'!F12)</f>
        <v>Sangat Mampu Mampu menerapkan prinsip_x0002_prinsip matematika, computing, dan disiplin ilmu yang relevan untuk mendukung analisis data.</v>
      </c>
      <c r="L12" s="272" t="str">
        <f>CONCATENATE('SKALA CPL'!$D$3," ",'IMPLEMENTASI RUBIK'!F12)</f>
        <v>Mampu Mampu menerapkan prinsip_x0002_prinsip matematika, computing, dan disiplin ilmu yang relevan untuk mendukung analisis data.</v>
      </c>
      <c r="M12" s="272" t="str">
        <f>CONCATENATE('SKALA CPL'!$D$4," ",'IMPLEMENTASI RUBIK'!F12)</f>
        <v>Cukup Mampu Mampu menerapkan prinsip_x0002_prinsip matematika, computing, dan disiplin ilmu yang relevan untuk mendukung analisis data.</v>
      </c>
      <c r="N12" s="272" t="str">
        <f>CONCATENATE('SKALA CPL'!$D$5," ",'IMPLEMENTASI RUBIK'!F12)</f>
        <v>Kurang Mampu Mampu menerapkan prinsip_x0002_prinsip matematika, computing, dan disiplin ilmu yang relevan untuk mendukung analisis data.</v>
      </c>
    </row>
    <row r="13" spans="1:14" ht="40.5" x14ac:dyDescent="0.25">
      <c r="A13" s="243"/>
      <c r="B13" s="243"/>
      <c r="C13" s="243"/>
      <c r="D13" s="243" t="e">
        <v>#N/A</v>
      </c>
      <c r="E13" s="243" t="s">
        <v>200</v>
      </c>
      <c r="F13" s="243" t="s">
        <v>193</v>
      </c>
      <c r="G13" s="243" t="s">
        <v>242</v>
      </c>
      <c r="H13" s="243" t="s">
        <v>446</v>
      </c>
      <c r="I13" s="262">
        <v>22</v>
      </c>
      <c r="J13" s="262">
        <v>100</v>
      </c>
      <c r="K13" s="272" t="str">
        <f>CONCATENATE('SKALA CPL'!$D$2," ",'IMPLEMENTASI RUBIK'!F13)</f>
        <v>Sangat Mampu Mampu merumuskan solusi bagi bidang computing yang kompleks</v>
      </c>
      <c r="L13" s="272" t="str">
        <f>CONCATENATE('SKALA CPL'!$D$3," ",'IMPLEMENTASI RUBIK'!F13)</f>
        <v>Mampu Mampu merumuskan solusi bagi bidang computing yang kompleks</v>
      </c>
      <c r="M13" s="272" t="str">
        <f>CONCATENATE('SKALA CPL'!$D$4," ",'IMPLEMENTASI RUBIK'!F13)</f>
        <v>Cukup Mampu Mampu merumuskan solusi bagi bidang computing yang kompleks</v>
      </c>
      <c r="N13" s="272" t="str">
        <f>CONCATENATE('SKALA CPL'!$D$5," ",'IMPLEMENTASI RUBIK'!F13)</f>
        <v>Kurang Mampu Mampu merumuskan solusi bagi bidang computing yang kompleks</v>
      </c>
    </row>
    <row r="14" spans="1:14" ht="67.5" x14ac:dyDescent="0.25">
      <c r="A14" s="243" t="s">
        <v>96</v>
      </c>
      <c r="B14" s="243" t="s">
        <v>97</v>
      </c>
      <c r="C14" s="243" t="s">
        <v>27</v>
      </c>
      <c r="D14" s="243" t="s">
        <v>436</v>
      </c>
      <c r="E14" s="243" t="s">
        <v>165</v>
      </c>
      <c r="F14" s="243" t="s">
        <v>166</v>
      </c>
      <c r="G14" s="243" t="s">
        <v>234</v>
      </c>
      <c r="H14" s="243" t="s">
        <v>447</v>
      </c>
      <c r="I14" s="262">
        <v>20</v>
      </c>
      <c r="J14" s="262"/>
      <c r="K14" s="272" t="str">
        <f>CONCATENATE('SKALA CPL'!$D$2," ",'IMPLEMENTASI RUBIK'!F14)</f>
        <v>Sangat Mampu Memiliki kemampuan menganalisa berbasis kinerja solusi komputasi cerdas untuk mendukung layanan publik dan ekonomi digital</v>
      </c>
      <c r="L14" s="272" t="str">
        <f>CONCATENATE('SKALA CPL'!$D$3," ",'IMPLEMENTASI RUBIK'!F14)</f>
        <v>Mampu Memiliki kemampuan menganalisa berbasis kinerja solusi komputasi cerdas untuk mendukung layanan publik dan ekonomi digital</v>
      </c>
      <c r="M14" s="272" t="str">
        <f>CONCATENATE('SKALA CPL'!$D$4," ",'IMPLEMENTASI RUBIK'!F14)</f>
        <v>Cukup Mampu Memiliki kemampuan menganalisa berbasis kinerja solusi komputasi cerdas untuk mendukung layanan publik dan ekonomi digital</v>
      </c>
      <c r="N14" s="272" t="str">
        <f>CONCATENATE('SKALA CPL'!$D$5," ",'IMPLEMENTASI RUBIK'!F14)</f>
        <v>Kurang Mampu Memiliki kemampuan menganalisa berbasis kinerja solusi komputasi cerdas untuk mendukung layanan publik dan ekonomi digital</v>
      </c>
    </row>
    <row r="15" spans="1:14" ht="60" x14ac:dyDescent="0.25">
      <c r="A15" s="243"/>
      <c r="B15" s="243"/>
      <c r="C15" s="243"/>
      <c r="D15" s="243" t="e">
        <v>#N/A</v>
      </c>
      <c r="E15" s="243" t="s">
        <v>167</v>
      </c>
      <c r="F15" s="243" t="s">
        <v>168</v>
      </c>
      <c r="G15" s="243" t="s">
        <v>236</v>
      </c>
      <c r="H15" s="243" t="s">
        <v>448</v>
      </c>
      <c r="I15" s="262">
        <v>20</v>
      </c>
      <c r="J15" s="262"/>
      <c r="K15" s="272" t="str">
        <f>CONCATENATE('SKALA CPL'!$D$2," ",'IMPLEMENTASI RUBIK'!F15)</f>
        <v>Sangat Mampu Memiliki kemampuan mengevaluasi berbasis kinerja solusi komputasi cerdas untuk mendukung layanan publik dan ekonomi digital</v>
      </c>
      <c r="L15" s="272" t="str">
        <f>CONCATENATE('SKALA CPL'!$D$3," ",'IMPLEMENTASI RUBIK'!F15)</f>
        <v>Mampu Memiliki kemampuan mengevaluasi berbasis kinerja solusi komputasi cerdas untuk mendukung layanan publik dan ekonomi digital</v>
      </c>
      <c r="M15" s="272" t="str">
        <f>CONCATENATE('SKALA CPL'!$D$4," ",'IMPLEMENTASI RUBIK'!F15)</f>
        <v>Cukup Mampu Memiliki kemampuan mengevaluasi berbasis kinerja solusi komputasi cerdas untuk mendukung layanan publik dan ekonomi digital</v>
      </c>
      <c r="N15" s="272" t="str">
        <f>CONCATENATE('SKALA CPL'!$D$5," ",'IMPLEMENTASI RUBIK'!F15)</f>
        <v>Kurang Mampu Memiliki kemampuan mengevaluasi berbasis kinerja solusi komputasi cerdas untuk mendukung layanan publik dan ekonomi digital</v>
      </c>
    </row>
    <row r="16" spans="1:14" ht="60" x14ac:dyDescent="0.25">
      <c r="A16" s="243"/>
      <c r="B16" s="243"/>
      <c r="C16" s="243"/>
      <c r="D16" s="243" t="e">
        <v>#N/A</v>
      </c>
      <c r="E16" s="243" t="s">
        <v>169</v>
      </c>
      <c r="F16" s="243" t="s">
        <v>170</v>
      </c>
      <c r="G16" s="243" t="s">
        <v>238</v>
      </c>
      <c r="H16" s="243" t="s">
        <v>449</v>
      </c>
      <c r="I16" s="262">
        <v>20</v>
      </c>
      <c r="J16" s="262"/>
      <c r="K16" s="272" t="str">
        <f>CONCATENATE('SKALA CPL'!$D$2," ",'IMPLEMENTASI RUBIK'!F16)</f>
        <v>Sangat Mampu Memiliki kemampuan membuat keputusan berbasis kinerja solusi komputasi cerdas untuk mendukung layanan publik dan ekonomi digital</v>
      </c>
      <c r="L16" s="272" t="str">
        <f>CONCATENATE('SKALA CPL'!$D$3," ",'IMPLEMENTASI RUBIK'!F16)</f>
        <v>Mampu Memiliki kemampuan membuat keputusan berbasis kinerja solusi komputasi cerdas untuk mendukung layanan publik dan ekonomi digital</v>
      </c>
      <c r="M16" s="272" t="str">
        <f>CONCATENATE('SKALA CPL'!$D$4," ",'IMPLEMENTASI RUBIK'!F16)</f>
        <v>Cukup Mampu Memiliki kemampuan membuat keputusan berbasis kinerja solusi komputasi cerdas untuk mendukung layanan publik dan ekonomi digital</v>
      </c>
      <c r="N16" s="272" t="str">
        <f>CONCATENATE('SKALA CPL'!$D$5," ",'IMPLEMENTASI RUBIK'!F16)</f>
        <v>Kurang Mampu Memiliki kemampuan membuat keputusan berbasis kinerja solusi komputasi cerdas untuk mendukung layanan publik dan ekonomi digital</v>
      </c>
    </row>
    <row r="17" spans="1:14" ht="60" x14ac:dyDescent="0.25">
      <c r="A17" s="243"/>
      <c r="B17" s="243"/>
      <c r="C17" s="243" t="s">
        <v>44</v>
      </c>
      <c r="D17" s="243" t="s">
        <v>39</v>
      </c>
      <c r="E17" s="243" t="s">
        <v>199</v>
      </c>
      <c r="F17" s="243" t="s">
        <v>192</v>
      </c>
      <c r="G17" s="243" t="s">
        <v>240</v>
      </c>
      <c r="H17" s="243" t="s">
        <v>450</v>
      </c>
      <c r="I17" s="262">
        <v>20</v>
      </c>
      <c r="J17" s="262"/>
      <c r="K17" s="272" t="str">
        <f>CONCATENATE('SKALA CPL'!$D$2," ",'IMPLEMENTASI RUBIK'!F17)</f>
        <v>Sangat Mampu Mampu menerapkan prinsip_x0002_prinsip matematika, computing, dan disiplin ilmu yang relevan untuk mendukung analisis data.</v>
      </c>
      <c r="L17" s="272" t="str">
        <f>CONCATENATE('SKALA CPL'!$D$3," ",'IMPLEMENTASI RUBIK'!F17)</f>
        <v>Mampu Mampu menerapkan prinsip_x0002_prinsip matematika, computing, dan disiplin ilmu yang relevan untuk mendukung analisis data.</v>
      </c>
      <c r="M17" s="272" t="str">
        <f>CONCATENATE('SKALA CPL'!$D$4," ",'IMPLEMENTASI RUBIK'!F17)</f>
        <v>Cukup Mampu Mampu menerapkan prinsip_x0002_prinsip matematika, computing, dan disiplin ilmu yang relevan untuk mendukung analisis data.</v>
      </c>
      <c r="N17" s="272" t="str">
        <f>CONCATENATE('SKALA CPL'!$D$5," ",'IMPLEMENTASI RUBIK'!F17)</f>
        <v>Kurang Mampu Mampu menerapkan prinsip_x0002_prinsip matematika, computing, dan disiplin ilmu yang relevan untuk mendukung analisis data.</v>
      </c>
    </row>
    <row r="18" spans="1:14" ht="40.5" x14ac:dyDescent="0.25">
      <c r="A18" s="243"/>
      <c r="B18" s="243"/>
      <c r="C18" s="243"/>
      <c r="D18" s="243" t="e">
        <v>#N/A</v>
      </c>
      <c r="E18" s="243" t="s">
        <v>200</v>
      </c>
      <c r="F18" s="243" t="s">
        <v>193</v>
      </c>
      <c r="G18" s="243" t="s">
        <v>242</v>
      </c>
      <c r="H18" s="243" t="s">
        <v>451</v>
      </c>
      <c r="I18" s="262">
        <v>20</v>
      </c>
      <c r="J18" s="262">
        <v>100</v>
      </c>
      <c r="K18" s="272" t="str">
        <f>CONCATENATE('SKALA CPL'!$D$2," ",'IMPLEMENTASI RUBIK'!F18)</f>
        <v>Sangat Mampu Mampu merumuskan solusi bagi bidang computing yang kompleks</v>
      </c>
      <c r="L18" s="272" t="str">
        <f>CONCATENATE('SKALA CPL'!$D$3," ",'IMPLEMENTASI RUBIK'!F18)</f>
        <v>Mampu Mampu merumuskan solusi bagi bidang computing yang kompleks</v>
      </c>
      <c r="M18" s="272" t="str">
        <f>CONCATENATE('SKALA CPL'!$D$4," ",'IMPLEMENTASI RUBIK'!F18)</f>
        <v>Cukup Mampu Mampu merumuskan solusi bagi bidang computing yang kompleks</v>
      </c>
      <c r="N18" s="272" t="str">
        <f>CONCATENATE('SKALA CPL'!$D$5," ",'IMPLEMENTASI RUBIK'!F18)</f>
        <v>Kurang Mampu Mampu merumuskan solusi bagi bidang computing yang kompleks</v>
      </c>
    </row>
    <row r="19" spans="1:14" ht="81" x14ac:dyDescent="0.25">
      <c r="A19" s="243" t="s">
        <v>98</v>
      </c>
      <c r="B19" s="243" t="s">
        <v>99</v>
      </c>
      <c r="C19" s="243" t="s">
        <v>22</v>
      </c>
      <c r="D19" s="243" t="s">
        <v>401</v>
      </c>
      <c r="E19" s="243" t="s">
        <v>153</v>
      </c>
      <c r="F19" s="243" t="s">
        <v>154</v>
      </c>
      <c r="G19" s="243" t="s">
        <v>249</v>
      </c>
      <c r="H19" s="243" t="s">
        <v>452</v>
      </c>
      <c r="I19" s="262">
        <v>0</v>
      </c>
      <c r="J19" s="262"/>
      <c r="K19" s="272" t="str">
        <f>CONCATENATE('SKALA CPL'!$D$2," ",'IMPLEMENTASI RUBIK'!F19)</f>
        <v>Sangat Mampu Memiliki kemampuan menganalisis berdasarkan pengetahuan di bidang teknologi informasi cerdas dalam konteks dukungan terhadap pengembangan layanan publik dan ekonomi digital</v>
      </c>
      <c r="L19" s="272" t="str">
        <f>CONCATENATE('SKALA CPL'!$D$3," ",'IMPLEMENTASI RUBIK'!F19)</f>
        <v>Mampu Memiliki kemampuan menganalisis berdasarkan pengetahuan di bidang teknologi informasi cerdas dalam konteks dukungan terhadap pengembangan layanan publik dan ekonomi digital</v>
      </c>
      <c r="M19" s="272" t="str">
        <f>CONCATENATE('SKALA CPL'!$D$4," ",'IMPLEMENTASI RUBIK'!F19)</f>
        <v>Cukup Mampu Memiliki kemampuan menganalisis berdasarkan pengetahuan di bidang teknologi informasi cerdas dalam konteks dukungan terhadap pengembangan layanan publik dan ekonomi digital</v>
      </c>
      <c r="N19" s="272" t="str">
        <f>CONCATENATE('SKALA CPL'!$D$5," ",'IMPLEMENTASI RUBIK'!F19)</f>
        <v>Kurang Mampu Memiliki kemampuan menganalisis berdasarkan pengetahuan di bidang teknologi informasi cerdas dalam konteks dukungan terhadap pengembangan layanan publik dan ekonomi digital</v>
      </c>
    </row>
    <row r="20" spans="1:14" ht="81" x14ac:dyDescent="0.25">
      <c r="A20" s="243"/>
      <c r="B20" s="243"/>
      <c r="C20" s="243"/>
      <c r="D20" s="243" t="e">
        <v>#N/A</v>
      </c>
      <c r="E20" s="243" t="s">
        <v>155</v>
      </c>
      <c r="F20" s="243" t="s">
        <v>156</v>
      </c>
      <c r="G20" s="243" t="s">
        <v>251</v>
      </c>
      <c r="H20" s="243" t="s">
        <v>453</v>
      </c>
      <c r="I20" s="262">
        <v>0</v>
      </c>
      <c r="J20" s="262"/>
      <c r="K20" s="272" t="str">
        <f>CONCATENATE('SKALA CPL'!$D$2," ",'IMPLEMENTASI RUBIK'!F20)</f>
        <v>Sangat Mampu Memiliki kemampuan mengevaluasi berdasarkan pengetahuan di bidang teknologi informasi cerdas dalam konteks dukungan terhadap pengembangan layanan publik dan ekonomi digital</v>
      </c>
      <c r="L20" s="272" t="str">
        <f>CONCATENATE('SKALA CPL'!$D$3," ",'IMPLEMENTASI RUBIK'!F20)</f>
        <v>Mampu Memiliki kemampuan mengevaluasi berdasarkan pengetahuan di bidang teknologi informasi cerdas dalam konteks dukungan terhadap pengembangan layanan publik dan ekonomi digital</v>
      </c>
      <c r="M20" s="272" t="str">
        <f>CONCATENATE('SKALA CPL'!$D$4," ",'IMPLEMENTASI RUBIK'!F20)</f>
        <v>Cukup Mampu Memiliki kemampuan mengevaluasi berdasarkan pengetahuan di bidang teknologi informasi cerdas dalam konteks dukungan terhadap pengembangan layanan publik dan ekonomi digital</v>
      </c>
      <c r="N20" s="272" t="str">
        <f>CONCATENATE('SKALA CPL'!$D$5," ",'IMPLEMENTASI RUBIK'!F20)</f>
        <v>Kurang Mampu Memiliki kemampuan mengevaluasi berdasarkan pengetahuan di bidang teknologi informasi cerdas dalam konteks dukungan terhadap pengembangan layanan publik dan ekonomi digital</v>
      </c>
    </row>
    <row r="21" spans="1:14" ht="90" x14ac:dyDescent="0.25">
      <c r="A21" s="243"/>
      <c r="B21" s="243"/>
      <c r="C21" s="243"/>
      <c r="D21" s="243" t="e">
        <v>#N/A</v>
      </c>
      <c r="E21" s="243" t="s">
        <v>157</v>
      </c>
      <c r="F21" s="243" t="s">
        <v>158</v>
      </c>
      <c r="G21" s="243" t="s">
        <v>252</v>
      </c>
      <c r="H21" s="243" t="s">
        <v>454</v>
      </c>
      <c r="I21" s="262">
        <v>0</v>
      </c>
      <c r="J21" s="262"/>
      <c r="K21" s="272" t="str">
        <f>CONCATENATE('SKALA CPL'!$D$2," ",'IMPLEMENTASI RUBIK'!F21)</f>
        <v>Sangat Mampu Memiliki kemampuan membuat keputusan berdasarkan pengetahuan di bidang teknologi informasi cerdas dalam konteks dukungan terhadap pengembangan layanan publik dan ekonomi digital</v>
      </c>
      <c r="L21" s="272" t="str">
        <f>CONCATENATE('SKALA CPL'!$D$3," ",'IMPLEMENTASI RUBIK'!F21)</f>
        <v>Mampu Memiliki kemampuan membuat keputusan berdasarkan pengetahuan di bidang teknologi informasi cerdas dalam konteks dukungan terhadap pengembangan layanan publik dan ekonomi digital</v>
      </c>
      <c r="M21" s="272" t="str">
        <f>CONCATENATE('SKALA CPL'!$D$4," ",'IMPLEMENTASI RUBIK'!F21)</f>
        <v>Cukup Mampu Memiliki kemampuan membuat keputusan berdasarkan pengetahuan di bidang teknologi informasi cerdas dalam konteks dukungan terhadap pengembangan layanan publik dan ekonomi digital</v>
      </c>
      <c r="N21" s="272" t="str">
        <f>CONCATENATE('SKALA CPL'!$D$5," ",'IMPLEMENTASI RUBIK'!F21)</f>
        <v>Kurang Mampu Memiliki kemampuan membuat keputusan berdasarkan pengetahuan di bidang teknologi informasi cerdas dalam konteks dukungan terhadap pengembangan layanan publik dan ekonomi digital</v>
      </c>
    </row>
    <row r="22" spans="1:14" ht="94.5" x14ac:dyDescent="0.25">
      <c r="A22" s="243"/>
      <c r="B22" s="243"/>
      <c r="C22" s="243" t="s">
        <v>25</v>
      </c>
      <c r="D22" s="243" t="s">
        <v>404</v>
      </c>
      <c r="E22" s="243" t="s">
        <v>159</v>
      </c>
      <c r="F22" s="243" t="s">
        <v>160</v>
      </c>
      <c r="G22" s="243" t="s">
        <v>253</v>
      </c>
      <c r="H22" s="243" t="s">
        <v>455</v>
      </c>
      <c r="I22" s="262">
        <v>0</v>
      </c>
      <c r="J22" s="262"/>
      <c r="K22" s="272" t="str">
        <f>CONCATENATE('SKALA CPL'!$D$2," ",'IMPLEMENTASI RUBIK'!F22)</f>
        <v>Sangat Mampu Mampu mengevaluasi berdasarkan pengetahuan teknologi informasi khususnya teknologi informasi cerdas terbaru berkaitan dengan manajemen pengembangan layanan publik dan ekonomi digital</v>
      </c>
      <c r="L22" s="272" t="str">
        <f>CONCATENATE('SKALA CPL'!$D$3," ",'IMPLEMENTASI RUBIK'!F22)</f>
        <v>Mampu Mampu mengevaluasi berdasarkan pengetahuan teknologi informasi khususnya teknologi informasi cerdas terbaru berkaitan dengan manajemen pengembangan layanan publik dan ekonomi digital</v>
      </c>
      <c r="M22" s="272" t="str">
        <f>CONCATENATE('SKALA CPL'!$D$4," ",'IMPLEMENTASI RUBIK'!F22)</f>
        <v>Cukup Mampu Mampu mengevaluasi berdasarkan pengetahuan teknologi informasi khususnya teknologi informasi cerdas terbaru berkaitan dengan manajemen pengembangan layanan publik dan ekonomi digital</v>
      </c>
      <c r="N22" s="272" t="str">
        <f>CONCATENATE('SKALA CPL'!$D$5," ",'IMPLEMENTASI RUBIK'!F22)</f>
        <v>Kurang Mampu Mampu mengevaluasi berdasarkan pengetahuan teknologi informasi khususnya teknologi informasi cerdas terbaru berkaitan dengan manajemen pengembangan layanan publik dan ekonomi digital</v>
      </c>
    </row>
    <row r="23" spans="1:14" ht="94.5" x14ac:dyDescent="0.25">
      <c r="A23" s="243"/>
      <c r="B23" s="243"/>
      <c r="C23" s="243"/>
      <c r="D23" s="243" t="e">
        <v>#N/A</v>
      </c>
      <c r="E23" s="243" t="s">
        <v>161</v>
      </c>
      <c r="F23" s="243" t="s">
        <v>162</v>
      </c>
      <c r="G23" s="243" t="s">
        <v>254</v>
      </c>
      <c r="H23" s="243" t="s">
        <v>456</v>
      </c>
      <c r="I23" s="262">
        <v>0</v>
      </c>
      <c r="J23" s="262"/>
      <c r="K23" s="272" t="str">
        <f>CONCATENATE('SKALA CPL'!$D$2," ",'IMPLEMENTASI RUBIK'!F23)</f>
        <v>Sangat Mampu Mampu membuat kesimpulan berdasarkan pengetahuan teknologi informasi khususnya teknologi informasi cerdas terbaru berkaitan dengan manajemen pengembangan layanan publik dan ekonomi digital</v>
      </c>
      <c r="L23" s="272" t="str">
        <f>CONCATENATE('SKALA CPL'!$D$3," ",'IMPLEMENTASI RUBIK'!F23)</f>
        <v>Mampu Mampu membuat kesimpulan berdasarkan pengetahuan teknologi informasi khususnya teknologi informasi cerdas terbaru berkaitan dengan manajemen pengembangan layanan publik dan ekonomi digital</v>
      </c>
      <c r="M23" s="272" t="str">
        <f>CONCATENATE('SKALA CPL'!$D$4," ",'IMPLEMENTASI RUBIK'!F23)</f>
        <v>Cukup Mampu Mampu membuat kesimpulan berdasarkan pengetahuan teknologi informasi khususnya teknologi informasi cerdas terbaru berkaitan dengan manajemen pengembangan layanan publik dan ekonomi digital</v>
      </c>
      <c r="N23" s="272" t="str">
        <f>CONCATENATE('SKALA CPL'!$D$5," ",'IMPLEMENTASI RUBIK'!F23)</f>
        <v>Kurang Mampu Mampu membuat kesimpulan berdasarkan pengetahuan teknologi informasi khususnya teknologi informasi cerdas terbaru berkaitan dengan manajemen pengembangan layanan publik dan ekonomi digital</v>
      </c>
    </row>
    <row r="24" spans="1:14" ht="94.5" x14ac:dyDescent="0.25">
      <c r="A24" s="243"/>
      <c r="B24" s="243"/>
      <c r="C24" s="243"/>
      <c r="D24" s="243" t="e">
        <v>#N/A</v>
      </c>
      <c r="E24" s="243" t="s">
        <v>163</v>
      </c>
      <c r="F24" s="243" t="s">
        <v>164</v>
      </c>
      <c r="G24" s="243" t="s">
        <v>255</v>
      </c>
      <c r="H24" s="243" t="s">
        <v>457</v>
      </c>
      <c r="I24" s="262">
        <v>0</v>
      </c>
      <c r="J24" s="262"/>
      <c r="K24" s="272" t="str">
        <f>CONCATENATE('SKALA CPL'!$D$2," ",'IMPLEMENTASI RUBIK'!F24)</f>
        <v>Sangat Mampu Mampu membuat keputusan berdasarkan pengetahuan teknologi informasi khususnya teknologi informasi cerdas terbaru berkaitan dengan manajemen pengembangan layanan publik dan ekonomi digital</v>
      </c>
      <c r="L24" s="272" t="str">
        <f>CONCATENATE('SKALA CPL'!$D$3," ",'IMPLEMENTASI RUBIK'!F24)</f>
        <v>Mampu Mampu membuat keputusan berdasarkan pengetahuan teknologi informasi khususnya teknologi informasi cerdas terbaru berkaitan dengan manajemen pengembangan layanan publik dan ekonomi digital</v>
      </c>
      <c r="M24" s="272" t="str">
        <f>CONCATENATE('SKALA CPL'!$D$4," ",'IMPLEMENTASI RUBIK'!F24)</f>
        <v>Cukup Mampu Mampu membuat keputusan berdasarkan pengetahuan teknologi informasi khususnya teknologi informasi cerdas terbaru berkaitan dengan manajemen pengembangan layanan publik dan ekonomi digital</v>
      </c>
      <c r="N24" s="272" t="str">
        <f>CONCATENATE('SKALA CPL'!$D$5," ",'IMPLEMENTASI RUBIK'!F24)</f>
        <v>Kurang Mampu Mampu membuat keputusan berdasarkan pengetahuan teknologi informasi khususnya teknologi informasi cerdas terbaru berkaitan dengan manajemen pengembangan layanan publik dan ekonomi digital</v>
      </c>
    </row>
    <row r="25" spans="1:14" ht="40.5" x14ac:dyDescent="0.25">
      <c r="A25" s="243"/>
      <c r="B25" s="243"/>
      <c r="C25" s="243" t="s">
        <v>45</v>
      </c>
      <c r="D25" s="243" t="s">
        <v>40</v>
      </c>
      <c r="E25" s="243" t="s">
        <v>201</v>
      </c>
      <c r="F25" s="243" t="s">
        <v>194</v>
      </c>
      <c r="G25" s="243" t="s">
        <v>256</v>
      </c>
      <c r="H25" s="243" t="s">
        <v>458</v>
      </c>
      <c r="I25" s="262">
        <v>0</v>
      </c>
      <c r="J25" s="262"/>
      <c r="K25" s="272" t="str">
        <f>CONCATENATE('SKALA CPL'!$D$2," ",'IMPLEMENTASI RUBIK'!F25)</f>
        <v>Sangat Mampu Mampu merancang sistem yang kompleks dalam bidang computing.</v>
      </c>
      <c r="L25" s="272" t="str">
        <f>CONCATENATE('SKALA CPL'!$D$3," ",'IMPLEMENTASI RUBIK'!F25)</f>
        <v>Mampu Mampu merancang sistem yang kompleks dalam bidang computing.</v>
      </c>
      <c r="M25" s="272" t="str">
        <f>CONCATENATE('SKALA CPL'!$D$4," ",'IMPLEMENTASI RUBIK'!F25)</f>
        <v>Cukup Mampu Mampu merancang sistem yang kompleks dalam bidang computing.</v>
      </c>
      <c r="N25" s="272" t="str">
        <f>CONCATENATE('SKALA CPL'!$D$5," ",'IMPLEMENTASI RUBIK'!F25)</f>
        <v>Kurang Mampu Mampu merancang sistem yang kompleks dalam bidang computing.</v>
      </c>
    </row>
    <row r="26" spans="1:14" ht="40.5" x14ac:dyDescent="0.25">
      <c r="A26" s="243"/>
      <c r="B26" s="243"/>
      <c r="C26" s="243"/>
      <c r="D26" s="243" t="e">
        <v>#N/A</v>
      </c>
      <c r="E26" s="243" t="s">
        <v>202</v>
      </c>
      <c r="F26" s="243" t="s">
        <v>195</v>
      </c>
      <c r="G26" s="243" t="s">
        <v>257</v>
      </c>
      <c r="H26" s="243" t="s">
        <v>459</v>
      </c>
      <c r="I26" s="262">
        <v>0</v>
      </c>
      <c r="J26" s="262"/>
      <c r="K26" s="272" t="str">
        <f>CONCATENATE('SKALA CPL'!$D$2," ",'IMPLEMENTASI RUBIK'!F26)</f>
        <v>Sangat Mampu Mampu membangun solusi berbasis computing yang efektif dan efisien</v>
      </c>
      <c r="L26" s="272" t="str">
        <f>CONCATENATE('SKALA CPL'!$D$3," ",'IMPLEMENTASI RUBIK'!F26)</f>
        <v>Mampu Mampu membangun solusi berbasis computing yang efektif dan efisien</v>
      </c>
      <c r="M26" s="272" t="str">
        <f>CONCATENATE('SKALA CPL'!$D$4," ",'IMPLEMENTASI RUBIK'!F26)</f>
        <v>Cukup Mampu Mampu membangun solusi berbasis computing yang efektif dan efisien</v>
      </c>
      <c r="N26" s="272" t="str">
        <f>CONCATENATE('SKALA CPL'!$D$5," ",'IMPLEMENTASI RUBIK'!F26)</f>
        <v>Kurang Mampu Mampu membangun solusi berbasis computing yang efektif dan efisien</v>
      </c>
    </row>
    <row r="27" spans="1:14" ht="81" x14ac:dyDescent="0.25">
      <c r="A27" s="243" t="s">
        <v>100</v>
      </c>
      <c r="B27" s="243" t="s">
        <v>101</v>
      </c>
      <c r="C27" s="243" t="s">
        <v>35</v>
      </c>
      <c r="D27" s="243" t="s">
        <v>418</v>
      </c>
      <c r="E27" s="243" t="s">
        <v>183</v>
      </c>
      <c r="F27" s="243" t="s">
        <v>184</v>
      </c>
      <c r="G27" s="243" t="s">
        <v>258</v>
      </c>
      <c r="H27" s="243" t="s">
        <v>460</v>
      </c>
      <c r="I27" s="262">
        <v>0</v>
      </c>
      <c r="J27" s="262"/>
      <c r="K27" s="272" t="str">
        <f>CONCATENATE('SKALA CPL'!$D$2," ",'IMPLEMENTASI RUBIK'!F27)</f>
        <v>Sangat Mampu Mampu mengevaluasi solusi komputasi cerdas dengan menggunakan teknologi terkini dalam mendukung pengembangan kota cerdas dan sistem pemerintahan berbasis elektronik</v>
      </c>
      <c r="L27" s="272" t="str">
        <f>CONCATENATE('SKALA CPL'!$D$3," ",'IMPLEMENTASI RUBIK'!F27)</f>
        <v>Mampu Mampu mengevaluasi solusi komputasi cerdas dengan menggunakan teknologi terkini dalam mendukung pengembangan kota cerdas dan sistem pemerintahan berbasis elektronik</v>
      </c>
      <c r="M27" s="272" t="str">
        <f>CONCATENATE('SKALA CPL'!$D$4," ",'IMPLEMENTASI RUBIK'!F27)</f>
        <v>Cukup Mampu Mampu mengevaluasi solusi komputasi cerdas dengan menggunakan teknologi terkini dalam mendukung pengembangan kota cerdas dan sistem pemerintahan berbasis elektronik</v>
      </c>
      <c r="N27" s="272" t="str">
        <f>CONCATENATE('SKALA CPL'!$D$5," ",'IMPLEMENTASI RUBIK'!F27)</f>
        <v>Kurang Mampu Mampu mengevaluasi solusi komputasi cerdas dengan menggunakan teknologi terkini dalam mendukung pengembangan kota cerdas dan sistem pemerintahan berbasis elektronik</v>
      </c>
    </row>
    <row r="28" spans="1:14" ht="81" x14ac:dyDescent="0.25">
      <c r="A28" s="243"/>
      <c r="B28" s="243"/>
      <c r="C28" s="243"/>
      <c r="D28" s="243" t="e">
        <v>#N/A</v>
      </c>
      <c r="E28" s="243" t="s">
        <v>185</v>
      </c>
      <c r="F28" s="243" t="s">
        <v>186</v>
      </c>
      <c r="G28" s="243" t="s">
        <v>259</v>
      </c>
      <c r="H28" s="243" t="s">
        <v>461</v>
      </c>
      <c r="I28" s="262">
        <v>0</v>
      </c>
      <c r="J28" s="262"/>
      <c r="K28" s="272" t="str">
        <f>CONCATENATE('SKALA CPL'!$D$2," ",'IMPLEMENTASI RUBIK'!F28)</f>
        <v>Sangat Mampu Mampu mengembangkan solusi komputasi cerdas dengan menggunakan teknologi terkini dalam mendukung pengembangan kota cerdas dan sistem pemerintahan berbasis elektronik</v>
      </c>
      <c r="L28" s="272" t="str">
        <f>CONCATENATE('SKALA CPL'!$D$3," ",'IMPLEMENTASI RUBIK'!F28)</f>
        <v>Mampu Mampu mengembangkan solusi komputasi cerdas dengan menggunakan teknologi terkini dalam mendukung pengembangan kota cerdas dan sistem pemerintahan berbasis elektronik</v>
      </c>
      <c r="M28" s="272" t="str">
        <f>CONCATENATE('SKALA CPL'!$D$4," ",'IMPLEMENTASI RUBIK'!F28)</f>
        <v>Cukup Mampu Mampu mengembangkan solusi komputasi cerdas dengan menggunakan teknologi terkini dalam mendukung pengembangan kota cerdas dan sistem pemerintahan berbasis elektronik</v>
      </c>
      <c r="N28" s="272" t="str">
        <f>CONCATENATE('SKALA CPL'!$D$5," ",'IMPLEMENTASI RUBIK'!F28)</f>
        <v>Kurang Mampu Mampu mengembangkan solusi komputasi cerdas dengan menggunakan teknologi terkini dalam mendukung pengembangan kota cerdas dan sistem pemerintahan berbasis elektronik</v>
      </c>
    </row>
    <row r="29" spans="1:14" ht="90" x14ac:dyDescent="0.25">
      <c r="A29" s="243"/>
      <c r="B29" s="243"/>
      <c r="C29" s="243"/>
      <c r="D29" s="243" t="e">
        <v>#N/A</v>
      </c>
      <c r="E29" s="243" t="s">
        <v>187</v>
      </c>
      <c r="F29" s="243" t="s">
        <v>188</v>
      </c>
      <c r="G29" s="243" t="s">
        <v>260</v>
      </c>
      <c r="H29" s="243" t="s">
        <v>462</v>
      </c>
      <c r="I29" s="262">
        <v>0</v>
      </c>
      <c r="J29" s="262"/>
      <c r="K29" s="272" t="str">
        <f>CONCATENATE('SKALA CPL'!$D$2," ",'IMPLEMENTASI RUBIK'!F29)</f>
        <v>Sangat Mampu Mampu mengimplementasikan solusi komputasi cerdas dengan menggunakan teknologi terkini dalam mendukung pengembangan kota cerdas dan sistem pemerintahan berbasis elektronik</v>
      </c>
      <c r="L29" s="272" t="str">
        <f>CONCATENATE('SKALA CPL'!$D$3," ",'IMPLEMENTASI RUBIK'!F29)</f>
        <v>Mampu Mampu mengimplementasikan solusi komputasi cerdas dengan menggunakan teknologi terkini dalam mendukung pengembangan kota cerdas dan sistem pemerintahan berbasis elektronik</v>
      </c>
      <c r="M29" s="272" t="str">
        <f>CONCATENATE('SKALA CPL'!$D$4," ",'IMPLEMENTASI RUBIK'!F29)</f>
        <v>Cukup Mampu Mampu mengimplementasikan solusi komputasi cerdas dengan menggunakan teknologi terkini dalam mendukung pengembangan kota cerdas dan sistem pemerintahan berbasis elektronik</v>
      </c>
      <c r="N29" s="272" t="str">
        <f>CONCATENATE('SKALA CPL'!$D$5," ",'IMPLEMENTASI RUBIK'!F29)</f>
        <v>Kurang Mampu Mampu mengimplementasikan solusi komputasi cerdas dengan menggunakan teknologi terkini dalam mendukung pengembangan kota cerdas dan sistem pemerintahan berbasis elektronik</v>
      </c>
    </row>
    <row r="30" spans="1:14" ht="40.5" x14ac:dyDescent="0.25">
      <c r="A30" s="243"/>
      <c r="B30" s="243"/>
      <c r="C30" s="243" t="s">
        <v>45</v>
      </c>
      <c r="D30" s="243" t="s">
        <v>40</v>
      </c>
      <c r="E30" s="243" t="s">
        <v>201</v>
      </c>
      <c r="F30" s="243" t="s">
        <v>194</v>
      </c>
      <c r="G30" s="243" t="s">
        <v>256</v>
      </c>
      <c r="H30" s="243" t="s">
        <v>463</v>
      </c>
      <c r="I30" s="262">
        <v>0</v>
      </c>
      <c r="J30" s="262"/>
      <c r="K30" s="272" t="str">
        <f>CONCATENATE('SKALA CPL'!$D$2," ",'IMPLEMENTASI RUBIK'!F30)</f>
        <v>Sangat Mampu Mampu merancang sistem yang kompleks dalam bidang computing.</v>
      </c>
      <c r="L30" s="272" t="str">
        <f>CONCATENATE('SKALA CPL'!$D$3," ",'IMPLEMENTASI RUBIK'!F30)</f>
        <v>Mampu Mampu merancang sistem yang kompleks dalam bidang computing.</v>
      </c>
      <c r="M30" s="272" t="str">
        <f>CONCATENATE('SKALA CPL'!$D$4," ",'IMPLEMENTASI RUBIK'!F30)</f>
        <v>Cukup Mampu Mampu merancang sistem yang kompleks dalam bidang computing.</v>
      </c>
      <c r="N30" s="272" t="str">
        <f>CONCATENATE('SKALA CPL'!$D$5," ",'IMPLEMENTASI RUBIK'!F30)</f>
        <v>Kurang Mampu Mampu merancang sistem yang kompleks dalam bidang computing.</v>
      </c>
    </row>
    <row r="31" spans="1:14" ht="40.5" x14ac:dyDescent="0.25">
      <c r="A31" s="243"/>
      <c r="B31" s="243"/>
      <c r="C31" s="243"/>
      <c r="D31" s="243" t="e">
        <v>#N/A</v>
      </c>
      <c r="E31" s="243" t="s">
        <v>202</v>
      </c>
      <c r="F31" s="243" t="s">
        <v>195</v>
      </c>
      <c r="G31" s="243" t="s">
        <v>257</v>
      </c>
      <c r="H31" s="243" t="s">
        <v>464</v>
      </c>
      <c r="I31" s="262">
        <v>0</v>
      </c>
      <c r="J31" s="262"/>
      <c r="K31" s="272" t="str">
        <f>CONCATENATE('SKALA CPL'!$D$2," ",'IMPLEMENTASI RUBIK'!F31)</f>
        <v>Sangat Mampu Mampu membangun solusi berbasis computing yang efektif dan efisien</v>
      </c>
      <c r="L31" s="272" t="str">
        <f>CONCATENATE('SKALA CPL'!$D$3," ",'IMPLEMENTASI RUBIK'!F31)</f>
        <v>Mampu Mampu membangun solusi berbasis computing yang efektif dan efisien</v>
      </c>
      <c r="M31" s="272" t="str">
        <f>CONCATENATE('SKALA CPL'!$D$4," ",'IMPLEMENTASI RUBIK'!F31)</f>
        <v>Cukup Mampu Mampu membangun solusi berbasis computing yang efektif dan efisien</v>
      </c>
      <c r="N31" s="272" t="str">
        <f>CONCATENATE('SKALA CPL'!$D$5," ",'IMPLEMENTASI RUBIK'!F31)</f>
        <v>Kurang Mampu Mampu membangun solusi berbasis computing yang efektif dan efisien</v>
      </c>
    </row>
    <row r="32" spans="1:14" ht="81" x14ac:dyDescent="0.25">
      <c r="A32" s="243" t="s">
        <v>102</v>
      </c>
      <c r="B32" s="243" t="s">
        <v>103</v>
      </c>
      <c r="C32" s="243" t="s">
        <v>22</v>
      </c>
      <c r="D32" s="243" t="s">
        <v>401</v>
      </c>
      <c r="E32" s="243" t="s">
        <v>153</v>
      </c>
      <c r="F32" s="243" t="s">
        <v>154</v>
      </c>
      <c r="G32" s="243" t="s">
        <v>249</v>
      </c>
      <c r="H32" s="243" t="s">
        <v>465</v>
      </c>
      <c r="I32" s="262">
        <v>35</v>
      </c>
      <c r="J32" s="262"/>
      <c r="K32" s="272" t="str">
        <f>CONCATENATE('SKALA CPL'!$D$2," ",'IMPLEMENTASI RUBIK'!F32)</f>
        <v>Sangat Mampu Memiliki kemampuan menganalisis berdasarkan pengetahuan di bidang teknologi informasi cerdas dalam konteks dukungan terhadap pengembangan layanan publik dan ekonomi digital</v>
      </c>
      <c r="L32" s="272" t="str">
        <f>CONCATENATE('SKALA CPL'!$D$3," ",'IMPLEMENTASI RUBIK'!F32)</f>
        <v>Mampu Memiliki kemampuan menganalisis berdasarkan pengetahuan di bidang teknologi informasi cerdas dalam konteks dukungan terhadap pengembangan layanan publik dan ekonomi digital</v>
      </c>
      <c r="M32" s="272" t="str">
        <f>CONCATENATE('SKALA CPL'!$D$4," ",'IMPLEMENTASI RUBIK'!F32)</f>
        <v>Cukup Mampu Memiliki kemampuan menganalisis berdasarkan pengetahuan di bidang teknologi informasi cerdas dalam konteks dukungan terhadap pengembangan layanan publik dan ekonomi digital</v>
      </c>
      <c r="N32" s="272" t="str">
        <f>CONCATENATE('SKALA CPL'!$D$5," ",'IMPLEMENTASI RUBIK'!F32)</f>
        <v>Kurang Mampu Memiliki kemampuan menganalisis berdasarkan pengetahuan di bidang teknologi informasi cerdas dalam konteks dukungan terhadap pengembangan layanan publik dan ekonomi digital</v>
      </c>
    </row>
    <row r="33" spans="1:14" ht="81" x14ac:dyDescent="0.25">
      <c r="A33" s="243"/>
      <c r="B33" s="243"/>
      <c r="C33" s="243"/>
      <c r="D33" s="243" t="e">
        <v>#N/A</v>
      </c>
      <c r="E33" s="243" t="s">
        <v>155</v>
      </c>
      <c r="F33" s="243" t="s">
        <v>156</v>
      </c>
      <c r="G33" s="243" t="s">
        <v>251</v>
      </c>
      <c r="H33" s="243" t="s">
        <v>466</v>
      </c>
      <c r="I33" s="262">
        <v>25</v>
      </c>
      <c r="J33" s="262"/>
      <c r="K33" s="272" t="str">
        <f>CONCATENATE('SKALA CPL'!$D$2," ",'IMPLEMENTASI RUBIK'!F33)</f>
        <v>Sangat Mampu Memiliki kemampuan mengevaluasi berdasarkan pengetahuan di bidang teknologi informasi cerdas dalam konteks dukungan terhadap pengembangan layanan publik dan ekonomi digital</v>
      </c>
      <c r="L33" s="272" t="str">
        <f>CONCATENATE('SKALA CPL'!$D$3," ",'IMPLEMENTASI RUBIK'!F33)</f>
        <v>Mampu Memiliki kemampuan mengevaluasi berdasarkan pengetahuan di bidang teknologi informasi cerdas dalam konteks dukungan terhadap pengembangan layanan publik dan ekonomi digital</v>
      </c>
      <c r="M33" s="272" t="str">
        <f>CONCATENATE('SKALA CPL'!$D$4," ",'IMPLEMENTASI RUBIK'!F33)</f>
        <v>Cukup Mampu Memiliki kemampuan mengevaluasi berdasarkan pengetahuan di bidang teknologi informasi cerdas dalam konteks dukungan terhadap pengembangan layanan publik dan ekonomi digital</v>
      </c>
      <c r="N33" s="272" t="str">
        <f>CONCATENATE('SKALA CPL'!$D$5," ",'IMPLEMENTASI RUBIK'!F33)</f>
        <v>Kurang Mampu Memiliki kemampuan mengevaluasi berdasarkan pengetahuan di bidang teknologi informasi cerdas dalam konteks dukungan terhadap pengembangan layanan publik dan ekonomi digital</v>
      </c>
    </row>
    <row r="34" spans="1:14" ht="90" x14ac:dyDescent="0.25">
      <c r="A34" s="243"/>
      <c r="B34" s="243"/>
      <c r="C34" s="243"/>
      <c r="D34" s="243" t="e">
        <v>#N/A</v>
      </c>
      <c r="E34" s="243" t="s">
        <v>157</v>
      </c>
      <c r="F34" s="243" t="s">
        <v>158</v>
      </c>
      <c r="G34" s="243" t="s">
        <v>252</v>
      </c>
      <c r="H34" s="243" t="s">
        <v>467</v>
      </c>
      <c r="I34" s="262">
        <v>20</v>
      </c>
      <c r="J34" s="262"/>
      <c r="K34" s="272" t="str">
        <f>CONCATENATE('SKALA CPL'!$D$2," ",'IMPLEMENTASI RUBIK'!F34)</f>
        <v>Sangat Mampu Memiliki kemampuan membuat keputusan berdasarkan pengetahuan di bidang teknologi informasi cerdas dalam konteks dukungan terhadap pengembangan layanan publik dan ekonomi digital</v>
      </c>
      <c r="L34" s="272" t="str">
        <f>CONCATENATE('SKALA CPL'!$D$3," ",'IMPLEMENTASI RUBIK'!F34)</f>
        <v>Mampu Memiliki kemampuan membuat keputusan berdasarkan pengetahuan di bidang teknologi informasi cerdas dalam konteks dukungan terhadap pengembangan layanan publik dan ekonomi digital</v>
      </c>
      <c r="M34" s="272" t="str">
        <f>CONCATENATE('SKALA CPL'!$D$4," ",'IMPLEMENTASI RUBIK'!F34)</f>
        <v>Cukup Mampu Memiliki kemampuan membuat keputusan berdasarkan pengetahuan di bidang teknologi informasi cerdas dalam konteks dukungan terhadap pengembangan layanan publik dan ekonomi digital</v>
      </c>
      <c r="N34" s="272" t="str">
        <f>CONCATENATE('SKALA CPL'!$D$5," ",'IMPLEMENTASI RUBIK'!F34)</f>
        <v>Kurang Mampu Memiliki kemampuan membuat keputusan berdasarkan pengetahuan di bidang teknologi informasi cerdas dalam konteks dukungan terhadap pengembangan layanan publik dan ekonomi digital</v>
      </c>
    </row>
    <row r="35" spans="1:14" ht="40.5" x14ac:dyDescent="0.25">
      <c r="A35" s="243"/>
      <c r="B35" s="243"/>
      <c r="C35" s="243" t="s">
        <v>45</v>
      </c>
      <c r="D35" s="243" t="s">
        <v>40</v>
      </c>
      <c r="E35" s="243" t="s">
        <v>201</v>
      </c>
      <c r="F35" s="243" t="s">
        <v>194</v>
      </c>
      <c r="G35" s="243" t="s">
        <v>256</v>
      </c>
      <c r="H35" s="243" t="s">
        <v>468</v>
      </c>
      <c r="I35" s="262">
        <v>10</v>
      </c>
      <c r="J35" s="262"/>
      <c r="K35" s="272" t="str">
        <f>CONCATENATE('SKALA CPL'!$D$2," ",'IMPLEMENTASI RUBIK'!F35)</f>
        <v>Sangat Mampu Mampu merancang sistem yang kompleks dalam bidang computing.</v>
      </c>
      <c r="L35" s="272" t="str">
        <f>CONCATENATE('SKALA CPL'!$D$3," ",'IMPLEMENTASI RUBIK'!F35)</f>
        <v>Mampu Mampu merancang sistem yang kompleks dalam bidang computing.</v>
      </c>
      <c r="M35" s="272" t="str">
        <f>CONCATENATE('SKALA CPL'!$D$4," ",'IMPLEMENTASI RUBIK'!F35)</f>
        <v>Cukup Mampu Mampu merancang sistem yang kompleks dalam bidang computing.</v>
      </c>
      <c r="N35" s="272" t="str">
        <f>CONCATENATE('SKALA CPL'!$D$5," ",'IMPLEMENTASI RUBIK'!F35)</f>
        <v>Kurang Mampu Mampu merancang sistem yang kompleks dalam bidang computing.</v>
      </c>
    </row>
    <row r="36" spans="1:14" ht="40.5" x14ac:dyDescent="0.25">
      <c r="A36" s="243"/>
      <c r="B36" s="243"/>
      <c r="C36" s="243"/>
      <c r="D36" s="243" t="e">
        <v>#N/A</v>
      </c>
      <c r="E36" s="243" t="s">
        <v>202</v>
      </c>
      <c r="F36" s="243" t="s">
        <v>195</v>
      </c>
      <c r="G36" s="243" t="s">
        <v>257</v>
      </c>
      <c r="H36" s="243" t="s">
        <v>469</v>
      </c>
      <c r="I36" s="262">
        <v>10</v>
      </c>
      <c r="J36" s="262">
        <v>100</v>
      </c>
      <c r="K36" s="272" t="str">
        <f>CONCATENATE('SKALA CPL'!$D$2," ",'IMPLEMENTASI RUBIK'!F36)</f>
        <v>Sangat Mampu Mampu membangun solusi berbasis computing yang efektif dan efisien</v>
      </c>
      <c r="L36" s="272" t="str">
        <f>CONCATENATE('SKALA CPL'!$D$3," ",'IMPLEMENTASI RUBIK'!F36)</f>
        <v>Mampu Mampu membangun solusi berbasis computing yang efektif dan efisien</v>
      </c>
      <c r="M36" s="272" t="str">
        <f>CONCATENATE('SKALA CPL'!$D$4," ",'IMPLEMENTASI RUBIK'!F36)</f>
        <v>Cukup Mampu Mampu membangun solusi berbasis computing yang efektif dan efisien</v>
      </c>
      <c r="N36" s="272" t="str">
        <f>CONCATENATE('SKALA CPL'!$D$5," ",'IMPLEMENTASI RUBIK'!F36)</f>
        <v>Kurang Mampu Mampu membangun solusi berbasis computing yang efektif dan efisien</v>
      </c>
    </row>
    <row r="37" spans="1:14" ht="94.5" x14ac:dyDescent="0.25">
      <c r="A37" s="243" t="s">
        <v>104</v>
      </c>
      <c r="B37" s="243" t="s">
        <v>105</v>
      </c>
      <c r="C37" s="243" t="s">
        <v>30</v>
      </c>
      <c r="D37" s="243" t="s">
        <v>411</v>
      </c>
      <c r="E37" s="243" t="s">
        <v>171</v>
      </c>
      <c r="F37" s="243" t="s">
        <v>172</v>
      </c>
      <c r="G37" s="243" t="s">
        <v>265</v>
      </c>
      <c r="H37" s="243" t="s">
        <v>470</v>
      </c>
      <c r="I37" s="262">
        <v>7</v>
      </c>
      <c r="J37" s="262"/>
      <c r="K37" s="272" t="str">
        <f>CONCATENATE('SKALA CPL'!$D$2," ",'IMPLEMENTASI RUBIK'!F37)</f>
        <v>Sangat Mampu Memiliki pemahaman yang mendalam tentang solusi komputasi cerdas dengan sistem dan infrastruktur yang ada termasuk pertimbangan keamanan sistem informasi untuk mendukung layanan publik dan ekonomi digital</v>
      </c>
      <c r="L37" s="272" t="str">
        <f>CONCATENATE('SKALA CPL'!$D$3," ",'IMPLEMENTASI RUBIK'!F37)</f>
        <v>Mampu Memiliki pemahaman yang mendalam tentang solusi komputasi cerdas dengan sistem dan infrastruktur yang ada termasuk pertimbangan keamanan sistem informasi untuk mendukung layanan publik dan ekonomi digital</v>
      </c>
      <c r="M37" s="272" t="str">
        <f>CONCATENATE('SKALA CPL'!$D$4," ",'IMPLEMENTASI RUBIK'!F37)</f>
        <v>Cukup Mampu Memiliki pemahaman yang mendalam tentang solusi komputasi cerdas dengan sistem dan infrastruktur yang ada termasuk pertimbangan keamanan sistem informasi untuk mendukung layanan publik dan ekonomi digital</v>
      </c>
      <c r="N37" s="272" t="str">
        <f>CONCATENATE('SKALA CPL'!$D$5," ",'IMPLEMENTASI RUBIK'!F37)</f>
        <v>Kurang Mampu Memiliki pemahaman yang mendalam tentang solusi komputasi cerdas dengan sistem dan infrastruktur yang ada termasuk pertimbangan keamanan sistem informasi untuk mendukung layanan publik dan ekonomi digital</v>
      </c>
    </row>
    <row r="38" spans="1:14" ht="105" x14ac:dyDescent="0.25">
      <c r="A38" s="243"/>
      <c r="B38" s="243"/>
      <c r="C38" s="243"/>
      <c r="D38" s="243" t="e">
        <v>#N/A</v>
      </c>
      <c r="E38" s="243" t="s">
        <v>173</v>
      </c>
      <c r="F38" s="243" t="s">
        <v>174</v>
      </c>
      <c r="G38" s="243" t="s">
        <v>267</v>
      </c>
      <c r="H38" s="243" t="s">
        <v>471</v>
      </c>
      <c r="I38" s="262">
        <v>15</v>
      </c>
      <c r="J38" s="262"/>
      <c r="K38" s="272" t="str">
        <f>CONCATENATE('SKALA CPL'!$D$2," ",'IMPLEMENTASI RUBIK'!F38)</f>
        <v>Sangat Mampu Memiliki kemampuan menganalisis yang mendalam tentang solusi komputasi cerdas dengan sistem dan infrastruktur yang ada termasuk pertimbangan keamanan sistem informasi untuk mendukung layanan publik dan ekonomi digital</v>
      </c>
      <c r="L38" s="272" t="str">
        <f>CONCATENATE('SKALA CPL'!$D$3," ",'IMPLEMENTASI RUBIK'!F38)</f>
        <v>Mampu Memiliki kemampuan menganalisis yang mendalam tentang solusi komputasi cerdas dengan sistem dan infrastruktur yang ada termasuk pertimbangan keamanan sistem informasi untuk mendukung layanan publik dan ekonomi digital</v>
      </c>
      <c r="M38" s="272" t="str">
        <f>CONCATENATE('SKALA CPL'!$D$4," ",'IMPLEMENTASI RUBIK'!F38)</f>
        <v>Cukup Mampu Memiliki kemampuan menganalisis yang mendalam tentang solusi komputasi cerdas dengan sistem dan infrastruktur yang ada termasuk pertimbangan keamanan sistem informasi untuk mendukung layanan publik dan ekonomi digital</v>
      </c>
      <c r="N38" s="272" t="str">
        <f>CONCATENATE('SKALA CPL'!$D$5," ",'IMPLEMENTASI RUBIK'!F38)</f>
        <v>Kurang Mampu Memiliki kemampuan menganalisis yang mendalam tentang solusi komputasi cerdas dengan sistem dan infrastruktur yang ada termasuk pertimbangan keamanan sistem informasi untuk mendukung layanan publik dan ekonomi digital</v>
      </c>
    </row>
    <row r="39" spans="1:14" ht="105" x14ac:dyDescent="0.25">
      <c r="A39" s="243"/>
      <c r="B39" s="243"/>
      <c r="C39" s="243"/>
      <c r="D39" s="243" t="e">
        <v>#N/A</v>
      </c>
      <c r="E39" s="243" t="s">
        <v>175</v>
      </c>
      <c r="F39" s="243" t="s">
        <v>176</v>
      </c>
      <c r="G39" s="243" t="s">
        <v>269</v>
      </c>
      <c r="H39" s="243" t="s">
        <v>472</v>
      </c>
      <c r="I39" s="262">
        <v>15</v>
      </c>
      <c r="J39" s="262"/>
      <c r="K39" s="272" t="str">
        <f>CONCATENATE('SKALA CPL'!$D$2," ",'IMPLEMENTASI RUBIK'!F39)</f>
        <v>Sangat Mampu Memiliki kemampuan mengevaluasi yang mendalam tentang solusi komputasi cerdas dengan sistem dan infrastruktur yang ada termasuk pertimbangan keamanan sistem informasi untuk mendukung layanan publik dan ekonomi digital</v>
      </c>
      <c r="L39" s="272" t="str">
        <f>CONCATENATE('SKALA CPL'!$D$3," ",'IMPLEMENTASI RUBIK'!F39)</f>
        <v>Mampu Memiliki kemampuan mengevaluasi yang mendalam tentang solusi komputasi cerdas dengan sistem dan infrastruktur yang ada termasuk pertimbangan keamanan sistem informasi untuk mendukung layanan publik dan ekonomi digital</v>
      </c>
      <c r="M39" s="272" t="str">
        <f>CONCATENATE('SKALA CPL'!$D$4," ",'IMPLEMENTASI RUBIK'!F39)</f>
        <v>Cukup Mampu Memiliki kemampuan mengevaluasi yang mendalam tentang solusi komputasi cerdas dengan sistem dan infrastruktur yang ada termasuk pertimbangan keamanan sistem informasi untuk mendukung layanan publik dan ekonomi digital</v>
      </c>
      <c r="N39" s="272" t="str">
        <f>CONCATENATE('SKALA CPL'!$D$5," ",'IMPLEMENTASI RUBIK'!F39)</f>
        <v>Kurang Mampu Memiliki kemampuan mengevaluasi yang mendalam tentang solusi komputasi cerdas dengan sistem dan infrastruktur yang ada termasuk pertimbangan keamanan sistem informasi untuk mendukung layanan publik dan ekonomi digital</v>
      </c>
    </row>
    <row r="40" spans="1:14" ht="81" x14ac:dyDescent="0.25">
      <c r="A40" s="243"/>
      <c r="B40" s="243"/>
      <c r="C40" s="243" t="s">
        <v>35</v>
      </c>
      <c r="D40" s="243" t="s">
        <v>418</v>
      </c>
      <c r="E40" s="243" t="s">
        <v>183</v>
      </c>
      <c r="F40" s="243" t="s">
        <v>184</v>
      </c>
      <c r="G40" s="243" t="s">
        <v>258</v>
      </c>
      <c r="H40" s="243" t="s">
        <v>473</v>
      </c>
      <c r="I40" s="262">
        <v>10</v>
      </c>
      <c r="J40" s="262"/>
      <c r="K40" s="272" t="str">
        <f>CONCATENATE('SKALA CPL'!$D$2," ",'IMPLEMENTASI RUBIK'!F40)</f>
        <v>Sangat Mampu Mampu mengevaluasi solusi komputasi cerdas dengan menggunakan teknologi terkini dalam mendukung pengembangan kota cerdas dan sistem pemerintahan berbasis elektronik</v>
      </c>
      <c r="L40" s="272" t="str">
        <f>CONCATENATE('SKALA CPL'!$D$3," ",'IMPLEMENTASI RUBIK'!F40)</f>
        <v>Mampu Mampu mengevaluasi solusi komputasi cerdas dengan menggunakan teknologi terkini dalam mendukung pengembangan kota cerdas dan sistem pemerintahan berbasis elektronik</v>
      </c>
      <c r="M40" s="272" t="str">
        <f>CONCATENATE('SKALA CPL'!$D$4," ",'IMPLEMENTASI RUBIK'!F40)</f>
        <v>Cukup Mampu Mampu mengevaluasi solusi komputasi cerdas dengan menggunakan teknologi terkini dalam mendukung pengembangan kota cerdas dan sistem pemerintahan berbasis elektronik</v>
      </c>
      <c r="N40" s="272" t="str">
        <f>CONCATENATE('SKALA CPL'!$D$5," ",'IMPLEMENTASI RUBIK'!F40)</f>
        <v>Kurang Mampu Mampu mengevaluasi solusi komputasi cerdas dengan menggunakan teknologi terkini dalam mendukung pengembangan kota cerdas dan sistem pemerintahan berbasis elektronik</v>
      </c>
    </row>
    <row r="41" spans="1:14" ht="81" x14ac:dyDescent="0.25">
      <c r="A41" s="243"/>
      <c r="B41" s="243"/>
      <c r="C41" s="243"/>
      <c r="D41" s="243" t="e">
        <v>#N/A</v>
      </c>
      <c r="E41" s="243" t="s">
        <v>185</v>
      </c>
      <c r="F41" s="243" t="s">
        <v>186</v>
      </c>
      <c r="G41" s="243" t="s">
        <v>259</v>
      </c>
      <c r="H41" s="243" t="s">
        <v>474</v>
      </c>
      <c r="I41" s="262">
        <v>10</v>
      </c>
      <c r="J41" s="262"/>
      <c r="K41" s="272" t="str">
        <f>CONCATENATE('SKALA CPL'!$D$2," ",'IMPLEMENTASI RUBIK'!F41)</f>
        <v>Sangat Mampu Mampu mengembangkan solusi komputasi cerdas dengan menggunakan teknologi terkini dalam mendukung pengembangan kota cerdas dan sistem pemerintahan berbasis elektronik</v>
      </c>
      <c r="L41" s="272" t="str">
        <f>CONCATENATE('SKALA CPL'!$D$3," ",'IMPLEMENTASI RUBIK'!F41)</f>
        <v>Mampu Mampu mengembangkan solusi komputasi cerdas dengan menggunakan teknologi terkini dalam mendukung pengembangan kota cerdas dan sistem pemerintahan berbasis elektronik</v>
      </c>
      <c r="M41" s="272" t="str">
        <f>CONCATENATE('SKALA CPL'!$D$4," ",'IMPLEMENTASI RUBIK'!F41)</f>
        <v>Cukup Mampu Mampu mengembangkan solusi komputasi cerdas dengan menggunakan teknologi terkini dalam mendukung pengembangan kota cerdas dan sistem pemerintahan berbasis elektronik</v>
      </c>
      <c r="N41" s="272" t="str">
        <f>CONCATENATE('SKALA CPL'!$D$5," ",'IMPLEMENTASI RUBIK'!F41)</f>
        <v>Kurang Mampu Mampu mengembangkan solusi komputasi cerdas dengan menggunakan teknologi terkini dalam mendukung pengembangan kota cerdas dan sistem pemerintahan berbasis elektronik</v>
      </c>
    </row>
    <row r="42" spans="1:14" ht="90" x14ac:dyDescent="0.25">
      <c r="A42" s="243"/>
      <c r="B42" s="243"/>
      <c r="C42" s="243"/>
      <c r="D42" s="243" t="e">
        <v>#N/A</v>
      </c>
      <c r="E42" s="243" t="s">
        <v>187</v>
      </c>
      <c r="F42" s="243" t="s">
        <v>188</v>
      </c>
      <c r="G42" s="243" t="s">
        <v>260</v>
      </c>
      <c r="H42" s="243" t="s">
        <v>475</v>
      </c>
      <c r="I42" s="262">
        <v>10</v>
      </c>
      <c r="J42" s="262"/>
      <c r="K42" s="272" t="str">
        <f>CONCATENATE('SKALA CPL'!$D$2," ",'IMPLEMENTASI RUBIK'!F42)</f>
        <v>Sangat Mampu Mampu mengimplementasikan solusi komputasi cerdas dengan menggunakan teknologi terkini dalam mendukung pengembangan kota cerdas dan sistem pemerintahan berbasis elektronik</v>
      </c>
      <c r="L42" s="272" t="str">
        <f>CONCATENATE('SKALA CPL'!$D$3," ",'IMPLEMENTASI RUBIK'!F42)</f>
        <v>Mampu Mampu mengimplementasikan solusi komputasi cerdas dengan menggunakan teknologi terkini dalam mendukung pengembangan kota cerdas dan sistem pemerintahan berbasis elektronik</v>
      </c>
      <c r="M42" s="272" t="str">
        <f>CONCATENATE('SKALA CPL'!$D$4," ",'IMPLEMENTASI RUBIK'!F42)</f>
        <v>Cukup Mampu Mampu mengimplementasikan solusi komputasi cerdas dengan menggunakan teknologi terkini dalam mendukung pengembangan kota cerdas dan sistem pemerintahan berbasis elektronik</v>
      </c>
      <c r="N42" s="272" t="str">
        <f>CONCATENATE('SKALA CPL'!$D$5," ",'IMPLEMENTASI RUBIK'!F42)</f>
        <v>Kurang Mampu Mampu mengimplementasikan solusi komputasi cerdas dengan menggunakan teknologi terkini dalam mendukung pengembangan kota cerdas dan sistem pemerintahan berbasis elektronik</v>
      </c>
    </row>
    <row r="43" spans="1:14" ht="40.5" x14ac:dyDescent="0.25">
      <c r="A43" s="243"/>
      <c r="B43" s="243"/>
      <c r="C43" s="243" t="s">
        <v>45</v>
      </c>
      <c r="D43" s="243" t="s">
        <v>40</v>
      </c>
      <c r="E43" s="243" t="s">
        <v>201</v>
      </c>
      <c r="F43" s="243" t="s">
        <v>194</v>
      </c>
      <c r="G43" s="243" t="s">
        <v>256</v>
      </c>
      <c r="H43" s="243" t="s">
        <v>476</v>
      </c>
      <c r="I43" s="262">
        <v>18</v>
      </c>
      <c r="J43" s="262"/>
      <c r="K43" s="272" t="str">
        <f>CONCATENATE('SKALA CPL'!$D$2," ",'IMPLEMENTASI RUBIK'!F43)</f>
        <v>Sangat Mampu Mampu merancang sistem yang kompleks dalam bidang computing.</v>
      </c>
      <c r="L43" s="272" t="str">
        <f>CONCATENATE('SKALA CPL'!$D$3," ",'IMPLEMENTASI RUBIK'!F43)</f>
        <v>Mampu Mampu merancang sistem yang kompleks dalam bidang computing.</v>
      </c>
      <c r="M43" s="272" t="str">
        <f>CONCATENATE('SKALA CPL'!$D$4," ",'IMPLEMENTASI RUBIK'!F43)</f>
        <v>Cukup Mampu Mampu merancang sistem yang kompleks dalam bidang computing.</v>
      </c>
      <c r="N43" s="272" t="str">
        <f>CONCATENATE('SKALA CPL'!$D$5," ",'IMPLEMENTASI RUBIK'!F43)</f>
        <v>Kurang Mampu Mampu merancang sistem yang kompleks dalam bidang computing.</v>
      </c>
    </row>
    <row r="44" spans="1:14" ht="40.5" x14ac:dyDescent="0.25">
      <c r="A44" s="243"/>
      <c r="B44" s="243"/>
      <c r="C44" s="243"/>
      <c r="D44" s="243" t="e">
        <v>#N/A</v>
      </c>
      <c r="E44" s="243" t="s">
        <v>202</v>
      </c>
      <c r="F44" s="243" t="s">
        <v>195</v>
      </c>
      <c r="G44" s="243" t="s">
        <v>257</v>
      </c>
      <c r="H44" s="243" t="s">
        <v>477</v>
      </c>
      <c r="I44" s="262">
        <v>15</v>
      </c>
      <c r="J44" s="262">
        <v>100</v>
      </c>
      <c r="K44" s="272" t="str">
        <f>CONCATENATE('SKALA CPL'!$D$2," ",'IMPLEMENTASI RUBIK'!F44)</f>
        <v>Sangat Mampu Mampu membangun solusi berbasis computing yang efektif dan efisien</v>
      </c>
      <c r="L44" s="272" t="str">
        <f>CONCATENATE('SKALA CPL'!$D$3," ",'IMPLEMENTASI RUBIK'!F44)</f>
        <v>Mampu Mampu membangun solusi berbasis computing yang efektif dan efisien</v>
      </c>
      <c r="M44" s="272" t="str">
        <f>CONCATENATE('SKALA CPL'!$D$4," ",'IMPLEMENTASI RUBIK'!F44)</f>
        <v>Cukup Mampu Mampu membangun solusi berbasis computing yang efektif dan efisien</v>
      </c>
      <c r="N44" s="272" t="str">
        <f>CONCATENATE('SKALA CPL'!$D$5," ",'IMPLEMENTASI RUBIK'!F44)</f>
        <v>Kurang Mampu Mampu membangun solusi berbasis computing yang efektif dan efisien</v>
      </c>
    </row>
    <row r="45" spans="1:14" ht="94.5" x14ac:dyDescent="0.25">
      <c r="A45" s="243" t="s">
        <v>106</v>
      </c>
      <c r="B45" s="243" t="s">
        <v>107</v>
      </c>
      <c r="C45" s="243" t="s">
        <v>32</v>
      </c>
      <c r="D45" s="243" t="s">
        <v>478</v>
      </c>
      <c r="E45" s="243" t="s">
        <v>177</v>
      </c>
      <c r="F45" s="243" t="s">
        <v>178</v>
      </c>
      <c r="G45" s="243" t="s">
        <v>273</v>
      </c>
      <c r="H45" s="243" t="s">
        <v>479</v>
      </c>
      <c r="I45" s="262">
        <v>15</v>
      </c>
      <c r="J45" s="262"/>
      <c r="K45" s="272" t="str">
        <f>CONCATENATE('SKALA CPL'!$D$2," ",'IMPLEMENTASI RUBIK'!F45)</f>
        <v>Sangat Mampu Mampu menganalisis kebutuhan pengguna dalam konteks sistem interaksi manusia dan komputer. dengan memanfaatkan berbagai metode secara tepat</v>
      </c>
      <c r="L45" s="272" t="str">
        <f>CONCATENATE('SKALA CPL'!$D$3," ",'IMPLEMENTASI RUBIK'!F45)</f>
        <v>Mampu Mampu menganalisis kebutuhan pengguna dalam konteks sistem interaksi manusia dan komputer. dengan memanfaatkan berbagai metode secara tepat</v>
      </c>
      <c r="M45" s="272" t="str">
        <f>CONCATENATE('SKALA CPL'!$D$4," ",'IMPLEMENTASI RUBIK'!F45)</f>
        <v>Cukup Mampu Mampu menganalisis kebutuhan pengguna dalam konteks sistem interaksi manusia dan komputer. dengan memanfaatkan berbagai metode secara tepat</v>
      </c>
      <c r="N45" s="272" t="str">
        <f>CONCATENATE('SKALA CPL'!$D$5," ",'IMPLEMENTASI RUBIK'!F45)</f>
        <v>Kurang Mampu Mampu menganalisis kebutuhan pengguna dalam konteks sistem interaksi manusia dan komputer. dengan memanfaatkan berbagai metode secara tepat</v>
      </c>
    </row>
    <row r="46" spans="1:14" ht="54" x14ac:dyDescent="0.25">
      <c r="A46" s="243"/>
      <c r="B46" s="243"/>
      <c r="C46" s="243"/>
      <c r="D46" s="243" t="e">
        <v>#N/A</v>
      </c>
      <c r="E46" s="243" t="s">
        <v>179</v>
      </c>
      <c r="F46" s="243" t="s">
        <v>180</v>
      </c>
      <c r="G46" s="243" t="s">
        <v>274</v>
      </c>
      <c r="H46" s="243" t="s">
        <v>480</v>
      </c>
      <c r="I46" s="262">
        <v>25</v>
      </c>
      <c r="J46" s="262"/>
      <c r="K46" s="272" t="str">
        <f>CONCATENATE('SKALA CPL'!$D$2," ",'IMPLEMENTASI RUBIK'!F46)</f>
        <v>Sangat Mampu Mampu mengembangkan berbagai pendekatan dalam rangka pengumpulan data penelitian</v>
      </c>
      <c r="L46" s="272" t="str">
        <f>CONCATENATE('SKALA CPL'!$D$3," ",'IMPLEMENTASI RUBIK'!F46)</f>
        <v>Mampu Mampu mengembangkan berbagai pendekatan dalam rangka pengumpulan data penelitian</v>
      </c>
      <c r="M46" s="272" t="str">
        <f>CONCATENATE('SKALA CPL'!$D$4," ",'IMPLEMENTASI RUBIK'!F46)</f>
        <v>Cukup Mampu Mampu mengembangkan berbagai pendekatan dalam rangka pengumpulan data penelitian</v>
      </c>
      <c r="N46" s="272" t="str">
        <f>CONCATENATE('SKALA CPL'!$D$5," ",'IMPLEMENTASI RUBIK'!F46)</f>
        <v>Kurang Mampu Mampu mengembangkan berbagai pendekatan dalam rangka pengumpulan data penelitian</v>
      </c>
    </row>
    <row r="47" spans="1:14" ht="40.5" x14ac:dyDescent="0.25">
      <c r="A47" s="243"/>
      <c r="B47" s="243"/>
      <c r="C47" s="243"/>
      <c r="D47" s="243" t="e">
        <v>#N/A</v>
      </c>
      <c r="E47" s="243" t="s">
        <v>181</v>
      </c>
      <c r="F47" s="243" t="s">
        <v>182</v>
      </c>
      <c r="G47" s="243" t="s">
        <v>276</v>
      </c>
      <c r="H47" s="243" t="s">
        <v>481</v>
      </c>
      <c r="I47" s="262">
        <v>20</v>
      </c>
      <c r="J47" s="262"/>
      <c r="K47" s="272" t="str">
        <f>CONCATENATE('SKALA CPL'!$D$2," ",'IMPLEMENTASI RUBIK'!F47)</f>
        <v>Sangat Mampu Mampu mengevaluasi antarmuka pengguna dengan tepat dan benar</v>
      </c>
      <c r="L47" s="272" t="str">
        <f>CONCATENATE('SKALA CPL'!$D$3," ",'IMPLEMENTASI RUBIK'!F47)</f>
        <v>Mampu Mampu mengevaluasi antarmuka pengguna dengan tepat dan benar</v>
      </c>
      <c r="M47" s="272" t="str">
        <f>CONCATENATE('SKALA CPL'!$D$4," ",'IMPLEMENTASI RUBIK'!F47)</f>
        <v>Cukup Mampu Mampu mengevaluasi antarmuka pengguna dengan tepat dan benar</v>
      </c>
      <c r="N47" s="272" t="str">
        <f>CONCATENATE('SKALA CPL'!$D$5," ",'IMPLEMENTASI RUBIK'!F47)</f>
        <v>Kurang Mampu Mampu mengevaluasi antarmuka pengguna dengan tepat dan benar</v>
      </c>
    </row>
    <row r="48" spans="1:14" ht="40.5" x14ac:dyDescent="0.25">
      <c r="A48" s="243"/>
      <c r="B48" s="243"/>
      <c r="C48" s="243" t="s">
        <v>45</v>
      </c>
      <c r="D48" s="243" t="s">
        <v>40</v>
      </c>
      <c r="E48" s="243" t="s">
        <v>201</v>
      </c>
      <c r="F48" s="243" t="s">
        <v>194</v>
      </c>
      <c r="G48" s="243" t="s">
        <v>256</v>
      </c>
      <c r="H48" s="243" t="s">
        <v>482</v>
      </c>
      <c r="I48" s="262">
        <v>20</v>
      </c>
      <c r="J48" s="262"/>
      <c r="K48" s="272" t="str">
        <f>CONCATENATE('SKALA CPL'!$D$2," ",'IMPLEMENTASI RUBIK'!F48)</f>
        <v>Sangat Mampu Mampu merancang sistem yang kompleks dalam bidang computing.</v>
      </c>
      <c r="L48" s="272" t="str">
        <f>CONCATENATE('SKALA CPL'!$D$3," ",'IMPLEMENTASI RUBIK'!F48)</f>
        <v>Mampu Mampu merancang sistem yang kompleks dalam bidang computing.</v>
      </c>
      <c r="M48" s="272" t="str">
        <f>CONCATENATE('SKALA CPL'!$D$4," ",'IMPLEMENTASI RUBIK'!F48)</f>
        <v>Cukup Mampu Mampu merancang sistem yang kompleks dalam bidang computing.</v>
      </c>
      <c r="N48" s="272" t="str">
        <f>CONCATENATE('SKALA CPL'!$D$5," ",'IMPLEMENTASI RUBIK'!F48)</f>
        <v>Kurang Mampu Mampu merancang sistem yang kompleks dalam bidang computing.</v>
      </c>
    </row>
    <row r="49" spans="1:14" ht="40.5" x14ac:dyDescent="0.25">
      <c r="A49" s="243"/>
      <c r="B49" s="243"/>
      <c r="C49" s="243"/>
      <c r="D49" s="243" t="e">
        <v>#N/A</v>
      </c>
      <c r="E49" s="243" t="s">
        <v>202</v>
      </c>
      <c r="F49" s="243" t="s">
        <v>195</v>
      </c>
      <c r="G49" s="243" t="s">
        <v>257</v>
      </c>
      <c r="H49" s="243" t="s">
        <v>483</v>
      </c>
      <c r="I49" s="262">
        <v>20</v>
      </c>
      <c r="J49" s="262">
        <v>100</v>
      </c>
      <c r="K49" s="272" t="str">
        <f>CONCATENATE('SKALA CPL'!$D$2," ",'IMPLEMENTASI RUBIK'!F49)</f>
        <v>Sangat Mampu Mampu membangun solusi berbasis computing yang efektif dan efisien</v>
      </c>
      <c r="L49" s="272" t="str">
        <f>CONCATENATE('SKALA CPL'!$D$3," ",'IMPLEMENTASI RUBIK'!F49)</f>
        <v>Mampu Mampu membangun solusi berbasis computing yang efektif dan efisien</v>
      </c>
      <c r="M49" s="272" t="str">
        <f>CONCATENATE('SKALA CPL'!$D$4," ",'IMPLEMENTASI RUBIK'!F49)</f>
        <v>Cukup Mampu Mampu membangun solusi berbasis computing yang efektif dan efisien</v>
      </c>
      <c r="N49" s="272" t="str">
        <f>CONCATENATE('SKALA CPL'!$D$5," ",'IMPLEMENTASI RUBIK'!F49)</f>
        <v>Kurang Mampu Mampu membangun solusi berbasis computing yang efektif dan efisien</v>
      </c>
    </row>
    <row r="50" spans="1:14" ht="94.5" x14ac:dyDescent="0.25">
      <c r="A50" s="243" t="s">
        <v>108</v>
      </c>
      <c r="B50" s="243" t="s">
        <v>109</v>
      </c>
      <c r="C50" s="243" t="s">
        <v>30</v>
      </c>
      <c r="D50" s="243" t="s">
        <v>411</v>
      </c>
      <c r="E50" s="243" t="s">
        <v>171</v>
      </c>
      <c r="F50" s="243" t="s">
        <v>172</v>
      </c>
      <c r="G50" s="243" t="s">
        <v>265</v>
      </c>
      <c r="H50" s="243" t="s">
        <v>484</v>
      </c>
      <c r="I50" s="262">
        <v>10</v>
      </c>
      <c r="J50" s="262"/>
      <c r="K50" s="272" t="str">
        <f>CONCATENATE('SKALA CPL'!$D$2," ",'IMPLEMENTASI RUBIK'!F50)</f>
        <v>Sangat Mampu Memiliki pemahaman yang mendalam tentang solusi komputasi cerdas dengan sistem dan infrastruktur yang ada termasuk pertimbangan keamanan sistem informasi untuk mendukung layanan publik dan ekonomi digital</v>
      </c>
      <c r="L50" s="272" t="str">
        <f>CONCATENATE('SKALA CPL'!$D$3," ",'IMPLEMENTASI RUBIK'!F50)</f>
        <v>Mampu Memiliki pemahaman yang mendalam tentang solusi komputasi cerdas dengan sistem dan infrastruktur yang ada termasuk pertimbangan keamanan sistem informasi untuk mendukung layanan publik dan ekonomi digital</v>
      </c>
      <c r="M50" s="272" t="str">
        <f>CONCATENATE('SKALA CPL'!$D$4," ",'IMPLEMENTASI RUBIK'!F50)</f>
        <v>Cukup Mampu Memiliki pemahaman yang mendalam tentang solusi komputasi cerdas dengan sistem dan infrastruktur yang ada termasuk pertimbangan keamanan sistem informasi untuk mendukung layanan publik dan ekonomi digital</v>
      </c>
      <c r="N50" s="272" t="str">
        <f>CONCATENATE('SKALA CPL'!$D$5," ",'IMPLEMENTASI RUBIK'!F50)</f>
        <v>Kurang Mampu Memiliki pemahaman yang mendalam tentang solusi komputasi cerdas dengan sistem dan infrastruktur yang ada termasuk pertimbangan keamanan sistem informasi untuk mendukung layanan publik dan ekonomi digital</v>
      </c>
    </row>
    <row r="51" spans="1:14" ht="105" x14ac:dyDescent="0.25">
      <c r="A51" s="243"/>
      <c r="B51" s="243"/>
      <c r="C51" s="243"/>
      <c r="D51" s="243" t="e">
        <v>#N/A</v>
      </c>
      <c r="E51" s="243" t="s">
        <v>173</v>
      </c>
      <c r="F51" s="243" t="s">
        <v>174</v>
      </c>
      <c r="G51" s="243" t="s">
        <v>267</v>
      </c>
      <c r="H51" s="243" t="s">
        <v>485</v>
      </c>
      <c r="I51" s="262">
        <v>18</v>
      </c>
      <c r="J51" s="262"/>
      <c r="K51" s="272" t="str">
        <f>CONCATENATE('SKALA CPL'!$D$2," ",'IMPLEMENTASI RUBIK'!F51)</f>
        <v>Sangat Mampu Memiliki kemampuan menganalisis yang mendalam tentang solusi komputasi cerdas dengan sistem dan infrastruktur yang ada termasuk pertimbangan keamanan sistem informasi untuk mendukung layanan publik dan ekonomi digital</v>
      </c>
      <c r="L51" s="272" t="str">
        <f>CONCATENATE('SKALA CPL'!$D$3," ",'IMPLEMENTASI RUBIK'!F51)</f>
        <v>Mampu Memiliki kemampuan menganalisis yang mendalam tentang solusi komputasi cerdas dengan sistem dan infrastruktur yang ada termasuk pertimbangan keamanan sistem informasi untuk mendukung layanan publik dan ekonomi digital</v>
      </c>
      <c r="M51" s="272" t="str">
        <f>CONCATENATE('SKALA CPL'!$D$4," ",'IMPLEMENTASI RUBIK'!F51)</f>
        <v>Cukup Mampu Memiliki kemampuan menganalisis yang mendalam tentang solusi komputasi cerdas dengan sistem dan infrastruktur yang ada termasuk pertimbangan keamanan sistem informasi untuk mendukung layanan publik dan ekonomi digital</v>
      </c>
      <c r="N51" s="272" t="str">
        <f>CONCATENATE('SKALA CPL'!$D$5," ",'IMPLEMENTASI RUBIK'!F51)</f>
        <v>Kurang Mampu Memiliki kemampuan menganalisis yang mendalam tentang solusi komputasi cerdas dengan sistem dan infrastruktur yang ada termasuk pertimbangan keamanan sistem informasi untuk mendukung layanan publik dan ekonomi digital</v>
      </c>
    </row>
    <row r="52" spans="1:14" ht="105" x14ac:dyDescent="0.25">
      <c r="A52" s="243"/>
      <c r="B52" s="243"/>
      <c r="C52" s="243"/>
      <c r="D52" s="243" t="e">
        <v>#N/A</v>
      </c>
      <c r="E52" s="243" t="s">
        <v>175</v>
      </c>
      <c r="F52" s="243" t="s">
        <v>176</v>
      </c>
      <c r="G52" s="243" t="s">
        <v>269</v>
      </c>
      <c r="H52" s="243" t="s">
        <v>486</v>
      </c>
      <c r="I52" s="262">
        <v>25</v>
      </c>
      <c r="J52" s="262"/>
      <c r="K52" s="272" t="str">
        <f>CONCATENATE('SKALA CPL'!$D$2," ",'IMPLEMENTASI RUBIK'!F52)</f>
        <v>Sangat Mampu Memiliki kemampuan mengevaluasi yang mendalam tentang solusi komputasi cerdas dengan sistem dan infrastruktur yang ada termasuk pertimbangan keamanan sistem informasi untuk mendukung layanan publik dan ekonomi digital</v>
      </c>
      <c r="L52" s="272" t="str">
        <f>CONCATENATE('SKALA CPL'!$D$3," ",'IMPLEMENTASI RUBIK'!F52)</f>
        <v>Mampu Memiliki kemampuan mengevaluasi yang mendalam tentang solusi komputasi cerdas dengan sistem dan infrastruktur yang ada termasuk pertimbangan keamanan sistem informasi untuk mendukung layanan publik dan ekonomi digital</v>
      </c>
      <c r="M52" s="272" t="str">
        <f>CONCATENATE('SKALA CPL'!$D$4," ",'IMPLEMENTASI RUBIK'!F52)</f>
        <v>Cukup Mampu Memiliki kemampuan mengevaluasi yang mendalam tentang solusi komputasi cerdas dengan sistem dan infrastruktur yang ada termasuk pertimbangan keamanan sistem informasi untuk mendukung layanan publik dan ekonomi digital</v>
      </c>
      <c r="N52" s="272" t="str">
        <f>CONCATENATE('SKALA CPL'!$D$5," ",'IMPLEMENTASI RUBIK'!F52)</f>
        <v>Kurang Mampu Memiliki kemampuan mengevaluasi yang mendalam tentang solusi komputasi cerdas dengan sistem dan infrastruktur yang ada termasuk pertimbangan keamanan sistem informasi untuk mendukung layanan publik dan ekonomi digital</v>
      </c>
    </row>
    <row r="53" spans="1:14" ht="60" x14ac:dyDescent="0.25">
      <c r="A53" s="243"/>
      <c r="B53" s="243"/>
      <c r="C53" s="243" t="s">
        <v>44</v>
      </c>
      <c r="D53" s="243" t="s">
        <v>39</v>
      </c>
      <c r="E53" s="243" t="s">
        <v>199</v>
      </c>
      <c r="F53" s="243" t="s">
        <v>192</v>
      </c>
      <c r="G53" s="243" t="s">
        <v>240</v>
      </c>
      <c r="H53" s="243" t="s">
        <v>487</v>
      </c>
      <c r="I53" s="262">
        <v>27</v>
      </c>
      <c r="J53" s="262"/>
      <c r="K53" s="272" t="str">
        <f>CONCATENATE('SKALA CPL'!$D$2," ",'IMPLEMENTASI RUBIK'!F53)</f>
        <v>Sangat Mampu Mampu menerapkan prinsip_x0002_prinsip matematika, computing, dan disiplin ilmu yang relevan untuk mendukung analisis data.</v>
      </c>
      <c r="L53" s="272" t="str">
        <f>CONCATENATE('SKALA CPL'!$D$3," ",'IMPLEMENTASI RUBIK'!F53)</f>
        <v>Mampu Mampu menerapkan prinsip_x0002_prinsip matematika, computing, dan disiplin ilmu yang relevan untuk mendukung analisis data.</v>
      </c>
      <c r="M53" s="272" t="str">
        <f>CONCATENATE('SKALA CPL'!$D$4," ",'IMPLEMENTASI RUBIK'!F53)</f>
        <v>Cukup Mampu Mampu menerapkan prinsip_x0002_prinsip matematika, computing, dan disiplin ilmu yang relevan untuk mendukung analisis data.</v>
      </c>
      <c r="N53" s="272" t="str">
        <f>CONCATENATE('SKALA CPL'!$D$5," ",'IMPLEMENTASI RUBIK'!F53)</f>
        <v>Kurang Mampu Mampu menerapkan prinsip_x0002_prinsip matematika, computing, dan disiplin ilmu yang relevan untuk mendukung analisis data.</v>
      </c>
    </row>
    <row r="54" spans="1:14" ht="40.5" x14ac:dyDescent="0.25">
      <c r="A54" s="243"/>
      <c r="B54" s="243"/>
      <c r="C54" s="243"/>
      <c r="D54" s="243" t="e">
        <v>#N/A</v>
      </c>
      <c r="E54" s="243" t="s">
        <v>200</v>
      </c>
      <c r="F54" s="243" t="s">
        <v>193</v>
      </c>
      <c r="G54" s="243" t="s">
        <v>242</v>
      </c>
      <c r="H54" s="243" t="s">
        <v>488</v>
      </c>
      <c r="I54" s="262">
        <v>20</v>
      </c>
      <c r="J54" s="262">
        <v>100</v>
      </c>
      <c r="K54" s="272" t="str">
        <f>CONCATENATE('SKALA CPL'!$D$2," ",'IMPLEMENTASI RUBIK'!F54)</f>
        <v>Sangat Mampu Mampu merumuskan solusi bagi bidang computing yang kompleks</v>
      </c>
      <c r="L54" s="272" t="str">
        <f>CONCATENATE('SKALA CPL'!$D$3," ",'IMPLEMENTASI RUBIK'!F54)</f>
        <v>Mampu Mampu merumuskan solusi bagi bidang computing yang kompleks</v>
      </c>
      <c r="M54" s="272" t="str">
        <f>CONCATENATE('SKALA CPL'!$D$4," ",'IMPLEMENTASI RUBIK'!F54)</f>
        <v>Cukup Mampu Mampu merumuskan solusi bagi bidang computing yang kompleks</v>
      </c>
      <c r="N54" s="272" t="str">
        <f>CONCATENATE('SKALA CPL'!$D$5," ",'IMPLEMENTASI RUBIK'!F54)</f>
        <v>Kurang Mampu Mampu merumuskan solusi bagi bidang computing yang kompleks</v>
      </c>
    </row>
    <row r="55" spans="1:14" ht="67.5" x14ac:dyDescent="0.25">
      <c r="A55" s="243" t="s">
        <v>110</v>
      </c>
      <c r="B55" s="243" t="s">
        <v>111</v>
      </c>
      <c r="C55" s="243" t="s">
        <v>27</v>
      </c>
      <c r="D55" s="243" t="s">
        <v>436</v>
      </c>
      <c r="E55" s="243" t="s">
        <v>165</v>
      </c>
      <c r="F55" s="243" t="s">
        <v>166</v>
      </c>
      <c r="G55" s="243" t="s">
        <v>234</v>
      </c>
      <c r="H55" s="243" t="s">
        <v>489</v>
      </c>
      <c r="I55" s="262">
        <v>0</v>
      </c>
      <c r="J55" s="262"/>
      <c r="K55" s="272" t="str">
        <f>CONCATENATE('SKALA CPL'!$D$2," ",'IMPLEMENTASI RUBIK'!F55)</f>
        <v>Sangat Mampu Memiliki kemampuan menganalisa berbasis kinerja solusi komputasi cerdas untuk mendukung layanan publik dan ekonomi digital</v>
      </c>
      <c r="L55" s="272" t="str">
        <f>CONCATENATE('SKALA CPL'!$D$3," ",'IMPLEMENTASI RUBIK'!F55)</f>
        <v>Mampu Memiliki kemampuan menganalisa berbasis kinerja solusi komputasi cerdas untuk mendukung layanan publik dan ekonomi digital</v>
      </c>
      <c r="M55" s="272" t="str">
        <f>CONCATENATE('SKALA CPL'!$D$4," ",'IMPLEMENTASI RUBIK'!F55)</f>
        <v>Cukup Mampu Memiliki kemampuan menganalisa berbasis kinerja solusi komputasi cerdas untuk mendukung layanan publik dan ekonomi digital</v>
      </c>
      <c r="N55" s="272" t="str">
        <f>CONCATENATE('SKALA CPL'!$D$5," ",'IMPLEMENTASI RUBIK'!F55)</f>
        <v>Kurang Mampu Memiliki kemampuan menganalisa berbasis kinerja solusi komputasi cerdas untuk mendukung layanan publik dan ekonomi digital</v>
      </c>
    </row>
    <row r="56" spans="1:14" ht="67.5" x14ac:dyDescent="0.25">
      <c r="A56" s="243"/>
      <c r="B56" s="243"/>
      <c r="C56" s="243"/>
      <c r="D56" s="243" t="e">
        <v>#N/A</v>
      </c>
      <c r="E56" s="243" t="s">
        <v>167</v>
      </c>
      <c r="F56" s="243" t="s">
        <v>168</v>
      </c>
      <c r="G56" s="243" t="s">
        <v>236</v>
      </c>
      <c r="H56" s="243" t="s">
        <v>490</v>
      </c>
      <c r="I56" s="262">
        <v>0</v>
      </c>
      <c r="J56" s="262"/>
      <c r="K56" s="272" t="str">
        <f>CONCATENATE('SKALA CPL'!$D$2," ",'IMPLEMENTASI RUBIK'!F56)</f>
        <v>Sangat Mampu Memiliki kemampuan mengevaluasi berbasis kinerja solusi komputasi cerdas untuk mendukung layanan publik dan ekonomi digital</v>
      </c>
      <c r="L56" s="272" t="str">
        <f>CONCATENATE('SKALA CPL'!$D$3," ",'IMPLEMENTASI RUBIK'!F56)</f>
        <v>Mampu Memiliki kemampuan mengevaluasi berbasis kinerja solusi komputasi cerdas untuk mendukung layanan publik dan ekonomi digital</v>
      </c>
      <c r="M56" s="272" t="str">
        <f>CONCATENATE('SKALA CPL'!$D$4," ",'IMPLEMENTASI RUBIK'!F56)</f>
        <v>Cukup Mampu Memiliki kemampuan mengevaluasi berbasis kinerja solusi komputasi cerdas untuk mendukung layanan publik dan ekonomi digital</v>
      </c>
      <c r="N56" s="272" t="str">
        <f>CONCATENATE('SKALA CPL'!$D$5," ",'IMPLEMENTASI RUBIK'!F56)</f>
        <v>Kurang Mampu Memiliki kemampuan mengevaluasi berbasis kinerja solusi komputasi cerdas untuk mendukung layanan publik dan ekonomi digital</v>
      </c>
    </row>
    <row r="57" spans="1:14" ht="67.5" x14ac:dyDescent="0.25">
      <c r="A57" s="243"/>
      <c r="B57" s="243"/>
      <c r="C57" s="243"/>
      <c r="D57" s="243" t="e">
        <v>#N/A</v>
      </c>
      <c r="E57" s="243" t="s">
        <v>169</v>
      </c>
      <c r="F57" s="243" t="s">
        <v>170</v>
      </c>
      <c r="G57" s="243" t="s">
        <v>238</v>
      </c>
      <c r="H57" s="243" t="s">
        <v>491</v>
      </c>
      <c r="I57" s="262">
        <v>0</v>
      </c>
      <c r="J57" s="262"/>
      <c r="K57" s="272" t="str">
        <f>CONCATENATE('SKALA CPL'!$D$2," ",'IMPLEMENTASI RUBIK'!F57)</f>
        <v>Sangat Mampu Memiliki kemampuan membuat keputusan berbasis kinerja solusi komputasi cerdas untuk mendukung layanan publik dan ekonomi digital</v>
      </c>
      <c r="L57" s="272" t="str">
        <f>CONCATENATE('SKALA CPL'!$D$3," ",'IMPLEMENTASI RUBIK'!F57)</f>
        <v>Mampu Memiliki kemampuan membuat keputusan berbasis kinerja solusi komputasi cerdas untuk mendukung layanan publik dan ekonomi digital</v>
      </c>
      <c r="M57" s="272" t="str">
        <f>CONCATENATE('SKALA CPL'!$D$4," ",'IMPLEMENTASI RUBIK'!F57)</f>
        <v>Cukup Mampu Memiliki kemampuan membuat keputusan berbasis kinerja solusi komputasi cerdas untuk mendukung layanan publik dan ekonomi digital</v>
      </c>
      <c r="N57" s="272" t="str">
        <f>CONCATENATE('SKALA CPL'!$D$5," ",'IMPLEMENTASI RUBIK'!F57)</f>
        <v>Kurang Mampu Memiliki kemampuan membuat keputusan berbasis kinerja solusi komputasi cerdas untuk mendukung layanan publik dan ekonomi digital</v>
      </c>
    </row>
    <row r="58" spans="1:14" ht="67.5" x14ac:dyDescent="0.25">
      <c r="A58" s="243"/>
      <c r="B58" s="243"/>
      <c r="C58" s="243" t="s">
        <v>44</v>
      </c>
      <c r="D58" s="243" t="s">
        <v>39</v>
      </c>
      <c r="E58" s="243" t="s">
        <v>199</v>
      </c>
      <c r="F58" s="243" t="s">
        <v>192</v>
      </c>
      <c r="G58" s="243" t="s">
        <v>240</v>
      </c>
      <c r="H58" s="243" t="s">
        <v>492</v>
      </c>
      <c r="I58" s="262">
        <v>0</v>
      </c>
      <c r="J58" s="262"/>
      <c r="K58" s="272" t="str">
        <f>CONCATENATE('SKALA CPL'!$D$2," ",'IMPLEMENTASI RUBIK'!F58)</f>
        <v>Sangat Mampu Mampu menerapkan prinsip_x0002_prinsip matematika, computing, dan disiplin ilmu yang relevan untuk mendukung analisis data.</v>
      </c>
      <c r="L58" s="272" t="str">
        <f>CONCATENATE('SKALA CPL'!$D$3," ",'IMPLEMENTASI RUBIK'!F58)</f>
        <v>Mampu Mampu menerapkan prinsip_x0002_prinsip matematika, computing, dan disiplin ilmu yang relevan untuk mendukung analisis data.</v>
      </c>
      <c r="M58" s="272" t="str">
        <f>CONCATENATE('SKALA CPL'!$D$4," ",'IMPLEMENTASI RUBIK'!F58)</f>
        <v>Cukup Mampu Mampu menerapkan prinsip_x0002_prinsip matematika, computing, dan disiplin ilmu yang relevan untuk mendukung analisis data.</v>
      </c>
      <c r="N58" s="272" t="str">
        <f>CONCATENATE('SKALA CPL'!$D$5," ",'IMPLEMENTASI RUBIK'!F58)</f>
        <v>Kurang Mampu Mampu menerapkan prinsip_x0002_prinsip matematika, computing, dan disiplin ilmu yang relevan untuk mendukung analisis data.</v>
      </c>
    </row>
    <row r="59" spans="1:14" ht="40.5" x14ac:dyDescent="0.25">
      <c r="A59" s="243"/>
      <c r="B59" s="243"/>
      <c r="C59" s="243"/>
      <c r="D59" s="243" t="e">
        <v>#N/A</v>
      </c>
      <c r="E59" s="243" t="s">
        <v>200</v>
      </c>
      <c r="F59" s="243" t="s">
        <v>193</v>
      </c>
      <c r="G59" s="243" t="s">
        <v>242</v>
      </c>
      <c r="H59" s="243" t="s">
        <v>493</v>
      </c>
      <c r="I59" s="262">
        <v>0</v>
      </c>
      <c r="J59" s="262"/>
      <c r="K59" s="272" t="str">
        <f>CONCATENATE('SKALA CPL'!$D$2," ",'IMPLEMENTASI RUBIK'!F59)</f>
        <v>Sangat Mampu Mampu merumuskan solusi bagi bidang computing yang kompleks</v>
      </c>
      <c r="L59" s="272" t="str">
        <f>CONCATENATE('SKALA CPL'!$D$3," ",'IMPLEMENTASI RUBIK'!F59)</f>
        <v>Mampu Mampu merumuskan solusi bagi bidang computing yang kompleks</v>
      </c>
      <c r="M59" s="272" t="str">
        <f>CONCATENATE('SKALA CPL'!$D$4," ",'IMPLEMENTASI RUBIK'!F59)</f>
        <v>Cukup Mampu Mampu merumuskan solusi bagi bidang computing yang kompleks</v>
      </c>
      <c r="N59" s="272" t="str">
        <f>CONCATENATE('SKALA CPL'!$D$5," ",'IMPLEMENTASI RUBIK'!F59)</f>
        <v>Kurang Mampu Mampu merumuskan solusi bagi bidang computing yang kompleks</v>
      </c>
    </row>
    <row r="60" spans="1:14" ht="94.5" x14ac:dyDescent="0.25">
      <c r="A60" s="243" t="s">
        <v>112</v>
      </c>
      <c r="B60" s="243" t="s">
        <v>113</v>
      </c>
      <c r="C60" s="243" t="s">
        <v>32</v>
      </c>
      <c r="D60" s="243" t="s">
        <v>478</v>
      </c>
      <c r="E60" s="243" t="s">
        <v>177</v>
      </c>
      <c r="F60" s="243" t="s">
        <v>178</v>
      </c>
      <c r="G60" s="243" t="s">
        <v>273</v>
      </c>
      <c r="H60" s="243" t="s">
        <v>494</v>
      </c>
      <c r="I60" s="262">
        <v>10</v>
      </c>
      <c r="J60" s="262"/>
      <c r="K60" s="272" t="str">
        <f>CONCATENATE('SKALA CPL'!$D$2," ",'IMPLEMENTASI RUBIK'!F60)</f>
        <v>Sangat Mampu Mampu menganalisis kebutuhan pengguna dalam konteks sistem interaksi manusia dan komputer. dengan memanfaatkan berbagai metode secara tepat</v>
      </c>
      <c r="L60" s="272" t="str">
        <f>CONCATENATE('SKALA CPL'!$D$3," ",'IMPLEMENTASI RUBIK'!F60)</f>
        <v>Mampu Mampu menganalisis kebutuhan pengguna dalam konteks sistem interaksi manusia dan komputer. dengan memanfaatkan berbagai metode secara tepat</v>
      </c>
      <c r="M60" s="272" t="str">
        <f>CONCATENATE('SKALA CPL'!$D$4," ",'IMPLEMENTASI RUBIK'!F60)</f>
        <v>Cukup Mampu Mampu menganalisis kebutuhan pengguna dalam konteks sistem interaksi manusia dan komputer. dengan memanfaatkan berbagai metode secara tepat</v>
      </c>
      <c r="N60" s="272" t="str">
        <f>CONCATENATE('SKALA CPL'!$D$5," ",'IMPLEMENTASI RUBIK'!F60)</f>
        <v>Kurang Mampu Mampu menganalisis kebutuhan pengguna dalam konteks sistem interaksi manusia dan komputer. dengan memanfaatkan berbagai metode secara tepat</v>
      </c>
    </row>
    <row r="61" spans="1:14" ht="54" x14ac:dyDescent="0.25">
      <c r="A61" s="243"/>
      <c r="B61" s="243"/>
      <c r="C61" s="243"/>
      <c r="D61" s="243" t="e">
        <v>#N/A</v>
      </c>
      <c r="E61" s="243" t="s">
        <v>179</v>
      </c>
      <c r="F61" s="243" t="s">
        <v>180</v>
      </c>
      <c r="G61" s="243" t="s">
        <v>274</v>
      </c>
      <c r="H61" s="243" t="s">
        <v>495</v>
      </c>
      <c r="I61" s="262">
        <v>10</v>
      </c>
      <c r="J61" s="262"/>
      <c r="K61" s="272" t="str">
        <f>CONCATENATE('SKALA CPL'!$D$2," ",'IMPLEMENTASI RUBIK'!F61)</f>
        <v>Sangat Mampu Mampu mengembangkan berbagai pendekatan dalam rangka pengumpulan data penelitian</v>
      </c>
      <c r="L61" s="272" t="str">
        <f>CONCATENATE('SKALA CPL'!$D$3," ",'IMPLEMENTASI RUBIK'!F61)</f>
        <v>Mampu Mampu mengembangkan berbagai pendekatan dalam rangka pengumpulan data penelitian</v>
      </c>
      <c r="M61" s="272" t="str">
        <f>CONCATENATE('SKALA CPL'!$D$4," ",'IMPLEMENTASI RUBIK'!F61)</f>
        <v>Cukup Mampu Mampu mengembangkan berbagai pendekatan dalam rangka pengumpulan data penelitian</v>
      </c>
      <c r="N61" s="272" t="str">
        <f>CONCATENATE('SKALA CPL'!$D$5," ",'IMPLEMENTASI RUBIK'!F61)</f>
        <v>Kurang Mampu Mampu mengembangkan berbagai pendekatan dalam rangka pengumpulan data penelitian</v>
      </c>
    </row>
    <row r="62" spans="1:14" ht="40.5" x14ac:dyDescent="0.25">
      <c r="A62" s="243"/>
      <c r="B62" s="243"/>
      <c r="C62" s="243"/>
      <c r="D62" s="243" t="e">
        <v>#N/A</v>
      </c>
      <c r="E62" s="243" t="s">
        <v>181</v>
      </c>
      <c r="F62" s="243" t="s">
        <v>182</v>
      </c>
      <c r="G62" s="243" t="s">
        <v>276</v>
      </c>
      <c r="H62" s="243" t="s">
        <v>496</v>
      </c>
      <c r="I62" s="262">
        <v>10</v>
      </c>
      <c r="J62" s="262"/>
      <c r="K62" s="272" t="str">
        <f>CONCATENATE('SKALA CPL'!$D$2," ",'IMPLEMENTASI RUBIK'!F62)</f>
        <v>Sangat Mampu Mampu mengevaluasi antarmuka pengguna dengan tepat dan benar</v>
      </c>
      <c r="L62" s="272" t="str">
        <f>CONCATENATE('SKALA CPL'!$D$3," ",'IMPLEMENTASI RUBIK'!F62)</f>
        <v>Mampu Mampu mengevaluasi antarmuka pengguna dengan tepat dan benar</v>
      </c>
      <c r="M62" s="272" t="str">
        <f>CONCATENATE('SKALA CPL'!$D$4," ",'IMPLEMENTASI RUBIK'!F62)</f>
        <v>Cukup Mampu Mampu mengevaluasi antarmuka pengguna dengan tepat dan benar</v>
      </c>
      <c r="N62" s="272" t="str">
        <f>CONCATENATE('SKALA CPL'!$D$5," ",'IMPLEMENTASI RUBIK'!F62)</f>
        <v>Kurang Mampu Mampu mengevaluasi antarmuka pengguna dengan tepat dan benar</v>
      </c>
    </row>
    <row r="63" spans="1:14" ht="40.5" x14ac:dyDescent="0.25">
      <c r="A63" s="243"/>
      <c r="B63" s="243"/>
      <c r="C63" s="243" t="s">
        <v>45</v>
      </c>
      <c r="D63" s="243" t="s">
        <v>40</v>
      </c>
      <c r="E63" s="243" t="s">
        <v>201</v>
      </c>
      <c r="F63" s="243" t="s">
        <v>194</v>
      </c>
      <c r="G63" s="243" t="s">
        <v>256</v>
      </c>
      <c r="H63" s="243" t="s">
        <v>497</v>
      </c>
      <c r="I63" s="262">
        <v>37</v>
      </c>
      <c r="J63" s="262"/>
      <c r="K63" s="272" t="str">
        <f>CONCATENATE('SKALA CPL'!$D$2," ",'IMPLEMENTASI RUBIK'!F63)</f>
        <v>Sangat Mampu Mampu merancang sistem yang kompleks dalam bidang computing.</v>
      </c>
      <c r="L63" s="272" t="str">
        <f>CONCATENATE('SKALA CPL'!$D$3," ",'IMPLEMENTASI RUBIK'!F63)</f>
        <v>Mampu Mampu merancang sistem yang kompleks dalam bidang computing.</v>
      </c>
      <c r="M63" s="272" t="str">
        <f>CONCATENATE('SKALA CPL'!$D$4," ",'IMPLEMENTASI RUBIK'!F63)</f>
        <v>Cukup Mampu Mampu merancang sistem yang kompleks dalam bidang computing.</v>
      </c>
      <c r="N63" s="272" t="str">
        <f>CONCATENATE('SKALA CPL'!$D$5," ",'IMPLEMENTASI RUBIK'!F63)</f>
        <v>Kurang Mampu Mampu merancang sistem yang kompleks dalam bidang computing.</v>
      </c>
    </row>
    <row r="64" spans="1:14" ht="54" x14ac:dyDescent="0.25">
      <c r="A64" s="243"/>
      <c r="B64" s="243"/>
      <c r="C64" s="243"/>
      <c r="D64" s="243" t="e">
        <v>#N/A</v>
      </c>
      <c r="E64" s="243" t="s">
        <v>202</v>
      </c>
      <c r="F64" s="243" t="s">
        <v>195</v>
      </c>
      <c r="G64" s="243" t="s">
        <v>257</v>
      </c>
      <c r="H64" s="243" t="s">
        <v>498</v>
      </c>
      <c r="I64" s="262">
        <v>33</v>
      </c>
      <c r="J64" s="262">
        <v>100</v>
      </c>
      <c r="K64" s="272" t="str">
        <f>CONCATENATE('SKALA CPL'!$D$2," ",'IMPLEMENTASI RUBIK'!F64)</f>
        <v>Sangat Mampu Mampu membangun solusi berbasis computing yang efektif dan efisien</v>
      </c>
      <c r="L64" s="272" t="str">
        <f>CONCATENATE('SKALA CPL'!$D$3," ",'IMPLEMENTASI RUBIK'!F64)</f>
        <v>Mampu Mampu membangun solusi berbasis computing yang efektif dan efisien</v>
      </c>
      <c r="M64" s="272" t="str">
        <f>CONCATENATE('SKALA CPL'!$D$4," ",'IMPLEMENTASI RUBIK'!F64)</f>
        <v>Cukup Mampu Mampu membangun solusi berbasis computing yang efektif dan efisien</v>
      </c>
      <c r="N64" s="272" t="str">
        <f>CONCATENATE('SKALA CPL'!$D$5," ",'IMPLEMENTASI RUBIK'!F64)</f>
        <v>Kurang Mampu Mampu membangun solusi berbasis computing yang efektif dan efisien</v>
      </c>
    </row>
    <row r="65" spans="1:14" ht="108" x14ac:dyDescent="0.25">
      <c r="A65" s="243" t="s">
        <v>114</v>
      </c>
      <c r="B65" s="243" t="s">
        <v>115</v>
      </c>
      <c r="C65" s="243" t="s">
        <v>17</v>
      </c>
      <c r="D65" s="243" t="s">
        <v>395</v>
      </c>
      <c r="E65" s="243" t="s">
        <v>145</v>
      </c>
      <c r="F65" s="243" t="s">
        <v>146</v>
      </c>
      <c r="G65" s="243" t="s">
        <v>284</v>
      </c>
      <c r="H65" s="243" t="s">
        <v>499</v>
      </c>
      <c r="I65" s="262">
        <v>10</v>
      </c>
      <c r="J65" s="262"/>
      <c r="K65" s="272" t="str">
        <f>CONCATENATE('SKALA CPL'!$D$2," ",'IMPLEMENTASI RUBIK'!F65)</f>
        <v>Sangat Mampu Mampu bekerja secara mandiri ataupun dalam tim dalam menjalankan tugas dan tanggung jawab untuk menyelesaikan proyek-proyek terkait teknologi informasi cerdas dalam pengembangan layanan publik dan ekonomi digital</v>
      </c>
      <c r="L65" s="272" t="str">
        <f>CONCATENATE('SKALA CPL'!$D$3," ",'IMPLEMENTASI RUBIK'!F65)</f>
        <v>Mampu Mampu bekerja secara mandiri ataupun dalam tim dalam menjalankan tugas dan tanggung jawab untuk menyelesaikan proyek-proyek terkait teknologi informasi cerdas dalam pengembangan layanan publik dan ekonomi digital</v>
      </c>
      <c r="M65" s="272" t="str">
        <f>CONCATENATE('SKALA CPL'!$D$4," ",'IMPLEMENTASI RUBIK'!F65)</f>
        <v>Cukup Mampu Mampu bekerja secara mandiri ataupun dalam tim dalam menjalankan tugas dan tanggung jawab untuk menyelesaikan proyek-proyek terkait teknologi informasi cerdas dalam pengembangan layanan publik dan ekonomi digital</v>
      </c>
      <c r="N65" s="272" t="str">
        <f>CONCATENATE('SKALA CPL'!$D$5," ",'IMPLEMENTASI RUBIK'!F65)</f>
        <v>Kurang Mampu Mampu bekerja secara mandiri ataupun dalam tim dalam menjalankan tugas dan tanggung jawab untuk menyelesaikan proyek-proyek terkait teknologi informasi cerdas dalam pengembangan layanan publik dan ekonomi digital</v>
      </c>
    </row>
    <row r="66" spans="1:14" ht="105" x14ac:dyDescent="0.25">
      <c r="A66" s="243"/>
      <c r="B66" s="243"/>
      <c r="C66" s="243"/>
      <c r="D66" s="243" t="e">
        <v>#N/A</v>
      </c>
      <c r="E66" s="243" t="s">
        <v>147</v>
      </c>
      <c r="F66" s="243" t="s">
        <v>148</v>
      </c>
      <c r="G66" s="243" t="s">
        <v>285</v>
      </c>
      <c r="H66" s="243" t="s">
        <v>500</v>
      </c>
      <c r="I66" s="262">
        <v>10</v>
      </c>
      <c r="J66" s="262"/>
      <c r="K66" s="272" t="str">
        <f>CONCATENATE('SKALA CPL'!$D$2," ",'IMPLEMENTASI RUBIK'!F66)</f>
        <v>Sangat Mampu Profesional dan Etis dalam menjalankan tugas dan tanggung jawab dalam menjalankan tugas dan tanggung jawab untuk menyelesaikan proyek-proyek terkait teknologi informasi cerdas dalam pengembangan layanan publik dan ekonomi digital</v>
      </c>
      <c r="L66" s="272" t="str">
        <f>CONCATENATE('SKALA CPL'!$D$3," ",'IMPLEMENTASI RUBIK'!F66)</f>
        <v>Mampu Profesional dan Etis dalam menjalankan tugas dan tanggung jawab dalam menjalankan tugas dan tanggung jawab untuk menyelesaikan proyek-proyek terkait teknologi informasi cerdas dalam pengembangan layanan publik dan ekonomi digital</v>
      </c>
      <c r="M66" s="272" t="str">
        <f>CONCATENATE('SKALA CPL'!$D$4," ",'IMPLEMENTASI RUBIK'!F66)</f>
        <v>Cukup Mampu Profesional dan Etis dalam menjalankan tugas dan tanggung jawab dalam menjalankan tugas dan tanggung jawab untuk menyelesaikan proyek-proyek terkait teknologi informasi cerdas dalam pengembangan layanan publik dan ekonomi digital</v>
      </c>
      <c r="N66" s="272" t="str">
        <f>CONCATENATE('SKALA CPL'!$D$5," ",'IMPLEMENTASI RUBIK'!F66)</f>
        <v>Kurang Mampu Profesional dan Etis dalam menjalankan tugas dan tanggung jawab dalam menjalankan tugas dan tanggung jawab untuk menyelesaikan proyek-proyek terkait teknologi informasi cerdas dalam pengembangan layanan publik dan ekonomi digital</v>
      </c>
    </row>
    <row r="67" spans="1:14" ht="108" x14ac:dyDescent="0.25">
      <c r="A67" s="243"/>
      <c r="B67" s="243"/>
      <c r="C67" s="243" t="s">
        <v>20</v>
      </c>
      <c r="D67" s="243" t="s">
        <v>398</v>
      </c>
      <c r="E67" s="243" t="s">
        <v>149</v>
      </c>
      <c r="F67" s="243" t="s">
        <v>150</v>
      </c>
      <c r="G67" s="243" t="s">
        <v>287</v>
      </c>
      <c r="H67" s="243" t="s">
        <v>501</v>
      </c>
      <c r="I67" s="262">
        <v>10</v>
      </c>
      <c r="J67" s="262"/>
      <c r="K67" s="272" t="str">
        <f>CONCATENATE('SKALA CPL'!$D$2," ",'IMPLEMENTASI RUBIK'!F67)</f>
        <v>Sangat Mampu Mampu mengembangkan kemampuan berkomunikasi lisan secara efektif, berpikir kritis, kreatif dan profesional dalam menyelesaikan permasalahan terkait teknologi informasi cerdas melalui pemanfaatan penelitian teknologi informasi dengan berbagai pihak terkait</v>
      </c>
      <c r="L67" s="272" t="str">
        <f>CONCATENATE('SKALA CPL'!$D$3," ",'IMPLEMENTASI RUBIK'!F67)</f>
        <v>Mampu Mampu mengembangkan kemampuan berkomunikasi lisan secara efektif, berpikir kritis, kreatif dan profesional dalam menyelesaikan permasalahan terkait teknologi informasi cerdas melalui pemanfaatan penelitian teknologi informasi dengan berbagai pihak terkait</v>
      </c>
      <c r="M67" s="272" t="str">
        <f>CONCATENATE('SKALA CPL'!$D$4," ",'IMPLEMENTASI RUBIK'!F67)</f>
        <v>Cukup Mampu Mampu mengembangkan kemampuan berkomunikasi lisan secara efektif, berpikir kritis, kreatif dan profesional dalam menyelesaikan permasalahan terkait teknologi informasi cerdas melalui pemanfaatan penelitian teknologi informasi dengan berbagai pihak terkait</v>
      </c>
      <c r="N67" s="272" t="str">
        <f>CONCATENATE('SKALA CPL'!$D$5," ",'IMPLEMENTASI RUBIK'!F67)</f>
        <v>Kurang Mampu Mampu mengembangkan kemampuan berkomunikasi lisan secara efektif, berpikir kritis, kreatif dan profesional dalam menyelesaikan permasalahan terkait teknologi informasi cerdas melalui pemanfaatan penelitian teknologi informasi dengan berbagai pihak terkait</v>
      </c>
    </row>
    <row r="68" spans="1:14" ht="90" x14ac:dyDescent="0.25">
      <c r="A68" s="243"/>
      <c r="B68" s="243"/>
      <c r="C68" s="243"/>
      <c r="D68" s="243" t="e">
        <v>#N/A</v>
      </c>
      <c r="E68" s="243" t="s">
        <v>151</v>
      </c>
      <c r="F68" s="243" t="s">
        <v>152</v>
      </c>
      <c r="G68" s="243" t="s">
        <v>288</v>
      </c>
      <c r="H68" s="243" t="s">
        <v>502</v>
      </c>
      <c r="I68" s="262">
        <v>20</v>
      </c>
      <c r="J68" s="262"/>
      <c r="K68" s="272" t="str">
        <f>CONCATENATE('SKALA CPL'!$D$2," ",'IMPLEMENTASI RUBIK'!F68)</f>
        <v>Sangat Mampu Mampu menghasilkan karya ilmiah yang orisinal dalam menyelesaikan permasalahan terkait teknologi informasi cerdas melalui pemanfaatan penelitian teknologi informasi dengan berbagai pihak terkait</v>
      </c>
      <c r="L68" s="272" t="str">
        <f>CONCATENATE('SKALA CPL'!$D$3," ",'IMPLEMENTASI RUBIK'!F68)</f>
        <v>Mampu Mampu menghasilkan karya ilmiah yang orisinal dalam menyelesaikan permasalahan terkait teknologi informasi cerdas melalui pemanfaatan penelitian teknologi informasi dengan berbagai pihak terkait</v>
      </c>
      <c r="M68" s="272" t="str">
        <f>CONCATENATE('SKALA CPL'!$D$4," ",'IMPLEMENTASI RUBIK'!F68)</f>
        <v>Cukup Mampu Mampu menghasilkan karya ilmiah yang orisinal dalam menyelesaikan permasalahan terkait teknologi informasi cerdas melalui pemanfaatan penelitian teknologi informasi dengan berbagai pihak terkait</v>
      </c>
      <c r="N68" s="272" t="str">
        <f>CONCATENATE('SKALA CPL'!$D$5," ",'IMPLEMENTASI RUBIK'!F68)</f>
        <v>Kurang Mampu Mampu menghasilkan karya ilmiah yang orisinal dalam menyelesaikan permasalahan terkait teknologi informasi cerdas melalui pemanfaatan penelitian teknologi informasi dengan berbagai pihak terkait</v>
      </c>
    </row>
    <row r="69" spans="1:14" ht="54" x14ac:dyDescent="0.25">
      <c r="A69" s="243"/>
      <c r="B69" s="243"/>
      <c r="C69" s="243" t="s">
        <v>43</v>
      </c>
      <c r="D69" s="243" t="s">
        <v>37</v>
      </c>
      <c r="E69" s="243" t="s">
        <v>196</v>
      </c>
      <c r="F69" s="243" t="s">
        <v>189</v>
      </c>
      <c r="G69" s="243" t="s">
        <v>289</v>
      </c>
      <c r="H69" s="243" t="s">
        <v>503</v>
      </c>
      <c r="I69" s="262">
        <v>5</v>
      </c>
      <c r="J69" s="262"/>
      <c r="K69" s="272" t="str">
        <f>CONCATENATE('SKALA CPL'!$D$2," ",'IMPLEMENTASI RUBIK'!F69)</f>
        <v>Sangat Mampu Mampu mengidentifikasi solusi_x0002_solusi algoritmik untuk masalah computing yang kompleks.</v>
      </c>
      <c r="L69" s="272" t="str">
        <f>CONCATENATE('SKALA CPL'!$D$3," ",'IMPLEMENTASI RUBIK'!F69)</f>
        <v>Mampu Mampu mengidentifikasi solusi_x0002_solusi algoritmik untuk masalah computing yang kompleks.</v>
      </c>
      <c r="M69" s="272" t="str">
        <f>CONCATENATE('SKALA CPL'!$D$4," ",'IMPLEMENTASI RUBIK'!F69)</f>
        <v>Cukup Mampu Mampu mengidentifikasi solusi_x0002_solusi algoritmik untuk masalah computing yang kompleks.</v>
      </c>
      <c r="N69" s="272" t="str">
        <f>CONCATENATE('SKALA CPL'!$D$5," ",'IMPLEMENTASI RUBIK'!F69)</f>
        <v>Kurang Mampu Mampu mengidentifikasi solusi_x0002_solusi algoritmik untuk masalah computing yang kompleks.</v>
      </c>
    </row>
    <row r="70" spans="1:14" ht="60" x14ac:dyDescent="0.25">
      <c r="A70" s="243"/>
      <c r="B70" s="243"/>
      <c r="C70" s="243"/>
      <c r="D70" s="243" t="e">
        <v>#N/A</v>
      </c>
      <c r="E70" s="243" t="s">
        <v>197</v>
      </c>
      <c r="F70" s="243" t="s">
        <v>190</v>
      </c>
      <c r="G70" s="243" t="s">
        <v>291</v>
      </c>
      <c r="H70" s="243" t="s">
        <v>504</v>
      </c>
      <c r="I70" s="262">
        <v>5</v>
      </c>
      <c r="J70" s="262"/>
      <c r="K70" s="272" t="str">
        <f>CONCATENATE('SKALA CPL'!$D$2," ",'IMPLEMENTASI RUBIK'!F70)</f>
        <v>Sangat Mampu Mampu meneliti literatur dalam menganalisis solusi-solusi algoritmik untuk masalah yang 
kompleks.</v>
      </c>
      <c r="L70" s="272" t="str">
        <f>CONCATENATE('SKALA CPL'!$D$3," ",'IMPLEMENTASI RUBIK'!F70)</f>
        <v>Mampu Mampu meneliti literatur dalam menganalisis solusi-solusi algoritmik untuk masalah yang 
kompleks.</v>
      </c>
      <c r="M70" s="272" t="str">
        <f>CONCATENATE('SKALA CPL'!$D$4," ",'IMPLEMENTASI RUBIK'!F70)</f>
        <v>Cukup Mampu Mampu meneliti literatur dalam menganalisis solusi-solusi algoritmik untuk masalah yang 
kompleks.</v>
      </c>
      <c r="N70" s="272" t="str">
        <f>CONCATENATE('SKALA CPL'!$D$5," ",'IMPLEMENTASI RUBIK'!F70)</f>
        <v>Kurang Mampu Mampu meneliti literatur dalam menganalisis solusi-solusi algoritmik untuk masalah yang 
kompleks.</v>
      </c>
    </row>
    <row r="71" spans="1:14" ht="45" x14ac:dyDescent="0.25">
      <c r="A71" s="243"/>
      <c r="B71" s="243"/>
      <c r="C71" s="243"/>
      <c r="D71" s="243" t="e">
        <v>#N/A</v>
      </c>
      <c r="E71" s="243" t="s">
        <v>198</v>
      </c>
      <c r="F71" s="243" t="s">
        <v>191</v>
      </c>
      <c r="G71" s="243" t="s">
        <v>293</v>
      </c>
      <c r="H71" s="243" t="s">
        <v>505</v>
      </c>
      <c r="I71" s="262">
        <v>15</v>
      </c>
      <c r="J71" s="262"/>
      <c r="K71" s="272" t="str">
        <f>CONCATENATE('SKALA CPL'!$D$2," ",'IMPLEMENTASI RUBIK'!F71)</f>
        <v>Sangat Mampu Mampu mengevaluasi dan memformulasi solusi-solusi algoritmik untuk masalah yang kompleks.</v>
      </c>
      <c r="L71" s="272" t="str">
        <f>CONCATENATE('SKALA CPL'!$D$3," ",'IMPLEMENTASI RUBIK'!F71)</f>
        <v>Mampu Mampu mengevaluasi dan memformulasi solusi-solusi algoritmik untuk masalah yang kompleks.</v>
      </c>
      <c r="M71" s="272" t="str">
        <f>CONCATENATE('SKALA CPL'!$D$4," ",'IMPLEMENTASI RUBIK'!F71)</f>
        <v>Cukup Mampu Mampu mengevaluasi dan memformulasi solusi-solusi algoritmik untuk masalah yang kompleks.</v>
      </c>
      <c r="N71" s="272" t="str">
        <f>CONCATENATE('SKALA CPL'!$D$5," ",'IMPLEMENTASI RUBIK'!F71)</f>
        <v>Kurang Mampu Mampu mengevaluasi dan memformulasi solusi-solusi algoritmik untuk masalah yang kompleks.</v>
      </c>
    </row>
    <row r="72" spans="1:14" ht="40.5" x14ac:dyDescent="0.25">
      <c r="A72" s="243"/>
      <c r="B72" s="243"/>
      <c r="C72" s="243" t="s">
        <v>45</v>
      </c>
      <c r="D72" s="243" t="s">
        <v>40</v>
      </c>
      <c r="E72" s="243" t="s">
        <v>201</v>
      </c>
      <c r="F72" s="243" t="s">
        <v>194</v>
      </c>
      <c r="G72" s="243" t="s">
        <v>256</v>
      </c>
      <c r="H72" s="243" t="s">
        <v>506</v>
      </c>
      <c r="I72" s="262">
        <v>10</v>
      </c>
      <c r="J72" s="262"/>
      <c r="K72" s="272" t="str">
        <f>CONCATENATE('SKALA CPL'!$D$2," ",'IMPLEMENTASI RUBIK'!F72)</f>
        <v>Sangat Mampu Mampu merancang sistem yang kompleks dalam bidang computing.</v>
      </c>
      <c r="L72" s="272" t="str">
        <f>CONCATENATE('SKALA CPL'!$D$3," ",'IMPLEMENTASI RUBIK'!F72)</f>
        <v>Mampu Mampu merancang sistem yang kompleks dalam bidang computing.</v>
      </c>
      <c r="M72" s="272" t="str">
        <f>CONCATENATE('SKALA CPL'!$D$4," ",'IMPLEMENTASI RUBIK'!F72)</f>
        <v>Cukup Mampu Mampu merancang sistem yang kompleks dalam bidang computing.</v>
      </c>
      <c r="N72" s="272" t="str">
        <f>CONCATENATE('SKALA CPL'!$D$5," ",'IMPLEMENTASI RUBIK'!F72)</f>
        <v>Kurang Mampu Mampu merancang sistem yang kompleks dalam bidang computing.</v>
      </c>
    </row>
    <row r="73" spans="1:14" ht="40.5" x14ac:dyDescent="0.25">
      <c r="A73" s="243"/>
      <c r="B73" s="243"/>
      <c r="C73" s="243"/>
      <c r="D73" s="243" t="e">
        <v>#N/A</v>
      </c>
      <c r="E73" s="243" t="s">
        <v>202</v>
      </c>
      <c r="F73" s="243" t="s">
        <v>195</v>
      </c>
      <c r="G73" s="243" t="s">
        <v>257</v>
      </c>
      <c r="H73" s="243" t="s">
        <v>507</v>
      </c>
      <c r="I73" s="262">
        <v>15</v>
      </c>
      <c r="J73" s="262">
        <v>100</v>
      </c>
      <c r="K73" s="272" t="str">
        <f>CONCATENATE('SKALA CPL'!$D$2," ",'IMPLEMENTASI RUBIK'!F73)</f>
        <v>Sangat Mampu Mampu membangun solusi berbasis computing yang efektif dan efisien</v>
      </c>
      <c r="L73" s="272" t="str">
        <f>CONCATENATE('SKALA CPL'!$D$3," ",'IMPLEMENTASI RUBIK'!F73)</f>
        <v>Mampu Mampu membangun solusi berbasis computing yang efektif dan efisien</v>
      </c>
      <c r="M73" s="272" t="str">
        <f>CONCATENATE('SKALA CPL'!$D$4," ",'IMPLEMENTASI RUBIK'!F73)</f>
        <v>Cukup Mampu Mampu membangun solusi berbasis computing yang efektif dan efisien</v>
      </c>
      <c r="N73" s="272" t="str">
        <f>CONCATENATE('SKALA CPL'!$D$5," ",'IMPLEMENTASI RUBIK'!F73)</f>
        <v>Kurang Mampu Mampu membangun solusi berbasis computing yang efektif dan efisien</v>
      </c>
    </row>
    <row r="74" spans="1:14" ht="67.5" x14ac:dyDescent="0.25">
      <c r="A74" s="243" t="s">
        <v>117</v>
      </c>
      <c r="B74" s="243" t="s">
        <v>118</v>
      </c>
      <c r="C74" s="243" t="s">
        <v>27</v>
      </c>
      <c r="D74" s="243" t="s">
        <v>436</v>
      </c>
      <c r="E74" s="243" t="s">
        <v>165</v>
      </c>
      <c r="F74" s="243" t="s">
        <v>166</v>
      </c>
      <c r="G74" s="243" t="s">
        <v>234</v>
      </c>
      <c r="H74" s="243" t="s">
        <v>508</v>
      </c>
      <c r="I74" s="262">
        <v>22</v>
      </c>
      <c r="J74" s="262"/>
      <c r="K74" s="272" t="str">
        <f>CONCATENATE('SKALA CPL'!$D$2," ",'IMPLEMENTASI RUBIK'!F74)</f>
        <v>Sangat Mampu Memiliki kemampuan menganalisa berbasis kinerja solusi komputasi cerdas untuk mendukung layanan publik dan ekonomi digital</v>
      </c>
      <c r="L74" s="272" t="str">
        <f>CONCATENATE('SKALA CPL'!$D$3," ",'IMPLEMENTASI RUBIK'!F74)</f>
        <v>Mampu Memiliki kemampuan menganalisa berbasis kinerja solusi komputasi cerdas untuk mendukung layanan publik dan ekonomi digital</v>
      </c>
      <c r="M74" s="272" t="str">
        <f>CONCATENATE('SKALA CPL'!$D$4," ",'IMPLEMENTASI RUBIK'!F74)</f>
        <v>Cukup Mampu Memiliki kemampuan menganalisa berbasis kinerja solusi komputasi cerdas untuk mendukung layanan publik dan ekonomi digital</v>
      </c>
      <c r="N74" s="272" t="str">
        <f>CONCATENATE('SKALA CPL'!$D$5," ",'IMPLEMENTASI RUBIK'!F74)</f>
        <v>Kurang Mampu Memiliki kemampuan menganalisa berbasis kinerja solusi komputasi cerdas untuk mendukung layanan publik dan ekonomi digital</v>
      </c>
    </row>
    <row r="75" spans="1:14" ht="67.5" x14ac:dyDescent="0.25">
      <c r="A75" s="243"/>
      <c r="B75" s="243"/>
      <c r="C75" s="243"/>
      <c r="D75" s="243" t="e">
        <v>#N/A</v>
      </c>
      <c r="E75" s="243" t="s">
        <v>167</v>
      </c>
      <c r="F75" s="243" t="s">
        <v>168</v>
      </c>
      <c r="G75" s="243" t="s">
        <v>236</v>
      </c>
      <c r="H75" s="243" t="s">
        <v>509</v>
      </c>
      <c r="I75" s="262">
        <v>28</v>
      </c>
      <c r="J75" s="262"/>
      <c r="K75" s="272" t="str">
        <f>CONCATENATE('SKALA CPL'!$D$2," ",'IMPLEMENTASI RUBIK'!F75)</f>
        <v>Sangat Mampu Memiliki kemampuan mengevaluasi berbasis kinerja solusi komputasi cerdas untuk mendukung layanan publik dan ekonomi digital</v>
      </c>
      <c r="L75" s="272" t="str">
        <f>CONCATENATE('SKALA CPL'!$D$3," ",'IMPLEMENTASI RUBIK'!F75)</f>
        <v>Mampu Memiliki kemampuan mengevaluasi berbasis kinerja solusi komputasi cerdas untuk mendukung layanan publik dan ekonomi digital</v>
      </c>
      <c r="M75" s="272" t="str">
        <f>CONCATENATE('SKALA CPL'!$D$4," ",'IMPLEMENTASI RUBIK'!F75)</f>
        <v>Cukup Mampu Memiliki kemampuan mengevaluasi berbasis kinerja solusi komputasi cerdas untuk mendukung layanan publik dan ekonomi digital</v>
      </c>
      <c r="N75" s="272" t="str">
        <f>CONCATENATE('SKALA CPL'!$D$5," ",'IMPLEMENTASI RUBIK'!F75)</f>
        <v>Kurang Mampu Memiliki kemampuan mengevaluasi berbasis kinerja solusi komputasi cerdas untuk mendukung layanan publik dan ekonomi digital</v>
      </c>
    </row>
    <row r="76" spans="1:14" ht="67.5" x14ac:dyDescent="0.25">
      <c r="A76" s="243"/>
      <c r="B76" s="243"/>
      <c r="C76" s="243"/>
      <c r="D76" s="243" t="e">
        <v>#N/A</v>
      </c>
      <c r="E76" s="243" t="s">
        <v>169</v>
      </c>
      <c r="F76" s="243" t="s">
        <v>170</v>
      </c>
      <c r="G76" s="243" t="s">
        <v>238</v>
      </c>
      <c r="H76" s="243" t="s">
        <v>510</v>
      </c>
      <c r="I76" s="262">
        <v>18</v>
      </c>
      <c r="J76" s="262"/>
      <c r="K76" s="272" t="str">
        <f>CONCATENATE('SKALA CPL'!$D$2," ",'IMPLEMENTASI RUBIK'!F76)</f>
        <v>Sangat Mampu Memiliki kemampuan membuat keputusan berbasis kinerja solusi komputasi cerdas untuk mendukung layanan publik dan ekonomi digital</v>
      </c>
      <c r="L76" s="272" t="str">
        <f>CONCATENATE('SKALA CPL'!$D$3," ",'IMPLEMENTASI RUBIK'!F76)</f>
        <v>Mampu Memiliki kemampuan membuat keputusan berbasis kinerja solusi komputasi cerdas untuk mendukung layanan publik dan ekonomi digital</v>
      </c>
      <c r="M76" s="272" t="str">
        <f>CONCATENATE('SKALA CPL'!$D$4," ",'IMPLEMENTASI RUBIK'!F76)</f>
        <v>Cukup Mampu Memiliki kemampuan membuat keputusan berbasis kinerja solusi komputasi cerdas untuk mendukung layanan publik dan ekonomi digital</v>
      </c>
      <c r="N76" s="272" t="str">
        <f>CONCATENATE('SKALA CPL'!$D$5," ",'IMPLEMENTASI RUBIK'!F76)</f>
        <v>Kurang Mampu Memiliki kemampuan membuat keputusan berbasis kinerja solusi komputasi cerdas untuk mendukung layanan publik dan ekonomi digital</v>
      </c>
    </row>
    <row r="77" spans="1:14" ht="54" x14ac:dyDescent="0.25">
      <c r="A77" s="243"/>
      <c r="B77" s="243"/>
      <c r="C77" s="243" t="s">
        <v>43</v>
      </c>
      <c r="D77" s="243" t="s">
        <v>37</v>
      </c>
      <c r="E77" s="243" t="s">
        <v>196</v>
      </c>
      <c r="F77" s="243" t="s">
        <v>189</v>
      </c>
      <c r="G77" s="243" t="s">
        <v>289</v>
      </c>
      <c r="H77" s="243" t="s">
        <v>511</v>
      </c>
      <c r="I77" s="262">
        <v>7</v>
      </c>
      <c r="J77" s="262"/>
      <c r="K77" s="272" t="str">
        <f>CONCATENATE('SKALA CPL'!$D$2," ",'IMPLEMENTASI RUBIK'!F77)</f>
        <v>Sangat Mampu Mampu mengidentifikasi solusi_x0002_solusi algoritmik untuk masalah computing yang kompleks.</v>
      </c>
      <c r="L77" s="272" t="str">
        <f>CONCATENATE('SKALA CPL'!$D$3," ",'IMPLEMENTASI RUBIK'!F77)</f>
        <v>Mampu Mampu mengidentifikasi solusi_x0002_solusi algoritmik untuk masalah computing yang kompleks.</v>
      </c>
      <c r="M77" s="272" t="str">
        <f>CONCATENATE('SKALA CPL'!$D$4," ",'IMPLEMENTASI RUBIK'!F77)</f>
        <v>Cukup Mampu Mampu mengidentifikasi solusi_x0002_solusi algoritmik untuk masalah computing yang kompleks.</v>
      </c>
      <c r="N77" s="272" t="str">
        <f>CONCATENATE('SKALA CPL'!$D$5," ",'IMPLEMENTASI RUBIK'!F77)</f>
        <v>Kurang Mampu Mampu mengidentifikasi solusi_x0002_solusi algoritmik untuk masalah computing yang kompleks.</v>
      </c>
    </row>
    <row r="78" spans="1:14" ht="67.5" x14ac:dyDescent="0.25">
      <c r="A78" s="243"/>
      <c r="B78" s="243"/>
      <c r="C78" s="243"/>
      <c r="D78" s="243" t="e">
        <v>#N/A</v>
      </c>
      <c r="E78" s="243" t="s">
        <v>197</v>
      </c>
      <c r="F78" s="243" t="s">
        <v>190</v>
      </c>
      <c r="G78" s="243" t="s">
        <v>291</v>
      </c>
      <c r="H78" s="243" t="s">
        <v>512</v>
      </c>
      <c r="I78" s="262">
        <v>12</v>
      </c>
      <c r="J78" s="262"/>
      <c r="K78" s="272" t="str">
        <f>CONCATENATE('SKALA CPL'!$D$2," ",'IMPLEMENTASI RUBIK'!F78)</f>
        <v>Sangat Mampu Mampu meneliti literatur dalam menganalisis solusi-solusi algoritmik untuk masalah yang 
kompleks.</v>
      </c>
      <c r="L78" s="272" t="str">
        <f>CONCATENATE('SKALA CPL'!$D$3," ",'IMPLEMENTASI RUBIK'!F78)</f>
        <v>Mampu Mampu meneliti literatur dalam menganalisis solusi-solusi algoritmik untuk masalah yang 
kompleks.</v>
      </c>
      <c r="M78" s="272" t="str">
        <f>CONCATENATE('SKALA CPL'!$D$4," ",'IMPLEMENTASI RUBIK'!F78)</f>
        <v>Cukup Mampu Mampu meneliti literatur dalam menganalisis solusi-solusi algoritmik untuk masalah yang 
kompleks.</v>
      </c>
      <c r="N78" s="272" t="str">
        <f>CONCATENATE('SKALA CPL'!$D$5," ",'IMPLEMENTASI RUBIK'!F78)</f>
        <v>Kurang Mampu Mampu meneliti literatur dalam menganalisis solusi-solusi algoritmik untuk masalah yang 
kompleks.</v>
      </c>
    </row>
    <row r="79" spans="1:14" ht="54" x14ac:dyDescent="0.25">
      <c r="A79" s="243"/>
      <c r="B79" s="243"/>
      <c r="C79" s="243"/>
      <c r="D79" s="243" t="e">
        <v>#N/A</v>
      </c>
      <c r="E79" s="243" t="s">
        <v>198</v>
      </c>
      <c r="F79" s="243" t="s">
        <v>191</v>
      </c>
      <c r="G79" s="243" t="s">
        <v>293</v>
      </c>
      <c r="H79" s="243" t="s">
        <v>513</v>
      </c>
      <c r="I79" s="262">
        <v>13</v>
      </c>
      <c r="J79" s="262">
        <v>100</v>
      </c>
      <c r="K79" s="272" t="str">
        <f>CONCATENATE('SKALA CPL'!$D$2," ",'IMPLEMENTASI RUBIK'!F79)</f>
        <v>Sangat Mampu Mampu mengevaluasi dan memformulasi solusi-solusi algoritmik untuk masalah yang kompleks.</v>
      </c>
      <c r="L79" s="272" t="str">
        <f>CONCATENATE('SKALA CPL'!$D$3," ",'IMPLEMENTASI RUBIK'!F79)</f>
        <v>Mampu Mampu mengevaluasi dan memformulasi solusi-solusi algoritmik untuk masalah yang kompleks.</v>
      </c>
      <c r="M79" s="272" t="str">
        <f>CONCATENATE('SKALA CPL'!$D$4," ",'IMPLEMENTASI RUBIK'!F79)</f>
        <v>Cukup Mampu Mampu mengevaluasi dan memformulasi solusi-solusi algoritmik untuk masalah yang kompleks.</v>
      </c>
      <c r="N79" s="272" t="str">
        <f>CONCATENATE('SKALA CPL'!$D$5," ",'IMPLEMENTASI RUBIK'!F79)</f>
        <v>Kurang Mampu Mampu mengevaluasi dan memformulasi solusi-solusi algoritmik untuk masalah yang kompleks.</v>
      </c>
    </row>
    <row r="80" spans="1:14" ht="81" x14ac:dyDescent="0.25">
      <c r="A80" s="243" t="s">
        <v>119</v>
      </c>
      <c r="B80" s="243" t="s">
        <v>120</v>
      </c>
      <c r="C80" s="243" t="s">
        <v>22</v>
      </c>
      <c r="D80" s="243" t="s">
        <v>401</v>
      </c>
      <c r="E80" s="243" t="s">
        <v>153</v>
      </c>
      <c r="F80" s="243" t="s">
        <v>154</v>
      </c>
      <c r="G80" s="243" t="s">
        <v>249</v>
      </c>
      <c r="H80" s="243" t="s">
        <v>514</v>
      </c>
      <c r="I80" s="262">
        <v>15</v>
      </c>
      <c r="J80" s="262"/>
      <c r="K80" s="272" t="str">
        <f>CONCATENATE('SKALA CPL'!$D$2," ",'IMPLEMENTASI RUBIK'!F80)</f>
        <v>Sangat Mampu Memiliki kemampuan menganalisis berdasarkan pengetahuan di bidang teknologi informasi cerdas dalam konteks dukungan terhadap pengembangan layanan publik dan ekonomi digital</v>
      </c>
      <c r="L80" s="272" t="str">
        <f>CONCATENATE('SKALA CPL'!$D$3," ",'IMPLEMENTASI RUBIK'!F80)</f>
        <v>Mampu Memiliki kemampuan menganalisis berdasarkan pengetahuan di bidang teknologi informasi cerdas dalam konteks dukungan terhadap pengembangan layanan publik dan ekonomi digital</v>
      </c>
      <c r="M80" s="272" t="str">
        <f>CONCATENATE('SKALA CPL'!$D$4," ",'IMPLEMENTASI RUBIK'!F80)</f>
        <v>Cukup Mampu Memiliki kemampuan menganalisis berdasarkan pengetahuan di bidang teknologi informasi cerdas dalam konteks dukungan terhadap pengembangan layanan publik dan ekonomi digital</v>
      </c>
      <c r="N80" s="272" t="str">
        <f>CONCATENATE('SKALA CPL'!$D$5," ",'IMPLEMENTASI RUBIK'!F80)</f>
        <v>Kurang Mampu Memiliki kemampuan menganalisis berdasarkan pengetahuan di bidang teknologi informasi cerdas dalam konteks dukungan terhadap pengembangan layanan publik dan ekonomi digital</v>
      </c>
    </row>
    <row r="81" spans="1:14" ht="81" x14ac:dyDescent="0.25">
      <c r="A81" s="243"/>
      <c r="B81" s="243"/>
      <c r="C81" s="243"/>
      <c r="D81" s="243" t="e">
        <v>#N/A</v>
      </c>
      <c r="E81" s="243" t="s">
        <v>155</v>
      </c>
      <c r="F81" s="243" t="s">
        <v>156</v>
      </c>
      <c r="G81" s="243" t="s">
        <v>251</v>
      </c>
      <c r="H81" s="243" t="s">
        <v>515</v>
      </c>
      <c r="I81" s="262">
        <v>15</v>
      </c>
      <c r="J81" s="262"/>
      <c r="K81" s="272" t="str">
        <f>CONCATENATE('SKALA CPL'!$D$2," ",'IMPLEMENTASI RUBIK'!F81)</f>
        <v>Sangat Mampu Memiliki kemampuan mengevaluasi berdasarkan pengetahuan di bidang teknologi informasi cerdas dalam konteks dukungan terhadap pengembangan layanan publik dan ekonomi digital</v>
      </c>
      <c r="L81" s="272" t="str">
        <f>CONCATENATE('SKALA CPL'!$D$3," ",'IMPLEMENTASI RUBIK'!F81)</f>
        <v>Mampu Memiliki kemampuan mengevaluasi berdasarkan pengetahuan di bidang teknologi informasi cerdas dalam konteks dukungan terhadap pengembangan layanan publik dan ekonomi digital</v>
      </c>
      <c r="M81" s="272" t="str">
        <f>CONCATENATE('SKALA CPL'!$D$4," ",'IMPLEMENTASI RUBIK'!F81)</f>
        <v>Cukup Mampu Memiliki kemampuan mengevaluasi berdasarkan pengetahuan di bidang teknologi informasi cerdas dalam konteks dukungan terhadap pengembangan layanan publik dan ekonomi digital</v>
      </c>
      <c r="N81" s="272" t="str">
        <f>CONCATENATE('SKALA CPL'!$D$5," ",'IMPLEMENTASI RUBIK'!F81)</f>
        <v>Kurang Mampu Memiliki kemampuan mengevaluasi berdasarkan pengetahuan di bidang teknologi informasi cerdas dalam konteks dukungan terhadap pengembangan layanan publik dan ekonomi digital</v>
      </c>
    </row>
    <row r="82" spans="1:14" ht="90" x14ac:dyDescent="0.25">
      <c r="A82" s="243"/>
      <c r="B82" s="243"/>
      <c r="C82" s="243"/>
      <c r="D82" s="243" t="e">
        <v>#N/A</v>
      </c>
      <c r="E82" s="243" t="s">
        <v>157</v>
      </c>
      <c r="F82" s="243" t="s">
        <v>158</v>
      </c>
      <c r="G82" s="243" t="s">
        <v>252</v>
      </c>
      <c r="H82" s="243" t="s">
        <v>516</v>
      </c>
      <c r="I82" s="262">
        <v>30</v>
      </c>
      <c r="J82" s="262"/>
      <c r="K82" s="272" t="str">
        <f>CONCATENATE('SKALA CPL'!$D$2," ",'IMPLEMENTASI RUBIK'!F82)</f>
        <v>Sangat Mampu Memiliki kemampuan membuat keputusan berdasarkan pengetahuan di bidang teknologi informasi cerdas dalam konteks dukungan terhadap pengembangan layanan publik dan ekonomi digital</v>
      </c>
      <c r="L82" s="272" t="str">
        <f>CONCATENATE('SKALA CPL'!$D$3," ",'IMPLEMENTASI RUBIK'!F82)</f>
        <v>Mampu Memiliki kemampuan membuat keputusan berdasarkan pengetahuan di bidang teknologi informasi cerdas dalam konteks dukungan terhadap pengembangan layanan publik dan ekonomi digital</v>
      </c>
      <c r="M82" s="272" t="str">
        <f>CONCATENATE('SKALA CPL'!$D$4," ",'IMPLEMENTASI RUBIK'!F82)</f>
        <v>Cukup Mampu Memiliki kemampuan membuat keputusan berdasarkan pengetahuan di bidang teknologi informasi cerdas dalam konteks dukungan terhadap pengembangan layanan publik dan ekonomi digital</v>
      </c>
      <c r="N82" s="272" t="str">
        <f>CONCATENATE('SKALA CPL'!$D$5," ",'IMPLEMENTASI RUBIK'!F82)</f>
        <v>Kurang Mampu Memiliki kemampuan membuat keputusan berdasarkan pengetahuan di bidang teknologi informasi cerdas dalam konteks dukungan terhadap pengembangan layanan publik dan ekonomi digital</v>
      </c>
    </row>
    <row r="83" spans="1:14" ht="40.5" x14ac:dyDescent="0.25">
      <c r="A83" s="243"/>
      <c r="B83" s="243"/>
      <c r="C83" s="243" t="s">
        <v>45</v>
      </c>
      <c r="D83" s="243" t="s">
        <v>40</v>
      </c>
      <c r="E83" s="243" t="s">
        <v>201</v>
      </c>
      <c r="F83" s="243" t="s">
        <v>194</v>
      </c>
      <c r="G83" s="243" t="s">
        <v>256</v>
      </c>
      <c r="H83" s="243" t="s">
        <v>517</v>
      </c>
      <c r="I83" s="262">
        <v>10</v>
      </c>
      <c r="J83" s="262"/>
      <c r="K83" s="272" t="str">
        <f>CONCATENATE('SKALA CPL'!$D$2," ",'IMPLEMENTASI RUBIK'!F83)</f>
        <v>Sangat Mampu Mampu merancang sistem yang kompleks dalam bidang computing.</v>
      </c>
      <c r="L83" s="272" t="str">
        <f>CONCATENATE('SKALA CPL'!$D$3," ",'IMPLEMENTASI RUBIK'!F83)</f>
        <v>Mampu Mampu merancang sistem yang kompleks dalam bidang computing.</v>
      </c>
      <c r="M83" s="272" t="str">
        <f>CONCATENATE('SKALA CPL'!$D$4," ",'IMPLEMENTASI RUBIK'!F83)</f>
        <v>Cukup Mampu Mampu merancang sistem yang kompleks dalam bidang computing.</v>
      </c>
      <c r="N83" s="272" t="str">
        <f>CONCATENATE('SKALA CPL'!$D$5," ",'IMPLEMENTASI RUBIK'!F83)</f>
        <v>Kurang Mampu Mampu merancang sistem yang kompleks dalam bidang computing.</v>
      </c>
    </row>
    <row r="84" spans="1:14" ht="40.5" x14ac:dyDescent="0.25">
      <c r="A84" s="243"/>
      <c r="B84" s="243"/>
      <c r="C84" s="243"/>
      <c r="D84" s="243" t="e">
        <v>#N/A</v>
      </c>
      <c r="E84" s="243" t="s">
        <v>202</v>
      </c>
      <c r="F84" s="243" t="s">
        <v>195</v>
      </c>
      <c r="G84" s="243" t="s">
        <v>257</v>
      </c>
      <c r="H84" s="243" t="s">
        <v>518</v>
      </c>
      <c r="I84" s="262">
        <v>30</v>
      </c>
      <c r="J84" s="262">
        <v>100</v>
      </c>
      <c r="K84" s="272" t="str">
        <f>CONCATENATE('SKALA CPL'!$D$2," ",'IMPLEMENTASI RUBIK'!F84)</f>
        <v>Sangat Mampu Mampu membangun solusi berbasis computing yang efektif dan efisien</v>
      </c>
      <c r="L84" s="272" t="str">
        <f>CONCATENATE('SKALA CPL'!$D$3," ",'IMPLEMENTASI RUBIK'!F84)</f>
        <v>Mampu Mampu membangun solusi berbasis computing yang efektif dan efisien</v>
      </c>
      <c r="M84" s="272" t="str">
        <f>CONCATENATE('SKALA CPL'!$D$4," ",'IMPLEMENTASI RUBIK'!F84)</f>
        <v>Cukup Mampu Mampu membangun solusi berbasis computing yang efektif dan efisien</v>
      </c>
      <c r="N84" s="272" t="str">
        <f>CONCATENATE('SKALA CPL'!$D$5," ",'IMPLEMENTASI RUBIK'!F84)</f>
        <v>Kurang Mampu Mampu membangun solusi berbasis computing yang efektif dan efisien</v>
      </c>
    </row>
    <row r="85" spans="1:14" ht="81" x14ac:dyDescent="0.25">
      <c r="A85" s="243" t="s">
        <v>121</v>
      </c>
      <c r="B85" s="243" t="s">
        <v>122</v>
      </c>
      <c r="C85" s="243" t="s">
        <v>22</v>
      </c>
      <c r="D85" s="243" t="s">
        <v>401</v>
      </c>
      <c r="E85" s="243" t="s">
        <v>153</v>
      </c>
      <c r="F85" s="243" t="s">
        <v>154</v>
      </c>
      <c r="G85" s="243" t="s">
        <v>249</v>
      </c>
      <c r="H85" s="243" t="s">
        <v>519</v>
      </c>
      <c r="I85" s="262">
        <v>11</v>
      </c>
      <c r="J85" s="262"/>
      <c r="K85" s="272" t="str">
        <f>CONCATENATE('SKALA CPL'!$D$2," ",'IMPLEMENTASI RUBIK'!F85)</f>
        <v>Sangat Mampu Memiliki kemampuan menganalisis berdasarkan pengetahuan di bidang teknologi informasi cerdas dalam konteks dukungan terhadap pengembangan layanan publik dan ekonomi digital</v>
      </c>
      <c r="L85" s="272" t="str">
        <f>CONCATENATE('SKALA CPL'!$D$3," ",'IMPLEMENTASI RUBIK'!F85)</f>
        <v>Mampu Memiliki kemampuan menganalisis berdasarkan pengetahuan di bidang teknologi informasi cerdas dalam konteks dukungan terhadap pengembangan layanan publik dan ekonomi digital</v>
      </c>
      <c r="M85" s="272" t="str">
        <f>CONCATENATE('SKALA CPL'!$D$4," ",'IMPLEMENTASI RUBIK'!F85)</f>
        <v>Cukup Mampu Memiliki kemampuan menganalisis berdasarkan pengetahuan di bidang teknologi informasi cerdas dalam konteks dukungan terhadap pengembangan layanan publik dan ekonomi digital</v>
      </c>
      <c r="N85" s="272" t="str">
        <f>CONCATENATE('SKALA CPL'!$D$5," ",'IMPLEMENTASI RUBIK'!F85)</f>
        <v>Kurang Mampu Memiliki kemampuan menganalisis berdasarkan pengetahuan di bidang teknologi informasi cerdas dalam konteks dukungan terhadap pengembangan layanan publik dan ekonomi digital</v>
      </c>
    </row>
    <row r="86" spans="1:14" ht="81" x14ac:dyDescent="0.25">
      <c r="A86" s="243"/>
      <c r="B86" s="243"/>
      <c r="C86" s="243"/>
      <c r="D86" s="243" t="e">
        <v>#N/A</v>
      </c>
      <c r="E86" s="243" t="s">
        <v>155</v>
      </c>
      <c r="F86" s="243" t="s">
        <v>156</v>
      </c>
      <c r="G86" s="243" t="s">
        <v>251</v>
      </c>
      <c r="H86" s="243" t="s">
        <v>520</v>
      </c>
      <c r="I86" s="262">
        <v>11</v>
      </c>
      <c r="J86" s="262"/>
      <c r="K86" s="272" t="str">
        <f>CONCATENATE('SKALA CPL'!$D$2," ",'IMPLEMENTASI RUBIK'!F86)</f>
        <v>Sangat Mampu Memiliki kemampuan mengevaluasi berdasarkan pengetahuan di bidang teknologi informasi cerdas dalam konteks dukungan terhadap pengembangan layanan publik dan ekonomi digital</v>
      </c>
      <c r="L86" s="272" t="str">
        <f>CONCATENATE('SKALA CPL'!$D$3," ",'IMPLEMENTASI RUBIK'!F86)</f>
        <v>Mampu Memiliki kemampuan mengevaluasi berdasarkan pengetahuan di bidang teknologi informasi cerdas dalam konteks dukungan terhadap pengembangan layanan publik dan ekonomi digital</v>
      </c>
      <c r="M86" s="272" t="str">
        <f>CONCATENATE('SKALA CPL'!$D$4," ",'IMPLEMENTASI RUBIK'!F86)</f>
        <v>Cukup Mampu Memiliki kemampuan mengevaluasi berdasarkan pengetahuan di bidang teknologi informasi cerdas dalam konteks dukungan terhadap pengembangan layanan publik dan ekonomi digital</v>
      </c>
      <c r="N86" s="272" t="str">
        <f>CONCATENATE('SKALA CPL'!$D$5," ",'IMPLEMENTASI RUBIK'!F86)</f>
        <v>Kurang Mampu Memiliki kemampuan mengevaluasi berdasarkan pengetahuan di bidang teknologi informasi cerdas dalam konteks dukungan terhadap pengembangan layanan publik dan ekonomi digital</v>
      </c>
    </row>
    <row r="87" spans="1:14" ht="90" x14ac:dyDescent="0.25">
      <c r="A87" s="243"/>
      <c r="B87" s="243"/>
      <c r="C87" s="243"/>
      <c r="D87" s="243" t="e">
        <v>#N/A</v>
      </c>
      <c r="E87" s="243" t="s">
        <v>157</v>
      </c>
      <c r="F87" s="243" t="s">
        <v>158</v>
      </c>
      <c r="G87" s="243" t="s">
        <v>252</v>
      </c>
      <c r="H87" s="243" t="s">
        <v>521</v>
      </c>
      <c r="I87" s="262">
        <v>11</v>
      </c>
      <c r="J87" s="262"/>
      <c r="K87" s="272" t="str">
        <f>CONCATENATE('SKALA CPL'!$D$2," ",'IMPLEMENTASI RUBIK'!F87)</f>
        <v>Sangat Mampu Memiliki kemampuan membuat keputusan berdasarkan pengetahuan di bidang teknologi informasi cerdas dalam konteks dukungan terhadap pengembangan layanan publik dan ekonomi digital</v>
      </c>
      <c r="L87" s="272" t="str">
        <f>CONCATENATE('SKALA CPL'!$D$3," ",'IMPLEMENTASI RUBIK'!F87)</f>
        <v>Mampu Memiliki kemampuan membuat keputusan berdasarkan pengetahuan di bidang teknologi informasi cerdas dalam konteks dukungan terhadap pengembangan layanan publik dan ekonomi digital</v>
      </c>
      <c r="M87" s="272" t="str">
        <f>CONCATENATE('SKALA CPL'!$D$4," ",'IMPLEMENTASI RUBIK'!F87)</f>
        <v>Cukup Mampu Memiliki kemampuan membuat keputusan berdasarkan pengetahuan di bidang teknologi informasi cerdas dalam konteks dukungan terhadap pengembangan layanan publik dan ekonomi digital</v>
      </c>
      <c r="N87" s="272" t="str">
        <f>CONCATENATE('SKALA CPL'!$D$5," ",'IMPLEMENTASI RUBIK'!F87)</f>
        <v>Kurang Mampu Memiliki kemampuan membuat keputusan berdasarkan pengetahuan di bidang teknologi informasi cerdas dalam konteks dukungan terhadap pengembangan layanan publik dan ekonomi digital</v>
      </c>
    </row>
    <row r="88" spans="1:14" ht="94.5" x14ac:dyDescent="0.25">
      <c r="A88" s="243"/>
      <c r="B88" s="243"/>
      <c r="C88" s="243" t="s">
        <v>30</v>
      </c>
      <c r="D88" s="243" t="s">
        <v>411</v>
      </c>
      <c r="E88" s="243" t="s">
        <v>171</v>
      </c>
      <c r="F88" s="243" t="s">
        <v>172</v>
      </c>
      <c r="G88" s="243" t="s">
        <v>265</v>
      </c>
      <c r="H88" s="243" t="s">
        <v>522</v>
      </c>
      <c r="I88" s="262">
        <v>11</v>
      </c>
      <c r="J88" s="262"/>
      <c r="K88" s="272" t="str">
        <f>CONCATENATE('SKALA CPL'!$D$2," ",'IMPLEMENTASI RUBIK'!F88)</f>
        <v>Sangat Mampu Memiliki pemahaman yang mendalam tentang solusi komputasi cerdas dengan sistem dan infrastruktur yang ada termasuk pertimbangan keamanan sistem informasi untuk mendukung layanan publik dan ekonomi digital</v>
      </c>
      <c r="L88" s="272" t="str">
        <f>CONCATENATE('SKALA CPL'!$D$3," ",'IMPLEMENTASI RUBIK'!F88)</f>
        <v>Mampu Memiliki pemahaman yang mendalam tentang solusi komputasi cerdas dengan sistem dan infrastruktur yang ada termasuk pertimbangan keamanan sistem informasi untuk mendukung layanan publik dan ekonomi digital</v>
      </c>
      <c r="M88" s="272" t="str">
        <f>CONCATENATE('SKALA CPL'!$D$4," ",'IMPLEMENTASI RUBIK'!F88)</f>
        <v>Cukup Mampu Memiliki pemahaman yang mendalam tentang solusi komputasi cerdas dengan sistem dan infrastruktur yang ada termasuk pertimbangan keamanan sistem informasi untuk mendukung layanan publik dan ekonomi digital</v>
      </c>
      <c r="N88" s="272" t="str">
        <f>CONCATENATE('SKALA CPL'!$D$5," ",'IMPLEMENTASI RUBIK'!F88)</f>
        <v>Kurang Mampu Memiliki pemahaman yang mendalam tentang solusi komputasi cerdas dengan sistem dan infrastruktur yang ada termasuk pertimbangan keamanan sistem informasi untuk mendukung layanan publik dan ekonomi digital</v>
      </c>
    </row>
    <row r="89" spans="1:14" ht="105" x14ac:dyDescent="0.25">
      <c r="A89" s="243"/>
      <c r="B89" s="243"/>
      <c r="C89" s="243"/>
      <c r="D89" s="243" t="e">
        <v>#N/A</v>
      </c>
      <c r="E89" s="243" t="s">
        <v>173</v>
      </c>
      <c r="F89" s="243" t="s">
        <v>174</v>
      </c>
      <c r="G89" s="243" t="s">
        <v>267</v>
      </c>
      <c r="H89" s="243" t="s">
        <v>523</v>
      </c>
      <c r="I89" s="262">
        <v>11</v>
      </c>
      <c r="J89" s="262"/>
      <c r="K89" s="272" t="str">
        <f>CONCATENATE('SKALA CPL'!$D$2," ",'IMPLEMENTASI RUBIK'!F89)</f>
        <v>Sangat Mampu Memiliki kemampuan menganalisis yang mendalam tentang solusi komputasi cerdas dengan sistem dan infrastruktur yang ada termasuk pertimbangan keamanan sistem informasi untuk mendukung layanan publik dan ekonomi digital</v>
      </c>
      <c r="L89" s="272" t="str">
        <f>CONCATENATE('SKALA CPL'!$D$3," ",'IMPLEMENTASI RUBIK'!F89)</f>
        <v>Mampu Memiliki kemampuan menganalisis yang mendalam tentang solusi komputasi cerdas dengan sistem dan infrastruktur yang ada termasuk pertimbangan keamanan sistem informasi untuk mendukung layanan publik dan ekonomi digital</v>
      </c>
      <c r="M89" s="272" t="str">
        <f>CONCATENATE('SKALA CPL'!$D$4," ",'IMPLEMENTASI RUBIK'!F89)</f>
        <v>Cukup Mampu Memiliki kemampuan menganalisis yang mendalam tentang solusi komputasi cerdas dengan sistem dan infrastruktur yang ada termasuk pertimbangan keamanan sistem informasi untuk mendukung layanan publik dan ekonomi digital</v>
      </c>
      <c r="N89" s="272" t="str">
        <f>CONCATENATE('SKALA CPL'!$D$5," ",'IMPLEMENTASI RUBIK'!F89)</f>
        <v>Kurang Mampu Memiliki kemampuan menganalisis yang mendalam tentang solusi komputasi cerdas dengan sistem dan infrastruktur yang ada termasuk pertimbangan keamanan sistem informasi untuk mendukung layanan publik dan ekonomi digital</v>
      </c>
    </row>
    <row r="90" spans="1:14" ht="105" x14ac:dyDescent="0.25">
      <c r="A90" s="243"/>
      <c r="B90" s="243"/>
      <c r="C90" s="243"/>
      <c r="D90" s="243" t="e">
        <v>#N/A</v>
      </c>
      <c r="E90" s="243" t="s">
        <v>175</v>
      </c>
      <c r="F90" s="243" t="s">
        <v>176</v>
      </c>
      <c r="G90" s="243" t="s">
        <v>269</v>
      </c>
      <c r="H90" s="243" t="s">
        <v>524</v>
      </c>
      <c r="I90" s="262">
        <v>11</v>
      </c>
      <c r="J90" s="262"/>
      <c r="K90" s="272" t="str">
        <f>CONCATENATE('SKALA CPL'!$D$2," ",'IMPLEMENTASI RUBIK'!F90)</f>
        <v>Sangat Mampu Memiliki kemampuan mengevaluasi yang mendalam tentang solusi komputasi cerdas dengan sistem dan infrastruktur yang ada termasuk pertimbangan keamanan sistem informasi untuk mendukung layanan publik dan ekonomi digital</v>
      </c>
      <c r="L90" s="272" t="str">
        <f>CONCATENATE('SKALA CPL'!$D$3," ",'IMPLEMENTASI RUBIK'!F90)</f>
        <v>Mampu Memiliki kemampuan mengevaluasi yang mendalam tentang solusi komputasi cerdas dengan sistem dan infrastruktur yang ada termasuk pertimbangan keamanan sistem informasi untuk mendukung layanan publik dan ekonomi digital</v>
      </c>
      <c r="M90" s="272" t="str">
        <f>CONCATENATE('SKALA CPL'!$D$4," ",'IMPLEMENTASI RUBIK'!F90)</f>
        <v>Cukup Mampu Memiliki kemampuan mengevaluasi yang mendalam tentang solusi komputasi cerdas dengan sistem dan infrastruktur yang ada termasuk pertimbangan keamanan sistem informasi untuk mendukung layanan publik dan ekonomi digital</v>
      </c>
      <c r="N90" s="272" t="str">
        <f>CONCATENATE('SKALA CPL'!$D$5," ",'IMPLEMENTASI RUBIK'!F90)</f>
        <v>Kurang Mampu Memiliki kemampuan mengevaluasi yang mendalam tentang solusi komputasi cerdas dengan sistem dan infrastruktur yang ada termasuk pertimbangan keamanan sistem informasi untuk mendukung layanan publik dan ekonomi digital</v>
      </c>
    </row>
    <row r="91" spans="1:14" ht="54" x14ac:dyDescent="0.25">
      <c r="A91" s="243"/>
      <c r="B91" s="243"/>
      <c r="C91" s="243" t="s">
        <v>43</v>
      </c>
      <c r="D91" s="243" t="s">
        <v>37</v>
      </c>
      <c r="E91" s="243" t="s">
        <v>196</v>
      </c>
      <c r="F91" s="243" t="s">
        <v>189</v>
      </c>
      <c r="G91" s="243" t="s">
        <v>289</v>
      </c>
      <c r="H91" s="243" t="s">
        <v>525</v>
      </c>
      <c r="I91" s="262">
        <v>12</v>
      </c>
      <c r="J91" s="262"/>
      <c r="K91" s="272" t="str">
        <f>CONCATENATE('SKALA CPL'!$D$2," ",'IMPLEMENTASI RUBIK'!F91)</f>
        <v>Sangat Mampu Mampu mengidentifikasi solusi_x0002_solusi algoritmik untuk masalah computing yang kompleks.</v>
      </c>
      <c r="L91" s="272" t="str">
        <f>CONCATENATE('SKALA CPL'!$D$3," ",'IMPLEMENTASI RUBIK'!F91)</f>
        <v>Mampu Mampu mengidentifikasi solusi_x0002_solusi algoritmik untuk masalah computing yang kompleks.</v>
      </c>
      <c r="M91" s="272" t="str">
        <f>CONCATENATE('SKALA CPL'!$D$4," ",'IMPLEMENTASI RUBIK'!F91)</f>
        <v>Cukup Mampu Mampu mengidentifikasi solusi_x0002_solusi algoritmik untuk masalah computing yang kompleks.</v>
      </c>
      <c r="N91" s="272" t="str">
        <f>CONCATENATE('SKALA CPL'!$D$5," ",'IMPLEMENTASI RUBIK'!F91)</f>
        <v>Kurang Mampu Mampu mengidentifikasi solusi_x0002_solusi algoritmik untuk masalah computing yang kompleks.</v>
      </c>
    </row>
    <row r="92" spans="1:14" ht="67.5" x14ac:dyDescent="0.25">
      <c r="A92" s="243"/>
      <c r="B92" s="243"/>
      <c r="C92" s="243"/>
      <c r="D92" s="243" t="e">
        <v>#N/A</v>
      </c>
      <c r="E92" s="243" t="s">
        <v>197</v>
      </c>
      <c r="F92" s="243" t="s">
        <v>190</v>
      </c>
      <c r="G92" s="243" t="s">
        <v>291</v>
      </c>
      <c r="H92" s="243" t="s">
        <v>526</v>
      </c>
      <c r="I92" s="262">
        <v>11</v>
      </c>
      <c r="J92" s="262"/>
      <c r="K92" s="272" t="str">
        <f>CONCATENATE('SKALA CPL'!$D$2," ",'IMPLEMENTASI RUBIK'!F92)</f>
        <v>Sangat Mampu Mampu meneliti literatur dalam menganalisis solusi-solusi algoritmik untuk masalah yang 
kompleks.</v>
      </c>
      <c r="L92" s="272" t="str">
        <f>CONCATENATE('SKALA CPL'!$D$3," ",'IMPLEMENTASI RUBIK'!F92)</f>
        <v>Mampu Mampu meneliti literatur dalam menganalisis solusi-solusi algoritmik untuk masalah yang 
kompleks.</v>
      </c>
      <c r="M92" s="272" t="str">
        <f>CONCATENATE('SKALA CPL'!$D$4," ",'IMPLEMENTASI RUBIK'!F92)</f>
        <v>Cukup Mampu Mampu meneliti literatur dalam menganalisis solusi-solusi algoritmik untuk masalah yang 
kompleks.</v>
      </c>
      <c r="N92" s="272" t="str">
        <f>CONCATENATE('SKALA CPL'!$D$5," ",'IMPLEMENTASI RUBIK'!F92)</f>
        <v>Kurang Mampu Mampu meneliti literatur dalam menganalisis solusi-solusi algoritmik untuk masalah yang 
kompleks.</v>
      </c>
    </row>
    <row r="93" spans="1:14" ht="54" x14ac:dyDescent="0.25">
      <c r="A93" s="243"/>
      <c r="B93" s="243"/>
      <c r="C93" s="243"/>
      <c r="D93" s="243" t="e">
        <v>#N/A</v>
      </c>
      <c r="E93" s="243" t="s">
        <v>198</v>
      </c>
      <c r="F93" s="243" t="s">
        <v>191</v>
      </c>
      <c r="G93" s="243" t="s">
        <v>293</v>
      </c>
      <c r="H93" s="243" t="s">
        <v>527</v>
      </c>
      <c r="I93" s="262">
        <v>11</v>
      </c>
      <c r="J93" s="262">
        <v>100</v>
      </c>
      <c r="K93" s="272" t="str">
        <f>CONCATENATE('SKALA CPL'!$D$2," ",'IMPLEMENTASI RUBIK'!F93)</f>
        <v>Sangat Mampu Mampu mengevaluasi dan memformulasi solusi-solusi algoritmik untuk masalah yang kompleks.</v>
      </c>
      <c r="L93" s="272" t="str">
        <f>CONCATENATE('SKALA CPL'!$D$3," ",'IMPLEMENTASI RUBIK'!F93)</f>
        <v>Mampu Mampu mengevaluasi dan memformulasi solusi-solusi algoritmik untuk masalah yang kompleks.</v>
      </c>
      <c r="M93" s="272" t="str">
        <f>CONCATENATE('SKALA CPL'!$D$4," ",'IMPLEMENTASI RUBIK'!F93)</f>
        <v>Cukup Mampu Mampu mengevaluasi dan memformulasi solusi-solusi algoritmik untuk masalah yang kompleks.</v>
      </c>
      <c r="N93" s="272" t="str">
        <f>CONCATENATE('SKALA CPL'!$D$5," ",'IMPLEMENTASI RUBIK'!F93)</f>
        <v>Kurang Mampu Mampu mengevaluasi dan memformulasi solusi-solusi algoritmik untuk masalah yang kompleks.</v>
      </c>
    </row>
    <row r="94" spans="1:14" ht="81" x14ac:dyDescent="0.25">
      <c r="A94" s="243" t="s">
        <v>124</v>
      </c>
      <c r="B94" s="243" t="s">
        <v>125</v>
      </c>
      <c r="C94" s="243" t="s">
        <v>35</v>
      </c>
      <c r="D94" s="243" t="s">
        <v>418</v>
      </c>
      <c r="E94" s="243" t="s">
        <v>183</v>
      </c>
      <c r="F94" s="243" t="s">
        <v>184</v>
      </c>
      <c r="G94" s="243" t="s">
        <v>258</v>
      </c>
      <c r="H94" s="243" t="s">
        <v>528</v>
      </c>
      <c r="I94" s="262">
        <v>10</v>
      </c>
      <c r="J94" s="262"/>
      <c r="K94" s="272" t="str">
        <f>CONCATENATE('SKALA CPL'!$D$2," ",'IMPLEMENTASI RUBIK'!F94)</f>
        <v>Sangat Mampu Mampu mengevaluasi solusi komputasi cerdas dengan menggunakan teknologi terkini dalam mendukung pengembangan kota cerdas dan sistem pemerintahan berbasis elektronik</v>
      </c>
      <c r="L94" s="272" t="str">
        <f>CONCATENATE('SKALA CPL'!$D$3," ",'IMPLEMENTASI RUBIK'!F94)</f>
        <v>Mampu Mampu mengevaluasi solusi komputasi cerdas dengan menggunakan teknologi terkini dalam mendukung pengembangan kota cerdas dan sistem pemerintahan berbasis elektronik</v>
      </c>
      <c r="M94" s="272" t="str">
        <f>CONCATENATE('SKALA CPL'!$D$4," ",'IMPLEMENTASI RUBIK'!F94)</f>
        <v>Cukup Mampu Mampu mengevaluasi solusi komputasi cerdas dengan menggunakan teknologi terkini dalam mendukung pengembangan kota cerdas dan sistem pemerintahan berbasis elektronik</v>
      </c>
      <c r="N94" s="272" t="str">
        <f>CONCATENATE('SKALA CPL'!$D$5," ",'IMPLEMENTASI RUBIK'!F94)</f>
        <v>Kurang Mampu Mampu mengevaluasi solusi komputasi cerdas dengan menggunakan teknologi terkini dalam mendukung pengembangan kota cerdas dan sistem pemerintahan berbasis elektronik</v>
      </c>
    </row>
    <row r="95" spans="1:14" ht="81" x14ac:dyDescent="0.25">
      <c r="A95" s="243"/>
      <c r="B95" s="243"/>
      <c r="C95" s="243"/>
      <c r="D95" s="243" t="e">
        <v>#N/A</v>
      </c>
      <c r="E95" s="243" t="s">
        <v>185</v>
      </c>
      <c r="F95" s="243" t="s">
        <v>186</v>
      </c>
      <c r="G95" s="243" t="s">
        <v>259</v>
      </c>
      <c r="H95" s="243" t="s">
        <v>529</v>
      </c>
      <c r="I95" s="262">
        <v>10</v>
      </c>
      <c r="J95" s="262"/>
      <c r="K95" s="272" t="str">
        <f>CONCATENATE('SKALA CPL'!$D$2," ",'IMPLEMENTASI RUBIK'!F95)</f>
        <v>Sangat Mampu Mampu mengembangkan solusi komputasi cerdas dengan menggunakan teknologi terkini dalam mendukung pengembangan kota cerdas dan sistem pemerintahan berbasis elektronik</v>
      </c>
      <c r="L95" s="272" t="str">
        <f>CONCATENATE('SKALA CPL'!$D$3," ",'IMPLEMENTASI RUBIK'!F95)</f>
        <v>Mampu Mampu mengembangkan solusi komputasi cerdas dengan menggunakan teknologi terkini dalam mendukung pengembangan kota cerdas dan sistem pemerintahan berbasis elektronik</v>
      </c>
      <c r="M95" s="272" t="str">
        <f>CONCATENATE('SKALA CPL'!$D$4," ",'IMPLEMENTASI RUBIK'!F95)</f>
        <v>Cukup Mampu Mampu mengembangkan solusi komputasi cerdas dengan menggunakan teknologi terkini dalam mendukung pengembangan kota cerdas dan sistem pemerintahan berbasis elektronik</v>
      </c>
      <c r="N95" s="272" t="str">
        <f>CONCATENATE('SKALA CPL'!$D$5," ",'IMPLEMENTASI RUBIK'!F95)</f>
        <v>Kurang Mampu Mampu mengembangkan solusi komputasi cerdas dengan menggunakan teknologi terkini dalam mendukung pengembangan kota cerdas dan sistem pemerintahan berbasis elektronik</v>
      </c>
    </row>
    <row r="96" spans="1:14" ht="90" x14ac:dyDescent="0.25">
      <c r="A96" s="243"/>
      <c r="B96" s="243"/>
      <c r="C96" s="243"/>
      <c r="D96" s="243" t="e">
        <v>#N/A</v>
      </c>
      <c r="E96" s="243" t="s">
        <v>187</v>
      </c>
      <c r="F96" s="243" t="s">
        <v>188</v>
      </c>
      <c r="G96" s="243" t="s">
        <v>260</v>
      </c>
      <c r="H96" s="243" t="s">
        <v>530</v>
      </c>
      <c r="I96" s="262">
        <v>10</v>
      </c>
      <c r="J96" s="262"/>
      <c r="K96" s="272" t="str">
        <f>CONCATENATE('SKALA CPL'!$D$2," ",'IMPLEMENTASI RUBIK'!F96)</f>
        <v>Sangat Mampu Mampu mengimplementasikan solusi komputasi cerdas dengan menggunakan teknologi terkini dalam mendukung pengembangan kota cerdas dan sistem pemerintahan berbasis elektronik</v>
      </c>
      <c r="L96" s="272" t="str">
        <f>CONCATENATE('SKALA CPL'!$D$3," ",'IMPLEMENTASI RUBIK'!F96)</f>
        <v>Mampu Mampu mengimplementasikan solusi komputasi cerdas dengan menggunakan teknologi terkini dalam mendukung pengembangan kota cerdas dan sistem pemerintahan berbasis elektronik</v>
      </c>
      <c r="M96" s="272" t="str">
        <f>CONCATENATE('SKALA CPL'!$D$4," ",'IMPLEMENTASI RUBIK'!F96)</f>
        <v>Cukup Mampu Mampu mengimplementasikan solusi komputasi cerdas dengan menggunakan teknologi terkini dalam mendukung pengembangan kota cerdas dan sistem pemerintahan berbasis elektronik</v>
      </c>
      <c r="N96" s="272" t="str">
        <f>CONCATENATE('SKALA CPL'!$D$5," ",'IMPLEMENTASI RUBIK'!F96)</f>
        <v>Kurang Mampu Mampu mengimplementasikan solusi komputasi cerdas dengan menggunakan teknologi terkini dalam mendukung pengembangan kota cerdas dan sistem pemerintahan berbasis elektronik</v>
      </c>
    </row>
    <row r="97" spans="1:14" ht="54" x14ac:dyDescent="0.25">
      <c r="A97" s="243"/>
      <c r="B97" s="243"/>
      <c r="C97" s="243" t="s">
        <v>43</v>
      </c>
      <c r="D97" s="243" t="s">
        <v>37</v>
      </c>
      <c r="E97" s="243" t="s">
        <v>196</v>
      </c>
      <c r="F97" s="243" t="s">
        <v>189</v>
      </c>
      <c r="G97" s="243" t="s">
        <v>289</v>
      </c>
      <c r="H97" s="243" t="s">
        <v>531</v>
      </c>
      <c r="I97" s="262">
        <v>10</v>
      </c>
      <c r="J97" s="262"/>
      <c r="K97" s="272" t="str">
        <f>CONCATENATE('SKALA CPL'!$D$2," ",'IMPLEMENTASI RUBIK'!F97)</f>
        <v>Sangat Mampu Mampu mengidentifikasi solusi_x0002_solusi algoritmik untuk masalah computing yang kompleks.</v>
      </c>
      <c r="L97" s="272" t="str">
        <f>CONCATENATE('SKALA CPL'!$D$3," ",'IMPLEMENTASI RUBIK'!F97)</f>
        <v>Mampu Mampu mengidentifikasi solusi_x0002_solusi algoritmik untuk masalah computing yang kompleks.</v>
      </c>
      <c r="M97" s="272" t="str">
        <f>CONCATENATE('SKALA CPL'!$D$4," ",'IMPLEMENTASI RUBIK'!F97)</f>
        <v>Cukup Mampu Mampu mengidentifikasi solusi_x0002_solusi algoritmik untuk masalah computing yang kompleks.</v>
      </c>
      <c r="N97" s="272" t="str">
        <f>CONCATENATE('SKALA CPL'!$D$5," ",'IMPLEMENTASI RUBIK'!F97)</f>
        <v>Kurang Mampu Mampu mengidentifikasi solusi_x0002_solusi algoritmik untuk masalah computing yang kompleks.</v>
      </c>
    </row>
    <row r="98" spans="1:14" ht="67.5" x14ac:dyDescent="0.25">
      <c r="A98" s="243"/>
      <c r="B98" s="243"/>
      <c r="C98" s="243"/>
      <c r="D98" s="243" t="e">
        <v>#N/A</v>
      </c>
      <c r="E98" s="243" t="s">
        <v>197</v>
      </c>
      <c r="F98" s="243" t="s">
        <v>190</v>
      </c>
      <c r="G98" s="243" t="s">
        <v>291</v>
      </c>
      <c r="H98" s="243" t="s">
        <v>532</v>
      </c>
      <c r="I98" s="262">
        <v>10</v>
      </c>
      <c r="J98" s="262"/>
      <c r="K98" s="272" t="str">
        <f>CONCATENATE('SKALA CPL'!$D$2," ",'IMPLEMENTASI RUBIK'!F98)</f>
        <v>Sangat Mampu Mampu meneliti literatur dalam menganalisis solusi-solusi algoritmik untuk masalah yang 
kompleks.</v>
      </c>
      <c r="L98" s="272" t="str">
        <f>CONCATENATE('SKALA CPL'!$D$3," ",'IMPLEMENTASI RUBIK'!F98)</f>
        <v>Mampu Mampu meneliti literatur dalam menganalisis solusi-solusi algoritmik untuk masalah yang 
kompleks.</v>
      </c>
      <c r="M98" s="272" t="str">
        <f>CONCATENATE('SKALA CPL'!$D$4," ",'IMPLEMENTASI RUBIK'!F98)</f>
        <v>Cukup Mampu Mampu meneliti literatur dalam menganalisis solusi-solusi algoritmik untuk masalah yang 
kompleks.</v>
      </c>
      <c r="N98" s="272" t="str">
        <f>CONCATENATE('SKALA CPL'!$D$5," ",'IMPLEMENTASI RUBIK'!F98)</f>
        <v>Kurang Mampu Mampu meneliti literatur dalam menganalisis solusi-solusi algoritmik untuk masalah yang 
kompleks.</v>
      </c>
    </row>
    <row r="99" spans="1:14" ht="54" x14ac:dyDescent="0.25">
      <c r="A99" s="243"/>
      <c r="B99" s="243"/>
      <c r="C99" s="243"/>
      <c r="D99" s="243" t="e">
        <v>#N/A</v>
      </c>
      <c r="E99" s="243" t="s">
        <v>198</v>
      </c>
      <c r="F99" s="243" t="s">
        <v>191</v>
      </c>
      <c r="G99" s="243" t="s">
        <v>293</v>
      </c>
      <c r="H99" s="243" t="s">
        <v>533</v>
      </c>
      <c r="I99" s="262">
        <v>10</v>
      </c>
      <c r="J99" s="262"/>
      <c r="K99" s="272" t="str">
        <f>CONCATENATE('SKALA CPL'!$D$2," ",'IMPLEMENTASI RUBIK'!F99)</f>
        <v>Sangat Mampu Mampu mengevaluasi dan memformulasi solusi-solusi algoritmik untuk masalah yang kompleks.</v>
      </c>
      <c r="L99" s="272" t="str">
        <f>CONCATENATE('SKALA CPL'!$D$3," ",'IMPLEMENTASI RUBIK'!F99)</f>
        <v>Mampu Mampu mengevaluasi dan memformulasi solusi-solusi algoritmik untuk masalah yang kompleks.</v>
      </c>
      <c r="M99" s="272" t="str">
        <f>CONCATENATE('SKALA CPL'!$D$4," ",'IMPLEMENTASI RUBIK'!F99)</f>
        <v>Cukup Mampu Mampu mengevaluasi dan memformulasi solusi-solusi algoritmik untuk masalah yang kompleks.</v>
      </c>
      <c r="N99" s="272" t="str">
        <f>CONCATENATE('SKALA CPL'!$D$5," ",'IMPLEMENTASI RUBIK'!F99)</f>
        <v>Kurang Mampu Mampu mengevaluasi dan memformulasi solusi-solusi algoritmik untuk masalah yang kompleks.</v>
      </c>
    </row>
    <row r="100" spans="1:14" ht="67.5" x14ac:dyDescent="0.25">
      <c r="A100" s="243"/>
      <c r="B100" s="243"/>
      <c r="C100" s="243" t="s">
        <v>44</v>
      </c>
      <c r="D100" s="243" t="s">
        <v>39</v>
      </c>
      <c r="E100" s="243" t="s">
        <v>199</v>
      </c>
      <c r="F100" s="243" t="s">
        <v>192</v>
      </c>
      <c r="G100" s="243" t="s">
        <v>240</v>
      </c>
      <c r="H100" s="243" t="s">
        <v>534</v>
      </c>
      <c r="I100" s="262">
        <v>10</v>
      </c>
      <c r="J100" s="262"/>
      <c r="K100" s="272" t="str">
        <f>CONCATENATE('SKALA CPL'!$D$2," ",'IMPLEMENTASI RUBIK'!F100)</f>
        <v>Sangat Mampu Mampu menerapkan prinsip_x0002_prinsip matematika, computing, dan disiplin ilmu yang relevan untuk mendukung analisis data.</v>
      </c>
      <c r="L100" s="272" t="str">
        <f>CONCATENATE('SKALA CPL'!$D$3," ",'IMPLEMENTASI RUBIK'!F100)</f>
        <v>Mampu Mampu menerapkan prinsip_x0002_prinsip matematika, computing, dan disiplin ilmu yang relevan untuk mendukung analisis data.</v>
      </c>
      <c r="M100" s="272" t="str">
        <f>CONCATENATE('SKALA CPL'!$D$4," ",'IMPLEMENTASI RUBIK'!F100)</f>
        <v>Cukup Mampu Mampu menerapkan prinsip_x0002_prinsip matematika, computing, dan disiplin ilmu yang relevan untuk mendukung analisis data.</v>
      </c>
      <c r="N100" s="272" t="str">
        <f>CONCATENATE('SKALA CPL'!$D$5," ",'IMPLEMENTASI RUBIK'!F100)</f>
        <v>Kurang Mampu Mampu menerapkan prinsip_x0002_prinsip matematika, computing, dan disiplin ilmu yang relevan untuk mendukung analisis data.</v>
      </c>
    </row>
    <row r="101" spans="1:14" ht="40.5" x14ac:dyDescent="0.25">
      <c r="A101" s="243"/>
      <c r="B101" s="243"/>
      <c r="C101" s="243"/>
      <c r="D101" s="243" t="e">
        <v>#N/A</v>
      </c>
      <c r="E101" s="243" t="s">
        <v>200</v>
      </c>
      <c r="F101" s="243" t="s">
        <v>193</v>
      </c>
      <c r="G101" s="243" t="s">
        <v>242</v>
      </c>
      <c r="H101" s="243" t="s">
        <v>535</v>
      </c>
      <c r="I101" s="262">
        <v>10</v>
      </c>
      <c r="J101" s="262"/>
      <c r="K101" s="272" t="str">
        <f>CONCATENATE('SKALA CPL'!$D$2," ",'IMPLEMENTASI RUBIK'!F101)</f>
        <v>Sangat Mampu Mampu merumuskan solusi bagi bidang computing yang kompleks</v>
      </c>
      <c r="L101" s="272" t="str">
        <f>CONCATENATE('SKALA CPL'!$D$3," ",'IMPLEMENTASI RUBIK'!F101)</f>
        <v>Mampu Mampu merumuskan solusi bagi bidang computing yang kompleks</v>
      </c>
      <c r="M101" s="272" t="str">
        <f>CONCATENATE('SKALA CPL'!$D$4," ",'IMPLEMENTASI RUBIK'!F101)</f>
        <v>Cukup Mampu Mampu merumuskan solusi bagi bidang computing yang kompleks</v>
      </c>
      <c r="N101" s="272" t="str">
        <f>CONCATENATE('SKALA CPL'!$D$5," ",'IMPLEMENTASI RUBIK'!F101)</f>
        <v>Kurang Mampu Mampu merumuskan solusi bagi bidang computing yang kompleks</v>
      </c>
    </row>
    <row r="102" spans="1:14" ht="40.5" x14ac:dyDescent="0.25">
      <c r="A102" s="243"/>
      <c r="B102" s="243"/>
      <c r="C102" s="243" t="s">
        <v>45</v>
      </c>
      <c r="D102" s="243" t="s">
        <v>40</v>
      </c>
      <c r="E102" s="243" t="s">
        <v>201</v>
      </c>
      <c r="F102" s="243" t="s">
        <v>194</v>
      </c>
      <c r="G102" s="243" t="s">
        <v>256</v>
      </c>
      <c r="H102" s="243" t="s">
        <v>536</v>
      </c>
      <c r="I102" s="262">
        <v>10</v>
      </c>
      <c r="J102" s="262"/>
      <c r="K102" s="272" t="str">
        <f>CONCATENATE('SKALA CPL'!$D$2," ",'IMPLEMENTASI RUBIK'!F102)</f>
        <v>Sangat Mampu Mampu merancang sistem yang kompleks dalam bidang computing.</v>
      </c>
      <c r="L102" s="272" t="str">
        <f>CONCATENATE('SKALA CPL'!$D$3," ",'IMPLEMENTASI RUBIK'!F102)</f>
        <v>Mampu Mampu merancang sistem yang kompleks dalam bidang computing.</v>
      </c>
      <c r="M102" s="272" t="str">
        <f>CONCATENATE('SKALA CPL'!$D$4," ",'IMPLEMENTASI RUBIK'!F102)</f>
        <v>Cukup Mampu Mampu merancang sistem yang kompleks dalam bidang computing.</v>
      </c>
      <c r="N102" s="272" t="str">
        <f>CONCATENATE('SKALA CPL'!$D$5," ",'IMPLEMENTASI RUBIK'!F102)</f>
        <v>Kurang Mampu Mampu merancang sistem yang kompleks dalam bidang computing.</v>
      </c>
    </row>
    <row r="103" spans="1:14" ht="40.5" x14ac:dyDescent="0.25">
      <c r="A103" s="243"/>
      <c r="B103" s="243"/>
      <c r="C103" s="243"/>
      <c r="D103" s="243" t="e">
        <v>#N/A</v>
      </c>
      <c r="E103" s="243" t="s">
        <v>202</v>
      </c>
      <c r="F103" s="243" t="s">
        <v>195</v>
      </c>
      <c r="G103" s="243" t="s">
        <v>257</v>
      </c>
      <c r="H103" s="243" t="s">
        <v>537</v>
      </c>
      <c r="I103" s="262">
        <v>10</v>
      </c>
      <c r="J103" s="262">
        <v>100</v>
      </c>
      <c r="K103" s="272" t="str">
        <f>CONCATENATE('SKALA CPL'!$D$2," ",'IMPLEMENTASI RUBIK'!F103)</f>
        <v>Sangat Mampu Mampu membangun solusi berbasis computing yang efektif dan efisien</v>
      </c>
      <c r="L103" s="272" t="str">
        <f>CONCATENATE('SKALA CPL'!$D$3," ",'IMPLEMENTASI RUBIK'!F103)</f>
        <v>Mampu Mampu membangun solusi berbasis computing yang efektif dan efisien</v>
      </c>
      <c r="M103" s="272" t="str">
        <f>CONCATENATE('SKALA CPL'!$D$4," ",'IMPLEMENTASI RUBIK'!F103)</f>
        <v>Cukup Mampu Mampu membangun solusi berbasis computing yang efektif dan efisien</v>
      </c>
      <c r="N103" s="272" t="str">
        <f>CONCATENATE('SKALA CPL'!$D$5," ",'IMPLEMENTASI RUBIK'!F103)</f>
        <v>Kurang Mampu Mampu membangun solusi berbasis computing yang efektif dan efisien</v>
      </c>
    </row>
    <row r="104" spans="1:14" ht="67.5" x14ac:dyDescent="0.25">
      <c r="A104" s="243" t="s">
        <v>126</v>
      </c>
      <c r="B104" s="243" t="s">
        <v>127</v>
      </c>
      <c r="C104" s="243" t="s">
        <v>27</v>
      </c>
      <c r="D104" s="243" t="s">
        <v>436</v>
      </c>
      <c r="E104" s="243" t="s">
        <v>165</v>
      </c>
      <c r="F104" s="243" t="s">
        <v>166</v>
      </c>
      <c r="G104" s="243" t="s">
        <v>234</v>
      </c>
      <c r="H104" s="243" t="s">
        <v>538</v>
      </c>
      <c r="I104" s="262">
        <v>13</v>
      </c>
      <c r="J104" s="262"/>
      <c r="K104" s="272" t="str">
        <f>CONCATENATE('SKALA CPL'!$D$2," ",'IMPLEMENTASI RUBIK'!F104)</f>
        <v>Sangat Mampu Memiliki kemampuan menganalisa berbasis kinerja solusi komputasi cerdas untuk mendukung layanan publik dan ekonomi digital</v>
      </c>
      <c r="L104" s="272" t="str">
        <f>CONCATENATE('SKALA CPL'!$D$3," ",'IMPLEMENTASI RUBIK'!F104)</f>
        <v>Mampu Memiliki kemampuan menganalisa berbasis kinerja solusi komputasi cerdas untuk mendukung layanan publik dan ekonomi digital</v>
      </c>
      <c r="M104" s="272" t="str">
        <f>CONCATENATE('SKALA CPL'!$D$4," ",'IMPLEMENTASI RUBIK'!F104)</f>
        <v>Cukup Mampu Memiliki kemampuan menganalisa berbasis kinerja solusi komputasi cerdas untuk mendukung layanan publik dan ekonomi digital</v>
      </c>
      <c r="N104" s="272" t="str">
        <f>CONCATENATE('SKALA CPL'!$D$5," ",'IMPLEMENTASI RUBIK'!F104)</f>
        <v>Kurang Mampu Memiliki kemampuan menganalisa berbasis kinerja solusi komputasi cerdas untuk mendukung layanan publik dan ekonomi digital</v>
      </c>
    </row>
    <row r="105" spans="1:14" ht="67.5" x14ac:dyDescent="0.25">
      <c r="A105" s="243"/>
      <c r="B105" s="243"/>
      <c r="C105" s="243"/>
      <c r="D105" s="243" t="e">
        <v>#N/A</v>
      </c>
      <c r="E105" s="243" t="s">
        <v>167</v>
      </c>
      <c r="F105" s="243" t="s">
        <v>168</v>
      </c>
      <c r="G105" s="243" t="s">
        <v>236</v>
      </c>
      <c r="H105" s="243" t="s">
        <v>539</v>
      </c>
      <c r="I105" s="262">
        <v>13</v>
      </c>
      <c r="J105" s="262"/>
      <c r="K105" s="272" t="str">
        <f>CONCATENATE('SKALA CPL'!$D$2," ",'IMPLEMENTASI RUBIK'!F105)</f>
        <v>Sangat Mampu Memiliki kemampuan mengevaluasi berbasis kinerja solusi komputasi cerdas untuk mendukung layanan publik dan ekonomi digital</v>
      </c>
      <c r="L105" s="272" t="str">
        <f>CONCATENATE('SKALA CPL'!$D$3," ",'IMPLEMENTASI RUBIK'!F105)</f>
        <v>Mampu Memiliki kemampuan mengevaluasi berbasis kinerja solusi komputasi cerdas untuk mendukung layanan publik dan ekonomi digital</v>
      </c>
      <c r="M105" s="272" t="str">
        <f>CONCATENATE('SKALA CPL'!$D$4," ",'IMPLEMENTASI RUBIK'!F105)</f>
        <v>Cukup Mampu Memiliki kemampuan mengevaluasi berbasis kinerja solusi komputasi cerdas untuk mendukung layanan publik dan ekonomi digital</v>
      </c>
      <c r="N105" s="272" t="str">
        <f>CONCATENATE('SKALA CPL'!$D$5," ",'IMPLEMENTASI RUBIK'!F105)</f>
        <v>Kurang Mampu Memiliki kemampuan mengevaluasi berbasis kinerja solusi komputasi cerdas untuk mendukung layanan publik dan ekonomi digital</v>
      </c>
    </row>
    <row r="106" spans="1:14" ht="67.5" x14ac:dyDescent="0.25">
      <c r="A106" s="243"/>
      <c r="B106" s="243"/>
      <c r="C106" s="243"/>
      <c r="D106" s="243" t="e">
        <v>#N/A</v>
      </c>
      <c r="E106" s="243" t="s">
        <v>169</v>
      </c>
      <c r="F106" s="243" t="s">
        <v>170</v>
      </c>
      <c r="G106" s="243" t="s">
        <v>238</v>
      </c>
      <c r="H106" s="243" t="s">
        <v>540</v>
      </c>
      <c r="I106" s="262">
        <v>13</v>
      </c>
      <c r="J106" s="262"/>
      <c r="K106" s="272" t="str">
        <f>CONCATENATE('SKALA CPL'!$D$2," ",'IMPLEMENTASI RUBIK'!F106)</f>
        <v>Sangat Mampu Memiliki kemampuan membuat keputusan berbasis kinerja solusi komputasi cerdas untuk mendukung layanan publik dan ekonomi digital</v>
      </c>
      <c r="L106" s="272" t="str">
        <f>CONCATENATE('SKALA CPL'!$D$3," ",'IMPLEMENTASI RUBIK'!F106)</f>
        <v>Mampu Memiliki kemampuan membuat keputusan berbasis kinerja solusi komputasi cerdas untuk mendukung layanan publik dan ekonomi digital</v>
      </c>
      <c r="M106" s="272" t="str">
        <f>CONCATENATE('SKALA CPL'!$D$4," ",'IMPLEMENTASI RUBIK'!F106)</f>
        <v>Cukup Mampu Memiliki kemampuan membuat keputusan berbasis kinerja solusi komputasi cerdas untuk mendukung layanan publik dan ekonomi digital</v>
      </c>
      <c r="N106" s="272" t="str">
        <f>CONCATENATE('SKALA CPL'!$D$5," ",'IMPLEMENTASI RUBIK'!F106)</f>
        <v>Kurang Mampu Memiliki kemampuan membuat keputusan berbasis kinerja solusi komputasi cerdas untuk mendukung layanan publik dan ekonomi digital</v>
      </c>
    </row>
    <row r="107" spans="1:14" ht="94.5" x14ac:dyDescent="0.25">
      <c r="A107" s="243"/>
      <c r="B107" s="243"/>
      <c r="C107" s="243" t="s">
        <v>30</v>
      </c>
      <c r="D107" s="243" t="s">
        <v>411</v>
      </c>
      <c r="E107" s="243" t="s">
        <v>171</v>
      </c>
      <c r="F107" s="243" t="s">
        <v>172</v>
      </c>
      <c r="G107" s="243" t="s">
        <v>265</v>
      </c>
      <c r="H107" s="243" t="s">
        <v>541</v>
      </c>
      <c r="I107" s="262">
        <v>13</v>
      </c>
      <c r="J107" s="262"/>
      <c r="K107" s="272" t="str">
        <f>CONCATENATE('SKALA CPL'!$D$2," ",'IMPLEMENTASI RUBIK'!F107)</f>
        <v>Sangat Mampu Memiliki pemahaman yang mendalam tentang solusi komputasi cerdas dengan sistem dan infrastruktur yang ada termasuk pertimbangan keamanan sistem informasi untuk mendukung layanan publik dan ekonomi digital</v>
      </c>
      <c r="L107" s="272" t="str">
        <f>CONCATENATE('SKALA CPL'!$D$3," ",'IMPLEMENTASI RUBIK'!F107)</f>
        <v>Mampu Memiliki pemahaman yang mendalam tentang solusi komputasi cerdas dengan sistem dan infrastruktur yang ada termasuk pertimbangan keamanan sistem informasi untuk mendukung layanan publik dan ekonomi digital</v>
      </c>
      <c r="M107" s="272" t="str">
        <f>CONCATENATE('SKALA CPL'!$D$4," ",'IMPLEMENTASI RUBIK'!F107)</f>
        <v>Cukup Mampu Memiliki pemahaman yang mendalam tentang solusi komputasi cerdas dengan sistem dan infrastruktur yang ada termasuk pertimbangan keamanan sistem informasi untuk mendukung layanan publik dan ekonomi digital</v>
      </c>
      <c r="N107" s="272" t="str">
        <f>CONCATENATE('SKALA CPL'!$D$5," ",'IMPLEMENTASI RUBIK'!F107)</f>
        <v>Kurang Mampu Memiliki pemahaman yang mendalam tentang solusi komputasi cerdas dengan sistem dan infrastruktur yang ada termasuk pertimbangan keamanan sistem informasi untuk mendukung layanan publik dan ekonomi digital</v>
      </c>
    </row>
    <row r="108" spans="1:14" ht="105" x14ac:dyDescent="0.25">
      <c r="A108" s="243"/>
      <c r="B108" s="243"/>
      <c r="C108" s="243"/>
      <c r="D108" s="243" t="e">
        <v>#N/A</v>
      </c>
      <c r="E108" s="243" t="s">
        <v>173</v>
      </c>
      <c r="F108" s="243" t="s">
        <v>174</v>
      </c>
      <c r="G108" s="243" t="s">
        <v>267</v>
      </c>
      <c r="H108" s="243" t="s">
        <v>542</v>
      </c>
      <c r="I108" s="262">
        <v>13</v>
      </c>
      <c r="J108" s="262"/>
      <c r="K108" s="272" t="str">
        <f>CONCATENATE('SKALA CPL'!$D$2," ",'IMPLEMENTASI RUBIK'!F108)</f>
        <v>Sangat Mampu Memiliki kemampuan menganalisis yang mendalam tentang solusi komputasi cerdas dengan sistem dan infrastruktur yang ada termasuk pertimbangan keamanan sistem informasi untuk mendukung layanan publik dan ekonomi digital</v>
      </c>
      <c r="L108" s="272" t="str">
        <f>CONCATENATE('SKALA CPL'!$D$3," ",'IMPLEMENTASI RUBIK'!F108)</f>
        <v>Mampu Memiliki kemampuan menganalisis yang mendalam tentang solusi komputasi cerdas dengan sistem dan infrastruktur yang ada termasuk pertimbangan keamanan sistem informasi untuk mendukung layanan publik dan ekonomi digital</v>
      </c>
      <c r="M108" s="272" t="str">
        <f>CONCATENATE('SKALA CPL'!$D$4," ",'IMPLEMENTASI RUBIK'!F108)</f>
        <v>Cukup Mampu Memiliki kemampuan menganalisis yang mendalam tentang solusi komputasi cerdas dengan sistem dan infrastruktur yang ada termasuk pertimbangan keamanan sistem informasi untuk mendukung layanan publik dan ekonomi digital</v>
      </c>
      <c r="N108" s="272" t="str">
        <f>CONCATENATE('SKALA CPL'!$D$5," ",'IMPLEMENTASI RUBIK'!F108)</f>
        <v>Kurang Mampu Memiliki kemampuan menganalisis yang mendalam tentang solusi komputasi cerdas dengan sistem dan infrastruktur yang ada termasuk pertimbangan keamanan sistem informasi untuk mendukung layanan publik dan ekonomi digital</v>
      </c>
    </row>
    <row r="109" spans="1:14" ht="105" x14ac:dyDescent="0.25">
      <c r="A109" s="243"/>
      <c r="B109" s="243"/>
      <c r="C109" s="243"/>
      <c r="D109" s="243" t="e">
        <v>#N/A</v>
      </c>
      <c r="E109" s="243" t="s">
        <v>175</v>
      </c>
      <c r="F109" s="243" t="s">
        <v>176</v>
      </c>
      <c r="G109" s="243" t="s">
        <v>269</v>
      </c>
      <c r="H109" s="243" t="s">
        <v>543</v>
      </c>
      <c r="I109" s="262">
        <v>13</v>
      </c>
      <c r="J109" s="262"/>
      <c r="K109" s="272" t="str">
        <f>CONCATENATE('SKALA CPL'!$D$2," ",'IMPLEMENTASI RUBIK'!F109)</f>
        <v>Sangat Mampu Memiliki kemampuan mengevaluasi yang mendalam tentang solusi komputasi cerdas dengan sistem dan infrastruktur yang ada termasuk pertimbangan keamanan sistem informasi untuk mendukung layanan publik dan ekonomi digital</v>
      </c>
      <c r="L109" s="272" t="str">
        <f>CONCATENATE('SKALA CPL'!$D$3," ",'IMPLEMENTASI RUBIK'!F109)</f>
        <v>Mampu Memiliki kemampuan mengevaluasi yang mendalam tentang solusi komputasi cerdas dengan sistem dan infrastruktur yang ada termasuk pertimbangan keamanan sistem informasi untuk mendukung layanan publik dan ekonomi digital</v>
      </c>
      <c r="M109" s="272" t="str">
        <f>CONCATENATE('SKALA CPL'!$D$4," ",'IMPLEMENTASI RUBIK'!F109)</f>
        <v>Cukup Mampu Memiliki kemampuan mengevaluasi yang mendalam tentang solusi komputasi cerdas dengan sistem dan infrastruktur yang ada termasuk pertimbangan keamanan sistem informasi untuk mendukung layanan publik dan ekonomi digital</v>
      </c>
      <c r="N109" s="272" t="str">
        <f>CONCATENATE('SKALA CPL'!$D$5," ",'IMPLEMENTASI RUBIK'!F109)</f>
        <v>Kurang Mampu Memiliki kemampuan mengevaluasi yang mendalam tentang solusi komputasi cerdas dengan sistem dan infrastruktur yang ada termasuk pertimbangan keamanan sistem informasi untuk mendukung layanan publik dan ekonomi digital</v>
      </c>
    </row>
    <row r="110" spans="1:14" ht="54" x14ac:dyDescent="0.25">
      <c r="A110" s="243"/>
      <c r="B110" s="243"/>
      <c r="C110" s="243" t="s">
        <v>43</v>
      </c>
      <c r="D110" s="243" t="s">
        <v>37</v>
      </c>
      <c r="E110" s="243" t="s">
        <v>196</v>
      </c>
      <c r="F110" s="243" t="s">
        <v>189</v>
      </c>
      <c r="G110" s="243" t="s">
        <v>289</v>
      </c>
      <c r="H110" s="243" t="s">
        <v>544</v>
      </c>
      <c r="I110" s="262">
        <v>7</v>
      </c>
      <c r="J110" s="262"/>
      <c r="K110" s="272" t="str">
        <f>CONCATENATE('SKALA CPL'!$D$2," ",'IMPLEMENTASI RUBIK'!F110)</f>
        <v>Sangat Mampu Mampu mengidentifikasi solusi_x0002_solusi algoritmik untuk masalah computing yang kompleks.</v>
      </c>
      <c r="L110" s="272" t="str">
        <f>CONCATENATE('SKALA CPL'!$D$3," ",'IMPLEMENTASI RUBIK'!F110)</f>
        <v>Mampu Mampu mengidentifikasi solusi_x0002_solusi algoritmik untuk masalah computing yang kompleks.</v>
      </c>
      <c r="M110" s="272" t="str">
        <f>CONCATENATE('SKALA CPL'!$D$4," ",'IMPLEMENTASI RUBIK'!F110)</f>
        <v>Cukup Mampu Mampu mengidentifikasi solusi_x0002_solusi algoritmik untuk masalah computing yang kompleks.</v>
      </c>
      <c r="N110" s="272" t="str">
        <f>CONCATENATE('SKALA CPL'!$D$5," ",'IMPLEMENTASI RUBIK'!F110)</f>
        <v>Kurang Mampu Mampu mengidentifikasi solusi_x0002_solusi algoritmik untuk masalah computing yang kompleks.</v>
      </c>
    </row>
    <row r="111" spans="1:14" ht="67.5" x14ac:dyDescent="0.25">
      <c r="A111" s="243"/>
      <c r="B111" s="243"/>
      <c r="C111" s="243"/>
      <c r="D111" s="243" t="e">
        <v>#N/A</v>
      </c>
      <c r="E111" s="243" t="s">
        <v>197</v>
      </c>
      <c r="F111" s="243" t="s">
        <v>190</v>
      </c>
      <c r="G111" s="243" t="s">
        <v>291</v>
      </c>
      <c r="H111" s="243" t="s">
        <v>545</v>
      </c>
      <c r="I111" s="262">
        <v>7</v>
      </c>
      <c r="J111" s="262"/>
      <c r="K111" s="272" t="str">
        <f>CONCATENATE('SKALA CPL'!$D$2," ",'IMPLEMENTASI RUBIK'!F111)</f>
        <v>Sangat Mampu Mampu meneliti literatur dalam menganalisis solusi-solusi algoritmik untuk masalah yang 
kompleks.</v>
      </c>
      <c r="L111" s="272" t="str">
        <f>CONCATENATE('SKALA CPL'!$D$3," ",'IMPLEMENTASI RUBIK'!F111)</f>
        <v>Mampu Mampu meneliti literatur dalam menganalisis solusi-solusi algoritmik untuk masalah yang 
kompleks.</v>
      </c>
      <c r="M111" s="272" t="str">
        <f>CONCATENATE('SKALA CPL'!$D$4," ",'IMPLEMENTASI RUBIK'!F111)</f>
        <v>Cukup Mampu Mampu meneliti literatur dalam menganalisis solusi-solusi algoritmik untuk masalah yang 
kompleks.</v>
      </c>
      <c r="N111" s="272" t="str">
        <f>CONCATENATE('SKALA CPL'!$D$5," ",'IMPLEMENTASI RUBIK'!F111)</f>
        <v>Kurang Mampu Mampu meneliti literatur dalam menganalisis solusi-solusi algoritmik untuk masalah yang 
kompleks.</v>
      </c>
    </row>
    <row r="112" spans="1:14" ht="54" x14ac:dyDescent="0.25">
      <c r="A112" s="243"/>
      <c r="B112" s="243"/>
      <c r="C112" s="243"/>
      <c r="D112" s="243" t="e">
        <v>#N/A</v>
      </c>
      <c r="E112" s="243" t="s">
        <v>198</v>
      </c>
      <c r="F112" s="243" t="s">
        <v>191</v>
      </c>
      <c r="G112" s="243" t="s">
        <v>293</v>
      </c>
      <c r="H112" s="243" t="s">
        <v>546</v>
      </c>
      <c r="I112" s="262">
        <v>8</v>
      </c>
      <c r="J112" s="262">
        <v>100</v>
      </c>
      <c r="K112" s="272" t="str">
        <f>CONCATENATE('SKALA CPL'!$D$2," ",'IMPLEMENTASI RUBIK'!F112)</f>
        <v>Sangat Mampu Mampu mengevaluasi dan memformulasi solusi-solusi algoritmik untuk masalah yang kompleks.</v>
      </c>
      <c r="L112" s="272" t="str">
        <f>CONCATENATE('SKALA CPL'!$D$3," ",'IMPLEMENTASI RUBIK'!F112)</f>
        <v>Mampu Mampu mengevaluasi dan memformulasi solusi-solusi algoritmik untuk masalah yang kompleks.</v>
      </c>
      <c r="M112" s="272" t="str">
        <f>CONCATENATE('SKALA CPL'!$D$4," ",'IMPLEMENTASI RUBIK'!F112)</f>
        <v>Cukup Mampu Mampu mengevaluasi dan memformulasi solusi-solusi algoritmik untuk masalah yang kompleks.</v>
      </c>
      <c r="N112" s="272" t="str">
        <f>CONCATENATE('SKALA CPL'!$D$5," ",'IMPLEMENTASI RUBIK'!F112)</f>
        <v>Kurang Mampu Mampu mengevaluasi dan memformulasi solusi-solusi algoritmik untuk masalah yang kompleks.</v>
      </c>
    </row>
    <row r="113" spans="1:14" ht="81" x14ac:dyDescent="0.25">
      <c r="A113" s="243" t="s">
        <v>128</v>
      </c>
      <c r="B113" s="243" t="s">
        <v>129</v>
      </c>
      <c r="C113" s="243" t="s">
        <v>22</v>
      </c>
      <c r="D113" s="243" t="s">
        <v>401</v>
      </c>
      <c r="E113" s="243" t="s">
        <v>153</v>
      </c>
      <c r="F113" s="243" t="s">
        <v>154</v>
      </c>
      <c r="G113" s="243" t="s">
        <v>249</v>
      </c>
      <c r="H113" s="243" t="s">
        <v>547</v>
      </c>
      <c r="I113" s="262">
        <v>15</v>
      </c>
      <c r="J113" s="262"/>
      <c r="K113" s="272" t="str">
        <f>CONCATENATE('SKALA CPL'!$D$2," ",'IMPLEMENTASI RUBIK'!F113)</f>
        <v>Sangat Mampu Memiliki kemampuan menganalisis berdasarkan pengetahuan di bidang teknologi informasi cerdas dalam konteks dukungan terhadap pengembangan layanan publik dan ekonomi digital</v>
      </c>
      <c r="L113" s="272" t="str">
        <f>CONCATENATE('SKALA CPL'!$D$3," ",'IMPLEMENTASI RUBIK'!F113)</f>
        <v>Mampu Memiliki kemampuan menganalisis berdasarkan pengetahuan di bidang teknologi informasi cerdas dalam konteks dukungan terhadap pengembangan layanan publik dan ekonomi digital</v>
      </c>
      <c r="M113" s="272" t="str">
        <f>CONCATENATE('SKALA CPL'!$D$4," ",'IMPLEMENTASI RUBIK'!F113)</f>
        <v>Cukup Mampu Memiliki kemampuan menganalisis berdasarkan pengetahuan di bidang teknologi informasi cerdas dalam konteks dukungan terhadap pengembangan layanan publik dan ekonomi digital</v>
      </c>
      <c r="N113" s="272" t="str">
        <f>CONCATENATE('SKALA CPL'!$D$5," ",'IMPLEMENTASI RUBIK'!F113)</f>
        <v>Kurang Mampu Memiliki kemampuan menganalisis berdasarkan pengetahuan di bidang teknologi informasi cerdas dalam konteks dukungan terhadap pengembangan layanan publik dan ekonomi digital</v>
      </c>
    </row>
    <row r="114" spans="1:14" ht="81" x14ac:dyDescent="0.25">
      <c r="A114" s="243"/>
      <c r="B114" s="243"/>
      <c r="C114" s="243"/>
      <c r="D114" s="243" t="e">
        <v>#N/A</v>
      </c>
      <c r="E114" s="243" t="s">
        <v>155</v>
      </c>
      <c r="F114" s="243" t="s">
        <v>156</v>
      </c>
      <c r="G114" s="243" t="s">
        <v>251</v>
      </c>
      <c r="H114" s="243" t="s">
        <v>548</v>
      </c>
      <c r="I114" s="262">
        <v>15</v>
      </c>
      <c r="J114" s="262"/>
      <c r="K114" s="272" t="str">
        <f>CONCATENATE('SKALA CPL'!$D$2," ",'IMPLEMENTASI RUBIK'!F114)</f>
        <v>Sangat Mampu Memiliki kemampuan mengevaluasi berdasarkan pengetahuan di bidang teknologi informasi cerdas dalam konteks dukungan terhadap pengembangan layanan publik dan ekonomi digital</v>
      </c>
      <c r="L114" s="272" t="str">
        <f>CONCATENATE('SKALA CPL'!$D$3," ",'IMPLEMENTASI RUBIK'!F114)</f>
        <v>Mampu Memiliki kemampuan mengevaluasi berdasarkan pengetahuan di bidang teknologi informasi cerdas dalam konteks dukungan terhadap pengembangan layanan publik dan ekonomi digital</v>
      </c>
      <c r="M114" s="272" t="str">
        <f>CONCATENATE('SKALA CPL'!$D$4," ",'IMPLEMENTASI RUBIK'!F114)</f>
        <v>Cukup Mampu Memiliki kemampuan mengevaluasi berdasarkan pengetahuan di bidang teknologi informasi cerdas dalam konteks dukungan terhadap pengembangan layanan publik dan ekonomi digital</v>
      </c>
      <c r="N114" s="272" t="str">
        <f>CONCATENATE('SKALA CPL'!$D$5," ",'IMPLEMENTASI RUBIK'!F114)</f>
        <v>Kurang Mampu Memiliki kemampuan mengevaluasi berdasarkan pengetahuan di bidang teknologi informasi cerdas dalam konteks dukungan terhadap pengembangan layanan publik dan ekonomi digital</v>
      </c>
    </row>
    <row r="115" spans="1:14" ht="90" x14ac:dyDescent="0.25">
      <c r="A115" s="243"/>
      <c r="B115" s="243"/>
      <c r="C115" s="243"/>
      <c r="D115" s="243" t="e">
        <v>#N/A</v>
      </c>
      <c r="E115" s="243" t="s">
        <v>157</v>
      </c>
      <c r="F115" s="243" t="s">
        <v>158</v>
      </c>
      <c r="G115" s="243" t="s">
        <v>252</v>
      </c>
      <c r="H115" s="243" t="s">
        <v>549</v>
      </c>
      <c r="I115" s="262">
        <v>20</v>
      </c>
      <c r="J115" s="262"/>
      <c r="K115" s="272" t="str">
        <f>CONCATENATE('SKALA CPL'!$D$2," ",'IMPLEMENTASI RUBIK'!F115)</f>
        <v>Sangat Mampu Memiliki kemampuan membuat keputusan berdasarkan pengetahuan di bidang teknologi informasi cerdas dalam konteks dukungan terhadap pengembangan layanan publik dan ekonomi digital</v>
      </c>
      <c r="L115" s="272" t="str">
        <f>CONCATENATE('SKALA CPL'!$D$3," ",'IMPLEMENTASI RUBIK'!F115)</f>
        <v>Mampu Memiliki kemampuan membuat keputusan berdasarkan pengetahuan di bidang teknologi informasi cerdas dalam konteks dukungan terhadap pengembangan layanan publik dan ekonomi digital</v>
      </c>
      <c r="M115" s="272" t="str">
        <f>CONCATENATE('SKALA CPL'!$D$4," ",'IMPLEMENTASI RUBIK'!F115)</f>
        <v>Cukup Mampu Memiliki kemampuan membuat keputusan berdasarkan pengetahuan di bidang teknologi informasi cerdas dalam konteks dukungan terhadap pengembangan layanan publik dan ekonomi digital</v>
      </c>
      <c r="N115" s="272" t="str">
        <f>CONCATENATE('SKALA CPL'!$D$5," ",'IMPLEMENTASI RUBIK'!F115)</f>
        <v>Kurang Mampu Memiliki kemampuan membuat keputusan berdasarkan pengetahuan di bidang teknologi informasi cerdas dalam konteks dukungan terhadap pengembangan layanan publik dan ekonomi digital</v>
      </c>
    </row>
    <row r="116" spans="1:14" ht="54" x14ac:dyDescent="0.25">
      <c r="A116" s="243"/>
      <c r="B116" s="243"/>
      <c r="C116" s="243" t="s">
        <v>43</v>
      </c>
      <c r="D116" s="243" t="s">
        <v>37</v>
      </c>
      <c r="E116" s="243" t="s">
        <v>196</v>
      </c>
      <c r="F116" s="243" t="s">
        <v>189</v>
      </c>
      <c r="G116" s="243" t="s">
        <v>289</v>
      </c>
      <c r="H116" s="243" t="s">
        <v>550</v>
      </c>
      <c r="I116" s="262">
        <v>15</v>
      </c>
      <c r="J116" s="262"/>
      <c r="K116" s="272" t="str">
        <f>CONCATENATE('SKALA CPL'!$D$2," ",'IMPLEMENTASI RUBIK'!F116)</f>
        <v>Sangat Mampu Mampu mengidentifikasi solusi_x0002_solusi algoritmik untuk masalah computing yang kompleks.</v>
      </c>
      <c r="L116" s="272" t="str">
        <f>CONCATENATE('SKALA CPL'!$D$3," ",'IMPLEMENTASI RUBIK'!F116)</f>
        <v>Mampu Mampu mengidentifikasi solusi_x0002_solusi algoritmik untuk masalah computing yang kompleks.</v>
      </c>
      <c r="M116" s="272" t="str">
        <f>CONCATENATE('SKALA CPL'!$D$4," ",'IMPLEMENTASI RUBIK'!F116)</f>
        <v>Cukup Mampu Mampu mengidentifikasi solusi_x0002_solusi algoritmik untuk masalah computing yang kompleks.</v>
      </c>
      <c r="N116" s="272" t="str">
        <f>CONCATENATE('SKALA CPL'!$D$5," ",'IMPLEMENTASI RUBIK'!F116)</f>
        <v>Kurang Mampu Mampu mengidentifikasi solusi_x0002_solusi algoritmik untuk masalah computing yang kompleks.</v>
      </c>
    </row>
    <row r="117" spans="1:14" ht="60" x14ac:dyDescent="0.25">
      <c r="A117" s="243"/>
      <c r="B117" s="243"/>
      <c r="C117" s="243"/>
      <c r="D117" s="243" t="e">
        <v>#N/A</v>
      </c>
      <c r="E117" s="243" t="s">
        <v>197</v>
      </c>
      <c r="F117" s="243" t="s">
        <v>190</v>
      </c>
      <c r="G117" s="243" t="s">
        <v>291</v>
      </c>
      <c r="H117" s="243" t="s">
        <v>551</v>
      </c>
      <c r="I117" s="262">
        <v>15</v>
      </c>
      <c r="J117" s="262"/>
      <c r="K117" s="272" t="str">
        <f>CONCATENATE('SKALA CPL'!$D$2," ",'IMPLEMENTASI RUBIK'!F117)</f>
        <v>Sangat Mampu Mampu meneliti literatur dalam menganalisis solusi-solusi algoritmik untuk masalah yang 
kompleks.</v>
      </c>
      <c r="L117" s="272" t="str">
        <f>CONCATENATE('SKALA CPL'!$D$3," ",'IMPLEMENTASI RUBIK'!F117)</f>
        <v>Mampu Mampu meneliti literatur dalam menganalisis solusi-solusi algoritmik untuk masalah yang 
kompleks.</v>
      </c>
      <c r="M117" s="272" t="str">
        <f>CONCATENATE('SKALA CPL'!$D$4," ",'IMPLEMENTASI RUBIK'!F117)</f>
        <v>Cukup Mampu Mampu meneliti literatur dalam menganalisis solusi-solusi algoritmik untuk masalah yang 
kompleks.</v>
      </c>
      <c r="N117" s="272" t="str">
        <f>CONCATENATE('SKALA CPL'!$D$5," ",'IMPLEMENTASI RUBIK'!F117)</f>
        <v>Kurang Mampu Mampu meneliti literatur dalam menganalisis solusi-solusi algoritmik untuk masalah yang 
kompleks.</v>
      </c>
    </row>
    <row r="118" spans="1:14" ht="45" x14ac:dyDescent="0.25">
      <c r="A118" s="243"/>
      <c r="B118" s="243"/>
      <c r="C118" s="243"/>
      <c r="D118" s="243" t="e">
        <v>#N/A</v>
      </c>
      <c r="E118" s="243" t="s">
        <v>198</v>
      </c>
      <c r="F118" s="243" t="s">
        <v>191</v>
      </c>
      <c r="G118" s="243" t="s">
        <v>293</v>
      </c>
      <c r="H118" s="243" t="s">
        <v>552</v>
      </c>
      <c r="I118" s="262">
        <v>20</v>
      </c>
      <c r="J118" s="262">
        <v>100</v>
      </c>
      <c r="K118" s="272" t="str">
        <f>CONCATENATE('SKALA CPL'!$D$2," ",'IMPLEMENTASI RUBIK'!F118)</f>
        <v>Sangat Mampu Mampu mengevaluasi dan memformulasi solusi-solusi algoritmik untuk masalah yang kompleks.</v>
      </c>
      <c r="L118" s="272" t="str">
        <f>CONCATENATE('SKALA CPL'!$D$3," ",'IMPLEMENTASI RUBIK'!F118)</f>
        <v>Mampu Mampu mengevaluasi dan memformulasi solusi-solusi algoritmik untuk masalah yang kompleks.</v>
      </c>
      <c r="M118" s="272" t="str">
        <f>CONCATENATE('SKALA CPL'!$D$4," ",'IMPLEMENTASI RUBIK'!F118)</f>
        <v>Cukup Mampu Mampu mengevaluasi dan memformulasi solusi-solusi algoritmik untuk masalah yang kompleks.</v>
      </c>
      <c r="N118" s="272" t="str">
        <f>CONCATENATE('SKALA CPL'!$D$5," ",'IMPLEMENTASI RUBIK'!F118)</f>
        <v>Kurang Mampu Mampu mengevaluasi dan memformulasi solusi-solusi algoritmik untuk masalah yang kompleks.</v>
      </c>
    </row>
    <row r="119" spans="1:14" ht="108" x14ac:dyDescent="0.25">
      <c r="A119" s="243" t="s">
        <v>130</v>
      </c>
      <c r="B119" s="243" t="s">
        <v>131</v>
      </c>
      <c r="C119" s="243" t="s">
        <v>17</v>
      </c>
      <c r="D119" s="243" t="s">
        <v>395</v>
      </c>
      <c r="E119" s="243" t="s">
        <v>145</v>
      </c>
      <c r="F119" s="243" t="s">
        <v>146</v>
      </c>
      <c r="G119" s="243" t="s">
        <v>284</v>
      </c>
      <c r="H119" s="243" t="s">
        <v>553</v>
      </c>
      <c r="I119" s="262">
        <v>20</v>
      </c>
      <c r="J119" s="262"/>
      <c r="K119" s="272" t="str">
        <f>CONCATENATE('SKALA CPL'!$D$2," ",'IMPLEMENTASI RUBIK'!F119)</f>
        <v>Sangat Mampu Mampu bekerja secara mandiri ataupun dalam tim dalam menjalankan tugas dan tanggung jawab untuk menyelesaikan proyek-proyek terkait teknologi informasi cerdas dalam pengembangan layanan publik dan ekonomi digital</v>
      </c>
      <c r="L119" s="272" t="str">
        <f>CONCATENATE('SKALA CPL'!$D$3," ",'IMPLEMENTASI RUBIK'!F119)</f>
        <v>Mampu Mampu bekerja secara mandiri ataupun dalam tim dalam menjalankan tugas dan tanggung jawab untuk menyelesaikan proyek-proyek terkait teknologi informasi cerdas dalam pengembangan layanan publik dan ekonomi digital</v>
      </c>
      <c r="M119" s="272" t="str">
        <f>CONCATENATE('SKALA CPL'!$D$4," ",'IMPLEMENTASI RUBIK'!F119)</f>
        <v>Cukup Mampu Mampu bekerja secara mandiri ataupun dalam tim dalam menjalankan tugas dan tanggung jawab untuk menyelesaikan proyek-proyek terkait teknologi informasi cerdas dalam pengembangan layanan publik dan ekonomi digital</v>
      </c>
      <c r="N119" s="272" t="str">
        <f>CONCATENATE('SKALA CPL'!$D$5," ",'IMPLEMENTASI RUBIK'!F119)</f>
        <v>Kurang Mampu Mampu bekerja secara mandiri ataupun dalam tim dalam menjalankan tugas dan tanggung jawab untuk menyelesaikan proyek-proyek terkait teknologi informasi cerdas dalam pengembangan layanan publik dan ekonomi digital</v>
      </c>
    </row>
    <row r="120" spans="1:14" ht="105" x14ac:dyDescent="0.25">
      <c r="A120" s="243"/>
      <c r="B120" s="243"/>
      <c r="C120" s="243"/>
      <c r="D120" s="243" t="e">
        <v>#N/A</v>
      </c>
      <c r="E120" s="243" t="s">
        <v>147</v>
      </c>
      <c r="F120" s="243" t="s">
        <v>148</v>
      </c>
      <c r="G120" s="243" t="s">
        <v>285</v>
      </c>
      <c r="H120" s="243" t="s">
        <v>554</v>
      </c>
      <c r="I120" s="262">
        <v>15</v>
      </c>
      <c r="J120" s="262"/>
      <c r="K120" s="272" t="str">
        <f>CONCATENATE('SKALA CPL'!$D$2," ",'IMPLEMENTASI RUBIK'!F120)</f>
        <v>Sangat Mampu Profesional dan Etis dalam menjalankan tugas dan tanggung jawab dalam menjalankan tugas dan tanggung jawab untuk menyelesaikan proyek-proyek terkait teknologi informasi cerdas dalam pengembangan layanan publik dan ekonomi digital</v>
      </c>
      <c r="L120" s="272" t="str">
        <f>CONCATENATE('SKALA CPL'!$D$3," ",'IMPLEMENTASI RUBIK'!F120)</f>
        <v>Mampu Profesional dan Etis dalam menjalankan tugas dan tanggung jawab dalam menjalankan tugas dan tanggung jawab untuk menyelesaikan proyek-proyek terkait teknologi informasi cerdas dalam pengembangan layanan publik dan ekonomi digital</v>
      </c>
      <c r="M120" s="272" t="str">
        <f>CONCATENATE('SKALA CPL'!$D$4," ",'IMPLEMENTASI RUBIK'!F120)</f>
        <v>Cukup Mampu Profesional dan Etis dalam menjalankan tugas dan tanggung jawab dalam menjalankan tugas dan tanggung jawab untuk menyelesaikan proyek-proyek terkait teknologi informasi cerdas dalam pengembangan layanan publik dan ekonomi digital</v>
      </c>
      <c r="N120" s="272" t="str">
        <f>CONCATENATE('SKALA CPL'!$D$5," ",'IMPLEMENTASI RUBIK'!F120)</f>
        <v>Kurang Mampu Profesional dan Etis dalam menjalankan tugas dan tanggung jawab dalam menjalankan tugas dan tanggung jawab untuk menyelesaikan proyek-proyek terkait teknologi informasi cerdas dalam pengembangan layanan publik dan ekonomi digital</v>
      </c>
    </row>
    <row r="121" spans="1:14" ht="108" x14ac:dyDescent="0.25">
      <c r="A121" s="243"/>
      <c r="B121" s="243"/>
      <c r="C121" s="243" t="s">
        <v>20</v>
      </c>
      <c r="D121" s="243" t="s">
        <v>398</v>
      </c>
      <c r="E121" s="243" t="s">
        <v>149</v>
      </c>
      <c r="F121" s="243" t="s">
        <v>150</v>
      </c>
      <c r="G121" s="243" t="s">
        <v>287</v>
      </c>
      <c r="H121" s="243" t="s">
        <v>555</v>
      </c>
      <c r="I121" s="262">
        <v>15</v>
      </c>
      <c r="J121" s="262"/>
      <c r="K121" s="272" t="str">
        <f>CONCATENATE('SKALA CPL'!$D$2," ",'IMPLEMENTASI RUBIK'!F121)</f>
        <v>Sangat Mampu Mampu mengembangkan kemampuan berkomunikasi lisan secara efektif, berpikir kritis, kreatif dan profesional dalam menyelesaikan permasalahan terkait teknologi informasi cerdas melalui pemanfaatan penelitian teknologi informasi dengan berbagai pihak terkait</v>
      </c>
      <c r="L121" s="272" t="str">
        <f>CONCATENATE('SKALA CPL'!$D$3," ",'IMPLEMENTASI RUBIK'!F121)</f>
        <v>Mampu Mampu mengembangkan kemampuan berkomunikasi lisan secara efektif, berpikir kritis, kreatif dan profesional dalam menyelesaikan permasalahan terkait teknologi informasi cerdas melalui pemanfaatan penelitian teknologi informasi dengan berbagai pihak terkait</v>
      </c>
      <c r="M121" s="272" t="str">
        <f>CONCATENATE('SKALA CPL'!$D$4," ",'IMPLEMENTASI RUBIK'!F121)</f>
        <v>Cukup Mampu Mampu mengembangkan kemampuan berkomunikasi lisan secara efektif, berpikir kritis, kreatif dan profesional dalam menyelesaikan permasalahan terkait teknologi informasi cerdas melalui pemanfaatan penelitian teknologi informasi dengan berbagai pihak terkait</v>
      </c>
      <c r="N121" s="272" t="str">
        <f>CONCATENATE('SKALA CPL'!$D$5," ",'IMPLEMENTASI RUBIK'!F121)</f>
        <v>Kurang Mampu Mampu mengembangkan kemampuan berkomunikasi lisan secara efektif, berpikir kritis, kreatif dan profesional dalam menyelesaikan permasalahan terkait teknologi informasi cerdas melalui pemanfaatan penelitian teknologi informasi dengan berbagai pihak terkait</v>
      </c>
    </row>
    <row r="122" spans="1:14" ht="90" x14ac:dyDescent="0.25">
      <c r="A122" s="243"/>
      <c r="B122" s="243"/>
      <c r="C122" s="243"/>
      <c r="D122" s="243" t="e">
        <v>#N/A</v>
      </c>
      <c r="E122" s="243" t="s">
        <v>151</v>
      </c>
      <c r="F122" s="243" t="s">
        <v>152</v>
      </c>
      <c r="G122" s="243" t="s">
        <v>288</v>
      </c>
      <c r="H122" s="243" t="s">
        <v>556</v>
      </c>
      <c r="I122" s="262">
        <v>15</v>
      </c>
      <c r="J122" s="262"/>
      <c r="K122" s="272" t="str">
        <f>CONCATENATE('SKALA CPL'!$D$2," ",'IMPLEMENTASI RUBIK'!F122)</f>
        <v>Sangat Mampu Mampu menghasilkan karya ilmiah yang orisinal dalam menyelesaikan permasalahan terkait teknologi informasi cerdas melalui pemanfaatan penelitian teknologi informasi dengan berbagai pihak terkait</v>
      </c>
      <c r="L122" s="272" t="str">
        <f>CONCATENATE('SKALA CPL'!$D$3," ",'IMPLEMENTASI RUBIK'!F122)</f>
        <v>Mampu Mampu menghasilkan karya ilmiah yang orisinal dalam menyelesaikan permasalahan terkait teknologi informasi cerdas melalui pemanfaatan penelitian teknologi informasi dengan berbagai pihak terkait</v>
      </c>
      <c r="M122" s="272" t="str">
        <f>CONCATENATE('SKALA CPL'!$D$4," ",'IMPLEMENTASI RUBIK'!F122)</f>
        <v>Cukup Mampu Mampu menghasilkan karya ilmiah yang orisinal dalam menyelesaikan permasalahan terkait teknologi informasi cerdas melalui pemanfaatan penelitian teknologi informasi dengan berbagai pihak terkait</v>
      </c>
      <c r="N122" s="272" t="str">
        <f>CONCATENATE('SKALA CPL'!$D$5," ",'IMPLEMENTASI RUBIK'!F122)</f>
        <v>Kurang Mampu Mampu menghasilkan karya ilmiah yang orisinal dalam menyelesaikan permasalahan terkait teknologi informasi cerdas melalui pemanfaatan penelitian teknologi informasi dengan berbagai pihak terkait</v>
      </c>
    </row>
    <row r="123" spans="1:14" ht="54" x14ac:dyDescent="0.25">
      <c r="A123" s="243"/>
      <c r="B123" s="243"/>
      <c r="C123" s="243" t="s">
        <v>43</v>
      </c>
      <c r="D123" s="243" t="s">
        <v>37</v>
      </c>
      <c r="E123" s="243" t="s">
        <v>196</v>
      </c>
      <c r="F123" s="243" t="s">
        <v>189</v>
      </c>
      <c r="G123" s="243" t="s">
        <v>289</v>
      </c>
      <c r="H123" s="243" t="s">
        <v>557</v>
      </c>
      <c r="I123" s="262">
        <v>10</v>
      </c>
      <c r="J123" s="262"/>
      <c r="K123" s="272" t="str">
        <f>CONCATENATE('SKALA CPL'!$D$2," ",'IMPLEMENTASI RUBIK'!F123)</f>
        <v>Sangat Mampu Mampu mengidentifikasi solusi_x0002_solusi algoritmik untuk masalah computing yang kompleks.</v>
      </c>
      <c r="L123" s="272" t="str">
        <f>CONCATENATE('SKALA CPL'!$D$3," ",'IMPLEMENTASI RUBIK'!F123)</f>
        <v>Mampu Mampu mengidentifikasi solusi_x0002_solusi algoritmik untuk masalah computing yang kompleks.</v>
      </c>
      <c r="M123" s="272" t="str">
        <f>CONCATENATE('SKALA CPL'!$D$4," ",'IMPLEMENTASI RUBIK'!F123)</f>
        <v>Cukup Mampu Mampu mengidentifikasi solusi_x0002_solusi algoritmik untuk masalah computing yang kompleks.</v>
      </c>
      <c r="N123" s="272" t="str">
        <f>CONCATENATE('SKALA CPL'!$D$5," ",'IMPLEMENTASI RUBIK'!F123)</f>
        <v>Kurang Mampu Mampu mengidentifikasi solusi_x0002_solusi algoritmik untuk masalah computing yang kompleks.</v>
      </c>
    </row>
    <row r="124" spans="1:14" ht="60" x14ac:dyDescent="0.25">
      <c r="A124" s="243"/>
      <c r="B124" s="243"/>
      <c r="C124" s="243"/>
      <c r="D124" s="243" t="e">
        <v>#N/A</v>
      </c>
      <c r="E124" s="243" t="s">
        <v>197</v>
      </c>
      <c r="F124" s="243" t="s">
        <v>190</v>
      </c>
      <c r="G124" s="243" t="s">
        <v>291</v>
      </c>
      <c r="H124" s="243" t="s">
        <v>558</v>
      </c>
      <c r="I124" s="262">
        <v>10</v>
      </c>
      <c r="J124" s="262"/>
      <c r="K124" s="272" t="str">
        <f>CONCATENATE('SKALA CPL'!$D$2," ",'IMPLEMENTASI RUBIK'!F124)</f>
        <v>Sangat Mampu Mampu meneliti literatur dalam menganalisis solusi-solusi algoritmik untuk masalah yang 
kompleks.</v>
      </c>
      <c r="L124" s="272" t="str">
        <f>CONCATENATE('SKALA CPL'!$D$3," ",'IMPLEMENTASI RUBIK'!F124)</f>
        <v>Mampu Mampu meneliti literatur dalam menganalisis solusi-solusi algoritmik untuk masalah yang 
kompleks.</v>
      </c>
      <c r="M124" s="272" t="str">
        <f>CONCATENATE('SKALA CPL'!$D$4," ",'IMPLEMENTASI RUBIK'!F124)</f>
        <v>Cukup Mampu Mampu meneliti literatur dalam menganalisis solusi-solusi algoritmik untuk masalah yang 
kompleks.</v>
      </c>
      <c r="N124" s="272" t="str">
        <f>CONCATENATE('SKALA CPL'!$D$5," ",'IMPLEMENTASI RUBIK'!F124)</f>
        <v>Kurang Mampu Mampu meneliti literatur dalam menganalisis solusi-solusi algoritmik untuk masalah yang 
kompleks.</v>
      </c>
    </row>
    <row r="125" spans="1:14" ht="45" x14ac:dyDescent="0.25">
      <c r="A125" s="243"/>
      <c r="B125" s="243"/>
      <c r="C125" s="243"/>
      <c r="D125" s="243" t="e">
        <v>#N/A</v>
      </c>
      <c r="E125" s="243" t="s">
        <v>198</v>
      </c>
      <c r="F125" s="243" t="s">
        <v>191</v>
      </c>
      <c r="G125" s="243" t="s">
        <v>293</v>
      </c>
      <c r="H125" s="243" t="s">
        <v>559</v>
      </c>
      <c r="I125" s="262">
        <v>15</v>
      </c>
      <c r="J125" s="262">
        <v>100</v>
      </c>
      <c r="K125" s="272" t="str">
        <f>CONCATENATE('SKALA CPL'!$D$2," ",'IMPLEMENTASI RUBIK'!F125)</f>
        <v>Sangat Mampu Mampu mengevaluasi dan memformulasi solusi-solusi algoritmik untuk masalah yang kompleks.</v>
      </c>
      <c r="L125" s="272" t="str">
        <f>CONCATENATE('SKALA CPL'!$D$3," ",'IMPLEMENTASI RUBIK'!F125)</f>
        <v>Mampu Mampu mengevaluasi dan memformulasi solusi-solusi algoritmik untuk masalah yang kompleks.</v>
      </c>
      <c r="M125" s="272" t="str">
        <f>CONCATENATE('SKALA CPL'!$D$4," ",'IMPLEMENTASI RUBIK'!F125)</f>
        <v>Cukup Mampu Mampu mengevaluasi dan memformulasi solusi-solusi algoritmik untuk masalah yang kompleks.</v>
      </c>
      <c r="N125" s="272" t="str">
        <f>CONCATENATE('SKALA CPL'!$D$5," ",'IMPLEMENTASI RUBIK'!F125)</f>
        <v>Kurang Mampu Mampu mengevaluasi dan memformulasi solusi-solusi algoritmik untuk masalah yang kompleks.</v>
      </c>
    </row>
    <row r="126" spans="1:14" ht="108" x14ac:dyDescent="0.25">
      <c r="A126" s="243" t="s">
        <v>132</v>
      </c>
      <c r="B126" s="243" t="s">
        <v>133</v>
      </c>
      <c r="C126" s="243" t="s">
        <v>17</v>
      </c>
      <c r="D126" s="243" t="s">
        <v>395</v>
      </c>
      <c r="E126" s="243" t="s">
        <v>145</v>
      </c>
      <c r="F126" s="243" t="s">
        <v>146</v>
      </c>
      <c r="G126" s="243" t="s">
        <v>284</v>
      </c>
      <c r="H126" s="243" t="s">
        <v>560</v>
      </c>
      <c r="I126" s="262">
        <v>30</v>
      </c>
      <c r="J126" s="262"/>
      <c r="K126" s="272" t="str">
        <f>CONCATENATE('SKALA CPL'!$D$2," ",'IMPLEMENTASI RUBIK'!F126)</f>
        <v>Sangat Mampu Mampu bekerja secara mandiri ataupun dalam tim dalam menjalankan tugas dan tanggung jawab untuk menyelesaikan proyek-proyek terkait teknologi informasi cerdas dalam pengembangan layanan publik dan ekonomi digital</v>
      </c>
      <c r="L126" s="272" t="str">
        <f>CONCATENATE('SKALA CPL'!$D$3," ",'IMPLEMENTASI RUBIK'!F126)</f>
        <v>Mampu Mampu bekerja secara mandiri ataupun dalam tim dalam menjalankan tugas dan tanggung jawab untuk menyelesaikan proyek-proyek terkait teknologi informasi cerdas dalam pengembangan layanan publik dan ekonomi digital</v>
      </c>
      <c r="M126" s="272" t="str">
        <f>CONCATENATE('SKALA CPL'!$D$4," ",'IMPLEMENTASI RUBIK'!F126)</f>
        <v>Cukup Mampu Mampu bekerja secara mandiri ataupun dalam tim dalam menjalankan tugas dan tanggung jawab untuk menyelesaikan proyek-proyek terkait teknologi informasi cerdas dalam pengembangan layanan publik dan ekonomi digital</v>
      </c>
      <c r="N126" s="272" t="str">
        <f>CONCATENATE('SKALA CPL'!$D$5," ",'IMPLEMENTASI RUBIK'!F126)</f>
        <v>Kurang Mampu Mampu bekerja secara mandiri ataupun dalam tim dalam menjalankan tugas dan tanggung jawab untuk menyelesaikan proyek-proyek terkait teknologi informasi cerdas dalam pengembangan layanan publik dan ekonomi digital</v>
      </c>
    </row>
    <row r="127" spans="1:14" ht="108" x14ac:dyDescent="0.25">
      <c r="A127" s="243"/>
      <c r="B127" s="243"/>
      <c r="C127" s="243"/>
      <c r="D127" s="243" t="e">
        <v>#N/A</v>
      </c>
      <c r="E127" s="243" t="s">
        <v>147</v>
      </c>
      <c r="F127" s="243" t="s">
        <v>148</v>
      </c>
      <c r="G127" s="243" t="s">
        <v>285</v>
      </c>
      <c r="H127" s="243" t="s">
        <v>561</v>
      </c>
      <c r="I127" s="262">
        <v>20</v>
      </c>
      <c r="J127" s="262"/>
      <c r="K127" s="272" t="str">
        <f>CONCATENATE('SKALA CPL'!$D$2," ",'IMPLEMENTASI RUBIK'!F127)</f>
        <v>Sangat Mampu Profesional dan Etis dalam menjalankan tugas dan tanggung jawab dalam menjalankan tugas dan tanggung jawab untuk menyelesaikan proyek-proyek terkait teknologi informasi cerdas dalam pengembangan layanan publik dan ekonomi digital</v>
      </c>
      <c r="L127" s="272" t="str">
        <f>CONCATENATE('SKALA CPL'!$D$3," ",'IMPLEMENTASI RUBIK'!F127)</f>
        <v>Mampu Profesional dan Etis dalam menjalankan tugas dan tanggung jawab dalam menjalankan tugas dan tanggung jawab untuk menyelesaikan proyek-proyek terkait teknologi informasi cerdas dalam pengembangan layanan publik dan ekonomi digital</v>
      </c>
      <c r="M127" s="272" t="str">
        <f>CONCATENATE('SKALA CPL'!$D$4," ",'IMPLEMENTASI RUBIK'!F127)</f>
        <v>Cukup Mampu Profesional dan Etis dalam menjalankan tugas dan tanggung jawab dalam menjalankan tugas dan tanggung jawab untuk menyelesaikan proyek-proyek terkait teknologi informasi cerdas dalam pengembangan layanan publik dan ekonomi digital</v>
      </c>
      <c r="N127" s="272" t="str">
        <f>CONCATENATE('SKALA CPL'!$D$5," ",'IMPLEMENTASI RUBIK'!F127)</f>
        <v>Kurang Mampu Profesional dan Etis dalam menjalankan tugas dan tanggung jawab dalam menjalankan tugas dan tanggung jawab untuk menyelesaikan proyek-proyek terkait teknologi informasi cerdas dalam pengembangan layanan publik dan ekonomi digital</v>
      </c>
    </row>
    <row r="128" spans="1:14" ht="108" x14ac:dyDescent="0.25">
      <c r="A128" s="243"/>
      <c r="B128" s="243"/>
      <c r="C128" s="243" t="s">
        <v>20</v>
      </c>
      <c r="D128" s="243" t="s">
        <v>398</v>
      </c>
      <c r="E128" s="243" t="s">
        <v>149</v>
      </c>
      <c r="F128" s="243" t="s">
        <v>150</v>
      </c>
      <c r="G128" s="243" t="s">
        <v>287</v>
      </c>
      <c r="H128" s="243" t="s">
        <v>562</v>
      </c>
      <c r="I128" s="262">
        <v>50</v>
      </c>
      <c r="J128" s="262">
        <v>100</v>
      </c>
      <c r="K128" s="272" t="str">
        <f>CONCATENATE('SKALA CPL'!$D$2," ",'IMPLEMENTASI RUBIK'!F128)</f>
        <v>Sangat Mampu Mampu mengembangkan kemampuan berkomunikasi lisan secara efektif, berpikir kritis, kreatif dan profesional dalam menyelesaikan permasalahan terkait teknologi informasi cerdas melalui pemanfaatan penelitian teknologi informasi dengan berbagai pihak terkait</v>
      </c>
      <c r="L128" s="272" t="str">
        <f>CONCATENATE('SKALA CPL'!$D$3," ",'IMPLEMENTASI RUBIK'!F128)</f>
        <v>Mampu Mampu mengembangkan kemampuan berkomunikasi lisan secara efektif, berpikir kritis, kreatif dan profesional dalam menyelesaikan permasalahan terkait teknologi informasi cerdas melalui pemanfaatan penelitian teknologi informasi dengan berbagai pihak terkait</v>
      </c>
      <c r="M128" s="272" t="str">
        <f>CONCATENATE('SKALA CPL'!$D$4," ",'IMPLEMENTASI RUBIK'!F128)</f>
        <v>Cukup Mampu Mampu mengembangkan kemampuan berkomunikasi lisan secara efektif, berpikir kritis, kreatif dan profesional dalam menyelesaikan permasalahan terkait teknologi informasi cerdas melalui pemanfaatan penelitian teknologi informasi dengan berbagai pihak terkait</v>
      </c>
      <c r="N128" s="272" t="str">
        <f>CONCATENATE('SKALA CPL'!$D$5," ",'IMPLEMENTASI RUBIK'!F128)</f>
        <v>Kurang Mampu Mampu mengembangkan kemampuan berkomunikasi lisan secara efektif, berpikir kritis, kreatif dan profesional dalam menyelesaikan permasalahan terkait teknologi informasi cerdas melalui pemanfaatan penelitian teknologi informasi dengan berbagai pihak terkait</v>
      </c>
    </row>
    <row r="129" spans="1:14" x14ac:dyDescent="0.25">
      <c r="A129" s="263"/>
      <c r="B129" s="263"/>
      <c r="C129" s="263"/>
      <c r="D129" s="263"/>
      <c r="E129" s="243"/>
      <c r="F129" s="263"/>
      <c r="G129" s="263"/>
      <c r="H129" s="263"/>
      <c r="I129" s="262">
        <v>124</v>
      </c>
      <c r="J129" s="262"/>
      <c r="K129" s="272"/>
      <c r="L129" s="272"/>
      <c r="M129" s="272"/>
      <c r="N129" s="27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2B018-0DD3-4C39-BEB7-BCB061066017}">
  <dimension ref="A1:H126"/>
  <sheetViews>
    <sheetView topLeftCell="A35" zoomScale="85" zoomScaleNormal="85" workbookViewId="0">
      <selection activeCell="D40" sqref="D40"/>
    </sheetView>
  </sheetViews>
  <sheetFormatPr defaultColWidth="42.85546875" defaultRowHeight="15" x14ac:dyDescent="0.25"/>
  <cols>
    <col min="1" max="1" width="13.28515625" bestFit="1" customWidth="1"/>
    <col min="2" max="2" width="42.140625" bestFit="1" customWidth="1"/>
    <col min="3" max="3" width="6" bestFit="1" customWidth="1"/>
    <col min="4" max="4" width="90.5703125" customWidth="1"/>
    <col min="5" max="5" width="8.42578125" bestFit="1" customWidth="1"/>
    <col min="6" max="6" width="79" customWidth="1"/>
    <col min="7" max="7" width="6.28515625" bestFit="1" customWidth="1"/>
    <col min="8" max="8" width="5" bestFit="1" customWidth="1"/>
  </cols>
  <sheetData>
    <row r="1" spans="1:8" x14ac:dyDescent="0.25">
      <c r="A1" s="32" t="s">
        <v>134</v>
      </c>
      <c r="B1" s="32" t="s">
        <v>205</v>
      </c>
      <c r="C1" s="32" t="s">
        <v>206</v>
      </c>
      <c r="D1" s="32" t="s">
        <v>230</v>
      </c>
      <c r="E1" s="267" t="s">
        <v>207</v>
      </c>
      <c r="F1" s="32" t="s">
        <v>210</v>
      </c>
      <c r="G1" s="32" t="s">
        <v>231</v>
      </c>
      <c r="H1" s="32" t="s">
        <v>85</v>
      </c>
    </row>
    <row r="2" spans="1:8" ht="40.5" x14ac:dyDescent="0.25">
      <c r="A2" s="243" t="s">
        <v>114</v>
      </c>
      <c r="B2" s="243" t="s">
        <v>115</v>
      </c>
      <c r="C2" s="243" t="s">
        <v>17</v>
      </c>
      <c r="D2" s="243" t="s">
        <v>395</v>
      </c>
      <c r="E2" s="243" t="s">
        <v>145</v>
      </c>
      <c r="F2" s="243" t="s">
        <v>146</v>
      </c>
      <c r="G2" s="263">
        <v>10</v>
      </c>
      <c r="H2" s="250"/>
    </row>
    <row r="3" spans="1:8" ht="40.5" x14ac:dyDescent="0.25">
      <c r="A3" s="243" t="s">
        <v>114</v>
      </c>
      <c r="B3" s="243" t="s">
        <v>115</v>
      </c>
      <c r="C3" s="243" t="s">
        <v>17</v>
      </c>
      <c r="D3" s="243" t="s">
        <v>395</v>
      </c>
      <c r="E3" s="243" t="s">
        <v>147</v>
      </c>
      <c r="F3" s="243" t="s">
        <v>148</v>
      </c>
      <c r="G3" s="263">
        <v>10</v>
      </c>
      <c r="H3" s="250"/>
    </row>
    <row r="4" spans="1:8" ht="40.5" x14ac:dyDescent="0.25">
      <c r="A4" s="243" t="s">
        <v>130</v>
      </c>
      <c r="B4" s="243" t="s">
        <v>131</v>
      </c>
      <c r="C4" s="243" t="s">
        <v>17</v>
      </c>
      <c r="D4" s="243" t="s">
        <v>395</v>
      </c>
      <c r="E4" s="243" t="s">
        <v>145</v>
      </c>
      <c r="F4" s="243" t="s">
        <v>146</v>
      </c>
      <c r="G4" s="263">
        <v>20</v>
      </c>
      <c r="H4" s="250"/>
    </row>
    <row r="5" spans="1:8" ht="40.5" x14ac:dyDescent="0.25">
      <c r="A5" s="243" t="s">
        <v>130</v>
      </c>
      <c r="B5" s="243" t="s">
        <v>131</v>
      </c>
      <c r="C5" s="243" t="s">
        <v>17</v>
      </c>
      <c r="D5" s="243" t="s">
        <v>395</v>
      </c>
      <c r="E5" s="243" t="s">
        <v>147</v>
      </c>
      <c r="F5" s="243" t="s">
        <v>148</v>
      </c>
      <c r="G5" s="263">
        <v>15</v>
      </c>
      <c r="H5" s="250"/>
    </row>
    <row r="6" spans="1:8" ht="40.5" x14ac:dyDescent="0.25">
      <c r="A6" s="243" t="s">
        <v>132</v>
      </c>
      <c r="B6" s="243" t="s">
        <v>133</v>
      </c>
      <c r="C6" s="243" t="s">
        <v>17</v>
      </c>
      <c r="D6" s="243" t="s">
        <v>395</v>
      </c>
      <c r="E6" s="243" t="s">
        <v>145</v>
      </c>
      <c r="F6" s="243" t="s">
        <v>146</v>
      </c>
      <c r="G6" s="263">
        <v>30</v>
      </c>
      <c r="H6" s="250"/>
    </row>
    <row r="7" spans="1:8" ht="40.5" x14ac:dyDescent="0.25">
      <c r="A7" s="243" t="s">
        <v>132</v>
      </c>
      <c r="B7" s="243" t="s">
        <v>133</v>
      </c>
      <c r="C7" s="243" t="s">
        <v>17</v>
      </c>
      <c r="D7" s="243" t="s">
        <v>395</v>
      </c>
      <c r="E7" s="243" t="s">
        <v>147</v>
      </c>
      <c r="F7" s="243" t="s">
        <v>148</v>
      </c>
      <c r="G7" s="263">
        <v>20</v>
      </c>
      <c r="H7" s="250">
        <f>SUM(G2:G7)</f>
        <v>105</v>
      </c>
    </row>
    <row r="8" spans="1:8" ht="40.5" x14ac:dyDescent="0.25">
      <c r="A8" s="243" t="s">
        <v>114</v>
      </c>
      <c r="B8" s="243" t="s">
        <v>115</v>
      </c>
      <c r="C8" s="243" t="s">
        <v>20</v>
      </c>
      <c r="D8" s="243" t="s">
        <v>398</v>
      </c>
      <c r="E8" s="243" t="s">
        <v>149</v>
      </c>
      <c r="F8" s="243" t="s">
        <v>150</v>
      </c>
      <c r="G8" s="263">
        <v>10</v>
      </c>
      <c r="H8" s="250"/>
    </row>
    <row r="9" spans="1:8" ht="40.5" x14ac:dyDescent="0.25">
      <c r="A9" s="243" t="s">
        <v>114</v>
      </c>
      <c r="B9" s="243" t="s">
        <v>115</v>
      </c>
      <c r="C9" s="243" t="s">
        <v>20</v>
      </c>
      <c r="D9" s="243" t="s">
        <v>398</v>
      </c>
      <c r="E9" s="243" t="s">
        <v>151</v>
      </c>
      <c r="F9" s="243" t="s">
        <v>152</v>
      </c>
      <c r="G9" s="263">
        <v>20</v>
      </c>
      <c r="H9" s="250"/>
    </row>
    <row r="10" spans="1:8" ht="40.5" x14ac:dyDescent="0.25">
      <c r="A10" s="243" t="s">
        <v>130</v>
      </c>
      <c r="B10" s="243" t="s">
        <v>131</v>
      </c>
      <c r="C10" s="243" t="s">
        <v>20</v>
      </c>
      <c r="D10" s="243" t="s">
        <v>398</v>
      </c>
      <c r="E10" s="243" t="s">
        <v>149</v>
      </c>
      <c r="F10" s="243" t="s">
        <v>150</v>
      </c>
      <c r="G10" s="263">
        <v>15</v>
      </c>
      <c r="H10" s="250"/>
    </row>
    <row r="11" spans="1:8" ht="40.5" x14ac:dyDescent="0.25">
      <c r="A11" s="243" t="s">
        <v>130</v>
      </c>
      <c r="B11" s="243" t="s">
        <v>131</v>
      </c>
      <c r="C11" s="243" t="s">
        <v>20</v>
      </c>
      <c r="D11" s="243" t="s">
        <v>398</v>
      </c>
      <c r="E11" s="243" t="s">
        <v>151</v>
      </c>
      <c r="F11" s="243" t="s">
        <v>152</v>
      </c>
      <c r="G11" s="263">
        <v>15</v>
      </c>
      <c r="H11" s="250"/>
    </row>
    <row r="12" spans="1:8" ht="40.5" x14ac:dyDescent="0.25">
      <c r="A12" s="243" t="s">
        <v>132</v>
      </c>
      <c r="B12" s="243" t="s">
        <v>133</v>
      </c>
      <c r="C12" s="243" t="s">
        <v>20</v>
      </c>
      <c r="D12" s="243" t="s">
        <v>398</v>
      </c>
      <c r="E12" s="243" t="s">
        <v>149</v>
      </c>
      <c r="F12" s="243" t="s">
        <v>150</v>
      </c>
      <c r="G12" s="263">
        <v>50</v>
      </c>
      <c r="H12" s="250">
        <f>SUM(G8:G12)</f>
        <v>110</v>
      </c>
    </row>
    <row r="13" spans="1:8" ht="27" x14ac:dyDescent="0.25">
      <c r="A13" s="243" t="s">
        <v>98</v>
      </c>
      <c r="B13" s="243" t="s">
        <v>99</v>
      </c>
      <c r="C13" s="243" t="s">
        <v>22</v>
      </c>
      <c r="D13" s="243" t="s">
        <v>401</v>
      </c>
      <c r="E13" s="243" t="s">
        <v>153</v>
      </c>
      <c r="F13" s="243" t="s">
        <v>154</v>
      </c>
      <c r="G13" s="263">
        <v>0</v>
      </c>
      <c r="H13" s="250"/>
    </row>
    <row r="14" spans="1:8" ht="27" x14ac:dyDescent="0.25">
      <c r="A14" s="243" t="s">
        <v>98</v>
      </c>
      <c r="B14" s="243" t="s">
        <v>99</v>
      </c>
      <c r="C14" s="243" t="s">
        <v>22</v>
      </c>
      <c r="D14" s="243" t="s">
        <v>401</v>
      </c>
      <c r="E14" s="243" t="s">
        <v>155</v>
      </c>
      <c r="F14" s="243" t="s">
        <v>156</v>
      </c>
      <c r="G14" s="263">
        <v>0</v>
      </c>
      <c r="H14" s="250"/>
    </row>
    <row r="15" spans="1:8" ht="27" x14ac:dyDescent="0.25">
      <c r="A15" s="243" t="s">
        <v>98</v>
      </c>
      <c r="B15" s="243" t="s">
        <v>99</v>
      </c>
      <c r="C15" s="243" t="s">
        <v>22</v>
      </c>
      <c r="D15" s="243" t="s">
        <v>401</v>
      </c>
      <c r="E15" s="243" t="s">
        <v>157</v>
      </c>
      <c r="F15" s="243" t="s">
        <v>158</v>
      </c>
      <c r="G15" s="263">
        <v>0</v>
      </c>
      <c r="H15" s="250"/>
    </row>
    <row r="16" spans="1:8" ht="27" x14ac:dyDescent="0.25">
      <c r="A16" s="243" t="s">
        <v>102</v>
      </c>
      <c r="B16" s="243" t="s">
        <v>103</v>
      </c>
      <c r="C16" s="243" t="s">
        <v>22</v>
      </c>
      <c r="D16" s="243" t="s">
        <v>401</v>
      </c>
      <c r="E16" s="243" t="s">
        <v>153</v>
      </c>
      <c r="F16" s="243" t="s">
        <v>154</v>
      </c>
      <c r="G16" s="263">
        <v>35</v>
      </c>
      <c r="H16" s="250"/>
    </row>
    <row r="17" spans="1:8" ht="27" x14ac:dyDescent="0.25">
      <c r="A17" s="243" t="s">
        <v>102</v>
      </c>
      <c r="B17" s="243" t="s">
        <v>103</v>
      </c>
      <c r="C17" s="243" t="s">
        <v>22</v>
      </c>
      <c r="D17" s="243" t="s">
        <v>401</v>
      </c>
      <c r="E17" s="243" t="s">
        <v>155</v>
      </c>
      <c r="F17" s="243" t="s">
        <v>156</v>
      </c>
      <c r="G17" s="263">
        <v>25</v>
      </c>
      <c r="H17" s="250"/>
    </row>
    <row r="18" spans="1:8" ht="27" x14ac:dyDescent="0.25">
      <c r="A18" s="243" t="s">
        <v>102</v>
      </c>
      <c r="B18" s="243" t="s">
        <v>103</v>
      </c>
      <c r="C18" s="243" t="s">
        <v>22</v>
      </c>
      <c r="D18" s="243" t="s">
        <v>401</v>
      </c>
      <c r="E18" s="243" t="s">
        <v>157</v>
      </c>
      <c r="F18" s="243" t="s">
        <v>158</v>
      </c>
      <c r="G18" s="263">
        <v>20</v>
      </c>
      <c r="H18" s="250"/>
    </row>
    <row r="19" spans="1:8" ht="27" x14ac:dyDescent="0.25">
      <c r="A19" s="243" t="s">
        <v>119</v>
      </c>
      <c r="B19" s="243" t="s">
        <v>120</v>
      </c>
      <c r="C19" s="243" t="s">
        <v>22</v>
      </c>
      <c r="D19" s="243" t="s">
        <v>401</v>
      </c>
      <c r="E19" s="243" t="s">
        <v>153</v>
      </c>
      <c r="F19" s="243" t="s">
        <v>154</v>
      </c>
      <c r="G19" s="263">
        <v>15</v>
      </c>
      <c r="H19" s="250"/>
    </row>
    <row r="20" spans="1:8" ht="27" x14ac:dyDescent="0.25">
      <c r="A20" s="243" t="s">
        <v>119</v>
      </c>
      <c r="B20" s="243" t="s">
        <v>120</v>
      </c>
      <c r="C20" s="243" t="s">
        <v>22</v>
      </c>
      <c r="D20" s="243" t="s">
        <v>401</v>
      </c>
      <c r="E20" s="243" t="s">
        <v>155</v>
      </c>
      <c r="F20" s="243" t="s">
        <v>156</v>
      </c>
      <c r="G20" s="263">
        <v>15</v>
      </c>
      <c r="H20" s="250"/>
    </row>
    <row r="21" spans="1:8" ht="27" x14ac:dyDescent="0.25">
      <c r="A21" s="243" t="s">
        <v>119</v>
      </c>
      <c r="B21" s="243" t="s">
        <v>120</v>
      </c>
      <c r="C21" s="243" t="s">
        <v>22</v>
      </c>
      <c r="D21" s="243" t="s">
        <v>401</v>
      </c>
      <c r="E21" s="243" t="s">
        <v>157</v>
      </c>
      <c r="F21" s="243" t="s">
        <v>158</v>
      </c>
      <c r="G21" s="263">
        <v>30</v>
      </c>
      <c r="H21" s="250"/>
    </row>
    <row r="22" spans="1:8" ht="27" x14ac:dyDescent="0.25">
      <c r="A22" s="243" t="s">
        <v>121</v>
      </c>
      <c r="B22" s="243" t="s">
        <v>122</v>
      </c>
      <c r="C22" s="243" t="s">
        <v>22</v>
      </c>
      <c r="D22" s="243" t="s">
        <v>401</v>
      </c>
      <c r="E22" s="243" t="s">
        <v>153</v>
      </c>
      <c r="F22" s="243" t="s">
        <v>154</v>
      </c>
      <c r="G22" s="263">
        <v>11</v>
      </c>
      <c r="H22" s="250"/>
    </row>
    <row r="23" spans="1:8" ht="27" x14ac:dyDescent="0.25">
      <c r="A23" s="243" t="s">
        <v>121</v>
      </c>
      <c r="B23" s="243" t="s">
        <v>122</v>
      </c>
      <c r="C23" s="243" t="s">
        <v>22</v>
      </c>
      <c r="D23" s="243" t="s">
        <v>401</v>
      </c>
      <c r="E23" s="243" t="s">
        <v>155</v>
      </c>
      <c r="F23" s="243" t="s">
        <v>156</v>
      </c>
      <c r="G23" s="263">
        <v>11</v>
      </c>
      <c r="H23" s="250"/>
    </row>
    <row r="24" spans="1:8" ht="27" x14ac:dyDescent="0.25">
      <c r="A24" s="243" t="s">
        <v>121</v>
      </c>
      <c r="B24" s="243" t="s">
        <v>122</v>
      </c>
      <c r="C24" s="243" t="s">
        <v>22</v>
      </c>
      <c r="D24" s="243" t="s">
        <v>401</v>
      </c>
      <c r="E24" s="243" t="s">
        <v>157</v>
      </c>
      <c r="F24" s="243" t="s">
        <v>158</v>
      </c>
      <c r="G24" s="263">
        <v>11</v>
      </c>
      <c r="H24" s="250"/>
    </row>
    <row r="25" spans="1:8" ht="27" x14ac:dyDescent="0.25">
      <c r="A25" s="243" t="s">
        <v>128</v>
      </c>
      <c r="B25" s="243" t="s">
        <v>129</v>
      </c>
      <c r="C25" s="243" t="s">
        <v>22</v>
      </c>
      <c r="D25" s="243" t="s">
        <v>401</v>
      </c>
      <c r="E25" s="243" t="s">
        <v>153</v>
      </c>
      <c r="F25" s="243" t="s">
        <v>154</v>
      </c>
      <c r="G25" s="263">
        <v>15</v>
      </c>
      <c r="H25" s="250"/>
    </row>
    <row r="26" spans="1:8" ht="27" x14ac:dyDescent="0.25">
      <c r="A26" s="243" t="s">
        <v>128</v>
      </c>
      <c r="B26" s="243" t="s">
        <v>129</v>
      </c>
      <c r="C26" s="243" t="s">
        <v>22</v>
      </c>
      <c r="D26" s="243" t="s">
        <v>401</v>
      </c>
      <c r="E26" s="243" t="s">
        <v>155</v>
      </c>
      <c r="F26" s="243" t="s">
        <v>156</v>
      </c>
      <c r="G26" s="263">
        <v>15</v>
      </c>
      <c r="H26" s="250"/>
    </row>
    <row r="27" spans="1:8" ht="27" x14ac:dyDescent="0.25">
      <c r="A27" s="243" t="s">
        <v>128</v>
      </c>
      <c r="B27" s="243" t="s">
        <v>129</v>
      </c>
      <c r="C27" s="243" t="s">
        <v>22</v>
      </c>
      <c r="D27" s="243" t="s">
        <v>401</v>
      </c>
      <c r="E27" s="243" t="s">
        <v>157</v>
      </c>
      <c r="F27" s="243" t="s">
        <v>158</v>
      </c>
      <c r="G27" s="263">
        <v>20</v>
      </c>
      <c r="H27" s="250">
        <f>SUM(G13:G27)</f>
        <v>223</v>
      </c>
    </row>
    <row r="28" spans="1:8" ht="40.5" x14ac:dyDescent="0.25">
      <c r="A28" s="243" t="s">
        <v>98</v>
      </c>
      <c r="B28" s="243" t="s">
        <v>99</v>
      </c>
      <c r="C28" s="243" t="s">
        <v>25</v>
      </c>
      <c r="D28" s="243" t="s">
        <v>404</v>
      </c>
      <c r="E28" s="243" t="s">
        <v>159</v>
      </c>
      <c r="F28" s="243" t="s">
        <v>160</v>
      </c>
      <c r="G28" s="263">
        <v>0</v>
      </c>
      <c r="H28" s="250"/>
    </row>
    <row r="29" spans="1:8" ht="40.5" x14ac:dyDescent="0.25">
      <c r="A29" s="243" t="s">
        <v>98</v>
      </c>
      <c r="B29" s="243" t="s">
        <v>99</v>
      </c>
      <c r="C29" s="243" t="s">
        <v>25</v>
      </c>
      <c r="D29" s="243" t="s">
        <v>404</v>
      </c>
      <c r="E29" s="243" t="s">
        <v>161</v>
      </c>
      <c r="F29" s="243" t="s">
        <v>162</v>
      </c>
      <c r="G29" s="263">
        <v>0</v>
      </c>
      <c r="H29" s="250"/>
    </row>
    <row r="30" spans="1:8" ht="40.5" x14ac:dyDescent="0.25">
      <c r="A30" s="243" t="s">
        <v>98</v>
      </c>
      <c r="B30" s="243" t="s">
        <v>99</v>
      </c>
      <c r="C30" s="243" t="s">
        <v>25</v>
      </c>
      <c r="D30" s="243" t="s">
        <v>404</v>
      </c>
      <c r="E30" s="243" t="s">
        <v>163</v>
      </c>
      <c r="F30" s="243" t="s">
        <v>164</v>
      </c>
      <c r="G30" s="263">
        <v>0</v>
      </c>
      <c r="H30" s="250">
        <f>SUM(G28:G30)</f>
        <v>0</v>
      </c>
    </row>
    <row r="31" spans="1:8" ht="27" x14ac:dyDescent="0.25">
      <c r="A31" s="243" t="s">
        <v>92</v>
      </c>
      <c r="B31" s="243" t="s">
        <v>93</v>
      </c>
      <c r="C31" s="243" t="s">
        <v>27</v>
      </c>
      <c r="D31" s="243" t="s">
        <v>436</v>
      </c>
      <c r="E31" s="243" t="s">
        <v>165</v>
      </c>
      <c r="F31" s="243" t="s">
        <v>166</v>
      </c>
      <c r="G31" s="263">
        <v>20</v>
      </c>
      <c r="H31" s="250"/>
    </row>
    <row r="32" spans="1:8" ht="27" x14ac:dyDescent="0.25">
      <c r="A32" s="243" t="s">
        <v>92</v>
      </c>
      <c r="B32" s="243" t="s">
        <v>93</v>
      </c>
      <c r="C32" s="243" t="s">
        <v>27</v>
      </c>
      <c r="D32" s="243" t="s">
        <v>436</v>
      </c>
      <c r="E32" s="243" t="s">
        <v>167</v>
      </c>
      <c r="F32" s="243" t="s">
        <v>168</v>
      </c>
      <c r="G32" s="263">
        <v>20</v>
      </c>
      <c r="H32" s="250"/>
    </row>
    <row r="33" spans="1:8" ht="27" x14ac:dyDescent="0.25">
      <c r="A33" s="243" t="s">
        <v>92</v>
      </c>
      <c r="B33" s="243" t="s">
        <v>93</v>
      </c>
      <c r="C33" s="243" t="s">
        <v>27</v>
      </c>
      <c r="D33" s="243" t="s">
        <v>436</v>
      </c>
      <c r="E33" s="243" t="s">
        <v>169</v>
      </c>
      <c r="F33" s="243" t="s">
        <v>170</v>
      </c>
      <c r="G33" s="263">
        <v>20</v>
      </c>
      <c r="H33" s="250"/>
    </row>
    <row r="34" spans="1:8" ht="27" x14ac:dyDescent="0.25">
      <c r="A34" s="243" t="s">
        <v>94</v>
      </c>
      <c r="B34" s="243" t="s">
        <v>95</v>
      </c>
      <c r="C34" s="243" t="s">
        <v>27</v>
      </c>
      <c r="D34" s="243" t="s">
        <v>436</v>
      </c>
      <c r="E34" s="243" t="s">
        <v>165</v>
      </c>
      <c r="F34" s="243" t="s">
        <v>166</v>
      </c>
      <c r="G34" s="263">
        <v>15</v>
      </c>
      <c r="H34" s="250"/>
    </row>
    <row r="35" spans="1:8" ht="27" x14ac:dyDescent="0.25">
      <c r="A35" s="243" t="s">
        <v>94</v>
      </c>
      <c r="B35" s="243" t="s">
        <v>95</v>
      </c>
      <c r="C35" s="243" t="s">
        <v>27</v>
      </c>
      <c r="D35" s="243" t="s">
        <v>436</v>
      </c>
      <c r="E35" s="243" t="s">
        <v>167</v>
      </c>
      <c r="F35" s="243" t="s">
        <v>168</v>
      </c>
      <c r="G35" s="263">
        <v>20</v>
      </c>
      <c r="H35" s="250"/>
    </row>
    <row r="36" spans="1:8" ht="27" x14ac:dyDescent="0.25">
      <c r="A36" s="243" t="s">
        <v>94</v>
      </c>
      <c r="B36" s="243" t="s">
        <v>95</v>
      </c>
      <c r="C36" s="243" t="s">
        <v>27</v>
      </c>
      <c r="D36" s="243" t="s">
        <v>436</v>
      </c>
      <c r="E36" s="243" t="s">
        <v>169</v>
      </c>
      <c r="F36" s="243" t="s">
        <v>170</v>
      </c>
      <c r="G36" s="263">
        <v>20</v>
      </c>
      <c r="H36" s="250"/>
    </row>
    <row r="37" spans="1:8" ht="27" x14ac:dyDescent="0.25">
      <c r="A37" s="243" t="s">
        <v>96</v>
      </c>
      <c r="B37" s="243" t="s">
        <v>97</v>
      </c>
      <c r="C37" s="243" t="s">
        <v>27</v>
      </c>
      <c r="D37" s="243" t="s">
        <v>436</v>
      </c>
      <c r="E37" s="243" t="s">
        <v>165</v>
      </c>
      <c r="F37" s="243" t="s">
        <v>166</v>
      </c>
      <c r="G37" s="263">
        <v>20</v>
      </c>
      <c r="H37" s="250"/>
    </row>
    <row r="38" spans="1:8" ht="27" x14ac:dyDescent="0.25">
      <c r="A38" s="243" t="s">
        <v>96</v>
      </c>
      <c r="B38" s="243" t="s">
        <v>97</v>
      </c>
      <c r="C38" s="243" t="s">
        <v>27</v>
      </c>
      <c r="D38" s="243" t="s">
        <v>436</v>
      </c>
      <c r="E38" s="243" t="s">
        <v>167</v>
      </c>
      <c r="F38" s="243" t="s">
        <v>168</v>
      </c>
      <c r="G38" s="263">
        <v>20</v>
      </c>
      <c r="H38" s="250"/>
    </row>
    <row r="39" spans="1:8" ht="27" x14ac:dyDescent="0.25">
      <c r="A39" s="243" t="s">
        <v>96</v>
      </c>
      <c r="B39" s="243" t="s">
        <v>97</v>
      </c>
      <c r="C39" s="243" t="s">
        <v>27</v>
      </c>
      <c r="D39" s="243" t="s">
        <v>436</v>
      </c>
      <c r="E39" s="243" t="s">
        <v>169</v>
      </c>
      <c r="F39" s="243" t="s">
        <v>170</v>
      </c>
      <c r="G39" s="263">
        <v>20</v>
      </c>
      <c r="H39" s="250"/>
    </row>
    <row r="40" spans="1:8" ht="27" x14ac:dyDescent="0.25">
      <c r="A40" s="243" t="s">
        <v>110</v>
      </c>
      <c r="B40" s="243" t="s">
        <v>111</v>
      </c>
      <c r="C40" s="243" t="s">
        <v>27</v>
      </c>
      <c r="D40" s="243" t="s">
        <v>436</v>
      </c>
      <c r="E40" s="243" t="s">
        <v>165</v>
      </c>
      <c r="F40" s="243" t="s">
        <v>166</v>
      </c>
      <c r="G40" s="263">
        <v>0</v>
      </c>
      <c r="H40" s="250"/>
    </row>
    <row r="41" spans="1:8" ht="27" x14ac:dyDescent="0.25">
      <c r="A41" s="243" t="s">
        <v>110</v>
      </c>
      <c r="B41" s="243" t="s">
        <v>111</v>
      </c>
      <c r="C41" s="243" t="s">
        <v>27</v>
      </c>
      <c r="D41" s="243" t="s">
        <v>436</v>
      </c>
      <c r="E41" s="243" t="s">
        <v>167</v>
      </c>
      <c r="F41" s="243" t="s">
        <v>168</v>
      </c>
      <c r="G41" s="263">
        <v>0</v>
      </c>
      <c r="H41" s="250"/>
    </row>
    <row r="42" spans="1:8" ht="27" x14ac:dyDescent="0.25">
      <c r="A42" s="243" t="s">
        <v>110</v>
      </c>
      <c r="B42" s="243" t="s">
        <v>111</v>
      </c>
      <c r="C42" s="243" t="s">
        <v>27</v>
      </c>
      <c r="D42" s="243" t="s">
        <v>436</v>
      </c>
      <c r="E42" s="243" t="s">
        <v>169</v>
      </c>
      <c r="F42" s="243" t="s">
        <v>170</v>
      </c>
      <c r="G42" s="263">
        <v>0</v>
      </c>
      <c r="H42" s="250"/>
    </row>
    <row r="43" spans="1:8" ht="27" x14ac:dyDescent="0.25">
      <c r="A43" s="243" t="s">
        <v>117</v>
      </c>
      <c r="B43" s="243" t="s">
        <v>118</v>
      </c>
      <c r="C43" s="243" t="s">
        <v>27</v>
      </c>
      <c r="D43" s="243" t="s">
        <v>436</v>
      </c>
      <c r="E43" s="243" t="s">
        <v>165</v>
      </c>
      <c r="F43" s="243" t="s">
        <v>166</v>
      </c>
      <c r="G43" s="263">
        <v>22</v>
      </c>
      <c r="H43" s="250"/>
    </row>
    <row r="44" spans="1:8" ht="27" x14ac:dyDescent="0.25">
      <c r="A44" s="243" t="s">
        <v>117</v>
      </c>
      <c r="B44" s="243" t="s">
        <v>118</v>
      </c>
      <c r="C44" s="243" t="s">
        <v>27</v>
      </c>
      <c r="D44" s="243" t="s">
        <v>436</v>
      </c>
      <c r="E44" s="243" t="s">
        <v>167</v>
      </c>
      <c r="F44" s="243" t="s">
        <v>168</v>
      </c>
      <c r="G44" s="263">
        <v>28</v>
      </c>
      <c r="H44" s="250"/>
    </row>
    <row r="45" spans="1:8" ht="27" x14ac:dyDescent="0.25">
      <c r="A45" s="243" t="s">
        <v>117</v>
      </c>
      <c r="B45" s="243" t="s">
        <v>118</v>
      </c>
      <c r="C45" s="243" t="s">
        <v>27</v>
      </c>
      <c r="D45" s="243" t="s">
        <v>436</v>
      </c>
      <c r="E45" s="243" t="s">
        <v>169</v>
      </c>
      <c r="F45" s="243" t="s">
        <v>170</v>
      </c>
      <c r="G45" s="263">
        <v>18</v>
      </c>
      <c r="H45" s="250"/>
    </row>
    <row r="46" spans="1:8" ht="27" x14ac:dyDescent="0.25">
      <c r="A46" s="243" t="s">
        <v>126</v>
      </c>
      <c r="B46" s="243" t="s">
        <v>127</v>
      </c>
      <c r="C46" s="243" t="s">
        <v>27</v>
      </c>
      <c r="D46" s="243" t="s">
        <v>436</v>
      </c>
      <c r="E46" s="243" t="s">
        <v>165</v>
      </c>
      <c r="F46" s="243" t="s">
        <v>166</v>
      </c>
      <c r="G46" s="263">
        <v>13</v>
      </c>
      <c r="H46" s="250"/>
    </row>
    <row r="47" spans="1:8" ht="27" x14ac:dyDescent="0.25">
      <c r="A47" s="243" t="s">
        <v>126</v>
      </c>
      <c r="B47" s="243" t="s">
        <v>127</v>
      </c>
      <c r="C47" s="243" t="s">
        <v>27</v>
      </c>
      <c r="D47" s="243" t="s">
        <v>436</v>
      </c>
      <c r="E47" s="243" t="s">
        <v>167</v>
      </c>
      <c r="F47" s="243" t="s">
        <v>168</v>
      </c>
      <c r="G47" s="263">
        <v>13</v>
      </c>
      <c r="H47" s="250"/>
    </row>
    <row r="48" spans="1:8" ht="27" x14ac:dyDescent="0.25">
      <c r="A48" s="243" t="s">
        <v>126</v>
      </c>
      <c r="B48" s="243" t="s">
        <v>127</v>
      </c>
      <c r="C48" s="243" t="s">
        <v>27</v>
      </c>
      <c r="D48" s="243" t="s">
        <v>436</v>
      </c>
      <c r="E48" s="243" t="s">
        <v>169</v>
      </c>
      <c r="F48" s="243" t="s">
        <v>170</v>
      </c>
      <c r="G48" s="263">
        <v>13</v>
      </c>
      <c r="H48" s="250">
        <f>SUM(G31:G48)</f>
        <v>282</v>
      </c>
    </row>
    <row r="49" spans="1:8" ht="40.5" x14ac:dyDescent="0.25">
      <c r="A49" s="243" t="s">
        <v>104</v>
      </c>
      <c r="B49" s="243" t="s">
        <v>105</v>
      </c>
      <c r="C49" s="243" t="s">
        <v>30</v>
      </c>
      <c r="D49" s="243" t="s">
        <v>411</v>
      </c>
      <c r="E49" s="243" t="s">
        <v>171</v>
      </c>
      <c r="F49" s="243" t="s">
        <v>172</v>
      </c>
      <c r="G49" s="263">
        <v>7</v>
      </c>
      <c r="H49" s="250"/>
    </row>
    <row r="50" spans="1:8" ht="40.5" x14ac:dyDescent="0.25">
      <c r="A50" s="243" t="s">
        <v>104</v>
      </c>
      <c r="B50" s="243" t="s">
        <v>105</v>
      </c>
      <c r="C50" s="243" t="s">
        <v>30</v>
      </c>
      <c r="D50" s="243" t="s">
        <v>411</v>
      </c>
      <c r="E50" s="243" t="s">
        <v>173</v>
      </c>
      <c r="F50" s="243" t="s">
        <v>174</v>
      </c>
      <c r="G50" s="263">
        <v>15</v>
      </c>
      <c r="H50" s="250"/>
    </row>
    <row r="51" spans="1:8" ht="40.5" x14ac:dyDescent="0.25">
      <c r="A51" s="243" t="s">
        <v>104</v>
      </c>
      <c r="B51" s="243" t="s">
        <v>105</v>
      </c>
      <c r="C51" s="243" t="s">
        <v>30</v>
      </c>
      <c r="D51" s="243" t="s">
        <v>411</v>
      </c>
      <c r="E51" s="243" t="s">
        <v>175</v>
      </c>
      <c r="F51" s="243" t="s">
        <v>176</v>
      </c>
      <c r="G51" s="263">
        <v>15</v>
      </c>
      <c r="H51" s="250"/>
    </row>
    <row r="52" spans="1:8" ht="40.5" x14ac:dyDescent="0.25">
      <c r="A52" s="243" t="s">
        <v>108</v>
      </c>
      <c r="B52" s="243" t="s">
        <v>109</v>
      </c>
      <c r="C52" s="243" t="s">
        <v>30</v>
      </c>
      <c r="D52" s="243" t="s">
        <v>411</v>
      </c>
      <c r="E52" s="243" t="s">
        <v>171</v>
      </c>
      <c r="F52" s="243" t="s">
        <v>172</v>
      </c>
      <c r="G52" s="263">
        <v>10</v>
      </c>
      <c r="H52" s="250"/>
    </row>
    <row r="53" spans="1:8" ht="40.5" x14ac:dyDescent="0.25">
      <c r="A53" s="243" t="s">
        <v>108</v>
      </c>
      <c r="B53" s="243" t="s">
        <v>109</v>
      </c>
      <c r="C53" s="243" t="s">
        <v>30</v>
      </c>
      <c r="D53" s="243" t="s">
        <v>411</v>
      </c>
      <c r="E53" s="243" t="s">
        <v>173</v>
      </c>
      <c r="F53" s="243" t="s">
        <v>174</v>
      </c>
      <c r="G53" s="263">
        <v>18</v>
      </c>
      <c r="H53" s="250"/>
    </row>
    <row r="54" spans="1:8" ht="40.5" x14ac:dyDescent="0.25">
      <c r="A54" s="243" t="s">
        <v>108</v>
      </c>
      <c r="B54" s="243" t="s">
        <v>109</v>
      </c>
      <c r="C54" s="243" t="s">
        <v>30</v>
      </c>
      <c r="D54" s="243" t="s">
        <v>411</v>
      </c>
      <c r="E54" s="243" t="s">
        <v>175</v>
      </c>
      <c r="F54" s="243" t="s">
        <v>176</v>
      </c>
      <c r="G54" s="263">
        <v>25</v>
      </c>
      <c r="H54" s="250"/>
    </row>
    <row r="55" spans="1:8" ht="40.5" x14ac:dyDescent="0.25">
      <c r="A55" s="243" t="s">
        <v>121</v>
      </c>
      <c r="B55" s="243" t="s">
        <v>122</v>
      </c>
      <c r="C55" s="243" t="s">
        <v>30</v>
      </c>
      <c r="D55" s="243" t="s">
        <v>411</v>
      </c>
      <c r="E55" s="243" t="s">
        <v>171</v>
      </c>
      <c r="F55" s="243" t="s">
        <v>172</v>
      </c>
      <c r="G55" s="263">
        <v>11</v>
      </c>
      <c r="H55" s="250"/>
    </row>
    <row r="56" spans="1:8" ht="40.5" x14ac:dyDescent="0.25">
      <c r="A56" s="243" t="s">
        <v>121</v>
      </c>
      <c r="B56" s="243" t="s">
        <v>122</v>
      </c>
      <c r="C56" s="243" t="s">
        <v>30</v>
      </c>
      <c r="D56" s="243" t="s">
        <v>411</v>
      </c>
      <c r="E56" s="243" t="s">
        <v>173</v>
      </c>
      <c r="F56" s="243" t="s">
        <v>174</v>
      </c>
      <c r="G56" s="263">
        <v>11</v>
      </c>
      <c r="H56" s="250"/>
    </row>
    <row r="57" spans="1:8" ht="40.5" x14ac:dyDescent="0.25">
      <c r="A57" s="243" t="s">
        <v>121</v>
      </c>
      <c r="B57" s="243" t="s">
        <v>122</v>
      </c>
      <c r="C57" s="243" t="s">
        <v>30</v>
      </c>
      <c r="D57" s="243" t="s">
        <v>411</v>
      </c>
      <c r="E57" s="243" t="s">
        <v>175</v>
      </c>
      <c r="F57" s="243" t="s">
        <v>176</v>
      </c>
      <c r="G57" s="263">
        <v>11</v>
      </c>
      <c r="H57" s="250"/>
    </row>
    <row r="58" spans="1:8" ht="40.5" x14ac:dyDescent="0.25">
      <c r="A58" s="243" t="s">
        <v>126</v>
      </c>
      <c r="B58" s="243" t="s">
        <v>127</v>
      </c>
      <c r="C58" s="243" t="s">
        <v>30</v>
      </c>
      <c r="D58" s="243" t="s">
        <v>411</v>
      </c>
      <c r="E58" s="243" t="s">
        <v>171</v>
      </c>
      <c r="F58" s="243" t="s">
        <v>172</v>
      </c>
      <c r="G58" s="263">
        <v>13</v>
      </c>
      <c r="H58" s="250"/>
    </row>
    <row r="59" spans="1:8" ht="40.5" x14ac:dyDescent="0.25">
      <c r="A59" s="243" t="s">
        <v>126</v>
      </c>
      <c r="B59" s="243" t="s">
        <v>127</v>
      </c>
      <c r="C59" s="243" t="s">
        <v>30</v>
      </c>
      <c r="D59" s="243" t="s">
        <v>411</v>
      </c>
      <c r="E59" s="243" t="s">
        <v>173</v>
      </c>
      <c r="F59" s="243" t="s">
        <v>174</v>
      </c>
      <c r="G59" s="263">
        <v>13</v>
      </c>
      <c r="H59" s="250"/>
    </row>
    <row r="60" spans="1:8" ht="40.5" x14ac:dyDescent="0.25">
      <c r="A60" s="243" t="s">
        <v>126</v>
      </c>
      <c r="B60" s="243" t="s">
        <v>127</v>
      </c>
      <c r="C60" s="243" t="s">
        <v>30</v>
      </c>
      <c r="D60" s="243" t="s">
        <v>411</v>
      </c>
      <c r="E60" s="243" t="s">
        <v>175</v>
      </c>
      <c r="F60" s="243" t="s">
        <v>176</v>
      </c>
      <c r="G60" s="263">
        <v>13</v>
      </c>
      <c r="H60" s="250">
        <f>SUM(G49:G60)</f>
        <v>162</v>
      </c>
    </row>
    <row r="61" spans="1:8" ht="40.5" x14ac:dyDescent="0.25">
      <c r="A61" s="243" t="s">
        <v>106</v>
      </c>
      <c r="B61" s="243" t="s">
        <v>107</v>
      </c>
      <c r="C61" s="243" t="s">
        <v>32</v>
      </c>
      <c r="D61" s="243" t="s">
        <v>478</v>
      </c>
      <c r="E61" s="243" t="s">
        <v>177</v>
      </c>
      <c r="F61" s="243" t="s">
        <v>178</v>
      </c>
      <c r="G61" s="263">
        <v>15</v>
      </c>
      <c r="H61" s="250"/>
    </row>
    <row r="62" spans="1:8" ht="40.5" x14ac:dyDescent="0.25">
      <c r="A62" s="243" t="s">
        <v>106</v>
      </c>
      <c r="B62" s="243" t="s">
        <v>107</v>
      </c>
      <c r="C62" s="243" t="s">
        <v>32</v>
      </c>
      <c r="D62" s="243" t="s">
        <v>478</v>
      </c>
      <c r="E62" s="243" t="s">
        <v>179</v>
      </c>
      <c r="F62" s="243" t="s">
        <v>180</v>
      </c>
      <c r="G62" s="263">
        <v>25</v>
      </c>
      <c r="H62" s="250"/>
    </row>
    <row r="63" spans="1:8" ht="40.5" x14ac:dyDescent="0.25">
      <c r="A63" s="243" t="s">
        <v>106</v>
      </c>
      <c r="B63" s="243" t="s">
        <v>107</v>
      </c>
      <c r="C63" s="243" t="s">
        <v>32</v>
      </c>
      <c r="D63" s="243" t="s">
        <v>478</v>
      </c>
      <c r="E63" s="243" t="s">
        <v>181</v>
      </c>
      <c r="F63" s="243" t="s">
        <v>182</v>
      </c>
      <c r="G63" s="263">
        <v>20</v>
      </c>
      <c r="H63" s="250"/>
    </row>
    <row r="64" spans="1:8" ht="40.5" x14ac:dyDescent="0.25">
      <c r="A64" s="243" t="s">
        <v>112</v>
      </c>
      <c r="B64" s="243" t="s">
        <v>113</v>
      </c>
      <c r="C64" s="243" t="s">
        <v>32</v>
      </c>
      <c r="D64" s="243" t="s">
        <v>478</v>
      </c>
      <c r="E64" s="243" t="s">
        <v>177</v>
      </c>
      <c r="F64" s="243" t="s">
        <v>178</v>
      </c>
      <c r="G64" s="263">
        <v>10</v>
      </c>
      <c r="H64" s="250"/>
    </row>
    <row r="65" spans="1:8" ht="40.5" x14ac:dyDescent="0.25">
      <c r="A65" s="243" t="s">
        <v>112</v>
      </c>
      <c r="B65" s="243" t="s">
        <v>113</v>
      </c>
      <c r="C65" s="243" t="s">
        <v>32</v>
      </c>
      <c r="D65" s="243" t="s">
        <v>478</v>
      </c>
      <c r="E65" s="243" t="s">
        <v>179</v>
      </c>
      <c r="F65" s="243" t="s">
        <v>180</v>
      </c>
      <c r="G65" s="263">
        <v>10</v>
      </c>
      <c r="H65" s="250"/>
    </row>
    <row r="66" spans="1:8" ht="40.5" x14ac:dyDescent="0.25">
      <c r="A66" s="243" t="s">
        <v>112</v>
      </c>
      <c r="B66" s="243" t="s">
        <v>113</v>
      </c>
      <c r="C66" s="243" t="s">
        <v>32</v>
      </c>
      <c r="D66" s="243" t="s">
        <v>478</v>
      </c>
      <c r="E66" s="243" t="s">
        <v>181</v>
      </c>
      <c r="F66" s="243" t="s">
        <v>182</v>
      </c>
      <c r="G66" s="263">
        <v>10</v>
      </c>
      <c r="H66" s="250">
        <f>SUM(G61:G66)</f>
        <v>90</v>
      </c>
    </row>
    <row r="67" spans="1:8" ht="27" x14ac:dyDescent="0.25">
      <c r="A67" s="243" t="s">
        <v>100</v>
      </c>
      <c r="B67" s="243" t="s">
        <v>101</v>
      </c>
      <c r="C67" s="243" t="s">
        <v>35</v>
      </c>
      <c r="D67" s="243" t="s">
        <v>418</v>
      </c>
      <c r="E67" s="243" t="s">
        <v>183</v>
      </c>
      <c r="F67" s="243" t="s">
        <v>184</v>
      </c>
      <c r="G67" s="263">
        <v>0</v>
      </c>
      <c r="H67" s="250"/>
    </row>
    <row r="68" spans="1:8" ht="27" x14ac:dyDescent="0.25">
      <c r="A68" s="243" t="s">
        <v>100</v>
      </c>
      <c r="B68" s="243" t="s">
        <v>101</v>
      </c>
      <c r="C68" s="243" t="s">
        <v>35</v>
      </c>
      <c r="D68" s="243" t="s">
        <v>418</v>
      </c>
      <c r="E68" s="243" t="s">
        <v>185</v>
      </c>
      <c r="F68" s="243" t="s">
        <v>186</v>
      </c>
      <c r="G68" s="263">
        <v>0</v>
      </c>
      <c r="H68" s="250"/>
    </row>
    <row r="69" spans="1:8" ht="27" x14ac:dyDescent="0.25">
      <c r="A69" s="243" t="s">
        <v>100</v>
      </c>
      <c r="B69" s="243" t="s">
        <v>101</v>
      </c>
      <c r="C69" s="243" t="s">
        <v>35</v>
      </c>
      <c r="D69" s="243" t="s">
        <v>418</v>
      </c>
      <c r="E69" s="243" t="s">
        <v>187</v>
      </c>
      <c r="F69" s="243" t="s">
        <v>188</v>
      </c>
      <c r="G69" s="263">
        <v>0</v>
      </c>
      <c r="H69" s="250"/>
    </row>
    <row r="70" spans="1:8" ht="27" x14ac:dyDescent="0.25">
      <c r="A70" s="243" t="s">
        <v>104</v>
      </c>
      <c r="B70" s="243" t="s">
        <v>105</v>
      </c>
      <c r="C70" s="243" t="s">
        <v>35</v>
      </c>
      <c r="D70" s="243" t="s">
        <v>418</v>
      </c>
      <c r="E70" s="243" t="s">
        <v>183</v>
      </c>
      <c r="F70" s="243" t="s">
        <v>184</v>
      </c>
      <c r="G70" s="263">
        <v>10</v>
      </c>
      <c r="H70" s="250"/>
    </row>
    <row r="71" spans="1:8" ht="27" x14ac:dyDescent="0.25">
      <c r="A71" s="243" t="s">
        <v>104</v>
      </c>
      <c r="B71" s="243" t="s">
        <v>105</v>
      </c>
      <c r="C71" s="243" t="s">
        <v>35</v>
      </c>
      <c r="D71" s="243" t="s">
        <v>418</v>
      </c>
      <c r="E71" s="243" t="s">
        <v>185</v>
      </c>
      <c r="F71" s="243" t="s">
        <v>186</v>
      </c>
      <c r="G71" s="263">
        <v>10</v>
      </c>
      <c r="H71" s="250"/>
    </row>
    <row r="72" spans="1:8" ht="27" x14ac:dyDescent="0.25">
      <c r="A72" s="243" t="s">
        <v>104</v>
      </c>
      <c r="B72" s="243" t="s">
        <v>105</v>
      </c>
      <c r="C72" s="243" t="s">
        <v>35</v>
      </c>
      <c r="D72" s="243" t="s">
        <v>418</v>
      </c>
      <c r="E72" s="243" t="s">
        <v>187</v>
      </c>
      <c r="F72" s="243" t="s">
        <v>188</v>
      </c>
      <c r="G72" s="263">
        <v>10</v>
      </c>
      <c r="H72" s="250"/>
    </row>
    <row r="73" spans="1:8" ht="27" x14ac:dyDescent="0.25">
      <c r="A73" s="243" t="s">
        <v>124</v>
      </c>
      <c r="B73" s="243" t="s">
        <v>125</v>
      </c>
      <c r="C73" s="243" t="s">
        <v>35</v>
      </c>
      <c r="D73" s="243" t="s">
        <v>418</v>
      </c>
      <c r="E73" s="243" t="s">
        <v>183</v>
      </c>
      <c r="F73" s="243" t="s">
        <v>184</v>
      </c>
      <c r="G73" s="263">
        <v>10</v>
      </c>
      <c r="H73" s="250"/>
    </row>
    <row r="74" spans="1:8" ht="27" x14ac:dyDescent="0.25">
      <c r="A74" s="243" t="s">
        <v>124</v>
      </c>
      <c r="B74" s="243" t="s">
        <v>125</v>
      </c>
      <c r="C74" s="243" t="s">
        <v>35</v>
      </c>
      <c r="D74" s="243" t="s">
        <v>418</v>
      </c>
      <c r="E74" s="243" t="s">
        <v>185</v>
      </c>
      <c r="F74" s="243" t="s">
        <v>186</v>
      </c>
      <c r="G74" s="263">
        <v>10</v>
      </c>
      <c r="H74" s="250"/>
    </row>
    <row r="75" spans="1:8" ht="27" x14ac:dyDescent="0.25">
      <c r="A75" s="243" t="s">
        <v>124</v>
      </c>
      <c r="B75" s="243" t="s">
        <v>125</v>
      </c>
      <c r="C75" s="243" t="s">
        <v>35</v>
      </c>
      <c r="D75" s="243" t="s">
        <v>418</v>
      </c>
      <c r="E75" s="243" t="s">
        <v>187</v>
      </c>
      <c r="F75" s="243" t="s">
        <v>188</v>
      </c>
      <c r="G75" s="263">
        <v>10</v>
      </c>
      <c r="H75" s="250">
        <f>SUM(G67:G75)</f>
        <v>60</v>
      </c>
    </row>
    <row r="76" spans="1:8" ht="27" x14ac:dyDescent="0.25">
      <c r="A76" s="243" t="s">
        <v>114</v>
      </c>
      <c r="B76" s="243" t="s">
        <v>115</v>
      </c>
      <c r="C76" s="243" t="s">
        <v>43</v>
      </c>
      <c r="D76" s="243" t="s">
        <v>37</v>
      </c>
      <c r="E76" s="243" t="s">
        <v>196</v>
      </c>
      <c r="F76" s="243" t="s">
        <v>189</v>
      </c>
      <c r="G76" s="263">
        <v>5</v>
      </c>
      <c r="H76" s="250"/>
    </row>
    <row r="77" spans="1:8" ht="27" x14ac:dyDescent="0.25">
      <c r="A77" s="243" t="s">
        <v>114</v>
      </c>
      <c r="B77" s="243" t="s">
        <v>115</v>
      </c>
      <c r="C77" s="243" t="s">
        <v>43</v>
      </c>
      <c r="D77" s="243" t="s">
        <v>37</v>
      </c>
      <c r="E77" s="243" t="s">
        <v>197</v>
      </c>
      <c r="F77" s="243" t="s">
        <v>190</v>
      </c>
      <c r="G77" s="263">
        <v>5</v>
      </c>
      <c r="H77" s="250"/>
    </row>
    <row r="78" spans="1:8" ht="27" x14ac:dyDescent="0.25">
      <c r="A78" s="243" t="s">
        <v>114</v>
      </c>
      <c r="B78" s="243" t="s">
        <v>115</v>
      </c>
      <c r="C78" s="243" t="s">
        <v>43</v>
      </c>
      <c r="D78" s="243" t="s">
        <v>37</v>
      </c>
      <c r="E78" s="243" t="s">
        <v>198</v>
      </c>
      <c r="F78" s="243" t="s">
        <v>191</v>
      </c>
      <c r="G78" s="263">
        <v>15</v>
      </c>
      <c r="H78" s="250"/>
    </row>
    <row r="79" spans="1:8" ht="27" x14ac:dyDescent="0.25">
      <c r="A79" s="243" t="s">
        <v>117</v>
      </c>
      <c r="B79" s="243" t="s">
        <v>118</v>
      </c>
      <c r="C79" s="243" t="s">
        <v>43</v>
      </c>
      <c r="D79" s="243" t="s">
        <v>37</v>
      </c>
      <c r="E79" s="243" t="s">
        <v>196</v>
      </c>
      <c r="F79" s="243" t="s">
        <v>189</v>
      </c>
      <c r="G79" s="263">
        <v>7</v>
      </c>
      <c r="H79" s="250"/>
    </row>
    <row r="80" spans="1:8" ht="27" x14ac:dyDescent="0.25">
      <c r="A80" s="243" t="s">
        <v>117</v>
      </c>
      <c r="B80" s="243" t="s">
        <v>118</v>
      </c>
      <c r="C80" s="243" t="s">
        <v>43</v>
      </c>
      <c r="D80" s="243" t="s">
        <v>37</v>
      </c>
      <c r="E80" s="243" t="s">
        <v>197</v>
      </c>
      <c r="F80" s="243" t="s">
        <v>190</v>
      </c>
      <c r="G80" s="263">
        <v>12</v>
      </c>
      <c r="H80" s="250"/>
    </row>
    <row r="81" spans="1:8" ht="27" x14ac:dyDescent="0.25">
      <c r="A81" s="243" t="s">
        <v>117</v>
      </c>
      <c r="B81" s="243" t="s">
        <v>118</v>
      </c>
      <c r="C81" s="243" t="s">
        <v>43</v>
      </c>
      <c r="D81" s="243" t="s">
        <v>37</v>
      </c>
      <c r="E81" s="243" t="s">
        <v>198</v>
      </c>
      <c r="F81" s="243" t="s">
        <v>191</v>
      </c>
      <c r="G81" s="263">
        <v>13</v>
      </c>
      <c r="H81" s="250"/>
    </row>
    <row r="82" spans="1:8" ht="27" x14ac:dyDescent="0.25">
      <c r="A82" s="243" t="s">
        <v>121</v>
      </c>
      <c r="B82" s="243" t="s">
        <v>122</v>
      </c>
      <c r="C82" s="243" t="s">
        <v>43</v>
      </c>
      <c r="D82" s="243" t="s">
        <v>37</v>
      </c>
      <c r="E82" s="243" t="s">
        <v>196</v>
      </c>
      <c r="F82" s="243" t="s">
        <v>189</v>
      </c>
      <c r="G82" s="263">
        <v>12</v>
      </c>
      <c r="H82" s="250"/>
    </row>
    <row r="83" spans="1:8" ht="27" x14ac:dyDescent="0.25">
      <c r="A83" s="243" t="s">
        <v>121</v>
      </c>
      <c r="B83" s="243" t="s">
        <v>122</v>
      </c>
      <c r="C83" s="243" t="s">
        <v>43</v>
      </c>
      <c r="D83" s="243" t="s">
        <v>37</v>
      </c>
      <c r="E83" s="243" t="s">
        <v>197</v>
      </c>
      <c r="F83" s="243" t="s">
        <v>190</v>
      </c>
      <c r="G83" s="263">
        <v>11</v>
      </c>
      <c r="H83" s="250"/>
    </row>
    <row r="84" spans="1:8" ht="27" x14ac:dyDescent="0.25">
      <c r="A84" s="243" t="s">
        <v>121</v>
      </c>
      <c r="B84" s="243" t="s">
        <v>122</v>
      </c>
      <c r="C84" s="243" t="s">
        <v>43</v>
      </c>
      <c r="D84" s="243" t="s">
        <v>37</v>
      </c>
      <c r="E84" s="243" t="s">
        <v>198</v>
      </c>
      <c r="F84" s="243" t="s">
        <v>191</v>
      </c>
      <c r="G84" s="263">
        <v>11</v>
      </c>
      <c r="H84" s="250"/>
    </row>
    <row r="85" spans="1:8" ht="27" x14ac:dyDescent="0.25">
      <c r="A85" s="243" t="s">
        <v>124</v>
      </c>
      <c r="B85" s="243" t="s">
        <v>125</v>
      </c>
      <c r="C85" s="243" t="s">
        <v>43</v>
      </c>
      <c r="D85" s="243" t="s">
        <v>37</v>
      </c>
      <c r="E85" s="243" t="s">
        <v>196</v>
      </c>
      <c r="F85" s="243" t="s">
        <v>189</v>
      </c>
      <c r="G85" s="263">
        <v>10</v>
      </c>
      <c r="H85" s="250"/>
    </row>
    <row r="86" spans="1:8" ht="27" x14ac:dyDescent="0.25">
      <c r="A86" s="243" t="s">
        <v>124</v>
      </c>
      <c r="B86" s="243" t="s">
        <v>125</v>
      </c>
      <c r="C86" s="243" t="s">
        <v>43</v>
      </c>
      <c r="D86" s="243" t="s">
        <v>37</v>
      </c>
      <c r="E86" s="243" t="s">
        <v>197</v>
      </c>
      <c r="F86" s="243" t="s">
        <v>190</v>
      </c>
      <c r="G86" s="263">
        <v>10</v>
      </c>
      <c r="H86" s="250"/>
    </row>
    <row r="87" spans="1:8" ht="27" x14ac:dyDescent="0.25">
      <c r="A87" s="243" t="s">
        <v>124</v>
      </c>
      <c r="B87" s="243" t="s">
        <v>125</v>
      </c>
      <c r="C87" s="243" t="s">
        <v>43</v>
      </c>
      <c r="D87" s="243" t="s">
        <v>37</v>
      </c>
      <c r="E87" s="243" t="s">
        <v>198</v>
      </c>
      <c r="F87" s="243" t="s">
        <v>191</v>
      </c>
      <c r="G87" s="263">
        <v>10</v>
      </c>
      <c r="H87" s="250"/>
    </row>
    <row r="88" spans="1:8" ht="27" x14ac:dyDescent="0.25">
      <c r="A88" s="243" t="s">
        <v>126</v>
      </c>
      <c r="B88" s="243" t="s">
        <v>127</v>
      </c>
      <c r="C88" s="243" t="s">
        <v>43</v>
      </c>
      <c r="D88" s="243" t="s">
        <v>37</v>
      </c>
      <c r="E88" s="243" t="s">
        <v>196</v>
      </c>
      <c r="F88" s="243" t="s">
        <v>189</v>
      </c>
      <c r="G88" s="263">
        <v>7</v>
      </c>
      <c r="H88" s="250"/>
    </row>
    <row r="89" spans="1:8" ht="27" x14ac:dyDescent="0.25">
      <c r="A89" s="243" t="s">
        <v>126</v>
      </c>
      <c r="B89" s="243" t="s">
        <v>127</v>
      </c>
      <c r="C89" s="243" t="s">
        <v>43</v>
      </c>
      <c r="D89" s="243" t="s">
        <v>37</v>
      </c>
      <c r="E89" s="243" t="s">
        <v>197</v>
      </c>
      <c r="F89" s="243" t="s">
        <v>190</v>
      </c>
      <c r="G89" s="263">
        <v>7</v>
      </c>
      <c r="H89" s="250"/>
    </row>
    <row r="90" spans="1:8" ht="27" x14ac:dyDescent="0.25">
      <c r="A90" s="243" t="s">
        <v>126</v>
      </c>
      <c r="B90" s="243" t="s">
        <v>127</v>
      </c>
      <c r="C90" s="243" t="s">
        <v>43</v>
      </c>
      <c r="D90" s="243" t="s">
        <v>37</v>
      </c>
      <c r="E90" s="243" t="s">
        <v>198</v>
      </c>
      <c r="F90" s="243" t="s">
        <v>191</v>
      </c>
      <c r="G90" s="263">
        <v>8</v>
      </c>
      <c r="H90" s="250"/>
    </row>
    <row r="91" spans="1:8" ht="27" x14ac:dyDescent="0.25">
      <c r="A91" s="243" t="s">
        <v>128</v>
      </c>
      <c r="B91" s="243" t="s">
        <v>129</v>
      </c>
      <c r="C91" s="243" t="s">
        <v>43</v>
      </c>
      <c r="D91" s="243" t="s">
        <v>37</v>
      </c>
      <c r="E91" s="243" t="s">
        <v>196</v>
      </c>
      <c r="F91" s="243" t="s">
        <v>189</v>
      </c>
      <c r="G91" s="263">
        <v>15</v>
      </c>
      <c r="H91" s="250"/>
    </row>
    <row r="92" spans="1:8" ht="27" x14ac:dyDescent="0.25">
      <c r="A92" s="243" t="s">
        <v>128</v>
      </c>
      <c r="B92" s="243" t="s">
        <v>129</v>
      </c>
      <c r="C92" s="243" t="s">
        <v>43</v>
      </c>
      <c r="D92" s="243" t="s">
        <v>37</v>
      </c>
      <c r="E92" s="243" t="s">
        <v>197</v>
      </c>
      <c r="F92" s="243" t="s">
        <v>190</v>
      </c>
      <c r="G92" s="263">
        <v>15</v>
      </c>
      <c r="H92" s="250"/>
    </row>
    <row r="93" spans="1:8" ht="27" x14ac:dyDescent="0.25">
      <c r="A93" s="243" t="s">
        <v>128</v>
      </c>
      <c r="B93" s="243" t="s">
        <v>129</v>
      </c>
      <c r="C93" s="243" t="s">
        <v>43</v>
      </c>
      <c r="D93" s="243" t="s">
        <v>37</v>
      </c>
      <c r="E93" s="243" t="s">
        <v>198</v>
      </c>
      <c r="F93" s="243" t="s">
        <v>191</v>
      </c>
      <c r="G93" s="263">
        <v>20</v>
      </c>
      <c r="H93" s="250"/>
    </row>
    <row r="94" spans="1:8" ht="27" x14ac:dyDescent="0.25">
      <c r="A94" s="243" t="s">
        <v>130</v>
      </c>
      <c r="B94" s="243" t="s">
        <v>131</v>
      </c>
      <c r="C94" s="243" t="s">
        <v>43</v>
      </c>
      <c r="D94" s="243" t="s">
        <v>37</v>
      </c>
      <c r="E94" s="243" t="s">
        <v>196</v>
      </c>
      <c r="F94" s="243" t="s">
        <v>189</v>
      </c>
      <c r="G94" s="263">
        <v>10</v>
      </c>
      <c r="H94" s="250"/>
    </row>
    <row r="95" spans="1:8" ht="27" x14ac:dyDescent="0.25">
      <c r="A95" s="243" t="s">
        <v>130</v>
      </c>
      <c r="B95" s="243" t="s">
        <v>131</v>
      </c>
      <c r="C95" s="243" t="s">
        <v>43</v>
      </c>
      <c r="D95" s="243" t="s">
        <v>37</v>
      </c>
      <c r="E95" s="243" t="s">
        <v>197</v>
      </c>
      <c r="F95" s="243" t="s">
        <v>190</v>
      </c>
      <c r="G95" s="263">
        <v>10</v>
      </c>
      <c r="H95" s="250"/>
    </row>
    <row r="96" spans="1:8" ht="27" x14ac:dyDescent="0.25">
      <c r="A96" s="243" t="s">
        <v>130</v>
      </c>
      <c r="B96" s="243" t="s">
        <v>131</v>
      </c>
      <c r="C96" s="243" t="s">
        <v>43</v>
      </c>
      <c r="D96" s="243" t="s">
        <v>37</v>
      </c>
      <c r="E96" s="243" t="s">
        <v>198</v>
      </c>
      <c r="F96" s="243" t="s">
        <v>191</v>
      </c>
      <c r="G96" s="263">
        <v>15</v>
      </c>
      <c r="H96" s="250">
        <f>SUM(G76:G96)</f>
        <v>228</v>
      </c>
    </row>
    <row r="97" spans="1:8" ht="27" x14ac:dyDescent="0.25">
      <c r="A97" s="243" t="s">
        <v>92</v>
      </c>
      <c r="B97" s="243" t="s">
        <v>93</v>
      </c>
      <c r="C97" s="243" t="s">
        <v>44</v>
      </c>
      <c r="D97" s="243" t="s">
        <v>39</v>
      </c>
      <c r="E97" s="243" t="s">
        <v>199</v>
      </c>
      <c r="F97" s="243" t="s">
        <v>192</v>
      </c>
      <c r="G97" s="263">
        <v>20</v>
      </c>
      <c r="H97" s="250"/>
    </row>
    <row r="98" spans="1:8" ht="27" x14ac:dyDescent="0.25">
      <c r="A98" s="243" t="s">
        <v>92</v>
      </c>
      <c r="B98" s="243" t="s">
        <v>93</v>
      </c>
      <c r="C98" s="243" t="s">
        <v>44</v>
      </c>
      <c r="D98" s="243" t="s">
        <v>39</v>
      </c>
      <c r="E98" s="243" t="s">
        <v>200</v>
      </c>
      <c r="F98" s="243" t="s">
        <v>193</v>
      </c>
      <c r="G98" s="263">
        <v>20</v>
      </c>
      <c r="H98" s="250"/>
    </row>
    <row r="99" spans="1:8" ht="27" x14ac:dyDescent="0.25">
      <c r="A99" s="243" t="s">
        <v>94</v>
      </c>
      <c r="B99" s="243" t="s">
        <v>95</v>
      </c>
      <c r="C99" s="243" t="s">
        <v>44</v>
      </c>
      <c r="D99" s="243" t="s">
        <v>39</v>
      </c>
      <c r="E99" s="243" t="s">
        <v>199</v>
      </c>
      <c r="F99" s="243" t="s">
        <v>192</v>
      </c>
      <c r="G99" s="263">
        <v>23</v>
      </c>
      <c r="H99" s="250"/>
    </row>
    <row r="100" spans="1:8" ht="27" x14ac:dyDescent="0.25">
      <c r="A100" s="243" t="s">
        <v>94</v>
      </c>
      <c r="B100" s="243" t="s">
        <v>95</v>
      </c>
      <c r="C100" s="243" t="s">
        <v>44</v>
      </c>
      <c r="D100" s="243" t="s">
        <v>39</v>
      </c>
      <c r="E100" s="243" t="s">
        <v>200</v>
      </c>
      <c r="F100" s="243" t="s">
        <v>193</v>
      </c>
      <c r="G100" s="263">
        <v>22</v>
      </c>
      <c r="H100" s="250"/>
    </row>
    <row r="101" spans="1:8" ht="27" x14ac:dyDescent="0.25">
      <c r="A101" s="243" t="s">
        <v>96</v>
      </c>
      <c r="B101" s="243" t="s">
        <v>97</v>
      </c>
      <c r="C101" s="243" t="s">
        <v>44</v>
      </c>
      <c r="D101" s="243" t="s">
        <v>39</v>
      </c>
      <c r="E101" s="243" t="s">
        <v>199</v>
      </c>
      <c r="F101" s="243" t="s">
        <v>192</v>
      </c>
      <c r="G101" s="263">
        <v>20</v>
      </c>
      <c r="H101" s="250"/>
    </row>
    <row r="102" spans="1:8" ht="27" x14ac:dyDescent="0.25">
      <c r="A102" s="243" t="s">
        <v>96</v>
      </c>
      <c r="B102" s="243" t="s">
        <v>97</v>
      </c>
      <c r="C102" s="243" t="s">
        <v>44</v>
      </c>
      <c r="D102" s="243" t="s">
        <v>39</v>
      </c>
      <c r="E102" s="243" t="s">
        <v>200</v>
      </c>
      <c r="F102" s="243" t="s">
        <v>193</v>
      </c>
      <c r="G102" s="263">
        <v>20</v>
      </c>
      <c r="H102" s="250"/>
    </row>
    <row r="103" spans="1:8" ht="27" x14ac:dyDescent="0.25">
      <c r="A103" s="243" t="s">
        <v>108</v>
      </c>
      <c r="B103" s="243" t="s">
        <v>109</v>
      </c>
      <c r="C103" s="243" t="s">
        <v>44</v>
      </c>
      <c r="D103" s="243" t="s">
        <v>39</v>
      </c>
      <c r="E103" s="243" t="s">
        <v>199</v>
      </c>
      <c r="F103" s="243" t="s">
        <v>192</v>
      </c>
      <c r="G103" s="263">
        <v>27</v>
      </c>
      <c r="H103" s="250"/>
    </row>
    <row r="104" spans="1:8" ht="27" x14ac:dyDescent="0.25">
      <c r="A104" s="243" t="s">
        <v>108</v>
      </c>
      <c r="B104" s="243" t="s">
        <v>109</v>
      </c>
      <c r="C104" s="243" t="s">
        <v>44</v>
      </c>
      <c r="D104" s="243" t="s">
        <v>39</v>
      </c>
      <c r="E104" s="243" t="s">
        <v>200</v>
      </c>
      <c r="F104" s="243" t="s">
        <v>193</v>
      </c>
      <c r="G104" s="263">
        <v>20</v>
      </c>
      <c r="H104" s="250"/>
    </row>
    <row r="105" spans="1:8" ht="27" x14ac:dyDescent="0.25">
      <c r="A105" s="243" t="s">
        <v>110</v>
      </c>
      <c r="B105" s="243" t="s">
        <v>111</v>
      </c>
      <c r="C105" s="243" t="s">
        <v>44</v>
      </c>
      <c r="D105" s="243" t="s">
        <v>39</v>
      </c>
      <c r="E105" s="243" t="s">
        <v>199</v>
      </c>
      <c r="F105" s="243" t="s">
        <v>192</v>
      </c>
      <c r="G105" s="263">
        <v>0</v>
      </c>
      <c r="H105" s="250"/>
    </row>
    <row r="106" spans="1:8" ht="27" x14ac:dyDescent="0.25">
      <c r="A106" s="243" t="s">
        <v>110</v>
      </c>
      <c r="B106" s="243" t="s">
        <v>111</v>
      </c>
      <c r="C106" s="243" t="s">
        <v>44</v>
      </c>
      <c r="D106" s="243" t="s">
        <v>39</v>
      </c>
      <c r="E106" s="243" t="s">
        <v>200</v>
      </c>
      <c r="F106" s="243" t="s">
        <v>193</v>
      </c>
      <c r="G106" s="263">
        <v>0</v>
      </c>
      <c r="H106" s="250"/>
    </row>
    <row r="107" spans="1:8" ht="27" x14ac:dyDescent="0.25">
      <c r="A107" s="243" t="s">
        <v>124</v>
      </c>
      <c r="B107" s="243" t="s">
        <v>125</v>
      </c>
      <c r="C107" s="243" t="s">
        <v>44</v>
      </c>
      <c r="D107" s="243" t="s">
        <v>39</v>
      </c>
      <c r="E107" s="243" t="s">
        <v>199</v>
      </c>
      <c r="F107" s="243" t="s">
        <v>192</v>
      </c>
      <c r="G107" s="263">
        <v>10</v>
      </c>
      <c r="H107" s="250"/>
    </row>
    <row r="108" spans="1:8" ht="27" x14ac:dyDescent="0.25">
      <c r="A108" s="243" t="s">
        <v>124</v>
      </c>
      <c r="B108" s="243" t="s">
        <v>125</v>
      </c>
      <c r="C108" s="243" t="s">
        <v>44</v>
      </c>
      <c r="D108" s="243" t="s">
        <v>39</v>
      </c>
      <c r="E108" s="243" t="s">
        <v>200</v>
      </c>
      <c r="F108" s="243" t="s">
        <v>193</v>
      </c>
      <c r="G108" s="263">
        <v>10</v>
      </c>
      <c r="H108" s="250">
        <f>SUM(G97:G108)</f>
        <v>192</v>
      </c>
    </row>
    <row r="109" spans="1:8" x14ac:dyDescent="0.25">
      <c r="A109" s="243" t="s">
        <v>98</v>
      </c>
      <c r="B109" s="243" t="s">
        <v>99</v>
      </c>
      <c r="C109" s="243" t="s">
        <v>45</v>
      </c>
      <c r="D109" s="243" t="s">
        <v>40</v>
      </c>
      <c r="E109" s="243" t="s">
        <v>201</v>
      </c>
      <c r="F109" s="243" t="s">
        <v>194</v>
      </c>
      <c r="G109" s="263">
        <v>0</v>
      </c>
      <c r="H109" s="250"/>
    </row>
    <row r="110" spans="1:8" x14ac:dyDescent="0.25">
      <c r="A110" s="243" t="s">
        <v>98</v>
      </c>
      <c r="B110" s="243" t="s">
        <v>99</v>
      </c>
      <c r="C110" s="243" t="s">
        <v>45</v>
      </c>
      <c r="D110" s="243" t="s">
        <v>40</v>
      </c>
      <c r="E110" s="243" t="s">
        <v>202</v>
      </c>
      <c r="F110" s="243" t="s">
        <v>195</v>
      </c>
      <c r="G110" s="263">
        <v>0</v>
      </c>
      <c r="H110" s="250"/>
    </row>
    <row r="111" spans="1:8" x14ac:dyDescent="0.25">
      <c r="A111" s="243" t="s">
        <v>100</v>
      </c>
      <c r="B111" s="243" t="s">
        <v>101</v>
      </c>
      <c r="C111" s="243" t="s">
        <v>45</v>
      </c>
      <c r="D111" s="243" t="s">
        <v>40</v>
      </c>
      <c r="E111" s="243" t="s">
        <v>201</v>
      </c>
      <c r="F111" s="243" t="s">
        <v>194</v>
      </c>
      <c r="G111" s="263">
        <v>0</v>
      </c>
      <c r="H111" s="250"/>
    </row>
    <row r="112" spans="1:8" x14ac:dyDescent="0.25">
      <c r="A112" s="243" t="s">
        <v>100</v>
      </c>
      <c r="B112" s="243" t="s">
        <v>101</v>
      </c>
      <c r="C112" s="243" t="s">
        <v>45</v>
      </c>
      <c r="D112" s="243" t="s">
        <v>40</v>
      </c>
      <c r="E112" s="243" t="s">
        <v>202</v>
      </c>
      <c r="F112" s="243" t="s">
        <v>195</v>
      </c>
      <c r="G112" s="263">
        <v>0</v>
      </c>
      <c r="H112" s="250"/>
    </row>
    <row r="113" spans="1:8" x14ac:dyDescent="0.25">
      <c r="A113" s="243" t="s">
        <v>102</v>
      </c>
      <c r="B113" s="243" t="s">
        <v>103</v>
      </c>
      <c r="C113" s="243" t="s">
        <v>45</v>
      </c>
      <c r="D113" s="243" t="s">
        <v>40</v>
      </c>
      <c r="E113" s="243" t="s">
        <v>201</v>
      </c>
      <c r="F113" s="243" t="s">
        <v>194</v>
      </c>
      <c r="G113" s="263">
        <v>10</v>
      </c>
      <c r="H113" s="250"/>
    </row>
    <row r="114" spans="1:8" x14ac:dyDescent="0.25">
      <c r="A114" s="243" t="s">
        <v>102</v>
      </c>
      <c r="B114" s="243" t="s">
        <v>103</v>
      </c>
      <c r="C114" s="243" t="s">
        <v>45</v>
      </c>
      <c r="D114" s="243" t="s">
        <v>40</v>
      </c>
      <c r="E114" s="243" t="s">
        <v>202</v>
      </c>
      <c r="F114" s="243" t="s">
        <v>195</v>
      </c>
      <c r="G114" s="263">
        <v>10</v>
      </c>
      <c r="H114" s="250"/>
    </row>
    <row r="115" spans="1:8" x14ac:dyDescent="0.25">
      <c r="A115" s="243" t="s">
        <v>104</v>
      </c>
      <c r="B115" s="243" t="s">
        <v>105</v>
      </c>
      <c r="C115" s="243" t="s">
        <v>45</v>
      </c>
      <c r="D115" s="243" t="s">
        <v>40</v>
      </c>
      <c r="E115" s="243" t="s">
        <v>201</v>
      </c>
      <c r="F115" s="243" t="s">
        <v>194</v>
      </c>
      <c r="G115" s="263">
        <v>18</v>
      </c>
      <c r="H115" s="250"/>
    </row>
    <row r="116" spans="1:8" x14ac:dyDescent="0.25">
      <c r="A116" s="243" t="s">
        <v>104</v>
      </c>
      <c r="B116" s="243" t="s">
        <v>105</v>
      </c>
      <c r="C116" s="243" t="s">
        <v>45</v>
      </c>
      <c r="D116" s="243" t="s">
        <v>40</v>
      </c>
      <c r="E116" s="243" t="s">
        <v>202</v>
      </c>
      <c r="F116" s="243" t="s">
        <v>195</v>
      </c>
      <c r="G116" s="263">
        <v>15</v>
      </c>
      <c r="H116" s="250"/>
    </row>
    <row r="117" spans="1:8" x14ac:dyDescent="0.25">
      <c r="A117" s="243" t="s">
        <v>106</v>
      </c>
      <c r="B117" s="243" t="s">
        <v>107</v>
      </c>
      <c r="C117" s="243" t="s">
        <v>45</v>
      </c>
      <c r="D117" s="243" t="s">
        <v>40</v>
      </c>
      <c r="E117" s="243" t="s">
        <v>201</v>
      </c>
      <c r="F117" s="243" t="s">
        <v>194</v>
      </c>
      <c r="G117" s="263">
        <v>20</v>
      </c>
      <c r="H117" s="250"/>
    </row>
    <row r="118" spans="1:8" x14ac:dyDescent="0.25">
      <c r="A118" s="243" t="s">
        <v>106</v>
      </c>
      <c r="B118" s="243" t="s">
        <v>107</v>
      </c>
      <c r="C118" s="243" t="s">
        <v>45</v>
      </c>
      <c r="D118" s="243" t="s">
        <v>40</v>
      </c>
      <c r="E118" s="243" t="s">
        <v>202</v>
      </c>
      <c r="F118" s="243" t="s">
        <v>195</v>
      </c>
      <c r="G118" s="263">
        <v>20</v>
      </c>
      <c r="H118" s="250"/>
    </row>
    <row r="119" spans="1:8" ht="27" x14ac:dyDescent="0.25">
      <c r="A119" s="243" t="s">
        <v>112</v>
      </c>
      <c r="B119" s="243" t="s">
        <v>113</v>
      </c>
      <c r="C119" s="243" t="s">
        <v>45</v>
      </c>
      <c r="D119" s="243" t="s">
        <v>40</v>
      </c>
      <c r="E119" s="243" t="s">
        <v>201</v>
      </c>
      <c r="F119" s="243" t="s">
        <v>194</v>
      </c>
      <c r="G119" s="263">
        <v>37</v>
      </c>
      <c r="H119" s="250"/>
    </row>
    <row r="120" spans="1:8" ht="27" x14ac:dyDescent="0.25">
      <c r="A120" s="243" t="s">
        <v>112</v>
      </c>
      <c r="B120" s="243" t="s">
        <v>113</v>
      </c>
      <c r="C120" s="243" t="s">
        <v>45</v>
      </c>
      <c r="D120" s="243" t="s">
        <v>40</v>
      </c>
      <c r="E120" s="243" t="s">
        <v>202</v>
      </c>
      <c r="F120" s="243" t="s">
        <v>195</v>
      </c>
      <c r="G120" s="263">
        <v>33</v>
      </c>
      <c r="H120" s="250"/>
    </row>
    <row r="121" spans="1:8" x14ac:dyDescent="0.25">
      <c r="A121" s="243" t="s">
        <v>114</v>
      </c>
      <c r="B121" s="243" t="s">
        <v>115</v>
      </c>
      <c r="C121" s="243" t="s">
        <v>45</v>
      </c>
      <c r="D121" s="243" t="s">
        <v>40</v>
      </c>
      <c r="E121" s="243" t="s">
        <v>201</v>
      </c>
      <c r="F121" s="243" t="s">
        <v>194</v>
      </c>
      <c r="G121" s="263">
        <v>10</v>
      </c>
      <c r="H121" s="250"/>
    </row>
    <row r="122" spans="1:8" x14ac:dyDescent="0.25">
      <c r="A122" s="243" t="s">
        <v>114</v>
      </c>
      <c r="B122" s="243" t="s">
        <v>115</v>
      </c>
      <c r="C122" s="243" t="s">
        <v>45</v>
      </c>
      <c r="D122" s="243" t="s">
        <v>40</v>
      </c>
      <c r="E122" s="243" t="s">
        <v>202</v>
      </c>
      <c r="F122" s="243" t="s">
        <v>195</v>
      </c>
      <c r="G122" s="263">
        <v>15</v>
      </c>
      <c r="H122" s="250"/>
    </row>
    <row r="123" spans="1:8" x14ac:dyDescent="0.25">
      <c r="A123" s="243" t="s">
        <v>119</v>
      </c>
      <c r="B123" s="243" t="s">
        <v>120</v>
      </c>
      <c r="C123" s="243" t="s">
        <v>45</v>
      </c>
      <c r="D123" s="243" t="s">
        <v>40</v>
      </c>
      <c r="E123" s="243" t="s">
        <v>201</v>
      </c>
      <c r="F123" s="243" t="s">
        <v>194</v>
      </c>
      <c r="G123" s="263">
        <v>10</v>
      </c>
      <c r="H123" s="250"/>
    </row>
    <row r="124" spans="1:8" x14ac:dyDescent="0.25">
      <c r="A124" s="243" t="s">
        <v>119</v>
      </c>
      <c r="B124" s="243" t="s">
        <v>120</v>
      </c>
      <c r="C124" s="243" t="s">
        <v>45</v>
      </c>
      <c r="D124" s="243" t="s">
        <v>40</v>
      </c>
      <c r="E124" s="243" t="s">
        <v>202</v>
      </c>
      <c r="F124" s="243" t="s">
        <v>195</v>
      </c>
      <c r="G124" s="263">
        <v>30</v>
      </c>
      <c r="H124" s="250"/>
    </row>
    <row r="125" spans="1:8" x14ac:dyDescent="0.25">
      <c r="A125" s="243" t="s">
        <v>124</v>
      </c>
      <c r="B125" s="243" t="s">
        <v>125</v>
      </c>
      <c r="C125" s="243" t="s">
        <v>45</v>
      </c>
      <c r="D125" s="243" t="s">
        <v>40</v>
      </c>
      <c r="E125" s="243" t="s">
        <v>201</v>
      </c>
      <c r="F125" s="243" t="s">
        <v>194</v>
      </c>
      <c r="G125" s="263">
        <v>10</v>
      </c>
      <c r="H125" s="250"/>
    </row>
    <row r="126" spans="1:8" x14ac:dyDescent="0.25">
      <c r="A126" s="243" t="s">
        <v>124</v>
      </c>
      <c r="B126" s="243" t="s">
        <v>125</v>
      </c>
      <c r="C126" s="243" t="s">
        <v>45</v>
      </c>
      <c r="D126" s="243" t="s">
        <v>40</v>
      </c>
      <c r="E126" s="243" t="s">
        <v>202</v>
      </c>
      <c r="F126" s="243" t="s">
        <v>195</v>
      </c>
      <c r="G126" s="263">
        <v>10</v>
      </c>
      <c r="H126" s="250">
        <f>SUM(G109:G126)</f>
        <v>248</v>
      </c>
    </row>
  </sheetData>
  <sortState xmlns:xlrd2="http://schemas.microsoft.com/office/spreadsheetml/2017/richdata2" ref="A2:G126">
    <sortCondition ref="C1:C126"/>
  </sortState>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PL-CPL</vt:lpstr>
      <vt:lpstr>CPL-BK</vt:lpstr>
      <vt:lpstr>BK-MK</vt:lpstr>
      <vt:lpstr>CPL-MK</vt:lpstr>
      <vt:lpstr>CPL-MK-BK</vt:lpstr>
      <vt:lpstr>MK-SKS-SMTR</vt:lpstr>
      <vt:lpstr>PEMENUHAN MATA KULIAH</vt:lpstr>
      <vt:lpstr>CPL-CPMK-MK</vt:lpstr>
      <vt:lpstr>MK-CPL-CPMK</vt:lpstr>
      <vt:lpstr>MK - CPMK - SUB CPMK</vt:lpstr>
      <vt:lpstr>MEKANISME PENILAIAN</vt:lpstr>
      <vt:lpstr>SKALA CPL</vt:lpstr>
      <vt:lpstr>IMPLEMENTASI RUBIK</vt:lpstr>
      <vt:lpstr>RUMUSAN NILAI CPL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 ARDHIANTO</dc:creator>
  <cp:lastModifiedBy>Dr. Eri Zuliarso</cp:lastModifiedBy>
  <cp:lastPrinted>2025-03-21T03:01:36Z</cp:lastPrinted>
  <dcterms:created xsi:type="dcterms:W3CDTF">2025-01-15T06:04:27Z</dcterms:created>
  <dcterms:modified xsi:type="dcterms:W3CDTF">2026-05-26T09:46:21Z</dcterms:modified>
</cp:coreProperties>
</file>