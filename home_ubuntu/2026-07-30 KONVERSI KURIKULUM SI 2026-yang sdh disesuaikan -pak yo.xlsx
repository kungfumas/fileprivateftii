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\AKADEMIK\2025-2\KURIKULUM 2026\"/>
    </mc:Choice>
  </mc:AlternateContent>
  <xr:revisionPtr revIDLastSave="0" documentId="13_ncr:1_{527E4EA3-A128-4881-9F71-034CE2FFD4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7" i="15" l="1"/>
  <c r="K39" i="15"/>
  <c r="K35" i="15"/>
  <c r="K34" i="15"/>
  <c r="K33" i="15"/>
  <c r="K30" i="15"/>
  <c r="K29" i="15"/>
  <c r="K28" i="15"/>
  <c r="K27" i="15"/>
  <c r="K22" i="15"/>
  <c r="K21" i="15"/>
  <c r="K18" i="15"/>
  <c r="K11" i="15"/>
  <c r="K10" i="15"/>
  <c r="K9" i="15"/>
  <c r="K8" i="15"/>
  <c r="K5" i="15"/>
  <c r="K4" i="15"/>
  <c r="K3" i="15"/>
  <c r="K2" i="15"/>
  <c r="J57" i="15"/>
  <c r="I57" i="15" l="1"/>
  <c r="E57" i="15"/>
</calcChain>
</file>

<file path=xl/sharedStrings.xml><?xml version="1.0" encoding="utf-8"?>
<sst xmlns="http://schemas.openxmlformats.org/spreadsheetml/2006/main" count="326" uniqueCount="265">
  <si>
    <t>SKS</t>
  </si>
  <si>
    <t>AGAMA</t>
  </si>
  <si>
    <t>PANCASILA</t>
  </si>
  <si>
    <t>KEWARGANEGARAAN</t>
  </si>
  <si>
    <t>SKRIPSI</t>
  </si>
  <si>
    <t>BAHASA PEMROGRAMAN</t>
  </si>
  <si>
    <t>IMPLEMENTASI BASIS DATA</t>
  </si>
  <si>
    <t>STRUKTUR DATA</t>
  </si>
  <si>
    <t>PEMROGRAMAN TERSTRUKTUR</t>
  </si>
  <si>
    <t>LOGIKA MATEMATIKA</t>
  </si>
  <si>
    <t>SISTEM OPERASI</t>
  </si>
  <si>
    <t>TEKNOLOGI WEB</t>
  </si>
  <si>
    <t>JARINGAN KOMPUTER</t>
  </si>
  <si>
    <t>INTERAKSI MANUSIA DAN KOMPUTER</t>
  </si>
  <si>
    <t>BAHASA INDONESIA</t>
  </si>
  <si>
    <t>REKAYASA PERANGKAT LUNAK</t>
  </si>
  <si>
    <t>PEMROGRAMAN WEB</t>
  </si>
  <si>
    <t>KECERDASAN BUATAN</t>
  </si>
  <si>
    <t>KKN TEMATIK</t>
  </si>
  <si>
    <t>ENTREPRENEURSHIP FOR STARTUP</t>
  </si>
  <si>
    <t>AGILE ENTREPRENEURSHIP</t>
  </si>
  <si>
    <t>CAPSTONE PROJECT</t>
  </si>
  <si>
    <t>NO</t>
  </si>
  <si>
    <t>SMT</t>
  </si>
  <si>
    <t>KODE 2024</t>
  </si>
  <si>
    <t>MATA KULIAH 2024</t>
  </si>
  <si>
    <t>MATA KULIAH 2026</t>
  </si>
  <si>
    <t>KETERANGAN</t>
  </si>
  <si>
    <t>KODE 2026</t>
  </si>
  <si>
    <t>NO. CPL</t>
  </si>
  <si>
    <t>NO. CPMK</t>
  </si>
  <si>
    <t>CPL02</t>
  </si>
  <si>
    <t>U.26.01.55.1.01</t>
  </si>
  <si>
    <t>Pendidikan Agama</t>
  </si>
  <si>
    <t>CPL10, CPL12, CPL14</t>
  </si>
  <si>
    <t>CPMK101, CPMK121, CPMK141</t>
  </si>
  <si>
    <t>P.26.01.55.1.01</t>
  </si>
  <si>
    <t>Pengantar Sistem Informasi dan Transformasi Digital</t>
  </si>
  <si>
    <t>CPL01, CPL03, CPL04</t>
  </si>
  <si>
    <t>CPMK011,CPMK031,CPMK041</t>
  </si>
  <si>
    <t>P.26.01.55.1.02</t>
  </si>
  <si>
    <t>Logika Algoritma dan Computational Thinking</t>
  </si>
  <si>
    <t>P.26.01.55.1.03</t>
  </si>
  <si>
    <t>Basis Data Fundamental</t>
  </si>
  <si>
    <t>CPL01, CPL02, CPL13</t>
  </si>
  <si>
    <t>CPMK013,CPMK021, CPMK022, CPMK131</t>
  </si>
  <si>
    <t>U.26.01.55.1.02</t>
  </si>
  <si>
    <t>Bahasa Inggris</t>
  </si>
  <si>
    <t>CPMK101,CPMK122,CPMK142</t>
  </si>
  <si>
    <t>P.26.01.55.1.04</t>
  </si>
  <si>
    <t>Pemrograman Bisnis</t>
  </si>
  <si>
    <t>CPL03, CPL09, CPL13</t>
  </si>
  <si>
    <t>CPMK033, CPMK091, CPMK132</t>
  </si>
  <si>
    <t>U.26.01.55.1.03</t>
  </si>
  <si>
    <t>Kewarganegaraan</t>
  </si>
  <si>
    <t>CPMK101, CPMK122, CPMK141</t>
  </si>
  <si>
    <t>U.26.01.55.2.04</t>
  </si>
  <si>
    <t>Pancasila</t>
  </si>
  <si>
    <t>U.26.01.55.1.05</t>
  </si>
  <si>
    <t xml:space="preserve">Bahasa Indonesia </t>
  </si>
  <si>
    <t>CPL10, CPL12</t>
  </si>
  <si>
    <t>CPMK101, CPMK122</t>
  </si>
  <si>
    <t>P.26.01.55.2.05</t>
  </si>
  <si>
    <t>Analisis Sistem dan Proses Bisnis</t>
  </si>
  <si>
    <t>P.26.01.55.2.06</t>
  </si>
  <si>
    <t>Pemrograman Web dan API</t>
  </si>
  <si>
    <t xml:space="preserve">CPL02, CPL03, CPL09, </t>
  </si>
  <si>
    <t>CPMK022, CPMK032, CPMK092</t>
  </si>
  <si>
    <t>P.26.01.55.2.07</t>
  </si>
  <si>
    <t>Perancangan Basis Data Enterprise</t>
  </si>
  <si>
    <t>CPMK021, CPMK022</t>
  </si>
  <si>
    <t>P.26.01.55.2.08</t>
  </si>
  <si>
    <t>Jaringan Komputer dan Cloud Infrastructure</t>
  </si>
  <si>
    <t>CPL04</t>
  </si>
  <si>
    <t>CPMK041, CPMK042</t>
  </si>
  <si>
    <t>P.26.01.55.2.09</t>
  </si>
  <si>
    <t>Statistik dan Analitik Data</t>
  </si>
  <si>
    <t>CPL02, CPL08</t>
  </si>
  <si>
    <t>CPMK024, CPMK081</t>
  </si>
  <si>
    <t>U.26.01.55.3.06</t>
  </si>
  <si>
    <t>Entrepreneurship for Startup</t>
  </si>
  <si>
    <t>CPL10, CPL12, CPL13, CPL14</t>
  </si>
  <si>
    <t>CPMK101, CPMK121, CPMK132, CPMK142</t>
  </si>
  <si>
    <t>P.26.01.55.3.10</t>
  </si>
  <si>
    <t>Perancangan Sistem Informasi</t>
  </si>
  <si>
    <t>CPL03, CPL06, CPL10</t>
  </si>
  <si>
    <t>CPMK031, CPMK032, CPMK061, CPMK101</t>
  </si>
  <si>
    <t>P.26.01.55.3.11</t>
  </si>
  <si>
    <t>Enterprise Resource Planning (ERP)</t>
  </si>
  <si>
    <t>P.26.01.55.3.12</t>
  </si>
  <si>
    <t>User Experience dan Interface Design</t>
  </si>
  <si>
    <t>P.26.01.55.3.13</t>
  </si>
  <si>
    <t>Data Visualization dan Business Intelligence</t>
  </si>
  <si>
    <t>P.26.01.55.3.14</t>
  </si>
  <si>
    <t>Sistem Operasi dan Platform Digital</t>
  </si>
  <si>
    <t>CPMK041</t>
  </si>
  <si>
    <t>U.26.01.55 4.07</t>
  </si>
  <si>
    <t>Agile Entrepreneurship</t>
  </si>
  <si>
    <t>CPL13, CPL14</t>
  </si>
  <si>
    <t>CPMK132, CPMK142</t>
  </si>
  <si>
    <t>U.26.01.55 4.08</t>
  </si>
  <si>
    <t>Kecerdasan Buatan</t>
  </si>
  <si>
    <t>CPL10,CPL12</t>
  </si>
  <si>
    <t>CPMK101, CPMK121</t>
  </si>
  <si>
    <t>P.26.01.55.4.15</t>
  </si>
  <si>
    <t>Rekayasa Perangkat Lunak Agile</t>
  </si>
  <si>
    <t>P.26.01.55.4.16</t>
  </si>
  <si>
    <t>Data Warehouse dan Big Data</t>
  </si>
  <si>
    <t>CPL02,CPL08</t>
  </si>
  <si>
    <t>PMK023, CPMK024, CPMK081, CPMK082</t>
  </si>
  <si>
    <t>P.26.01.55.4.17</t>
  </si>
  <si>
    <t>Information Security dan Cyber Governance</t>
  </si>
  <si>
    <t>P.26.01.55.4.18</t>
  </si>
  <si>
    <t>Content Management System dan Digital Commerce</t>
  </si>
  <si>
    <t>P.26.01.55.5.19</t>
  </si>
  <si>
    <t>Data Mining dan Predictive Analytics</t>
  </si>
  <si>
    <t>P.26.01.55.5.20</t>
  </si>
  <si>
    <t>Customer Relationship Management (CRM)</t>
  </si>
  <si>
    <t>CPMK101, CPMK122, CPMK142</t>
  </si>
  <si>
    <t>P.26.01.55.5.21</t>
  </si>
  <si>
    <t>Supply Chain Information System</t>
  </si>
  <si>
    <t>CPL13</t>
  </si>
  <si>
    <t>CPMK131</t>
  </si>
  <si>
    <t>P.26.01.55.5.22</t>
  </si>
  <si>
    <t>Mobile Application Development</t>
  </si>
  <si>
    <t>P.26.01.55.5.23</t>
  </si>
  <si>
    <t>Human Computer Interaction</t>
  </si>
  <si>
    <t>CPL03, CPL10</t>
  </si>
  <si>
    <t>CPMK033, CPMK101</t>
  </si>
  <si>
    <t>P.26.01.55.5.24</t>
  </si>
  <si>
    <t>Etika Profesi dan Tata Kelola TI</t>
  </si>
  <si>
    <t>P.26.01.55.6.25</t>
  </si>
  <si>
    <t>Audit Sistem Informasi</t>
  </si>
  <si>
    <t>CPL06, CPL07, CPL11</t>
  </si>
  <si>
    <t>CPMK063, CPMK071, CPMK112</t>
  </si>
  <si>
    <t>P.26.01.55.6.26</t>
  </si>
  <si>
    <t>Tata Kelola Teknologi Informasi</t>
  </si>
  <si>
    <t>P.26.01.55.6.27</t>
  </si>
  <si>
    <t>Cloud Computing dan DevOps</t>
  </si>
  <si>
    <t>P.26.01.55.6.28</t>
  </si>
  <si>
    <t>Generative AI dan Prompt Engineering</t>
  </si>
  <si>
    <t>P.26.01.55.6.29</t>
  </si>
  <si>
    <t>Digital Product Management</t>
  </si>
  <si>
    <t>P.26.01.55.6.30</t>
  </si>
  <si>
    <t>Metodologi Penelitian Sistem Informasi</t>
  </si>
  <si>
    <t>CPMK101, CPMK102, CPMK121</t>
  </si>
  <si>
    <t>U.26.01.55 7.09</t>
  </si>
  <si>
    <t>KKN Tematik</t>
  </si>
  <si>
    <t>P.26.01.55.7.31</t>
  </si>
  <si>
    <t>Praktik Kerja Lapangan / Magang Industri</t>
  </si>
  <si>
    <t>P.26.01.55.7.32</t>
  </si>
  <si>
    <t>Enterprise Information System</t>
  </si>
  <si>
    <t>CPL01, CPL09, CPL13</t>
  </si>
  <si>
    <t>CPMK011, CPMK091, CPMK131, CPMK132</t>
  </si>
  <si>
    <t>P.26.01.55.7.33</t>
  </si>
  <si>
    <t>Digital Marketing Analytics</t>
  </si>
  <si>
    <t>P.26.01.55.7.34</t>
  </si>
  <si>
    <t>Business Process Improvement</t>
  </si>
  <si>
    <t>CPL01, CPL03, CPL09, CPL13</t>
  </si>
  <si>
    <t>CPMK012,CPMK033.CPMK092,CPMK132</t>
  </si>
  <si>
    <t>P.26.01.55.8.36</t>
  </si>
  <si>
    <t>Capstone Project Sistem Informasi</t>
  </si>
  <si>
    <t>CPL01,CPL03,CPL06,CPL07,CPL10,CPL11,CPL14</t>
  </si>
  <si>
    <t>CPMK012,CPMK031,CPMK032,CPMK033,CPMK061,CPMK062, CPMK073, CPMK101,CPMK111,CPMK112,CPMK141,CPMK142</t>
  </si>
  <si>
    <t>P.26.01.55.8.37</t>
  </si>
  <si>
    <t>Skripsi / Applied Research Project</t>
  </si>
  <si>
    <t>CPMK102, CPMK122</t>
  </si>
  <si>
    <t>I</t>
  </si>
  <si>
    <t>P.24.01.55.1.01</t>
  </si>
  <si>
    <t>TEORI MANAJEMEN</t>
  </si>
  <si>
    <t>P.24.01.55.1.02</t>
  </si>
  <si>
    <t>TEORI ORGANISASI</t>
  </si>
  <si>
    <t>P.24.01.55.1.03</t>
  </si>
  <si>
    <t>PENGANTAR SISTEM DAN TEKNOLOGI INFORMASI</t>
  </si>
  <si>
    <t>P.24.01.55.1.04</t>
  </si>
  <si>
    <t>LOGIKA DAN ALGORITMA</t>
  </si>
  <si>
    <t>P.24.01.55.1.05</t>
  </si>
  <si>
    <t>P.24.01.55.1.06</t>
  </si>
  <si>
    <t>MANAJEMEN BASIS DATA</t>
  </si>
  <si>
    <t>U.24.01.55.1.01</t>
  </si>
  <si>
    <t>BAHASA INGGRIS DASAR</t>
  </si>
  <si>
    <t>U.24.01.55.1.02</t>
  </si>
  <si>
    <t>U.24.01.55.1.03</t>
  </si>
  <si>
    <t>II</t>
  </si>
  <si>
    <t>P.24.01.55.2.07</t>
  </si>
  <si>
    <t>ANALISA SISTEM INFORMASI</t>
  </si>
  <si>
    <t>P.24.01.55.2.08</t>
  </si>
  <si>
    <t>P.24.01.55.2.09</t>
  </si>
  <si>
    <t>P.24.01.55.2.10</t>
  </si>
  <si>
    <t>P.24.01.55.2.11</t>
  </si>
  <si>
    <t>PERANCANGAN BASIS DATA</t>
  </si>
  <si>
    <t>P.24.01.55.2.12</t>
  </si>
  <si>
    <t>BAHASA INGGRIS BISNIS</t>
  </si>
  <si>
    <t>P.24.01.55.2.13</t>
  </si>
  <si>
    <t>U.24.01.55.2.04</t>
  </si>
  <si>
    <t>U.24.01.55.2.05</t>
  </si>
  <si>
    <t>III</t>
  </si>
  <si>
    <t>P.24.01.55.3.14</t>
  </si>
  <si>
    <t>P.24.01.55.3.15</t>
  </si>
  <si>
    <t>PERANCANGAN SISTEM INFORMASI</t>
  </si>
  <si>
    <t>P.24.01.55.3.16</t>
  </si>
  <si>
    <t>P.24.01.55.3.17</t>
  </si>
  <si>
    <t>ANALISA PROSES BISNIS</t>
  </si>
  <si>
    <t>P.24.01.55.3.18</t>
  </si>
  <si>
    <t>P.24.01.55.3.19</t>
  </si>
  <si>
    <t>STATISTIK DESKRIPTIF</t>
  </si>
  <si>
    <t>U.24.01.55.3.06</t>
  </si>
  <si>
    <t>P.24.01.55.3.20</t>
  </si>
  <si>
    <t>IV</t>
  </si>
  <si>
    <t>P.24.01.55.4.21</t>
  </si>
  <si>
    <t>KEAMANAN SISTEM INFORMASI</t>
  </si>
  <si>
    <t>P.24.01.55.4.22</t>
  </si>
  <si>
    <t>DATA WAREHOUSE</t>
  </si>
  <si>
    <t>P.24.01.55.4.23</t>
  </si>
  <si>
    <t>STATISTIKA PROBABILITAS</t>
  </si>
  <si>
    <t>P.24.01.55.4.24</t>
  </si>
  <si>
    <t>SISTEM PENUNJANG KEPUTUSAN</t>
  </si>
  <si>
    <t>P.24.01.55.4.25</t>
  </si>
  <si>
    <t>U.24.01.55.4.07</t>
  </si>
  <si>
    <t>U.24.01.55.4.09</t>
  </si>
  <si>
    <t>P.24.01.55.4.27</t>
  </si>
  <si>
    <t>CONTENT MANAGEMENT SYSTEM</t>
  </si>
  <si>
    <t>V</t>
  </si>
  <si>
    <t>P.24.01.55.5.28</t>
  </si>
  <si>
    <t>P.24.01.55.5.29</t>
  </si>
  <si>
    <t>MANAJEMEN PROYEK SISTEM INFORMASI</t>
  </si>
  <si>
    <t>P.24.01.55.5.30</t>
  </si>
  <si>
    <t xml:space="preserve">JAMINAN MUTU DAN PEMELIHARAAN SISTEM INFORMASI </t>
  </si>
  <si>
    <t>P.24.01.55.5.31</t>
  </si>
  <si>
    <t>KONSEP DATA MINING</t>
  </si>
  <si>
    <t>P.24.01.55.5.32</t>
  </si>
  <si>
    <t>SUPPLY CHAIN MANAGEMENT</t>
  </si>
  <si>
    <t>P.24.01.55.5.33</t>
  </si>
  <si>
    <t>ETIKA DALAM PROFESI DAN INTERPERSONAL SKILL</t>
  </si>
  <si>
    <t>P.24.01.55.5.34</t>
  </si>
  <si>
    <t>PRAKTEK KERJA LAPANGAN (Capstone Project)</t>
  </si>
  <si>
    <t>P.24.01.55.5.35</t>
  </si>
  <si>
    <t>AKUNTANSI BISNIS</t>
  </si>
  <si>
    <t>VI</t>
  </si>
  <si>
    <t>P.24.01.55.6.36</t>
  </si>
  <si>
    <t>TATA KELOLA SISTEM INFORMASI</t>
  </si>
  <si>
    <t>P.24.01.55.6.37</t>
  </si>
  <si>
    <t>VISUALISASI DATA DAN INFORMASI</t>
  </si>
  <si>
    <t>P.24.01.55.6.38</t>
  </si>
  <si>
    <t>METODOLOGI PENELITIAN SISTEM INFORMASI</t>
  </si>
  <si>
    <t>P.24.01.55.6.39</t>
  </si>
  <si>
    <t>WEB BISNIS</t>
  </si>
  <si>
    <t>P.24.01.55.6.40</t>
  </si>
  <si>
    <t>CUSTOMER RELATION MANAGEMENT</t>
  </si>
  <si>
    <t>P.24.01.55.6.41</t>
  </si>
  <si>
    <t>AUDIT SISTEM INFORMASI</t>
  </si>
  <si>
    <t>VII</t>
  </si>
  <si>
    <t>P.24.01.55.7.42</t>
  </si>
  <si>
    <t>P.24.01.55.7.43</t>
  </si>
  <si>
    <t>PENGEMBANGAN APLIKASI WEB</t>
  </si>
  <si>
    <t>P.24.01.55.7.44</t>
  </si>
  <si>
    <t>SISTEM INFORMASI INTERPRISE</t>
  </si>
  <si>
    <t>P.24.01.55.7.45</t>
  </si>
  <si>
    <t>APPLIED DATA AND TEXT MINING</t>
  </si>
  <si>
    <t>P.24.01.55.7.46</t>
  </si>
  <si>
    <t>BIG DATA ANALYTIC</t>
  </si>
  <si>
    <t>U.24.01.55.7.08</t>
  </si>
  <si>
    <t>VIII</t>
  </si>
  <si>
    <t>P.24.01.55.8.47</t>
  </si>
  <si>
    <t>SKS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</si>
</sst>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4" borderId="0" xfId="0" applyFill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0" fillId="0" borderId="0" xfId="0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E4F6"/>
      <color rgb="FFD4F1FC"/>
      <color rgb="FFE7F7E1"/>
      <color rgb="FFCCFFCC"/>
      <color rgb="FFFFFF99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4"/>
  <sheetViews>
    <sheetView tabSelected="1" zoomScale="96" zoomScaleNormal="96" workbookViewId="0">
      <selection activeCell="H60" sqref="H60"/>
    </sheetView>
  </sheetViews>
  <sheetFormatPr defaultColWidth="8.7265625" defaultRowHeight="14.5" x14ac:dyDescent="0.35"/>
  <cols>
    <col min="1" max="1" width="3.6328125" style="15" bestFit="1" customWidth="1"/>
    <col min="2" max="2" width="4.453125" style="15" bestFit="1" customWidth="1"/>
    <col min="3" max="3" width="15.26953125" customWidth="1"/>
    <col min="4" max="4" width="32.7265625" customWidth="1"/>
    <col min="5" max="5" width="4.453125" style="15" bestFit="1" customWidth="1"/>
    <col min="6" max="6" width="4.6328125" style="15" bestFit="1" customWidth="1"/>
    <col min="7" max="7" width="14.08984375" bestFit="1" customWidth="1"/>
    <col min="8" max="8" width="51.6328125" bestFit="1" customWidth="1"/>
    <col min="9" max="9" width="4.36328125" style="15" bestFit="1" customWidth="1"/>
    <col min="10" max="10" width="9.26953125" style="15" bestFit="1" customWidth="1"/>
    <col min="11" max="11" width="13.453125" bestFit="1" customWidth="1"/>
    <col min="12" max="12" width="26" bestFit="1" customWidth="1"/>
    <col min="13" max="13" width="54.7265625" customWidth="1"/>
  </cols>
  <sheetData>
    <row r="1" spans="1:13" x14ac:dyDescent="0.35">
      <c r="A1" s="2" t="s">
        <v>22</v>
      </c>
      <c r="B1" s="2" t="s">
        <v>23</v>
      </c>
      <c r="C1" s="2" t="s">
        <v>24</v>
      </c>
      <c r="D1" s="2" t="s">
        <v>25</v>
      </c>
      <c r="E1" s="2" t="s">
        <v>0</v>
      </c>
      <c r="F1" s="2" t="s">
        <v>23</v>
      </c>
      <c r="G1" s="2" t="s">
        <v>28</v>
      </c>
      <c r="H1" s="2" t="s">
        <v>26</v>
      </c>
      <c r="I1" s="2" t="s">
        <v>0</v>
      </c>
      <c r="J1" s="2" t="s">
        <v>264</v>
      </c>
      <c r="K1" s="2" t="s">
        <v>27</v>
      </c>
      <c r="L1" s="2" t="s">
        <v>29</v>
      </c>
      <c r="M1" s="2" t="s">
        <v>30</v>
      </c>
    </row>
    <row r="2" spans="1:13" x14ac:dyDescent="0.35">
      <c r="A2" s="17">
        <v>8</v>
      </c>
      <c r="B2" s="18" t="s">
        <v>167</v>
      </c>
      <c r="C2" s="19" t="s">
        <v>181</v>
      </c>
      <c r="D2" s="11" t="s">
        <v>1</v>
      </c>
      <c r="E2" s="19">
        <v>2</v>
      </c>
      <c r="F2" s="4">
        <v>1</v>
      </c>
      <c r="G2" s="5" t="s">
        <v>32</v>
      </c>
      <c r="H2" s="6" t="s">
        <v>33</v>
      </c>
      <c r="I2" s="7">
        <v>2</v>
      </c>
      <c r="J2" s="3">
        <v>2</v>
      </c>
      <c r="K2" s="73">
        <f>J2-E2</f>
        <v>0</v>
      </c>
      <c r="L2" s="10" t="s">
        <v>34</v>
      </c>
      <c r="M2" s="8" t="s">
        <v>35</v>
      </c>
    </row>
    <row r="3" spans="1:13" ht="29" x14ac:dyDescent="0.35">
      <c r="A3" s="17">
        <v>3</v>
      </c>
      <c r="B3" s="18" t="s">
        <v>167</v>
      </c>
      <c r="C3" s="19" t="s">
        <v>172</v>
      </c>
      <c r="D3" s="11" t="s">
        <v>173</v>
      </c>
      <c r="E3" s="19">
        <v>2</v>
      </c>
      <c r="F3" s="4">
        <v>1</v>
      </c>
      <c r="G3" s="9" t="s">
        <v>36</v>
      </c>
      <c r="H3" s="10" t="s">
        <v>37</v>
      </c>
      <c r="I3" s="7">
        <v>3</v>
      </c>
      <c r="J3" s="3">
        <v>2</v>
      </c>
      <c r="K3" s="73">
        <f t="shared" ref="K3:K5" si="0">J3-E3</f>
        <v>0</v>
      </c>
      <c r="L3" s="10" t="s">
        <v>38</v>
      </c>
      <c r="M3" s="9" t="s">
        <v>39</v>
      </c>
    </row>
    <row r="4" spans="1:13" x14ac:dyDescent="0.35">
      <c r="A4" s="17">
        <v>4</v>
      </c>
      <c r="B4" s="18" t="s">
        <v>167</v>
      </c>
      <c r="C4" s="19" t="s">
        <v>174</v>
      </c>
      <c r="D4" s="11" t="s">
        <v>175</v>
      </c>
      <c r="E4" s="19">
        <v>3</v>
      </c>
      <c r="F4" s="4">
        <v>1</v>
      </c>
      <c r="G4" s="8" t="s">
        <v>40</v>
      </c>
      <c r="H4" s="10" t="s">
        <v>41</v>
      </c>
      <c r="I4" s="7">
        <v>4</v>
      </c>
      <c r="J4" s="3">
        <v>3</v>
      </c>
      <c r="K4" s="73">
        <f t="shared" si="0"/>
        <v>0</v>
      </c>
      <c r="L4" s="10"/>
      <c r="M4" s="8"/>
    </row>
    <row r="5" spans="1:13" x14ac:dyDescent="0.35">
      <c r="A5" s="17">
        <v>6</v>
      </c>
      <c r="B5" s="18" t="s">
        <v>167</v>
      </c>
      <c r="C5" s="19" t="s">
        <v>177</v>
      </c>
      <c r="D5" s="11" t="s">
        <v>178</v>
      </c>
      <c r="E5" s="19">
        <v>3</v>
      </c>
      <c r="F5" s="4">
        <v>1</v>
      </c>
      <c r="G5" s="8" t="s">
        <v>42</v>
      </c>
      <c r="H5" s="10" t="s">
        <v>43</v>
      </c>
      <c r="I5" s="7">
        <v>3</v>
      </c>
      <c r="J5" s="3">
        <v>3</v>
      </c>
      <c r="K5" s="73">
        <f t="shared" si="0"/>
        <v>0</v>
      </c>
      <c r="L5" s="10" t="s">
        <v>44</v>
      </c>
      <c r="M5" s="8" t="s">
        <v>45</v>
      </c>
    </row>
    <row r="6" spans="1:13" x14ac:dyDescent="0.35">
      <c r="A6" s="52">
        <v>7</v>
      </c>
      <c r="B6" s="53" t="s">
        <v>167</v>
      </c>
      <c r="C6" s="46" t="s">
        <v>179</v>
      </c>
      <c r="D6" s="61" t="s">
        <v>180</v>
      </c>
      <c r="E6" s="46">
        <v>2</v>
      </c>
      <c r="F6" s="44">
        <v>1</v>
      </c>
      <c r="G6" s="62" t="s">
        <v>46</v>
      </c>
      <c r="H6" s="50" t="s">
        <v>47</v>
      </c>
      <c r="I6" s="51">
        <v>3</v>
      </c>
      <c r="J6" s="2">
        <v>4</v>
      </c>
      <c r="K6" s="73">
        <v>0</v>
      </c>
      <c r="L6" s="10" t="s">
        <v>34</v>
      </c>
      <c r="M6" s="8" t="s">
        <v>48</v>
      </c>
    </row>
    <row r="7" spans="1:13" x14ac:dyDescent="0.35">
      <c r="A7" s="52">
        <v>15</v>
      </c>
      <c r="B7" s="53" t="s">
        <v>183</v>
      </c>
      <c r="C7" s="46" t="s">
        <v>191</v>
      </c>
      <c r="D7" s="47" t="s">
        <v>192</v>
      </c>
      <c r="E7" s="46">
        <v>2</v>
      </c>
      <c r="F7" s="44"/>
      <c r="G7" s="62"/>
      <c r="H7" s="50"/>
      <c r="I7" s="51"/>
      <c r="J7" s="2"/>
      <c r="K7" s="73"/>
      <c r="L7" s="10"/>
      <c r="M7" s="8"/>
    </row>
    <row r="8" spans="1:13" x14ac:dyDescent="0.35">
      <c r="A8" s="17">
        <v>5</v>
      </c>
      <c r="B8" s="18" t="s">
        <v>167</v>
      </c>
      <c r="C8" s="19" t="s">
        <v>176</v>
      </c>
      <c r="D8" s="11" t="s">
        <v>5</v>
      </c>
      <c r="E8" s="19">
        <v>2</v>
      </c>
      <c r="F8" s="4">
        <v>1</v>
      </c>
      <c r="G8" s="8" t="s">
        <v>49</v>
      </c>
      <c r="H8" s="10" t="s">
        <v>50</v>
      </c>
      <c r="I8" s="7">
        <v>3</v>
      </c>
      <c r="J8" s="3">
        <v>3</v>
      </c>
      <c r="K8" s="73">
        <f t="shared" ref="K8:K11" si="1">J8-E8</f>
        <v>1</v>
      </c>
      <c r="L8" s="10" t="s">
        <v>51</v>
      </c>
      <c r="M8" s="8" t="s">
        <v>52</v>
      </c>
    </row>
    <row r="9" spans="1:13" x14ac:dyDescent="0.35">
      <c r="A9" s="17">
        <v>9</v>
      </c>
      <c r="B9" s="18" t="s">
        <v>167</v>
      </c>
      <c r="C9" s="20" t="s">
        <v>182</v>
      </c>
      <c r="D9" s="21" t="s">
        <v>3</v>
      </c>
      <c r="E9" s="20">
        <v>2</v>
      </c>
      <c r="F9" s="4">
        <v>1</v>
      </c>
      <c r="G9" s="5" t="s">
        <v>53</v>
      </c>
      <c r="H9" s="6" t="s">
        <v>54</v>
      </c>
      <c r="I9" s="7">
        <v>2</v>
      </c>
      <c r="J9" s="3">
        <v>2</v>
      </c>
      <c r="K9" s="73">
        <f t="shared" si="1"/>
        <v>0</v>
      </c>
      <c r="L9" s="10" t="s">
        <v>34</v>
      </c>
      <c r="M9" s="8" t="s">
        <v>55</v>
      </c>
    </row>
    <row r="10" spans="1:13" x14ac:dyDescent="0.35">
      <c r="A10" s="17">
        <v>18</v>
      </c>
      <c r="B10" s="18" t="s">
        <v>183</v>
      </c>
      <c r="C10" s="20" t="s">
        <v>195</v>
      </c>
      <c r="D10" s="23" t="s">
        <v>2</v>
      </c>
      <c r="E10" s="20">
        <v>2</v>
      </c>
      <c r="F10" s="4">
        <v>2</v>
      </c>
      <c r="G10" s="5" t="s">
        <v>56</v>
      </c>
      <c r="H10" s="6" t="s">
        <v>57</v>
      </c>
      <c r="I10" s="7">
        <v>2</v>
      </c>
      <c r="J10" s="3">
        <v>2</v>
      </c>
      <c r="K10" s="73">
        <f t="shared" si="1"/>
        <v>0</v>
      </c>
      <c r="L10" s="11" t="s">
        <v>34</v>
      </c>
      <c r="M10" s="12" t="s">
        <v>55</v>
      </c>
    </row>
    <row r="11" spans="1:13" x14ac:dyDescent="0.35">
      <c r="A11" s="17">
        <v>17</v>
      </c>
      <c r="B11" s="18" t="s">
        <v>183</v>
      </c>
      <c r="C11" s="19" t="s">
        <v>194</v>
      </c>
      <c r="D11" s="22" t="s">
        <v>14</v>
      </c>
      <c r="E11" s="19">
        <v>2</v>
      </c>
      <c r="F11" s="4">
        <v>2</v>
      </c>
      <c r="G11" s="5" t="s">
        <v>58</v>
      </c>
      <c r="H11" s="6" t="s">
        <v>59</v>
      </c>
      <c r="I11" s="7">
        <v>2</v>
      </c>
      <c r="J11" s="3">
        <v>2</v>
      </c>
      <c r="K11" s="73">
        <f t="shared" si="1"/>
        <v>0</v>
      </c>
      <c r="L11" s="11" t="s">
        <v>60</v>
      </c>
      <c r="M11" s="12" t="s">
        <v>61</v>
      </c>
    </row>
    <row r="12" spans="1:13" x14ac:dyDescent="0.35">
      <c r="A12" s="24">
        <v>10</v>
      </c>
      <c r="B12" s="25" t="s">
        <v>183</v>
      </c>
      <c r="C12" s="26" t="s">
        <v>184</v>
      </c>
      <c r="D12" s="32" t="s">
        <v>185</v>
      </c>
      <c r="E12" s="26">
        <v>3</v>
      </c>
      <c r="F12" s="28">
        <v>2</v>
      </c>
      <c r="G12" s="29" t="s">
        <v>62</v>
      </c>
      <c r="H12" s="30" t="s">
        <v>63</v>
      </c>
      <c r="I12" s="31">
        <v>4</v>
      </c>
      <c r="J12" s="3">
        <v>4</v>
      </c>
      <c r="K12" s="73">
        <v>-2</v>
      </c>
      <c r="L12" s="10"/>
      <c r="M12" s="8"/>
    </row>
    <row r="13" spans="1:13" x14ac:dyDescent="0.35">
      <c r="A13" s="24">
        <v>22</v>
      </c>
      <c r="B13" s="25" t="s">
        <v>196</v>
      </c>
      <c r="C13" s="26" t="s">
        <v>201</v>
      </c>
      <c r="D13" s="32" t="s">
        <v>202</v>
      </c>
      <c r="E13" s="26">
        <v>3</v>
      </c>
      <c r="F13" s="28"/>
      <c r="G13" s="29"/>
      <c r="H13" s="30"/>
      <c r="I13" s="31"/>
      <c r="J13" s="3"/>
      <c r="K13" s="73"/>
      <c r="L13" s="10"/>
      <c r="M13" s="8"/>
    </row>
    <row r="14" spans="1:13" x14ac:dyDescent="0.35">
      <c r="A14" s="36">
        <v>12</v>
      </c>
      <c r="B14" s="37" t="s">
        <v>183</v>
      </c>
      <c r="C14" s="38" t="s">
        <v>187</v>
      </c>
      <c r="D14" s="39" t="s">
        <v>8</v>
      </c>
      <c r="E14" s="38">
        <v>2</v>
      </c>
      <c r="F14" s="40">
        <v>2</v>
      </c>
      <c r="G14" s="41" t="s">
        <v>64</v>
      </c>
      <c r="H14" s="42" t="s">
        <v>65</v>
      </c>
      <c r="I14" s="43">
        <v>4</v>
      </c>
      <c r="J14" s="3">
        <v>4</v>
      </c>
      <c r="K14" s="73">
        <v>0</v>
      </c>
      <c r="L14" s="10" t="s">
        <v>66</v>
      </c>
      <c r="M14" s="8" t="s">
        <v>67</v>
      </c>
    </row>
    <row r="15" spans="1:13" x14ac:dyDescent="0.35">
      <c r="A15" s="36">
        <v>13</v>
      </c>
      <c r="B15" s="37" t="s">
        <v>183</v>
      </c>
      <c r="C15" s="38" t="s">
        <v>188</v>
      </c>
      <c r="D15" s="39" t="s">
        <v>11</v>
      </c>
      <c r="E15" s="38">
        <v>2</v>
      </c>
      <c r="F15" s="40"/>
      <c r="G15" s="41"/>
      <c r="H15" s="42"/>
      <c r="I15" s="43"/>
      <c r="J15" s="3"/>
      <c r="K15" s="73"/>
      <c r="L15" s="10"/>
      <c r="M15" s="8"/>
    </row>
    <row r="16" spans="1:13" x14ac:dyDescent="0.35">
      <c r="A16" s="24">
        <v>14</v>
      </c>
      <c r="B16" s="25" t="s">
        <v>183</v>
      </c>
      <c r="C16" s="26" t="s">
        <v>189</v>
      </c>
      <c r="D16" s="32" t="s">
        <v>190</v>
      </c>
      <c r="E16" s="26">
        <v>2</v>
      </c>
      <c r="F16" s="28">
        <v>2</v>
      </c>
      <c r="G16" s="29" t="s">
        <v>68</v>
      </c>
      <c r="H16" s="30" t="s">
        <v>69</v>
      </c>
      <c r="I16" s="31">
        <v>4</v>
      </c>
      <c r="J16" s="3">
        <v>4</v>
      </c>
      <c r="K16" s="73">
        <v>0</v>
      </c>
      <c r="L16" s="10" t="s">
        <v>31</v>
      </c>
      <c r="M16" s="8" t="s">
        <v>70</v>
      </c>
    </row>
    <row r="17" spans="1:13" x14ac:dyDescent="0.35">
      <c r="A17" s="24">
        <v>23</v>
      </c>
      <c r="B17" s="25" t="s">
        <v>196</v>
      </c>
      <c r="C17" s="26" t="s">
        <v>203</v>
      </c>
      <c r="D17" s="32" t="s">
        <v>6</v>
      </c>
      <c r="E17" s="26">
        <v>2</v>
      </c>
      <c r="F17" s="28"/>
      <c r="G17" s="29"/>
      <c r="H17" s="30"/>
      <c r="I17" s="31"/>
      <c r="J17" s="3"/>
      <c r="K17" s="73"/>
      <c r="L17" s="10"/>
      <c r="M17" s="8"/>
    </row>
    <row r="18" spans="1:13" x14ac:dyDescent="0.35">
      <c r="A18" s="17">
        <v>16</v>
      </c>
      <c r="B18" s="18" t="s">
        <v>183</v>
      </c>
      <c r="C18" s="19" t="s">
        <v>193</v>
      </c>
      <c r="D18" s="22" t="s">
        <v>12</v>
      </c>
      <c r="E18" s="19">
        <v>2</v>
      </c>
      <c r="F18" s="4">
        <v>2</v>
      </c>
      <c r="G18" s="8" t="s">
        <v>71</v>
      </c>
      <c r="H18" s="10" t="s">
        <v>72</v>
      </c>
      <c r="I18" s="7">
        <v>3</v>
      </c>
      <c r="J18" s="3">
        <v>3</v>
      </c>
      <c r="K18" s="73">
        <f t="shared" ref="K18" si="2">J18-E18</f>
        <v>1</v>
      </c>
      <c r="L18" s="10" t="s">
        <v>73</v>
      </c>
      <c r="M18" s="8" t="s">
        <v>74</v>
      </c>
    </row>
    <row r="19" spans="1:13" x14ac:dyDescent="0.35">
      <c r="A19" s="24">
        <v>24</v>
      </c>
      <c r="B19" s="25" t="s">
        <v>196</v>
      </c>
      <c r="C19" s="26" t="s">
        <v>204</v>
      </c>
      <c r="D19" s="32" t="s">
        <v>205</v>
      </c>
      <c r="E19" s="26">
        <v>2</v>
      </c>
      <c r="F19" s="28">
        <v>2</v>
      </c>
      <c r="G19" s="29" t="s">
        <v>75</v>
      </c>
      <c r="H19" s="30" t="s">
        <v>76</v>
      </c>
      <c r="I19" s="31">
        <v>3</v>
      </c>
      <c r="J19" s="3">
        <v>4</v>
      </c>
      <c r="K19" s="73">
        <v>-1</v>
      </c>
      <c r="L19" s="10" t="s">
        <v>77</v>
      </c>
      <c r="M19" s="8" t="s">
        <v>78</v>
      </c>
    </row>
    <row r="20" spans="1:13" x14ac:dyDescent="0.35">
      <c r="A20" s="24">
        <v>29</v>
      </c>
      <c r="B20" s="25" t="s">
        <v>208</v>
      </c>
      <c r="C20" s="26" t="s">
        <v>213</v>
      </c>
      <c r="D20" s="32" t="s">
        <v>214</v>
      </c>
      <c r="E20" s="26">
        <v>3</v>
      </c>
      <c r="F20" s="28"/>
      <c r="G20" s="29"/>
      <c r="H20" s="30"/>
      <c r="I20" s="31"/>
      <c r="J20" s="3"/>
      <c r="K20" s="73"/>
      <c r="L20" s="10"/>
      <c r="M20" s="8"/>
    </row>
    <row r="21" spans="1:13" x14ac:dyDescent="0.35">
      <c r="A21" s="17">
        <v>25</v>
      </c>
      <c r="B21" s="18" t="s">
        <v>196</v>
      </c>
      <c r="C21" s="19" t="s">
        <v>206</v>
      </c>
      <c r="D21" s="22" t="s">
        <v>19</v>
      </c>
      <c r="E21" s="19">
        <v>3</v>
      </c>
      <c r="F21" s="4">
        <v>3</v>
      </c>
      <c r="G21" s="5" t="s">
        <v>79</v>
      </c>
      <c r="H21" s="6" t="s">
        <v>80</v>
      </c>
      <c r="I21" s="7">
        <v>3</v>
      </c>
      <c r="J21" s="3">
        <v>3</v>
      </c>
      <c r="K21" s="73">
        <f t="shared" ref="K21:K22" si="3">J21-E21</f>
        <v>0</v>
      </c>
      <c r="L21" s="10" t="s">
        <v>81</v>
      </c>
      <c r="M21" s="8" t="s">
        <v>82</v>
      </c>
    </row>
    <row r="22" spans="1:13" x14ac:dyDescent="0.35">
      <c r="A22" s="17">
        <v>20</v>
      </c>
      <c r="B22" s="18" t="s">
        <v>196</v>
      </c>
      <c r="C22" s="19" t="s">
        <v>198</v>
      </c>
      <c r="D22" s="22" t="s">
        <v>199</v>
      </c>
      <c r="E22" s="19">
        <v>3</v>
      </c>
      <c r="F22" s="4">
        <v>3</v>
      </c>
      <c r="G22" s="8" t="s">
        <v>83</v>
      </c>
      <c r="H22" s="10" t="s">
        <v>84</v>
      </c>
      <c r="I22" s="7">
        <v>4</v>
      </c>
      <c r="J22" s="3">
        <v>3</v>
      </c>
      <c r="K22" s="73">
        <f t="shared" si="3"/>
        <v>0</v>
      </c>
      <c r="L22" s="11" t="s">
        <v>85</v>
      </c>
      <c r="M22" s="12" t="s">
        <v>86</v>
      </c>
    </row>
    <row r="23" spans="1:13" x14ac:dyDescent="0.35">
      <c r="A23" s="24">
        <v>1</v>
      </c>
      <c r="B23" s="25" t="s">
        <v>167</v>
      </c>
      <c r="C23" s="26" t="s">
        <v>168</v>
      </c>
      <c r="D23" s="27" t="s">
        <v>169</v>
      </c>
      <c r="E23" s="26">
        <v>2</v>
      </c>
      <c r="F23" s="28">
        <v>3</v>
      </c>
      <c r="G23" s="29" t="s">
        <v>87</v>
      </c>
      <c r="H23" s="30" t="s">
        <v>88</v>
      </c>
      <c r="I23" s="31">
        <v>4</v>
      </c>
      <c r="J23" s="3">
        <v>4</v>
      </c>
      <c r="K23" s="73">
        <v>0</v>
      </c>
      <c r="L23" s="11"/>
      <c r="M23" s="12"/>
    </row>
    <row r="24" spans="1:13" x14ac:dyDescent="0.35">
      <c r="A24" s="24">
        <v>2</v>
      </c>
      <c r="B24" s="25" t="s">
        <v>167</v>
      </c>
      <c r="C24" s="26" t="s">
        <v>170</v>
      </c>
      <c r="D24" s="27" t="s">
        <v>171</v>
      </c>
      <c r="E24" s="26">
        <v>2</v>
      </c>
      <c r="F24" s="28"/>
      <c r="G24" s="29"/>
      <c r="H24" s="30"/>
      <c r="I24" s="31"/>
      <c r="J24" s="3"/>
      <c r="K24" s="73"/>
      <c r="L24" s="11"/>
      <c r="M24" s="12"/>
    </row>
    <row r="25" spans="1:13" x14ac:dyDescent="0.35">
      <c r="A25" s="17">
        <v>50</v>
      </c>
      <c r="B25" s="18" t="s">
        <v>251</v>
      </c>
      <c r="C25" s="19" t="s">
        <v>253</v>
      </c>
      <c r="D25" s="22" t="s">
        <v>254</v>
      </c>
      <c r="E25" s="19">
        <v>3</v>
      </c>
      <c r="F25" s="4">
        <v>3</v>
      </c>
      <c r="G25" s="8" t="s">
        <v>89</v>
      </c>
      <c r="H25" s="10" t="s">
        <v>90</v>
      </c>
      <c r="I25" s="7">
        <v>3</v>
      </c>
      <c r="J25" s="3">
        <v>3</v>
      </c>
      <c r="K25" s="73"/>
      <c r="L25" s="10"/>
      <c r="M25" s="8"/>
    </row>
    <row r="26" spans="1:13" x14ac:dyDescent="0.35">
      <c r="A26" s="17">
        <v>44</v>
      </c>
      <c r="B26" s="18" t="s">
        <v>238</v>
      </c>
      <c r="C26" s="19" t="s">
        <v>241</v>
      </c>
      <c r="D26" s="22" t="s">
        <v>242</v>
      </c>
      <c r="E26" s="19">
        <v>3</v>
      </c>
      <c r="F26" s="4">
        <v>3</v>
      </c>
      <c r="G26" s="8" t="s">
        <v>91</v>
      </c>
      <c r="H26" s="10" t="s">
        <v>92</v>
      </c>
      <c r="I26" s="7">
        <v>4</v>
      </c>
      <c r="J26" s="3">
        <v>3</v>
      </c>
      <c r="K26" s="73"/>
      <c r="L26" s="10"/>
      <c r="M26" s="8"/>
    </row>
    <row r="27" spans="1:13" x14ac:dyDescent="0.35">
      <c r="A27" s="17">
        <v>26</v>
      </c>
      <c r="B27" s="18" t="s">
        <v>196</v>
      </c>
      <c r="C27" s="20" t="s">
        <v>207</v>
      </c>
      <c r="D27" s="23" t="s">
        <v>10</v>
      </c>
      <c r="E27" s="20">
        <v>2</v>
      </c>
      <c r="F27" s="4">
        <v>3</v>
      </c>
      <c r="G27" s="8" t="s">
        <v>93</v>
      </c>
      <c r="H27" s="10" t="s">
        <v>94</v>
      </c>
      <c r="I27" s="7">
        <v>3</v>
      </c>
      <c r="J27" s="3">
        <v>3</v>
      </c>
      <c r="K27" s="73">
        <f t="shared" ref="K27:K30" si="4">J27-E27</f>
        <v>1</v>
      </c>
      <c r="L27" s="10" t="s">
        <v>73</v>
      </c>
      <c r="M27" s="8" t="s">
        <v>95</v>
      </c>
    </row>
    <row r="28" spans="1:13" x14ac:dyDescent="0.35">
      <c r="A28" s="17">
        <v>32</v>
      </c>
      <c r="B28" s="18" t="s">
        <v>208</v>
      </c>
      <c r="C28" s="19" t="s">
        <v>218</v>
      </c>
      <c r="D28" s="22" t="s">
        <v>20</v>
      </c>
      <c r="E28" s="19">
        <v>3</v>
      </c>
      <c r="F28" s="4">
        <v>4</v>
      </c>
      <c r="G28" s="5" t="s">
        <v>96</v>
      </c>
      <c r="H28" s="6" t="s">
        <v>97</v>
      </c>
      <c r="I28" s="7">
        <v>3</v>
      </c>
      <c r="J28" s="3">
        <v>3</v>
      </c>
      <c r="K28" s="73">
        <f t="shared" si="4"/>
        <v>0</v>
      </c>
      <c r="L28" s="11" t="s">
        <v>98</v>
      </c>
      <c r="M28" s="12" t="s">
        <v>99</v>
      </c>
    </row>
    <row r="29" spans="1:13" x14ac:dyDescent="0.35">
      <c r="A29" s="17">
        <v>33</v>
      </c>
      <c r="B29" s="18" t="s">
        <v>208</v>
      </c>
      <c r="C29" s="19" t="s">
        <v>219</v>
      </c>
      <c r="D29" s="22" t="s">
        <v>17</v>
      </c>
      <c r="E29" s="19">
        <v>2</v>
      </c>
      <c r="F29" s="4">
        <v>4</v>
      </c>
      <c r="G29" s="5" t="s">
        <v>100</v>
      </c>
      <c r="H29" s="6" t="s">
        <v>101</v>
      </c>
      <c r="I29" s="7">
        <v>4</v>
      </c>
      <c r="J29" s="3">
        <v>3</v>
      </c>
      <c r="K29" s="73">
        <f t="shared" si="4"/>
        <v>1</v>
      </c>
      <c r="L29" s="8" t="s">
        <v>102</v>
      </c>
      <c r="M29" s="8" t="s">
        <v>103</v>
      </c>
    </row>
    <row r="30" spans="1:13" x14ac:dyDescent="0.35">
      <c r="A30" s="17">
        <v>31</v>
      </c>
      <c r="B30" s="18" t="s">
        <v>208</v>
      </c>
      <c r="C30" s="19" t="s">
        <v>217</v>
      </c>
      <c r="D30" s="22" t="s">
        <v>15</v>
      </c>
      <c r="E30" s="19">
        <v>3</v>
      </c>
      <c r="F30" s="4">
        <v>4</v>
      </c>
      <c r="G30" s="8" t="s">
        <v>104</v>
      </c>
      <c r="H30" s="10" t="s">
        <v>105</v>
      </c>
      <c r="I30" s="7">
        <v>4</v>
      </c>
      <c r="J30" s="3">
        <v>3</v>
      </c>
      <c r="K30" s="73">
        <f t="shared" si="4"/>
        <v>0</v>
      </c>
      <c r="L30" s="10"/>
      <c r="M30" s="8"/>
    </row>
    <row r="31" spans="1:13" x14ac:dyDescent="0.35">
      <c r="A31" s="65">
        <v>28</v>
      </c>
      <c r="B31" s="66" t="s">
        <v>208</v>
      </c>
      <c r="C31" s="67" t="s">
        <v>211</v>
      </c>
      <c r="D31" s="68" t="s">
        <v>212</v>
      </c>
      <c r="E31" s="67">
        <v>2</v>
      </c>
      <c r="F31" s="69">
        <v>4</v>
      </c>
      <c r="G31" s="70" t="s">
        <v>106</v>
      </c>
      <c r="H31" s="71" t="s">
        <v>107</v>
      </c>
      <c r="I31" s="72">
        <v>4</v>
      </c>
      <c r="J31" s="3">
        <v>4</v>
      </c>
      <c r="K31" s="73">
        <v>-1</v>
      </c>
      <c r="L31" s="10" t="s">
        <v>108</v>
      </c>
      <c r="M31" s="8" t="s">
        <v>109</v>
      </c>
    </row>
    <row r="32" spans="1:13" x14ac:dyDescent="0.35">
      <c r="A32" s="65">
        <v>11</v>
      </c>
      <c r="B32" s="66" t="s">
        <v>183</v>
      </c>
      <c r="C32" s="67" t="s">
        <v>186</v>
      </c>
      <c r="D32" s="68" t="s">
        <v>7</v>
      </c>
      <c r="E32" s="67">
        <v>3</v>
      </c>
      <c r="F32" s="69"/>
      <c r="G32" s="70"/>
      <c r="H32" s="71"/>
      <c r="I32" s="72"/>
      <c r="J32" s="3"/>
      <c r="K32" s="73"/>
      <c r="L32" s="10"/>
      <c r="M32" s="8"/>
    </row>
    <row r="33" spans="1:13" x14ac:dyDescent="0.35">
      <c r="A33" s="17">
        <v>27</v>
      </c>
      <c r="B33" s="18" t="s">
        <v>208</v>
      </c>
      <c r="C33" s="19" t="s">
        <v>209</v>
      </c>
      <c r="D33" s="22" t="s">
        <v>210</v>
      </c>
      <c r="E33" s="19">
        <v>3</v>
      </c>
      <c r="F33" s="4">
        <v>4</v>
      </c>
      <c r="G33" s="8" t="s">
        <v>110</v>
      </c>
      <c r="H33" s="10" t="s">
        <v>111</v>
      </c>
      <c r="I33" s="7">
        <v>3</v>
      </c>
      <c r="J33" s="3">
        <v>3</v>
      </c>
      <c r="K33" s="73">
        <f t="shared" ref="K33:K34" si="5">J33-E33</f>
        <v>0</v>
      </c>
      <c r="L33" s="10"/>
      <c r="M33" s="8"/>
    </row>
    <row r="34" spans="1:13" x14ac:dyDescent="0.35">
      <c r="A34" s="17">
        <v>34</v>
      </c>
      <c r="B34" s="18" t="s">
        <v>208</v>
      </c>
      <c r="C34" s="20" t="s">
        <v>220</v>
      </c>
      <c r="D34" s="23" t="s">
        <v>221</v>
      </c>
      <c r="E34" s="19">
        <v>3</v>
      </c>
      <c r="F34" s="4">
        <v>4</v>
      </c>
      <c r="G34" s="8" t="s">
        <v>112</v>
      </c>
      <c r="H34" s="10" t="s">
        <v>113</v>
      </c>
      <c r="I34" s="7">
        <v>3</v>
      </c>
      <c r="J34" s="3">
        <v>3</v>
      </c>
      <c r="K34" s="73">
        <f t="shared" si="5"/>
        <v>0</v>
      </c>
      <c r="L34" s="10"/>
      <c r="M34" s="8"/>
    </row>
    <row r="35" spans="1:13" x14ac:dyDescent="0.35">
      <c r="A35" s="36">
        <v>38</v>
      </c>
      <c r="B35" s="37" t="s">
        <v>222</v>
      </c>
      <c r="C35" s="38" t="s">
        <v>228</v>
      </c>
      <c r="D35" s="39" t="s">
        <v>229</v>
      </c>
      <c r="E35" s="38">
        <v>2</v>
      </c>
      <c r="F35" s="40">
        <v>5</v>
      </c>
      <c r="G35" s="41" t="s">
        <v>114</v>
      </c>
      <c r="H35" s="42" t="s">
        <v>115</v>
      </c>
      <c r="I35" s="43">
        <v>4</v>
      </c>
      <c r="J35" s="3">
        <v>4</v>
      </c>
      <c r="K35" s="73">
        <f>-3/5*1</f>
        <v>-0.6</v>
      </c>
      <c r="L35" s="10"/>
      <c r="M35" s="8"/>
    </row>
    <row r="36" spans="1:13" x14ac:dyDescent="0.35">
      <c r="A36" s="36">
        <v>19</v>
      </c>
      <c r="B36" s="37" t="s">
        <v>196</v>
      </c>
      <c r="C36" s="38" t="s">
        <v>197</v>
      </c>
      <c r="D36" s="39" t="s">
        <v>9</v>
      </c>
      <c r="E36" s="38">
        <v>3</v>
      </c>
      <c r="F36" s="40"/>
      <c r="G36" s="41"/>
      <c r="H36" s="42"/>
      <c r="I36" s="43"/>
      <c r="J36" s="3"/>
      <c r="K36" s="73"/>
      <c r="L36" s="10"/>
      <c r="M36" s="8"/>
    </row>
    <row r="37" spans="1:13" x14ac:dyDescent="0.35">
      <c r="A37" s="17">
        <v>47</v>
      </c>
      <c r="B37" s="18" t="s">
        <v>238</v>
      </c>
      <c r="C37" s="19" t="s">
        <v>247</v>
      </c>
      <c r="D37" s="22" t="s">
        <v>248</v>
      </c>
      <c r="E37" s="19">
        <v>3</v>
      </c>
      <c r="F37" s="4">
        <v>5</v>
      </c>
      <c r="G37" s="8" t="s">
        <v>116</v>
      </c>
      <c r="H37" s="10" t="s">
        <v>117</v>
      </c>
      <c r="I37" s="7">
        <v>3</v>
      </c>
      <c r="J37" s="3">
        <v>3</v>
      </c>
      <c r="K37" s="73"/>
      <c r="L37" s="10" t="s">
        <v>34</v>
      </c>
      <c r="M37" s="8" t="s">
        <v>118</v>
      </c>
    </row>
    <row r="38" spans="1:13" x14ac:dyDescent="0.35">
      <c r="A38" s="17">
        <v>39</v>
      </c>
      <c r="B38" s="18" t="s">
        <v>222</v>
      </c>
      <c r="C38" s="19" t="s">
        <v>230</v>
      </c>
      <c r="D38" s="22" t="s">
        <v>231</v>
      </c>
      <c r="E38" s="19">
        <v>3</v>
      </c>
      <c r="F38" s="4">
        <v>5</v>
      </c>
      <c r="G38" s="8" t="s">
        <v>119</v>
      </c>
      <c r="H38" s="10" t="s">
        <v>120</v>
      </c>
      <c r="I38" s="7">
        <v>3</v>
      </c>
      <c r="J38" s="3">
        <v>3</v>
      </c>
      <c r="K38" s="73"/>
      <c r="L38" s="11" t="s">
        <v>121</v>
      </c>
      <c r="M38" s="12" t="s">
        <v>122</v>
      </c>
    </row>
    <row r="39" spans="1:13" x14ac:dyDescent="0.35">
      <c r="A39" s="24">
        <v>21</v>
      </c>
      <c r="B39" s="25" t="s">
        <v>196</v>
      </c>
      <c r="C39" s="26" t="s">
        <v>200</v>
      </c>
      <c r="D39" s="32" t="s">
        <v>16</v>
      </c>
      <c r="E39" s="26">
        <v>3</v>
      </c>
      <c r="F39" s="28">
        <v>5</v>
      </c>
      <c r="G39" s="29" t="s">
        <v>123</v>
      </c>
      <c r="H39" s="30" t="s">
        <v>124</v>
      </c>
      <c r="I39" s="31">
        <v>4</v>
      </c>
      <c r="J39" s="3">
        <v>4</v>
      </c>
      <c r="K39" s="73">
        <f>-3/6*2</f>
        <v>-1</v>
      </c>
      <c r="L39" s="10"/>
      <c r="M39" s="8"/>
    </row>
    <row r="40" spans="1:13" ht="29" x14ac:dyDescent="0.35">
      <c r="A40" s="24">
        <v>36</v>
      </c>
      <c r="B40" s="25" t="s">
        <v>222</v>
      </c>
      <c r="C40" s="26" t="s">
        <v>224</v>
      </c>
      <c r="D40" s="32" t="s">
        <v>225</v>
      </c>
      <c r="E40" s="26">
        <v>3</v>
      </c>
      <c r="F40" s="28"/>
      <c r="G40" s="29"/>
      <c r="H40" s="30"/>
      <c r="I40" s="31"/>
      <c r="J40" s="3"/>
      <c r="K40" s="73"/>
      <c r="L40" s="10"/>
      <c r="M40" s="8"/>
    </row>
    <row r="41" spans="1:13" x14ac:dyDescent="0.35">
      <c r="A41" s="17">
        <v>35</v>
      </c>
      <c r="B41" s="18" t="s">
        <v>222</v>
      </c>
      <c r="C41" s="19" t="s">
        <v>223</v>
      </c>
      <c r="D41" s="11" t="s">
        <v>13</v>
      </c>
      <c r="E41" s="19">
        <v>2</v>
      </c>
      <c r="F41" s="4">
        <v>5</v>
      </c>
      <c r="G41" s="8" t="s">
        <v>125</v>
      </c>
      <c r="H41" s="10" t="s">
        <v>126</v>
      </c>
      <c r="I41" s="7">
        <v>3</v>
      </c>
      <c r="J41" s="3">
        <v>2</v>
      </c>
      <c r="K41" s="73"/>
      <c r="L41" s="10" t="s">
        <v>127</v>
      </c>
      <c r="M41" s="8" t="s">
        <v>128</v>
      </c>
    </row>
    <row r="42" spans="1:13" s="63" customFormat="1" ht="29" x14ac:dyDescent="0.35">
      <c r="A42" s="4">
        <v>40</v>
      </c>
      <c r="B42" s="56" t="s">
        <v>222</v>
      </c>
      <c r="C42" s="19" t="s">
        <v>232</v>
      </c>
      <c r="D42" s="22" t="s">
        <v>233</v>
      </c>
      <c r="E42" s="19">
        <v>2</v>
      </c>
      <c r="F42" s="4">
        <v>5</v>
      </c>
      <c r="G42" s="9" t="s">
        <v>129</v>
      </c>
      <c r="H42" s="10" t="s">
        <v>130</v>
      </c>
      <c r="I42" s="7">
        <v>3</v>
      </c>
      <c r="J42" s="57">
        <v>2</v>
      </c>
      <c r="K42" s="73"/>
      <c r="L42" s="10"/>
      <c r="M42" s="9"/>
    </row>
    <row r="43" spans="1:13" x14ac:dyDescent="0.35">
      <c r="A43" s="17">
        <v>48</v>
      </c>
      <c r="B43" s="18" t="s">
        <v>238</v>
      </c>
      <c r="C43" s="20" t="s">
        <v>249</v>
      </c>
      <c r="D43" s="22" t="s">
        <v>250</v>
      </c>
      <c r="E43" s="20">
        <v>3</v>
      </c>
      <c r="F43" s="4">
        <v>6</v>
      </c>
      <c r="G43" s="8" t="s">
        <v>131</v>
      </c>
      <c r="H43" s="10" t="s">
        <v>132</v>
      </c>
      <c r="I43" s="7">
        <v>4</v>
      </c>
      <c r="J43" s="3">
        <v>3</v>
      </c>
      <c r="K43" s="73"/>
      <c r="L43" s="10" t="s">
        <v>133</v>
      </c>
      <c r="M43" s="8" t="s">
        <v>134</v>
      </c>
    </row>
    <row r="44" spans="1:13" x14ac:dyDescent="0.35">
      <c r="A44" s="17">
        <v>43</v>
      </c>
      <c r="B44" s="18" t="s">
        <v>238</v>
      </c>
      <c r="C44" s="19" t="s">
        <v>239</v>
      </c>
      <c r="D44" s="22" t="s">
        <v>240</v>
      </c>
      <c r="E44" s="19">
        <v>3</v>
      </c>
      <c r="F44" s="4">
        <v>6</v>
      </c>
      <c r="G44" s="8" t="s">
        <v>135</v>
      </c>
      <c r="H44" s="10" t="s">
        <v>136</v>
      </c>
      <c r="I44" s="7">
        <v>4</v>
      </c>
      <c r="J44" s="3">
        <v>3</v>
      </c>
      <c r="K44" s="73"/>
      <c r="L44" s="11"/>
      <c r="M44" s="12"/>
    </row>
    <row r="45" spans="1:13" x14ac:dyDescent="0.35">
      <c r="A45" s="17">
        <v>46</v>
      </c>
      <c r="B45" s="18" t="s">
        <v>238</v>
      </c>
      <c r="C45" s="19" t="s">
        <v>245</v>
      </c>
      <c r="D45" s="22" t="s">
        <v>246</v>
      </c>
      <c r="E45" s="19">
        <v>3</v>
      </c>
      <c r="F45" s="4">
        <v>6</v>
      </c>
      <c r="G45" s="8" t="s">
        <v>137</v>
      </c>
      <c r="H45" s="10" t="s">
        <v>138</v>
      </c>
      <c r="I45" s="7">
        <v>4</v>
      </c>
      <c r="J45" s="3">
        <v>3</v>
      </c>
      <c r="K45" s="73"/>
      <c r="L45" s="10"/>
      <c r="M45" s="13"/>
    </row>
    <row r="46" spans="1:13" x14ac:dyDescent="0.35">
      <c r="A46" s="17">
        <v>52</v>
      </c>
      <c r="B46" s="18" t="s">
        <v>251</v>
      </c>
      <c r="C46" s="19" t="s">
        <v>257</v>
      </c>
      <c r="D46" s="22" t="s">
        <v>258</v>
      </c>
      <c r="E46" s="19">
        <v>3</v>
      </c>
      <c r="F46" s="4">
        <v>6</v>
      </c>
      <c r="G46" s="8" t="s">
        <v>139</v>
      </c>
      <c r="H46" s="10" t="s">
        <v>140</v>
      </c>
      <c r="I46" s="7">
        <v>3</v>
      </c>
      <c r="J46" s="3">
        <v>3</v>
      </c>
      <c r="K46" s="73"/>
      <c r="L46" s="10"/>
      <c r="M46" s="8"/>
    </row>
    <row r="47" spans="1:13" s="63" customFormat="1" ht="29" x14ac:dyDescent="0.35">
      <c r="A47" s="4">
        <v>37</v>
      </c>
      <c r="B47" s="56" t="s">
        <v>222</v>
      </c>
      <c r="C47" s="19" t="s">
        <v>226</v>
      </c>
      <c r="D47" s="22" t="s">
        <v>227</v>
      </c>
      <c r="E47" s="19">
        <v>3</v>
      </c>
      <c r="F47" s="4">
        <v>6</v>
      </c>
      <c r="G47" s="9" t="s">
        <v>141</v>
      </c>
      <c r="H47" s="10" t="s">
        <v>142</v>
      </c>
      <c r="I47" s="7">
        <v>3</v>
      </c>
      <c r="J47" s="57">
        <v>2</v>
      </c>
      <c r="K47" s="73"/>
      <c r="L47" s="10"/>
      <c r="M47" s="9"/>
    </row>
    <row r="48" spans="1:13" s="63" customFormat="1" ht="29" x14ac:dyDescent="0.35">
      <c r="A48" s="4">
        <v>45</v>
      </c>
      <c r="B48" s="56" t="s">
        <v>238</v>
      </c>
      <c r="C48" s="19" t="s">
        <v>243</v>
      </c>
      <c r="D48" s="22" t="s">
        <v>244</v>
      </c>
      <c r="E48" s="19">
        <v>3</v>
      </c>
      <c r="F48" s="4">
        <v>6</v>
      </c>
      <c r="G48" s="9" t="s">
        <v>143</v>
      </c>
      <c r="H48" s="10" t="s">
        <v>144</v>
      </c>
      <c r="I48" s="7">
        <v>2</v>
      </c>
      <c r="J48" s="57">
        <v>3</v>
      </c>
      <c r="K48" s="73"/>
      <c r="L48" s="11" t="s">
        <v>60</v>
      </c>
      <c r="M48" s="14" t="s">
        <v>145</v>
      </c>
    </row>
    <row r="49" spans="1:13" x14ac:dyDescent="0.35">
      <c r="A49" s="17">
        <v>54</v>
      </c>
      <c r="B49" s="33" t="s">
        <v>251</v>
      </c>
      <c r="C49" s="34" t="s">
        <v>261</v>
      </c>
      <c r="D49" s="35" t="s">
        <v>18</v>
      </c>
      <c r="E49" s="34">
        <v>4</v>
      </c>
      <c r="F49" s="4">
        <v>7</v>
      </c>
      <c r="G49" s="5" t="s">
        <v>146</v>
      </c>
      <c r="H49" s="6" t="s">
        <v>147</v>
      </c>
      <c r="I49" s="7">
        <v>4</v>
      </c>
      <c r="J49" s="3">
        <v>4</v>
      </c>
      <c r="K49" s="73"/>
      <c r="L49" s="12" t="s">
        <v>102</v>
      </c>
      <c r="M49" s="12" t="s">
        <v>103</v>
      </c>
    </row>
    <row r="50" spans="1:13" s="58" customFormat="1" ht="29" x14ac:dyDescent="0.35">
      <c r="A50" s="4">
        <v>41</v>
      </c>
      <c r="B50" s="56" t="s">
        <v>222</v>
      </c>
      <c r="C50" s="19" t="s">
        <v>234</v>
      </c>
      <c r="D50" s="64" t="s">
        <v>235</v>
      </c>
      <c r="E50" s="19">
        <v>2</v>
      </c>
      <c r="F50" s="4">
        <v>7</v>
      </c>
      <c r="G50" s="4" t="s">
        <v>148</v>
      </c>
      <c r="H50" s="59" t="s">
        <v>149</v>
      </c>
      <c r="I50" s="7">
        <v>6</v>
      </c>
      <c r="J50" s="57">
        <v>6</v>
      </c>
      <c r="K50" s="73"/>
      <c r="L50" s="7" t="s">
        <v>34</v>
      </c>
      <c r="M50" s="7" t="s">
        <v>48</v>
      </c>
    </row>
    <row r="51" spans="1:13" x14ac:dyDescent="0.35">
      <c r="A51" s="17">
        <v>51</v>
      </c>
      <c r="B51" s="18" t="s">
        <v>251</v>
      </c>
      <c r="C51" s="19" t="s">
        <v>255</v>
      </c>
      <c r="D51" s="22" t="s">
        <v>256</v>
      </c>
      <c r="E51" s="19">
        <v>3</v>
      </c>
      <c r="F51" s="4">
        <v>7</v>
      </c>
      <c r="G51" s="8" t="s">
        <v>150</v>
      </c>
      <c r="H51" s="10" t="s">
        <v>151</v>
      </c>
      <c r="I51" s="7">
        <v>3</v>
      </c>
      <c r="J51" s="3">
        <v>3</v>
      </c>
      <c r="K51" s="73"/>
      <c r="L51" s="10" t="s">
        <v>152</v>
      </c>
      <c r="M51" s="8" t="s">
        <v>153</v>
      </c>
    </row>
    <row r="52" spans="1:13" x14ac:dyDescent="0.35">
      <c r="A52" s="17">
        <v>53</v>
      </c>
      <c r="B52" s="18" t="s">
        <v>251</v>
      </c>
      <c r="C52" s="19" t="s">
        <v>259</v>
      </c>
      <c r="D52" s="22" t="s">
        <v>260</v>
      </c>
      <c r="E52" s="19">
        <v>3</v>
      </c>
      <c r="F52" s="4">
        <v>7</v>
      </c>
      <c r="G52" s="8" t="s">
        <v>154</v>
      </c>
      <c r="H52" s="10" t="s">
        <v>155</v>
      </c>
      <c r="I52" s="7">
        <v>3</v>
      </c>
      <c r="J52" s="3">
        <v>3</v>
      </c>
      <c r="K52" s="73"/>
      <c r="L52" s="10"/>
      <c r="M52" s="8"/>
    </row>
    <row r="53" spans="1:13" x14ac:dyDescent="0.35">
      <c r="A53" s="17">
        <v>42</v>
      </c>
      <c r="B53" s="18" t="s">
        <v>222</v>
      </c>
      <c r="C53" s="19" t="s">
        <v>236</v>
      </c>
      <c r="D53" s="22" t="s">
        <v>237</v>
      </c>
      <c r="E53" s="19">
        <v>3</v>
      </c>
      <c r="F53" s="4">
        <v>7</v>
      </c>
      <c r="G53" s="8" t="s">
        <v>156</v>
      </c>
      <c r="H53" s="10" t="s">
        <v>157</v>
      </c>
      <c r="I53" s="7">
        <v>3</v>
      </c>
      <c r="J53" s="3">
        <v>3</v>
      </c>
      <c r="K53" s="73"/>
      <c r="L53" s="10" t="s">
        <v>158</v>
      </c>
      <c r="M53" s="8" t="s">
        <v>159</v>
      </c>
    </row>
    <row r="54" spans="1:13" ht="29" x14ac:dyDescent="0.35">
      <c r="A54" s="44">
        <v>49</v>
      </c>
      <c r="B54" s="45" t="s">
        <v>251</v>
      </c>
      <c r="C54" s="46" t="s">
        <v>252</v>
      </c>
      <c r="D54" s="47" t="s">
        <v>21</v>
      </c>
      <c r="E54" s="46">
        <v>4</v>
      </c>
      <c r="F54" s="48">
        <v>8</v>
      </c>
      <c r="G54" s="49" t="s">
        <v>160</v>
      </c>
      <c r="H54" s="50" t="s">
        <v>161</v>
      </c>
      <c r="I54" s="51">
        <v>6</v>
      </c>
      <c r="J54" s="60">
        <v>6</v>
      </c>
      <c r="K54" s="73"/>
      <c r="L54" s="9" t="s">
        <v>162</v>
      </c>
      <c r="M54" s="10" t="s">
        <v>163</v>
      </c>
    </row>
    <row r="55" spans="1:13" x14ac:dyDescent="0.35">
      <c r="A55" s="52">
        <v>30</v>
      </c>
      <c r="B55" s="53" t="s">
        <v>208</v>
      </c>
      <c r="C55" s="46" t="s">
        <v>215</v>
      </c>
      <c r="D55" s="47" t="s">
        <v>216</v>
      </c>
      <c r="E55" s="46">
        <v>2</v>
      </c>
      <c r="F55" s="44"/>
      <c r="G55" s="54"/>
      <c r="H55" s="55"/>
      <c r="I55" s="51"/>
      <c r="J55" s="3"/>
      <c r="K55" s="73"/>
      <c r="L55" s="9"/>
      <c r="M55" s="10"/>
    </row>
    <row r="56" spans="1:13" x14ac:dyDescent="0.35">
      <c r="A56" s="17">
        <v>55</v>
      </c>
      <c r="B56" s="18" t="s">
        <v>262</v>
      </c>
      <c r="C56" s="19" t="s">
        <v>263</v>
      </c>
      <c r="D56" s="22" t="s">
        <v>4</v>
      </c>
      <c r="E56" s="19">
        <v>6</v>
      </c>
      <c r="F56" s="4">
        <v>8</v>
      </c>
      <c r="G56" s="8" t="s">
        <v>164</v>
      </c>
      <c r="H56" s="10" t="s">
        <v>165</v>
      </c>
      <c r="I56" s="7">
        <v>6</v>
      </c>
      <c r="J56" s="3">
        <v>6</v>
      </c>
      <c r="K56" s="73"/>
      <c r="L56" s="11" t="s">
        <v>60</v>
      </c>
      <c r="M56" s="14" t="s">
        <v>166</v>
      </c>
    </row>
    <row r="57" spans="1:13" x14ac:dyDescent="0.35">
      <c r="E57" s="1">
        <f>SUM(E2:E56)</f>
        <v>146</v>
      </c>
      <c r="I57" s="1">
        <f>SUM(I2:I56)</f>
        <v>155</v>
      </c>
      <c r="J57" s="1">
        <f>SUM(J2:J56)</f>
        <v>146</v>
      </c>
      <c r="K57" s="74">
        <f>SUM(K2:K56)</f>
        <v>-1.6</v>
      </c>
    </row>
    <row r="73" spans="7:7" x14ac:dyDescent="0.35">
      <c r="G73" s="16"/>
    </row>
    <row r="74" spans="7:7" x14ac:dyDescent="0.35">
      <c r="G74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hp14s3225@outlook.com</cp:lastModifiedBy>
  <dcterms:created xsi:type="dcterms:W3CDTF">2026-06-03T13:03:45Z</dcterms:created>
  <dcterms:modified xsi:type="dcterms:W3CDTF">2026-07-30T03:52:25Z</dcterms:modified>
</cp:coreProperties>
</file>